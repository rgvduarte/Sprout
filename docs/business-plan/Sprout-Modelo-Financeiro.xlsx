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Fluxo de caixa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definedNames>
    <definedName function="false" hidden="false" localSheetId="9" name="_xlnm.Print_Area" vbProcedure="false">'Capital &amp; financiamento'!$A$1:$H$62</definedName>
    <definedName function="false" hidden="false" localSheetId="10" name="_xlnm.Print_Area" vbProcedure="false">Cenários!$A$1:$H$161</definedName>
    <definedName function="false" hidden="false" localSheetId="6" name="_xlnm.Print_Area" vbProcedure="false">Custos!$A$1:$H$128</definedName>
    <definedName function="false" hidden="false" localSheetId="7" name="_xlnm.Print_Area" vbProcedure="false">DR!$A$1:$H$35</definedName>
    <definedName function="false" hidden="false" localSheetId="8" name="_xlnm.Print_Area" vbProcedure="false">'Fluxo de caixa'!$A$1:$H$44</definedName>
    <definedName function="false" hidden="false" localSheetId="12" name="_xlnm.Print_Area" vbProcedure="false">Fontes!$A$1:$B$111</definedName>
    <definedName function="false" hidden="false" localSheetId="0" name="_xlnm.Print_Area" vbProcedure="false">'Leia-me'!$A$1:$G$46</definedName>
    <definedName function="false" hidden="false" localSheetId="13" name="_xlnm.Print_Area" vbProcedure="false">Motor!$A$1:$H$3</definedName>
    <definedName function="false" hidden="false" localSheetId="5" name="_xlnm.Print_Area" vbProcedure="false">Pessoal!$A$1:$H$52</definedName>
    <definedName function="false" hidden="false" localSheetId="1" name="_xlnm.Print_Area" vbProcedure="false">Pressupostos!$A$1:$H$467</definedName>
    <definedName function="false" hidden="false" localSheetId="4" name="_xlnm.Print_Area" vbProcedure="false">Receitas!$A$1:$H$37</definedName>
    <definedName function="false" hidden="false" localSheetId="11" name="_xlnm.Print_Area" vbProcedure="false">Sensibilidade!$A$1:$I$67</definedName>
    <definedName function="false" hidden="false" localSheetId="2" name="_xlnm.Print_Area" vbProcedure="false">'Unit economics'!$A$1:$K$191</definedName>
    <definedName function="false" hidden="false" localSheetId="3" name="_xlnm.Print_Area" vbProcedure="false">Volumes!$A$1:$H$29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<sst xmlns="http://schemas.openxmlformats.org/spreadsheetml/2006/main" count="26207" uniqueCount="1515">
  <si>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</si>
  <si>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</si>
  <si>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Resultados-chave (ligados às folhas Cenários e Motor)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</si>
  <si>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</si>
  <si>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</si>
  <si>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</si>
  <si>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</si>
  <si>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</si>
  <si>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</si>
  <si>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Recomendado a preços verificados</t>
  </si>
  <si>
    <t xml:space="preserve">EBITDA 2027</t>
  </si>
  <si>
    <t xml:space="preserve">€</t>
  </si>
  <si>
    <t xml:space="preserve">EBITDA 2031</t>
  </si>
  <si>
    <t xml:space="preserve">Resultado líquido 2031</t>
  </si>
  <si>
    <t xml:space="preserve">GMV 2031</t>
  </si>
  <si>
    <t xml:space="preserve">Fluxo de caixa acumulado para o acionista, 2027–2031</t>
  </si>
  <si>
    <t xml:space="preserve">Necessidade de capital próprio (mínimo no horizonte; ainda a subir em 2031)</t>
  </si>
  <si>
    <t xml:space="preserve">Break-even do EBITDA</t>
  </si>
  <si>
    <t xml:space="preserve">mês</t>
  </si>
  <si>
    <t xml:space="preserve">1.º ano com fluxo de caixa para o acionista ≥ 0</t>
  </si>
  <si>
    <t xml:space="preserve">ano</t>
  </si>
  <si>
    <t xml:space="preserve">Verificações do modelo (Cenários, secção 5)</t>
  </si>
  <si>
    <t xml:space="preserve">Recomendado a preços verificados = Recomendado com a referência HoReCa do base (5,65 €/kg), sem prémio de origem dos distribuidores, sem verificação para terceiros nem receita de dados: o que o desenho dá sem as alavancas comerciais que o piloto ainda tem de provar.</t>
  </si>
  <si>
    <t xml:space="preserve">Para que serve</t>
  </si>
  <si>
    <t xml:space="preserve">Testar, com números rastreáveis, se a tese do documento-fonte (marketplace B2B de azeite, água e café com desconto de 10–15 %, captura de 80–90 %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</si>
  <si>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</si>
  <si>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</si>
  <si>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</si>
  <si>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tabela acima e na folha Cenários; não foi ajustado para dar break-even. A folha Sensibilidade mostra o caso com todas as alavancas no topo dos intervalos da investigação.</t>
  </si>
  <si>
    <t xml:space="preserve">A coluna «Recomendado a preços verificados» separa o que depende da execução (estrutura, canais) do que depende de preços ainda por medir (referência HoReCa de 6,00 €/kg, prémio de origem dos distribuidores, verificação paga pelo banco, receita de dados).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</si>
  <si>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</si>
  <si>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</si>
  <si>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preço; piloto de 2027.</t>
  </si>
  <si>
    <t xml:space="preserve">Volumes, Receitas, Pessoal, Custos, DR, Fluxo de caixa,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</si>
  <si>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</si>
  <si>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10/12,5/15 %, volumes ±30 %, preço do AOVE −30 %, cupão de 10 % e 12 % e topo dos intervalos (motor completo por caso), para o Base e o Recomendado; no Recomendado também a preços verificados, granel como principal, obrigações a 90 % e pagamento ao lagar a D5; grelha captura × desconto da tese literal; perda no stock com choque de preço.</t>
  </si>
  <si>
    <t xml:space="preserve">Fontes — origem de cada pressuposto e registo de verificação. Motor — o cálculo em blocos fixos por cenário e caso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</si>
  <si>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</si>
  <si>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</si>
  <si>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</si>
  <si>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</si>
  <si>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</si>
  <si>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</si>
  <si>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+3 %/ano; opex +2 %/ano e 5 % de contingência.</t>
  </si>
  <si>
    <t xml:space="preserve">Fundo de maneio = nível médio do ano por prazos médios (stock, recebimento, pagamento ao produtor a 30 dias). Obrigações em circulação = % do fundo de maneio ÷ utilização, também em nível médio do ano (não saldo de fim de ano); 0 em 2027 (simplificação: CSC art. 348.º/2 [L]); 90 % no Base, 75 % no Recomendado.</t>
  </si>
  <si>
    <t xml:space="preserve">Granel certificado do Recomendado em corretagem com verificação (0,75 % do valor ao índice, sem título nem stock) até haver carta de intenções a ≥ índice + 0,10 €/kg; o modo principal fica como caso de sensibilidade.</t>
  </si>
  <si>
    <t xml:space="preserve">EBITDA = EBITDA depois do cupão das obrigações, custo direto do lote (a SPV financia stock lote a lote), como no 01 e em calculo_referencia.py; a DR mostra também o EBITDA antes do cupão, comparável com múltiplos de mercado.</t>
  </si>
  <si>
    <t xml:space="preserve">IRC com taxa PME, derramas municipal e estadual e reporte de prejuízos a 65 %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</si>
  <si>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</si>
  <si>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</si>
  <si>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</si>
  <si>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</si>
  <si>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50–70 % do lote (carry 19,8 % + VaR95 37–57 % − margem).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</si>
  <si>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</si>
  <si>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</si>
  <si>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</si>
  <si>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</si>
  <si>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Fluxo de caixa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</si>
  <si>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</si>
  <si>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</si>
  <si>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</si>
  <si>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</si>
  <si>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</si>
  <si>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</si>
  <si>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</si>
  <si>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</si>
  <si>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</si>
  <si>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</si>
  <si>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</si>
  <si>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</si>
  <si>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</si>
  <si>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</si>
  <si>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</si>
  <si>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</si>
  <si>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</si>
  <si>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</si>
  <si>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</si>
  <si>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10–15 %; 10 % porque 15 % leva a margem para ~1,4 %. 01 §2.5</t>
  </si>
  <si>
    <t xml:space="preserve">Prazo médio de recebimento</t>
  </si>
  <si>
    <t xml:space="preserve">dias</t>
  </si>
  <si>
    <t xml:space="preserve">[F] restauração: 30 dias de atraso médio, 11 %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</si>
  <si>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</si>
  <si>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</si>
  <si>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</si>
  <si>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</si>
  <si>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</si>
  <si>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</si>
  <si>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</si>
  <si>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</si>
  <si>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</si>
  <si>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0 %: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</si>
  <si>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</si>
  <si>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</si>
  <si>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</si>
  <si>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</si>
  <si>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</si>
  <si>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</si>
  <si>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0,5–3 %; 4–5 % só com cotação real de um engarrafador. 01 §6.1</t>
  </si>
  <si>
    <t xml:space="preserve">Café: ano de início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</si>
  <si>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</si>
  <si>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</si>
  <si>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</si>
  <si>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0,1–0,5 %; ICE &lt; 0,5 %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</si>
  <si>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</si>
  <si>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</si>
  <si>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</si>
  <si>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</si>
  <si>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</si>
  <si>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</si>
  <si>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Granel certificado em modo principal (1) ou corretagem com verificação (0)</t>
  </si>
  <si>
    <t xml:space="preserve">1/0</t>
  </si>
  <si>
    <t xml:space="preserve">Revisão de 13-10-2026: corretagem até haver carta de intenções a ≥ índice + 0,10 €/kg (01 §2.8); principal = caso de sensibilidade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</si>
  <si>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</si>
  <si>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</si>
  <si>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</si>
  <si>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</si>
  <si>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</si>
  <si>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</si>
  <si>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</si>
  <si>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</si>
  <si>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</si>
  <si>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</si>
  <si>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</si>
  <si>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</si>
  <si>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</si>
  <si>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</si>
  <si>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</si>
  <si>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</si>
  <si>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</si>
  <si>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</si>
  <si>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</si>
  <si>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</si>
  <si>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</si>
  <si>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</si>
  <si>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</si>
  <si>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</si>
  <si>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</si>
  <si>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</si>
  <si>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</si>
  <si>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</si>
  <si>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</si>
  <si>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</si>
  <si>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</si>
  <si>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</si>
  <si>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</si>
  <si>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</si>
  <si>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</si>
  <si>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~1 000 €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</si>
  <si>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</si>
  <si>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</si>
  <si>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</si>
  <si>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</si>
  <si>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</si>
  <si>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</si>
  <si>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</si>
  <si>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1 200 € por lote de 100 t</t>
  </si>
  <si>
    <t xml:space="preserve">[E] poucas operações de valor alto</t>
  </si>
  <si>
    <t xml:space="preserve">[E] igual aos distribuidores</t>
  </si>
  <si>
    <t xml:space="preserve">Corretagem com verificação: comissão sobre o valor ao índice</t>
  </si>
  <si>
    <t xml:space="preserve">% valor</t>
  </si>
  <si>
    <t xml:space="preserve">[E, NV] abaixo do teto prático de 1 % da corretagem de granel (50 §2.2); igual à comissão de verificação por utilização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</si>
  <si>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</si>
  <si>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</si>
  <si>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</si>
  <si>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</si>
  <si>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</si>
  <si>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</si>
  <si>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0,1–0,3 %/ano.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</si>
  <si>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</si>
  <si>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</si>
  <si>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</si>
  <si>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[E] 40 §5.2</t>
  </si>
  <si>
    <t xml:space="preserve">Probabilidade de desclassificação por trimestre</t>
  </si>
  <si>
    <t xml:space="preserve">[E] 3 %/5 %/15 %/30 %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</si>
  <si>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</si>
  <si>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</si>
  <si>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</si>
  <si>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</si>
  <si>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</si>
  <si>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</si>
  <si>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</si>
  <si>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</si>
  <si>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</si>
  <si>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</si>
  <si>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</si>
  <si>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</si>
  <si>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~169,5 kt: ponto médio de 160 (Olivum) e 179 (Governo), 2025/26.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</si>
  <si>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</si>
  <si>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</si>
  <si>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</si>
  <si>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</si>
  <si>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</si>
  <si>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</si>
  <si>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</si>
  <si>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</si>
  <si>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</si>
  <si>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</si>
  <si>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</si>
  <si>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~2 000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</si>
  <si>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</si>
  <si>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</si>
  <si>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</si>
  <si>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</si>
  <si>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</si>
  <si>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</si>
  <si>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</si>
  <si>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</si>
  <si>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</si>
  <si>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</si>
  <si>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</si>
  <si>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</si>
  <si>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</si>
  <si>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</si>
  <si>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</si>
  <si>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~11 %)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</si>
  <si>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</si>
  <si>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</si>
  <si>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</si>
  <si>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</si>
  <si>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</si>
  <si>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</si>
  <si>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</si>
  <si>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1–2 %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</si>
  <si>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</si>
  <si>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</si>
  <si>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</si>
  <si>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1 200 €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</si>
  <si>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</si>
  <si>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</si>
  <si>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</si>
  <si>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60–65 %.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</si>
  <si>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</si>
  <si>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</si>
  <si>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50 000 €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</si>
  <si>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</si>
  <si>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</si>
  <si>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</si>
  <si>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</si>
  <si>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28 %;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</si>
  <si>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</si>
  <si>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</si>
  <si>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</si>
  <si>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</si>
  <si>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</si>
  <si>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</si>
  <si>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</si>
  <si>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</si>
  <si>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</si>
  <si>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</si>
  <si>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</si>
  <si>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</si>
  <si>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0,1–0,6 %, mais alto na restauração. 40 §4.2</t>
  </si>
  <si>
    <t xml:space="preserve">Seguro de crédito: prémio sobre vendas de granel</t>
  </si>
  <si>
    <t xml:space="preserve">[E] compradores industriais; metade inferior do intervalo 0,1–0,6 %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</si>
  <si>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</si>
  <si>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</si>
  <si>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</si>
  <si>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</si>
  <si>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</si>
  <si>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</si>
  <si>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</si>
  <si>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</si>
  <si>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</si>
  <si>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23,75 %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</si>
  <si>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</si>
  <si>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</si>
  <si>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</si>
  <si>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</si>
  <si>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</si>
  <si>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</si>
  <si>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(60 %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</si>
  <si>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</si>
  <si>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</si>
  <si>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</si>
  <si>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</si>
  <si>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</si>
  <si>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</si>
  <si>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</si>
  <si>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</si>
  <si>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</si>
  <si>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</si>
  <si>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</si>
  <si>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</si>
  <si>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</si>
  <si>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</si>
  <si>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</si>
  <si>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</si>
  <si>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</si>
  <si>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</si>
  <si>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</si>
  <si>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</si>
  <si>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</si>
  <si>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</si>
  <si>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</si>
  <si>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</si>
  <si>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</si>
  <si>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</si>
  <si>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</si>
  <si>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</si>
  <si>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</si>
  <si>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</si>
  <si>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</si>
  <si>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</si>
  <si>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</si>
  <si>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</si>
  <si>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</si>
  <si>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</si>
  <si>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</si>
  <si>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</si>
  <si>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</si>
  <si>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</si>
  <si>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</si>
  <si>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</si>
  <si>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</si>
  <si>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</si>
  <si>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3 000–9 000 €.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</si>
  <si>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</si>
  <si>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</si>
  <si>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</si>
  <si>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</si>
  <si>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</si>
  <si>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</si>
  <si>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</si>
  <si>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</si>
  <si>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</si>
  <si>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50 000 €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</si>
  <si>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</si>
  <si>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</si>
  <si>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</si>
  <si>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</si>
  <si>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1,5 %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</si>
  <si>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</si>
  <si>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</si>
  <si>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</si>
  <si>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</si>
  <si>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</si>
  <si>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</si>
  <si>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</si>
  <si>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</si>
  <si>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</si>
  <si>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testes de esforço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</si>
  <si>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</si>
  <si>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</si>
  <si>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</si>
  <si>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</si>
  <si>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95 % de preço a 18 meses — volatilidade 23 %</t>
  </si>
  <si>
    <t xml:space="preserve">[E] 40 §1.3</t>
  </si>
  <si>
    <t xml:space="preserve">VaR 95 % de preço a 18 meses — volatilidade 42 %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</si>
  <si>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</si>
  <si>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</si>
  <si>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</si>
  <si>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</si>
  <si>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</si>
  <si>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</si>
  <si>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10–15 %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</si>
  <si>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</si>
  <si>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</si>
  <si>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</si>
  <si>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</si>
  <si>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</si>
  <si>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Caso combinado: prémio de origem pago por distribuidores/exportadores (topo)</t>
  </si>
  <si>
    <t xml:space="preserve">Topo da condição 0,10–0,20 do 01 §5.4; com carteira de terceiros do otimista e volumes +30 %</t>
  </si>
  <si>
    <t xml:space="preserve">Sensibilidade: preço do AOVE (índice e referências de venda)</t>
  </si>
  <si>
    <t xml:space="preserve">Repercussão proporcional; embalamento, logística e fixos inalterados</t>
  </si>
  <si>
    <t xml:space="preserve">Sensibilidade: cupão das obrigações — caso 1</t>
  </si>
  <si>
    <t xml:space="preserve">Comparável ECSP de retalho 10–13 %/ano [E]</t>
  </si>
  <si>
    <t xml:space="preserve">Sensibilidade: cupão das obrigações — caso 2</t>
  </si>
  <si>
    <t xml:space="preserve">Sensibilidade: pagamento ao lagar (dias)</t>
  </si>
  <si>
    <t xml:space="preserve">Pagamento a D5 em vez de D30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</si>
  <si>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</si>
  <si>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</si>
  <si>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</si>
  <si>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</si>
  <si>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</si>
  <si>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</si>
  <si>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</si>
  <si>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80–90 %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</si>
  <si>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</si>
  <si>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</si>
  <si>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</si>
  <si>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</si>
  <si>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</si>
  <si>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</si>
  <si>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</si>
  <si>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</si>
  <si>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</si>
  <si>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</si>
  <si>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</si>
  <si>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1 000–2 000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</si>
  <si>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</si>
  <si>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</si>
  <si>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</si>
  <si>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</si>
  <si>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</si>
  <si>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</si>
  <si>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</si>
  <si>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</si>
  <si>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1,3 % da produção PT)</t>
  </si>
  <si>
    <t xml:space="preserve">Azeite granel certificado</t>
  </si>
  <si>
    <t xml:space="preserve">[E] só no Recomendado: 3 500 t em 2031 ≈ 2,1 %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</si>
  <si>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</si>
  <si>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</si>
  <si>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</si>
  <si>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</si>
  <si>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</si>
  <si>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</si>
  <si>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</si>
  <si>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</si>
  <si>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</si>
  <si>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</si>
  <si>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</si>
  <si>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</si>
  <si>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</si>
  <si>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</si>
  <si>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</si>
  <si>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</si>
  <si>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Fundo de maneio financiado por obrigações</t>
  </si>
  <si>
    <t xml:space="preserve">[L] 0 % em 2027 (simplificação; CSC art. 348.º/2); Recomendado 75 % (subordinado de 25 % em regime)</t>
  </si>
  <si>
    <t xml:space="preserve">Cupão anual das obrigações (bruto)</t>
  </si>
  <si>
    <t xml:space="preserve">[E] 8 %/ano no modelo de carry; ECSP de retalho 10–13 %/ano</t>
  </si>
  <si>
    <t xml:space="preserve">Séries emitidas no ano</t>
  </si>
  <si>
    <t xml:space="preserve">Seguro de crédito: prémio mínimo anual</t>
  </si>
  <si>
    <t xml:space="preserve">SPV: servicer de reserva contratado</t>
  </si>
  <si>
    <t xml:space="preserve">[E, NV] só no Recomendado, desde a 1.ª série; estimativa sem cotação</t>
  </si>
  <si>
    <t xml:space="preserve">Capex</t>
  </si>
  <si>
    <t xml:space="preserve">Novos locais com telemetria</t>
  </si>
  <si>
    <t xml:space="preserve">Plataforma B2B: ledger, pagamentos, KYC e portais (capitalizável)</t>
  </si>
  <si>
    <t xml:space="preserve">[E] reescrita clean-room de ledger, pagamentos e KYC. 30 §8.6</t>
  </si>
  <si>
    <t xml:space="preserve">Área de reporte a investidores (capitalizável; só depois do gate)</t>
  </si>
  <si>
    <t xml:space="preserve">[E] divisão da mesma despesa total; 0 em 2027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</si>
  <si>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</si>
  <si>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</si>
  <si>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</si>
  <si>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</si>
  <si>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</si>
  <si>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</si>
  <si>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</si>
  <si>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</si>
  <si>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</si>
  <si>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</si>
  <si>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</si>
  <si>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</si>
  <si>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</si>
  <si>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</si>
  <si>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</si>
  <si>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</si>
  <si>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</si>
  <si>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</si>
  <si>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</si>
  <si>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</si>
  <si>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</si>
  <si>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</si>
  <si>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</si>
  <si>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</si>
  <si>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</si>
  <si>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</si>
  <si>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</si>
  <si>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</si>
  <si>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</si>
  <si>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</si>
  <si>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</si>
  <si>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</si>
  <si>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</si>
  <si>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</si>
  <si>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</si>
  <si>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</si>
  <si>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</si>
  <si>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</si>
  <si>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</si>
  <si>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18 % 2027; 17 %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</si>
  <si>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</si>
  <si>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</si>
  <si>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</si>
  <si>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</si>
  <si>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</si>
  <si>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</si>
  <si>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</si>
  <si>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</si>
  <si>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</si>
  <si>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</si>
  <si>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</si>
  <si>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</si>
  <si>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</si>
  <si>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</si>
  <si>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</si>
  <si>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</si>
  <si>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</si>
  <si>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</si>
  <si>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</si>
  <si>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</si>
  <si>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</si>
  <si>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</si>
  <si>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</si>
  <si>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</si>
  <si>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</si>
  <si>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</si>
  <si>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</si>
  <si>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</si>
  <si>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</si>
  <si>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</si>
  <si>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Seguro de crédito imputado ao lote (no modelo: opex desde 2028, taxa proporcional)</t>
  </si>
  <si>
    <t xml:space="preserve">Margem depois do seguro de crédito</t>
  </si>
  <si>
    <t xml:space="preserve">Margem depois do seguro de crédito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</si>
  <si>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</si>
  <si>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</si>
  <si>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</si>
  <si>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fundo de maneio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</si>
  <si>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</si>
  <si>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</si>
  <si>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</si>
  <si>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28 %)</t>
  </si>
  <si>
    <t xml:space="preserve">Cupão pago no ciclo do lote</t>
  </si>
  <si>
    <t xml:space="preserve">Retorno bruto do investidor no ciclo (% das obrigações afetas ao lote)</t>
  </si>
  <si>
    <t xml:space="preserve">Retida na reserva de primeira perda (30 % da margem; teto 5 % das obrigações do lote)</t>
  </si>
  <si>
    <t xml:space="preserve">Margem livre para a OpCo depois da reserva</t>
  </si>
  <si>
    <t xml:space="preserve">Memo: KYC/KYB e screening das contrapartes do lote (no custo fixo de tecnologia)</t>
  </si>
  <si>
    <t xml:space="preserve">Memo: custo nocional do capital próprio (8 %/ano;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</si>
  <si>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</si>
  <si>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</si>
  <si>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</si>
  <si>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</si>
  <si>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</si>
  <si>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</si>
  <si>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</si>
  <si>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Seguro de crédito imputado (no modelo: opex)</t>
  </si>
  <si>
    <t xml:space="preserve">Sprout: margem depois do seguro de crédito</t>
  </si>
  <si>
    <t xml:space="preserve">Teste da tese literal do documento-fonte (lote HoReCa, por kg): captura de 80–90 % da margem do embalador + desconto de 10–15 %</t>
  </si>
  <si>
    <t xml:space="preserve">Margem líquida do embalador (média de 3 campanhas do Observatorio)</t>
  </si>
  <si>
    <t xml:space="preserve">Captura de 85 % (ponto médio de 80–90 %)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</si>
  <si>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</si>
  <si>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</si>
  <si>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</si>
  <si>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</si>
  <si>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</si>
  <si>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</si>
  <si>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</si>
  <si>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</si>
  <si>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</si>
  <si>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−30 % no preço: perda com 100 % do lote em aberto</t>
  </si>
  <si>
    <t xml:space="preserve">Idem com 15 % em aberto (política back-to-back)</t>
  </si>
  <si>
    <t xml:space="preserve">Perda com 100 % em aberto ÷ margem do lote</t>
  </si>
  <si>
    <t xml:space="preserve">Detenção de 18 meses sem cobertura: carry + VaR95 (σ 23 %) − margem</t>
  </si>
  <si>
    <t xml:space="preserve">% do lote</t>
  </si>
  <si>
    <t xml:space="preserve">40 §5.2 e §1.3; 01 §2.6. Não há futuros de azeite para cobrir esta perda.</t>
  </si>
  <si>
    <t xml:space="preserve">Idem com σ 42 %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</si>
  <si>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</si>
  <si>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</si>
  <si>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</si>
  <si>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</si>
  <si>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</si>
  <si>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</si>
  <si>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</si>
  <si>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</si>
  <si>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</si>
  <si>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</si>
  <si>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</si>
  <si>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Ponta a ponta no ano de regime, se for comprado e vendido como principal (por lote e por kg)</t>
  </si>
  <si>
    <t xml:space="preserve">C2. Granel certificado em corretagem com verificação (sem título, stock nem recebíveis de mercadoria; modelo do Recomendado)</t>
  </si>
  <si>
    <t xml:space="preserve">Valor do lote ao índice (faturado entre lagar e comprador)</t>
  </si>
  <si>
    <t xml:space="preserve">Comissão de corretagem e verificação</t>
  </si>
  <si>
    <t xml:space="preserve">Custódia, análises e pagamentos do lote</t>
  </si>
  <si>
    <t xml:space="preserve">Margem de contribuição da corretagem</t>
  </si>
  <si>
    <t xml:space="preserve">Margem por lote de 100 t</t>
  </si>
  <si>
    <t xml:space="preserve">D. Lote de água: 20 paletes (comparação principal vs. agente; recomendado: agente)</t>
  </si>
  <si>
    <t xml:space="preserve">Principal, desconto 10 %</t>
  </si>
  <si>
    <t xml:space="preserve">Principal, desconto 15 %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</si>
  <si>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</si>
  <si>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</si>
  <si>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</si>
  <si>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</si>
  <si>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</si>
  <si>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</si>
  <si>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</si>
  <si>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</si>
  <si>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</si>
  <si>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</si>
  <si>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</si>
  <si>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</si>
  <si>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10 %/ano); com o cupão de 8 % dá ~30 €: ver Fontes</t>
  </si>
  <si>
    <t xml:space="preserve">Provisão de crédito (0,6 %)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</si>
  <si>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</si>
  <si>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</si>
  <si>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</si>
  <si>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</si>
  <si>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</si>
  <si>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</si>
  <si>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</si>
  <si>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</si>
  <si>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</si>
  <si>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</si>
  <si>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</si>
  <si>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</si>
  <si>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dos quais comprados e vendidos como principal</t>
  </si>
  <si>
    <t xml:space="preserve">dos quais em corretagem com verificação (sem título nem stock)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</si>
  <si>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</si>
  <si>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</si>
  <si>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</si>
  <si>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</si>
  <si>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</si>
  <si>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</si>
  <si>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</si>
  <si>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</si>
  <si>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</si>
  <si>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</si>
  <si>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</si>
  <si>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</si>
  <si>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</si>
  <si>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</si>
  <si>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</si>
  <si>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</si>
  <si>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</si>
  <si>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</si>
  <si>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</si>
  <si>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</si>
  <si>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</si>
  <si>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corretagem e verificação: granel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</si>
  <si>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</si>
  <si>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</si>
  <si>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</si>
  <si>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</si>
  <si>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Memo: valor do granel em corretagem (ao índice; faturado entre lagar e comprador)</t>
  </si>
  <si>
    <t xml:space="preserve">GMV total (azeite + café + água + granel em corretagem)</t>
  </si>
  <si>
    <t xml:space="preserve">GMV sem granel certificado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</si>
  <si>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</si>
  <si>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</si>
  <si>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</si>
  <si>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</si>
  <si>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</si>
  <si>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</si>
  <si>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</si>
  <si>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</si>
  <si>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</si>
  <si>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</si>
  <si>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</si>
  <si>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</si>
  <si>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</si>
  <si>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23,75 % + 2 % e subsídio de refeição (cenário ativo).</t>
  </si>
  <si>
    <t xml:space="preserve">FTE por função</t>
  </si>
  <si>
    <t xml:space="preserve">CEO / comercial (fundador)</t>
  </si>
  <si>
    <t xml:space="preserve">CTO (fundador)</t>
  </si>
  <si>
    <t xml:space="preserve">Engenheiro(a) de software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</si>
  <si>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</si>
  <si>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</si>
  <si>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</si>
  <si>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</si>
  <si>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</si>
  <si>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</si>
  <si>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</si>
  <si>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</si>
  <si>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</si>
  <si>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</si>
  <si>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</si>
  <si>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</si>
  <si>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</si>
  <si>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</si>
  <si>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</si>
  <si>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</si>
  <si>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Tabela salarial (inputs em Pressupostos; valores de 2027)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</si>
  <si>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</si>
  <si>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</si>
  <si>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</si>
  <si>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</si>
  <si>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</si>
  <si>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FTE)</t>
  </si>
  <si>
    <t xml:space="preserve">sim (60 % até ao gate)</t>
  </si>
  <si>
    <t xml:space="preserve">não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</si>
  <si>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</si>
  <si>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</si>
  <si>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</si>
  <si>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</si>
  <si>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</si>
  <si>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</si>
  <si>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</si>
  <si>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</si>
  <si>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</si>
  <si>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</si>
  <si>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</si>
  <si>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</si>
  <si>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</si>
  <si>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Fundo de maneio por kg vendido</t>
  </si>
  <si>
    <t xml:space="preserve">Economia por kg: distribuidores/exportação</t>
  </si>
  <si>
    <t xml:space="preserve">Economia por kg: granel certificado</t>
  </si>
  <si>
    <t xml:space="preserve">Economia por kg: granel em corretagem com verificação</t>
  </si>
  <si>
    <t xml:space="preserve">Comissão de corretagem e verificação (% do valor ao índice)</t>
  </si>
  <si>
    <t xml:space="preserve">Custódia (collateral manager), análises e pagamentos do lote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</si>
  <si>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</si>
  <si>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</si>
  <si>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</si>
  <si>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</si>
  <si>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</si>
  <si>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</si>
  <si>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</si>
  <si>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</si>
  <si>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</si>
  <si>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Granel em corretagem: custódia, análises e pagamentos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</si>
  <si>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</si>
  <si>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</si>
  <si>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</si>
  <si>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</si>
  <si>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</si>
  <si>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</si>
  <si>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</si>
  <si>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séries, funções independentes e servicer de reserva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</si>
  <si>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</si>
  <si>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</si>
  <si>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</si>
  <si>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</si>
  <si>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B2B: ledger, pagamentos, KYC, portais (capitalizável)</t>
  </si>
  <si>
    <t xml:space="preserve">Área de reporte a investidores (capitalizável; depois do gate)</t>
  </si>
  <si>
    <t xml:space="preserve">Equipamento informático (novas FTE)</t>
  </si>
  <si>
    <t xml:space="preserve">Amortização: plataforma B2B</t>
  </si>
  <si>
    <t xml:space="preserve">Amortização: área de investidores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</si>
  <si>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</si>
  <si>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</si>
  <si>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</si>
  <si>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</si>
  <si>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</si>
  <si>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</si>
  <si>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</si>
  <si>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</si>
  <si>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</si>
  <si>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</si>
  <si>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</si>
  <si>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EBITDA, depois do cupão das obrigações (custo de financiar o stock)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</si>
  <si>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</si>
  <si>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</si>
  <si>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antes do cupão (juros abaixo do EBITDA,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</si>
  <si>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</si>
  <si>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</si>
  <si>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</si>
  <si>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</si>
  <si>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</si>
  <si>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65 % do lucro tributável)</t>
  </si>
  <si>
    <t xml:space="preserve">Prejuízos fiscais reportáveis no fim do ano</t>
  </si>
  <si>
    <t xml:space="preserve">Matéria coletável</t>
  </si>
  <si>
    <t xml:space="preserve">IRC (15 % até 50 000 €;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</si>
  <si>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</si>
  <si>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</si>
  <si>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</si>
  <si>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</si>
  <si>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</si>
  <si>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Fluxo de caixa</t>
  </si>
  <si>
    <t xml:space="preserve">Fundo de maneio por prazos médios, obrigações e caixa parada nas séries, fluxo de caixa para o acionista, caixa e rondas (cenário ativo).</t>
  </si>
  <si>
    <t xml:space="preserve">Fundo de maneio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</si>
  <si>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</si>
  <si>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</si>
  <si>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</si>
  <si>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</si>
  <si>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Fundo de maneio líquido</t>
  </si>
  <si>
    <t xml:space="preserve">Financiamento do fundo de maneio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</si>
  <si>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</si>
  <si>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</si>
  <si>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</si>
  <si>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Fundo de maneio financiado por capital próprio</t>
  </si>
  <si>
    <t xml:space="preserve">Capital social da SPV ainda em caixa (não aplicado em stock)</t>
  </si>
  <si>
    <t xml:space="preserve">Reserva de primeira perda (caixa restrita, 5 % das obrigações)</t>
  </si>
  <si>
    <t xml:space="preserve">Investidores estimados (obrigações ÷ ticket médio)</t>
  </si>
  <si>
    <t xml:space="preserve">Fluxo de caixa (€)</t>
  </si>
  <si>
    <t xml:space="preserve">EBITDA</t>
  </si>
  <si>
    <t xml:space="preserve">Imposto pago (no próprio ano; simplificação)</t>
  </si>
  <si>
    <t xml:space="preserve">Variação do fundo de maneio</t>
  </si>
  <si>
    <t xml:space="preserve">Fluxo de caixa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</si>
  <si>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</si>
  <si>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</si>
  <si>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</si>
  <si>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</si>
  <si>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Fluxo de caixa para o acionista</t>
  </si>
  <si>
    <t xml:space="preserve">Fluxo de caixa para o acionista acumulado</t>
  </si>
  <si>
    <t xml:space="preserve">Verificação: EBITDA − capex − imposto − Δ max(capital próprio no giro; capital SPV) − Δ reserva − fluxo de caixa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</si>
  <si>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</si>
  <si>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</si>
  <si>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</si>
  <si>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</si>
  <si>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</si>
  <si>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</si>
  <si>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</si>
  <si>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</si>
  <si>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</si>
  <si>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</si>
  <si>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</si>
  <si>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autonomia,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</si>
  <si>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</si>
  <si>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</si>
  <si>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</si>
  <si>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fluxo de caixa acumulado para o acionista</t>
  </si>
  <si>
    <t xml:space="preserve">Necessidade de capital próprio (pico no horizonte)</t>
  </si>
  <si>
    <t xml:space="preserve">Ano do mínimo do fluxo de caixa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</si>
  <si>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</si>
  <si>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</si>
  <si>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</si>
  <si>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</si>
  <si>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</si>
  <si>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</si>
  <si>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Fundo de maneio, reserva e caixa das séries a cargo do capital próprio</t>
  </si>
  <si>
    <t xml:space="preserve">Total = necessidade de capital próprio</t>
  </si>
  <si>
    <t xml:space="preserve">Pré-seed, autonomia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</si>
  <si>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</si>
  <si>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</si>
  <si>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fluxo de caixa de 2027)</t>
  </si>
  <si>
    <t xml:space="preserve">Caixa sem rondas adicionais (pré-seed − pré-arranque − SPV + fluxo de caixa acumulado)</t>
  </si>
  <si>
    <t xml:space="preserve">Mês em que a caixa sem rondas adicionais chega a zero (1 = jan. 2027)</t>
  </si>
  <si>
    <t xml:space="preserve">Autonomia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</si>
  <si>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</si>
  <si>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</si>
  <si>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</si>
  <si>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</si>
  <si>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</si>
  <si>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</si>
  <si>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</si>
  <si>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</si>
  <si>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</si>
  <si>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fluxo de caixa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</si>
  <si>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</si>
  <si>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</si>
  <si>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28 %)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</si>
  <si>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</si>
  <si>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</si>
  <si>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</si>
  <si>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Custo total do financiamento por obrigações (cupão + custos da SPV)</t>
  </si>
  <si>
    <t xml:space="preserve">Custo total em % das obrigações em circulação (média do ano)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</si>
  <si>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</si>
  <si>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</si>
  <si>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</si>
  <si>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</si>
  <si>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</si>
  <si>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por kg (principal: depois do seguro de crédito; corretagem: comissão líquida)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</si>
  <si>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</si>
  <si>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</si>
  <si>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</si>
  <si>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</si>
  <si>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</si>
  <si>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</si>
  <si>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</si>
  <si>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</si>
  <si>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</si>
  <si>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</si>
  <si>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</si>
  <si>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</si>
  <si>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 (principal)</t>
  </si>
  <si>
    <t xml:space="preserve">— comissões de corretagem do granel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</si>
  <si>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</si>
  <si>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</si>
  <si>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</si>
  <si>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</si>
  <si>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Fluxo de caixa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</si>
  <si>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</si>
  <si>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</si>
  <si>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autonomia</t>
  </si>
  <si>
    <t xml:space="preserve">Pré-arranque + capital da SPV + caixa mínima + vale do fluxo de caixa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</si>
  <si>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</si>
  <si>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</si>
  <si>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</si>
  <si>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Autonomia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</si>
  <si>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</si>
  <si>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</si>
  <si>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</si>
  <si>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</si>
  <si>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</si>
  <si>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</si>
  <si>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</si>
  <si>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</si>
  <si>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</si>
  <si>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</si>
  <si>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~169,5 kt de produção portuguesa (2025/26)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</si>
  <si>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</si>
  <si>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</si>
  <si>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</si>
  <si>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</si>
  <si>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</si>
  <si>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</si>
  <si>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</si>
  <si>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10 %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</si>
  <si>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</si>
  <si>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</si>
  <si>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</si>
  <si>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</si>
  <si>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</si>
  <si>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1 300 / 2 000</t>
  </si>
  <si>
    <t xml:space="preserve">40 / 150 / 400 / 700 / 1 000</t>
  </si>
  <si>
    <t xml:space="preserve">o segmento premium (HoReCa média/alta + gourmet) é subconjunto do SOM; o limite inferior do SOM (1 000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</si>
  <si>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</si>
  <si>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</si>
  <si>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</si>
  <si>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</si>
  <si>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</si>
  <si>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</si>
  <si>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~62 %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</si>
  <si>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</si>
  <si>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</si>
  <si>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1 500 / 2 500 / 3 500</t>
  </si>
  <si>
    <t xml:space="preserve">alavanca de escala: granel certificado (lote, ficha, custódia, telemetria) comprado back-to-back ao índice e vendido a embaladores/exportadores a índice + 0,15 EUR/kg; lote de 100 t com collateral manager 1 200 EUR e análises 600 EUR (os mesmos custos da verificação para terceiros); 3 500 t em 2031 = ~2,1 % da produção PT (~169,5 kt). Margem esperada 0,03-0,04 EUR/kg antes do seguro de crédito, dentro do intervalo 0-0,10 do JSON; o 40 estima margem bruta de trading de granel de 0,15-0,30 EUR/kg (usa-se 0,15, o ponto de encontro das duas fontes); revisão de 13-10-2026: modelado como corretagem com verificação (0,75 % do valor ao índice) até haver carta de intenções a &gt;= índice + 0,10 EUR/kg; a compra e venda como principal fica como caso de sensibilidade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</si>
  <si>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</si>
  <si>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0,4 % nas vendas HoReCa/distribuidores (sem granel)</t>
  </si>
  <si>
    <t xml:space="preserve">0,2 %</t>
  </si>
  <si>
    <t xml:space="preserve">compradores de granel são embaladores/exportadores, não restauração; o intervalo indicativo é 0,1-0,6 %, mais alto na restauração; usa-se metade da taxa do modelo (0,4 %) só sobre as vendas de granel em modo principal (caso de sensibilidade) Fonte: 40-risco-coberturas.md sec. 4.2</t>
  </si>
  <si>
    <t xml:space="preserve">commodities.agua.volume_paletes</t>
  </si>
  <si>
    <t xml:space="preserve">150 / 600 / 1 000 / 1 400 / 1 800</t>
  </si>
  <si>
    <t xml:space="preserve">36 / 135 / 360 / 630 / 900</t>
  </si>
  <si>
    <t xml:space="preserve">água só como produto de cesto para clientes HoReCa já ativos, em modelo agente (2 %,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</si>
  <si>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</si>
  <si>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</si>
  <si>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0,3 % das compras</t>
  </si>
  <si>
    <t xml:space="preserve">café adiado (EUDR para PME a 30-06-2027) e redefinido como sourcing de verde em EUR a importador UE operador EUDR, com forward EUR/USD (0,1-0,5 %) e ICE só acima de 50-100 t/ano Fonte: 40-risco-coberturas.md sec. 2.3-2.5; 00-base-factual.md sec. 3</t>
  </si>
  <si>
    <t xml:space="preserve">receitas.financiamento_stock_terceiros.pct_custo_verificacao_suportado_sprout</t>
  </si>
  <si>
    <t xml:space="preserve">100 %</t>
  </si>
  <si>
    <t xml:space="preserve">0 %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</si>
  <si>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</si>
  <si>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</si>
  <si>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</si>
  <si>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</si>
  <si>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</si>
  <si>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</si>
  <si>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</si>
  <si>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</si>
  <si>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1 000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</si>
  <si>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commodities.azeite.canais.granel_certificado.modo_principal / comissao_corretagem_verificacao_pct_valor</t>
  </si>
  <si>
    <t xml:space="preserve">n/a (sem granel)</t>
  </si>
  <si>
    <t xml:space="preserve">corretagem com verificação: 0,75 % do valor ao índice</t>
  </si>
  <si>
    <t xml:space="preserve">o 01 sec. 2.8 põe o granel em IBC 'com margem' fora do modelo de principal: é corretagem ao índice, e lagar e embalador podem negociar diretamente. Até haver carta de intenções a &gt;= índice + 0,10 EUR/kg, o Sprout cobra uma comissão abaixo do teto prático de 1 % e paga o collateral manager e as análises Fonte: 01-desenho-do-modelo.md sec. 2.8; 50-concorrencia.md sec. 2.2 [E, NV]; 00-base-factual.md sec. 8</t>
  </si>
  <si>
    <t xml:space="preserve">financiamento.pct_capital_giro_azeite_financiado_por_notes</t>
  </si>
  <si>
    <t xml:space="preserve">0 % / 90 % / 90 % / 90 % / 90 %</t>
  </si>
  <si>
    <t xml:space="preserve">0 % / 75 % / 75 % / 75 % / 75 %</t>
  </si>
  <si>
    <t xml:space="preserve">subordinado do patrocinador de 25 % em regime (advance rate de 75 %): o S5 de um book de 500 k EUR custa ~100 k EUR e excede uma almofada de 15 % em ~25 k EUR; com 25 % + reserva fica absorvido. Custa capital próprio (caso 'obrigações a 90 %' na Sensibilidade) Fonte: 01-desenho-do-modelo.md sec. 4.4; 40-risco-coberturas.md sec. 5.4</t>
  </si>
  <si>
    <t xml:space="preserve">financiamento.custos_spv.servicer_reserva_eur</t>
  </si>
  <si>
    <t xml:space="preserve">0</t>
  </si>
  <si>
    <t xml:space="preserve">10 000 EUR/ano desde 2028 [E, NV]</t>
  </si>
  <si>
    <t xml:space="preserve">servicer de reserva contratado e eventos de substituição do servicer: a SPV não pode depender só de uma OpCo com EBITDA negativo Fonte: revisão de 13-10-2026; estimativa sem cotação</t>
  </si>
  <si>
    <t xml:space="preserve">Não alterado</t>
  </si>
  <si>
    <t xml:space="preserve">índice do granel 3,50; desconto HoReCa 10 %; 0 % de desconto a distribuidores; cupão 8 % -&gt; 7 %; obrigações 0 % em 2027 (simplificação; CSC art. 348.º/2 [L]); utilização 80 %; custos e funções independentes da SPV; seguro de crédito 0,4 % nas vendas HoReCa e distribuidores; capex; caixa mínima; impostos; pré-seed de 1,1 M EUR</t>
  </si>
  <si>
    <t xml:space="preserve">Produto para investidores</t>
  </si>
  <si>
    <t xml:space="preserve">obrigações da Sprout Capital, SA (SPV PT) integralmente subscritas por clientes profissionais, sem revenda a não profissionais (CSC art. 349.º [L]: emissões só para investidores qualificados ficam fora do rácio de autonomia financeira de 35 %); retalho só mais tarde, como promotor numa ECSP de terceiros, com promotor diferente da SPV ou com autonomia financeira &gt;= 35 % (custo 10-13 %/ano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</si>
  <si>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</si>
  <si>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</si>
  <si>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Fluxo de caixa acumulado: folha Fluxo de caixa − Motor</t>
  </si>
  <si>
    <t xml:space="preserve">Necessidade de capital: folha Capital − Motor</t>
  </si>
  <si>
    <t xml:space="preserve">Verificações internas do Motor (margem e fluxo de caixa),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</si>
  <si>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</si>
  <si>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</si>
  <si>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</si>
  <si>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</si>
  <si>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</si>
  <si>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</si>
  <si>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</si>
  <si>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</si>
  <si>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</si>
  <si>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</si>
  <si>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</si>
  <si>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Fluxo de caixa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</si>
  <si>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</si>
  <si>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</si>
  <si>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</si>
  <si>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</si>
  <si>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repercussão proporcional)</t>
  </si>
  <si>
    <t xml:space="preserve">Topo dos intervalos: prémio de origem dos distribuidores, carteira de terceiros do otimista, volumes +30 %</t>
  </si>
  <si>
    <t xml:space="preserve">Cupão das obrigações</t>
  </si>
  <si>
    <t xml:space="preserve">Cenário Recomendado (reestruturado)</t>
  </si>
  <si>
    <t xml:space="preserve">A preços verificados: referência HoReCa do base, sem prémio dos distribuidores, sem verificação para terceiros nem dados</t>
  </si>
  <si>
    <t xml:space="preserve">Granel certificado como principal (índice + 0,15 €/kg)</t>
  </si>
  <si>
    <t xml:space="preserve">Obrigações a 90 % do fundo de maneio (subordinado de 10 %)</t>
  </si>
  <si>
    <t xml:space="preserve">Pagamento ao lagar a D5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</si>
  <si>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</si>
  <si>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</si>
  <si>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</si>
  <si>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</si>
  <si>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</si>
  <si>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80–90 % da margem do embalador não se paga um desconto de 10–15 % sobre a referência, nem sequer antes do cupão e dos custos da plataforma.</t>
  </si>
  <si>
    <t xml:space="preserve">Choque de −30 % no preço: perda pontual no stock de azeite (2031)</t>
  </si>
  <si>
    <t xml:space="preserve">Stock médio de azeite (€)</t>
  </si>
  <si>
    <t xml:space="preserve">Perda: 100 % em aberto (€)</t>
  </si>
  <si>
    <t xml:space="preserve">Perda: 15 % em aberto (€)</t>
  </si>
  <si>
    <t xml:space="preserve">Perda 100 % ÷ margem anual do azeite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</si>
  <si>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</si>
  <si>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</si>
  <si>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</si>
  <si>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</si>
  <si>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</si>
  <si>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</si>
  <si>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</si>
  <si>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</si>
  <si>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</si>
  <si>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</si>
  <si>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</si>
  <si>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</si>
  <si>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</si>
  <si>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</si>
  <si>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</si>
  <si>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</si>
  <si>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</si>
  <si>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</si>
  <si>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testes de esforço,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</si>
  <si>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</si>
  <si>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</si>
  <si>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</si>
  <si>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</si>
  <si>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</si>
  <si>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</si>
  <si>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</si>
  <si>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</si>
  <si>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</si>
  <si>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(contagem de fórmulas e de erros em resultados.json -&gt; verificacao; 0 erros depois de recalculado no LibreOffice) reproduz calculo_referencia.py nos três cenários do documento-fonte com desvio máximo de 0,01 % (EBITDA, GMV, margem, pessoal, opex, capex, fundo de maneio, obrigações, reserva, fluxo de caixa e necessidade de capital) e um espelho em Python do mesmo motor nos quatro cenários e em todos os casos de sensibilidade; o lote-tipo HoReCa de 2029 reproduz o 01 sec. 2.2 (0,347 €/kg; 6 943 €; cupão 959 €; obrigações 93 375 €; reserva 2 083 €; repartição de Π 46/4/21/28 %); referência HoReCa 6,00 no base = +128k de EBITDA em 2031, como no 01 sec. 7.4. Ver resultados.json -&gt; verificacao.</t>
  </si>
  <si>
    <t xml:space="preserve">Água, lote de 20 paletes (01 sec. 2.7): o financiamento de 38 EUR implica ~10 %/ano; com o cupão base de 8 %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</si>
  <si>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</si>
  <si>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1 300 contas (433 por gestor) contra a regra de ~400; diferença dentro do arredondamento ('~400'); não alterado.</t>
  </si>
  <si>
    <t xml:space="preserve">Perda potencial de deter stock 18 meses sem cobertura: carry 19,8 % + VaR95 37-57 % - margem do lote. Com a margem base (6,8 %) dá 50-70 % (01 sec. 2.6); o intervalo 45-65 % só sai com margem de ~12 % (referência 6,00). Usar 50-70 % no caso base.</t>
  </si>
  <si>
    <t xml:space="preserve">Brasil: Portugal tem ~62 % das importações de azeite do Brasil; não é o Brasil que compra 62 % das exportações portuguesas (00 sec. 1.7).</t>
  </si>
  <si>
    <t xml:space="preserve">Revisão de 13-10-2026 (2.ª): produção PT de referência 169,5 kt (ponto médio correto de 160 e 179; antes 175); granel do recomendado em corretagem com verificação; obrigações do recomendado a 75 % do fundo de maneio; servicer de reserva; piloto com 17 t de offtake e 3 t HoReCa em aberto autorizado; capex da área de investidor separado e adiado para depois do gate; seguro de crédito imputado por kg nos lotes-tipo; casos novos na Sensibilidade (a preços verificados, granel como principal, obrigações a 90 %, pagamento ao lagar a D5, cupão de 10 % e 12 %).</t>
  </si>
  <si>
    <t xml:space="preserve">Correção de leitura (Brasil)</t>
  </si>
  <si>
    <t xml:space="preserve">a investigação diz que Portugal tem ~62 % das importações de azeite do Brasil (2025/26), não que o Brasil compra 62 % das exportações portuguesas: por volume, o 1.º destino é Espanha (37 %,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</si>
  <si>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</si>
  <si>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</si>
  <si>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</si>
  <si>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13-10-2026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</si>
  <si>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</si>
  <si>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</si>
  <si>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</si>
  <si>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2 200 t (~1,3 % de ~169,5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1 000-2 000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</si>
  <si>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</si>
  <si>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74 524 empresas, 91 % micro (https://tnews.pt/ahresp-setor-da-restauracao-revela-se-instavel-em-2024-devido-a-localizacao-dos-negocios/); 2 000 contas em 2031 = 2,7 %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</si>
  <si>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</si>
  <si>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</si>
  <si>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(10-15 %); base no limite inferior porque, com referência 5,65, 15 % leva a margem de contribuição HoReCa a ~1,4 %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</si>
  <si>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</si>
  <si>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</si>
  <si>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</si>
  <si>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</si>
  <si>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</si>
  <si>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11 %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</si>
  <si>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</si>
  <si>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</si>
  <si>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</si>
  <si>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1 790 t)</t>
  </si>
  <si>
    <t xml:space="preserve">commodities.azeite.canais.distribuidores_export.desconto_efetivo</t>
  </si>
  <si>
    <t xml:space="preserve">0 %: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</si>
  <si>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</si>
  <si>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</si>
  <si>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</si>
  <si>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0,1-0,3 %/ano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</si>
  <si>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</si>
  <si>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</si>
  <si>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</si>
  <si>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3 %/5 %/15 %/30 %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</si>
  <si>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</si>
  <si>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</si>
  <si>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</si>
  <si>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</si>
  <si>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</si>
  <si>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~2 000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</si>
  <si>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</si>
  <si>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</si>
  <si>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</si>
  <si>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2 %, intervalo 0,5-3 % (marketplace B2B agente em commodity, 50-concorrencia.md sec. 8, não verificado); 4-5 % só com cotação real de um engarrafador</t>
  </si>
  <si>
    <t xml:space="preserve">commodities.agua.deposito_sdr_eur_por_embalagem</t>
  </si>
  <si>
    <t xml:space="preserve">SDR em vigor desde 10-04-2026, 0,10 EUR por embalagem &lt; 3 L (https://www.ambienteonline.pt/destaques/sistema-de-deposito-e-reembolso-arranca-a-10-de-abril-de-2026)</t>
  </si>
  <si>
    <t xml:space="preserve">estimativa: piloto 60 paletes (25 HoReCa x 1 500-2 500 L por semestre = 37 500-62 500 L; 3 000-5 000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</si>
  <si>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</si>
  <si>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30-12-2026 (grandes/médios) e 30-06-2027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</si>
  <si>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</si>
  <si>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09-10-2026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</si>
  <si>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</si>
  <si>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~11 %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</si>
  <si>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</si>
  <si>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26-06-2026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</si>
  <si>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</si>
  <si>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</si>
  <si>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</si>
  <si>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1-2 % do lote financiado (50-concorrencia.md sec. 12.2); banco parceiro como mutuante por causa da reserva de atividade de crédito (RGICSF; 40-risco-coberturas.md sec. 5.3); custos diretos de verificação de 0,018 EUR/kg verificado (collateral manager 1 200 + análises 600 EUR por lote de 100 t) a LTV 60-65 %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</si>
  <si>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</si>
  <si>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</si>
  <si>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</si>
  <si>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8 %/ano usado no modelo de carry (40-risco-coberturas.md sec. 5.2); custo ECSP de retalho 10-13 %/ano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</si>
  <si>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</si>
  <si>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</si>
  <si>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</si>
  <si>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10 % skin in the game) em regime; 1.ª série 33 % porque o subordinado é o capital social da SPV (50k) e a reserva começa vazia (stress test em 01-desenho-do-modelo.md sec. 4.4) Recomendado: 25 % em regime (obrigações a 75 % do fundo de maneio), porque o S5 de um book de regime de 500 k EUR (~100 k EUR, 01 sec. 4.4) excede uma almofada de 15 % em ~25 k EUR; com 25 % + reserva fica absorvido</t>
  </si>
  <si>
    <t xml:space="preserve">financiamento.reserva_primeira_perda</t>
  </si>
  <si>
    <t xml:space="preserve">40-risco-coberturas.md sec. 5.3 (P3: 30 % da margem bruta do lote, teto 5 % do saldo vivo)</t>
  </si>
  <si>
    <t xml:space="preserve">financiamento.extensao</t>
  </si>
  <si>
    <t xml:space="preserve">40-risco-coberturas.md sec. 5.3 (P5) e sec. 8 (playbook): uma extensão de 6 meses, step-up +200-300 p.b., cash sweep 100 %</t>
  </si>
  <si>
    <t xml:space="preserve">financiamento.retorno_investidor</t>
  </si>
  <si>
    <t xml:space="preserve">taxa liberatória de 28 % sobre juros (singulares) e retenção de 25 %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</si>
  <si>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</si>
  <si>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</si>
  <si>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</si>
  <si>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</si>
  <si>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</si>
  <si>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</si>
  <si>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</si>
  <si>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0,1-0,6 %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</si>
  <si>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</si>
  <si>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37 500 lb (https://www.ice.com/products/15/Coffee-C-Futures); limite de 30 % da margem bruta (40-risco-coberturas.md sec. 7)</t>
  </si>
  <si>
    <t xml:space="preserve">custos.pessoal.tsu_entidade_empregadora</t>
  </si>
  <si>
    <t xml:space="preserve">Código Contributivo, taxa contributiva global 34,75 % (23,75 %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</si>
  <si>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</si>
  <si>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</si>
  <si>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</si>
  <si>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</si>
  <si>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</si>
  <si>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</si>
  <si>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</si>
  <si>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</si>
  <si>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</si>
  <si>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3 000-9 000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</si>
  <si>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</si>
  <si>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</si>
  <si>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</si>
  <si>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</si>
  <si>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</si>
  <si>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6 % (https://info.portaldasfinancas.gov.pt/pt/informacao_fiscal/informacoes_vinculativas/despesa/civa/Documents/PIV_29955.pdf); água 13 % (informação vinculativa 10884, http://www.fa-cont.com/INFORMACAO%20VINCULATIVA%2010884%20IVA%20AGUA%20GAS%20NATURAL%2013%25.pdf); café 23 % inferido (20-regulatorio.md sec. 8.6)</t>
  </si>
  <si>
    <t xml:space="preserve">impostos.irc_taxa_geral</t>
  </si>
  <si>
    <t xml:space="preserve">conhecimento de referência [L]: redução de 1 p.p./ano aprovada em 2025 (19 % 2026, 18 % 2027, 17 %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</si>
  <si>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</si>
  <si>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</si>
  <si>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</si>
  <si>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1,5 % do lucro tributável [L]</t>
  </si>
  <si>
    <t xml:space="preserve">impostos.derrama_estadual</t>
  </si>
  <si>
    <t xml:space="preserve">CIRC art. 87.º-A [L]: 3 % / 5 % / 9 % acima de 1,5 / 7,5 / 35 MEUR</t>
  </si>
  <si>
    <t xml:space="preserve">impostos.reporte_prejuizos</t>
  </si>
  <si>
    <t xml:space="preserve">OE2023 [L]: sem limite temporal, dedução até 65 % do lucro tributável</t>
  </si>
  <si>
    <t xml:space="preserve">stress_tests</t>
  </si>
  <si>
    <t xml:space="preserve">40-risco-coberturas.md sec. 1.3 (volatilidade, VaR) e sec. 5.2-5.4 (carry e testes de esforço);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</si>
  <si>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</si>
  <si>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3 000-5 000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</si>
  <si>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</si>
  <si>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60 % até ao gate; opex com contingência e inflação, custos da SPV e seguro de crédito; fundo de maneio por dias de stock médio; obrigações = % do fundo de maneio / utilização; capital próprio no fundo de maneio &gt;= capital social da SPV; reserva = 5 % das obrigações; impostos com reporte de prejuízos a 65 %)</t>
  </si>
  <si>
    <t xml:space="preserve">estimativa [E]: piloto 33 clientes (fev.-jul. 2027); base dentro do SOM do ano 3 (1 000-2 000 clientes, 10-mercado.md sec. 5); otimista 3 000 em 2031 (4 %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</si>
  <si>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</si>
  <si>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</si>
  <si>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</si>
  <si>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</si>
  <si>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</si>
  <si>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2 000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</si>
  <si>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</si>
  <si>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</si>
  <si>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</si>
  <si>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</si>
  <si>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CSC art. 348.º/2 [L, redação a reconfirmar no DRE: https://diariodarepublica.pt/dr/legislacao-consolidada/decreto-lei/1986-34443975]: só emitem obrigações sociedades registadas há mais de 1 ano, salvo exceções (fusão/cisão; maioria pública; garantia de instituição de crédito ou do Estado; e, na redação do DL 26/2015, informação financeira auditada reportada a data não superior a 3 meses; n.º 3: dispensa por portaria). CSC art. 349.º [L]: rácio de autonomia financeira &gt;= 35 % depois da emissão, salvo exceções (emissões só para investidores qualificados; valor nominal &gt;= 100 000 EUR; notação de risco). RGICSF art. 9.º só cobre obrigações 'nos termos e limites do CSC'. Modelo: 2027 = 0 %; base 90 %; recomendado 75 % (subordinado de 25 %)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</si>
  <si>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</si>
  <si>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50 000 EUR (CSC art. 276.º/5) e realização mínima de 30 %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</si>
  <si>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</si>
  <si>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1 200 EUR e análises 600 EUR (os mesmos custos da verificação para terceiros); 3 500 t em 2031 = ~2,1 % da produção PT (~169,5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receitas.financiamento_stock_terceiros.nota_custos. Revisão de 13-10-2026: o 01 sec. 2.8 põe o granel em IBC 'com margem' fora do modelo de principal (é corretagem ao índice); o recomendado modela-o como corretagem com verificação (0,75 % do valor ao índice) e o modelo de principal passa a caso de sensibilidade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</si>
  <si>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</si>
  <si>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</si>
  <si>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</si>
  <si>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~169,5 kt [E]: ponto médio de 160 (Olivum) e 179 (Governo) para 2025/26, intervalo 160-179; 177 kt em 2024/25 (00-base-factual.md sec. 1.1). Usado só para quotas de produção e para o bolo a montante; não entra no EBITDA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</si>
  <si>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</si>
  <si>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80-90 % capturados e 10-15 % de desconto</t>
  </si>
  <si>
    <t xml:space="preserve">commodities.agua.lote_tipo</t>
  </si>
  <si>
    <t xml:space="preserve">01-desenho-do-modelo.md sec. 2.7 (comparação principal vs agente); o financiamento usa o cupão base de 2027 (8 %) sobre stock + depósitos SDR durante 30 dias = 30 EUR; o 01 indica 38 EUR (equivale a ~10 %/ano):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</si>
  <si>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</si>
  <si>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0,1-0,5 % [E/NV]; ICE &lt; 0,5 % do nocional por semestre; 0 nos cenários do documento-fonte (compra a preço fixo em EUR, custo incorporado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</si>
  <si>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</si>
  <si>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</si>
  <si>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</si>
  <si>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</si>
  <si>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</si>
  <si>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0,1-0,6 %, mais alto na restauração; usa-se metade da taxa do modelo (0,4 %)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</si>
  <si>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</si>
  <si>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</si>
  <si>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</si>
  <si>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(1 - 30 %), com embalamento, logística e custos fixos inalterados (repercussão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</si>
  <si>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</si>
  <si>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</si>
  <si>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</si>
  <si>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</si>
  <si>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capex.plataforma_area_investidor_capitalizavel_eur</t>
  </si>
  <si>
    <t xml:space="preserve">plataforma_desenvolvimento_capitalizavel_eur = ledger, pagamentos, KYC e portais B2B (reescrita clean-room, 30 sec. 8.6); plataforma_area_investidor_capitalizavel_eur = área de reporte a investidores profissionais, só depois do gate e do parecer (0 em 2027). Divisão [E] da mesma despesa total da versão anterior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</si>
  <si>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</si>
  <si>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</si>
  <si>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</si>
  <si>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</si>
  <si>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</si>
  <si>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</si>
  <si>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</si>
  <si>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</si>
  <si>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</si>
  <si>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</si>
  <si>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v_gp_t</t>
  </si>
  <si>
    <t xml:space="preserve">v_gc_t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</si>
  <si>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</si>
  <si>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</si>
  <si>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</si>
  <si>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</si>
  <si>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</si>
  <si>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</si>
  <si>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</si>
  <si>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</si>
  <si>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</si>
  <si>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</si>
  <si>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</si>
  <si>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</si>
  <si>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</si>
  <si>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</si>
  <si>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</si>
  <si>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</si>
  <si>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</si>
  <si>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</si>
  <si>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</si>
  <si>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</si>
  <si>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</si>
  <si>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</si>
  <si>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</si>
  <si>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</si>
  <si>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</si>
  <si>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</si>
  <si>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</si>
  <si>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</si>
  <si>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</si>
  <si>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</si>
  <si>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</si>
  <si>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</si>
  <si>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</si>
  <si>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</si>
  <si>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</si>
  <si>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</si>
  <si>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</si>
  <si>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</si>
  <si>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</si>
  <si>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</si>
  <si>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</si>
  <si>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</si>
  <si>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</si>
  <si>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</si>
  <si>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</si>
  <si>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</si>
  <si>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</si>
  <si>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</si>
  <si>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</si>
  <si>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</si>
  <si>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</si>
  <si>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</si>
  <si>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</si>
  <si>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</si>
  <si>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</si>
  <si>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</si>
  <si>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</si>
  <si>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</si>
  <si>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</si>
  <si>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</si>
  <si>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</si>
  <si>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</si>
  <si>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</si>
  <si>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</si>
  <si>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</si>
  <si>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</si>
  <si>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</si>
  <si>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</si>
  <si>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</si>
  <si>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</si>
  <si>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</si>
  <si>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</si>
  <si>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</si>
  <si>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</si>
  <si>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</si>
  <si>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</si>
  <si>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</si>
  <si>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</si>
  <si>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</si>
  <si>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</si>
  <si>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</si>
  <si>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Custos · Economia por kg: granel em corretagem com verificação</t>
  </si>
  <si>
    <t xml:space="preserve">gc_com</t>
  </si>
  <si>
    <t xml:space="preserve">gc_custo</t>
  </si>
  <si>
    <t xml:space="preserve">gc_margem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</si>
  <si>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</si>
  <si>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</si>
  <si>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</si>
  <si>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</si>
  <si>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</si>
  <si>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</si>
  <si>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</si>
  <si>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</si>
  <si>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r_gc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</si>
  <si>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</si>
  <si>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</si>
  <si>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</si>
  <si>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</si>
  <si>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gmv_gc</t>
  </si>
  <si>
    <t xml:space="preserve">gmv_total</t>
  </si>
  <si>
    <t xml:space="preserve">gmv_sem_granel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</si>
  <si>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</si>
  <si>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</si>
  <si>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</si>
  <si>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</si>
  <si>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</si>
  <si>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</si>
  <si>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</si>
  <si>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</si>
  <si>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</si>
  <si>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</si>
  <si>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</si>
  <si>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</si>
  <si>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</si>
  <si>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</si>
  <si>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</si>
  <si>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</si>
  <si>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</si>
  <si>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</si>
  <si>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</si>
  <si>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</si>
  <si>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</si>
  <si>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</si>
  <si>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</si>
  <si>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</si>
  <si>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</si>
  <si>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</si>
  <si>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</si>
  <si>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</si>
  <si>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cv_gc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</si>
  <si>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</si>
  <si>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</si>
  <si>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</si>
  <si>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</si>
  <si>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</si>
  <si>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</si>
  <si>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</si>
  <si>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</si>
  <si>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</si>
  <si>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</si>
  <si>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</si>
  <si>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</si>
  <si>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</si>
  <si>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</si>
  <si>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</si>
  <si>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</si>
  <si>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</si>
  <si>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</si>
  <si>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</si>
  <si>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</si>
  <si>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</si>
  <si>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</si>
  <si>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</si>
  <si>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</si>
  <si>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</si>
  <si>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</si>
  <si>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</si>
  <si>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</si>
  <si>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</si>
  <si>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</si>
  <si>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</si>
  <si>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</si>
  <si>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</si>
  <si>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</si>
  <si>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</si>
  <si>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</si>
  <si>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</si>
  <si>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</si>
  <si>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</si>
  <si>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</si>
  <si>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</si>
  <si>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</si>
  <si>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</si>
  <si>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</si>
  <si>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</si>
  <si>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</si>
  <si>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</si>
  <si>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</si>
  <si>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</si>
  <si>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</si>
  <si>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</si>
  <si>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</si>
  <si>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</si>
  <si>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</si>
  <si>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</si>
  <si>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cx_plat_inv</t>
  </si>
  <si>
    <t xml:space="preserve">cx_eq</t>
  </si>
  <si>
    <t xml:space="preserve">capex</t>
  </si>
  <si>
    <t xml:space="preserve">da_plat</t>
  </si>
  <si>
    <t xml:space="preserve">da_plat_inv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</si>
  <si>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</si>
  <si>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</si>
  <si>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</si>
  <si>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</si>
  <si>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</si>
  <si>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</si>
  <si>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</si>
  <si>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</si>
  <si>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</si>
  <si>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</si>
  <si>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</si>
  <si>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</si>
  <si>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</si>
  <si>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</si>
  <si>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</si>
  <si>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</si>
  <si>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</si>
  <si>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</si>
  <si>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</si>
  <si>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</si>
  <si>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</si>
  <si>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</si>
  <si>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</si>
  <si>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</si>
  <si>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</si>
  <si>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</si>
  <si>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</si>
  <si>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</si>
  <si>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</si>
  <si>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</si>
  <si>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</si>
  <si>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</si>
  <si>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Fluxo de caixa · Fundo de maneio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</si>
  <si>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</si>
  <si>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</si>
  <si>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</si>
  <si>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</si>
  <si>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</si>
  <si>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Fluxo de caixa · Financiamento do fundo de maneio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</si>
  <si>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</si>
  <si>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</si>
  <si>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</si>
  <si>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</si>
  <si>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</si>
  <si>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</si>
  <si>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</si>
  <si>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Fluxo de caixa · Fluxo de caixa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</si>
  <si>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</si>
  <si>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</si>
  <si>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</si>
  <si>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</si>
  <si>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</si>
  <si>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</si>
  <si>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</si>
  <si>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</si>
  <si>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</si>
  <si>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</si>
  <si>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</si>
  <si>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</si>
  <si>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Fluxo de caixa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</si>
  <si>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</si>
  <si>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</si>
  <si>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</si>
  <si>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</si>
  <si>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</si>
  <si>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</si>
  <si>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</si>
  <si>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</si>
  <si>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</si>
  <si>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</si>
  <si>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</si>
  <si>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</si>
  <si>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</si>
  <si>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</si>
  <si>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</si>
  <si>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</si>
  <si>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</si>
  <si>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</si>
  <si>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</si>
  <si>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</si>
  <si>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</si>
  <si>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</si>
  <si>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</si>
  <si>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</si>
  <si>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</si>
  <si>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</si>
  <si>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autonomia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</si>
  <si>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</si>
  <si>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</si>
  <si>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</si>
  <si>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</si>
  <si>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</si>
  <si>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b_autonomia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</si>
  <si>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</si>
  <si>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</si>
  <si>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</si>
  <si>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</si>
  <si>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</si>
  <si>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</si>
  <si>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</si>
  <si>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</si>
  <si>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</si>
  <si>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</si>
  <si>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</si>
  <si>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</si>
  <si>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</si>
  <si>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</si>
  <si>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</si>
  <si>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</si>
  <si>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</si>
  <si>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fc_custo</t>
  </si>
  <si>
    <t xml:space="preserve">fc_pct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</si>
  <si>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</si>
  <si>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</si>
  <si>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</si>
  <si>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</si>
  <si>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</si>
  <si>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</si>
  <si>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</si>
  <si>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</si>
  <si>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</si>
  <si>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</si>
  <si>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</si>
  <si>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</si>
  <si>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</si>
  <si>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</si>
  <si>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</si>
  <si>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</si>
  <si>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</si>
  <si>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</si>
  <si>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</si>
  <si>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Base · topo dos intervalos (prémio 0,20; carteira do otimista; volumes +30 %)</t>
  </si>
  <si>
    <t xml:space="preserve">Bloco: Base · cupão das obrigações caso 1</t>
  </si>
  <si>
    <t xml:space="preserve">Bloco: Base · cupão das obrigações caso 2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</si>
  <si>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</si>
  <si>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</si>
  <si>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</si>
  <si>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</si>
  <si>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</si>
  <si>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</si>
  <si>
    <t xml:space="preserve">Bloco: Recomendado (reestruturado) · topo dos intervalos (prémio 0,20; carteira do otimista; volumes +30 %)</t>
  </si>
  <si>
    <t xml:space="preserve">Bloco: Recomendado (reestruturado) · cupão das obrigações caso 1</t>
  </si>
  <si>
    <t xml:space="preserve">Bloco: Recomendado (reestruturado) · cupão das obrigações caso 2</t>
  </si>
  <si>
    <t xml:space="preserve">Bloco: Recomendado (reestruturado) · a preços verificados (referência HoReCa do base; sem prémio dos distribuidores; sem verificação para terceiros nem dados)</t>
  </si>
  <si>
    <t xml:space="preserve">Bloco: Recomendado (reestruturado) · granel certificado como principal (índice + 0,15)</t>
  </si>
  <si>
    <t xml:space="preserve">Bloco: Recomendado (reestruturado) · obrigações a 90 % do fundo de maneio (subordinado de 10 %)</t>
  </si>
  <si>
    <t xml:space="preserve">Bloco: Recomendado (reestruturado) · pagamento ao lagar a D5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</si>
</sst>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−#,##0;0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;\(#,##0\);\-"/>
    <numFmt numFmtId="173" formatCode="#,##0.0;\(#,##0.0\);\-"/>
    <numFmt numFmtId="174" formatCode="0.000;\(0.000\);\-"/>
    <numFmt numFmtId="175" formatCode="0.00"/>
    <numFmt numFmtId="176" formatCode="0.0;\(0.0\);\-"/>
    <numFmt numFmtId="177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E8E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true"/>
  </sheetPr>
  <dimension ref="A1:G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20"/>
    <col collapsed="false" customWidth="true" hidden="false" outlineLevel="0" max="7" min="7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</row>
    <row r="6" customFormat="false" ht="15" hidden="false" customHeight="false" outlineLevel="0" collapsed="false">
      <c r="A6" s="7" t="s">
        <v>10</v>
      </c>
      <c r="B6" s="8" t="s">
        <v>11</v>
      </c>
      <c r="C6" s="9" t="n">
        <f aca="false">Cenários!C74</f>
        <v>-709085.940416667</v>
      </c>
      <c r="D6" s="9" t="n">
        <f aca="false">Cenários!C75</f>
        <v>-711437.451832192</v>
      </c>
      <c r="E6" s="9" t="n">
        <f aca="false">Cenários!C76</f>
        <v>-706359.981877854</v>
      </c>
      <c r="F6" s="10" t="n">
        <f aca="false">Cenários!C77</f>
        <v>-586332.91635274</v>
      </c>
      <c r="G6" s="9" t="n">
        <f aca="false">Motor!$C$7347</f>
        <v>-594084.81835274</v>
      </c>
    </row>
    <row r="7" customFormat="false" ht="15" hidden="false" customHeight="false" outlineLevel="0" collapsed="false">
      <c r="A7" s="7" t="s">
        <v>12</v>
      </c>
      <c r="B7" s="8" t="s">
        <v>11</v>
      </c>
      <c r="C7" s="9" t="n">
        <f aca="false">Cenários!G74</f>
        <v>-931281.492192886</v>
      </c>
      <c r="D7" s="9" t="n">
        <f aca="false">Cenários!G75</f>
        <v>-1219975.89659631</v>
      </c>
      <c r="E7" s="9" t="n">
        <f aca="false">Cenários!G76</f>
        <v>-906159.632961748</v>
      </c>
      <c r="F7" s="10" t="n">
        <f aca="false">Cenários!G77</f>
        <v>-598542.140916074</v>
      </c>
      <c r="G7" s="9" t="n">
        <f aca="false">Motor!$G$7347</f>
        <v>-970218.390916074</v>
      </c>
    </row>
    <row r="8" customFormat="false" ht="15" hidden="false" customHeight="false" outlineLevel="0" collapsed="false">
      <c r="A8" s="7" t="s">
        <v>13</v>
      </c>
      <c r="B8" s="8" t="s">
        <v>11</v>
      </c>
      <c r="C8" s="9" t="n">
        <f aca="false">Cenários!G78</f>
        <v>-953731.492192886</v>
      </c>
      <c r="D8" s="9" t="n">
        <f aca="false">Cenários!G79</f>
        <v>-1261509.22992964</v>
      </c>
      <c r="E8" s="9" t="n">
        <f aca="false">Cenários!G80</f>
        <v>-967992.966295082</v>
      </c>
      <c r="F8" s="10" t="n">
        <f aca="false">Cenários!G81</f>
        <v>-638325.474249407</v>
      </c>
      <c r="G8" s="9" t="n">
        <f aca="false">Motor!$G$7365</f>
        <v>-1010001.72424941</v>
      </c>
    </row>
    <row r="9" customFormat="false" ht="15" hidden="false" customHeight="false" outlineLevel="0" collapsed="false">
      <c r="A9" s="7" t="s">
        <v>14</v>
      </c>
      <c r="B9" s="8" t="s">
        <v>11</v>
      </c>
      <c r="C9" s="9" t="n">
        <f aca="false">Cenários!G10</f>
        <v>2823480</v>
      </c>
      <c r="D9" s="9" t="n">
        <f aca="false">Cenários!G11</f>
        <v>11142350</v>
      </c>
      <c r="E9" s="9" t="n">
        <f aca="false">Cenários!G12</f>
        <v>17469500</v>
      </c>
      <c r="F9" s="10" t="n">
        <f aca="false">Cenários!G13</f>
        <v>21958000</v>
      </c>
      <c r="G9" s="9" t="n">
        <f aca="false">Motor!$G$7243</f>
        <v>21714425</v>
      </c>
    </row>
    <row r="10" customFormat="false" ht="15" hidden="false" customHeight="false" outlineLevel="0" collapsed="false">
      <c r="A10" s="7" t="s">
        <v>15</v>
      </c>
      <c r="B10" s="8" t="s">
        <v>11</v>
      </c>
      <c r="C10" s="9" t="n">
        <f aca="false">Cenários!G86</f>
        <v>-4277080.64549146</v>
      </c>
      <c r="D10" s="9" t="n">
        <f aca="false">Cenários!G87</f>
        <v>-5213753.67227711</v>
      </c>
      <c r="E10" s="9" t="n">
        <f aca="false">Cenários!G88</f>
        <v>-4836437.53341978</v>
      </c>
      <c r="F10" s="10" t="n">
        <f aca="false">Cenários!G89</f>
        <v>-3926885.58765124</v>
      </c>
      <c r="G10" s="9" t="n">
        <f aca="false">Motor!$G$7391</f>
        <v>-4711095.42411185</v>
      </c>
    </row>
    <row r="11" customFormat="false" ht="15" hidden="false" customHeight="false" outlineLevel="0" collapsed="false">
      <c r="A11" s="11" t="s">
        <v>16</v>
      </c>
      <c r="B11" s="8" t="s">
        <v>11</v>
      </c>
      <c r="C11" s="12" t="n">
        <f aca="false">Cenários!C117</f>
        <v>4572080.64549146</v>
      </c>
      <c r="D11" s="12" t="n">
        <f aca="false">Cenários!D117</f>
        <v>5508753.67227711</v>
      </c>
      <c r="E11" s="12" t="n">
        <f aca="false">Cenários!E117</f>
        <v>5131437.53341978</v>
      </c>
      <c r="F11" s="12" t="n">
        <f aca="false">Cenários!F117</f>
        <v>4221885.58765124</v>
      </c>
      <c r="G11" s="13" t="n">
        <f aca="false">Motor!$C$7408</f>
        <v>5006095.42411185</v>
      </c>
    </row>
    <row r="12" customFormat="false" ht="15" hidden="false" customHeight="false" outlineLevel="0" collapsed="false">
      <c r="A12" s="7" t="s">
        <v>17</v>
      </c>
      <c r="B12" s="8" t="s">
        <v>18</v>
      </c>
      <c r="C12" s="14" t="str">
        <f aca="false">Cenários!C121</f>
        <v>não atinge até 2031</v>
      </c>
      <c r="D12" s="14" t="str">
        <f aca="false">Cenários!D121</f>
        <v>não atinge até 2031</v>
      </c>
      <c r="E12" s="14" t="str">
        <f aca="false">Cenários!E121</f>
        <v>não atinge até 2031</v>
      </c>
      <c r="F12" s="14" t="str">
        <f aca="false">Cenários!F121</f>
        <v>não atinge até 2031</v>
      </c>
      <c r="G12" s="14" t="str">
        <f aca="false">Motor!$C$7430</f>
        <v>não atinge até 2031</v>
      </c>
    </row>
    <row r="13" customFormat="false" ht="15" hidden="false" customHeight="false" outlineLevel="0" collapsed="false">
      <c r="A13" s="7" t="s">
        <v>19</v>
      </c>
      <c r="B13" s="8" t="s">
        <v>20</v>
      </c>
      <c r="C13" s="15" t="str">
        <f aca="false">Cenários!C123</f>
        <v>não atinge até 2031</v>
      </c>
      <c r="D13" s="15" t="str">
        <f aca="false">Cenários!D123</f>
        <v>não atinge até 2031</v>
      </c>
      <c r="E13" s="15" t="str">
        <f aca="false">Cenários!E123</f>
        <v>não atinge até 2031</v>
      </c>
      <c r="F13" s="15" t="str">
        <f aca="false">Cenários!F123</f>
        <v>não atinge até 2031</v>
      </c>
      <c r="G13" s="15" t="str">
        <f aca="false">Motor!$C$7436</f>
        <v>não atinge até 2031</v>
      </c>
    </row>
    <row r="14" customFormat="false" ht="15" hidden="false" customHeight="false" outlineLevel="0" collapsed="false">
      <c r="A14" s="7" t="s">
        <v>21</v>
      </c>
      <c r="C14" s="16" t="str">
        <f aca="false">Cenários!C161</f>
        <v>OK</v>
      </c>
    </row>
    <row r="15" customFormat="false" ht="27.75" hidden="false" customHeight="true" outlineLevel="0" collapsed="false">
      <c r="A15" s="17" t="s">
        <v>22</v>
      </c>
      <c r="B15" s="17"/>
      <c r="C15" s="17"/>
      <c r="D15" s="17"/>
      <c r="E15" s="17"/>
      <c r="F15" s="17"/>
      <c r="G15" s="17"/>
    </row>
    <row r="18" customFormat="false" ht="40.5" hidden="false" customHeight="true" outlineLevel="0" collapsed="false">
      <c r="A18" s="18" t="s">
        <v>23</v>
      </c>
      <c r="B18" s="19" t="s">
        <v>24</v>
      </c>
      <c r="C18" s="19"/>
      <c r="D18" s="19"/>
      <c r="E18" s="19"/>
      <c r="F18" s="19"/>
      <c r="G18" s="19"/>
    </row>
    <row r="19" customFormat="false" ht="27" hidden="false" customHeight="true" outlineLevel="0" collapsed="false">
      <c r="B19" s="19" t="s">
        <v>25</v>
      </c>
      <c r="C19" s="19"/>
      <c r="D19" s="19"/>
      <c r="E19" s="19"/>
      <c r="F19" s="19"/>
      <c r="G19" s="19"/>
    </row>
    <row r="21" customFormat="false" ht="27" hidden="false" customHeight="true" outlineLevel="0" collapsed="false">
      <c r="A21" s="18" t="s">
        <v>26</v>
      </c>
      <c r="B21" s="19" t="s">
        <v>27</v>
      </c>
      <c r="C21" s="19"/>
      <c r="D21" s="19"/>
      <c r="E21" s="19"/>
      <c r="F21" s="19"/>
      <c r="G21" s="19"/>
    </row>
    <row r="22" customFormat="false" ht="40.5" hidden="false" customHeight="true" outlineLevel="0" collapsed="false">
      <c r="B22" s="19" t="s">
        <v>28</v>
      </c>
      <c r="C22" s="19"/>
      <c r="D22" s="19"/>
      <c r="E22" s="19"/>
      <c r="F22" s="19"/>
      <c r="G22" s="19"/>
    </row>
    <row r="23" customFormat="false" ht="40.5" hidden="false" customHeight="true" outlineLevel="0" collapsed="false">
      <c r="B23" s="19" t="s">
        <v>29</v>
      </c>
      <c r="C23" s="19"/>
      <c r="D23" s="19"/>
      <c r="E23" s="19"/>
      <c r="F23" s="19"/>
      <c r="G23" s="19"/>
    </row>
    <row r="25" customFormat="false" ht="13.5" hidden="false" customHeight="true" outlineLevel="0" collapsed="false">
      <c r="A25" s="18" t="s">
        <v>30</v>
      </c>
      <c r="B25" s="19" t="s">
        <v>31</v>
      </c>
      <c r="C25" s="19"/>
      <c r="D25" s="19"/>
      <c r="E25" s="19"/>
      <c r="F25" s="19"/>
      <c r="G25" s="19"/>
    </row>
    <row r="26" customFormat="false" ht="27" hidden="false" customHeight="true" outlineLevel="0" collapsed="false">
      <c r="B26" s="19" t="s">
        <v>32</v>
      </c>
      <c r="C26" s="19"/>
      <c r="D26" s="19"/>
      <c r="E26" s="19"/>
      <c r="F26" s="19"/>
      <c r="G26" s="19"/>
    </row>
    <row r="27" customFormat="false" ht="13.5" hidden="false" customHeight="true" outlineLevel="0" collapsed="false">
      <c r="B27" s="19" t="s">
        <v>33</v>
      </c>
      <c r="C27" s="19"/>
      <c r="D27" s="19"/>
      <c r="E27" s="19"/>
      <c r="F27" s="19"/>
      <c r="G27" s="19"/>
    </row>
    <row r="28" customFormat="false" ht="13.5" hidden="false" customHeight="true" outlineLevel="0" collapsed="false">
      <c r="B28" s="19" t="s">
        <v>34</v>
      </c>
      <c r="C28" s="19"/>
      <c r="D28" s="19"/>
      <c r="E28" s="19"/>
      <c r="F28" s="19"/>
      <c r="G28" s="19"/>
    </row>
    <row r="29" customFormat="false" ht="40.5" hidden="false" customHeight="true" outlineLevel="0" collapsed="false">
      <c r="B29" s="19" t="s">
        <v>35</v>
      </c>
      <c r="C29" s="19"/>
      <c r="D29" s="19"/>
      <c r="E29" s="19"/>
      <c r="F29" s="19"/>
      <c r="G29" s="19"/>
    </row>
    <row r="30" customFormat="false" ht="27" hidden="false" customHeight="true" outlineLevel="0" collapsed="false">
      <c r="B30" s="19" t="s">
        <v>36</v>
      </c>
      <c r="C30" s="19"/>
      <c r="D30" s="19"/>
      <c r="E30" s="19"/>
      <c r="F30" s="19"/>
      <c r="G30" s="19"/>
    </row>
    <row r="32" customFormat="false" ht="27" hidden="false" customHeight="true" outlineLevel="0" collapsed="false">
      <c r="A32" s="18" t="s">
        <v>37</v>
      </c>
      <c r="B32" s="19" t="s">
        <v>38</v>
      </c>
      <c r="C32" s="19"/>
      <c r="D32" s="19"/>
      <c r="E32" s="19"/>
      <c r="F32" s="19"/>
      <c r="G32" s="19"/>
    </row>
    <row r="33" customFormat="false" ht="27" hidden="false" customHeight="true" outlineLevel="0" collapsed="false">
      <c r="B33" s="19" t="s">
        <v>39</v>
      </c>
      <c r="C33" s="19"/>
      <c r="D33" s="19"/>
      <c r="E33" s="19"/>
      <c r="F33" s="19"/>
      <c r="G33" s="19"/>
    </row>
    <row r="35" customFormat="false" ht="13.5" hidden="false" customHeight="true" outlineLevel="0" collapsed="false">
      <c r="A35" s="18" t="s">
        <v>40</v>
      </c>
      <c r="B35" s="19" t="s">
        <v>41</v>
      </c>
      <c r="C35" s="19"/>
      <c r="D35" s="19"/>
      <c r="E35" s="19"/>
      <c r="F35" s="19"/>
      <c r="G35" s="19"/>
    </row>
    <row r="37" customFormat="false" ht="27" hidden="false" customHeight="true" outlineLevel="0" collapsed="false">
      <c r="A37" s="18" t="s">
        <v>42</v>
      </c>
      <c r="B37" s="19" t="s">
        <v>43</v>
      </c>
      <c r="C37" s="19"/>
      <c r="D37" s="19"/>
      <c r="E37" s="19"/>
      <c r="F37" s="19"/>
      <c r="G37" s="19"/>
    </row>
    <row r="38" customFormat="false" ht="40.5" hidden="false" customHeight="true" outlineLevel="0" collapsed="false">
      <c r="B38" s="19" t="s">
        <v>44</v>
      </c>
      <c r="C38" s="19"/>
      <c r="D38" s="19"/>
      <c r="E38" s="19"/>
      <c r="F38" s="19"/>
      <c r="G38" s="19"/>
    </row>
    <row r="39" customFormat="false" ht="27" hidden="false" customHeight="true" outlineLevel="0" collapsed="false">
      <c r="B39" s="19" t="s">
        <v>45</v>
      </c>
      <c r="C39" s="19"/>
      <c r="D39" s="19"/>
      <c r="E39" s="19"/>
      <c r="F39" s="19"/>
      <c r="G39" s="19"/>
    </row>
    <row r="40" customFormat="false" ht="27" hidden="false" customHeight="true" outlineLevel="0" collapsed="false">
      <c r="B40" s="19" t="s">
        <v>46</v>
      </c>
      <c r="C40" s="19"/>
      <c r="D40" s="19"/>
      <c r="E40" s="19"/>
      <c r="F40" s="19"/>
      <c r="G40" s="19"/>
    </row>
    <row r="41" customFormat="false" ht="27" hidden="false" customHeight="true" outlineLevel="0" collapsed="false">
      <c r="B41" s="19" t="s">
        <v>47</v>
      </c>
      <c r="C41" s="19"/>
      <c r="D41" s="19"/>
      <c r="E41" s="19"/>
      <c r="F41" s="19"/>
      <c r="G41" s="19"/>
    </row>
    <row r="42" customFormat="false" ht="27" hidden="false" customHeight="true" outlineLevel="0" collapsed="false">
      <c r="B42" s="19" t="s">
        <v>48</v>
      </c>
      <c r="C42" s="19"/>
      <c r="D42" s="19"/>
      <c r="E42" s="19"/>
      <c r="F42" s="19"/>
      <c r="G42" s="19"/>
    </row>
    <row r="44" customFormat="false" ht="27" hidden="false" customHeight="true" outlineLevel="0" collapsed="false">
      <c r="A44" s="18" t="s">
        <v>49</v>
      </c>
      <c r="B44" s="19" t="s">
        <v>50</v>
      </c>
      <c r="C44" s="19"/>
      <c r="D44" s="19"/>
      <c r="E44" s="19"/>
      <c r="F44" s="19"/>
      <c r="G44" s="19"/>
    </row>
    <row r="45" customFormat="false" ht="27" hidden="false" customHeight="true" outlineLevel="0" collapsed="false">
      <c r="B45" s="19" t="s">
        <v>51</v>
      </c>
      <c r="C45" s="19"/>
      <c r="D45" s="19"/>
      <c r="E45" s="19"/>
      <c r="F45" s="19"/>
      <c r="G45" s="19"/>
    </row>
    <row r="46" customFormat="false" ht="27" hidden="false" customHeight="true" outlineLevel="0" collapsed="false">
      <c r="B46" s="19" t="s">
        <v>52</v>
      </c>
      <c r="C46" s="19"/>
      <c r="D46" s="19"/>
      <c r="E46" s="19"/>
      <c r="F46" s="19"/>
      <c r="G46" s="19"/>
    </row>
  </sheetData>
  <mergeCells count="24">
    <mergeCell ref="A15:G15"/>
    <mergeCell ref="B18:G18"/>
    <mergeCell ref="B19:G19"/>
    <mergeCell ref="B21:G21"/>
    <mergeCell ref="B22:G22"/>
    <mergeCell ref="B23:G23"/>
    <mergeCell ref="B25:G25"/>
    <mergeCell ref="B26:G26"/>
    <mergeCell ref="B27:G27"/>
    <mergeCell ref="B28:G28"/>
    <mergeCell ref="B29:G29"/>
    <mergeCell ref="B30:G30"/>
    <mergeCell ref="B32:G32"/>
    <mergeCell ref="B33:G33"/>
    <mergeCell ref="B35:G35"/>
    <mergeCell ref="B37:G37"/>
    <mergeCell ref="B38:G38"/>
    <mergeCell ref="B39:G39"/>
    <mergeCell ref="B40:G40"/>
    <mergeCell ref="B41:G41"/>
    <mergeCell ref="B42:G42"/>
    <mergeCell ref="B44:G44"/>
    <mergeCell ref="B45:G45"/>
    <mergeCell ref="B46:G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E8E"/>
    <pageSetUpPr fitToPage="true"/>
  </sheetPr>
  <dimension ref="A1:H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1" t="s">
        <v>55</v>
      </c>
      <c r="C4" s="20" t="s">
        <v>6</v>
      </c>
      <c r="D4" s="2" t="s">
        <v>56</v>
      </c>
      <c r="E4" s="21" t="n">
        <f aca="false">MATCH($C$4,$C$8:$F$8,0)</f>
        <v>2</v>
      </c>
    </row>
    <row r="5" customFormat="false" ht="15" hidden="false" customHeight="false" outlineLevel="0" collapsed="false">
      <c r="A5" s="2" t="s">
        <v>57</v>
      </c>
    </row>
    <row r="7" customFormat="false" ht="15" hidden="false" customHeight="false" outlineLevel="0" collapsed="false">
      <c r="A7" s="3" t="s">
        <v>58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 t="s">
        <v>59</v>
      </c>
      <c r="B8" s="5" t="s">
        <v>4</v>
      </c>
      <c r="C8" s="6" t="s">
        <v>5</v>
      </c>
      <c r="D8" s="6" t="s">
        <v>6</v>
      </c>
      <c r="E8" s="6" t="s">
        <v>7</v>
      </c>
      <c r="F8" s="6" t="s">
        <v>8</v>
      </c>
      <c r="G8" s="6" t="s">
        <v>60</v>
      </c>
      <c r="H8" s="6" t="s">
        <v>61</v>
      </c>
    </row>
    <row r="9" customFormat="false" ht="15" hidden="false" customHeight="false" outlineLevel="0" collapsed="false">
      <c r="A9" s="22" t="s">
        <v>62</v>
      </c>
    </row>
    <row r="10" customFormat="false" ht="15" hidden="false" customHeight="false" outlineLevel="0" collapsed="false">
      <c r="A10" s="7" t="s">
        <v>63</v>
      </c>
      <c r="B10" s="8" t="s">
        <v>64</v>
      </c>
      <c r="C10" s="23" t="n">
        <v>3.5</v>
      </c>
      <c r="D10" s="23" t="n">
        <v>3.5</v>
      </c>
      <c r="E10" s="23" t="n">
        <v>3.5</v>
      </c>
      <c r="F10" s="23" t="n">
        <v>3.5</v>
      </c>
      <c r="G10" s="24" t="n">
        <f aca="false">CHOOSE($E$4,C10,D10,E10,F10)</f>
        <v>3.5</v>
      </c>
      <c r="H10" s="8" t="s">
        <v>65</v>
      </c>
    </row>
    <row r="11" customFormat="false" ht="15" hidden="false" customHeight="false" outlineLevel="0" collapsed="false">
      <c r="A11" s="7" t="s">
        <v>66</v>
      </c>
      <c r="B11" s="8" t="s">
        <v>64</v>
      </c>
      <c r="C11" s="23" t="n">
        <v>0.15</v>
      </c>
      <c r="D11" s="23" t="n">
        <v>0.1</v>
      </c>
      <c r="E11" s="23" t="n">
        <v>0.05</v>
      </c>
      <c r="F11" s="23" t="n">
        <v>0.15</v>
      </c>
      <c r="G11" s="24" t="n">
        <f aca="false">CHOOSE($E$4,C11,D11,E11,F11)</f>
        <v>0.1</v>
      </c>
      <c r="H11" s="8" t="s">
        <v>67</v>
      </c>
    </row>
    <row r="12" customFormat="false" ht="15" hidden="false" customHeight="false" outlineLevel="0" collapsed="false">
      <c r="A12" s="7" t="s">
        <v>68</v>
      </c>
      <c r="B12" s="8" t="s">
        <v>64</v>
      </c>
      <c r="C12" s="23" t="n">
        <v>0.15</v>
      </c>
      <c r="D12" s="23" t="n">
        <v>0.1</v>
      </c>
      <c r="E12" s="23" t="n">
        <v>0.05</v>
      </c>
      <c r="F12" s="23" t="n">
        <v>0.1</v>
      </c>
      <c r="G12" s="24" t="n">
        <f aca="false">CHOOSE($E$4,C12,D12,E12,F12)</f>
        <v>0.1</v>
      </c>
      <c r="H12" s="8" t="s">
        <v>69</v>
      </c>
    </row>
    <row r="13" customFormat="false" ht="15" hidden="false" customHeight="false" outlineLevel="0" collapsed="false">
      <c r="A13" s="7" t="s">
        <v>70</v>
      </c>
      <c r="B13" s="8" t="s">
        <v>64</v>
      </c>
      <c r="C13" s="23" t="n">
        <v>0</v>
      </c>
      <c r="D13" s="23" t="n">
        <v>0</v>
      </c>
      <c r="E13" s="23" t="n">
        <v>0</v>
      </c>
      <c r="F13" s="23" t="n">
        <v>0</v>
      </c>
      <c r="G13" s="24" t="n">
        <f aca="false">CHOOSE($E$4,C13,D13,E13,F13)</f>
        <v>0</v>
      </c>
      <c r="H13" s="8" t="s">
        <v>71</v>
      </c>
    </row>
    <row r="14" customFormat="false" ht="15" hidden="false" customHeight="false" outlineLevel="0" collapsed="false">
      <c r="A14" s="22" t="s">
        <v>72</v>
      </c>
    </row>
    <row r="15" customFormat="false" ht="15" hidden="false" customHeight="false" outlineLevel="0" collapsed="false">
      <c r="A15" s="7" t="s">
        <v>73</v>
      </c>
      <c r="B15" s="8" t="s">
        <v>64</v>
      </c>
      <c r="C15" s="23" t="n">
        <v>5.4</v>
      </c>
      <c r="D15" s="23" t="n">
        <v>5.65</v>
      </c>
      <c r="E15" s="23" t="n">
        <v>6</v>
      </c>
      <c r="F15" s="23" t="n">
        <v>6</v>
      </c>
      <c r="G15" s="24" t="n">
        <f aca="false">CHOOSE($E$4,C15,D15,E15,F15)</f>
        <v>5.65</v>
      </c>
      <c r="H15" s="8" t="s">
        <v>74</v>
      </c>
    </row>
    <row r="16" customFormat="false" ht="15" hidden="false" customHeight="false" outlineLevel="0" collapsed="false">
      <c r="A16" s="7" t="s">
        <v>75</v>
      </c>
      <c r="B16" s="8" t="s">
        <v>76</v>
      </c>
      <c r="C16" s="25" t="n">
        <v>0.1</v>
      </c>
      <c r="D16" s="25" t="n">
        <v>0.1</v>
      </c>
      <c r="E16" s="25" t="n">
        <v>0.1</v>
      </c>
      <c r="F16" s="25" t="n">
        <v>0.1</v>
      </c>
      <c r="G16" s="26" t="n">
        <f aca="false">CHOOSE($E$4,C16,D16,E16,F16)</f>
        <v>0.1</v>
      </c>
      <c r="H16" s="8" t="s">
        <v>77</v>
      </c>
    </row>
    <row r="17" customFormat="false" ht="15" hidden="false" customHeight="false" outlineLevel="0" collapsed="false">
      <c r="A17" s="7" t="s">
        <v>78</v>
      </c>
      <c r="B17" s="8" t="s">
        <v>79</v>
      </c>
      <c r="C17" s="27" t="n">
        <v>45</v>
      </c>
      <c r="D17" s="27" t="n">
        <v>35</v>
      </c>
      <c r="E17" s="27" t="n">
        <v>30</v>
      </c>
      <c r="F17" s="27" t="n">
        <v>35</v>
      </c>
      <c r="G17" s="28" t="n">
        <f aca="false">CHOOSE($E$4,C17,D17,E17,F17)</f>
        <v>35</v>
      </c>
      <c r="H17" s="8" t="s">
        <v>80</v>
      </c>
    </row>
    <row r="18" customFormat="false" ht="15" hidden="false" customHeight="false" outlineLevel="0" collapsed="false">
      <c r="A18" s="7" t="s">
        <v>81</v>
      </c>
      <c r="B18" s="8" t="s">
        <v>82</v>
      </c>
      <c r="C18" s="29" t="n">
        <v>0.008</v>
      </c>
      <c r="D18" s="29" t="n">
        <v>0.006</v>
      </c>
      <c r="E18" s="29" t="n">
        <v>0.005</v>
      </c>
      <c r="F18" s="29" t="n">
        <v>0.006</v>
      </c>
      <c r="G18" s="30" t="n">
        <f aca="false">CHOOSE($E$4,C18,D18,E18,F18)</f>
        <v>0.006</v>
      </c>
      <c r="H18" s="8" t="s">
        <v>83</v>
      </c>
    </row>
    <row r="19" customFormat="false" ht="15" hidden="false" customHeight="false" outlineLevel="0" collapsed="false">
      <c r="A19" s="22" t="s">
        <v>84</v>
      </c>
    </row>
    <row r="20" customFormat="false" ht="15" hidden="false" customHeight="false" outlineLevel="0" collapsed="false">
      <c r="A20" s="7" t="s">
        <v>85</v>
      </c>
      <c r="B20" s="8" t="s">
        <v>64</v>
      </c>
      <c r="C20" s="23" t="n">
        <v>4.2</v>
      </c>
      <c r="D20" s="23" t="n">
        <v>4.35</v>
      </c>
      <c r="E20" s="23" t="n">
        <v>4.5</v>
      </c>
      <c r="F20" s="23" t="n">
        <v>4.35</v>
      </c>
      <c r="G20" s="24" t="n">
        <f aca="false">CHOOSE($E$4,C20,D20,E20,F20)</f>
        <v>4.35</v>
      </c>
      <c r="H20" s="8" t="s">
        <v>86</v>
      </c>
    </row>
    <row r="21" customFormat="false" ht="15" hidden="false" customHeight="false" outlineLevel="0" collapsed="false">
      <c r="A21" s="7" t="s">
        <v>87</v>
      </c>
      <c r="B21" s="8" t="s">
        <v>64</v>
      </c>
      <c r="C21" s="23" t="n">
        <v>0</v>
      </c>
      <c r="D21" s="23" t="n">
        <v>0</v>
      </c>
      <c r="E21" s="23" t="n">
        <v>0</v>
      </c>
      <c r="F21" s="23" t="n">
        <v>0.1</v>
      </c>
      <c r="G21" s="24" t="n">
        <f aca="false">CHOOSE($E$4,C21,D21,E21,F21)</f>
        <v>0</v>
      </c>
      <c r="H21" s="8" t="s">
        <v>88</v>
      </c>
    </row>
    <row r="22" customFormat="false" ht="15" hidden="false" customHeight="false" outlineLevel="0" collapsed="false">
      <c r="A22" s="7" t="s">
        <v>89</v>
      </c>
      <c r="B22" s="8" t="s">
        <v>76</v>
      </c>
      <c r="C22" s="25" t="n">
        <v>0</v>
      </c>
      <c r="D22" s="25" t="n">
        <v>0</v>
      </c>
      <c r="E22" s="25" t="n">
        <v>0</v>
      </c>
      <c r="F22" s="25" t="n">
        <v>0</v>
      </c>
      <c r="G22" s="26" t="n">
        <f aca="false">CHOOSE($E$4,C22,D22,E22,F22)</f>
        <v>0</v>
      </c>
      <c r="H22" s="8" t="s">
        <v>90</v>
      </c>
    </row>
    <row r="23" customFormat="false" ht="15" hidden="false" customHeight="false" outlineLevel="0" collapsed="false">
      <c r="A23" s="7" t="s">
        <v>91</v>
      </c>
      <c r="B23" s="8" t="s">
        <v>79</v>
      </c>
      <c r="C23" s="27" t="n">
        <v>35</v>
      </c>
      <c r="D23" s="27" t="n">
        <v>30</v>
      </c>
      <c r="E23" s="27" t="n">
        <v>25</v>
      </c>
      <c r="F23" s="27" t="n">
        <v>30</v>
      </c>
      <c r="G23" s="28" t="n">
        <f aca="false">CHOOSE($E$4,C23,D23,E23,F23)</f>
        <v>30</v>
      </c>
      <c r="H23" s="8" t="s">
        <v>92</v>
      </c>
    </row>
    <row r="24" customFormat="false" ht="15" hidden="false" customHeight="false" outlineLevel="0" collapsed="false">
      <c r="A24" s="7" t="s">
        <v>78</v>
      </c>
      <c r="B24" s="8" t="s">
        <v>79</v>
      </c>
      <c r="C24" s="27" t="n">
        <v>55</v>
      </c>
      <c r="D24" s="27" t="n">
        <v>45</v>
      </c>
      <c r="E24" s="27" t="n">
        <v>40</v>
      </c>
      <c r="F24" s="27" t="n">
        <v>55</v>
      </c>
      <c r="G24" s="28" t="n">
        <f aca="false">CHOOSE($E$4,C24,D24,E24,F24)</f>
        <v>45</v>
      </c>
      <c r="H24" s="8" t="s">
        <v>93</v>
      </c>
    </row>
    <row r="25" customFormat="false" ht="15" hidden="false" customHeight="false" outlineLevel="0" collapsed="false">
      <c r="A25" s="7" t="s">
        <v>81</v>
      </c>
      <c r="B25" s="8" t="s">
        <v>82</v>
      </c>
      <c r="C25" s="29" t="n">
        <v>0.005</v>
      </c>
      <c r="D25" s="29" t="n">
        <v>0.003</v>
      </c>
      <c r="E25" s="29" t="n">
        <v>0.003</v>
      </c>
      <c r="F25" s="29" t="n">
        <v>0.003</v>
      </c>
      <c r="G25" s="30" t="n">
        <f aca="false">CHOOSE($E$4,C25,D25,E25,F25)</f>
        <v>0.003</v>
      </c>
      <c r="H25" s="8" t="s">
        <v>94</v>
      </c>
    </row>
    <row r="26" customFormat="false" ht="15" hidden="false" customHeight="false" outlineLevel="0" collapsed="false">
      <c r="A26" s="22" t="s">
        <v>95</v>
      </c>
    </row>
    <row r="27" customFormat="false" ht="15" hidden="false" customHeight="false" outlineLevel="0" collapsed="false">
      <c r="A27" s="7" t="s">
        <v>96</v>
      </c>
      <c r="B27" s="8" t="s">
        <v>76</v>
      </c>
      <c r="C27" s="25" t="n">
        <v>0.01</v>
      </c>
      <c r="D27" s="25" t="n">
        <v>0.02</v>
      </c>
      <c r="E27" s="25" t="n">
        <v>0.03</v>
      </c>
      <c r="F27" s="25" t="n">
        <v>0.02</v>
      </c>
      <c r="G27" s="26" t="n">
        <f aca="false">CHOOSE($E$4,C27,D27,E27,F27)</f>
        <v>0.02</v>
      </c>
      <c r="H27" s="8" t="s">
        <v>97</v>
      </c>
    </row>
    <row r="28" customFormat="false" ht="15" hidden="false" customHeight="false" outlineLevel="0" collapsed="false">
      <c r="A28" s="7" t="s">
        <v>98</v>
      </c>
      <c r="B28" s="8" t="s">
        <v>20</v>
      </c>
      <c r="C28" s="31" t="n">
        <v>2029</v>
      </c>
      <c r="D28" s="31" t="n">
        <v>2029</v>
      </c>
      <c r="E28" s="31" t="n">
        <v>2028</v>
      </c>
      <c r="F28" s="31" t="n">
        <v>2030</v>
      </c>
      <c r="G28" s="21" t="n">
        <f aca="false">CHOOSE($E$4,C28,D28,E28,F28)</f>
        <v>2029</v>
      </c>
      <c r="H28" s="8" t="s">
        <v>99</v>
      </c>
    </row>
    <row r="29" customFormat="false" ht="15" hidden="false" customHeight="false" outlineLevel="0" collapsed="false">
      <c r="A29" s="7" t="s">
        <v>100</v>
      </c>
      <c r="B29" s="8" t="s">
        <v>101</v>
      </c>
      <c r="C29" s="29" t="n">
        <v>0</v>
      </c>
      <c r="D29" s="29" t="n">
        <v>0</v>
      </c>
      <c r="E29" s="29" t="n">
        <v>0</v>
      </c>
      <c r="F29" s="29" t="n">
        <v>0.003</v>
      </c>
      <c r="G29" s="30" t="n">
        <f aca="false">CHOOSE($E$4,C29,D29,E29,F29)</f>
        <v>0</v>
      </c>
      <c r="H29" s="8" t="s">
        <v>102</v>
      </c>
    </row>
    <row r="30" customFormat="false" ht="15" hidden="false" customHeight="false" outlineLevel="0" collapsed="false">
      <c r="A30" s="7" t="s">
        <v>103</v>
      </c>
      <c r="B30" s="8" t="s">
        <v>76</v>
      </c>
      <c r="C30" s="25" t="n">
        <v>1</v>
      </c>
      <c r="D30" s="25" t="n">
        <v>1</v>
      </c>
      <c r="E30" s="25" t="n">
        <v>1</v>
      </c>
      <c r="F30" s="25" t="n">
        <v>0</v>
      </c>
      <c r="G30" s="26" t="n">
        <f aca="false">CHOOSE($E$4,C30,D30,E30,F30)</f>
        <v>1</v>
      </c>
      <c r="H30" s="8" t="s">
        <v>104</v>
      </c>
    </row>
    <row r="31" customFormat="false" ht="15" hidden="false" customHeight="false" outlineLevel="0" collapsed="false">
      <c r="A31" s="7" t="s">
        <v>105</v>
      </c>
      <c r="B31" s="8" t="s">
        <v>76</v>
      </c>
      <c r="C31" s="25" t="n">
        <v>0.7</v>
      </c>
      <c r="D31" s="25" t="n">
        <v>0.8</v>
      </c>
      <c r="E31" s="25" t="n">
        <v>0.85</v>
      </c>
      <c r="F31" s="25" t="n">
        <v>0.8</v>
      </c>
      <c r="G31" s="26" t="n">
        <f aca="false">CHOOSE($E$4,C31,D31,E31,F31)</f>
        <v>0.8</v>
      </c>
      <c r="H31" s="8" t="s">
        <v>106</v>
      </c>
    </row>
    <row r="32" customFormat="false" ht="15" hidden="false" customHeight="false" outlineLevel="0" collapsed="false">
      <c r="A32" s="7" t="s">
        <v>107</v>
      </c>
      <c r="B32" s="8" t="s">
        <v>11</v>
      </c>
      <c r="C32" s="32" t="n">
        <v>1100000</v>
      </c>
      <c r="D32" s="32" t="n">
        <v>1100000</v>
      </c>
      <c r="E32" s="32" t="n">
        <v>1100000</v>
      </c>
      <c r="F32" s="32" t="n">
        <v>1100000</v>
      </c>
      <c r="G32" s="33" t="n">
        <f aca="false">CHOOSE($E$4,C32,D32,E32,F32)</f>
        <v>1100000</v>
      </c>
      <c r="H32" s="8" t="s">
        <v>108</v>
      </c>
    </row>
    <row r="33" customFormat="false" ht="15" hidden="false" customHeight="false" outlineLevel="0" collapsed="false">
      <c r="A33" s="7" t="s">
        <v>109</v>
      </c>
      <c r="B33" s="8" t="s">
        <v>110</v>
      </c>
      <c r="C33" s="32" t="n">
        <v>0</v>
      </c>
      <c r="D33" s="32" t="n">
        <v>0</v>
      </c>
      <c r="E33" s="32" t="n">
        <v>0</v>
      </c>
      <c r="F33" s="32" t="n">
        <v>0</v>
      </c>
      <c r="G33" s="33" t="n">
        <f aca="false">CHOOSE($E$4,C33,D33,E33,F33)</f>
        <v>0</v>
      </c>
      <c r="H33" s="8" t="s">
        <v>111</v>
      </c>
    </row>
    <row r="35" customFormat="false" ht="15" hidden="false" customHeight="false" outlineLevel="0" collapsed="false">
      <c r="A35" s="3" t="s">
        <v>112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5" t="s">
        <v>59</v>
      </c>
      <c r="B36" s="5" t="s">
        <v>4</v>
      </c>
      <c r="C36" s="6" t="s">
        <v>113</v>
      </c>
      <c r="D36" s="6"/>
      <c r="E36" s="6"/>
      <c r="F36" s="6"/>
      <c r="G36" s="6" t="s">
        <v>60</v>
      </c>
      <c r="H36" s="6" t="s">
        <v>61</v>
      </c>
    </row>
    <row r="37" customFormat="false" ht="15" hidden="false" customHeight="false" outlineLevel="0" collapsed="false">
      <c r="A37" s="22" t="s">
        <v>114</v>
      </c>
    </row>
    <row r="38" customFormat="false" ht="15" hidden="false" customHeight="false" outlineLevel="0" collapsed="false">
      <c r="A38" s="7" t="s">
        <v>115</v>
      </c>
      <c r="B38" s="8" t="s">
        <v>64</v>
      </c>
      <c r="C38" s="23" t="n">
        <v>0.55</v>
      </c>
      <c r="G38" s="24" t="n">
        <f aca="false">C38</f>
        <v>0.55</v>
      </c>
      <c r="H38" s="8" t="s">
        <v>116</v>
      </c>
    </row>
    <row r="39" customFormat="false" ht="15" hidden="false" customHeight="false" outlineLevel="0" collapsed="false">
      <c r="A39" s="7" t="s">
        <v>117</v>
      </c>
      <c r="B39" s="8" t="s">
        <v>64</v>
      </c>
      <c r="C39" s="23" t="n">
        <v>0.06</v>
      </c>
      <c r="G39" s="24" t="n">
        <f aca="false">C39</f>
        <v>0.06</v>
      </c>
      <c r="H39" s="8" t="s">
        <v>118</v>
      </c>
    </row>
    <row r="40" customFormat="false" ht="15" hidden="false" customHeight="false" outlineLevel="0" collapsed="false">
      <c r="A40" s="7" t="s">
        <v>119</v>
      </c>
      <c r="B40" s="8" t="s">
        <v>120</v>
      </c>
      <c r="C40" s="34" t="n">
        <v>20</v>
      </c>
      <c r="G40" s="35" t="n">
        <f aca="false">C40</f>
        <v>20</v>
      </c>
      <c r="H40" s="8" t="s">
        <v>121</v>
      </c>
    </row>
    <row r="41" customFormat="false" ht="15" hidden="false" customHeight="false" outlineLevel="0" collapsed="false">
      <c r="A41" s="7" t="s">
        <v>122</v>
      </c>
      <c r="B41" s="8" t="s">
        <v>123</v>
      </c>
      <c r="C41" s="32" t="n">
        <v>2</v>
      </c>
      <c r="G41" s="33" t="n">
        <f aca="false">C41</f>
        <v>2</v>
      </c>
      <c r="H41" s="8" t="s">
        <v>124</v>
      </c>
    </row>
    <row r="42" customFormat="false" ht="15" hidden="false" customHeight="false" outlineLevel="0" collapsed="false">
      <c r="A42" s="7" t="s">
        <v>125</v>
      </c>
      <c r="B42" s="8" t="s">
        <v>126</v>
      </c>
      <c r="C42" s="32" t="n">
        <v>2000</v>
      </c>
      <c r="G42" s="33" t="n">
        <f aca="false">C42</f>
        <v>2000</v>
      </c>
      <c r="H42" s="8" t="s">
        <v>127</v>
      </c>
    </row>
    <row r="43" customFormat="false" ht="15" hidden="false" customHeight="false" outlineLevel="0" collapsed="false">
      <c r="A43" s="7" t="s">
        <v>128</v>
      </c>
      <c r="B43" s="8" t="s">
        <v>64</v>
      </c>
      <c r="C43" s="36" t="n">
        <v>0.01</v>
      </c>
      <c r="G43" s="37" t="n">
        <f aca="false">C43</f>
        <v>0.01</v>
      </c>
      <c r="H43" s="8" t="s">
        <v>129</v>
      </c>
    </row>
    <row r="44" customFormat="false" ht="15" hidden="false" customHeight="false" outlineLevel="0" collapsed="false">
      <c r="A44" s="22" t="s">
        <v>130</v>
      </c>
    </row>
    <row r="45" customFormat="false" ht="15" hidden="false" customHeight="false" outlineLevel="0" collapsed="false">
      <c r="A45" s="7" t="s">
        <v>131</v>
      </c>
      <c r="B45" s="8" t="s">
        <v>64</v>
      </c>
      <c r="C45" s="23" t="n">
        <v>0.45</v>
      </c>
      <c r="G45" s="24" t="n">
        <f aca="false">C45</f>
        <v>0.45</v>
      </c>
      <c r="H45" s="8" t="s">
        <v>132</v>
      </c>
    </row>
    <row r="46" customFormat="false" ht="15" hidden="false" customHeight="false" outlineLevel="0" collapsed="false">
      <c r="A46" s="7" t="s">
        <v>133</v>
      </c>
      <c r="B46" s="8" t="s">
        <v>64</v>
      </c>
      <c r="C46" s="23" t="n">
        <v>0</v>
      </c>
      <c r="G46" s="24" t="n">
        <f aca="false">C46</f>
        <v>0</v>
      </c>
      <c r="H46" s="8" t="s">
        <v>134</v>
      </c>
    </row>
    <row r="47" customFormat="false" ht="15" hidden="false" customHeight="false" outlineLevel="0" collapsed="false">
      <c r="A47" s="7" t="s">
        <v>119</v>
      </c>
      <c r="B47" s="8" t="s">
        <v>120</v>
      </c>
      <c r="C47" s="34" t="n">
        <v>30</v>
      </c>
      <c r="G47" s="35" t="n">
        <f aca="false">C47</f>
        <v>30</v>
      </c>
      <c r="H47" s="8" t="s">
        <v>135</v>
      </c>
    </row>
    <row r="48" customFormat="false" ht="15" hidden="false" customHeight="false" outlineLevel="0" collapsed="false">
      <c r="A48" s="7" t="s">
        <v>136</v>
      </c>
      <c r="B48" s="8" t="s">
        <v>123</v>
      </c>
      <c r="C48" s="32" t="n">
        <v>2</v>
      </c>
      <c r="G48" s="33" t="n">
        <f aca="false">C48</f>
        <v>2</v>
      </c>
      <c r="H48" s="8" t="s">
        <v>124</v>
      </c>
    </row>
    <row r="49" customFormat="false" ht="15" hidden="false" customHeight="false" outlineLevel="0" collapsed="false">
      <c r="A49" s="7" t="s">
        <v>137</v>
      </c>
      <c r="B49" s="8" t="s">
        <v>126</v>
      </c>
      <c r="C49" s="32" t="n">
        <v>1200</v>
      </c>
      <c r="G49" s="33" t="n">
        <f aca="false">C49</f>
        <v>1200</v>
      </c>
      <c r="H49" s="8" t="s">
        <v>138</v>
      </c>
    </row>
    <row r="50" customFormat="false" ht="15" hidden="false" customHeight="false" outlineLevel="0" collapsed="false">
      <c r="A50" s="7" t="s">
        <v>139</v>
      </c>
      <c r="B50" s="8" t="s">
        <v>64</v>
      </c>
      <c r="C50" s="36" t="n">
        <v>0.005</v>
      </c>
      <c r="G50" s="37" t="n">
        <f aca="false">C50</f>
        <v>0.005</v>
      </c>
      <c r="H50" s="8" t="s">
        <v>94</v>
      </c>
    </row>
    <row r="51" customFormat="false" ht="15" hidden="false" customHeight="false" outlineLevel="0" collapsed="false">
      <c r="A51" s="22" t="s">
        <v>140</v>
      </c>
    </row>
    <row r="52" customFormat="false" ht="15" hidden="false" customHeight="false" outlineLevel="0" collapsed="false">
      <c r="A52" s="7" t="s">
        <v>141</v>
      </c>
      <c r="B52" s="8" t="s">
        <v>64</v>
      </c>
      <c r="C52" s="23" t="n">
        <v>0.15</v>
      </c>
      <c r="G52" s="24" t="n">
        <f aca="false">C52</f>
        <v>0.15</v>
      </c>
      <c r="H52" s="8" t="s">
        <v>142</v>
      </c>
    </row>
    <row r="53" customFormat="false" ht="15" hidden="false" customHeight="false" outlineLevel="0" collapsed="false">
      <c r="A53" s="7" t="s">
        <v>89</v>
      </c>
      <c r="B53" s="8" t="s">
        <v>76</v>
      </c>
      <c r="C53" s="25" t="n">
        <v>0</v>
      </c>
      <c r="G53" s="26" t="n">
        <f aca="false">C53</f>
        <v>0</v>
      </c>
      <c r="H53" s="8" t="s">
        <v>143</v>
      </c>
    </row>
    <row r="54" customFormat="false" ht="15" hidden="false" customHeight="false" outlineLevel="0" collapsed="false">
      <c r="A54" s="7" t="s">
        <v>144</v>
      </c>
      <c r="B54" s="8" t="s">
        <v>64</v>
      </c>
      <c r="C54" s="23" t="n">
        <v>0</v>
      </c>
      <c r="G54" s="24" t="n">
        <f aca="false">C54</f>
        <v>0</v>
      </c>
      <c r="H54" s="8" t="s">
        <v>145</v>
      </c>
    </row>
    <row r="55" customFormat="false" ht="15" hidden="false" customHeight="false" outlineLevel="0" collapsed="false">
      <c r="A55" s="7" t="s">
        <v>146</v>
      </c>
      <c r="B55" s="8" t="s">
        <v>64</v>
      </c>
      <c r="C55" s="23" t="n">
        <v>0.04</v>
      </c>
      <c r="G55" s="24" t="n">
        <f aca="false">C55</f>
        <v>0.04</v>
      </c>
      <c r="H55" s="8" t="s">
        <v>147</v>
      </c>
    </row>
    <row r="56" customFormat="false" ht="15" hidden="false" customHeight="false" outlineLevel="0" collapsed="false">
      <c r="A56" s="7" t="s">
        <v>133</v>
      </c>
      <c r="B56" s="8" t="s">
        <v>64</v>
      </c>
      <c r="C56" s="23" t="n">
        <v>0</v>
      </c>
      <c r="G56" s="24" t="n">
        <f aca="false">C56</f>
        <v>0</v>
      </c>
      <c r="H56" s="8" t="s">
        <v>148</v>
      </c>
    </row>
    <row r="57" customFormat="false" ht="15" hidden="false" customHeight="false" outlineLevel="0" collapsed="false">
      <c r="A57" s="7" t="s">
        <v>149</v>
      </c>
      <c r="B57" s="8" t="s">
        <v>79</v>
      </c>
      <c r="C57" s="27" t="n">
        <v>15</v>
      </c>
      <c r="G57" s="28" t="n">
        <f aca="false">C57</f>
        <v>15</v>
      </c>
      <c r="H57" s="8" t="s">
        <v>150</v>
      </c>
    </row>
    <row r="58" customFormat="false" ht="15" hidden="false" customHeight="false" outlineLevel="0" collapsed="false">
      <c r="A58" s="7" t="s">
        <v>78</v>
      </c>
      <c r="B58" s="8" t="s">
        <v>79</v>
      </c>
      <c r="C58" s="27" t="n">
        <v>45</v>
      </c>
      <c r="G58" s="28" t="n">
        <f aca="false">C58</f>
        <v>45</v>
      </c>
      <c r="H58" s="8" t="s">
        <v>151</v>
      </c>
    </row>
    <row r="59" customFormat="false" ht="15" hidden="false" customHeight="false" outlineLevel="0" collapsed="false">
      <c r="A59" s="7" t="s">
        <v>152</v>
      </c>
      <c r="B59" s="8" t="s">
        <v>120</v>
      </c>
      <c r="C59" s="34" t="n">
        <v>100</v>
      </c>
      <c r="G59" s="35" t="n">
        <f aca="false">C59</f>
        <v>100</v>
      </c>
      <c r="H59" s="8" t="s">
        <v>153</v>
      </c>
    </row>
    <row r="60" customFormat="false" ht="15" hidden="false" customHeight="false" outlineLevel="0" collapsed="false">
      <c r="A60" s="7" t="s">
        <v>136</v>
      </c>
      <c r="B60" s="8" t="s">
        <v>123</v>
      </c>
      <c r="C60" s="32" t="n">
        <v>2</v>
      </c>
      <c r="G60" s="33" t="n">
        <f aca="false">C60</f>
        <v>2</v>
      </c>
      <c r="H60" s="8" t="s">
        <v>154</v>
      </c>
    </row>
    <row r="61" customFormat="false" ht="15" hidden="false" customHeight="false" outlineLevel="0" collapsed="false">
      <c r="A61" s="7" t="s">
        <v>137</v>
      </c>
      <c r="B61" s="8" t="s">
        <v>126</v>
      </c>
      <c r="C61" s="32" t="n">
        <v>1200</v>
      </c>
      <c r="G61" s="33" t="n">
        <f aca="false">C61</f>
        <v>1200</v>
      </c>
      <c r="H61" s="8" t="s">
        <v>155</v>
      </c>
    </row>
    <row r="62" customFormat="false" ht="15" hidden="false" customHeight="false" outlineLevel="0" collapsed="false">
      <c r="A62" s="7" t="s">
        <v>139</v>
      </c>
      <c r="B62" s="8" t="s">
        <v>64</v>
      </c>
      <c r="C62" s="36" t="n">
        <v>0.001</v>
      </c>
      <c r="G62" s="37" t="n">
        <f aca="false">C62</f>
        <v>0.001</v>
      </c>
      <c r="H62" s="8" t="s">
        <v>156</v>
      </c>
    </row>
    <row r="63" customFormat="false" ht="15" hidden="false" customHeight="false" outlineLevel="0" collapsed="false">
      <c r="A63" s="7" t="s">
        <v>81</v>
      </c>
      <c r="B63" s="8" t="s">
        <v>82</v>
      </c>
      <c r="C63" s="29" t="n">
        <v>0.003</v>
      </c>
      <c r="G63" s="30" t="n">
        <f aca="false">C63</f>
        <v>0.003</v>
      </c>
      <c r="H63" s="8" t="s">
        <v>157</v>
      </c>
    </row>
    <row r="64" customFormat="false" ht="15" hidden="false" customHeight="false" outlineLevel="0" collapsed="false">
      <c r="A64" s="7" t="s">
        <v>158</v>
      </c>
      <c r="B64" s="8" t="s">
        <v>159</v>
      </c>
      <c r="C64" s="29" t="n">
        <v>0.0075</v>
      </c>
      <c r="G64" s="30" t="n">
        <f aca="false">C64</f>
        <v>0.0075</v>
      </c>
      <c r="H64" s="8" t="s">
        <v>160</v>
      </c>
    </row>
    <row r="65" customFormat="false" ht="15" hidden="false" customHeight="false" outlineLevel="0" collapsed="false">
      <c r="A65" s="22" t="s">
        <v>161</v>
      </c>
    </row>
    <row r="66" customFormat="false" ht="15" hidden="false" customHeight="false" outlineLevel="0" collapsed="false">
      <c r="A66" s="7" t="s">
        <v>162</v>
      </c>
      <c r="B66" s="8" t="s">
        <v>163</v>
      </c>
      <c r="C66" s="23" t="n">
        <v>4</v>
      </c>
      <c r="G66" s="24" t="n">
        <f aca="false">C66</f>
        <v>4</v>
      </c>
      <c r="H66" s="8" t="s">
        <v>164</v>
      </c>
    </row>
    <row r="67" customFormat="false" ht="15" hidden="false" customHeight="false" outlineLevel="0" collapsed="false">
      <c r="A67" s="7" t="s">
        <v>165</v>
      </c>
      <c r="B67" s="8" t="s">
        <v>166</v>
      </c>
      <c r="C67" s="29" t="n">
        <v>0.002</v>
      </c>
      <c r="G67" s="30" t="n">
        <f aca="false">C67</f>
        <v>0.002</v>
      </c>
      <c r="H67" s="8" t="s">
        <v>167</v>
      </c>
    </row>
    <row r="68" customFormat="false" ht="15" hidden="false" customHeight="false" outlineLevel="0" collapsed="false">
      <c r="A68" s="7" t="s">
        <v>168</v>
      </c>
      <c r="B68" s="8" t="s">
        <v>11</v>
      </c>
      <c r="C68" s="32" t="n">
        <v>300</v>
      </c>
      <c r="G68" s="33" t="n">
        <f aca="false">C68</f>
        <v>300</v>
      </c>
      <c r="H68" s="8" t="s">
        <v>169</v>
      </c>
    </row>
    <row r="69" customFormat="false" ht="15" hidden="false" customHeight="false" outlineLevel="0" collapsed="false">
      <c r="A69" s="7" t="s">
        <v>170</v>
      </c>
      <c r="B69" s="8" t="s">
        <v>159</v>
      </c>
      <c r="C69" s="29" t="n">
        <v>0.005</v>
      </c>
      <c r="G69" s="30" t="n">
        <f aca="false">C69</f>
        <v>0.005</v>
      </c>
      <c r="H69" s="8" t="s">
        <v>171</v>
      </c>
    </row>
    <row r="70" customFormat="false" ht="15" hidden="false" customHeight="false" outlineLevel="0" collapsed="false">
      <c r="A70" s="7" t="s">
        <v>172</v>
      </c>
      <c r="B70" s="8" t="s">
        <v>76</v>
      </c>
      <c r="C70" s="25" t="n">
        <v>0.03</v>
      </c>
      <c r="G70" s="26" t="n">
        <f aca="false">C70</f>
        <v>0.03</v>
      </c>
      <c r="H70" s="8" t="s">
        <v>173</v>
      </c>
    </row>
    <row r="71" customFormat="false" ht="15" hidden="false" customHeight="false" outlineLevel="0" collapsed="false">
      <c r="A71" s="7" t="s">
        <v>174</v>
      </c>
      <c r="B71" s="8" t="s">
        <v>64</v>
      </c>
      <c r="C71" s="23" t="n">
        <v>0.3</v>
      </c>
      <c r="G71" s="24" t="n">
        <f aca="false">C71</f>
        <v>0.3</v>
      </c>
      <c r="H71" s="8" t="s">
        <v>175</v>
      </c>
    </row>
    <row r="72" customFormat="false" ht="15" hidden="false" customHeight="false" outlineLevel="0" collapsed="false">
      <c r="A72" s="7" t="s">
        <v>176</v>
      </c>
      <c r="B72" s="8" t="s">
        <v>79</v>
      </c>
      <c r="C72" s="27" t="n">
        <v>30</v>
      </c>
      <c r="G72" s="28" t="n">
        <f aca="false">C72</f>
        <v>30</v>
      </c>
      <c r="H72" s="8" t="s">
        <v>177</v>
      </c>
    </row>
    <row r="73" customFormat="false" ht="15" hidden="false" customHeight="false" outlineLevel="0" collapsed="false">
      <c r="A73" s="7" t="s">
        <v>178</v>
      </c>
      <c r="B73" s="8" t="s">
        <v>82</v>
      </c>
      <c r="C73" s="29" t="n">
        <v>0</v>
      </c>
      <c r="G73" s="30" t="n">
        <f aca="false">C73</f>
        <v>0</v>
      </c>
      <c r="H73" s="8" t="s">
        <v>179</v>
      </c>
    </row>
    <row r="74" customFormat="false" ht="15" hidden="false" customHeight="false" outlineLevel="0" collapsed="false">
      <c r="A74" s="22" t="s">
        <v>180</v>
      </c>
    </row>
    <row r="75" customFormat="false" ht="15" hidden="false" customHeight="false" outlineLevel="0" collapsed="false">
      <c r="A75" s="7" t="s">
        <v>181</v>
      </c>
      <c r="B75" s="8" t="s">
        <v>182</v>
      </c>
      <c r="C75" s="36" t="n">
        <v>0.205</v>
      </c>
      <c r="G75" s="37" t="n">
        <f aca="false">C75</f>
        <v>0.205</v>
      </c>
      <c r="H75" s="8" t="s">
        <v>183</v>
      </c>
    </row>
    <row r="76" customFormat="false" ht="15" hidden="false" customHeight="false" outlineLevel="0" collapsed="false">
      <c r="A76" s="7" t="s">
        <v>184</v>
      </c>
      <c r="B76" s="8" t="s">
        <v>185</v>
      </c>
      <c r="C76" s="34" t="n">
        <v>169.5</v>
      </c>
      <c r="G76" s="35" t="n">
        <f aca="false">C76</f>
        <v>169.5</v>
      </c>
      <c r="H76" s="8" t="s">
        <v>186</v>
      </c>
    </row>
    <row r="77" customFormat="false" ht="15" hidden="false" customHeight="false" outlineLevel="0" collapsed="false">
      <c r="A77" s="22" t="s">
        <v>187</v>
      </c>
    </row>
    <row r="78" customFormat="false" ht="15" hidden="false" customHeight="false" outlineLevel="0" collapsed="false">
      <c r="A78" s="7" t="s">
        <v>188</v>
      </c>
      <c r="B78" s="8" t="s">
        <v>189</v>
      </c>
      <c r="C78" s="32" t="n">
        <v>750</v>
      </c>
      <c r="G78" s="33" t="n">
        <f aca="false">C78</f>
        <v>750</v>
      </c>
      <c r="H78" s="8" t="s">
        <v>190</v>
      </c>
    </row>
    <row r="79" customFormat="false" ht="15" hidden="false" customHeight="false" outlineLevel="0" collapsed="false">
      <c r="A79" s="7" t="s">
        <v>191</v>
      </c>
      <c r="B79" s="8" t="s">
        <v>123</v>
      </c>
      <c r="C79" s="32" t="n">
        <v>500</v>
      </c>
      <c r="G79" s="33" t="n">
        <f aca="false">C79</f>
        <v>500</v>
      </c>
      <c r="H79" s="8" t="s">
        <v>94</v>
      </c>
    </row>
    <row r="80" customFormat="false" ht="15" hidden="false" customHeight="false" outlineLevel="0" collapsed="false">
      <c r="A80" s="7" t="s">
        <v>192</v>
      </c>
      <c r="B80" s="8" t="s">
        <v>193</v>
      </c>
      <c r="C80" s="23" t="n">
        <v>0.4</v>
      </c>
      <c r="G80" s="24" t="n">
        <f aca="false">C80</f>
        <v>0.4</v>
      </c>
      <c r="H80" s="8" t="s">
        <v>194</v>
      </c>
    </row>
    <row r="81" customFormat="false" ht="15" hidden="false" customHeight="false" outlineLevel="0" collapsed="false">
      <c r="A81" s="7" t="s">
        <v>89</v>
      </c>
      <c r="B81" s="8" t="s">
        <v>76</v>
      </c>
      <c r="C81" s="25" t="n">
        <v>0.1</v>
      </c>
      <c r="G81" s="26" t="n">
        <f aca="false">C81</f>
        <v>0.1</v>
      </c>
      <c r="H81" s="8" t="s">
        <v>195</v>
      </c>
    </row>
    <row r="82" customFormat="false" ht="15" hidden="false" customHeight="false" outlineLevel="0" collapsed="false">
      <c r="A82" s="7" t="s">
        <v>196</v>
      </c>
      <c r="B82" s="8" t="s">
        <v>79</v>
      </c>
      <c r="C82" s="27" t="n">
        <v>30</v>
      </c>
      <c r="G82" s="28" t="n">
        <f aca="false">C82</f>
        <v>30</v>
      </c>
      <c r="H82" s="8" t="s">
        <v>94</v>
      </c>
    </row>
    <row r="83" customFormat="false" ht="15" hidden="false" customHeight="false" outlineLevel="0" collapsed="false">
      <c r="A83" s="7" t="s">
        <v>197</v>
      </c>
      <c r="B83" s="8" t="s">
        <v>193</v>
      </c>
      <c r="C83" s="23" t="n">
        <v>0.24</v>
      </c>
      <c r="G83" s="24" t="n">
        <f aca="false">C83</f>
        <v>0.24</v>
      </c>
      <c r="H83" s="8" t="s">
        <v>198</v>
      </c>
    </row>
    <row r="84" customFormat="false" ht="15" hidden="false" customHeight="false" outlineLevel="0" collapsed="false">
      <c r="A84" s="7" t="s">
        <v>199</v>
      </c>
      <c r="B84" s="8" t="s">
        <v>11</v>
      </c>
      <c r="C84" s="23" t="n">
        <v>0.1</v>
      </c>
      <c r="G84" s="24" t="n">
        <f aca="false">C84</f>
        <v>0.1</v>
      </c>
      <c r="H84" s="8" t="s">
        <v>200</v>
      </c>
    </row>
    <row r="85" customFormat="false" ht="15" hidden="false" customHeight="false" outlineLevel="0" collapsed="false">
      <c r="A85" s="7" t="s">
        <v>201</v>
      </c>
      <c r="B85" s="8" t="s">
        <v>202</v>
      </c>
      <c r="C85" s="32" t="n">
        <v>20</v>
      </c>
      <c r="G85" s="33" t="n">
        <f aca="false">C85</f>
        <v>20</v>
      </c>
      <c r="H85" s="8" t="s">
        <v>203</v>
      </c>
    </row>
    <row r="86" customFormat="false" ht="15" hidden="false" customHeight="false" outlineLevel="0" collapsed="false">
      <c r="A86" s="7" t="s">
        <v>204</v>
      </c>
      <c r="B86" s="8" t="s">
        <v>76</v>
      </c>
      <c r="C86" s="25" t="n">
        <v>0.15</v>
      </c>
      <c r="G86" s="26" t="n">
        <f aca="false">C86</f>
        <v>0.15</v>
      </c>
      <c r="H86" s="8" t="s">
        <v>203</v>
      </c>
    </row>
    <row r="87" customFormat="false" ht="15" hidden="false" customHeight="false" outlineLevel="0" collapsed="false">
      <c r="A87" s="7" t="s">
        <v>205</v>
      </c>
      <c r="B87" s="8" t="s">
        <v>126</v>
      </c>
      <c r="C87" s="32" t="n">
        <v>200</v>
      </c>
      <c r="G87" s="33" t="n">
        <f aca="false">C87</f>
        <v>200</v>
      </c>
      <c r="H87" s="8" t="s">
        <v>206</v>
      </c>
    </row>
    <row r="88" customFormat="false" ht="15" hidden="false" customHeight="false" outlineLevel="0" collapsed="false">
      <c r="A88" s="7" t="s">
        <v>207</v>
      </c>
      <c r="B88" s="8" t="s">
        <v>193</v>
      </c>
      <c r="C88" s="23" t="n">
        <v>0.05</v>
      </c>
      <c r="G88" s="24" t="n">
        <f aca="false">C88</f>
        <v>0.05</v>
      </c>
      <c r="H88" s="8" t="s">
        <v>206</v>
      </c>
    </row>
    <row r="89" customFormat="false" ht="15" hidden="false" customHeight="false" outlineLevel="0" collapsed="false">
      <c r="A89" s="7" t="s">
        <v>208</v>
      </c>
      <c r="B89" s="8" t="s">
        <v>126</v>
      </c>
      <c r="C89" s="32" t="n">
        <v>150</v>
      </c>
      <c r="G89" s="33" t="n">
        <f aca="false">C89</f>
        <v>150</v>
      </c>
      <c r="H89" s="8" t="s">
        <v>206</v>
      </c>
    </row>
    <row r="90" customFormat="false" ht="15" hidden="false" customHeight="false" outlineLevel="0" collapsed="false">
      <c r="A90" s="7" t="s">
        <v>209</v>
      </c>
      <c r="B90" s="8" t="s">
        <v>79</v>
      </c>
      <c r="C90" s="27" t="n">
        <v>30</v>
      </c>
      <c r="G90" s="28" t="n">
        <f aca="false">C90</f>
        <v>30</v>
      </c>
      <c r="H90" s="8" t="s">
        <v>206</v>
      </c>
    </row>
    <row r="91" customFormat="false" ht="15" hidden="false" customHeight="false" outlineLevel="0" collapsed="false">
      <c r="A91" s="22" t="s">
        <v>210</v>
      </c>
    </row>
    <row r="92" customFormat="false" ht="15" hidden="false" customHeight="false" outlineLevel="0" collapsed="false">
      <c r="A92" s="7" t="s">
        <v>211</v>
      </c>
      <c r="B92" s="8" t="s">
        <v>64</v>
      </c>
      <c r="C92" s="23" t="n">
        <v>7</v>
      </c>
      <c r="G92" s="24" t="n">
        <f aca="false">C92</f>
        <v>7</v>
      </c>
      <c r="H92" s="8" t="s">
        <v>212</v>
      </c>
    </row>
    <row r="93" customFormat="false" ht="15" hidden="false" customHeight="false" outlineLevel="0" collapsed="false">
      <c r="A93" s="7" t="s">
        <v>213</v>
      </c>
      <c r="B93" s="8" t="s">
        <v>64</v>
      </c>
      <c r="C93" s="23" t="n">
        <v>7.85</v>
      </c>
      <c r="G93" s="24" t="n">
        <f aca="false">C93</f>
        <v>7.85</v>
      </c>
      <c r="H93" s="8" t="s">
        <v>214</v>
      </c>
    </row>
    <row r="94" customFormat="false" ht="15" hidden="false" customHeight="false" outlineLevel="0" collapsed="false">
      <c r="A94" s="7" t="s">
        <v>215</v>
      </c>
      <c r="B94" s="8" t="s">
        <v>64</v>
      </c>
      <c r="C94" s="23" t="n">
        <v>0.15</v>
      </c>
      <c r="G94" s="24" t="n">
        <f aca="false">C94</f>
        <v>0.15</v>
      </c>
      <c r="H94" s="8" t="s">
        <v>94</v>
      </c>
    </row>
    <row r="95" customFormat="false" ht="15" hidden="false" customHeight="false" outlineLevel="0" collapsed="false">
      <c r="A95" s="7" t="s">
        <v>91</v>
      </c>
      <c r="B95" s="8" t="s">
        <v>79</v>
      </c>
      <c r="C95" s="27" t="n">
        <v>45</v>
      </c>
      <c r="G95" s="28" t="n">
        <f aca="false">C95</f>
        <v>45</v>
      </c>
      <c r="H95" s="8" t="s">
        <v>94</v>
      </c>
    </row>
    <row r="96" customFormat="false" ht="15" hidden="false" customHeight="false" outlineLevel="0" collapsed="false">
      <c r="A96" s="7" t="s">
        <v>216</v>
      </c>
      <c r="B96" s="8" t="s">
        <v>79</v>
      </c>
      <c r="C96" s="27" t="n">
        <v>30</v>
      </c>
      <c r="G96" s="28" t="n">
        <f aca="false">C96</f>
        <v>30</v>
      </c>
      <c r="H96" s="8" t="s">
        <v>94</v>
      </c>
    </row>
    <row r="97" customFormat="false" ht="15" hidden="false" customHeight="false" outlineLevel="0" collapsed="false">
      <c r="A97" s="7" t="s">
        <v>217</v>
      </c>
      <c r="B97" s="8" t="s">
        <v>79</v>
      </c>
      <c r="C97" s="27" t="n">
        <v>30</v>
      </c>
      <c r="G97" s="28" t="n">
        <f aca="false">C97</f>
        <v>30</v>
      </c>
      <c r="H97" s="8" t="s">
        <v>94</v>
      </c>
    </row>
    <row r="98" customFormat="false" ht="15" hidden="false" customHeight="false" outlineLevel="0" collapsed="false">
      <c r="A98" s="7" t="s">
        <v>81</v>
      </c>
      <c r="B98" s="8" t="s">
        <v>82</v>
      </c>
      <c r="C98" s="29" t="n">
        <v>0.006</v>
      </c>
      <c r="G98" s="30" t="n">
        <f aca="false">C98</f>
        <v>0.006</v>
      </c>
      <c r="H98" s="8" t="s">
        <v>94</v>
      </c>
    </row>
    <row r="99" customFormat="false" ht="15" hidden="false" customHeight="false" outlineLevel="0" collapsed="false">
      <c r="A99" s="7" t="s">
        <v>218</v>
      </c>
      <c r="B99" s="8" t="s">
        <v>64</v>
      </c>
      <c r="C99" s="23" t="n">
        <v>0.03</v>
      </c>
      <c r="G99" s="24" t="n">
        <f aca="false">C99</f>
        <v>0.03</v>
      </c>
      <c r="H99" s="8" t="s">
        <v>94</v>
      </c>
    </row>
    <row r="100" customFormat="false" ht="15" hidden="false" customHeight="false" outlineLevel="0" collapsed="false">
      <c r="A100" s="22" t="s">
        <v>219</v>
      </c>
    </row>
    <row r="101" customFormat="false" ht="15" hidden="false" customHeight="false" outlineLevel="0" collapsed="false">
      <c r="A101" s="7" t="s">
        <v>220</v>
      </c>
      <c r="B101" s="8" t="s">
        <v>221</v>
      </c>
      <c r="C101" s="29" t="n">
        <v>0.0075</v>
      </c>
      <c r="G101" s="30" t="n">
        <f aca="false">C101</f>
        <v>0.0075</v>
      </c>
      <c r="H101" s="8" t="s">
        <v>222</v>
      </c>
    </row>
    <row r="102" customFormat="false" ht="15" hidden="false" customHeight="false" outlineLevel="0" collapsed="false">
      <c r="A102" s="7" t="s">
        <v>223</v>
      </c>
      <c r="B102" s="8" t="s">
        <v>123</v>
      </c>
      <c r="C102" s="38" t="n">
        <v>2</v>
      </c>
      <c r="G102" s="39" t="n">
        <f aca="false">C102</f>
        <v>2</v>
      </c>
      <c r="H102" s="8" t="s">
        <v>94</v>
      </c>
    </row>
    <row r="103" customFormat="false" ht="15" hidden="false" customHeight="false" outlineLevel="0" collapsed="false">
      <c r="A103" s="7" t="s">
        <v>224</v>
      </c>
      <c r="B103" s="8" t="s">
        <v>221</v>
      </c>
      <c r="C103" s="29" t="n">
        <v>0.005</v>
      </c>
      <c r="G103" s="30" t="n">
        <f aca="false">C103</f>
        <v>0.005</v>
      </c>
      <c r="H103" s="8" t="s">
        <v>94</v>
      </c>
    </row>
    <row r="104" customFormat="false" ht="15" hidden="false" customHeight="false" outlineLevel="0" collapsed="false">
      <c r="A104" s="7" t="s">
        <v>225</v>
      </c>
      <c r="B104" s="8" t="s">
        <v>64</v>
      </c>
      <c r="C104" s="36" t="n">
        <v>0.018</v>
      </c>
      <c r="G104" s="37" t="n">
        <f aca="false">C104</f>
        <v>0.018</v>
      </c>
      <c r="H104" s="8" t="s">
        <v>226</v>
      </c>
    </row>
    <row r="105" customFormat="false" ht="15" hidden="false" customHeight="false" outlineLevel="0" collapsed="false">
      <c r="A105" s="7" t="s">
        <v>227</v>
      </c>
      <c r="B105" s="8" t="s">
        <v>64</v>
      </c>
      <c r="C105" s="23" t="n">
        <v>3.5</v>
      </c>
      <c r="G105" s="24" t="n">
        <f aca="false">C105</f>
        <v>3.5</v>
      </c>
      <c r="H105" s="8" t="s">
        <v>228</v>
      </c>
    </row>
    <row r="106" customFormat="false" ht="15" hidden="false" customHeight="false" outlineLevel="0" collapsed="false">
      <c r="A106" s="7" t="s">
        <v>229</v>
      </c>
      <c r="B106" s="8" t="s">
        <v>76</v>
      </c>
      <c r="C106" s="25" t="n">
        <v>0.625</v>
      </c>
      <c r="G106" s="26" t="n">
        <f aca="false">C106</f>
        <v>0.625</v>
      </c>
      <c r="H106" s="8" t="s">
        <v>230</v>
      </c>
    </row>
    <row r="107" customFormat="false" ht="15" hidden="false" customHeight="false" outlineLevel="0" collapsed="false">
      <c r="A107" s="22" t="s">
        <v>231</v>
      </c>
    </row>
    <row r="108" customFormat="false" ht="15" hidden="false" customHeight="false" outlineLevel="0" collapsed="false">
      <c r="A108" s="7" t="s">
        <v>232</v>
      </c>
      <c r="B108" s="8" t="s">
        <v>11</v>
      </c>
      <c r="C108" s="32" t="n">
        <v>50000</v>
      </c>
      <c r="G108" s="33" t="n">
        <f aca="false">C108</f>
        <v>50000</v>
      </c>
      <c r="H108" s="8" t="s">
        <v>233</v>
      </c>
    </row>
    <row r="109" customFormat="false" ht="15" hidden="false" customHeight="false" outlineLevel="0" collapsed="false">
      <c r="A109" s="7" t="s">
        <v>234</v>
      </c>
      <c r="B109" s="8" t="s">
        <v>76</v>
      </c>
      <c r="C109" s="25" t="n">
        <v>0.05</v>
      </c>
      <c r="G109" s="26" t="n">
        <f aca="false">C109</f>
        <v>0.05</v>
      </c>
      <c r="H109" s="8" t="s">
        <v>235</v>
      </c>
    </row>
    <row r="110" customFormat="false" ht="15" hidden="false" customHeight="false" outlineLevel="0" collapsed="false">
      <c r="A110" s="7" t="s">
        <v>236</v>
      </c>
      <c r="B110" s="8" t="s">
        <v>76</v>
      </c>
      <c r="C110" s="25" t="n">
        <v>0.3</v>
      </c>
      <c r="G110" s="26" t="n">
        <f aca="false">C110</f>
        <v>0.3</v>
      </c>
      <c r="H110" s="8" t="s">
        <v>235</v>
      </c>
    </row>
    <row r="111" customFormat="false" ht="15" hidden="false" customHeight="false" outlineLevel="0" collapsed="false">
      <c r="A111" s="7" t="s">
        <v>237</v>
      </c>
      <c r="B111" s="8" t="s">
        <v>76</v>
      </c>
      <c r="C111" s="25" t="n">
        <v>0.28</v>
      </c>
      <c r="G111" s="26" t="n">
        <f aca="false">C111</f>
        <v>0.28</v>
      </c>
      <c r="H111" s="8" t="s">
        <v>238</v>
      </c>
    </row>
    <row r="112" customFormat="false" ht="15" hidden="false" customHeight="false" outlineLevel="0" collapsed="false">
      <c r="A112" s="7" t="s">
        <v>239</v>
      </c>
      <c r="B112" s="8" t="s">
        <v>11</v>
      </c>
      <c r="C112" s="32" t="n">
        <v>50000</v>
      </c>
      <c r="G112" s="33" t="n">
        <f aca="false">C112</f>
        <v>50000</v>
      </c>
      <c r="H112" s="8" t="s">
        <v>240</v>
      </c>
    </row>
    <row r="113" customFormat="false" ht="15" hidden="false" customHeight="false" outlineLevel="0" collapsed="false">
      <c r="A113" s="7" t="s">
        <v>241</v>
      </c>
      <c r="B113" s="8" t="s">
        <v>166</v>
      </c>
      <c r="C113" s="25" t="n">
        <v>0.08</v>
      </c>
      <c r="G113" s="26" t="n">
        <f aca="false">C113</f>
        <v>0.08</v>
      </c>
      <c r="H113" s="8" t="s">
        <v>121</v>
      </c>
    </row>
    <row r="114" customFormat="false" ht="15" hidden="false" customHeight="false" outlineLevel="0" collapsed="false">
      <c r="A114" s="7" t="s">
        <v>242</v>
      </c>
      <c r="B114" s="8" t="s">
        <v>11</v>
      </c>
      <c r="C114" s="32" t="n">
        <v>25000</v>
      </c>
      <c r="G114" s="33" t="n">
        <f aca="false">C114</f>
        <v>25000</v>
      </c>
      <c r="H114" s="8" t="s">
        <v>243</v>
      </c>
    </row>
    <row r="115" customFormat="false" ht="15" hidden="false" customHeight="false" outlineLevel="0" collapsed="false">
      <c r="A115" s="7" t="s">
        <v>244</v>
      </c>
      <c r="B115" s="8" t="s">
        <v>245</v>
      </c>
      <c r="C115" s="32" t="n">
        <v>25000</v>
      </c>
      <c r="G115" s="33" t="n">
        <f aca="false">C115</f>
        <v>25000</v>
      </c>
      <c r="H115" s="8" t="s">
        <v>246</v>
      </c>
    </row>
    <row r="116" customFormat="false" ht="15" hidden="false" customHeight="false" outlineLevel="0" collapsed="false">
      <c r="A116" s="7" t="s">
        <v>247</v>
      </c>
      <c r="B116" s="8" t="s">
        <v>248</v>
      </c>
      <c r="C116" s="32" t="n">
        <v>5000</v>
      </c>
      <c r="G116" s="33" t="n">
        <f aca="false">C116</f>
        <v>5000</v>
      </c>
      <c r="H116" s="8" t="s">
        <v>94</v>
      </c>
    </row>
    <row r="117" customFormat="false" ht="15" hidden="false" customHeight="false" outlineLevel="0" collapsed="false">
      <c r="A117" s="22" t="s">
        <v>249</v>
      </c>
    </row>
    <row r="118" customFormat="false" ht="15" hidden="false" customHeight="false" outlineLevel="0" collapsed="false">
      <c r="A118" s="7" t="s">
        <v>250</v>
      </c>
      <c r="B118" s="8" t="s">
        <v>82</v>
      </c>
      <c r="C118" s="29" t="n">
        <v>0.004</v>
      </c>
      <c r="G118" s="30" t="n">
        <f aca="false">C118</f>
        <v>0.004</v>
      </c>
      <c r="H118" s="8" t="s">
        <v>251</v>
      </c>
    </row>
    <row r="119" customFormat="false" ht="15" hidden="false" customHeight="false" outlineLevel="0" collapsed="false">
      <c r="A119" s="7" t="s">
        <v>252</v>
      </c>
      <c r="B119" s="8" t="s">
        <v>82</v>
      </c>
      <c r="C119" s="29" t="n">
        <v>0.002</v>
      </c>
      <c r="G119" s="30" t="n">
        <f aca="false">C119</f>
        <v>0.002</v>
      </c>
      <c r="H119" s="8" t="s">
        <v>253</v>
      </c>
    </row>
    <row r="120" customFormat="false" ht="15" hidden="false" customHeight="false" outlineLevel="0" collapsed="false">
      <c r="A120" s="7" t="s">
        <v>254</v>
      </c>
      <c r="B120" s="8" t="s">
        <v>20</v>
      </c>
      <c r="C120" s="31" t="n">
        <v>2028</v>
      </c>
      <c r="G120" s="21" t="n">
        <f aca="false">C120</f>
        <v>2028</v>
      </c>
      <c r="H120" s="8" t="s">
        <v>255</v>
      </c>
    </row>
    <row r="121" customFormat="false" ht="15" hidden="false" customHeight="false" outlineLevel="0" collapsed="false">
      <c r="A121" s="7" t="s">
        <v>256</v>
      </c>
      <c r="B121" s="8" t="s">
        <v>11</v>
      </c>
      <c r="C121" s="23" t="n">
        <v>7</v>
      </c>
      <c r="G121" s="24" t="n">
        <f aca="false">C121</f>
        <v>7</v>
      </c>
      <c r="H121" s="8" t="s">
        <v>257</v>
      </c>
    </row>
    <row r="122" customFormat="false" ht="15" hidden="false" customHeight="false" outlineLevel="0" collapsed="false">
      <c r="A122" s="7" t="s">
        <v>258</v>
      </c>
      <c r="B122" s="8" t="s">
        <v>259</v>
      </c>
      <c r="C122" s="23" t="n">
        <v>0.5</v>
      </c>
      <c r="G122" s="24" t="n">
        <f aca="false">C122</f>
        <v>0.5</v>
      </c>
      <c r="H122" s="8" t="s">
        <v>260</v>
      </c>
    </row>
    <row r="123" customFormat="false" ht="15" hidden="false" customHeight="false" outlineLevel="0" collapsed="false">
      <c r="A123" s="22" t="s">
        <v>261</v>
      </c>
    </row>
    <row r="124" customFormat="false" ht="15" hidden="false" customHeight="false" outlineLevel="0" collapsed="false">
      <c r="A124" s="7" t="s">
        <v>262</v>
      </c>
      <c r="B124" s="8" t="s">
        <v>76</v>
      </c>
      <c r="C124" s="29" t="n">
        <v>0.2375</v>
      </c>
      <c r="G124" s="30" t="n">
        <f aca="false">C124</f>
        <v>0.2375</v>
      </c>
      <c r="H124" s="8" t="s">
        <v>263</v>
      </c>
    </row>
    <row r="125" customFormat="false" ht="15" hidden="false" customHeight="false" outlineLevel="0" collapsed="false">
      <c r="A125" s="7" t="s">
        <v>264</v>
      </c>
      <c r="B125" s="8" t="s">
        <v>76</v>
      </c>
      <c r="C125" s="25" t="n">
        <v>0.02</v>
      </c>
      <c r="G125" s="26" t="n">
        <f aca="false">C125</f>
        <v>0.02</v>
      </c>
      <c r="H125" s="8" t="s">
        <v>94</v>
      </c>
    </row>
    <row r="126" customFormat="false" ht="15" hidden="false" customHeight="false" outlineLevel="0" collapsed="false">
      <c r="A126" s="7" t="s">
        <v>265</v>
      </c>
      <c r="B126" s="8" t="s">
        <v>245</v>
      </c>
      <c r="C126" s="32" t="n">
        <v>2000</v>
      </c>
      <c r="G126" s="33" t="n">
        <f aca="false">C126</f>
        <v>2000</v>
      </c>
      <c r="H126" s="8" t="s">
        <v>266</v>
      </c>
    </row>
    <row r="127" customFormat="false" ht="15" hidden="false" customHeight="false" outlineLevel="0" collapsed="false">
      <c r="A127" s="7" t="s">
        <v>267</v>
      </c>
      <c r="B127" s="8" t="s">
        <v>76</v>
      </c>
      <c r="C127" s="25" t="n">
        <v>0.03</v>
      </c>
      <c r="G127" s="26" t="n">
        <f aca="false">C127</f>
        <v>0.03</v>
      </c>
      <c r="H127" s="8" t="s">
        <v>94</v>
      </c>
    </row>
    <row r="128" customFormat="false" ht="15" hidden="false" customHeight="false" outlineLevel="0" collapsed="false">
      <c r="A128" s="7" t="s">
        <v>268</v>
      </c>
      <c r="B128" s="8" t="s">
        <v>269</v>
      </c>
      <c r="C128" s="38" t="n">
        <v>0.7333</v>
      </c>
      <c r="G128" s="39" t="n">
        <f aca="false">C128</f>
        <v>0.7333</v>
      </c>
      <c r="H128" s="8" t="s">
        <v>270</v>
      </c>
    </row>
    <row r="129" customFormat="false" ht="15" hidden="false" customHeight="false" outlineLevel="0" collapsed="false">
      <c r="A129" s="7" t="s">
        <v>271</v>
      </c>
      <c r="B129" s="8" t="s">
        <v>269</v>
      </c>
      <c r="C129" s="38" t="n">
        <v>0.6</v>
      </c>
      <c r="G129" s="39" t="n">
        <f aca="false">C129</f>
        <v>0.6</v>
      </c>
      <c r="H129" s="8" t="s">
        <v>272</v>
      </c>
    </row>
    <row r="130" customFormat="false" ht="15" hidden="false" customHeight="false" outlineLevel="0" collapsed="false">
      <c r="A130" s="7" t="s">
        <v>273</v>
      </c>
      <c r="B130" s="8" t="s">
        <v>274</v>
      </c>
      <c r="C130" s="32" t="n">
        <v>8</v>
      </c>
      <c r="G130" s="33" t="n">
        <f aca="false">C130</f>
        <v>8</v>
      </c>
      <c r="H130" s="8" t="s">
        <v>275</v>
      </c>
    </row>
    <row r="131" customFormat="false" ht="15" hidden="false" customHeight="false" outlineLevel="0" collapsed="false">
      <c r="A131" s="7" t="s">
        <v>276</v>
      </c>
      <c r="B131" s="8" t="s">
        <v>245</v>
      </c>
      <c r="C131" s="32" t="n">
        <v>60000</v>
      </c>
      <c r="G131" s="33" t="n">
        <f aca="false">C131</f>
        <v>60000</v>
      </c>
      <c r="H131" s="8" t="s">
        <v>277</v>
      </c>
    </row>
    <row r="132" customFormat="false" ht="15" hidden="false" customHeight="false" outlineLevel="0" collapsed="false">
      <c r="A132" s="7" t="s">
        <v>278</v>
      </c>
      <c r="B132" s="8" t="s">
        <v>279</v>
      </c>
      <c r="C132" s="25" t="n">
        <v>0</v>
      </c>
      <c r="G132" s="26" t="n">
        <f aca="false">C132</f>
        <v>0</v>
      </c>
      <c r="H132" s="8" t="s">
        <v>94</v>
      </c>
    </row>
    <row r="133" customFormat="false" ht="15" hidden="false" customHeight="false" outlineLevel="0" collapsed="false">
      <c r="A133" s="7" t="s">
        <v>280</v>
      </c>
      <c r="B133" s="8" t="s">
        <v>245</v>
      </c>
      <c r="C133" s="32" t="n">
        <v>65000</v>
      </c>
      <c r="G133" s="33" t="n">
        <f aca="false">C133</f>
        <v>65000</v>
      </c>
      <c r="H133" s="8" t="s">
        <v>277</v>
      </c>
    </row>
    <row r="134" customFormat="false" ht="15" hidden="false" customHeight="false" outlineLevel="0" collapsed="false">
      <c r="A134" s="7" t="s">
        <v>281</v>
      </c>
      <c r="B134" s="8" t="s">
        <v>279</v>
      </c>
      <c r="C134" s="25" t="n">
        <v>0</v>
      </c>
      <c r="G134" s="26" t="n">
        <f aca="false">C134</f>
        <v>0</v>
      </c>
      <c r="H134" s="8" t="s">
        <v>94</v>
      </c>
    </row>
    <row r="135" customFormat="false" ht="15" hidden="false" customHeight="false" outlineLevel="0" collapsed="false">
      <c r="A135" s="7" t="s">
        <v>282</v>
      </c>
      <c r="B135" s="8" t="s">
        <v>245</v>
      </c>
      <c r="C135" s="32" t="n">
        <v>45000</v>
      </c>
      <c r="G135" s="33" t="n">
        <f aca="false">C135</f>
        <v>45000</v>
      </c>
      <c r="H135" s="8" t="s">
        <v>277</v>
      </c>
    </row>
    <row r="136" customFormat="false" ht="15" hidden="false" customHeight="false" outlineLevel="0" collapsed="false">
      <c r="A136" s="7" t="s">
        <v>283</v>
      </c>
      <c r="B136" s="8" t="s">
        <v>279</v>
      </c>
      <c r="C136" s="25" t="n">
        <v>0</v>
      </c>
      <c r="G136" s="26" t="n">
        <f aca="false">C136</f>
        <v>0</v>
      </c>
      <c r="H136" s="8" t="s">
        <v>94</v>
      </c>
    </row>
    <row r="137" customFormat="false" ht="15" hidden="false" customHeight="false" outlineLevel="0" collapsed="false">
      <c r="A137" s="7" t="s">
        <v>284</v>
      </c>
      <c r="B137" s="8" t="s">
        <v>245</v>
      </c>
      <c r="C137" s="32" t="n">
        <v>60000</v>
      </c>
      <c r="G137" s="33" t="n">
        <f aca="false">C137</f>
        <v>60000</v>
      </c>
      <c r="H137" s="8" t="s">
        <v>277</v>
      </c>
    </row>
    <row r="138" customFormat="false" ht="15" hidden="false" customHeight="false" outlineLevel="0" collapsed="false">
      <c r="A138" s="7" t="s">
        <v>285</v>
      </c>
      <c r="B138" s="8" t="s">
        <v>279</v>
      </c>
      <c r="C138" s="25" t="n">
        <v>0</v>
      </c>
      <c r="G138" s="26" t="n">
        <f aca="false">C138</f>
        <v>0</v>
      </c>
      <c r="H138" s="8" t="s">
        <v>94</v>
      </c>
    </row>
    <row r="139" customFormat="false" ht="15" hidden="false" customHeight="false" outlineLevel="0" collapsed="false">
      <c r="A139" s="7" t="s">
        <v>286</v>
      </c>
      <c r="B139" s="8" t="s">
        <v>245</v>
      </c>
      <c r="C139" s="32" t="n">
        <v>45000</v>
      </c>
      <c r="G139" s="33" t="n">
        <f aca="false">C139</f>
        <v>45000</v>
      </c>
      <c r="H139" s="8" t="s">
        <v>277</v>
      </c>
    </row>
    <row r="140" customFormat="false" ht="15" hidden="false" customHeight="false" outlineLevel="0" collapsed="false">
      <c r="A140" s="7" t="s">
        <v>287</v>
      </c>
      <c r="B140" s="8" t="s">
        <v>279</v>
      </c>
      <c r="C140" s="25" t="n">
        <v>0</v>
      </c>
      <c r="G140" s="26" t="n">
        <f aca="false">C140</f>
        <v>0</v>
      </c>
      <c r="H140" s="8" t="s">
        <v>94</v>
      </c>
    </row>
    <row r="141" customFormat="false" ht="15" hidden="false" customHeight="false" outlineLevel="0" collapsed="false">
      <c r="A141" s="7" t="s">
        <v>288</v>
      </c>
      <c r="B141" s="8" t="s">
        <v>245</v>
      </c>
      <c r="C141" s="32" t="n">
        <v>38000</v>
      </c>
      <c r="G141" s="33" t="n">
        <f aca="false">C141</f>
        <v>38000</v>
      </c>
      <c r="H141" s="8" t="s">
        <v>277</v>
      </c>
    </row>
    <row r="142" customFormat="false" ht="15" hidden="false" customHeight="false" outlineLevel="0" collapsed="false">
      <c r="A142" s="7" t="s">
        <v>289</v>
      </c>
      <c r="B142" s="8" t="s">
        <v>279</v>
      </c>
      <c r="C142" s="25" t="n">
        <v>0</v>
      </c>
      <c r="G142" s="26" t="n">
        <f aca="false">C142</f>
        <v>0</v>
      </c>
      <c r="H142" s="8" t="s">
        <v>94</v>
      </c>
    </row>
    <row r="143" customFormat="false" ht="15" hidden="false" customHeight="false" outlineLevel="0" collapsed="false">
      <c r="A143" s="7" t="s">
        <v>290</v>
      </c>
      <c r="B143" s="8" t="s">
        <v>245</v>
      </c>
      <c r="C143" s="32" t="n">
        <v>32000</v>
      </c>
      <c r="G143" s="33" t="n">
        <f aca="false">C143</f>
        <v>32000</v>
      </c>
      <c r="H143" s="8" t="s">
        <v>277</v>
      </c>
    </row>
    <row r="144" customFormat="false" ht="15" hidden="false" customHeight="false" outlineLevel="0" collapsed="false">
      <c r="A144" s="7" t="s">
        <v>291</v>
      </c>
      <c r="B144" s="8" t="s">
        <v>279</v>
      </c>
      <c r="C144" s="25" t="n">
        <v>0</v>
      </c>
      <c r="G144" s="26" t="n">
        <f aca="false">C144</f>
        <v>0</v>
      </c>
      <c r="H144" s="8" t="s">
        <v>94</v>
      </c>
    </row>
    <row r="145" customFormat="false" ht="15" hidden="false" customHeight="false" outlineLevel="0" collapsed="false">
      <c r="A145" s="7" t="s">
        <v>292</v>
      </c>
      <c r="B145" s="8" t="s">
        <v>245</v>
      </c>
      <c r="C145" s="32" t="n">
        <v>30000</v>
      </c>
      <c r="G145" s="33" t="n">
        <f aca="false">C145</f>
        <v>30000</v>
      </c>
      <c r="H145" s="8" t="s">
        <v>277</v>
      </c>
    </row>
    <row r="146" customFormat="false" ht="15" hidden="false" customHeight="false" outlineLevel="0" collapsed="false">
      <c r="A146" s="7" t="s">
        <v>293</v>
      </c>
      <c r="B146" s="8" t="s">
        <v>279</v>
      </c>
      <c r="C146" s="25" t="n">
        <v>0.15</v>
      </c>
      <c r="G146" s="26" t="n">
        <f aca="false">C146</f>
        <v>0.15</v>
      </c>
      <c r="H146" s="8" t="s">
        <v>94</v>
      </c>
    </row>
    <row r="147" customFormat="false" ht="15" hidden="false" customHeight="false" outlineLevel="0" collapsed="false">
      <c r="A147" s="7" t="s">
        <v>294</v>
      </c>
      <c r="B147" s="8" t="s">
        <v>245</v>
      </c>
      <c r="C147" s="32" t="n">
        <v>45000</v>
      </c>
      <c r="G147" s="33" t="n">
        <f aca="false">C147</f>
        <v>45000</v>
      </c>
      <c r="H147" s="8" t="s">
        <v>277</v>
      </c>
    </row>
    <row r="148" customFormat="false" ht="15" hidden="false" customHeight="false" outlineLevel="0" collapsed="false">
      <c r="A148" s="7" t="s">
        <v>295</v>
      </c>
      <c r="B148" s="8" t="s">
        <v>279</v>
      </c>
      <c r="C148" s="25" t="n">
        <v>0</v>
      </c>
      <c r="G148" s="26" t="n">
        <f aca="false">C148</f>
        <v>0</v>
      </c>
      <c r="H148" s="8" t="s">
        <v>94</v>
      </c>
    </row>
    <row r="149" customFormat="false" ht="15" hidden="false" customHeight="false" outlineLevel="0" collapsed="false">
      <c r="A149" s="7" t="s">
        <v>296</v>
      </c>
      <c r="B149" s="8" t="s">
        <v>245</v>
      </c>
      <c r="C149" s="32" t="n">
        <v>40000</v>
      </c>
      <c r="G149" s="33" t="n">
        <f aca="false">C149</f>
        <v>40000</v>
      </c>
      <c r="H149" s="8" t="s">
        <v>277</v>
      </c>
    </row>
    <row r="150" customFormat="false" ht="15" hidden="false" customHeight="false" outlineLevel="0" collapsed="false">
      <c r="A150" s="7" t="s">
        <v>297</v>
      </c>
      <c r="B150" s="8" t="s">
        <v>279</v>
      </c>
      <c r="C150" s="25" t="n">
        <v>0</v>
      </c>
      <c r="G150" s="26" t="n">
        <f aca="false">C150</f>
        <v>0</v>
      </c>
      <c r="H150" s="8" t="s">
        <v>94</v>
      </c>
    </row>
    <row r="151" customFormat="false" ht="15" hidden="false" customHeight="false" outlineLevel="0" collapsed="false">
      <c r="A151" s="7" t="s">
        <v>298</v>
      </c>
      <c r="B151" s="8" t="s">
        <v>245</v>
      </c>
      <c r="C151" s="32" t="n">
        <v>24000</v>
      </c>
      <c r="G151" s="33" t="n">
        <f aca="false">C151</f>
        <v>24000</v>
      </c>
      <c r="H151" s="8" t="s">
        <v>277</v>
      </c>
    </row>
    <row r="152" customFormat="false" ht="15" hidden="false" customHeight="false" outlineLevel="0" collapsed="false">
      <c r="A152" s="7" t="s">
        <v>299</v>
      </c>
      <c r="B152" s="8" t="s">
        <v>279</v>
      </c>
      <c r="C152" s="25" t="n">
        <v>0</v>
      </c>
      <c r="G152" s="26" t="n">
        <f aca="false">C152</f>
        <v>0</v>
      </c>
      <c r="H152" s="8" t="s">
        <v>94</v>
      </c>
    </row>
    <row r="153" customFormat="false" ht="15" hidden="false" customHeight="false" outlineLevel="0" collapsed="false">
      <c r="A153" s="7" t="s">
        <v>300</v>
      </c>
      <c r="B153" s="8" t="s">
        <v>245</v>
      </c>
      <c r="C153" s="32" t="n">
        <v>45000</v>
      </c>
      <c r="G153" s="33" t="n">
        <f aca="false">C153</f>
        <v>45000</v>
      </c>
      <c r="H153" s="8" t="s">
        <v>277</v>
      </c>
    </row>
    <row r="154" customFormat="false" ht="15" hidden="false" customHeight="false" outlineLevel="0" collapsed="false">
      <c r="A154" s="7" t="s">
        <v>301</v>
      </c>
      <c r="B154" s="8" t="s">
        <v>279</v>
      </c>
      <c r="C154" s="25" t="n">
        <v>0.15</v>
      </c>
      <c r="G154" s="26" t="n">
        <f aca="false">C154</f>
        <v>0.15</v>
      </c>
      <c r="H154" s="8" t="s">
        <v>94</v>
      </c>
    </row>
    <row r="155" customFormat="false" ht="15" hidden="false" customHeight="false" outlineLevel="0" collapsed="false">
      <c r="A155" s="22" t="s">
        <v>302</v>
      </c>
    </row>
    <row r="156" customFormat="false" ht="15" hidden="false" customHeight="false" outlineLevel="0" collapsed="false">
      <c r="A156" s="7" t="s">
        <v>303</v>
      </c>
      <c r="B156" s="8" t="s">
        <v>76</v>
      </c>
      <c r="C156" s="25" t="n">
        <v>0.05</v>
      </c>
      <c r="G156" s="26" t="n">
        <f aca="false">C156</f>
        <v>0.05</v>
      </c>
      <c r="H156" s="8" t="s">
        <v>94</v>
      </c>
    </row>
    <row r="157" customFormat="false" ht="15" hidden="false" customHeight="false" outlineLevel="0" collapsed="false">
      <c r="A157" s="7" t="s">
        <v>304</v>
      </c>
      <c r="B157" s="8" t="s">
        <v>76</v>
      </c>
      <c r="C157" s="25" t="n">
        <v>0.02</v>
      </c>
      <c r="G157" s="26" t="n">
        <f aca="false">C157</f>
        <v>0.02</v>
      </c>
      <c r="H157" s="8" t="s">
        <v>94</v>
      </c>
    </row>
    <row r="158" customFormat="false" ht="15" hidden="false" customHeight="false" outlineLevel="0" collapsed="false">
      <c r="A158" s="22" t="s">
        <v>305</v>
      </c>
    </row>
    <row r="159" customFormat="false" ht="15" hidden="false" customHeight="false" outlineLevel="0" collapsed="false">
      <c r="A159" s="7" t="s">
        <v>306</v>
      </c>
      <c r="B159" s="8" t="s">
        <v>11</v>
      </c>
      <c r="C159" s="32" t="n">
        <v>45000</v>
      </c>
      <c r="G159" s="33" t="n">
        <f aca="false">C159</f>
        <v>45000</v>
      </c>
      <c r="H159" s="8" t="s">
        <v>307</v>
      </c>
    </row>
    <row r="160" customFormat="false" ht="15" hidden="false" customHeight="false" outlineLevel="0" collapsed="false">
      <c r="A160" s="7" t="s">
        <v>308</v>
      </c>
      <c r="B160" s="8" t="s">
        <v>11</v>
      </c>
      <c r="C160" s="32" t="n">
        <v>20000</v>
      </c>
      <c r="G160" s="33" t="n">
        <f aca="false">C160</f>
        <v>20000</v>
      </c>
      <c r="H160" s="8" t="s">
        <v>307</v>
      </c>
    </row>
    <row r="161" customFormat="false" ht="15" hidden="false" customHeight="false" outlineLevel="0" collapsed="false">
      <c r="A161" s="7" t="s">
        <v>309</v>
      </c>
      <c r="B161" s="8" t="s">
        <v>11</v>
      </c>
      <c r="C161" s="32" t="n">
        <v>5000</v>
      </c>
      <c r="G161" s="33" t="n">
        <f aca="false">C161</f>
        <v>5000</v>
      </c>
      <c r="H161" s="8" t="s">
        <v>307</v>
      </c>
    </row>
    <row r="162" customFormat="false" ht="15" hidden="false" customHeight="false" outlineLevel="0" collapsed="false">
      <c r="A162" s="7" t="s">
        <v>310</v>
      </c>
      <c r="B162" s="8" t="s">
        <v>11</v>
      </c>
      <c r="C162" s="32" t="n">
        <v>15000</v>
      </c>
      <c r="G162" s="33" t="n">
        <f aca="false">C162</f>
        <v>15000</v>
      </c>
      <c r="H162" s="8" t="s">
        <v>307</v>
      </c>
    </row>
    <row r="163" customFormat="false" ht="15" hidden="false" customHeight="false" outlineLevel="0" collapsed="false">
      <c r="A163" s="7" t="s">
        <v>311</v>
      </c>
      <c r="B163" s="8" t="s">
        <v>11</v>
      </c>
      <c r="C163" s="32" t="n">
        <v>10000</v>
      </c>
      <c r="G163" s="33" t="n">
        <f aca="false">C163</f>
        <v>10000</v>
      </c>
      <c r="H163" s="8" t="s">
        <v>307</v>
      </c>
    </row>
    <row r="164" customFormat="false" ht="15" hidden="false" customHeight="false" outlineLevel="0" collapsed="false">
      <c r="A164" s="22" t="s">
        <v>312</v>
      </c>
    </row>
    <row r="165" customFormat="false" ht="15" hidden="false" customHeight="false" outlineLevel="0" collapsed="false">
      <c r="A165" s="7" t="s">
        <v>313</v>
      </c>
      <c r="B165" s="8" t="s">
        <v>314</v>
      </c>
      <c r="C165" s="32" t="n">
        <v>6000</v>
      </c>
      <c r="G165" s="33" t="n">
        <f aca="false">C165</f>
        <v>6000</v>
      </c>
      <c r="H165" s="8" t="s">
        <v>315</v>
      </c>
    </row>
    <row r="166" customFormat="false" ht="15" hidden="false" customHeight="false" outlineLevel="0" collapsed="false">
      <c r="A166" s="7" t="s">
        <v>316</v>
      </c>
      <c r="B166" s="8" t="s">
        <v>11</v>
      </c>
      <c r="C166" s="32" t="n">
        <v>2000</v>
      </c>
      <c r="G166" s="33" t="n">
        <f aca="false">C166</f>
        <v>2000</v>
      </c>
      <c r="H166" s="8" t="s">
        <v>94</v>
      </c>
    </row>
    <row r="167" customFormat="false" ht="15" hidden="false" customHeight="false" outlineLevel="0" collapsed="false">
      <c r="A167" s="7" t="s">
        <v>317</v>
      </c>
      <c r="B167" s="8" t="s">
        <v>318</v>
      </c>
      <c r="C167" s="32" t="n">
        <v>3</v>
      </c>
      <c r="G167" s="33" t="n">
        <f aca="false">C167</f>
        <v>3</v>
      </c>
      <c r="H167" s="8" t="s">
        <v>319</v>
      </c>
    </row>
    <row r="168" customFormat="false" ht="15" hidden="false" customHeight="false" outlineLevel="0" collapsed="false">
      <c r="A168" s="7" t="s">
        <v>320</v>
      </c>
      <c r="B168" s="8" t="s">
        <v>318</v>
      </c>
      <c r="C168" s="32" t="n">
        <v>4</v>
      </c>
      <c r="G168" s="33" t="n">
        <f aca="false">C168</f>
        <v>4</v>
      </c>
      <c r="H168" s="8" t="s">
        <v>319</v>
      </c>
    </row>
    <row r="169" customFormat="false" ht="15" hidden="false" customHeight="false" outlineLevel="0" collapsed="false">
      <c r="A169" s="7" t="s">
        <v>321</v>
      </c>
      <c r="B169" s="8" t="s">
        <v>318</v>
      </c>
      <c r="C169" s="32" t="n">
        <v>5</v>
      </c>
      <c r="G169" s="33" t="n">
        <f aca="false">C169</f>
        <v>5</v>
      </c>
      <c r="H169" s="8" t="s">
        <v>319</v>
      </c>
    </row>
    <row r="170" customFormat="false" ht="15" hidden="false" customHeight="false" outlineLevel="0" collapsed="false">
      <c r="A170" s="7" t="s">
        <v>322</v>
      </c>
      <c r="B170" s="8" t="s">
        <v>11</v>
      </c>
      <c r="C170" s="32" t="n">
        <v>150000</v>
      </c>
      <c r="G170" s="33" t="n">
        <f aca="false">C170</f>
        <v>150000</v>
      </c>
      <c r="H170" s="8" t="s">
        <v>323</v>
      </c>
    </row>
    <row r="171" customFormat="false" ht="15" hidden="false" customHeight="false" outlineLevel="0" collapsed="false">
      <c r="A171" s="22" t="s">
        <v>324</v>
      </c>
    </row>
    <row r="172" customFormat="false" ht="15" hidden="false" customHeight="false" outlineLevel="0" collapsed="false">
      <c r="A172" s="7" t="s">
        <v>325</v>
      </c>
      <c r="B172" s="8" t="s">
        <v>76</v>
      </c>
      <c r="C172" s="25" t="n">
        <v>0.15</v>
      </c>
      <c r="G172" s="26" t="n">
        <f aca="false">C172</f>
        <v>0.15</v>
      </c>
      <c r="H172" s="8" t="s">
        <v>326</v>
      </c>
    </row>
    <row r="173" customFormat="false" ht="15" hidden="false" customHeight="false" outlineLevel="0" collapsed="false">
      <c r="A173" s="7" t="s">
        <v>327</v>
      </c>
      <c r="B173" s="8" t="s">
        <v>11</v>
      </c>
      <c r="C173" s="32" t="n">
        <v>50000</v>
      </c>
      <c r="G173" s="33" t="n">
        <f aca="false">C173</f>
        <v>50000</v>
      </c>
      <c r="H173" s="8" t="s">
        <v>319</v>
      </c>
    </row>
    <row r="174" customFormat="false" ht="15" hidden="false" customHeight="false" outlineLevel="0" collapsed="false">
      <c r="A174" s="7" t="s">
        <v>328</v>
      </c>
      <c r="B174" s="8" t="s">
        <v>329</v>
      </c>
      <c r="C174" s="29" t="n">
        <v>0.015</v>
      </c>
      <c r="G174" s="30" t="n">
        <f aca="false">C174</f>
        <v>0.015</v>
      </c>
      <c r="H174" s="8" t="s">
        <v>330</v>
      </c>
    </row>
    <row r="175" customFormat="false" ht="15" hidden="false" customHeight="false" outlineLevel="0" collapsed="false">
      <c r="A175" s="7" t="s">
        <v>331</v>
      </c>
      <c r="B175" s="8" t="s">
        <v>11</v>
      </c>
      <c r="C175" s="32" t="n">
        <v>1500000</v>
      </c>
      <c r="G175" s="33" t="n">
        <f aca="false">C175</f>
        <v>1500000</v>
      </c>
      <c r="H175" s="8" t="s">
        <v>332</v>
      </c>
    </row>
    <row r="176" customFormat="false" ht="15" hidden="false" customHeight="false" outlineLevel="0" collapsed="false">
      <c r="A176" s="7" t="s">
        <v>333</v>
      </c>
      <c r="B176" s="8" t="s">
        <v>76</v>
      </c>
      <c r="C176" s="25" t="n">
        <v>0.03</v>
      </c>
      <c r="G176" s="26" t="n">
        <f aca="false">C176</f>
        <v>0.03</v>
      </c>
      <c r="H176" s="8" t="s">
        <v>319</v>
      </c>
    </row>
    <row r="177" customFormat="false" ht="15" hidden="false" customHeight="false" outlineLevel="0" collapsed="false">
      <c r="A177" s="7" t="s">
        <v>334</v>
      </c>
      <c r="B177" s="8" t="s">
        <v>11</v>
      </c>
      <c r="C177" s="32" t="n">
        <v>7500000</v>
      </c>
      <c r="G177" s="33" t="n">
        <f aca="false">C177</f>
        <v>7500000</v>
      </c>
      <c r="H177" s="8" t="s">
        <v>319</v>
      </c>
    </row>
    <row r="178" customFormat="false" ht="15" hidden="false" customHeight="false" outlineLevel="0" collapsed="false">
      <c r="A178" s="7" t="s">
        <v>335</v>
      </c>
      <c r="B178" s="8" t="s">
        <v>76</v>
      </c>
      <c r="C178" s="25" t="n">
        <v>0.05</v>
      </c>
      <c r="G178" s="26" t="n">
        <f aca="false">C178</f>
        <v>0.05</v>
      </c>
      <c r="H178" s="8" t="s">
        <v>319</v>
      </c>
    </row>
    <row r="179" customFormat="false" ht="15" hidden="false" customHeight="false" outlineLevel="0" collapsed="false">
      <c r="A179" s="7" t="s">
        <v>336</v>
      </c>
      <c r="B179" s="8" t="s">
        <v>11</v>
      </c>
      <c r="C179" s="32" t="n">
        <v>35000000</v>
      </c>
      <c r="G179" s="33" t="n">
        <f aca="false">C179</f>
        <v>35000000</v>
      </c>
      <c r="H179" s="8" t="s">
        <v>319</v>
      </c>
    </row>
    <row r="180" customFormat="false" ht="15" hidden="false" customHeight="false" outlineLevel="0" collapsed="false">
      <c r="A180" s="7" t="s">
        <v>337</v>
      </c>
      <c r="B180" s="8" t="s">
        <v>76</v>
      </c>
      <c r="C180" s="25" t="n">
        <v>0.09</v>
      </c>
      <c r="G180" s="26" t="n">
        <f aca="false">C180</f>
        <v>0.09</v>
      </c>
      <c r="H180" s="8" t="s">
        <v>319</v>
      </c>
    </row>
    <row r="181" customFormat="false" ht="15" hidden="false" customHeight="false" outlineLevel="0" collapsed="false">
      <c r="A181" s="7" t="s">
        <v>338</v>
      </c>
      <c r="B181" s="8" t="s">
        <v>329</v>
      </c>
      <c r="C181" s="25" t="n">
        <v>0.65</v>
      </c>
      <c r="G181" s="26" t="n">
        <f aca="false">C181</f>
        <v>0.65</v>
      </c>
      <c r="H181" s="8" t="s">
        <v>339</v>
      </c>
    </row>
    <row r="182" customFormat="false" ht="15" hidden="false" customHeight="false" outlineLevel="0" collapsed="false">
      <c r="A182" s="22" t="s">
        <v>340</v>
      </c>
    </row>
    <row r="183" customFormat="false" ht="15" hidden="false" customHeight="false" outlineLevel="0" collapsed="false">
      <c r="A183" s="7" t="s">
        <v>341</v>
      </c>
      <c r="B183" s="8" t="s">
        <v>120</v>
      </c>
      <c r="C183" s="34" t="n">
        <v>3</v>
      </c>
      <c r="G183" s="35" t="n">
        <f aca="false">C183</f>
        <v>3</v>
      </c>
      <c r="H183" s="8" t="s">
        <v>342</v>
      </c>
    </row>
    <row r="184" customFormat="false" ht="15" hidden="false" customHeight="false" outlineLevel="0" collapsed="false">
      <c r="A184" s="7" t="s">
        <v>343</v>
      </c>
      <c r="B184" s="8" t="s">
        <v>120</v>
      </c>
      <c r="C184" s="34" t="n">
        <v>17</v>
      </c>
      <c r="G184" s="35" t="n">
        <f aca="false">C184</f>
        <v>17</v>
      </c>
      <c r="H184" s="8" t="s">
        <v>342</v>
      </c>
    </row>
    <row r="185" customFormat="false" ht="15" hidden="false" customHeight="false" outlineLevel="0" collapsed="false">
      <c r="A185" s="7" t="s">
        <v>344</v>
      </c>
      <c r="B185" s="8" t="s">
        <v>76</v>
      </c>
      <c r="C185" s="25" t="n">
        <v>0.198</v>
      </c>
      <c r="G185" s="26" t="n">
        <f aca="false">C185</f>
        <v>0.198</v>
      </c>
      <c r="H185" s="8" t="s">
        <v>171</v>
      </c>
    </row>
    <row r="186" customFormat="false" ht="15" hidden="false" customHeight="false" outlineLevel="0" collapsed="false">
      <c r="A186" s="7" t="s">
        <v>345</v>
      </c>
      <c r="B186" s="8" t="s">
        <v>76</v>
      </c>
      <c r="C186" s="25" t="n">
        <v>0.37</v>
      </c>
      <c r="G186" s="26" t="n">
        <f aca="false">C186</f>
        <v>0.37</v>
      </c>
      <c r="H186" s="8" t="s">
        <v>346</v>
      </c>
    </row>
    <row r="187" customFormat="false" ht="15" hidden="false" customHeight="false" outlineLevel="0" collapsed="false">
      <c r="A187" s="7" t="s">
        <v>347</v>
      </c>
      <c r="B187" s="8" t="s">
        <v>76</v>
      </c>
      <c r="C187" s="25" t="n">
        <v>0.57</v>
      </c>
      <c r="G187" s="26" t="n">
        <f aca="false">C187</f>
        <v>0.57</v>
      </c>
      <c r="H187" s="8" t="s">
        <v>346</v>
      </c>
    </row>
    <row r="188" customFormat="false" ht="15" hidden="false" customHeight="false" outlineLevel="0" collapsed="false">
      <c r="A188" s="7" t="s">
        <v>348</v>
      </c>
      <c r="B188" s="8" t="s">
        <v>349</v>
      </c>
      <c r="C188" s="25" t="n">
        <v>0.15</v>
      </c>
      <c r="G188" s="26" t="n">
        <f aca="false">C188</f>
        <v>0.15</v>
      </c>
      <c r="H188" s="8" t="s">
        <v>255</v>
      </c>
    </row>
    <row r="189" customFormat="false" ht="15" hidden="false" customHeight="false" outlineLevel="0" collapsed="false">
      <c r="A189" s="7" t="s">
        <v>350</v>
      </c>
      <c r="B189" s="8" t="s">
        <v>20</v>
      </c>
      <c r="C189" s="31" t="n">
        <v>2029</v>
      </c>
      <c r="G189" s="21" t="n">
        <f aca="false">C189</f>
        <v>2029</v>
      </c>
      <c r="H189" s="8" t="s">
        <v>351</v>
      </c>
    </row>
    <row r="190" customFormat="false" ht="15" hidden="false" customHeight="false" outlineLevel="0" collapsed="false">
      <c r="A190" s="22" t="s">
        <v>352</v>
      </c>
    </row>
    <row r="191" customFormat="false" ht="15" hidden="false" customHeight="false" outlineLevel="0" collapsed="false">
      <c r="A191" s="7" t="s">
        <v>353</v>
      </c>
      <c r="B191" s="8" t="s">
        <v>76</v>
      </c>
      <c r="C191" s="25" t="n">
        <v>0.1</v>
      </c>
      <c r="G191" s="26" t="n">
        <f aca="false">C191</f>
        <v>0.1</v>
      </c>
      <c r="H191" s="8" t="s">
        <v>354</v>
      </c>
    </row>
    <row r="192" customFormat="false" ht="15" hidden="false" customHeight="false" outlineLevel="0" collapsed="false">
      <c r="A192" s="7" t="s">
        <v>355</v>
      </c>
      <c r="B192" s="8" t="s">
        <v>76</v>
      </c>
      <c r="C192" s="25" t="n">
        <v>0.125</v>
      </c>
      <c r="G192" s="26" t="n">
        <f aca="false">C192</f>
        <v>0.125</v>
      </c>
      <c r="H192" s="8"/>
    </row>
    <row r="193" customFormat="false" ht="15" hidden="false" customHeight="false" outlineLevel="0" collapsed="false">
      <c r="A193" s="7" t="s">
        <v>356</v>
      </c>
      <c r="B193" s="8" t="s">
        <v>76</v>
      </c>
      <c r="C193" s="25" t="n">
        <v>0.15</v>
      </c>
      <c r="G193" s="26" t="n">
        <f aca="false">C193</f>
        <v>0.15</v>
      </c>
      <c r="H193" s="8"/>
    </row>
    <row r="194" customFormat="false" ht="15" hidden="false" customHeight="false" outlineLevel="0" collapsed="false">
      <c r="A194" s="7" t="s">
        <v>357</v>
      </c>
      <c r="B194" s="8" t="s">
        <v>76</v>
      </c>
      <c r="C194" s="25" t="n">
        <v>-0.3</v>
      </c>
      <c r="G194" s="26" t="n">
        <f aca="false">C194</f>
        <v>-0.3</v>
      </c>
      <c r="H194" s="8" t="s">
        <v>358</v>
      </c>
    </row>
    <row r="195" customFormat="false" ht="15" hidden="false" customHeight="false" outlineLevel="0" collapsed="false">
      <c r="A195" s="7" t="s">
        <v>359</v>
      </c>
      <c r="B195" s="8" t="s">
        <v>76</v>
      </c>
      <c r="C195" s="25" t="n">
        <v>0.3</v>
      </c>
      <c r="G195" s="26" t="n">
        <f aca="false">C195</f>
        <v>0.3</v>
      </c>
      <c r="H195" s="8"/>
    </row>
    <row r="196" customFormat="false" ht="15" hidden="false" customHeight="false" outlineLevel="0" collapsed="false">
      <c r="A196" s="7" t="s">
        <v>360</v>
      </c>
      <c r="B196" s="8" t="s">
        <v>64</v>
      </c>
      <c r="C196" s="23" t="n">
        <v>0.2</v>
      </c>
      <c r="G196" s="24" t="n">
        <f aca="false">C196</f>
        <v>0.2</v>
      </c>
      <c r="H196" s="8" t="s">
        <v>361</v>
      </c>
    </row>
    <row r="197" customFormat="false" ht="15" hidden="false" customHeight="false" outlineLevel="0" collapsed="false">
      <c r="A197" s="7" t="s">
        <v>362</v>
      </c>
      <c r="B197" s="8" t="s">
        <v>76</v>
      </c>
      <c r="C197" s="25" t="n">
        <v>-0.3</v>
      </c>
      <c r="G197" s="26" t="n">
        <f aca="false">C197</f>
        <v>-0.3</v>
      </c>
      <c r="H197" s="8" t="s">
        <v>363</v>
      </c>
    </row>
    <row r="198" customFormat="false" ht="15" hidden="false" customHeight="false" outlineLevel="0" collapsed="false">
      <c r="A198" s="7" t="s">
        <v>364</v>
      </c>
      <c r="B198" s="8" t="s">
        <v>76</v>
      </c>
      <c r="C198" s="25" t="n">
        <v>0.1</v>
      </c>
      <c r="G198" s="26" t="n">
        <f aca="false">C198</f>
        <v>0.1</v>
      </c>
      <c r="H198" s="8" t="s">
        <v>365</v>
      </c>
    </row>
    <row r="199" customFormat="false" ht="15" hidden="false" customHeight="false" outlineLevel="0" collapsed="false">
      <c r="A199" s="7" t="s">
        <v>366</v>
      </c>
      <c r="B199" s="8" t="s">
        <v>76</v>
      </c>
      <c r="C199" s="25" t="n">
        <v>0.12</v>
      </c>
      <c r="G199" s="26" t="n">
        <f aca="false">C199</f>
        <v>0.12</v>
      </c>
      <c r="H199" s="8"/>
    </row>
    <row r="200" customFormat="false" ht="15" hidden="false" customHeight="false" outlineLevel="0" collapsed="false">
      <c r="A200" s="7" t="s">
        <v>367</v>
      </c>
      <c r="B200" s="8" t="s">
        <v>79</v>
      </c>
      <c r="C200" s="27" t="n">
        <v>5</v>
      </c>
      <c r="G200" s="28" t="n">
        <f aca="false">C200</f>
        <v>5</v>
      </c>
      <c r="H200" s="8" t="s">
        <v>368</v>
      </c>
    </row>
    <row r="201" customFormat="false" ht="15" hidden="false" customHeight="false" outlineLevel="0" collapsed="false">
      <c r="A201" s="7" t="s">
        <v>369</v>
      </c>
      <c r="B201" s="8" t="s">
        <v>64</v>
      </c>
      <c r="C201" s="36" t="n">
        <v>0.187</v>
      </c>
      <c r="G201" s="37" t="n">
        <f aca="false">C201</f>
        <v>0.187</v>
      </c>
      <c r="H201" s="8" t="s">
        <v>370</v>
      </c>
    </row>
    <row r="202" customFormat="false" ht="15" hidden="false" customHeight="false" outlineLevel="0" collapsed="false">
      <c r="A202" s="7" t="s">
        <v>371</v>
      </c>
      <c r="B202" s="8" t="s">
        <v>64</v>
      </c>
      <c r="C202" s="36" t="n">
        <v>0.297</v>
      </c>
      <c r="G202" s="37" t="n">
        <f aca="false">C202</f>
        <v>0.297</v>
      </c>
      <c r="H202" s="8" t="s">
        <v>372</v>
      </c>
    </row>
    <row r="203" customFormat="false" ht="15" hidden="false" customHeight="false" outlineLevel="0" collapsed="false">
      <c r="A203" s="7" t="s">
        <v>373</v>
      </c>
      <c r="B203" s="8" t="s">
        <v>64</v>
      </c>
      <c r="C203" s="36" t="n">
        <v>0.499</v>
      </c>
      <c r="G203" s="37" t="n">
        <f aca="false">C203</f>
        <v>0.499</v>
      </c>
      <c r="H203" s="8" t="s">
        <v>374</v>
      </c>
    </row>
    <row r="204" customFormat="false" ht="15" hidden="false" customHeight="false" outlineLevel="0" collapsed="false">
      <c r="A204" s="7" t="s">
        <v>375</v>
      </c>
      <c r="B204" s="8" t="s">
        <v>76</v>
      </c>
      <c r="C204" s="25" t="n">
        <v>0.8</v>
      </c>
      <c r="G204" s="26" t="n">
        <f aca="false">C204</f>
        <v>0.8</v>
      </c>
      <c r="H204" s="8" t="s">
        <v>376</v>
      </c>
    </row>
    <row r="205" customFormat="false" ht="15" hidden="false" customHeight="false" outlineLevel="0" collapsed="false">
      <c r="A205" s="7" t="s">
        <v>377</v>
      </c>
      <c r="B205" s="8" t="s">
        <v>76</v>
      </c>
      <c r="C205" s="25" t="n">
        <v>0.85</v>
      </c>
      <c r="G205" s="26" t="n">
        <f aca="false">C205</f>
        <v>0.85</v>
      </c>
      <c r="H205" s="8" t="s">
        <v>376</v>
      </c>
    </row>
    <row r="206" customFormat="false" ht="15" hidden="false" customHeight="false" outlineLevel="0" collapsed="false">
      <c r="A206" s="7" t="s">
        <v>378</v>
      </c>
      <c r="B206" s="8" t="s">
        <v>76</v>
      </c>
      <c r="C206" s="25" t="n">
        <v>0.9</v>
      </c>
      <c r="G206" s="26" t="n">
        <f aca="false">C206</f>
        <v>0.9</v>
      </c>
      <c r="H206" s="8" t="s">
        <v>376</v>
      </c>
    </row>
    <row r="208" customFormat="false" ht="15" hidden="false" customHeight="false" outlineLevel="0" collapsed="false">
      <c r="A208" s="3" t="s">
        <v>379</v>
      </c>
      <c r="B208" s="4"/>
      <c r="C208" s="4"/>
      <c r="D208" s="4"/>
      <c r="E208" s="4"/>
      <c r="F208" s="4"/>
      <c r="G208" s="4"/>
      <c r="H208" s="4"/>
    </row>
    <row r="209" customFormat="false" ht="15" hidden="false" customHeight="false" outlineLevel="0" collapsed="false">
      <c r="A209" s="5" t="s">
        <v>380</v>
      </c>
      <c r="B209" s="5" t="s">
        <v>4</v>
      </c>
      <c r="C209" s="6" t="s">
        <v>381</v>
      </c>
      <c r="D209" s="6" t="s">
        <v>382</v>
      </c>
      <c r="E209" s="6" t="s">
        <v>383</v>
      </c>
      <c r="F209" s="6" t="s">
        <v>384</v>
      </c>
      <c r="G209" s="6" t="s">
        <v>385</v>
      </c>
      <c r="H209" s="6" t="s">
        <v>61</v>
      </c>
    </row>
    <row r="210" customFormat="false" ht="15" hidden="false" customHeight="false" outlineLevel="0" collapsed="false">
      <c r="A210" s="22" t="s">
        <v>386</v>
      </c>
    </row>
    <row r="211" customFormat="false" ht="15" hidden="false" customHeight="false" outlineLevel="0" collapsed="false">
      <c r="A211" s="11" t="s">
        <v>387</v>
      </c>
      <c r="B211" s="8" t="s">
        <v>123</v>
      </c>
      <c r="H211" s="8" t="s">
        <v>388</v>
      </c>
    </row>
    <row r="212" customFormat="false" ht="15" hidden="false" customHeight="false" outlineLevel="0" collapsed="false">
      <c r="A212" s="8" t="s">
        <v>389</v>
      </c>
      <c r="C212" s="32" t="n">
        <v>30</v>
      </c>
      <c r="D212" s="32" t="n">
        <v>100</v>
      </c>
      <c r="E212" s="32" t="n">
        <v>250</v>
      </c>
      <c r="F212" s="32" t="n">
        <v>400</v>
      </c>
      <c r="G212" s="32" t="n">
        <v>500</v>
      </c>
    </row>
    <row r="213" customFormat="false" ht="15" hidden="false" customHeight="false" outlineLevel="0" collapsed="false">
      <c r="A213" s="8" t="s">
        <v>390</v>
      </c>
      <c r="C213" s="32" t="n">
        <v>40</v>
      </c>
      <c r="D213" s="32" t="n">
        <v>180</v>
      </c>
      <c r="E213" s="32" t="n">
        <v>650</v>
      </c>
      <c r="F213" s="32" t="n">
        <v>1300</v>
      </c>
      <c r="G213" s="32" t="n">
        <v>2000</v>
      </c>
    </row>
    <row r="214" customFormat="false" ht="15" hidden="false" customHeight="false" outlineLevel="0" collapsed="false">
      <c r="A214" s="8" t="s">
        <v>391</v>
      </c>
      <c r="C214" s="32" t="n">
        <v>50</v>
      </c>
      <c r="D214" s="32" t="n">
        <v>300</v>
      </c>
      <c r="E214" s="32" t="n">
        <v>1000</v>
      </c>
      <c r="F214" s="32" t="n">
        <v>2000</v>
      </c>
      <c r="G214" s="32" t="n">
        <v>3000</v>
      </c>
    </row>
    <row r="215" customFormat="false" ht="15" hidden="false" customHeight="false" outlineLevel="0" collapsed="false">
      <c r="A215" s="8" t="s">
        <v>392</v>
      </c>
      <c r="C215" s="32" t="n">
        <v>40</v>
      </c>
      <c r="D215" s="32" t="n">
        <v>150</v>
      </c>
      <c r="E215" s="32" t="n">
        <v>400</v>
      </c>
      <c r="F215" s="32" t="n">
        <v>700</v>
      </c>
      <c r="G215" s="32" t="n">
        <v>1000</v>
      </c>
    </row>
    <row r="216" customFormat="false" ht="15" hidden="false" customHeight="false" outlineLevel="0" collapsed="false">
      <c r="A216" s="40" t="s">
        <v>393</v>
      </c>
      <c r="C216" s="33" t="n">
        <f aca="false">CHOOSE($E$4,C212,C213,C214,C215)</f>
        <v>40</v>
      </c>
      <c r="D216" s="33" t="n">
        <f aca="false">CHOOSE($E$4,D212,D213,D214,D215)</f>
        <v>180</v>
      </c>
      <c r="E216" s="33" t="n">
        <f aca="false">CHOOSE($E$4,E212,E213,E214,E215)</f>
        <v>650</v>
      </c>
      <c r="F216" s="33" t="n">
        <f aca="false">CHOOSE($E$4,F212,F213,F214,F215)</f>
        <v>1300</v>
      </c>
      <c r="G216" s="33" t="n">
        <f aca="false">CHOOSE($E$4,G212,G213,G214,G215)</f>
        <v>2000</v>
      </c>
    </row>
    <row r="217" customFormat="false" ht="15" hidden="false" customHeight="false" outlineLevel="0" collapsed="false">
      <c r="A217" s="11" t="s">
        <v>394</v>
      </c>
      <c r="B217" s="8" t="s">
        <v>120</v>
      </c>
      <c r="H217" s="8" t="s">
        <v>395</v>
      </c>
    </row>
    <row r="218" customFormat="false" ht="15" hidden="false" customHeight="false" outlineLevel="0" collapsed="false">
      <c r="A218" s="8" t="s">
        <v>389</v>
      </c>
      <c r="C218" s="34" t="n">
        <v>6</v>
      </c>
      <c r="D218" s="34" t="n">
        <v>21</v>
      </c>
      <c r="E218" s="34" t="n">
        <v>51</v>
      </c>
      <c r="F218" s="34" t="n">
        <v>82</v>
      </c>
      <c r="G218" s="34" t="n">
        <v>103</v>
      </c>
    </row>
    <row r="219" customFormat="false" ht="15" hidden="false" customHeight="false" outlineLevel="0" collapsed="false">
      <c r="A219" s="8" t="s">
        <v>390</v>
      </c>
      <c r="C219" s="34" t="n">
        <v>8</v>
      </c>
      <c r="D219" s="34" t="n">
        <v>37</v>
      </c>
      <c r="E219" s="34" t="n">
        <v>133</v>
      </c>
      <c r="F219" s="34" t="n">
        <v>267</v>
      </c>
      <c r="G219" s="34" t="n">
        <v>410</v>
      </c>
    </row>
    <row r="220" customFormat="false" ht="15" hidden="false" customHeight="false" outlineLevel="0" collapsed="false">
      <c r="A220" s="8" t="s">
        <v>391</v>
      </c>
      <c r="C220" s="34" t="n">
        <v>10</v>
      </c>
      <c r="D220" s="34" t="n">
        <v>62</v>
      </c>
      <c r="E220" s="34" t="n">
        <v>205</v>
      </c>
      <c r="F220" s="34" t="n">
        <v>410</v>
      </c>
      <c r="G220" s="34" t="n">
        <v>615</v>
      </c>
    </row>
    <row r="221" customFormat="false" ht="15" hidden="false" customHeight="false" outlineLevel="0" collapsed="false">
      <c r="A221" s="8" t="s">
        <v>392</v>
      </c>
      <c r="C221" s="34" t="n">
        <v>8.2</v>
      </c>
      <c r="D221" s="34" t="n">
        <v>30.75</v>
      </c>
      <c r="E221" s="34" t="n">
        <v>82</v>
      </c>
      <c r="F221" s="34" t="n">
        <v>143.5</v>
      </c>
      <c r="G221" s="34" t="n">
        <v>205</v>
      </c>
    </row>
    <row r="222" customFormat="false" ht="15" hidden="false" customHeight="false" outlineLevel="0" collapsed="false">
      <c r="A222" s="40" t="s">
        <v>393</v>
      </c>
      <c r="C222" s="35" t="n">
        <f aca="false">CHOOSE($E$4,C218,C219,C220,C221)</f>
        <v>8</v>
      </c>
      <c r="D222" s="35" t="n">
        <f aca="false">CHOOSE($E$4,D218,D219,D220,D221)</f>
        <v>37</v>
      </c>
      <c r="E222" s="35" t="n">
        <f aca="false">CHOOSE($E$4,E218,E219,E220,E221)</f>
        <v>133</v>
      </c>
      <c r="F222" s="35" t="n">
        <f aca="false">CHOOSE($E$4,F218,F219,F220,F221)</f>
        <v>267</v>
      </c>
      <c r="G222" s="35" t="n">
        <f aca="false">CHOOSE($E$4,G218,G219,G220,G221)</f>
        <v>410</v>
      </c>
    </row>
    <row r="223" customFormat="false" ht="15" hidden="false" customHeight="false" outlineLevel="0" collapsed="false">
      <c r="A223" s="11" t="s">
        <v>396</v>
      </c>
      <c r="B223" s="8" t="s">
        <v>120</v>
      </c>
      <c r="H223" s="8" t="s">
        <v>397</v>
      </c>
    </row>
    <row r="224" customFormat="false" ht="15" hidden="false" customHeight="false" outlineLevel="0" collapsed="false">
      <c r="A224" s="8" t="s">
        <v>389</v>
      </c>
      <c r="C224" s="34" t="n">
        <v>34</v>
      </c>
      <c r="D224" s="34" t="n">
        <v>129</v>
      </c>
      <c r="E224" s="34" t="n">
        <v>249</v>
      </c>
      <c r="F224" s="34" t="n">
        <v>368</v>
      </c>
      <c r="G224" s="34" t="n">
        <v>497</v>
      </c>
    </row>
    <row r="225" customFormat="false" ht="15" hidden="false" customHeight="false" outlineLevel="0" collapsed="false">
      <c r="A225" s="8" t="s">
        <v>390</v>
      </c>
      <c r="C225" s="34" t="n">
        <v>52</v>
      </c>
      <c r="D225" s="34" t="n">
        <v>363</v>
      </c>
      <c r="E225" s="34" t="n">
        <v>717</v>
      </c>
      <c r="F225" s="34" t="n">
        <v>1183</v>
      </c>
      <c r="G225" s="34" t="n">
        <v>1790</v>
      </c>
    </row>
    <row r="226" customFormat="false" ht="15" hidden="false" customHeight="false" outlineLevel="0" collapsed="false">
      <c r="A226" s="8" t="s">
        <v>391</v>
      </c>
      <c r="C226" s="34" t="n">
        <v>70</v>
      </c>
      <c r="D226" s="34" t="n">
        <v>588</v>
      </c>
      <c r="E226" s="34" t="n">
        <v>1095</v>
      </c>
      <c r="F226" s="34" t="n">
        <v>1790</v>
      </c>
      <c r="G226" s="34" t="n">
        <v>2685</v>
      </c>
    </row>
    <row r="227" customFormat="false" ht="15" hidden="false" customHeight="false" outlineLevel="0" collapsed="false">
      <c r="A227" s="8" t="s">
        <v>392</v>
      </c>
      <c r="C227" s="34" t="n">
        <v>52</v>
      </c>
      <c r="D227" s="34" t="n">
        <v>363</v>
      </c>
      <c r="E227" s="34" t="n">
        <v>717</v>
      </c>
      <c r="F227" s="34" t="n">
        <v>1183</v>
      </c>
      <c r="G227" s="34" t="n">
        <v>1790</v>
      </c>
    </row>
    <row r="228" customFormat="false" ht="15" hidden="false" customHeight="false" outlineLevel="0" collapsed="false">
      <c r="A228" s="40" t="s">
        <v>393</v>
      </c>
      <c r="C228" s="35" t="n">
        <f aca="false">CHOOSE($E$4,C224,C225,C226,C227)</f>
        <v>52</v>
      </c>
      <c r="D228" s="35" t="n">
        <f aca="false">CHOOSE($E$4,D224,D225,D226,D227)</f>
        <v>363</v>
      </c>
      <c r="E228" s="35" t="n">
        <f aca="false">CHOOSE($E$4,E224,E225,E226,E227)</f>
        <v>717</v>
      </c>
      <c r="F228" s="35" t="n">
        <f aca="false">CHOOSE($E$4,F224,F225,F226,F227)</f>
        <v>1183</v>
      </c>
      <c r="G228" s="35" t="n">
        <f aca="false">CHOOSE($E$4,G224,G225,G226,G227)</f>
        <v>1790</v>
      </c>
    </row>
    <row r="229" customFormat="false" ht="15" hidden="false" customHeight="false" outlineLevel="0" collapsed="false">
      <c r="A229" s="11" t="s">
        <v>398</v>
      </c>
      <c r="B229" s="8" t="s">
        <v>120</v>
      </c>
      <c r="H229" s="8" t="s">
        <v>399</v>
      </c>
    </row>
    <row r="230" customFormat="false" ht="15" hidden="false" customHeight="false" outlineLevel="0" collapsed="false">
      <c r="A230" s="8" t="s">
        <v>389</v>
      </c>
      <c r="C230" s="34" t="n">
        <v>0</v>
      </c>
      <c r="D230" s="34" t="n">
        <v>0</v>
      </c>
      <c r="E230" s="34" t="n">
        <v>0</v>
      </c>
      <c r="F230" s="34" t="n">
        <v>0</v>
      </c>
      <c r="G230" s="34" t="n">
        <v>0</v>
      </c>
    </row>
    <row r="231" customFormat="false" ht="15" hidden="false" customHeight="false" outlineLevel="0" collapsed="false">
      <c r="A231" s="8" t="s">
        <v>390</v>
      </c>
      <c r="C231" s="34" t="n">
        <v>0</v>
      </c>
      <c r="D231" s="34" t="n">
        <v>0</v>
      </c>
      <c r="E231" s="34" t="n">
        <v>0</v>
      </c>
      <c r="F231" s="34" t="n">
        <v>0</v>
      </c>
      <c r="G231" s="34" t="n">
        <v>0</v>
      </c>
    </row>
    <row r="232" customFormat="false" ht="15" hidden="false" customHeight="false" outlineLevel="0" collapsed="false">
      <c r="A232" s="8" t="s">
        <v>391</v>
      </c>
      <c r="C232" s="34" t="n">
        <v>0</v>
      </c>
      <c r="D232" s="34" t="n">
        <v>0</v>
      </c>
      <c r="E232" s="34" t="n">
        <v>0</v>
      </c>
      <c r="F232" s="34" t="n">
        <v>0</v>
      </c>
      <c r="G232" s="34" t="n">
        <v>0</v>
      </c>
    </row>
    <row r="233" customFormat="false" ht="15" hidden="false" customHeight="false" outlineLevel="0" collapsed="false">
      <c r="A233" s="8" t="s">
        <v>392</v>
      </c>
      <c r="C233" s="34" t="n">
        <v>0</v>
      </c>
      <c r="D233" s="34" t="n">
        <v>500</v>
      </c>
      <c r="E233" s="34" t="n">
        <v>1500</v>
      </c>
      <c r="F233" s="34" t="n">
        <v>2500</v>
      </c>
      <c r="G233" s="34" t="n">
        <v>3500</v>
      </c>
    </row>
    <row r="234" customFormat="false" ht="15" hidden="false" customHeight="false" outlineLevel="0" collapsed="false">
      <c r="A234" s="40" t="s">
        <v>393</v>
      </c>
      <c r="C234" s="35" t="n">
        <f aca="false">CHOOSE($E$4,C230,C231,C232,C233)</f>
        <v>0</v>
      </c>
      <c r="D234" s="35" t="n">
        <f aca="false">CHOOSE($E$4,D230,D231,D232,D233)</f>
        <v>0</v>
      </c>
      <c r="E234" s="35" t="n">
        <f aca="false">CHOOSE($E$4,E230,E231,E232,E233)</f>
        <v>0</v>
      </c>
      <c r="F234" s="35" t="n">
        <f aca="false">CHOOSE($E$4,F230,F231,F232,F233)</f>
        <v>0</v>
      </c>
      <c r="G234" s="35" t="n">
        <f aca="false">CHOOSE($E$4,G230,G231,G232,G233)</f>
        <v>0</v>
      </c>
    </row>
    <row r="235" customFormat="false" ht="15" hidden="false" customHeight="false" outlineLevel="0" collapsed="false">
      <c r="A235" s="22" t="s">
        <v>400</v>
      </c>
    </row>
    <row r="236" customFormat="false" ht="15" hidden="false" customHeight="false" outlineLevel="0" collapsed="false">
      <c r="A236" s="11" t="s">
        <v>401</v>
      </c>
      <c r="B236" s="8" t="s">
        <v>64</v>
      </c>
      <c r="H236" s="8" t="s">
        <v>402</v>
      </c>
    </row>
    <row r="237" customFormat="false" ht="15" hidden="false" customHeight="false" outlineLevel="0" collapsed="false">
      <c r="A237" s="8" t="s">
        <v>389</v>
      </c>
      <c r="C237" s="23" t="n">
        <v>0.32</v>
      </c>
      <c r="D237" s="23" t="n">
        <v>0.32</v>
      </c>
      <c r="E237" s="23" t="n">
        <v>0.31</v>
      </c>
      <c r="F237" s="23" t="n">
        <v>0.31</v>
      </c>
      <c r="G237" s="23" t="n">
        <v>0.3</v>
      </c>
    </row>
    <row r="238" customFormat="false" ht="15" hidden="false" customHeight="false" outlineLevel="0" collapsed="false">
      <c r="A238" s="8" t="s">
        <v>390</v>
      </c>
      <c r="C238" s="23" t="n">
        <v>0.3</v>
      </c>
      <c r="D238" s="23" t="n">
        <v>0.3</v>
      </c>
      <c r="E238" s="23" t="n">
        <v>0.28</v>
      </c>
      <c r="F238" s="23" t="n">
        <v>0.27</v>
      </c>
      <c r="G238" s="23" t="n">
        <v>0.27</v>
      </c>
    </row>
    <row r="239" customFormat="false" ht="15" hidden="false" customHeight="false" outlineLevel="0" collapsed="false">
      <c r="A239" s="8" t="s">
        <v>391</v>
      </c>
      <c r="C239" s="23" t="n">
        <v>0.3</v>
      </c>
      <c r="D239" s="23" t="n">
        <v>0.28</v>
      </c>
      <c r="E239" s="23" t="n">
        <v>0.26</v>
      </c>
      <c r="F239" s="23" t="n">
        <v>0.25</v>
      </c>
      <c r="G239" s="23" t="n">
        <v>0.25</v>
      </c>
    </row>
    <row r="240" customFormat="false" ht="15" hidden="false" customHeight="false" outlineLevel="0" collapsed="false">
      <c r="A240" s="8" t="s">
        <v>392</v>
      </c>
      <c r="C240" s="23" t="n">
        <v>0.3</v>
      </c>
      <c r="D240" s="23" t="n">
        <v>0.3</v>
      </c>
      <c r="E240" s="23" t="n">
        <v>0.28</v>
      </c>
      <c r="F240" s="23" t="n">
        <v>0.27</v>
      </c>
      <c r="G240" s="23" t="n">
        <v>0.27</v>
      </c>
    </row>
    <row r="241" customFormat="false" ht="15" hidden="false" customHeight="false" outlineLevel="0" collapsed="false">
      <c r="A241" s="40" t="s">
        <v>393</v>
      </c>
      <c r="C241" s="24" t="n">
        <f aca="false">CHOOSE($E$4,C237,C238,C239,C240)</f>
        <v>0.3</v>
      </c>
      <c r="D241" s="24" t="n">
        <f aca="false">CHOOSE($E$4,D237,D238,D239,D240)</f>
        <v>0.3</v>
      </c>
      <c r="E241" s="24" t="n">
        <f aca="false">CHOOSE($E$4,E237,E238,E239,E240)</f>
        <v>0.28</v>
      </c>
      <c r="F241" s="24" t="n">
        <f aca="false">CHOOSE($E$4,F237,F238,F239,F240)</f>
        <v>0.27</v>
      </c>
      <c r="G241" s="24" t="n">
        <f aca="false">CHOOSE($E$4,G237,G238,G239,G240)</f>
        <v>0.27</v>
      </c>
    </row>
    <row r="242" customFormat="false" ht="15" hidden="false" customHeight="false" outlineLevel="0" collapsed="false">
      <c r="A242" s="11" t="s">
        <v>403</v>
      </c>
      <c r="B242" s="8" t="s">
        <v>79</v>
      </c>
      <c r="H242" s="8" t="s">
        <v>404</v>
      </c>
    </row>
    <row r="243" customFormat="false" ht="15" hidden="false" customHeight="false" outlineLevel="0" collapsed="false">
      <c r="A243" s="8" t="s">
        <v>389</v>
      </c>
      <c r="C243" s="27" t="n">
        <v>180</v>
      </c>
      <c r="D243" s="27" t="n">
        <v>180</v>
      </c>
      <c r="E243" s="27" t="n">
        <v>180</v>
      </c>
      <c r="F243" s="27" t="n">
        <v>90</v>
      </c>
      <c r="G243" s="27" t="n">
        <v>60</v>
      </c>
    </row>
    <row r="244" customFormat="false" ht="15" hidden="false" customHeight="false" outlineLevel="0" collapsed="false">
      <c r="A244" s="8" t="s">
        <v>390</v>
      </c>
      <c r="C244" s="27" t="n">
        <v>180</v>
      </c>
      <c r="D244" s="27" t="n">
        <v>180</v>
      </c>
      <c r="E244" s="27" t="n">
        <v>45</v>
      </c>
      <c r="F244" s="27" t="n">
        <v>45</v>
      </c>
      <c r="G244" s="27" t="n">
        <v>45</v>
      </c>
    </row>
    <row r="245" customFormat="false" ht="15" hidden="false" customHeight="false" outlineLevel="0" collapsed="false">
      <c r="A245" s="8" t="s">
        <v>391</v>
      </c>
      <c r="C245" s="27" t="n">
        <v>180</v>
      </c>
      <c r="D245" s="27" t="n">
        <v>90</v>
      </c>
      <c r="E245" s="27" t="n">
        <v>45</v>
      </c>
      <c r="F245" s="27" t="n">
        <v>45</v>
      </c>
      <c r="G245" s="27" t="n">
        <v>45</v>
      </c>
    </row>
    <row r="246" customFormat="false" ht="15" hidden="false" customHeight="false" outlineLevel="0" collapsed="false">
      <c r="A246" s="8" t="s">
        <v>392</v>
      </c>
      <c r="C246" s="27" t="n">
        <v>180</v>
      </c>
      <c r="D246" s="27" t="n">
        <v>180</v>
      </c>
      <c r="E246" s="27" t="n">
        <v>45</v>
      </c>
      <c r="F246" s="27" t="n">
        <v>45</v>
      </c>
      <c r="G246" s="27" t="n">
        <v>45</v>
      </c>
    </row>
    <row r="247" customFormat="false" ht="15" hidden="false" customHeight="false" outlineLevel="0" collapsed="false">
      <c r="A247" s="40" t="s">
        <v>393</v>
      </c>
      <c r="C247" s="28" t="n">
        <f aca="false">CHOOSE($E$4,C243,C244,C245,C246)</f>
        <v>180</v>
      </c>
      <c r="D247" s="28" t="n">
        <f aca="false">CHOOSE($E$4,D243,D244,D245,D246)</f>
        <v>180</v>
      </c>
      <c r="E247" s="28" t="n">
        <f aca="false">CHOOSE($E$4,E243,E244,E245,E246)</f>
        <v>45</v>
      </c>
      <c r="F247" s="28" t="n">
        <f aca="false">CHOOSE($E$4,F243,F244,F245,F246)</f>
        <v>45</v>
      </c>
      <c r="G247" s="28" t="n">
        <f aca="false">CHOOSE($E$4,G243,G244,G245,G246)</f>
        <v>45</v>
      </c>
    </row>
    <row r="248" customFormat="false" ht="15" hidden="false" customHeight="false" outlineLevel="0" collapsed="false">
      <c r="A248" s="11" t="s">
        <v>405</v>
      </c>
      <c r="B248" s="8" t="s">
        <v>64</v>
      </c>
      <c r="H248" s="8" t="s">
        <v>94</v>
      </c>
    </row>
    <row r="249" customFormat="false" ht="15" hidden="false" customHeight="false" outlineLevel="0" collapsed="false">
      <c r="A249" s="8" t="s">
        <v>389</v>
      </c>
      <c r="C249" s="23" t="n">
        <v>0.11</v>
      </c>
      <c r="D249" s="23" t="n">
        <v>0.11</v>
      </c>
      <c r="E249" s="23" t="n">
        <v>0.11</v>
      </c>
      <c r="F249" s="23" t="n">
        <v>0.11</v>
      </c>
      <c r="G249" s="23" t="n">
        <v>0.11</v>
      </c>
    </row>
    <row r="250" customFormat="false" ht="15" hidden="false" customHeight="false" outlineLevel="0" collapsed="false">
      <c r="A250" s="8" t="s">
        <v>390</v>
      </c>
      <c r="C250" s="23" t="n">
        <v>0.1</v>
      </c>
      <c r="D250" s="23" t="n">
        <v>0.1</v>
      </c>
      <c r="E250" s="23" t="n">
        <v>0.09</v>
      </c>
      <c r="F250" s="23" t="n">
        <v>0.09</v>
      </c>
      <c r="G250" s="23" t="n">
        <v>0.09</v>
      </c>
    </row>
    <row r="251" customFormat="false" ht="15" hidden="false" customHeight="false" outlineLevel="0" collapsed="false">
      <c r="A251" s="8" t="s">
        <v>391</v>
      </c>
      <c r="C251" s="23" t="n">
        <v>0.1</v>
      </c>
      <c r="D251" s="23" t="n">
        <v>0.09</v>
      </c>
      <c r="E251" s="23" t="n">
        <v>0.08</v>
      </c>
      <c r="F251" s="23" t="n">
        <v>0.08</v>
      </c>
      <c r="G251" s="23" t="n">
        <v>0.08</v>
      </c>
    </row>
    <row r="252" customFormat="false" ht="15" hidden="false" customHeight="false" outlineLevel="0" collapsed="false">
      <c r="A252" s="8" t="s">
        <v>392</v>
      </c>
      <c r="C252" s="23" t="n">
        <v>0.1</v>
      </c>
      <c r="D252" s="23" t="n">
        <v>0.1</v>
      </c>
      <c r="E252" s="23" t="n">
        <v>0.09</v>
      </c>
      <c r="F252" s="23" t="n">
        <v>0.09</v>
      </c>
      <c r="G252" s="23" t="n">
        <v>0.09</v>
      </c>
    </row>
    <row r="253" customFormat="false" ht="15" hidden="false" customHeight="false" outlineLevel="0" collapsed="false">
      <c r="A253" s="40" t="s">
        <v>393</v>
      </c>
      <c r="C253" s="24" t="n">
        <f aca="false">CHOOSE($E$4,C249,C250,C251,C252)</f>
        <v>0.1</v>
      </c>
      <c r="D253" s="24" t="n">
        <f aca="false">CHOOSE($E$4,D249,D250,D251,D252)</f>
        <v>0.1</v>
      </c>
      <c r="E253" s="24" t="n">
        <f aca="false">CHOOSE($E$4,E249,E250,E251,E252)</f>
        <v>0.09</v>
      </c>
      <c r="F253" s="24" t="n">
        <f aca="false">CHOOSE($E$4,F249,F250,F251,F252)</f>
        <v>0.09</v>
      </c>
      <c r="G253" s="24" t="n">
        <f aca="false">CHOOSE($E$4,G249,G250,G251,G252)</f>
        <v>0.09</v>
      </c>
    </row>
    <row r="254" customFormat="false" ht="15" hidden="false" customHeight="false" outlineLevel="0" collapsed="false">
      <c r="A254" s="22" t="s">
        <v>406</v>
      </c>
    </row>
    <row r="255" customFormat="false" ht="15" hidden="false" customHeight="false" outlineLevel="0" collapsed="false">
      <c r="A255" s="11" t="s">
        <v>407</v>
      </c>
      <c r="B255" s="8" t="s">
        <v>202</v>
      </c>
      <c r="H255" s="8" t="s">
        <v>408</v>
      </c>
    </row>
    <row r="256" customFormat="false" ht="15" hidden="false" customHeight="false" outlineLevel="0" collapsed="false">
      <c r="A256" s="8" t="s">
        <v>389</v>
      </c>
      <c r="C256" s="32" t="n">
        <v>60</v>
      </c>
      <c r="D256" s="32" t="n">
        <v>0</v>
      </c>
      <c r="E256" s="32" t="n">
        <v>0</v>
      </c>
      <c r="F256" s="32" t="n">
        <v>0</v>
      </c>
      <c r="G256" s="32" t="n">
        <v>0</v>
      </c>
    </row>
    <row r="257" customFormat="false" ht="15" hidden="false" customHeight="false" outlineLevel="0" collapsed="false">
      <c r="A257" s="8" t="s">
        <v>390</v>
      </c>
      <c r="C257" s="32" t="n">
        <v>150</v>
      </c>
      <c r="D257" s="32" t="n">
        <v>600</v>
      </c>
      <c r="E257" s="32" t="n">
        <v>1000</v>
      </c>
      <c r="F257" s="32" t="n">
        <v>1400</v>
      </c>
      <c r="G257" s="32" t="n">
        <v>1800</v>
      </c>
    </row>
    <row r="258" customFormat="false" ht="15" hidden="false" customHeight="false" outlineLevel="0" collapsed="false">
      <c r="A258" s="8" t="s">
        <v>391</v>
      </c>
      <c r="C258" s="32" t="n">
        <v>180</v>
      </c>
      <c r="D258" s="32" t="n">
        <v>800</v>
      </c>
      <c r="E258" s="32" t="n">
        <v>1500</v>
      </c>
      <c r="F258" s="32" t="n">
        <v>2200</v>
      </c>
      <c r="G258" s="32" t="n">
        <v>3000</v>
      </c>
    </row>
    <row r="259" customFormat="false" ht="15" hidden="false" customHeight="false" outlineLevel="0" collapsed="false">
      <c r="A259" s="8" t="s">
        <v>392</v>
      </c>
      <c r="C259" s="32" t="n">
        <v>36</v>
      </c>
      <c r="D259" s="32" t="n">
        <v>135</v>
      </c>
      <c r="E259" s="32" t="n">
        <v>360</v>
      </c>
      <c r="F259" s="32" t="n">
        <v>630</v>
      </c>
      <c r="G259" s="32" t="n">
        <v>900</v>
      </c>
    </row>
    <row r="260" customFormat="false" ht="15" hidden="false" customHeight="false" outlineLevel="0" collapsed="false">
      <c r="A260" s="40" t="s">
        <v>393</v>
      </c>
      <c r="C260" s="33" t="n">
        <f aca="false">CHOOSE($E$4,C256,C257,C258,C259)</f>
        <v>150</v>
      </c>
      <c r="D260" s="33" t="n">
        <f aca="false">CHOOSE($E$4,D256,D257,D258,D259)</f>
        <v>600</v>
      </c>
      <c r="E260" s="33" t="n">
        <f aca="false">CHOOSE($E$4,E256,E257,E258,E259)</f>
        <v>1000</v>
      </c>
      <c r="F260" s="33" t="n">
        <f aca="false">CHOOSE($E$4,F256,F257,F258,F259)</f>
        <v>1400</v>
      </c>
      <c r="G260" s="33" t="n">
        <f aca="false">CHOOSE($E$4,G256,G257,G258,G259)</f>
        <v>1800</v>
      </c>
    </row>
    <row r="261" customFormat="false" ht="15" hidden="false" customHeight="false" outlineLevel="0" collapsed="false">
      <c r="A261" s="11" t="s">
        <v>409</v>
      </c>
      <c r="B261" s="8" t="s">
        <v>120</v>
      </c>
      <c r="H261" s="8" t="s">
        <v>410</v>
      </c>
    </row>
    <row r="262" customFormat="false" ht="15" hidden="false" customHeight="false" outlineLevel="0" collapsed="false">
      <c r="A262" s="8" t="s">
        <v>389</v>
      </c>
      <c r="C262" s="34" t="n">
        <v>0</v>
      </c>
      <c r="D262" s="34" t="n">
        <v>0</v>
      </c>
      <c r="E262" s="34" t="n">
        <v>10</v>
      </c>
      <c r="F262" s="34" t="n">
        <v>20</v>
      </c>
      <c r="G262" s="34" t="n">
        <v>30</v>
      </c>
    </row>
    <row r="263" customFormat="false" ht="15" hidden="false" customHeight="false" outlineLevel="0" collapsed="false">
      <c r="A263" s="8" t="s">
        <v>390</v>
      </c>
      <c r="C263" s="34" t="n">
        <v>0</v>
      </c>
      <c r="D263" s="34" t="n">
        <v>0</v>
      </c>
      <c r="E263" s="34" t="n">
        <v>30</v>
      </c>
      <c r="F263" s="34" t="n">
        <v>60</v>
      </c>
      <c r="G263" s="34" t="n">
        <v>100</v>
      </c>
    </row>
    <row r="264" customFormat="false" ht="15" hidden="false" customHeight="false" outlineLevel="0" collapsed="false">
      <c r="A264" s="8" t="s">
        <v>391</v>
      </c>
      <c r="C264" s="34" t="n">
        <v>0</v>
      </c>
      <c r="D264" s="34" t="n">
        <v>20</v>
      </c>
      <c r="E264" s="34" t="n">
        <v>50</v>
      </c>
      <c r="F264" s="34" t="n">
        <v>100</v>
      </c>
      <c r="G264" s="34" t="n">
        <v>160</v>
      </c>
    </row>
    <row r="265" customFormat="false" ht="15" hidden="false" customHeight="false" outlineLevel="0" collapsed="false">
      <c r="A265" s="8" t="s">
        <v>392</v>
      </c>
      <c r="C265" s="34" t="n">
        <v>0</v>
      </c>
      <c r="D265" s="34" t="n">
        <v>0</v>
      </c>
      <c r="E265" s="34" t="n">
        <v>0</v>
      </c>
      <c r="F265" s="34" t="n">
        <v>20</v>
      </c>
      <c r="G265" s="34" t="n">
        <v>50</v>
      </c>
    </row>
    <row r="266" customFormat="false" ht="15" hidden="false" customHeight="false" outlineLevel="0" collapsed="false">
      <c r="A266" s="40" t="s">
        <v>393</v>
      </c>
      <c r="C266" s="35" t="n">
        <f aca="false">CHOOSE($E$4,C262,C263,C264,C265)</f>
        <v>0</v>
      </c>
      <c r="D266" s="35" t="n">
        <f aca="false">CHOOSE($E$4,D262,D263,D264,D265)</f>
        <v>0</v>
      </c>
      <c r="E266" s="35" t="n">
        <f aca="false">CHOOSE($E$4,E262,E263,E264,E265)</f>
        <v>30</v>
      </c>
      <c r="F266" s="35" t="n">
        <f aca="false">CHOOSE($E$4,F262,F263,F264,F265)</f>
        <v>60</v>
      </c>
      <c r="G266" s="35" t="n">
        <f aca="false">CHOOSE($E$4,G262,G263,G264,G265)</f>
        <v>100</v>
      </c>
    </row>
    <row r="267" customFormat="false" ht="15" hidden="false" customHeight="false" outlineLevel="0" collapsed="false">
      <c r="A267" s="11" t="s">
        <v>411</v>
      </c>
      <c r="B267" s="8" t="s">
        <v>11</v>
      </c>
      <c r="H267" s="8" t="s">
        <v>412</v>
      </c>
    </row>
    <row r="268" customFormat="false" ht="15" hidden="false" customHeight="false" outlineLevel="0" collapsed="false">
      <c r="A268" s="8" t="s">
        <v>389</v>
      </c>
      <c r="C268" s="32" t="n">
        <v>0</v>
      </c>
      <c r="D268" s="32" t="n">
        <v>0</v>
      </c>
      <c r="E268" s="32" t="n">
        <v>0</v>
      </c>
      <c r="F268" s="32" t="n">
        <v>500000</v>
      </c>
      <c r="G268" s="32" t="n">
        <v>1000000</v>
      </c>
    </row>
    <row r="269" customFormat="false" ht="15" hidden="false" customHeight="false" outlineLevel="0" collapsed="false">
      <c r="A269" s="8" t="s">
        <v>390</v>
      </c>
      <c r="C269" s="32" t="n">
        <v>0</v>
      </c>
      <c r="D269" s="32" t="n">
        <v>500000</v>
      </c>
      <c r="E269" s="32" t="n">
        <v>1500000</v>
      </c>
      <c r="F269" s="32" t="n">
        <v>3000000</v>
      </c>
      <c r="G269" s="32" t="n">
        <v>5000000</v>
      </c>
    </row>
    <row r="270" customFormat="false" ht="15" hidden="false" customHeight="false" outlineLevel="0" collapsed="false">
      <c r="A270" s="8" t="s">
        <v>391</v>
      </c>
      <c r="C270" s="32" t="n">
        <v>0</v>
      </c>
      <c r="D270" s="32" t="n">
        <v>1000000</v>
      </c>
      <c r="E270" s="32" t="n">
        <v>3000000</v>
      </c>
      <c r="F270" s="32" t="n">
        <v>6000000</v>
      </c>
      <c r="G270" s="32" t="n">
        <v>10000000</v>
      </c>
    </row>
    <row r="271" customFormat="false" ht="15" hidden="false" customHeight="false" outlineLevel="0" collapsed="false">
      <c r="A271" s="8" t="s">
        <v>392</v>
      </c>
      <c r="C271" s="32" t="n">
        <v>0</v>
      </c>
      <c r="D271" s="32" t="n">
        <v>500000</v>
      </c>
      <c r="E271" s="32" t="n">
        <v>1500000</v>
      </c>
      <c r="F271" s="32" t="n">
        <v>3000000</v>
      </c>
      <c r="G271" s="32" t="n">
        <v>5000000</v>
      </c>
    </row>
    <row r="272" customFormat="false" ht="15" hidden="false" customHeight="false" outlineLevel="0" collapsed="false">
      <c r="A272" s="40" t="s">
        <v>393</v>
      </c>
      <c r="C272" s="33" t="n">
        <f aca="false">CHOOSE($E$4,C268,C269,C270,C271)</f>
        <v>0</v>
      </c>
      <c r="D272" s="33" t="n">
        <f aca="false">CHOOSE($E$4,D268,D269,D270,D271)</f>
        <v>500000</v>
      </c>
      <c r="E272" s="33" t="n">
        <f aca="false">CHOOSE($E$4,E268,E269,E270,E271)</f>
        <v>1500000</v>
      </c>
      <c r="F272" s="33" t="n">
        <f aca="false">CHOOSE($E$4,F268,F269,F270,F271)</f>
        <v>3000000</v>
      </c>
      <c r="G272" s="33" t="n">
        <f aca="false">CHOOSE($E$4,G268,G269,G270,G271)</f>
        <v>5000000</v>
      </c>
    </row>
    <row r="273" customFormat="false" ht="15" hidden="false" customHeight="false" outlineLevel="0" collapsed="false">
      <c r="A273" s="11" t="s">
        <v>413</v>
      </c>
      <c r="B273" s="8" t="s">
        <v>11</v>
      </c>
      <c r="H273" s="8" t="s">
        <v>414</v>
      </c>
    </row>
    <row r="274" customFormat="false" ht="15" hidden="false" customHeight="false" outlineLevel="0" collapsed="false">
      <c r="A274" s="8" t="s">
        <v>389</v>
      </c>
      <c r="C274" s="32" t="n">
        <v>0</v>
      </c>
      <c r="D274" s="32" t="n">
        <v>0</v>
      </c>
      <c r="E274" s="32" t="n">
        <v>0</v>
      </c>
      <c r="F274" s="32" t="n">
        <v>0</v>
      </c>
      <c r="G274" s="32" t="n">
        <v>0</v>
      </c>
    </row>
    <row r="275" customFormat="false" ht="15" hidden="false" customHeight="false" outlineLevel="0" collapsed="false">
      <c r="A275" s="8" t="s">
        <v>390</v>
      </c>
      <c r="C275" s="32" t="n">
        <v>0</v>
      </c>
      <c r="D275" s="32" t="n">
        <v>0</v>
      </c>
      <c r="E275" s="32" t="n">
        <v>0</v>
      </c>
      <c r="F275" s="32" t="n">
        <v>10000</v>
      </c>
      <c r="G275" s="32" t="n">
        <v>30000</v>
      </c>
    </row>
    <row r="276" customFormat="false" ht="15" hidden="false" customHeight="false" outlineLevel="0" collapsed="false">
      <c r="A276" s="8" t="s">
        <v>391</v>
      </c>
      <c r="C276" s="32" t="n">
        <v>0</v>
      </c>
      <c r="D276" s="32" t="n">
        <v>0</v>
      </c>
      <c r="E276" s="32" t="n">
        <v>10000</v>
      </c>
      <c r="F276" s="32" t="n">
        <v>30000</v>
      </c>
      <c r="G276" s="32" t="n">
        <v>60000</v>
      </c>
    </row>
    <row r="277" customFormat="false" ht="15" hidden="false" customHeight="false" outlineLevel="0" collapsed="false">
      <c r="A277" s="8" t="s">
        <v>392</v>
      </c>
      <c r="C277" s="32" t="n">
        <v>0</v>
      </c>
      <c r="D277" s="32" t="n">
        <v>0</v>
      </c>
      <c r="E277" s="32" t="n">
        <v>0</v>
      </c>
      <c r="F277" s="32" t="n">
        <v>10000</v>
      </c>
      <c r="G277" s="32" t="n">
        <v>30000</v>
      </c>
    </row>
    <row r="278" customFormat="false" ht="15" hidden="false" customHeight="false" outlineLevel="0" collapsed="false">
      <c r="A278" s="40" t="s">
        <v>393</v>
      </c>
      <c r="C278" s="33" t="n">
        <f aca="false">CHOOSE($E$4,C274,C275,C276,C277)</f>
        <v>0</v>
      </c>
      <c r="D278" s="33" t="n">
        <f aca="false">CHOOSE($E$4,D274,D275,D276,D277)</f>
        <v>0</v>
      </c>
      <c r="E278" s="33" t="n">
        <f aca="false">CHOOSE($E$4,E274,E275,E276,E277)</f>
        <v>0</v>
      </c>
      <c r="F278" s="33" t="n">
        <f aca="false">CHOOSE($E$4,F274,F275,F276,F277)</f>
        <v>10000</v>
      </c>
      <c r="G278" s="33" t="n">
        <f aca="false">CHOOSE($E$4,G274,G275,G276,G277)</f>
        <v>30000</v>
      </c>
    </row>
    <row r="279" customFormat="false" ht="15" hidden="false" customHeight="false" outlineLevel="0" collapsed="false">
      <c r="A279" s="22" t="s">
        <v>415</v>
      </c>
    </row>
    <row r="280" customFormat="false" ht="15" hidden="false" customHeight="false" outlineLevel="0" collapsed="false">
      <c r="A280" s="11" t="s">
        <v>416</v>
      </c>
      <c r="B280" s="8" t="s">
        <v>76</v>
      </c>
      <c r="H280" s="8" t="s">
        <v>417</v>
      </c>
    </row>
    <row r="281" customFormat="false" ht="15" hidden="false" customHeight="false" outlineLevel="0" collapsed="false">
      <c r="A281" s="8" t="s">
        <v>389</v>
      </c>
      <c r="C281" s="25" t="n">
        <v>0</v>
      </c>
      <c r="D281" s="25" t="n">
        <v>0.85</v>
      </c>
      <c r="E281" s="25" t="n">
        <v>0.85</v>
      </c>
      <c r="F281" s="25" t="n">
        <v>0.85</v>
      </c>
      <c r="G281" s="25" t="n">
        <v>0.85</v>
      </c>
    </row>
    <row r="282" customFormat="false" ht="15" hidden="false" customHeight="false" outlineLevel="0" collapsed="false">
      <c r="A282" s="8" t="s">
        <v>390</v>
      </c>
      <c r="C282" s="25" t="n">
        <v>0</v>
      </c>
      <c r="D282" s="25" t="n">
        <v>0.9</v>
      </c>
      <c r="E282" s="25" t="n">
        <v>0.9</v>
      </c>
      <c r="F282" s="25" t="n">
        <v>0.9</v>
      </c>
      <c r="G282" s="25" t="n">
        <v>0.9</v>
      </c>
    </row>
    <row r="283" customFormat="false" ht="15" hidden="false" customHeight="false" outlineLevel="0" collapsed="false">
      <c r="A283" s="8" t="s">
        <v>391</v>
      </c>
      <c r="C283" s="25" t="n">
        <v>0</v>
      </c>
      <c r="D283" s="25" t="n">
        <v>0.9</v>
      </c>
      <c r="E283" s="25" t="n">
        <v>0.9</v>
      </c>
      <c r="F283" s="25" t="n">
        <v>0.9</v>
      </c>
      <c r="G283" s="25" t="n">
        <v>0.9</v>
      </c>
    </row>
    <row r="284" customFormat="false" ht="15" hidden="false" customHeight="false" outlineLevel="0" collapsed="false">
      <c r="A284" s="8" t="s">
        <v>392</v>
      </c>
      <c r="C284" s="25" t="n">
        <v>0</v>
      </c>
      <c r="D284" s="25" t="n">
        <v>0.75</v>
      </c>
      <c r="E284" s="25" t="n">
        <v>0.75</v>
      </c>
      <c r="F284" s="25" t="n">
        <v>0.75</v>
      </c>
      <c r="G284" s="25" t="n">
        <v>0.75</v>
      </c>
    </row>
    <row r="285" customFormat="false" ht="15" hidden="false" customHeight="false" outlineLevel="0" collapsed="false">
      <c r="A285" s="40" t="s">
        <v>393</v>
      </c>
      <c r="C285" s="26" t="n">
        <f aca="false">CHOOSE($E$4,C281,C282,C283,C284)</f>
        <v>0</v>
      </c>
      <c r="D285" s="26" t="n">
        <f aca="false">CHOOSE($E$4,D281,D282,D283,D284)</f>
        <v>0.9</v>
      </c>
      <c r="E285" s="26" t="n">
        <f aca="false">CHOOSE($E$4,E281,E282,E283,E284)</f>
        <v>0.9</v>
      </c>
      <c r="F285" s="26" t="n">
        <f aca="false">CHOOSE($E$4,F281,F282,F283,F284)</f>
        <v>0.9</v>
      </c>
      <c r="G285" s="26" t="n">
        <f aca="false">CHOOSE($E$4,G281,G282,G283,G284)</f>
        <v>0.9</v>
      </c>
    </row>
    <row r="286" customFormat="false" ht="15" hidden="false" customHeight="false" outlineLevel="0" collapsed="false">
      <c r="A286" s="11" t="s">
        <v>418</v>
      </c>
      <c r="B286" s="8" t="s">
        <v>76</v>
      </c>
      <c r="H286" s="8" t="s">
        <v>419</v>
      </c>
    </row>
    <row r="287" customFormat="false" ht="15" hidden="false" customHeight="false" outlineLevel="0" collapsed="false">
      <c r="A287" s="8" t="s">
        <v>389</v>
      </c>
      <c r="C287" s="29" t="n">
        <v>0.09</v>
      </c>
      <c r="D287" s="29" t="n">
        <v>0.09</v>
      </c>
      <c r="E287" s="29" t="n">
        <v>0.09</v>
      </c>
      <c r="F287" s="29" t="n">
        <v>0.09</v>
      </c>
      <c r="G287" s="29" t="n">
        <v>0.09</v>
      </c>
    </row>
    <row r="288" customFormat="false" ht="15" hidden="false" customHeight="false" outlineLevel="0" collapsed="false">
      <c r="A288" s="8" t="s">
        <v>390</v>
      </c>
      <c r="C288" s="29" t="n">
        <v>0.08</v>
      </c>
      <c r="D288" s="29" t="n">
        <v>0.08</v>
      </c>
      <c r="E288" s="29" t="n">
        <v>0.075</v>
      </c>
      <c r="F288" s="29" t="n">
        <v>0.07</v>
      </c>
      <c r="G288" s="29" t="n">
        <v>0.07</v>
      </c>
    </row>
    <row r="289" customFormat="false" ht="15" hidden="false" customHeight="false" outlineLevel="0" collapsed="false">
      <c r="A289" s="8" t="s">
        <v>391</v>
      </c>
      <c r="C289" s="29" t="n">
        <v>0.08</v>
      </c>
      <c r="D289" s="29" t="n">
        <v>0.075</v>
      </c>
      <c r="E289" s="29" t="n">
        <v>0.07</v>
      </c>
      <c r="F289" s="29" t="n">
        <v>0.065</v>
      </c>
      <c r="G289" s="29" t="n">
        <v>0.065</v>
      </c>
    </row>
    <row r="290" customFormat="false" ht="15" hidden="false" customHeight="false" outlineLevel="0" collapsed="false">
      <c r="A290" s="8" t="s">
        <v>392</v>
      </c>
      <c r="C290" s="29" t="n">
        <v>0.08</v>
      </c>
      <c r="D290" s="29" t="n">
        <v>0.08</v>
      </c>
      <c r="E290" s="29" t="n">
        <v>0.075</v>
      </c>
      <c r="F290" s="29" t="n">
        <v>0.07</v>
      </c>
      <c r="G290" s="29" t="n">
        <v>0.07</v>
      </c>
    </row>
    <row r="291" customFormat="false" ht="15" hidden="false" customHeight="false" outlineLevel="0" collapsed="false">
      <c r="A291" s="40" t="s">
        <v>393</v>
      </c>
      <c r="C291" s="30" t="n">
        <f aca="false">CHOOSE($E$4,C287,C288,C289,C290)</f>
        <v>0.08</v>
      </c>
      <c r="D291" s="30" t="n">
        <f aca="false">CHOOSE($E$4,D287,D288,D289,D290)</f>
        <v>0.08</v>
      </c>
      <c r="E291" s="30" t="n">
        <f aca="false">CHOOSE($E$4,E287,E288,E289,E290)</f>
        <v>0.075</v>
      </c>
      <c r="F291" s="30" t="n">
        <f aca="false">CHOOSE($E$4,F287,F288,F289,F290)</f>
        <v>0.07</v>
      </c>
      <c r="G291" s="30" t="n">
        <f aca="false">CHOOSE($E$4,G287,G288,G289,G290)</f>
        <v>0.07</v>
      </c>
    </row>
    <row r="292" customFormat="false" ht="15" hidden="false" customHeight="false" outlineLevel="0" collapsed="false">
      <c r="A292" s="11" t="s">
        <v>420</v>
      </c>
      <c r="B292" s="8" t="s">
        <v>123</v>
      </c>
      <c r="H292" s="8" t="s">
        <v>94</v>
      </c>
    </row>
    <row r="293" customFormat="false" ht="15" hidden="false" customHeight="false" outlineLevel="0" collapsed="false">
      <c r="A293" s="8" t="s">
        <v>389</v>
      </c>
      <c r="C293" s="32" t="n">
        <v>0</v>
      </c>
      <c r="D293" s="32" t="n">
        <v>1</v>
      </c>
      <c r="E293" s="32" t="n">
        <v>2</v>
      </c>
      <c r="F293" s="32" t="n">
        <v>2</v>
      </c>
      <c r="G293" s="32" t="n">
        <v>2</v>
      </c>
    </row>
    <row r="294" customFormat="false" ht="15" hidden="false" customHeight="false" outlineLevel="0" collapsed="false">
      <c r="A294" s="8" t="s">
        <v>390</v>
      </c>
      <c r="C294" s="32" t="n">
        <v>0</v>
      </c>
      <c r="D294" s="32" t="n">
        <v>2</v>
      </c>
      <c r="E294" s="32" t="n">
        <v>3</v>
      </c>
      <c r="F294" s="32" t="n">
        <v>4</v>
      </c>
      <c r="G294" s="32" t="n">
        <v>5</v>
      </c>
    </row>
    <row r="295" customFormat="false" ht="15" hidden="false" customHeight="false" outlineLevel="0" collapsed="false">
      <c r="A295" s="8" t="s">
        <v>391</v>
      </c>
      <c r="C295" s="32" t="n">
        <v>0</v>
      </c>
      <c r="D295" s="32" t="n">
        <v>3</v>
      </c>
      <c r="E295" s="32" t="n">
        <v>4</v>
      </c>
      <c r="F295" s="32" t="n">
        <v>5</v>
      </c>
      <c r="G295" s="32" t="n">
        <v>6</v>
      </c>
    </row>
    <row r="296" customFormat="false" ht="15" hidden="false" customHeight="false" outlineLevel="0" collapsed="false">
      <c r="A296" s="8" t="s">
        <v>392</v>
      </c>
      <c r="C296" s="32" t="n">
        <v>0</v>
      </c>
      <c r="D296" s="32" t="n">
        <v>2</v>
      </c>
      <c r="E296" s="32" t="n">
        <v>3</v>
      </c>
      <c r="F296" s="32" t="n">
        <v>4</v>
      </c>
      <c r="G296" s="32" t="n">
        <v>5</v>
      </c>
    </row>
    <row r="297" customFormat="false" ht="15" hidden="false" customHeight="false" outlineLevel="0" collapsed="false">
      <c r="A297" s="40" t="s">
        <v>393</v>
      </c>
      <c r="C297" s="33" t="n">
        <f aca="false">CHOOSE($E$4,C293,C294,C295,C296)</f>
        <v>0</v>
      </c>
      <c r="D297" s="33" t="n">
        <f aca="false">CHOOSE($E$4,D293,D294,D295,D296)</f>
        <v>2</v>
      </c>
      <c r="E297" s="33" t="n">
        <f aca="false">CHOOSE($E$4,E293,E294,E295,E296)</f>
        <v>3</v>
      </c>
      <c r="F297" s="33" t="n">
        <f aca="false">CHOOSE($E$4,F293,F294,F295,F296)</f>
        <v>4</v>
      </c>
      <c r="G297" s="33" t="n">
        <f aca="false">CHOOSE($E$4,G293,G294,G295,G296)</f>
        <v>5</v>
      </c>
    </row>
    <row r="298" customFormat="false" ht="15" hidden="false" customHeight="false" outlineLevel="0" collapsed="false">
      <c r="A298" s="11" t="s">
        <v>421</v>
      </c>
      <c r="B298" s="8" t="s">
        <v>11</v>
      </c>
      <c r="H298" s="8" t="s">
        <v>138</v>
      </c>
    </row>
    <row r="299" customFormat="false" ht="15" hidden="false" customHeight="false" outlineLevel="0" collapsed="false">
      <c r="A299" s="8" t="s">
        <v>389</v>
      </c>
      <c r="C299" s="32" t="n">
        <v>0</v>
      </c>
      <c r="D299" s="32" t="n">
        <v>0</v>
      </c>
      <c r="E299" s="32" t="n">
        <v>4000</v>
      </c>
      <c r="F299" s="32" t="n">
        <v>5000</v>
      </c>
      <c r="G299" s="32" t="n">
        <v>6000</v>
      </c>
    </row>
    <row r="300" customFormat="false" ht="15" hidden="false" customHeight="false" outlineLevel="0" collapsed="false">
      <c r="A300" s="8" t="s">
        <v>390</v>
      </c>
      <c r="C300" s="32" t="n">
        <v>0</v>
      </c>
      <c r="D300" s="32" t="n">
        <v>4000</v>
      </c>
      <c r="E300" s="32" t="n">
        <v>5000</v>
      </c>
      <c r="F300" s="32" t="n">
        <v>6000</v>
      </c>
      <c r="G300" s="32" t="n">
        <v>8000</v>
      </c>
    </row>
    <row r="301" customFormat="false" ht="15" hidden="false" customHeight="false" outlineLevel="0" collapsed="false">
      <c r="A301" s="8" t="s">
        <v>391</v>
      </c>
      <c r="C301" s="32" t="n">
        <v>0</v>
      </c>
      <c r="D301" s="32" t="n">
        <v>4000</v>
      </c>
      <c r="E301" s="32" t="n">
        <v>6000</v>
      </c>
      <c r="F301" s="32" t="n">
        <v>8000</v>
      </c>
      <c r="G301" s="32" t="n">
        <v>10000</v>
      </c>
    </row>
    <row r="302" customFormat="false" ht="15" hidden="false" customHeight="false" outlineLevel="0" collapsed="false">
      <c r="A302" s="8" t="s">
        <v>392</v>
      </c>
      <c r="C302" s="32" t="n">
        <v>0</v>
      </c>
      <c r="D302" s="32" t="n">
        <v>4000</v>
      </c>
      <c r="E302" s="32" t="n">
        <v>5000</v>
      </c>
      <c r="F302" s="32" t="n">
        <v>6000</v>
      </c>
      <c r="G302" s="32" t="n">
        <v>8000</v>
      </c>
    </row>
    <row r="303" customFormat="false" ht="15" hidden="false" customHeight="false" outlineLevel="0" collapsed="false">
      <c r="A303" s="40" t="s">
        <v>393</v>
      </c>
      <c r="C303" s="33" t="n">
        <f aca="false">CHOOSE($E$4,C299,C300,C301,C302)</f>
        <v>0</v>
      </c>
      <c r="D303" s="33" t="n">
        <f aca="false">CHOOSE($E$4,D299,D300,D301,D302)</f>
        <v>4000</v>
      </c>
      <c r="E303" s="33" t="n">
        <f aca="false">CHOOSE($E$4,E299,E300,E301,E302)</f>
        <v>5000</v>
      </c>
      <c r="F303" s="33" t="n">
        <f aca="false">CHOOSE($E$4,F299,F300,F301,F302)</f>
        <v>6000</v>
      </c>
      <c r="G303" s="33" t="n">
        <f aca="false">CHOOSE($E$4,G299,G300,G301,G302)</f>
        <v>8000</v>
      </c>
    </row>
    <row r="304" customFormat="false" ht="15" hidden="false" customHeight="false" outlineLevel="0" collapsed="false">
      <c r="A304" s="11" t="s">
        <v>422</v>
      </c>
      <c r="B304" s="8" t="s">
        <v>11</v>
      </c>
      <c r="H304" s="8" t="s">
        <v>423</v>
      </c>
    </row>
    <row r="305" customFormat="false" ht="15" hidden="false" customHeight="false" outlineLevel="0" collapsed="false">
      <c r="A305" s="8" t="s">
        <v>389</v>
      </c>
      <c r="C305" s="32" t="n">
        <v>0</v>
      </c>
      <c r="D305" s="32" t="n">
        <v>0</v>
      </c>
      <c r="E305" s="32" t="n">
        <v>0</v>
      </c>
      <c r="F305" s="32" t="n">
        <v>0</v>
      </c>
      <c r="G305" s="32" t="n">
        <v>0</v>
      </c>
    </row>
    <row r="306" customFormat="false" ht="15" hidden="false" customHeight="false" outlineLevel="0" collapsed="false">
      <c r="A306" s="8" t="s">
        <v>390</v>
      </c>
      <c r="C306" s="32" t="n">
        <v>0</v>
      </c>
      <c r="D306" s="32" t="n">
        <v>0</v>
      </c>
      <c r="E306" s="32" t="n">
        <v>0</v>
      </c>
      <c r="F306" s="32" t="n">
        <v>0</v>
      </c>
      <c r="G306" s="32" t="n">
        <v>0</v>
      </c>
    </row>
    <row r="307" customFormat="false" ht="15" hidden="false" customHeight="false" outlineLevel="0" collapsed="false">
      <c r="A307" s="8" t="s">
        <v>391</v>
      </c>
      <c r="C307" s="32" t="n">
        <v>0</v>
      </c>
      <c r="D307" s="32" t="n">
        <v>0</v>
      </c>
      <c r="E307" s="32" t="n">
        <v>0</v>
      </c>
      <c r="F307" s="32" t="n">
        <v>0</v>
      </c>
      <c r="G307" s="32" t="n">
        <v>0</v>
      </c>
    </row>
    <row r="308" customFormat="false" ht="15" hidden="false" customHeight="false" outlineLevel="0" collapsed="false">
      <c r="A308" s="8" t="s">
        <v>392</v>
      </c>
      <c r="C308" s="32" t="n">
        <v>0</v>
      </c>
      <c r="D308" s="32" t="n">
        <v>10000</v>
      </c>
      <c r="E308" s="32" t="n">
        <v>10000</v>
      </c>
      <c r="F308" s="32" t="n">
        <v>10000</v>
      </c>
      <c r="G308" s="32" t="n">
        <v>10000</v>
      </c>
    </row>
    <row r="309" customFormat="false" ht="15" hidden="false" customHeight="false" outlineLevel="0" collapsed="false">
      <c r="A309" s="40" t="s">
        <v>393</v>
      </c>
      <c r="C309" s="33" t="n">
        <f aca="false">CHOOSE($E$4,C305,C306,C307,C308)</f>
        <v>0</v>
      </c>
      <c r="D309" s="33" t="n">
        <f aca="false">CHOOSE($E$4,D305,D306,D307,D308)</f>
        <v>0</v>
      </c>
      <c r="E309" s="33" t="n">
        <f aca="false">CHOOSE($E$4,E305,E306,E307,E308)</f>
        <v>0</v>
      </c>
      <c r="F309" s="33" t="n">
        <f aca="false">CHOOSE($E$4,F305,F306,F307,F308)</f>
        <v>0</v>
      </c>
      <c r="G309" s="33" t="n">
        <f aca="false">CHOOSE($E$4,G305,G306,G307,G308)</f>
        <v>0</v>
      </c>
    </row>
    <row r="310" customFormat="false" ht="15" hidden="false" customHeight="false" outlineLevel="0" collapsed="false">
      <c r="A310" s="22" t="s">
        <v>424</v>
      </c>
    </row>
    <row r="311" customFormat="false" ht="15" hidden="false" customHeight="false" outlineLevel="0" collapsed="false">
      <c r="A311" s="11" t="s">
        <v>425</v>
      </c>
      <c r="B311" s="8" t="s">
        <v>123</v>
      </c>
      <c r="H311" s="8" t="s">
        <v>94</v>
      </c>
    </row>
    <row r="312" customFormat="false" ht="15" hidden="false" customHeight="false" outlineLevel="0" collapsed="false">
      <c r="A312" s="8" t="s">
        <v>389</v>
      </c>
      <c r="C312" s="32" t="n">
        <v>3</v>
      </c>
      <c r="D312" s="32" t="n">
        <v>0</v>
      </c>
      <c r="E312" s="32" t="n">
        <v>1</v>
      </c>
      <c r="F312" s="32" t="n">
        <v>1</v>
      </c>
      <c r="G312" s="32" t="n">
        <v>1</v>
      </c>
    </row>
    <row r="313" customFormat="false" ht="15" hidden="false" customHeight="false" outlineLevel="0" collapsed="false">
      <c r="A313" s="8" t="s">
        <v>390</v>
      </c>
      <c r="C313" s="32" t="n">
        <v>3</v>
      </c>
      <c r="D313" s="32" t="n">
        <v>2</v>
      </c>
      <c r="E313" s="32" t="n">
        <v>2</v>
      </c>
      <c r="F313" s="32" t="n">
        <v>2</v>
      </c>
      <c r="G313" s="32" t="n">
        <v>2</v>
      </c>
    </row>
    <row r="314" customFormat="false" ht="15" hidden="false" customHeight="false" outlineLevel="0" collapsed="false">
      <c r="A314" s="8" t="s">
        <v>391</v>
      </c>
      <c r="C314" s="32" t="n">
        <v>3</v>
      </c>
      <c r="D314" s="32" t="n">
        <v>3</v>
      </c>
      <c r="E314" s="32" t="n">
        <v>3</v>
      </c>
      <c r="F314" s="32" t="n">
        <v>3</v>
      </c>
      <c r="G314" s="32" t="n">
        <v>3</v>
      </c>
    </row>
    <row r="315" customFormat="false" ht="15" hidden="false" customHeight="false" outlineLevel="0" collapsed="false">
      <c r="A315" s="8" t="s">
        <v>392</v>
      </c>
      <c r="C315" s="32" t="n">
        <v>3</v>
      </c>
      <c r="D315" s="32" t="n">
        <v>2</v>
      </c>
      <c r="E315" s="32" t="n">
        <v>2</v>
      </c>
      <c r="F315" s="32" t="n">
        <v>2</v>
      </c>
      <c r="G315" s="32" t="n">
        <v>2</v>
      </c>
    </row>
    <row r="316" customFormat="false" ht="15" hidden="false" customHeight="false" outlineLevel="0" collapsed="false">
      <c r="A316" s="40" t="s">
        <v>393</v>
      </c>
      <c r="C316" s="33" t="n">
        <f aca="false">CHOOSE($E$4,C312,C313,C314,C315)</f>
        <v>3</v>
      </c>
      <c r="D316" s="33" t="n">
        <f aca="false">CHOOSE($E$4,D312,D313,D314,D315)</f>
        <v>2</v>
      </c>
      <c r="E316" s="33" t="n">
        <f aca="false">CHOOSE($E$4,E312,E313,E314,E315)</f>
        <v>2</v>
      </c>
      <c r="F316" s="33" t="n">
        <f aca="false">CHOOSE($E$4,F312,F313,F314,F315)</f>
        <v>2</v>
      </c>
      <c r="G316" s="33" t="n">
        <f aca="false">CHOOSE($E$4,G312,G313,G314,G315)</f>
        <v>2</v>
      </c>
    </row>
    <row r="317" customFormat="false" ht="15" hidden="false" customHeight="false" outlineLevel="0" collapsed="false">
      <c r="A317" s="11" t="s">
        <v>426</v>
      </c>
      <c r="B317" s="8" t="s">
        <v>11</v>
      </c>
      <c r="H317" s="8" t="s">
        <v>427</v>
      </c>
    </row>
    <row r="318" customFormat="false" ht="15" hidden="false" customHeight="false" outlineLevel="0" collapsed="false">
      <c r="A318" s="8" t="s">
        <v>389</v>
      </c>
      <c r="C318" s="32" t="n">
        <v>60000</v>
      </c>
      <c r="D318" s="32" t="n">
        <v>10000</v>
      </c>
      <c r="E318" s="32" t="n">
        <v>10000</v>
      </c>
      <c r="F318" s="32" t="n">
        <v>10000</v>
      </c>
      <c r="G318" s="32" t="n">
        <v>10000</v>
      </c>
    </row>
    <row r="319" customFormat="false" ht="15" hidden="false" customHeight="false" outlineLevel="0" collapsed="false">
      <c r="A319" s="8" t="s">
        <v>390</v>
      </c>
      <c r="C319" s="32" t="n">
        <v>60000</v>
      </c>
      <c r="D319" s="32" t="n">
        <v>15000</v>
      </c>
      <c r="E319" s="32" t="n">
        <v>15000</v>
      </c>
      <c r="F319" s="32" t="n">
        <v>10000</v>
      </c>
      <c r="G319" s="32" t="n">
        <v>10000</v>
      </c>
    </row>
    <row r="320" customFormat="false" ht="15" hidden="false" customHeight="false" outlineLevel="0" collapsed="false">
      <c r="A320" s="8" t="s">
        <v>391</v>
      </c>
      <c r="C320" s="32" t="n">
        <v>60000</v>
      </c>
      <c r="D320" s="32" t="n">
        <v>25000</v>
      </c>
      <c r="E320" s="32" t="n">
        <v>20000</v>
      </c>
      <c r="F320" s="32" t="n">
        <v>15000</v>
      </c>
      <c r="G320" s="32" t="n">
        <v>15000</v>
      </c>
    </row>
    <row r="321" customFormat="false" ht="15" hidden="false" customHeight="false" outlineLevel="0" collapsed="false">
      <c r="A321" s="8" t="s">
        <v>392</v>
      </c>
      <c r="C321" s="32" t="n">
        <v>60000</v>
      </c>
      <c r="D321" s="32" t="n">
        <v>15000</v>
      </c>
      <c r="E321" s="32" t="n">
        <v>15000</v>
      </c>
      <c r="F321" s="32" t="n">
        <v>10000</v>
      </c>
      <c r="G321" s="32" t="n">
        <v>10000</v>
      </c>
    </row>
    <row r="322" customFormat="false" ht="15" hidden="false" customHeight="false" outlineLevel="0" collapsed="false">
      <c r="A322" s="40" t="s">
        <v>393</v>
      </c>
      <c r="C322" s="33" t="n">
        <f aca="false">CHOOSE($E$4,C318,C319,C320,C321)</f>
        <v>60000</v>
      </c>
      <c r="D322" s="33" t="n">
        <f aca="false">CHOOSE($E$4,D318,D319,D320,D321)</f>
        <v>15000</v>
      </c>
      <c r="E322" s="33" t="n">
        <f aca="false">CHOOSE($E$4,E318,E319,E320,E321)</f>
        <v>15000</v>
      </c>
      <c r="F322" s="33" t="n">
        <f aca="false">CHOOSE($E$4,F318,F319,F320,F321)</f>
        <v>10000</v>
      </c>
      <c r="G322" s="33" t="n">
        <f aca="false">CHOOSE($E$4,G318,G319,G320,G321)</f>
        <v>10000</v>
      </c>
    </row>
    <row r="323" customFormat="false" ht="15" hidden="false" customHeight="false" outlineLevel="0" collapsed="false">
      <c r="A323" s="11" t="s">
        <v>428</v>
      </c>
      <c r="B323" s="8" t="s">
        <v>11</v>
      </c>
      <c r="H323" s="8" t="s">
        <v>429</v>
      </c>
    </row>
    <row r="324" customFormat="false" ht="15" hidden="false" customHeight="false" outlineLevel="0" collapsed="false">
      <c r="A324" s="8" t="s">
        <v>389</v>
      </c>
      <c r="C324" s="32" t="n">
        <v>0</v>
      </c>
      <c r="D324" s="32" t="n">
        <v>5000</v>
      </c>
      <c r="E324" s="32" t="n">
        <v>5000</v>
      </c>
      <c r="F324" s="32" t="n">
        <v>5000</v>
      </c>
      <c r="G324" s="32" t="n">
        <v>5000</v>
      </c>
    </row>
    <row r="325" customFormat="false" ht="15" hidden="false" customHeight="false" outlineLevel="0" collapsed="false">
      <c r="A325" s="8" t="s">
        <v>390</v>
      </c>
      <c r="C325" s="32" t="n">
        <v>0</v>
      </c>
      <c r="D325" s="32" t="n">
        <v>15000</v>
      </c>
      <c r="E325" s="32" t="n">
        <v>15000</v>
      </c>
      <c r="F325" s="32" t="n">
        <v>10000</v>
      </c>
      <c r="G325" s="32" t="n">
        <v>10000</v>
      </c>
    </row>
    <row r="326" customFormat="false" ht="15" hidden="false" customHeight="false" outlineLevel="0" collapsed="false">
      <c r="A326" s="8" t="s">
        <v>391</v>
      </c>
      <c r="C326" s="32" t="n">
        <v>0</v>
      </c>
      <c r="D326" s="32" t="n">
        <v>20000</v>
      </c>
      <c r="E326" s="32" t="n">
        <v>20000</v>
      </c>
      <c r="F326" s="32" t="n">
        <v>15000</v>
      </c>
      <c r="G326" s="32" t="n">
        <v>15000</v>
      </c>
    </row>
    <row r="327" customFormat="false" ht="15" hidden="false" customHeight="false" outlineLevel="0" collapsed="false">
      <c r="A327" s="8" t="s">
        <v>392</v>
      </c>
      <c r="C327" s="32" t="n">
        <v>0</v>
      </c>
      <c r="D327" s="32" t="n">
        <v>15000</v>
      </c>
      <c r="E327" s="32" t="n">
        <v>15000</v>
      </c>
      <c r="F327" s="32" t="n">
        <v>10000</v>
      </c>
      <c r="G327" s="32" t="n">
        <v>10000</v>
      </c>
    </row>
    <row r="328" customFormat="false" ht="15" hidden="false" customHeight="false" outlineLevel="0" collapsed="false">
      <c r="A328" s="40" t="s">
        <v>393</v>
      </c>
      <c r="C328" s="33" t="n">
        <f aca="false">CHOOSE($E$4,C324,C325,C326,C327)</f>
        <v>0</v>
      </c>
      <c r="D328" s="33" t="n">
        <f aca="false">CHOOSE($E$4,D324,D325,D326,D327)</f>
        <v>15000</v>
      </c>
      <c r="E328" s="33" t="n">
        <f aca="false">CHOOSE($E$4,E324,E325,E326,E327)</f>
        <v>15000</v>
      </c>
      <c r="F328" s="33" t="n">
        <f aca="false">CHOOSE($E$4,F324,F325,F326,F327)</f>
        <v>10000</v>
      </c>
      <c r="G328" s="33" t="n">
        <f aca="false">CHOOSE($E$4,G324,G325,G326,G327)</f>
        <v>10000</v>
      </c>
    </row>
    <row r="329" customFormat="false" ht="15" hidden="false" customHeight="false" outlineLevel="0" collapsed="false">
      <c r="A329" s="22" t="s">
        <v>430</v>
      </c>
    </row>
    <row r="330" customFormat="false" ht="15" hidden="false" customHeight="false" outlineLevel="0" collapsed="false">
      <c r="A330" s="11" t="s">
        <v>431</v>
      </c>
      <c r="B330" s="8" t="s">
        <v>432</v>
      </c>
      <c r="H330" s="8" t="s">
        <v>94</v>
      </c>
    </row>
    <row r="331" customFormat="false" ht="15" hidden="false" customHeight="false" outlineLevel="0" collapsed="false">
      <c r="A331" s="8" t="s">
        <v>389</v>
      </c>
      <c r="C331" s="41" t="n">
        <v>1</v>
      </c>
      <c r="D331" s="41" t="n">
        <v>1</v>
      </c>
      <c r="E331" s="41" t="n">
        <v>1</v>
      </c>
      <c r="F331" s="41" t="n">
        <v>1</v>
      </c>
      <c r="G331" s="41" t="n">
        <v>1</v>
      </c>
    </row>
    <row r="332" customFormat="false" ht="15" hidden="false" customHeight="false" outlineLevel="0" collapsed="false">
      <c r="A332" s="8" t="s">
        <v>390</v>
      </c>
      <c r="C332" s="41" t="n">
        <v>1</v>
      </c>
      <c r="D332" s="41" t="n">
        <v>1</v>
      </c>
      <c r="E332" s="41" t="n">
        <v>1</v>
      </c>
      <c r="F332" s="41" t="n">
        <v>1</v>
      </c>
      <c r="G332" s="41" t="n">
        <v>1</v>
      </c>
    </row>
    <row r="333" customFormat="false" ht="15" hidden="false" customHeight="false" outlineLevel="0" collapsed="false">
      <c r="A333" s="8" t="s">
        <v>391</v>
      </c>
      <c r="C333" s="41" t="n">
        <v>1</v>
      </c>
      <c r="D333" s="41" t="n">
        <v>1</v>
      </c>
      <c r="E333" s="41" t="n">
        <v>1</v>
      </c>
      <c r="F333" s="41" t="n">
        <v>1</v>
      </c>
      <c r="G333" s="41" t="n">
        <v>1</v>
      </c>
    </row>
    <row r="334" customFormat="false" ht="15" hidden="false" customHeight="false" outlineLevel="0" collapsed="false">
      <c r="A334" s="8" t="s">
        <v>392</v>
      </c>
      <c r="C334" s="41" t="n">
        <v>1</v>
      </c>
      <c r="D334" s="41" t="n">
        <v>1</v>
      </c>
      <c r="E334" s="41" t="n">
        <v>1</v>
      </c>
      <c r="F334" s="41" t="n">
        <v>1</v>
      </c>
      <c r="G334" s="41" t="n">
        <v>1</v>
      </c>
    </row>
    <row r="335" customFormat="false" ht="15" hidden="false" customHeight="false" outlineLevel="0" collapsed="false">
      <c r="A335" s="40" t="s">
        <v>393</v>
      </c>
      <c r="C335" s="42" t="n">
        <f aca="false">CHOOSE($E$4,C331,C332,C333,C334)</f>
        <v>1</v>
      </c>
      <c r="D335" s="42" t="n">
        <f aca="false">CHOOSE($E$4,D331,D332,D333,D334)</f>
        <v>1</v>
      </c>
      <c r="E335" s="42" t="n">
        <f aca="false">CHOOSE($E$4,E331,E332,E333,E334)</f>
        <v>1</v>
      </c>
      <c r="F335" s="42" t="n">
        <f aca="false">CHOOSE($E$4,F331,F332,F333,F334)</f>
        <v>1</v>
      </c>
      <c r="G335" s="42" t="n">
        <f aca="false">CHOOSE($E$4,G331,G332,G333,G334)</f>
        <v>1</v>
      </c>
    </row>
    <row r="336" customFormat="false" ht="15" hidden="false" customHeight="false" outlineLevel="0" collapsed="false">
      <c r="A336" s="11" t="s">
        <v>433</v>
      </c>
      <c r="B336" s="8" t="s">
        <v>432</v>
      </c>
      <c r="H336" s="8" t="s">
        <v>94</v>
      </c>
    </row>
    <row r="337" customFormat="false" ht="15" hidden="false" customHeight="false" outlineLevel="0" collapsed="false">
      <c r="A337" s="8" t="s">
        <v>389</v>
      </c>
      <c r="C337" s="41" t="n">
        <v>1</v>
      </c>
      <c r="D337" s="41" t="n">
        <v>1</v>
      </c>
      <c r="E337" s="41" t="n">
        <v>1</v>
      </c>
      <c r="F337" s="41" t="n">
        <v>1</v>
      </c>
      <c r="G337" s="41" t="n">
        <v>1</v>
      </c>
    </row>
    <row r="338" customFormat="false" ht="15" hidden="false" customHeight="false" outlineLevel="0" collapsed="false">
      <c r="A338" s="8" t="s">
        <v>390</v>
      </c>
      <c r="C338" s="41" t="n">
        <v>1</v>
      </c>
      <c r="D338" s="41" t="n">
        <v>1</v>
      </c>
      <c r="E338" s="41" t="n">
        <v>1</v>
      </c>
      <c r="F338" s="41" t="n">
        <v>1</v>
      </c>
      <c r="G338" s="41" t="n">
        <v>1</v>
      </c>
    </row>
    <row r="339" customFormat="false" ht="15" hidden="false" customHeight="false" outlineLevel="0" collapsed="false">
      <c r="A339" s="8" t="s">
        <v>391</v>
      </c>
      <c r="C339" s="41" t="n">
        <v>1</v>
      </c>
      <c r="D339" s="41" t="n">
        <v>1</v>
      </c>
      <c r="E339" s="41" t="n">
        <v>1</v>
      </c>
      <c r="F339" s="41" t="n">
        <v>1</v>
      </c>
      <c r="G339" s="41" t="n">
        <v>1</v>
      </c>
    </row>
    <row r="340" customFormat="false" ht="15" hidden="false" customHeight="false" outlineLevel="0" collapsed="false">
      <c r="A340" s="8" t="s">
        <v>392</v>
      </c>
      <c r="C340" s="41" t="n">
        <v>1</v>
      </c>
      <c r="D340" s="41" t="n">
        <v>1</v>
      </c>
      <c r="E340" s="41" t="n">
        <v>1</v>
      </c>
      <c r="F340" s="41" t="n">
        <v>1</v>
      </c>
      <c r="G340" s="41" t="n">
        <v>1</v>
      </c>
    </row>
    <row r="341" customFormat="false" ht="15" hidden="false" customHeight="false" outlineLevel="0" collapsed="false">
      <c r="A341" s="40" t="s">
        <v>393</v>
      </c>
      <c r="C341" s="42" t="n">
        <f aca="false">CHOOSE($E$4,C337,C338,C339,C340)</f>
        <v>1</v>
      </c>
      <c r="D341" s="42" t="n">
        <f aca="false">CHOOSE($E$4,D337,D338,D339,D340)</f>
        <v>1</v>
      </c>
      <c r="E341" s="42" t="n">
        <f aca="false">CHOOSE($E$4,E337,E338,E339,E340)</f>
        <v>1</v>
      </c>
      <c r="F341" s="42" t="n">
        <f aca="false">CHOOSE($E$4,F337,F338,F339,F340)</f>
        <v>1</v>
      </c>
      <c r="G341" s="42" t="n">
        <f aca="false">CHOOSE($E$4,G337,G338,G339,G340)</f>
        <v>1</v>
      </c>
    </row>
    <row r="342" customFormat="false" ht="15" hidden="false" customHeight="false" outlineLevel="0" collapsed="false">
      <c r="A342" s="11" t="s">
        <v>434</v>
      </c>
      <c r="B342" s="8" t="s">
        <v>432</v>
      </c>
      <c r="H342" s="8" t="s">
        <v>435</v>
      </c>
    </row>
    <row r="343" customFormat="false" ht="15" hidden="false" customHeight="false" outlineLevel="0" collapsed="false">
      <c r="A343" s="8" t="s">
        <v>389</v>
      </c>
      <c r="C343" s="41" t="n">
        <v>1</v>
      </c>
      <c r="D343" s="41" t="n">
        <v>1</v>
      </c>
      <c r="E343" s="41" t="n">
        <v>1</v>
      </c>
      <c r="F343" s="41" t="n">
        <v>1</v>
      </c>
      <c r="G343" s="41" t="n">
        <v>1</v>
      </c>
    </row>
    <row r="344" customFormat="false" ht="15" hidden="false" customHeight="false" outlineLevel="0" collapsed="false">
      <c r="A344" s="8" t="s">
        <v>390</v>
      </c>
      <c r="C344" s="41" t="n">
        <v>1</v>
      </c>
      <c r="D344" s="41" t="n">
        <v>1</v>
      </c>
      <c r="E344" s="41" t="n">
        <v>2</v>
      </c>
      <c r="F344" s="41" t="n">
        <v>2</v>
      </c>
      <c r="G344" s="41" t="n">
        <v>2</v>
      </c>
    </row>
    <row r="345" customFormat="false" ht="15" hidden="false" customHeight="false" outlineLevel="0" collapsed="false">
      <c r="A345" s="8" t="s">
        <v>391</v>
      </c>
      <c r="C345" s="41" t="n">
        <v>1</v>
      </c>
      <c r="D345" s="41" t="n">
        <v>2</v>
      </c>
      <c r="E345" s="41" t="n">
        <v>3</v>
      </c>
      <c r="F345" s="41" t="n">
        <v>4</v>
      </c>
      <c r="G345" s="41" t="n">
        <v>4</v>
      </c>
    </row>
    <row r="346" customFormat="false" ht="15" hidden="false" customHeight="false" outlineLevel="0" collapsed="false">
      <c r="A346" s="8" t="s">
        <v>392</v>
      </c>
      <c r="C346" s="41" t="n">
        <v>0</v>
      </c>
      <c r="D346" s="41" t="n">
        <v>1</v>
      </c>
      <c r="E346" s="41" t="n">
        <v>1</v>
      </c>
      <c r="F346" s="41" t="n">
        <v>1</v>
      </c>
      <c r="G346" s="41" t="n">
        <v>1</v>
      </c>
    </row>
    <row r="347" customFormat="false" ht="15" hidden="false" customHeight="false" outlineLevel="0" collapsed="false">
      <c r="A347" s="40" t="s">
        <v>393</v>
      </c>
      <c r="C347" s="42" t="n">
        <f aca="false">CHOOSE($E$4,C343,C344,C345,C346)</f>
        <v>1</v>
      </c>
      <c r="D347" s="42" t="n">
        <f aca="false">CHOOSE($E$4,D343,D344,D345,D346)</f>
        <v>1</v>
      </c>
      <c r="E347" s="42" t="n">
        <f aca="false">CHOOSE($E$4,E343,E344,E345,E346)</f>
        <v>2</v>
      </c>
      <c r="F347" s="42" t="n">
        <f aca="false">CHOOSE($E$4,F343,F344,F345,F346)</f>
        <v>2</v>
      </c>
      <c r="G347" s="42" t="n">
        <f aca="false">CHOOSE($E$4,G343,G344,G345,G346)</f>
        <v>2</v>
      </c>
    </row>
    <row r="348" customFormat="false" ht="15" hidden="false" customHeight="false" outlineLevel="0" collapsed="false">
      <c r="A348" s="11" t="s">
        <v>436</v>
      </c>
      <c r="B348" s="8" t="s">
        <v>432</v>
      </c>
      <c r="H348" s="8" t="s">
        <v>437</v>
      </c>
    </row>
    <row r="349" customFormat="false" ht="15" hidden="false" customHeight="false" outlineLevel="0" collapsed="false">
      <c r="A349" s="8" t="s">
        <v>389</v>
      </c>
      <c r="C349" s="41" t="n">
        <v>1</v>
      </c>
      <c r="D349" s="41" t="n">
        <v>1</v>
      </c>
      <c r="E349" s="41" t="n">
        <v>1</v>
      </c>
      <c r="F349" s="41" t="n">
        <v>1</v>
      </c>
      <c r="G349" s="41" t="n">
        <v>1</v>
      </c>
    </row>
    <row r="350" customFormat="false" ht="15" hidden="false" customHeight="false" outlineLevel="0" collapsed="false">
      <c r="A350" s="8" t="s">
        <v>390</v>
      </c>
      <c r="C350" s="41" t="n">
        <v>1</v>
      </c>
      <c r="D350" s="41" t="n">
        <v>1</v>
      </c>
      <c r="E350" s="41" t="n">
        <v>1</v>
      </c>
      <c r="F350" s="41" t="n">
        <v>1</v>
      </c>
      <c r="G350" s="41" t="n">
        <v>1</v>
      </c>
    </row>
    <row r="351" customFormat="false" ht="15" hidden="false" customHeight="false" outlineLevel="0" collapsed="false">
      <c r="A351" s="8" t="s">
        <v>391</v>
      </c>
      <c r="C351" s="41" t="n">
        <v>1</v>
      </c>
      <c r="D351" s="41" t="n">
        <v>1</v>
      </c>
      <c r="E351" s="41" t="n">
        <v>1</v>
      </c>
      <c r="F351" s="41" t="n">
        <v>1</v>
      </c>
      <c r="G351" s="41" t="n">
        <v>1</v>
      </c>
    </row>
    <row r="352" customFormat="false" ht="15" hidden="false" customHeight="false" outlineLevel="0" collapsed="false">
      <c r="A352" s="8" t="s">
        <v>392</v>
      </c>
      <c r="C352" s="41" t="n">
        <v>0.5</v>
      </c>
      <c r="D352" s="41" t="n">
        <v>1</v>
      </c>
      <c r="E352" s="41" t="n">
        <v>1</v>
      </c>
      <c r="F352" s="41" t="n">
        <v>1</v>
      </c>
      <c r="G352" s="41" t="n">
        <v>1</v>
      </c>
    </row>
    <row r="353" customFormat="false" ht="15" hidden="false" customHeight="false" outlineLevel="0" collapsed="false">
      <c r="A353" s="40" t="s">
        <v>393</v>
      </c>
      <c r="C353" s="42" t="n">
        <f aca="false">CHOOSE($E$4,C349,C350,C351,C352)</f>
        <v>1</v>
      </c>
      <c r="D353" s="42" t="n">
        <f aca="false">CHOOSE($E$4,D349,D350,D351,D352)</f>
        <v>1</v>
      </c>
      <c r="E353" s="42" t="n">
        <f aca="false">CHOOSE($E$4,E349,E350,E351,E352)</f>
        <v>1</v>
      </c>
      <c r="F353" s="42" t="n">
        <f aca="false">CHOOSE($E$4,F349,F350,F351,F352)</f>
        <v>1</v>
      </c>
      <c r="G353" s="42" t="n">
        <f aca="false">CHOOSE($E$4,G349,G350,G351,G352)</f>
        <v>1</v>
      </c>
    </row>
    <row r="354" customFormat="false" ht="15" hidden="false" customHeight="false" outlineLevel="0" collapsed="false">
      <c r="A354" s="11" t="s">
        <v>438</v>
      </c>
      <c r="B354" s="8" t="s">
        <v>432</v>
      </c>
      <c r="H354" s="8" t="s">
        <v>94</v>
      </c>
    </row>
    <row r="355" customFormat="false" ht="15" hidden="false" customHeight="false" outlineLevel="0" collapsed="false">
      <c r="A355" s="8" t="s">
        <v>389</v>
      </c>
      <c r="C355" s="41" t="n">
        <v>0.5</v>
      </c>
      <c r="D355" s="41" t="n">
        <v>0.5</v>
      </c>
      <c r="E355" s="41" t="n">
        <v>0.5</v>
      </c>
      <c r="F355" s="41" t="n">
        <v>1</v>
      </c>
      <c r="G355" s="41" t="n">
        <v>1</v>
      </c>
    </row>
    <row r="356" customFormat="false" ht="15" hidden="false" customHeight="false" outlineLevel="0" collapsed="false">
      <c r="A356" s="8" t="s">
        <v>390</v>
      </c>
      <c r="C356" s="41" t="n">
        <v>0.5</v>
      </c>
      <c r="D356" s="41" t="n">
        <v>1</v>
      </c>
      <c r="E356" s="41" t="n">
        <v>1</v>
      </c>
      <c r="F356" s="41" t="n">
        <v>1</v>
      </c>
      <c r="G356" s="41" t="n">
        <v>1</v>
      </c>
    </row>
    <row r="357" customFormat="false" ht="15" hidden="false" customHeight="false" outlineLevel="0" collapsed="false">
      <c r="A357" s="8" t="s">
        <v>391</v>
      </c>
      <c r="C357" s="41" t="n">
        <v>0.5</v>
      </c>
      <c r="D357" s="41" t="n">
        <v>1</v>
      </c>
      <c r="E357" s="41" t="n">
        <v>1</v>
      </c>
      <c r="F357" s="41" t="n">
        <v>1</v>
      </c>
      <c r="G357" s="41" t="n">
        <v>2</v>
      </c>
    </row>
    <row r="358" customFormat="false" ht="15" hidden="false" customHeight="false" outlineLevel="0" collapsed="false">
      <c r="A358" s="8" t="s">
        <v>392</v>
      </c>
      <c r="C358" s="41" t="n">
        <v>0.5</v>
      </c>
      <c r="D358" s="41" t="n">
        <v>0.5</v>
      </c>
      <c r="E358" s="41" t="n">
        <v>0.5</v>
      </c>
      <c r="F358" s="41" t="n">
        <v>1</v>
      </c>
      <c r="G358" s="41" t="n">
        <v>1</v>
      </c>
    </row>
    <row r="359" customFormat="false" ht="15" hidden="false" customHeight="false" outlineLevel="0" collapsed="false">
      <c r="A359" s="40" t="s">
        <v>393</v>
      </c>
      <c r="C359" s="42" t="n">
        <f aca="false">CHOOSE($E$4,C355,C356,C357,C358)</f>
        <v>0.5</v>
      </c>
      <c r="D359" s="42" t="n">
        <f aca="false">CHOOSE($E$4,D355,D356,D357,D358)</f>
        <v>1</v>
      </c>
      <c r="E359" s="42" t="n">
        <f aca="false">CHOOSE($E$4,E355,E356,E357,E358)</f>
        <v>1</v>
      </c>
      <c r="F359" s="42" t="n">
        <f aca="false">CHOOSE($E$4,F355,F356,F357,F358)</f>
        <v>1</v>
      </c>
      <c r="G359" s="42" t="n">
        <f aca="false">CHOOSE($E$4,G355,G356,G357,G358)</f>
        <v>1</v>
      </c>
    </row>
    <row r="360" customFormat="false" ht="15" hidden="false" customHeight="false" outlineLevel="0" collapsed="false">
      <c r="A360" s="11" t="s">
        <v>439</v>
      </c>
      <c r="B360" s="8" t="s">
        <v>432</v>
      </c>
      <c r="H360" s="8" t="s">
        <v>94</v>
      </c>
    </row>
    <row r="361" customFormat="false" ht="15" hidden="false" customHeight="false" outlineLevel="0" collapsed="false">
      <c r="A361" s="8" t="s">
        <v>389</v>
      </c>
      <c r="C361" s="41" t="n">
        <v>1</v>
      </c>
      <c r="D361" s="41" t="n">
        <v>1</v>
      </c>
      <c r="E361" s="41" t="n">
        <v>1</v>
      </c>
      <c r="F361" s="41" t="n">
        <v>1</v>
      </c>
      <c r="G361" s="41" t="n">
        <v>1</v>
      </c>
    </row>
    <row r="362" customFormat="false" ht="15" hidden="false" customHeight="false" outlineLevel="0" collapsed="false">
      <c r="A362" s="8" t="s">
        <v>390</v>
      </c>
      <c r="C362" s="41" t="n">
        <v>1</v>
      </c>
      <c r="D362" s="41" t="n">
        <v>1</v>
      </c>
      <c r="E362" s="41" t="n">
        <v>1</v>
      </c>
      <c r="F362" s="41" t="n">
        <v>2</v>
      </c>
      <c r="G362" s="41" t="n">
        <v>2</v>
      </c>
    </row>
    <row r="363" customFormat="false" ht="15" hidden="false" customHeight="false" outlineLevel="0" collapsed="false">
      <c r="A363" s="8" t="s">
        <v>391</v>
      </c>
      <c r="C363" s="41" t="n">
        <v>1</v>
      </c>
      <c r="D363" s="41" t="n">
        <v>2</v>
      </c>
      <c r="E363" s="41" t="n">
        <v>2</v>
      </c>
      <c r="F363" s="41" t="n">
        <v>3</v>
      </c>
      <c r="G363" s="41" t="n">
        <v>4</v>
      </c>
    </row>
    <row r="364" customFormat="false" ht="15" hidden="false" customHeight="false" outlineLevel="0" collapsed="false">
      <c r="A364" s="8" t="s">
        <v>392</v>
      </c>
      <c r="C364" s="41" t="n">
        <v>1</v>
      </c>
      <c r="D364" s="41" t="n">
        <v>1</v>
      </c>
      <c r="E364" s="41" t="n">
        <v>1</v>
      </c>
      <c r="F364" s="41" t="n">
        <v>1</v>
      </c>
      <c r="G364" s="41" t="n">
        <v>1</v>
      </c>
    </row>
    <row r="365" customFormat="false" ht="15" hidden="false" customHeight="false" outlineLevel="0" collapsed="false">
      <c r="A365" s="40" t="s">
        <v>393</v>
      </c>
      <c r="C365" s="42" t="n">
        <f aca="false">CHOOSE($E$4,C361,C362,C363,C364)</f>
        <v>1</v>
      </c>
      <c r="D365" s="42" t="n">
        <f aca="false">CHOOSE($E$4,D361,D362,D363,D364)</f>
        <v>1</v>
      </c>
      <c r="E365" s="42" t="n">
        <f aca="false">CHOOSE($E$4,E361,E362,E363,E364)</f>
        <v>1</v>
      </c>
      <c r="F365" s="42" t="n">
        <f aca="false">CHOOSE($E$4,F361,F362,F363,F364)</f>
        <v>2</v>
      </c>
      <c r="G365" s="42" t="n">
        <f aca="false">CHOOSE($E$4,G361,G362,G363,G364)</f>
        <v>2</v>
      </c>
    </row>
    <row r="366" customFormat="false" ht="15" hidden="false" customHeight="false" outlineLevel="0" collapsed="false">
      <c r="A366" s="11" t="s">
        <v>440</v>
      </c>
      <c r="B366" s="8" t="s">
        <v>432</v>
      </c>
      <c r="H366" s="8" t="s">
        <v>94</v>
      </c>
    </row>
    <row r="367" customFormat="false" ht="15" hidden="false" customHeight="false" outlineLevel="0" collapsed="false">
      <c r="A367" s="8" t="s">
        <v>389</v>
      </c>
      <c r="C367" s="41" t="n">
        <v>0.5</v>
      </c>
      <c r="D367" s="41" t="n">
        <v>0.5</v>
      </c>
      <c r="E367" s="41" t="n">
        <v>0.5</v>
      </c>
      <c r="F367" s="41" t="n">
        <v>0.5</v>
      </c>
      <c r="G367" s="41" t="n">
        <v>0.5</v>
      </c>
    </row>
    <row r="368" customFormat="false" ht="15" hidden="false" customHeight="false" outlineLevel="0" collapsed="false">
      <c r="A368" s="8" t="s">
        <v>390</v>
      </c>
      <c r="C368" s="41" t="n">
        <v>0.5</v>
      </c>
      <c r="D368" s="41" t="n">
        <v>1</v>
      </c>
      <c r="E368" s="41" t="n">
        <v>1</v>
      </c>
      <c r="F368" s="41" t="n">
        <v>1</v>
      </c>
      <c r="G368" s="41" t="n">
        <v>1</v>
      </c>
    </row>
    <row r="369" customFormat="false" ht="15" hidden="false" customHeight="false" outlineLevel="0" collapsed="false">
      <c r="A369" s="8" t="s">
        <v>391</v>
      </c>
      <c r="C369" s="41" t="n">
        <v>0.5</v>
      </c>
      <c r="D369" s="41" t="n">
        <v>1</v>
      </c>
      <c r="E369" s="41" t="n">
        <v>1</v>
      </c>
      <c r="F369" s="41" t="n">
        <v>1</v>
      </c>
      <c r="G369" s="41" t="n">
        <v>2</v>
      </c>
    </row>
    <row r="370" customFormat="false" ht="15" hidden="false" customHeight="false" outlineLevel="0" collapsed="false">
      <c r="A370" s="8" t="s">
        <v>392</v>
      </c>
      <c r="C370" s="41" t="n">
        <v>0.5</v>
      </c>
      <c r="D370" s="41" t="n">
        <v>1</v>
      </c>
      <c r="E370" s="41" t="n">
        <v>1</v>
      </c>
      <c r="F370" s="41" t="n">
        <v>1</v>
      </c>
      <c r="G370" s="41" t="n">
        <v>1</v>
      </c>
    </row>
    <row r="371" customFormat="false" ht="15" hidden="false" customHeight="false" outlineLevel="0" collapsed="false">
      <c r="A371" s="40" t="s">
        <v>393</v>
      </c>
      <c r="C371" s="42" t="n">
        <f aca="false">CHOOSE($E$4,C367,C368,C369,C370)</f>
        <v>0.5</v>
      </c>
      <c r="D371" s="42" t="n">
        <f aca="false">CHOOSE($E$4,D367,D368,D369,D370)</f>
        <v>1</v>
      </c>
      <c r="E371" s="42" t="n">
        <f aca="false">CHOOSE($E$4,E367,E368,E369,E370)</f>
        <v>1</v>
      </c>
      <c r="F371" s="42" t="n">
        <f aca="false">CHOOSE($E$4,F367,F368,F369,F370)</f>
        <v>1</v>
      </c>
      <c r="G371" s="42" t="n">
        <f aca="false">CHOOSE($E$4,G367,G368,G369,G370)</f>
        <v>1</v>
      </c>
    </row>
    <row r="372" customFormat="false" ht="15" hidden="false" customHeight="false" outlineLevel="0" collapsed="false">
      <c r="A372" s="11" t="s">
        <v>441</v>
      </c>
      <c r="B372" s="8" t="s">
        <v>432</v>
      </c>
      <c r="H372" s="8" t="s">
        <v>442</v>
      </c>
    </row>
    <row r="373" customFormat="false" ht="15" hidden="false" customHeight="false" outlineLevel="0" collapsed="false">
      <c r="A373" s="8" t="s">
        <v>389</v>
      </c>
      <c r="C373" s="41" t="n">
        <v>1</v>
      </c>
      <c r="D373" s="41" t="n">
        <v>1</v>
      </c>
      <c r="E373" s="41" t="n">
        <v>1</v>
      </c>
      <c r="F373" s="41" t="n">
        <v>1</v>
      </c>
      <c r="G373" s="41" t="n">
        <v>1</v>
      </c>
    </row>
    <row r="374" customFormat="false" ht="15" hidden="false" customHeight="false" outlineLevel="0" collapsed="false">
      <c r="A374" s="8" t="s">
        <v>390</v>
      </c>
      <c r="C374" s="41" t="n">
        <v>1</v>
      </c>
      <c r="D374" s="41" t="n">
        <v>1</v>
      </c>
      <c r="E374" s="41" t="n">
        <v>2</v>
      </c>
      <c r="F374" s="41" t="n">
        <v>3</v>
      </c>
      <c r="G374" s="41" t="n">
        <v>5</v>
      </c>
    </row>
    <row r="375" customFormat="false" ht="15" hidden="false" customHeight="false" outlineLevel="0" collapsed="false">
      <c r="A375" s="8" t="s">
        <v>391</v>
      </c>
      <c r="C375" s="41" t="n">
        <v>1</v>
      </c>
      <c r="D375" s="41" t="n">
        <v>2</v>
      </c>
      <c r="E375" s="41" t="n">
        <v>3</v>
      </c>
      <c r="F375" s="41" t="n">
        <v>5</v>
      </c>
      <c r="G375" s="41" t="n">
        <v>8</v>
      </c>
    </row>
    <row r="376" customFormat="false" ht="15" hidden="false" customHeight="false" outlineLevel="0" collapsed="false">
      <c r="A376" s="8" t="s">
        <v>392</v>
      </c>
      <c r="C376" s="41" t="n">
        <v>1</v>
      </c>
      <c r="D376" s="41" t="n">
        <v>1</v>
      </c>
      <c r="E376" s="41" t="n">
        <v>1</v>
      </c>
      <c r="F376" s="41" t="n">
        <v>2</v>
      </c>
      <c r="G376" s="41" t="n">
        <v>3</v>
      </c>
    </row>
    <row r="377" customFormat="false" ht="15" hidden="false" customHeight="false" outlineLevel="0" collapsed="false">
      <c r="A377" s="40" t="s">
        <v>393</v>
      </c>
      <c r="C377" s="42" t="n">
        <f aca="false">CHOOSE($E$4,C373,C374,C375,C376)</f>
        <v>1</v>
      </c>
      <c r="D377" s="42" t="n">
        <f aca="false">CHOOSE($E$4,D373,D374,D375,D376)</f>
        <v>1</v>
      </c>
      <c r="E377" s="42" t="n">
        <f aca="false">CHOOSE($E$4,E373,E374,E375,E376)</f>
        <v>2</v>
      </c>
      <c r="F377" s="42" t="n">
        <f aca="false">CHOOSE($E$4,F373,F374,F375,F376)</f>
        <v>3</v>
      </c>
      <c r="G377" s="42" t="n">
        <f aca="false">CHOOSE($E$4,G373,G374,G375,G376)</f>
        <v>5</v>
      </c>
    </row>
    <row r="378" customFormat="false" ht="15" hidden="false" customHeight="false" outlineLevel="0" collapsed="false">
      <c r="A378" s="11" t="s">
        <v>443</v>
      </c>
      <c r="B378" s="8" t="s">
        <v>432</v>
      </c>
      <c r="H378" s="8" t="s">
        <v>94</v>
      </c>
    </row>
    <row r="379" customFormat="false" ht="15" hidden="false" customHeight="false" outlineLevel="0" collapsed="false">
      <c r="A379" s="8" t="s">
        <v>389</v>
      </c>
      <c r="C379" s="41" t="n">
        <v>0</v>
      </c>
      <c r="D379" s="41" t="n">
        <v>0</v>
      </c>
      <c r="E379" s="41" t="n">
        <v>0</v>
      </c>
      <c r="F379" s="41" t="n">
        <v>0</v>
      </c>
      <c r="G379" s="41" t="n">
        <v>0</v>
      </c>
    </row>
    <row r="380" customFormat="false" ht="15" hidden="false" customHeight="false" outlineLevel="0" collapsed="false">
      <c r="A380" s="8" t="s">
        <v>390</v>
      </c>
      <c r="C380" s="41" t="n">
        <v>0</v>
      </c>
      <c r="D380" s="41" t="n">
        <v>0</v>
      </c>
      <c r="E380" s="41" t="n">
        <v>0</v>
      </c>
      <c r="F380" s="41" t="n">
        <v>1</v>
      </c>
      <c r="G380" s="41" t="n">
        <v>1</v>
      </c>
    </row>
    <row r="381" customFormat="false" ht="15" hidden="false" customHeight="false" outlineLevel="0" collapsed="false">
      <c r="A381" s="8" t="s">
        <v>391</v>
      </c>
      <c r="C381" s="41" t="n">
        <v>0</v>
      </c>
      <c r="D381" s="41" t="n">
        <v>0</v>
      </c>
      <c r="E381" s="41" t="n">
        <v>1</v>
      </c>
      <c r="F381" s="41" t="n">
        <v>1</v>
      </c>
      <c r="G381" s="41" t="n">
        <v>1</v>
      </c>
    </row>
    <row r="382" customFormat="false" ht="15" hidden="false" customHeight="false" outlineLevel="0" collapsed="false">
      <c r="A382" s="8" t="s">
        <v>392</v>
      </c>
      <c r="C382" s="41" t="n">
        <v>0</v>
      </c>
      <c r="D382" s="41" t="n">
        <v>0</v>
      </c>
      <c r="E382" s="41" t="n">
        <v>0</v>
      </c>
      <c r="F382" s="41" t="n">
        <v>0</v>
      </c>
      <c r="G382" s="41" t="n">
        <v>0</v>
      </c>
    </row>
    <row r="383" customFormat="false" ht="15" hidden="false" customHeight="false" outlineLevel="0" collapsed="false">
      <c r="A383" s="40" t="s">
        <v>393</v>
      </c>
      <c r="C383" s="42" t="n">
        <f aca="false">CHOOSE($E$4,C379,C380,C381,C382)</f>
        <v>0</v>
      </c>
      <c r="D383" s="42" t="n">
        <f aca="false">CHOOSE($E$4,D379,D380,D381,D382)</f>
        <v>0</v>
      </c>
      <c r="E383" s="42" t="n">
        <f aca="false">CHOOSE($E$4,E379,E380,E381,E382)</f>
        <v>0</v>
      </c>
      <c r="F383" s="42" t="n">
        <f aca="false">CHOOSE($E$4,F379,F380,F381,F382)</f>
        <v>1</v>
      </c>
      <c r="G383" s="42" t="n">
        <f aca="false">CHOOSE($E$4,G379,G380,G381,G382)</f>
        <v>1</v>
      </c>
    </row>
    <row r="384" customFormat="false" ht="15" hidden="false" customHeight="false" outlineLevel="0" collapsed="false">
      <c r="A384" s="11" t="s">
        <v>444</v>
      </c>
      <c r="B384" s="8" t="s">
        <v>432</v>
      </c>
      <c r="H384" s="8" t="s">
        <v>94</v>
      </c>
    </row>
    <row r="385" customFormat="false" ht="15" hidden="false" customHeight="false" outlineLevel="0" collapsed="false">
      <c r="A385" s="8" t="s">
        <v>389</v>
      </c>
      <c r="C385" s="41" t="n">
        <v>0</v>
      </c>
      <c r="D385" s="41" t="n">
        <v>0</v>
      </c>
      <c r="E385" s="41" t="n">
        <v>0</v>
      </c>
      <c r="F385" s="41" t="n">
        <v>0</v>
      </c>
      <c r="G385" s="41" t="n">
        <v>0</v>
      </c>
    </row>
    <row r="386" customFormat="false" ht="15" hidden="false" customHeight="false" outlineLevel="0" collapsed="false">
      <c r="A386" s="8" t="s">
        <v>390</v>
      </c>
      <c r="C386" s="41" t="n">
        <v>0</v>
      </c>
      <c r="D386" s="41" t="n">
        <v>0</v>
      </c>
      <c r="E386" s="41" t="n">
        <v>0</v>
      </c>
      <c r="F386" s="41" t="n">
        <v>0</v>
      </c>
      <c r="G386" s="41" t="n">
        <v>1</v>
      </c>
    </row>
    <row r="387" customFormat="false" ht="15" hidden="false" customHeight="false" outlineLevel="0" collapsed="false">
      <c r="A387" s="8" t="s">
        <v>391</v>
      </c>
      <c r="C387" s="41" t="n">
        <v>0</v>
      </c>
      <c r="D387" s="41" t="n">
        <v>0</v>
      </c>
      <c r="E387" s="41" t="n">
        <v>1</v>
      </c>
      <c r="F387" s="41" t="n">
        <v>1</v>
      </c>
      <c r="G387" s="41" t="n">
        <v>1</v>
      </c>
    </row>
    <row r="388" customFormat="false" ht="15" hidden="false" customHeight="false" outlineLevel="0" collapsed="false">
      <c r="A388" s="8" t="s">
        <v>392</v>
      </c>
      <c r="C388" s="41" t="n">
        <v>0</v>
      </c>
      <c r="D388" s="41" t="n">
        <v>0</v>
      </c>
      <c r="E388" s="41" t="n">
        <v>0</v>
      </c>
      <c r="F388" s="41" t="n">
        <v>0</v>
      </c>
      <c r="G388" s="41" t="n">
        <v>0</v>
      </c>
    </row>
    <row r="389" customFormat="false" ht="15" hidden="false" customHeight="false" outlineLevel="0" collapsed="false">
      <c r="A389" s="40" t="s">
        <v>393</v>
      </c>
      <c r="C389" s="42" t="n">
        <f aca="false">CHOOSE($E$4,C385,C386,C387,C388)</f>
        <v>0</v>
      </c>
      <c r="D389" s="42" t="n">
        <f aca="false">CHOOSE($E$4,D385,D386,D387,D388)</f>
        <v>0</v>
      </c>
      <c r="E389" s="42" t="n">
        <f aca="false">CHOOSE($E$4,E385,E386,E387,E388)</f>
        <v>0</v>
      </c>
      <c r="F389" s="42" t="n">
        <f aca="false">CHOOSE($E$4,F385,F386,F387,F388)</f>
        <v>0</v>
      </c>
      <c r="G389" s="42" t="n">
        <f aca="false">CHOOSE($E$4,G385,G386,G387,G388)</f>
        <v>1</v>
      </c>
    </row>
    <row r="390" customFormat="false" ht="15" hidden="false" customHeight="false" outlineLevel="0" collapsed="false">
      <c r="A390" s="11" t="s">
        <v>445</v>
      </c>
      <c r="B390" s="8" t="s">
        <v>432</v>
      </c>
      <c r="H390" s="8" t="s">
        <v>94</v>
      </c>
    </row>
    <row r="391" customFormat="false" ht="15" hidden="false" customHeight="false" outlineLevel="0" collapsed="false">
      <c r="A391" s="8" t="s">
        <v>389</v>
      </c>
      <c r="C391" s="41" t="n">
        <v>0</v>
      </c>
      <c r="D391" s="41" t="n">
        <v>0</v>
      </c>
      <c r="E391" s="41" t="n">
        <v>0</v>
      </c>
      <c r="F391" s="41" t="n">
        <v>0</v>
      </c>
      <c r="G391" s="41" t="n">
        <v>0</v>
      </c>
    </row>
    <row r="392" customFormat="false" ht="15" hidden="false" customHeight="false" outlineLevel="0" collapsed="false">
      <c r="A392" s="8" t="s">
        <v>390</v>
      </c>
      <c r="C392" s="41" t="n">
        <v>0</v>
      </c>
      <c r="D392" s="41" t="n">
        <v>0</v>
      </c>
      <c r="E392" s="41" t="n">
        <v>1</v>
      </c>
      <c r="F392" s="41" t="n">
        <v>1</v>
      </c>
      <c r="G392" s="41" t="n">
        <v>1</v>
      </c>
    </row>
    <row r="393" customFormat="false" ht="15" hidden="false" customHeight="false" outlineLevel="0" collapsed="false">
      <c r="A393" s="8" t="s">
        <v>391</v>
      </c>
      <c r="C393" s="41" t="n">
        <v>0</v>
      </c>
      <c r="D393" s="41" t="n">
        <v>1</v>
      </c>
      <c r="E393" s="41" t="n">
        <v>1</v>
      </c>
      <c r="F393" s="41" t="n">
        <v>2</v>
      </c>
      <c r="G393" s="41" t="n">
        <v>3</v>
      </c>
    </row>
    <row r="394" customFormat="false" ht="15" hidden="false" customHeight="false" outlineLevel="0" collapsed="false">
      <c r="A394" s="8" t="s">
        <v>392</v>
      </c>
      <c r="C394" s="41" t="n">
        <v>0</v>
      </c>
      <c r="D394" s="41" t="n">
        <v>0</v>
      </c>
      <c r="E394" s="41" t="n">
        <v>0</v>
      </c>
      <c r="F394" s="41" t="n">
        <v>1</v>
      </c>
      <c r="G394" s="41" t="n">
        <v>1</v>
      </c>
    </row>
    <row r="395" customFormat="false" ht="15" hidden="false" customHeight="false" outlineLevel="0" collapsed="false">
      <c r="A395" s="40" t="s">
        <v>393</v>
      </c>
      <c r="C395" s="42" t="n">
        <f aca="false">CHOOSE($E$4,C391,C392,C393,C394)</f>
        <v>0</v>
      </c>
      <c r="D395" s="42" t="n">
        <f aca="false">CHOOSE($E$4,D391,D392,D393,D394)</f>
        <v>0</v>
      </c>
      <c r="E395" s="42" t="n">
        <f aca="false">CHOOSE($E$4,E391,E392,E393,E394)</f>
        <v>1</v>
      </c>
      <c r="F395" s="42" t="n">
        <f aca="false">CHOOSE($E$4,F391,F392,F393,F394)</f>
        <v>1</v>
      </c>
      <c r="G395" s="42" t="n">
        <f aca="false">CHOOSE($E$4,G391,G392,G393,G394)</f>
        <v>1</v>
      </c>
    </row>
    <row r="396" customFormat="false" ht="15" hidden="false" customHeight="false" outlineLevel="0" collapsed="false">
      <c r="A396" s="11" t="s">
        <v>446</v>
      </c>
      <c r="B396" s="8" t="s">
        <v>432</v>
      </c>
      <c r="H396" s="8" t="s">
        <v>447</v>
      </c>
    </row>
    <row r="397" customFormat="false" ht="15" hidden="false" customHeight="false" outlineLevel="0" collapsed="false">
      <c r="A397" s="8" t="s">
        <v>389</v>
      </c>
      <c r="C397" s="41" t="n">
        <v>0</v>
      </c>
      <c r="D397" s="41" t="n">
        <v>0</v>
      </c>
      <c r="E397" s="41" t="n">
        <v>0</v>
      </c>
      <c r="F397" s="41" t="n">
        <v>0</v>
      </c>
      <c r="G397" s="41" t="n">
        <v>0</v>
      </c>
    </row>
    <row r="398" customFormat="false" ht="15" hidden="false" customHeight="false" outlineLevel="0" collapsed="false">
      <c r="A398" s="8" t="s">
        <v>390</v>
      </c>
      <c r="C398" s="41" t="n">
        <v>0</v>
      </c>
      <c r="D398" s="41" t="n">
        <v>0</v>
      </c>
      <c r="E398" s="41" t="n">
        <v>0</v>
      </c>
      <c r="F398" s="41" t="n">
        <v>0</v>
      </c>
      <c r="G398" s="41" t="n">
        <v>0</v>
      </c>
    </row>
    <row r="399" customFormat="false" ht="15" hidden="false" customHeight="false" outlineLevel="0" collapsed="false">
      <c r="A399" s="8" t="s">
        <v>391</v>
      </c>
      <c r="C399" s="41" t="n">
        <v>0</v>
      </c>
      <c r="D399" s="41" t="n">
        <v>0</v>
      </c>
      <c r="E399" s="41" t="n">
        <v>0</v>
      </c>
      <c r="F399" s="41" t="n">
        <v>0</v>
      </c>
      <c r="G399" s="41" t="n">
        <v>0</v>
      </c>
    </row>
    <row r="400" customFormat="false" ht="15" hidden="false" customHeight="false" outlineLevel="0" collapsed="false">
      <c r="A400" s="8" t="s">
        <v>392</v>
      </c>
      <c r="C400" s="41" t="n">
        <v>0</v>
      </c>
      <c r="D400" s="41" t="n">
        <v>0</v>
      </c>
      <c r="E400" s="41" t="n">
        <v>1</v>
      </c>
      <c r="F400" s="41" t="n">
        <v>1</v>
      </c>
      <c r="G400" s="41" t="n">
        <v>1</v>
      </c>
    </row>
    <row r="401" customFormat="false" ht="15" hidden="false" customHeight="false" outlineLevel="0" collapsed="false">
      <c r="A401" s="40" t="s">
        <v>393</v>
      </c>
      <c r="C401" s="42" t="n">
        <f aca="false">CHOOSE($E$4,C397,C398,C399,C400)</f>
        <v>0</v>
      </c>
      <c r="D401" s="42" t="n">
        <f aca="false">CHOOSE($E$4,D397,D398,D399,D400)</f>
        <v>0</v>
      </c>
      <c r="E401" s="42" t="n">
        <f aca="false">CHOOSE($E$4,E397,E398,E399,E400)</f>
        <v>0</v>
      </c>
      <c r="F401" s="42" t="n">
        <f aca="false">CHOOSE($E$4,F397,F398,F399,F400)</f>
        <v>0</v>
      </c>
      <c r="G401" s="42" t="n">
        <f aca="false">CHOOSE($E$4,G397,G398,G399,G400)</f>
        <v>0</v>
      </c>
    </row>
    <row r="402" customFormat="false" ht="15" hidden="false" customHeight="false" outlineLevel="0" collapsed="false">
      <c r="A402" s="22" t="s">
        <v>448</v>
      </c>
    </row>
    <row r="403" customFormat="false" ht="15" hidden="false" customHeight="false" outlineLevel="0" collapsed="false">
      <c r="A403" s="11" t="s">
        <v>449</v>
      </c>
      <c r="B403" s="8" t="s">
        <v>11</v>
      </c>
      <c r="H403" s="8" t="s">
        <v>450</v>
      </c>
    </row>
    <row r="404" customFormat="false" ht="15" hidden="false" customHeight="false" outlineLevel="0" collapsed="false">
      <c r="A404" s="8" t="s">
        <v>389</v>
      </c>
      <c r="C404" s="32" t="n">
        <v>90000</v>
      </c>
      <c r="D404" s="32" t="n">
        <v>40000</v>
      </c>
      <c r="E404" s="32" t="n">
        <v>35000</v>
      </c>
      <c r="F404" s="32" t="n">
        <v>35000</v>
      </c>
      <c r="G404" s="32" t="n">
        <v>35000</v>
      </c>
    </row>
    <row r="405" customFormat="false" ht="15" hidden="false" customHeight="false" outlineLevel="0" collapsed="false">
      <c r="A405" s="8" t="s">
        <v>390</v>
      </c>
      <c r="C405" s="32" t="n">
        <v>90000</v>
      </c>
      <c r="D405" s="32" t="n">
        <v>50000</v>
      </c>
      <c r="E405" s="32" t="n">
        <v>45000</v>
      </c>
      <c r="F405" s="32" t="n">
        <v>45000</v>
      </c>
      <c r="G405" s="32" t="n">
        <v>45000</v>
      </c>
    </row>
    <row r="406" customFormat="false" ht="15" hidden="false" customHeight="false" outlineLevel="0" collapsed="false">
      <c r="A406" s="8" t="s">
        <v>391</v>
      </c>
      <c r="C406" s="32" t="n">
        <v>90000</v>
      </c>
      <c r="D406" s="32" t="n">
        <v>55000</v>
      </c>
      <c r="E406" s="32" t="n">
        <v>50000</v>
      </c>
      <c r="F406" s="32" t="n">
        <v>50000</v>
      </c>
      <c r="G406" s="32" t="n">
        <v>55000</v>
      </c>
    </row>
    <row r="407" customFormat="false" ht="15" hidden="false" customHeight="false" outlineLevel="0" collapsed="false">
      <c r="A407" s="8" t="s">
        <v>392</v>
      </c>
      <c r="C407" s="32" t="n">
        <v>90000</v>
      </c>
      <c r="D407" s="32" t="n">
        <v>50000</v>
      </c>
      <c r="E407" s="32" t="n">
        <v>45000</v>
      </c>
      <c r="F407" s="32" t="n">
        <v>45000</v>
      </c>
      <c r="G407" s="32" t="n">
        <v>45000</v>
      </c>
    </row>
    <row r="408" customFormat="false" ht="15" hidden="false" customHeight="false" outlineLevel="0" collapsed="false">
      <c r="A408" s="40" t="s">
        <v>393</v>
      </c>
      <c r="C408" s="33" t="n">
        <f aca="false">CHOOSE($E$4,C404,C405,C406,C407)</f>
        <v>90000</v>
      </c>
      <c r="D408" s="33" t="n">
        <f aca="false">CHOOSE($E$4,D404,D405,D406,D407)</f>
        <v>50000</v>
      </c>
      <c r="E408" s="33" t="n">
        <f aca="false">CHOOSE($E$4,E404,E405,E406,E407)</f>
        <v>45000</v>
      </c>
      <c r="F408" s="33" t="n">
        <f aca="false">CHOOSE($E$4,F404,F405,F406,F407)</f>
        <v>45000</v>
      </c>
      <c r="G408" s="33" t="n">
        <f aca="false">CHOOSE($E$4,G404,G405,G406,G407)</f>
        <v>45000</v>
      </c>
    </row>
    <row r="409" customFormat="false" ht="15" hidden="false" customHeight="false" outlineLevel="0" collapsed="false">
      <c r="A409" s="11" t="s">
        <v>451</v>
      </c>
      <c r="B409" s="8" t="s">
        <v>11</v>
      </c>
      <c r="H409" s="8" t="s">
        <v>94</v>
      </c>
    </row>
    <row r="410" customFormat="false" ht="15" hidden="false" customHeight="false" outlineLevel="0" collapsed="false">
      <c r="A410" s="8" t="s">
        <v>389</v>
      </c>
      <c r="C410" s="32" t="n">
        <v>10000</v>
      </c>
      <c r="D410" s="32" t="n">
        <v>10000</v>
      </c>
      <c r="E410" s="32" t="n">
        <v>10000</v>
      </c>
      <c r="F410" s="32" t="n">
        <v>10000</v>
      </c>
      <c r="G410" s="32" t="n">
        <v>10000</v>
      </c>
    </row>
    <row r="411" customFormat="false" ht="15" hidden="false" customHeight="false" outlineLevel="0" collapsed="false">
      <c r="A411" s="8" t="s">
        <v>390</v>
      </c>
      <c r="C411" s="32" t="n">
        <v>10000</v>
      </c>
      <c r="D411" s="32" t="n">
        <v>10000</v>
      </c>
      <c r="E411" s="32" t="n">
        <v>10000</v>
      </c>
      <c r="F411" s="32" t="n">
        <v>10000</v>
      </c>
      <c r="G411" s="32" t="n">
        <v>10000</v>
      </c>
    </row>
    <row r="412" customFormat="false" ht="15" hidden="false" customHeight="false" outlineLevel="0" collapsed="false">
      <c r="A412" s="8" t="s">
        <v>391</v>
      </c>
      <c r="C412" s="32" t="n">
        <v>10000</v>
      </c>
      <c r="D412" s="32" t="n">
        <v>10000</v>
      </c>
      <c r="E412" s="32" t="n">
        <v>12000</v>
      </c>
      <c r="F412" s="32" t="n">
        <v>12000</v>
      </c>
      <c r="G412" s="32" t="n">
        <v>15000</v>
      </c>
    </row>
    <row r="413" customFormat="false" ht="15" hidden="false" customHeight="false" outlineLevel="0" collapsed="false">
      <c r="A413" s="8" t="s">
        <v>392</v>
      </c>
      <c r="C413" s="32" t="n">
        <v>10000</v>
      </c>
      <c r="D413" s="32" t="n">
        <v>10000</v>
      </c>
      <c r="E413" s="32" t="n">
        <v>10000</v>
      </c>
      <c r="F413" s="32" t="n">
        <v>10000</v>
      </c>
      <c r="G413" s="32" t="n">
        <v>10000</v>
      </c>
    </row>
    <row r="414" customFormat="false" ht="15" hidden="false" customHeight="false" outlineLevel="0" collapsed="false">
      <c r="A414" s="40" t="s">
        <v>393</v>
      </c>
      <c r="C414" s="33" t="n">
        <f aca="false">CHOOSE($E$4,C410,C411,C412,C413)</f>
        <v>10000</v>
      </c>
      <c r="D414" s="33" t="n">
        <f aca="false">CHOOSE($E$4,D410,D411,D412,D413)</f>
        <v>10000</v>
      </c>
      <c r="E414" s="33" t="n">
        <f aca="false">CHOOSE($E$4,E410,E411,E412,E413)</f>
        <v>10000</v>
      </c>
      <c r="F414" s="33" t="n">
        <f aca="false">CHOOSE($E$4,F410,F411,F412,F413)</f>
        <v>10000</v>
      </c>
      <c r="G414" s="33" t="n">
        <f aca="false">CHOOSE($E$4,G410,G411,G412,G413)</f>
        <v>10000</v>
      </c>
    </row>
    <row r="415" customFormat="false" ht="15" hidden="false" customHeight="false" outlineLevel="0" collapsed="false">
      <c r="A415" s="11" t="s">
        <v>452</v>
      </c>
      <c r="B415" s="8" t="s">
        <v>11</v>
      </c>
      <c r="H415" s="8" t="s">
        <v>453</v>
      </c>
    </row>
    <row r="416" customFormat="false" ht="15" hidden="false" customHeight="false" outlineLevel="0" collapsed="false">
      <c r="A416" s="8" t="s">
        <v>389</v>
      </c>
      <c r="C416" s="32" t="n">
        <v>12000</v>
      </c>
      <c r="D416" s="32" t="n">
        <v>12000</v>
      </c>
      <c r="E416" s="32" t="n">
        <v>12000</v>
      </c>
      <c r="F416" s="32" t="n">
        <v>12000</v>
      </c>
      <c r="G416" s="32" t="n">
        <v>12000</v>
      </c>
    </row>
    <row r="417" customFormat="false" ht="15" hidden="false" customHeight="false" outlineLevel="0" collapsed="false">
      <c r="A417" s="8" t="s">
        <v>390</v>
      </c>
      <c r="C417" s="32" t="n">
        <v>12000</v>
      </c>
      <c r="D417" s="32" t="n">
        <v>12000</v>
      </c>
      <c r="E417" s="32" t="n">
        <v>12000</v>
      </c>
      <c r="F417" s="32" t="n">
        <v>0</v>
      </c>
      <c r="G417" s="32" t="n">
        <v>0</v>
      </c>
    </row>
    <row r="418" customFormat="false" ht="15" hidden="false" customHeight="false" outlineLevel="0" collapsed="false">
      <c r="A418" s="8" t="s">
        <v>391</v>
      </c>
      <c r="C418" s="32" t="n">
        <v>12000</v>
      </c>
      <c r="D418" s="32" t="n">
        <v>12000</v>
      </c>
      <c r="E418" s="32" t="n">
        <v>0</v>
      </c>
      <c r="F418" s="32" t="n">
        <v>0</v>
      </c>
      <c r="G418" s="32" t="n">
        <v>0</v>
      </c>
    </row>
    <row r="419" customFormat="false" ht="15" hidden="false" customHeight="false" outlineLevel="0" collapsed="false">
      <c r="A419" s="8" t="s">
        <v>392</v>
      </c>
      <c r="C419" s="32" t="n">
        <v>12000</v>
      </c>
      <c r="D419" s="32" t="n">
        <v>12000</v>
      </c>
      <c r="E419" s="32" t="n">
        <v>12000</v>
      </c>
      <c r="F419" s="32" t="n">
        <v>12000</v>
      </c>
      <c r="G419" s="32" t="n">
        <v>12000</v>
      </c>
    </row>
    <row r="420" customFormat="false" ht="15" hidden="false" customHeight="false" outlineLevel="0" collapsed="false">
      <c r="A420" s="40" t="s">
        <v>393</v>
      </c>
      <c r="C420" s="33" t="n">
        <f aca="false">CHOOSE($E$4,C416,C417,C418,C419)</f>
        <v>12000</v>
      </c>
      <c r="D420" s="33" t="n">
        <f aca="false">CHOOSE($E$4,D416,D417,D418,D419)</f>
        <v>12000</v>
      </c>
      <c r="E420" s="33" t="n">
        <f aca="false">CHOOSE($E$4,E416,E417,E418,E419)</f>
        <v>12000</v>
      </c>
      <c r="F420" s="33" t="n">
        <f aca="false">CHOOSE($E$4,F416,F417,F418,F419)</f>
        <v>0</v>
      </c>
      <c r="G420" s="33" t="n">
        <f aca="false">CHOOSE($E$4,G416,G417,G418,G419)</f>
        <v>0</v>
      </c>
    </row>
    <row r="421" customFormat="false" ht="15" hidden="false" customHeight="false" outlineLevel="0" collapsed="false">
      <c r="A421" s="11" t="s">
        <v>454</v>
      </c>
      <c r="B421" s="8" t="s">
        <v>11</v>
      </c>
      <c r="H421" s="8" t="s">
        <v>455</v>
      </c>
    </row>
    <row r="422" customFormat="false" ht="15" hidden="false" customHeight="false" outlineLevel="0" collapsed="false">
      <c r="A422" s="8" t="s">
        <v>389</v>
      </c>
      <c r="C422" s="32" t="n">
        <v>30000</v>
      </c>
      <c r="D422" s="32" t="n">
        <v>32000</v>
      </c>
      <c r="E422" s="32" t="n">
        <v>36000</v>
      </c>
      <c r="F422" s="32" t="n">
        <v>40000</v>
      </c>
      <c r="G422" s="32" t="n">
        <v>44000</v>
      </c>
    </row>
    <row r="423" customFormat="false" ht="15" hidden="false" customHeight="false" outlineLevel="0" collapsed="false">
      <c r="A423" s="8" t="s">
        <v>390</v>
      </c>
      <c r="C423" s="32" t="n">
        <v>30000</v>
      </c>
      <c r="D423" s="32" t="n">
        <v>40000</v>
      </c>
      <c r="E423" s="32" t="n">
        <v>55000</v>
      </c>
      <c r="F423" s="32" t="n">
        <v>70000</v>
      </c>
      <c r="G423" s="32" t="n">
        <v>85000</v>
      </c>
    </row>
    <row r="424" customFormat="false" ht="15" hidden="false" customHeight="false" outlineLevel="0" collapsed="false">
      <c r="A424" s="8" t="s">
        <v>391</v>
      </c>
      <c r="C424" s="32" t="n">
        <v>32000</v>
      </c>
      <c r="D424" s="32" t="n">
        <v>50000</v>
      </c>
      <c r="E424" s="32" t="n">
        <v>70000</v>
      </c>
      <c r="F424" s="32" t="n">
        <v>90000</v>
      </c>
      <c r="G424" s="32" t="n">
        <v>110000</v>
      </c>
    </row>
    <row r="425" customFormat="false" ht="15" hidden="false" customHeight="false" outlineLevel="0" collapsed="false">
      <c r="A425" s="8" t="s">
        <v>392</v>
      </c>
      <c r="C425" s="32" t="n">
        <v>30000</v>
      </c>
      <c r="D425" s="32" t="n">
        <v>35000</v>
      </c>
      <c r="E425" s="32" t="n">
        <v>45000</v>
      </c>
      <c r="F425" s="32" t="n">
        <v>50000</v>
      </c>
      <c r="G425" s="32" t="n">
        <v>55000</v>
      </c>
    </row>
    <row r="426" customFormat="false" ht="15" hidden="false" customHeight="false" outlineLevel="0" collapsed="false">
      <c r="A426" s="40" t="s">
        <v>393</v>
      </c>
      <c r="C426" s="33" t="n">
        <f aca="false">CHOOSE($E$4,C422,C423,C424,C425)</f>
        <v>30000</v>
      </c>
      <c r="D426" s="33" t="n">
        <f aca="false">CHOOSE($E$4,D422,D423,D424,D425)</f>
        <v>40000</v>
      </c>
      <c r="E426" s="33" t="n">
        <f aca="false">CHOOSE($E$4,E422,E423,E424,E425)</f>
        <v>55000</v>
      </c>
      <c r="F426" s="33" t="n">
        <f aca="false">CHOOSE($E$4,F422,F423,F424,F425)</f>
        <v>70000</v>
      </c>
      <c r="G426" s="33" t="n">
        <f aca="false">CHOOSE($E$4,G422,G423,G424,G425)</f>
        <v>85000</v>
      </c>
    </row>
    <row r="427" customFormat="false" ht="15" hidden="false" customHeight="false" outlineLevel="0" collapsed="false">
      <c r="A427" s="11" t="s">
        <v>456</v>
      </c>
      <c r="B427" s="8" t="s">
        <v>11</v>
      </c>
      <c r="H427" s="8" t="s">
        <v>457</v>
      </c>
    </row>
    <row r="428" customFormat="false" ht="15" hidden="false" customHeight="false" outlineLevel="0" collapsed="false">
      <c r="A428" s="8" t="s">
        <v>389</v>
      </c>
      <c r="C428" s="32" t="n">
        <v>15000</v>
      </c>
      <c r="D428" s="32" t="n">
        <v>12000</v>
      </c>
      <c r="E428" s="32" t="n">
        <v>12000</v>
      </c>
      <c r="F428" s="32" t="n">
        <v>15000</v>
      </c>
      <c r="G428" s="32" t="n">
        <v>15000</v>
      </c>
    </row>
    <row r="429" customFormat="false" ht="15" hidden="false" customHeight="false" outlineLevel="0" collapsed="false">
      <c r="A429" s="8" t="s">
        <v>390</v>
      </c>
      <c r="C429" s="32" t="n">
        <v>15000</v>
      </c>
      <c r="D429" s="32" t="n">
        <v>15000</v>
      </c>
      <c r="E429" s="32" t="n">
        <v>35000</v>
      </c>
      <c r="F429" s="32" t="n">
        <v>20000</v>
      </c>
      <c r="G429" s="32" t="n">
        <v>20000</v>
      </c>
    </row>
    <row r="430" customFormat="false" ht="15" hidden="false" customHeight="false" outlineLevel="0" collapsed="false">
      <c r="A430" s="8" t="s">
        <v>391</v>
      </c>
      <c r="C430" s="32" t="n">
        <v>15000</v>
      </c>
      <c r="D430" s="32" t="n">
        <v>35000</v>
      </c>
      <c r="E430" s="32" t="n">
        <v>20000</v>
      </c>
      <c r="F430" s="32" t="n">
        <v>20000</v>
      </c>
      <c r="G430" s="32" t="n">
        <v>25000</v>
      </c>
    </row>
    <row r="431" customFormat="false" ht="15" hidden="false" customHeight="false" outlineLevel="0" collapsed="false">
      <c r="A431" s="8" t="s">
        <v>392</v>
      </c>
      <c r="C431" s="32" t="n">
        <v>15000</v>
      </c>
      <c r="D431" s="32" t="n">
        <v>15000</v>
      </c>
      <c r="E431" s="32" t="n">
        <v>35000</v>
      </c>
      <c r="F431" s="32" t="n">
        <v>20000</v>
      </c>
      <c r="G431" s="32" t="n">
        <v>20000</v>
      </c>
    </row>
    <row r="432" customFormat="false" ht="15" hidden="false" customHeight="false" outlineLevel="0" collapsed="false">
      <c r="A432" s="40" t="s">
        <v>393</v>
      </c>
      <c r="C432" s="33" t="n">
        <f aca="false">CHOOSE($E$4,C428,C429,C430,C431)</f>
        <v>15000</v>
      </c>
      <c r="D432" s="33" t="n">
        <f aca="false">CHOOSE($E$4,D428,D429,D430,D431)</f>
        <v>15000</v>
      </c>
      <c r="E432" s="33" t="n">
        <f aca="false">CHOOSE($E$4,E428,E429,E430,E431)</f>
        <v>35000</v>
      </c>
      <c r="F432" s="33" t="n">
        <f aca="false">CHOOSE($E$4,F428,F429,F430,F431)</f>
        <v>20000</v>
      </c>
      <c r="G432" s="33" t="n">
        <f aca="false">CHOOSE($E$4,G428,G429,G430,G431)</f>
        <v>20000</v>
      </c>
    </row>
    <row r="433" customFormat="false" ht="15" hidden="false" customHeight="false" outlineLevel="0" collapsed="false">
      <c r="A433" s="11" t="s">
        <v>458</v>
      </c>
      <c r="B433" s="8" t="s">
        <v>11</v>
      </c>
      <c r="H433" s="8" t="s">
        <v>94</v>
      </c>
    </row>
    <row r="434" customFormat="false" ht="15" hidden="false" customHeight="false" outlineLevel="0" collapsed="false">
      <c r="A434" s="8" t="s">
        <v>389</v>
      </c>
      <c r="C434" s="32" t="n">
        <v>10000</v>
      </c>
      <c r="D434" s="32" t="n">
        <v>10000</v>
      </c>
      <c r="E434" s="32" t="n">
        <v>11000</v>
      </c>
      <c r="F434" s="32" t="n">
        <v>12000</v>
      </c>
      <c r="G434" s="32" t="n">
        <v>12000</v>
      </c>
    </row>
    <row r="435" customFormat="false" ht="15" hidden="false" customHeight="false" outlineLevel="0" collapsed="false">
      <c r="A435" s="8" t="s">
        <v>390</v>
      </c>
      <c r="C435" s="32" t="n">
        <v>10000</v>
      </c>
      <c r="D435" s="32" t="n">
        <v>12000</v>
      </c>
      <c r="E435" s="32" t="n">
        <v>15000</v>
      </c>
      <c r="F435" s="32" t="n">
        <v>18000</v>
      </c>
      <c r="G435" s="32" t="n">
        <v>20000</v>
      </c>
    </row>
    <row r="436" customFormat="false" ht="15" hidden="false" customHeight="false" outlineLevel="0" collapsed="false">
      <c r="A436" s="8" t="s">
        <v>391</v>
      </c>
      <c r="C436" s="32" t="n">
        <v>10000</v>
      </c>
      <c r="D436" s="32" t="n">
        <v>14000</v>
      </c>
      <c r="E436" s="32" t="n">
        <v>18000</v>
      </c>
      <c r="F436" s="32" t="n">
        <v>22000</v>
      </c>
      <c r="G436" s="32" t="n">
        <v>26000</v>
      </c>
    </row>
    <row r="437" customFormat="false" ht="15" hidden="false" customHeight="false" outlineLevel="0" collapsed="false">
      <c r="A437" s="8" t="s">
        <v>392</v>
      </c>
      <c r="C437" s="32" t="n">
        <v>10000</v>
      </c>
      <c r="D437" s="32" t="n">
        <v>12000</v>
      </c>
      <c r="E437" s="32" t="n">
        <v>15000</v>
      </c>
      <c r="F437" s="32" t="n">
        <v>18000</v>
      </c>
      <c r="G437" s="32" t="n">
        <v>20000</v>
      </c>
    </row>
    <row r="438" customFormat="false" ht="15" hidden="false" customHeight="false" outlineLevel="0" collapsed="false">
      <c r="A438" s="40" t="s">
        <v>393</v>
      </c>
      <c r="C438" s="33" t="n">
        <f aca="false">CHOOSE($E$4,C434,C435,C436,C437)</f>
        <v>10000</v>
      </c>
      <c r="D438" s="33" t="n">
        <f aca="false">CHOOSE($E$4,D434,D435,D436,D437)</f>
        <v>12000</v>
      </c>
      <c r="E438" s="33" t="n">
        <f aca="false">CHOOSE($E$4,E434,E435,E436,E437)</f>
        <v>15000</v>
      </c>
      <c r="F438" s="33" t="n">
        <f aca="false">CHOOSE($E$4,F434,F435,F436,F437)</f>
        <v>18000</v>
      </c>
      <c r="G438" s="33" t="n">
        <f aca="false">CHOOSE($E$4,G434,G435,G436,G437)</f>
        <v>20000</v>
      </c>
    </row>
    <row r="439" customFormat="false" ht="15" hidden="false" customHeight="false" outlineLevel="0" collapsed="false">
      <c r="A439" s="11" t="s">
        <v>459</v>
      </c>
      <c r="B439" s="8" t="s">
        <v>11</v>
      </c>
      <c r="H439" s="8" t="s">
        <v>460</v>
      </c>
    </row>
    <row r="440" customFormat="false" ht="15" hidden="false" customHeight="false" outlineLevel="0" collapsed="false">
      <c r="A440" s="8" t="s">
        <v>389</v>
      </c>
      <c r="C440" s="32" t="n">
        <v>30000</v>
      </c>
      <c r="D440" s="32" t="n">
        <v>30000</v>
      </c>
      <c r="E440" s="32" t="n">
        <v>35000</v>
      </c>
      <c r="F440" s="32" t="n">
        <v>40000</v>
      </c>
      <c r="G440" s="32" t="n">
        <v>45000</v>
      </c>
    </row>
    <row r="441" customFormat="false" ht="15" hidden="false" customHeight="false" outlineLevel="0" collapsed="false">
      <c r="A441" s="8" t="s">
        <v>390</v>
      </c>
      <c r="C441" s="32" t="n">
        <v>40000</v>
      </c>
      <c r="D441" s="32" t="n">
        <v>50000</v>
      </c>
      <c r="E441" s="32" t="n">
        <v>70000</v>
      </c>
      <c r="F441" s="32" t="n">
        <v>90000</v>
      </c>
      <c r="G441" s="32" t="n">
        <v>110000</v>
      </c>
    </row>
    <row r="442" customFormat="false" ht="15" hidden="false" customHeight="false" outlineLevel="0" collapsed="false">
      <c r="A442" s="8" t="s">
        <v>391</v>
      </c>
      <c r="C442" s="32" t="n">
        <v>50000</v>
      </c>
      <c r="D442" s="32" t="n">
        <v>70000</v>
      </c>
      <c r="E442" s="32" t="n">
        <v>100000</v>
      </c>
      <c r="F442" s="32" t="n">
        <v>130000</v>
      </c>
      <c r="G442" s="32" t="n">
        <v>160000</v>
      </c>
    </row>
    <row r="443" customFormat="false" ht="15" hidden="false" customHeight="false" outlineLevel="0" collapsed="false">
      <c r="A443" s="8" t="s">
        <v>392</v>
      </c>
      <c r="C443" s="32" t="n">
        <v>30000</v>
      </c>
      <c r="D443" s="32" t="n">
        <v>35000</v>
      </c>
      <c r="E443" s="32" t="n">
        <v>45000</v>
      </c>
      <c r="F443" s="32" t="n">
        <v>50000</v>
      </c>
      <c r="G443" s="32" t="n">
        <v>55000</v>
      </c>
    </row>
    <row r="444" customFormat="false" ht="15" hidden="false" customHeight="false" outlineLevel="0" collapsed="false">
      <c r="A444" s="40" t="s">
        <v>393</v>
      </c>
      <c r="C444" s="33" t="n">
        <f aca="false">CHOOSE($E$4,C440,C441,C442,C443)</f>
        <v>40000</v>
      </c>
      <c r="D444" s="33" t="n">
        <f aca="false">CHOOSE($E$4,D440,D441,D442,D443)</f>
        <v>50000</v>
      </c>
      <c r="E444" s="33" t="n">
        <f aca="false">CHOOSE($E$4,E440,E441,E442,E443)</f>
        <v>70000</v>
      </c>
      <c r="F444" s="33" t="n">
        <f aca="false">CHOOSE($E$4,F440,F441,F442,F443)</f>
        <v>90000</v>
      </c>
      <c r="G444" s="33" t="n">
        <f aca="false">CHOOSE($E$4,G440,G441,G442,G443)</f>
        <v>110000</v>
      </c>
    </row>
    <row r="445" customFormat="false" ht="15" hidden="false" customHeight="false" outlineLevel="0" collapsed="false">
      <c r="A445" s="11" t="s">
        <v>461</v>
      </c>
      <c r="B445" s="8" t="s">
        <v>11</v>
      </c>
      <c r="H445" s="8" t="s">
        <v>462</v>
      </c>
    </row>
    <row r="446" customFormat="false" ht="15" hidden="false" customHeight="false" outlineLevel="0" collapsed="false">
      <c r="A446" s="8" t="s">
        <v>389</v>
      </c>
      <c r="C446" s="32" t="n">
        <v>12000</v>
      </c>
      <c r="D446" s="32" t="n">
        <v>12000</v>
      </c>
      <c r="E446" s="32" t="n">
        <v>12000</v>
      </c>
      <c r="F446" s="32" t="n">
        <v>15000</v>
      </c>
      <c r="G446" s="32" t="n">
        <v>15000</v>
      </c>
    </row>
    <row r="447" customFormat="false" ht="15" hidden="false" customHeight="false" outlineLevel="0" collapsed="false">
      <c r="A447" s="8" t="s">
        <v>390</v>
      </c>
      <c r="C447" s="32" t="n">
        <v>12000</v>
      </c>
      <c r="D447" s="32" t="n">
        <v>15000</v>
      </c>
      <c r="E447" s="32" t="n">
        <v>24000</v>
      </c>
      <c r="F447" s="32" t="n">
        <v>30000</v>
      </c>
      <c r="G447" s="32" t="n">
        <v>36000</v>
      </c>
    </row>
    <row r="448" customFormat="false" ht="15" hidden="false" customHeight="false" outlineLevel="0" collapsed="false">
      <c r="A448" s="8" t="s">
        <v>391</v>
      </c>
      <c r="C448" s="32" t="n">
        <v>12000</v>
      </c>
      <c r="D448" s="32" t="n">
        <v>20000</v>
      </c>
      <c r="E448" s="32" t="n">
        <v>30000</v>
      </c>
      <c r="F448" s="32" t="n">
        <v>40000</v>
      </c>
      <c r="G448" s="32" t="n">
        <v>48000</v>
      </c>
    </row>
    <row r="449" customFormat="false" ht="15" hidden="false" customHeight="false" outlineLevel="0" collapsed="false">
      <c r="A449" s="8" t="s">
        <v>392</v>
      </c>
      <c r="C449" s="32" t="n">
        <v>6000</v>
      </c>
      <c r="D449" s="32" t="n">
        <v>8000</v>
      </c>
      <c r="E449" s="32" t="n">
        <v>12000</v>
      </c>
      <c r="F449" s="32" t="n">
        <v>15000</v>
      </c>
      <c r="G449" s="32" t="n">
        <v>18000</v>
      </c>
    </row>
    <row r="450" customFormat="false" ht="15" hidden="false" customHeight="false" outlineLevel="0" collapsed="false">
      <c r="A450" s="40" t="s">
        <v>393</v>
      </c>
      <c r="C450" s="33" t="n">
        <f aca="false">CHOOSE($E$4,C446,C447,C448,C449)</f>
        <v>12000</v>
      </c>
      <c r="D450" s="33" t="n">
        <f aca="false">CHOOSE($E$4,D446,D447,D448,D449)</f>
        <v>15000</v>
      </c>
      <c r="E450" s="33" t="n">
        <f aca="false">CHOOSE($E$4,E446,E447,E448,E449)</f>
        <v>24000</v>
      </c>
      <c r="F450" s="33" t="n">
        <f aca="false">CHOOSE($E$4,F446,F447,F448,F449)</f>
        <v>30000</v>
      </c>
      <c r="G450" s="33" t="n">
        <f aca="false">CHOOSE($E$4,G446,G447,G448,G449)</f>
        <v>36000</v>
      </c>
    </row>
    <row r="451" customFormat="false" ht="15" hidden="false" customHeight="false" outlineLevel="0" collapsed="false">
      <c r="A451" s="11" t="s">
        <v>463</v>
      </c>
      <c r="B451" s="8" t="s">
        <v>11</v>
      </c>
      <c r="H451" s="8" t="s">
        <v>94</v>
      </c>
    </row>
    <row r="452" customFormat="false" ht="15" hidden="false" customHeight="false" outlineLevel="0" collapsed="false">
      <c r="A452" s="8" t="s">
        <v>389</v>
      </c>
      <c r="C452" s="32" t="n">
        <v>15000</v>
      </c>
      <c r="D452" s="32" t="n">
        <v>15000</v>
      </c>
      <c r="E452" s="32" t="n">
        <v>18000</v>
      </c>
      <c r="F452" s="32" t="n">
        <v>20000</v>
      </c>
      <c r="G452" s="32" t="n">
        <v>22000</v>
      </c>
    </row>
    <row r="453" customFormat="false" ht="15" hidden="false" customHeight="false" outlineLevel="0" collapsed="false">
      <c r="A453" s="8" t="s">
        <v>390</v>
      </c>
      <c r="C453" s="32" t="n">
        <v>18000</v>
      </c>
      <c r="D453" s="32" t="n">
        <v>22000</v>
      </c>
      <c r="E453" s="32" t="n">
        <v>30000</v>
      </c>
      <c r="F453" s="32" t="n">
        <v>38000</v>
      </c>
      <c r="G453" s="32" t="n">
        <v>45000</v>
      </c>
    </row>
    <row r="454" customFormat="false" ht="15" hidden="false" customHeight="false" outlineLevel="0" collapsed="false">
      <c r="A454" s="8" t="s">
        <v>391</v>
      </c>
      <c r="C454" s="32" t="n">
        <v>20000</v>
      </c>
      <c r="D454" s="32" t="n">
        <v>28000</v>
      </c>
      <c r="E454" s="32" t="n">
        <v>38000</v>
      </c>
      <c r="F454" s="32" t="n">
        <v>48000</v>
      </c>
      <c r="G454" s="32" t="n">
        <v>58000</v>
      </c>
    </row>
    <row r="455" customFormat="false" ht="15" hidden="false" customHeight="false" outlineLevel="0" collapsed="false">
      <c r="A455" s="8" t="s">
        <v>392</v>
      </c>
      <c r="C455" s="32" t="n">
        <v>15000</v>
      </c>
      <c r="D455" s="32" t="n">
        <v>20000</v>
      </c>
      <c r="E455" s="32" t="n">
        <v>28000</v>
      </c>
      <c r="F455" s="32" t="n">
        <v>32000</v>
      </c>
      <c r="G455" s="32" t="n">
        <v>36000</v>
      </c>
    </row>
    <row r="456" customFormat="false" ht="15" hidden="false" customHeight="false" outlineLevel="0" collapsed="false">
      <c r="A456" s="40" t="s">
        <v>393</v>
      </c>
      <c r="C456" s="33" t="n">
        <f aca="false">CHOOSE($E$4,C452,C453,C454,C455)</f>
        <v>18000</v>
      </c>
      <c r="D456" s="33" t="n">
        <f aca="false">CHOOSE($E$4,D452,D453,D454,D455)</f>
        <v>22000</v>
      </c>
      <c r="E456" s="33" t="n">
        <f aca="false">CHOOSE($E$4,E452,E453,E454,E455)</f>
        <v>30000</v>
      </c>
      <c r="F456" s="33" t="n">
        <f aca="false">CHOOSE($E$4,F452,F453,F454,F455)</f>
        <v>38000</v>
      </c>
      <c r="G456" s="33" t="n">
        <f aca="false">CHOOSE($E$4,G452,G453,G454,G455)</f>
        <v>45000</v>
      </c>
    </row>
    <row r="457" customFormat="false" ht="15" hidden="false" customHeight="false" outlineLevel="0" collapsed="false">
      <c r="A457" s="11" t="s">
        <v>464</v>
      </c>
      <c r="B457" s="8" t="s">
        <v>11</v>
      </c>
      <c r="H457" s="8" t="s">
        <v>94</v>
      </c>
    </row>
    <row r="458" customFormat="false" ht="15" hidden="false" customHeight="false" outlineLevel="0" collapsed="false">
      <c r="A458" s="8" t="s">
        <v>389</v>
      </c>
      <c r="C458" s="32" t="n">
        <v>4000</v>
      </c>
      <c r="D458" s="32" t="n">
        <v>4000</v>
      </c>
      <c r="E458" s="32" t="n">
        <v>5000</v>
      </c>
      <c r="F458" s="32" t="n">
        <v>6000</v>
      </c>
      <c r="G458" s="32" t="n">
        <v>6000</v>
      </c>
    </row>
    <row r="459" customFormat="false" ht="15" hidden="false" customHeight="false" outlineLevel="0" collapsed="false">
      <c r="A459" s="8" t="s">
        <v>390</v>
      </c>
      <c r="C459" s="32" t="n">
        <v>5000</v>
      </c>
      <c r="D459" s="32" t="n">
        <v>8000</v>
      </c>
      <c r="E459" s="32" t="n">
        <v>12000</v>
      </c>
      <c r="F459" s="32" t="n">
        <v>15000</v>
      </c>
      <c r="G459" s="32" t="n">
        <v>15000</v>
      </c>
    </row>
    <row r="460" customFormat="false" ht="15" hidden="false" customHeight="false" outlineLevel="0" collapsed="false">
      <c r="A460" s="8" t="s">
        <v>391</v>
      </c>
      <c r="C460" s="32" t="n">
        <v>6000</v>
      </c>
      <c r="D460" s="32" t="n">
        <v>12000</v>
      </c>
      <c r="E460" s="32" t="n">
        <v>16000</v>
      </c>
      <c r="F460" s="32" t="n">
        <v>20000</v>
      </c>
      <c r="G460" s="32" t="n">
        <v>24000</v>
      </c>
    </row>
    <row r="461" customFormat="false" ht="15" hidden="false" customHeight="false" outlineLevel="0" collapsed="false">
      <c r="A461" s="8" t="s">
        <v>392</v>
      </c>
      <c r="C461" s="32" t="n">
        <v>4000</v>
      </c>
      <c r="D461" s="32" t="n">
        <v>6000</v>
      </c>
      <c r="E461" s="32" t="n">
        <v>8000</v>
      </c>
      <c r="F461" s="32" t="n">
        <v>8000</v>
      </c>
      <c r="G461" s="32" t="n">
        <v>8000</v>
      </c>
    </row>
    <row r="462" customFormat="false" ht="15" hidden="false" customHeight="false" outlineLevel="0" collapsed="false">
      <c r="A462" s="40" t="s">
        <v>393</v>
      </c>
      <c r="C462" s="33" t="n">
        <f aca="false">CHOOSE($E$4,C458,C459,C460,C461)</f>
        <v>5000</v>
      </c>
      <c r="D462" s="33" t="n">
        <f aca="false">CHOOSE($E$4,D458,D459,D460,D461)</f>
        <v>8000</v>
      </c>
      <c r="E462" s="33" t="n">
        <f aca="false">CHOOSE($E$4,E458,E459,E460,E461)</f>
        <v>12000</v>
      </c>
      <c r="F462" s="33" t="n">
        <f aca="false">CHOOSE($E$4,F458,F459,F460,F461)</f>
        <v>15000</v>
      </c>
      <c r="G462" s="33" t="n">
        <f aca="false">CHOOSE($E$4,G458,G459,G460,G461)</f>
        <v>15000</v>
      </c>
    </row>
    <row r="464" customFormat="false" ht="15" hidden="false" customHeight="false" outlineLevel="0" collapsed="false">
      <c r="A464" s="3" t="s">
        <v>465</v>
      </c>
      <c r="B464" s="4"/>
      <c r="C464" s="4"/>
      <c r="D464" s="4"/>
      <c r="E464" s="4"/>
      <c r="F464" s="4"/>
      <c r="G464" s="4"/>
      <c r="H464" s="4"/>
    </row>
    <row r="465" customFormat="false" ht="15" hidden="false" customHeight="false" outlineLevel="0" collapsed="false">
      <c r="A465" s="5" t="s">
        <v>59</v>
      </c>
      <c r="B465" s="5" t="s">
        <v>4</v>
      </c>
      <c r="C465" s="6" t="s">
        <v>381</v>
      </c>
      <c r="D465" s="6" t="s">
        <v>382</v>
      </c>
      <c r="E465" s="6" t="s">
        <v>383</v>
      </c>
      <c r="F465" s="6" t="s">
        <v>384</v>
      </c>
      <c r="G465" s="6" t="s">
        <v>385</v>
      </c>
      <c r="H465" s="6" t="s">
        <v>61</v>
      </c>
    </row>
    <row r="466" customFormat="false" ht="15" hidden="false" customHeight="false" outlineLevel="0" collapsed="false">
      <c r="A466" s="7" t="s">
        <v>466</v>
      </c>
      <c r="B466" s="8" t="s">
        <v>11</v>
      </c>
      <c r="C466" s="32" t="n">
        <v>15000</v>
      </c>
      <c r="D466" s="32" t="n">
        <v>30000</v>
      </c>
      <c r="E466" s="32" t="n">
        <v>30000</v>
      </c>
      <c r="F466" s="32" t="n">
        <v>30000</v>
      </c>
      <c r="G466" s="32" t="n">
        <v>30000</v>
      </c>
      <c r="H466" s="8" t="s">
        <v>467</v>
      </c>
    </row>
    <row r="467" customFormat="false" ht="15" hidden="false" customHeight="false" outlineLevel="0" collapsed="false">
      <c r="A467" s="7" t="s">
        <v>468</v>
      </c>
      <c r="B467" s="8" t="s">
        <v>76</v>
      </c>
      <c r="C467" s="25" t="n">
        <v>0.18</v>
      </c>
      <c r="D467" s="25" t="n">
        <v>0.17</v>
      </c>
      <c r="E467" s="25" t="n">
        <v>0.17</v>
      </c>
      <c r="F467" s="25" t="n">
        <v>0.17</v>
      </c>
      <c r="G467" s="25" t="n">
        <v>0.17</v>
      </c>
      <c r="H467" s="8" t="s">
        <v>469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470</v>
      </c>
    </row>
    <row r="2" customFormat="false" ht="15" hidden="false" customHeight="false" outlineLevel="0" collapsed="false">
      <c r="A2" s="2" t="s">
        <v>471</v>
      </c>
    </row>
    <row r="3" customFormat="false" ht="15" hidden="false" customHeight="false" outlineLevel="0" collapsed="false">
      <c r="A3" s="11" t="s">
        <v>350</v>
      </c>
      <c r="C3" s="43" t="n">
        <f aca="false">Pressupostos!$C$189</f>
        <v>2029</v>
      </c>
      <c r="D3" s="21" t="n">
        <f aca="false">C3-2026</f>
        <v>3</v>
      </c>
      <c r="E3" s="2" t="s">
        <v>472</v>
      </c>
    </row>
    <row r="5" customFormat="false" ht="15" hidden="false" customHeight="false" outlineLevel="0" collapsed="false">
      <c r="A5" s="11" t="s">
        <v>473</v>
      </c>
    </row>
    <row r="6" customFormat="false" ht="15" hidden="false" customHeight="false" outlineLevel="0" collapsed="false">
      <c r="A6" s="3" t="s">
        <v>474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customFormat="false" ht="23.85" hidden="false" customHeight="false" outlineLevel="0" collapsed="false">
      <c r="A7" s="5" t="s">
        <v>475</v>
      </c>
      <c r="B7" s="5" t="s">
        <v>4</v>
      </c>
      <c r="C7" s="6" t="s">
        <v>476</v>
      </c>
      <c r="D7" s="6" t="s">
        <v>477</v>
      </c>
      <c r="E7" s="6" t="s">
        <v>478</v>
      </c>
      <c r="F7" s="6" t="s">
        <v>479</v>
      </c>
      <c r="G7" s="6" t="s">
        <v>480</v>
      </c>
      <c r="H7" s="6" t="s">
        <v>481</v>
      </c>
      <c r="I7" s="6" t="s">
        <v>482</v>
      </c>
      <c r="J7" s="6" t="s">
        <v>483</v>
      </c>
      <c r="K7" s="6" t="s">
        <v>484</v>
      </c>
    </row>
    <row r="8" customFormat="false" ht="15" hidden="false" customHeight="false" outlineLevel="0" collapsed="false">
      <c r="A8" s="7" t="s">
        <v>152</v>
      </c>
      <c r="B8" s="8" t="s">
        <v>485</v>
      </c>
      <c r="C8" s="33" t="n">
        <f aca="false">Pressupostos!$C$40*1000</f>
        <v>20000</v>
      </c>
      <c r="E8" s="33" t="n">
        <f aca="false">Pressupostos!$C$40*1000</f>
        <v>20000</v>
      </c>
      <c r="G8" s="33" t="n">
        <f aca="false">Pressupostos!$C$40*1000</f>
        <v>20000</v>
      </c>
      <c r="I8" s="33" t="n">
        <f aca="false">Pressupostos!$C$40*1000</f>
        <v>20000</v>
      </c>
    </row>
    <row r="9" customFormat="false" ht="15" hidden="false" customHeight="false" outlineLevel="0" collapsed="false">
      <c r="A9" s="7" t="s">
        <v>486</v>
      </c>
      <c r="B9" s="8" t="s">
        <v>11</v>
      </c>
      <c r="C9" s="33" t="n">
        <f aca="false">D9*$C$8</f>
        <v>108000</v>
      </c>
      <c r="D9" s="37" t="n">
        <f aca="false">INDEX(Motor!$C$30:$G$30,1,$D$3)</f>
        <v>5.4</v>
      </c>
      <c r="E9" s="33" t="n">
        <f aca="false">F9*$E$8</f>
        <v>113000</v>
      </c>
      <c r="F9" s="37" t="n">
        <f aca="false">INDEX(Motor!$C$354:$G$354,1,$D$3)</f>
        <v>5.65</v>
      </c>
      <c r="G9" s="33" t="n">
        <f aca="false">H9*$G$8</f>
        <v>120000</v>
      </c>
      <c r="H9" s="37" t="n">
        <f aca="false">INDEX(Motor!$C$678:$G$678,1,$D$3)</f>
        <v>6</v>
      </c>
      <c r="I9" s="33" t="n">
        <f aca="false">J9*$I$8</f>
        <v>120000</v>
      </c>
      <c r="J9" s="37" t="n">
        <f aca="false">INDEX(Motor!$C$1002:$G$1002,1,$D$3)</f>
        <v>6</v>
      </c>
    </row>
    <row r="10" customFormat="false" ht="15" hidden="false" customHeight="false" outlineLevel="0" collapsed="false">
      <c r="A10" s="7" t="s">
        <v>89</v>
      </c>
      <c r="B10" s="8" t="s">
        <v>11</v>
      </c>
      <c r="C10" s="33" t="n">
        <f aca="false">D10*$C$8</f>
        <v>-10800</v>
      </c>
      <c r="D10" s="37" t="n">
        <f aca="false">-(INDEX(Motor!$C$30:$G$30,1,$D$3)-INDEX(Motor!$C$31:$G$31,1,$D$3))</f>
        <v>-0.54</v>
      </c>
      <c r="E10" s="33" t="n">
        <f aca="false">F10*$E$8</f>
        <v>-11300</v>
      </c>
      <c r="F10" s="37" t="n">
        <f aca="false">-(INDEX(Motor!$C$354:$G$354,1,$D$3)-INDEX(Motor!$C$355:$G$355,1,$D$3))</f>
        <v>-0.565</v>
      </c>
      <c r="G10" s="33" t="n">
        <f aca="false">H10*$G$8</f>
        <v>-12000</v>
      </c>
      <c r="H10" s="37" t="n">
        <f aca="false">-(INDEX(Motor!$C$678:$G$678,1,$D$3)-INDEX(Motor!$C$679:$G$679,1,$D$3))</f>
        <v>-0.6</v>
      </c>
      <c r="I10" s="33" t="n">
        <f aca="false">J10*$I$8</f>
        <v>-12000</v>
      </c>
      <c r="J10" s="37" t="n">
        <f aca="false">-(INDEX(Motor!$C$1002:$G$1002,1,$D$3)-INDEX(Motor!$C$1003:$G$1003,1,$D$3))</f>
        <v>-0.6</v>
      </c>
    </row>
    <row r="11" customFormat="false" ht="15" hidden="false" customHeight="false" outlineLevel="0" collapsed="false">
      <c r="A11" s="11" t="s">
        <v>487</v>
      </c>
      <c r="B11" s="8" t="s">
        <v>11</v>
      </c>
      <c r="C11" s="44" t="n">
        <f aca="false">D11*$C$8</f>
        <v>97200</v>
      </c>
      <c r="D11" s="45" t="n">
        <f aca="false">INDEX(Motor!$C$31:$G$31,1,$D$3)</f>
        <v>4.86</v>
      </c>
      <c r="E11" s="44" t="n">
        <f aca="false">F11*$E$8</f>
        <v>101700</v>
      </c>
      <c r="F11" s="45" t="n">
        <f aca="false">INDEX(Motor!$C$355:$G$355,1,$D$3)</f>
        <v>5.085</v>
      </c>
      <c r="G11" s="44" t="n">
        <f aca="false">H11*$G$8</f>
        <v>108000</v>
      </c>
      <c r="H11" s="45" t="n">
        <f aca="false">INDEX(Motor!$C$679:$G$679,1,$D$3)</f>
        <v>5.4</v>
      </c>
      <c r="I11" s="44" t="n">
        <f aca="false">J11*$I$8</f>
        <v>108000</v>
      </c>
      <c r="J11" s="45" t="n">
        <f aca="false">INDEX(Motor!$C$1003:$G$1003,1,$D$3)</f>
        <v>5.4</v>
      </c>
    </row>
    <row r="12" customFormat="false" ht="15" hidden="false" customHeight="false" outlineLevel="0" collapsed="false">
      <c r="A12" s="7" t="s">
        <v>488</v>
      </c>
      <c r="B12" s="8" t="s">
        <v>11</v>
      </c>
      <c r="C12" s="33" t="n">
        <f aca="false">D12*$C$8</f>
        <v>-73000</v>
      </c>
      <c r="D12" s="37" t="n">
        <f aca="false">-INDEX(Motor!$C$29:$G$29,1,$D$3)</f>
        <v>-3.65</v>
      </c>
      <c r="E12" s="33" t="n">
        <f aca="false">F12*$E$8</f>
        <v>-72000</v>
      </c>
      <c r="F12" s="37" t="n">
        <f aca="false">-INDEX(Motor!$C$353:$G$353,1,$D$3)</f>
        <v>-3.6</v>
      </c>
      <c r="G12" s="33" t="n">
        <f aca="false">H12*$G$8</f>
        <v>-71000</v>
      </c>
      <c r="H12" s="37" t="n">
        <f aca="false">-INDEX(Motor!$C$677:$G$677,1,$D$3)</f>
        <v>-3.55</v>
      </c>
      <c r="I12" s="33" t="n">
        <f aca="false">J12*$I$8</f>
        <v>-73000</v>
      </c>
      <c r="J12" s="37" t="n">
        <f aca="false">-INDEX(Motor!$C$1001:$G$1001,1,$D$3)</f>
        <v>-3.65</v>
      </c>
    </row>
    <row r="13" customFormat="false" ht="15" hidden="false" customHeight="false" outlineLevel="0" collapsed="false">
      <c r="A13" s="7" t="s">
        <v>489</v>
      </c>
      <c r="B13" s="8" t="s">
        <v>11</v>
      </c>
      <c r="C13" s="33" t="n">
        <f aca="false">D13*$C$8</f>
        <v>-11000</v>
      </c>
      <c r="D13" s="37" t="n">
        <f aca="false">-INDEX(Motor!$C$32:$G$32,1,$D$3)</f>
        <v>-0.55</v>
      </c>
      <c r="E13" s="33" t="n">
        <f aca="false">F13*$E$8</f>
        <v>-11000</v>
      </c>
      <c r="F13" s="37" t="n">
        <f aca="false">-INDEX(Motor!$C$356:$G$356,1,$D$3)</f>
        <v>-0.55</v>
      </c>
      <c r="G13" s="33" t="n">
        <f aca="false">H13*$G$8</f>
        <v>-11000</v>
      </c>
      <c r="H13" s="37" t="n">
        <f aca="false">-INDEX(Motor!$C$680:$G$680,1,$D$3)</f>
        <v>-0.55</v>
      </c>
      <c r="I13" s="33" t="n">
        <f aca="false">J13*$I$8</f>
        <v>-11000</v>
      </c>
      <c r="J13" s="37" t="n">
        <f aca="false">-INDEX(Motor!$C$1004:$G$1004,1,$D$3)</f>
        <v>-0.55</v>
      </c>
    </row>
    <row r="14" customFormat="false" ht="15" hidden="false" customHeight="false" outlineLevel="0" collapsed="false">
      <c r="A14" s="7" t="s">
        <v>215</v>
      </c>
      <c r="B14" s="8" t="s">
        <v>11</v>
      </c>
      <c r="C14" s="33" t="n">
        <f aca="false">D14*$C$8</f>
        <v>-6200</v>
      </c>
      <c r="D14" s="37" t="n">
        <f aca="false">-INDEX(Motor!$C$33:$G$33,1,$D$3)</f>
        <v>-0.31</v>
      </c>
      <c r="E14" s="33" t="n">
        <f aca="false">F14*$E$8</f>
        <v>-5600</v>
      </c>
      <c r="F14" s="37" t="n">
        <f aca="false">-INDEX(Motor!$C$357:$G$357,1,$D$3)</f>
        <v>-0.28</v>
      </c>
      <c r="G14" s="33" t="n">
        <f aca="false">H14*$G$8</f>
        <v>-5200</v>
      </c>
      <c r="H14" s="37" t="n">
        <f aca="false">-INDEX(Motor!$C$681:$G$681,1,$D$3)</f>
        <v>-0.26</v>
      </c>
      <c r="I14" s="33" t="n">
        <f aca="false">J14*$I$8</f>
        <v>-5600</v>
      </c>
      <c r="J14" s="37" t="n">
        <f aca="false">-INDEX(Motor!$C$1005:$G$1005,1,$D$3)</f>
        <v>-0.28</v>
      </c>
    </row>
    <row r="15" customFormat="false" ht="15" hidden="false" customHeight="false" outlineLevel="0" collapsed="false">
      <c r="A15" s="7" t="s">
        <v>117</v>
      </c>
      <c r="B15" s="8" t="s">
        <v>11</v>
      </c>
      <c r="C15" s="33" t="n">
        <f aca="false">D15*$C$8</f>
        <v>-1200</v>
      </c>
      <c r="D15" s="37" t="n">
        <f aca="false">-INDEX(Motor!$C$34:$G$34,1,$D$3)</f>
        <v>-0.06</v>
      </c>
      <c r="E15" s="33" t="n">
        <f aca="false">F15*$E$8</f>
        <v>-1200</v>
      </c>
      <c r="F15" s="37" t="n">
        <f aca="false">-INDEX(Motor!$C$358:$G$358,1,$D$3)</f>
        <v>-0.06</v>
      </c>
      <c r="G15" s="33" t="n">
        <f aca="false">H15*$G$8</f>
        <v>-1200</v>
      </c>
      <c r="H15" s="37" t="n">
        <f aca="false">-INDEX(Motor!$C$682:$G$682,1,$D$3)</f>
        <v>-0.06</v>
      </c>
      <c r="I15" s="33" t="n">
        <f aca="false">J15*$I$8</f>
        <v>-1200</v>
      </c>
      <c r="J15" s="37" t="n">
        <f aca="false">-INDEX(Motor!$C$1006:$G$1006,1,$D$3)</f>
        <v>-0.06</v>
      </c>
    </row>
    <row r="16" customFormat="false" ht="15" hidden="false" customHeight="false" outlineLevel="0" collapsed="false">
      <c r="A16" s="7" t="s">
        <v>490</v>
      </c>
      <c r="B16" s="8" t="s">
        <v>11</v>
      </c>
      <c r="C16" s="33" t="n">
        <f aca="false">D16*$C$8</f>
        <v>-480</v>
      </c>
      <c r="D16" s="37" t="n">
        <f aca="false">-INDEX(Motor!$C$37:$G$37,1,$D$3)</f>
        <v>-0.024</v>
      </c>
      <c r="E16" s="33" t="n">
        <f aca="false">F16*$E$8</f>
        <v>-120</v>
      </c>
      <c r="F16" s="37" t="n">
        <f aca="false">-INDEX(Motor!$C$361:$G$361,1,$D$3)</f>
        <v>-0.006</v>
      </c>
      <c r="G16" s="33" t="n">
        <f aca="false">H16*$G$8</f>
        <v>-120</v>
      </c>
      <c r="H16" s="37" t="n">
        <f aca="false">-INDEX(Motor!$C$685:$G$685,1,$D$3)</f>
        <v>-0.006</v>
      </c>
      <c r="I16" s="33" t="n">
        <f aca="false">J16*$I$8</f>
        <v>-120</v>
      </c>
      <c r="J16" s="37" t="n">
        <f aca="false">-INDEX(Motor!$C$1009:$G$1009,1,$D$3)</f>
        <v>-0.006</v>
      </c>
    </row>
    <row r="17" customFormat="false" ht="15" hidden="false" customHeight="false" outlineLevel="0" collapsed="false">
      <c r="A17" s="7" t="s">
        <v>165</v>
      </c>
      <c r="B17" s="8" t="s">
        <v>11</v>
      </c>
      <c r="C17" s="33" t="n">
        <f aca="false">D17*$C$8</f>
        <v>-72</v>
      </c>
      <c r="D17" s="37" t="n">
        <f aca="false">-INDEX(Motor!$C$38:$G$38,1,$D$3)</f>
        <v>-0.0036</v>
      </c>
      <c r="E17" s="33" t="n">
        <f aca="false">F17*$E$8</f>
        <v>-17.7534246575342</v>
      </c>
      <c r="F17" s="37" t="n">
        <f aca="false">-INDEX(Motor!$C$362:$G$362,1,$D$3)</f>
        <v>-0.000887671232876712</v>
      </c>
      <c r="G17" s="33" t="n">
        <f aca="false">H17*$G$8</f>
        <v>-17.5068493150685</v>
      </c>
      <c r="H17" s="37" t="n">
        <f aca="false">-INDEX(Motor!$C$686:$G$686,1,$D$3)</f>
        <v>-0.000875342465753425</v>
      </c>
      <c r="I17" s="33" t="n">
        <f aca="false">J17*$I$8</f>
        <v>-18</v>
      </c>
      <c r="J17" s="37" t="n">
        <f aca="false">-INDEX(Motor!$C$1010:$G$1010,1,$D$3)</f>
        <v>-0.0009</v>
      </c>
    </row>
    <row r="18" customFormat="false" ht="15" hidden="false" customHeight="false" outlineLevel="0" collapsed="false">
      <c r="A18" s="7" t="s">
        <v>491</v>
      </c>
      <c r="B18" s="8" t="s">
        <v>11</v>
      </c>
      <c r="C18" s="33" t="n">
        <f aca="false">D18*$C$8</f>
        <v>-600</v>
      </c>
      <c r="D18" s="37" t="n">
        <f aca="false">-INDEX(Motor!$C$39:$G$39,1,$D$3)</f>
        <v>-0.03</v>
      </c>
      <c r="E18" s="33" t="n">
        <f aca="false">F18*$E$8</f>
        <v>-600</v>
      </c>
      <c r="F18" s="37" t="n">
        <f aca="false">-INDEX(Motor!$C$363:$G$363,1,$D$3)</f>
        <v>-0.03</v>
      </c>
      <c r="G18" s="33" t="n">
        <f aca="false">H18*$G$8</f>
        <v>-600</v>
      </c>
      <c r="H18" s="37" t="n">
        <f aca="false">-INDEX(Motor!$C$687:$G$687,1,$D$3)</f>
        <v>-0.03</v>
      </c>
      <c r="I18" s="33" t="n">
        <f aca="false">J18*$I$8</f>
        <v>-600</v>
      </c>
      <c r="J18" s="37" t="n">
        <f aca="false">-INDEX(Motor!$C$1011:$G$1011,1,$D$3)</f>
        <v>-0.03</v>
      </c>
    </row>
    <row r="19" customFormat="false" ht="15" hidden="false" customHeight="false" outlineLevel="0" collapsed="false">
      <c r="A19" s="7" t="s">
        <v>492</v>
      </c>
      <c r="B19" s="8" t="s">
        <v>11</v>
      </c>
      <c r="C19" s="33" t="n">
        <f aca="false">D19*$C$8</f>
        <v>-365</v>
      </c>
      <c r="D19" s="37" t="n">
        <f aca="false">-INDEX(Motor!$C$40:$G$40,1,$D$3)</f>
        <v>-0.01825</v>
      </c>
      <c r="E19" s="33" t="n">
        <f aca="false">F19*$E$8</f>
        <v>-360</v>
      </c>
      <c r="F19" s="37" t="n">
        <f aca="false">-INDEX(Motor!$C$364:$G$364,1,$D$3)</f>
        <v>-0.018</v>
      </c>
      <c r="G19" s="33" t="n">
        <f aca="false">H19*$G$8</f>
        <v>-355</v>
      </c>
      <c r="H19" s="37" t="n">
        <f aca="false">-INDEX(Motor!$C$688:$G$688,1,$D$3)</f>
        <v>-0.01775</v>
      </c>
      <c r="I19" s="33" t="n">
        <f aca="false">J19*$I$8</f>
        <v>-365</v>
      </c>
      <c r="J19" s="37" t="n">
        <f aca="false">-INDEX(Motor!$C$1012:$G$1012,1,$D$3)</f>
        <v>-0.01825</v>
      </c>
    </row>
    <row r="20" customFormat="false" ht="15" hidden="false" customHeight="false" outlineLevel="0" collapsed="false">
      <c r="A20" s="7" t="s">
        <v>493</v>
      </c>
      <c r="B20" s="8" t="s">
        <v>11</v>
      </c>
      <c r="C20" s="33" t="n">
        <f aca="false">D20*$C$8</f>
        <v>-360</v>
      </c>
      <c r="D20" s="37" t="n">
        <f aca="false">-INDEX(Motor!$C$41:$G$41,1,$D$3)</f>
        <v>-0.018</v>
      </c>
      <c r="E20" s="33" t="n">
        <f aca="false">F20*$E$8</f>
        <v>-90</v>
      </c>
      <c r="F20" s="37" t="n">
        <f aca="false">-INDEX(Motor!$C$365:$G$365,1,$D$3)</f>
        <v>-0.0045</v>
      </c>
      <c r="G20" s="33" t="n">
        <f aca="false">H20*$G$8</f>
        <v>-90</v>
      </c>
      <c r="H20" s="37" t="n">
        <f aca="false">-INDEX(Motor!$C$689:$G$689,1,$D$3)</f>
        <v>-0.0045</v>
      </c>
      <c r="I20" s="33" t="n">
        <f aca="false">J20*$I$8</f>
        <v>-90</v>
      </c>
      <c r="J20" s="37" t="n">
        <f aca="false">-INDEX(Motor!$C$1013:$G$1013,1,$D$3)</f>
        <v>-0.0045</v>
      </c>
    </row>
    <row r="21" customFormat="false" ht="15" hidden="false" customHeight="false" outlineLevel="0" collapsed="false">
      <c r="A21" s="7" t="s">
        <v>494</v>
      </c>
      <c r="B21" s="8" t="s">
        <v>11</v>
      </c>
      <c r="C21" s="33" t="n">
        <f aca="false">D21*$C$8</f>
        <v>-2000</v>
      </c>
      <c r="D21" s="37" t="n">
        <f aca="false">-INDEX(Motor!$C$42:$G$42,1,$D$3)</f>
        <v>-0.1</v>
      </c>
      <c r="E21" s="33" t="n">
        <f aca="false">F21*$E$8</f>
        <v>-2000</v>
      </c>
      <c r="F21" s="37" t="n">
        <f aca="false">-INDEX(Motor!$C$366:$G$366,1,$D$3)</f>
        <v>-0.1</v>
      </c>
      <c r="G21" s="33" t="n">
        <f aca="false">H21*$G$8</f>
        <v>-2000</v>
      </c>
      <c r="H21" s="37" t="n">
        <f aca="false">-INDEX(Motor!$C$690:$G$690,1,$D$3)</f>
        <v>-0.1</v>
      </c>
      <c r="I21" s="33" t="n">
        <f aca="false">J21*$I$8</f>
        <v>-2000</v>
      </c>
      <c r="J21" s="37" t="n">
        <f aca="false">-INDEX(Motor!$C$1014:$G$1014,1,$D$3)</f>
        <v>-0.1</v>
      </c>
    </row>
    <row r="22" customFormat="false" ht="15" hidden="false" customHeight="false" outlineLevel="0" collapsed="false">
      <c r="A22" s="7" t="s">
        <v>495</v>
      </c>
      <c r="B22" s="8" t="s">
        <v>11</v>
      </c>
      <c r="C22" s="33" t="n">
        <f aca="false">D22*$C$8</f>
        <v>-200</v>
      </c>
      <c r="D22" s="37" t="n">
        <f aca="false">-INDEX(Motor!$C$43:$G$43,1,$D$3)</f>
        <v>-0.01</v>
      </c>
      <c r="E22" s="33" t="n">
        <f aca="false">F22*$E$8</f>
        <v>-200</v>
      </c>
      <c r="F22" s="37" t="n">
        <f aca="false">-INDEX(Motor!$C$367:$G$367,1,$D$3)</f>
        <v>-0.01</v>
      </c>
      <c r="G22" s="33" t="n">
        <f aca="false">H22*$G$8</f>
        <v>-200</v>
      </c>
      <c r="H22" s="37" t="n">
        <f aca="false">-INDEX(Motor!$C$691:$G$691,1,$D$3)</f>
        <v>-0.01</v>
      </c>
      <c r="I22" s="33" t="n">
        <f aca="false">J22*$I$8</f>
        <v>-200</v>
      </c>
      <c r="J22" s="37" t="n">
        <f aca="false">-INDEX(Motor!$C$1015:$G$1015,1,$D$3)</f>
        <v>-0.01</v>
      </c>
    </row>
    <row r="23" customFormat="false" ht="15" hidden="false" customHeight="false" outlineLevel="0" collapsed="false">
      <c r="A23" s="7" t="s">
        <v>81</v>
      </c>
      <c r="B23" s="8" t="s">
        <v>11</v>
      </c>
      <c r="C23" s="33" t="n">
        <f aca="false">D23*$C$8</f>
        <v>-777.6</v>
      </c>
      <c r="D23" s="37" t="n">
        <f aca="false">-INDEX(Motor!$C$44:$G$44,1,$D$3)</f>
        <v>-0.03888</v>
      </c>
      <c r="E23" s="33" t="n">
        <f aca="false">F23*$E$8</f>
        <v>-610.2</v>
      </c>
      <c r="F23" s="37" t="n">
        <f aca="false">-INDEX(Motor!$C$368:$G$368,1,$D$3)</f>
        <v>-0.03051</v>
      </c>
      <c r="G23" s="33" t="n">
        <f aca="false">H23*$G$8</f>
        <v>-540</v>
      </c>
      <c r="H23" s="37" t="n">
        <f aca="false">-INDEX(Motor!$C$692:$G$692,1,$D$3)</f>
        <v>-0.027</v>
      </c>
      <c r="I23" s="33" t="n">
        <f aca="false">J23*$I$8</f>
        <v>-648</v>
      </c>
      <c r="J23" s="37" t="n">
        <f aca="false">-INDEX(Motor!$C$1016:$G$1016,1,$D$3)</f>
        <v>-0.0324</v>
      </c>
    </row>
    <row r="24" customFormat="false" ht="15" hidden="false" customHeight="false" outlineLevel="0" collapsed="false">
      <c r="A24" s="7" t="s">
        <v>496</v>
      </c>
      <c r="B24" s="8" t="s">
        <v>11</v>
      </c>
      <c r="C24" s="33" t="n">
        <f aca="false">D24*$C$8</f>
        <v>-0</v>
      </c>
      <c r="D24" s="37" t="n">
        <f aca="false">-INDEX(Motor!$C$45:$G$45,1,$D$3)</f>
        <v>-0</v>
      </c>
      <c r="E24" s="33" t="n">
        <f aca="false">F24*$E$8</f>
        <v>-0</v>
      </c>
      <c r="F24" s="37" t="n">
        <f aca="false">-INDEX(Motor!$C$369:$G$369,1,$D$3)</f>
        <v>-0</v>
      </c>
      <c r="G24" s="33" t="n">
        <f aca="false">H24*$G$8</f>
        <v>-0</v>
      </c>
      <c r="H24" s="37" t="n">
        <f aca="false">-INDEX(Motor!$C$693:$G$693,1,$D$3)</f>
        <v>-0</v>
      </c>
      <c r="I24" s="33" t="n">
        <f aca="false">J24*$I$8</f>
        <v>-0</v>
      </c>
      <c r="J24" s="37" t="n">
        <f aca="false">-INDEX(Motor!$C$1017:$G$1017,1,$D$3)</f>
        <v>-0</v>
      </c>
    </row>
    <row r="25" customFormat="false" ht="15" hidden="false" customHeight="false" outlineLevel="0" collapsed="false">
      <c r="A25" s="7" t="s">
        <v>497</v>
      </c>
      <c r="B25" s="8" t="s">
        <v>11</v>
      </c>
      <c r="C25" s="33" t="n">
        <f aca="false">D25*$C$8</f>
        <v>-4904.38356164384</v>
      </c>
      <c r="D25" s="37" t="n">
        <f aca="false">-INDEX(Motor!$C$46:$G$46,1,$D$3)</f>
        <v>-0.245219178082192</v>
      </c>
      <c r="E25" s="33" t="n">
        <f aca="false">F25*$E$8</f>
        <v>-959.332191780822</v>
      </c>
      <c r="F25" s="37" t="n">
        <f aca="false">-INDEX(Motor!$C$370:$G$370,1,$D$3)</f>
        <v>-0.0479666095890411</v>
      </c>
      <c r="G25" s="33" t="n">
        <f aca="false">H25*$G$8</f>
        <v>-749.298952457695</v>
      </c>
      <c r="H25" s="37" t="n">
        <f aca="false">-INDEX(Motor!$C$694:$G$694,1,$D$3)</f>
        <v>-0.0374649476228848</v>
      </c>
      <c r="I25" s="33" t="n">
        <f aca="false">J25*$I$8</f>
        <v>-809.075342465753</v>
      </c>
      <c r="J25" s="37" t="n">
        <f aca="false">-INDEX(Motor!$C$1018:$G$1018,1,$D$3)</f>
        <v>-0.0404537671232877</v>
      </c>
    </row>
    <row r="26" customFormat="false" ht="15" hidden="false" customHeight="false" outlineLevel="0" collapsed="false">
      <c r="A26" s="11" t="s">
        <v>498</v>
      </c>
      <c r="B26" s="8" t="s">
        <v>11</v>
      </c>
      <c r="C26" s="44" t="n">
        <f aca="false">D26*$C$8</f>
        <v>-3958.98356164381</v>
      </c>
      <c r="D26" s="45" t="n">
        <f aca="false">INDEX(Motor!$C$48:$G$48,1,$D$3)</f>
        <v>-0.19794917808219</v>
      </c>
      <c r="E26" s="44" t="n">
        <f aca="false">F26*$E$8</f>
        <v>6942.71438356166</v>
      </c>
      <c r="F26" s="45" t="n">
        <f aca="false">INDEX(Motor!$C$372:$G$372,1,$D$3)</f>
        <v>0.347135719178083</v>
      </c>
      <c r="G26" s="44" t="n">
        <f aca="false">H26*$G$8</f>
        <v>14928.1941982273</v>
      </c>
      <c r="H26" s="45" t="n">
        <f aca="false">INDEX(Motor!$C$696:$G$696,1,$D$3)</f>
        <v>0.746409709911363</v>
      </c>
      <c r="I26" s="44" t="n">
        <f aca="false">J26*$I$8</f>
        <v>12349.9246575343</v>
      </c>
      <c r="J26" s="45" t="n">
        <f aca="false">INDEX(Motor!$C$1020:$G$1020,1,$D$3)</f>
        <v>0.617496232876713</v>
      </c>
    </row>
    <row r="27" customFormat="false" ht="15" hidden="false" customHeight="false" outlineLevel="0" collapsed="false">
      <c r="A27" s="7" t="s">
        <v>499</v>
      </c>
      <c r="B27" s="8" t="s">
        <v>76</v>
      </c>
      <c r="D27" s="26" t="n">
        <f aca="false">IF(D11&gt;0,D26/D11,0)</f>
        <v>-0.0407302835560062</v>
      </c>
      <c r="F27" s="26" t="n">
        <f aca="false">IF(F11&gt;0,F26/F11,0)</f>
        <v>0.0682666114411176</v>
      </c>
      <c r="H27" s="26" t="n">
        <f aca="false">IF(H11&gt;0,H26/H11,0)</f>
        <v>0.138224020353956</v>
      </c>
      <c r="J27" s="26" t="n">
        <f aca="false">IF(J11&gt;0,J26/J11,0)</f>
        <v>0.114351154236428</v>
      </c>
    </row>
    <row r="28" customFormat="false" ht="15" hidden="false" customHeight="false" outlineLevel="0" collapsed="false">
      <c r="A28" s="7" t="s">
        <v>500</v>
      </c>
      <c r="B28" s="8" t="s">
        <v>11</v>
      </c>
      <c r="C28" s="33" t="n">
        <f aca="false">D28*$C$8</f>
        <v>-388.8</v>
      </c>
      <c r="D28" s="37" t="n">
        <f aca="false">-Pressupostos!$C$118*D11</f>
        <v>-0.01944</v>
      </c>
      <c r="E28" s="33" t="n">
        <f aca="false">F28*$E$8</f>
        <v>-406.8</v>
      </c>
      <c r="F28" s="37" t="n">
        <f aca="false">-Pressupostos!$C$118*F11</f>
        <v>-0.02034</v>
      </c>
      <c r="G28" s="33" t="n">
        <f aca="false">H28*$G$8</f>
        <v>-432</v>
      </c>
      <c r="H28" s="37" t="n">
        <f aca="false">-Pressupostos!$C$118*H11</f>
        <v>-0.0216</v>
      </c>
      <c r="I28" s="33" t="n">
        <f aca="false">J28*$I$8</f>
        <v>-432</v>
      </c>
      <c r="J28" s="37" t="n">
        <f aca="false">-Pressupostos!$C$118*J11</f>
        <v>-0.0216</v>
      </c>
    </row>
    <row r="29" customFormat="false" ht="15" hidden="false" customHeight="false" outlineLevel="0" collapsed="false">
      <c r="A29" s="11" t="s">
        <v>501</v>
      </c>
      <c r="B29" s="8" t="s">
        <v>11</v>
      </c>
      <c r="C29" s="46" t="n">
        <f aca="false">D29*$C$8</f>
        <v>-4347.78356164381</v>
      </c>
      <c r="D29" s="47" t="n">
        <f aca="false">D26+D28</f>
        <v>-0.21738917808219</v>
      </c>
      <c r="E29" s="46" t="n">
        <f aca="false">F29*$E$8</f>
        <v>6535.91438356166</v>
      </c>
      <c r="F29" s="47" t="n">
        <f aca="false">F26+F28</f>
        <v>0.326795719178083</v>
      </c>
      <c r="G29" s="46" t="n">
        <f aca="false">H29*$G$8</f>
        <v>14496.1941982273</v>
      </c>
      <c r="H29" s="47" t="n">
        <f aca="false">H26+H28</f>
        <v>0.724809709911363</v>
      </c>
      <c r="I29" s="46" t="n">
        <f aca="false">J29*$I$8</f>
        <v>11917.9246575343</v>
      </c>
      <c r="J29" s="47" t="n">
        <f aca="false">J26+J28</f>
        <v>0.595896232876713</v>
      </c>
    </row>
    <row r="30" customFormat="false" ht="15" hidden="false" customHeight="false" outlineLevel="0" collapsed="false">
      <c r="A30" s="7" t="s">
        <v>502</v>
      </c>
      <c r="B30" s="8" t="s">
        <v>76</v>
      </c>
      <c r="D30" s="26" t="n">
        <f aca="false">IF(D11&gt;0,D29/D11,0)</f>
        <v>-0.0447302835560062</v>
      </c>
      <c r="F30" s="26" t="n">
        <f aca="false">IF(F11&gt;0,F29/F11,0)</f>
        <v>0.0642666114411176</v>
      </c>
      <c r="H30" s="26" t="n">
        <f aca="false">IF(H11&gt;0,H29/H11,0)</f>
        <v>0.134224020353956</v>
      </c>
      <c r="J30" s="26" t="n">
        <f aca="false">IF(J11&gt;0,J29/J11,0)</f>
        <v>0.110351154236428</v>
      </c>
    </row>
    <row r="31" customFormat="false" ht="15" hidden="false" customHeight="false" outlineLevel="0" collapsed="false">
      <c r="A31" s="22" t="s">
        <v>503</v>
      </c>
    </row>
    <row r="32" customFormat="false" ht="15" hidden="false" customHeight="false" outlineLevel="0" collapsed="false">
      <c r="A32" s="7" t="s">
        <v>504</v>
      </c>
      <c r="B32" s="8" t="s">
        <v>11</v>
      </c>
      <c r="C32" s="33" t="n">
        <f aca="false">(INDEX(Motor!$C$29:$G$29,1,$D$3)+INDEX(Motor!$C$32:$G$32,1,$D$3))*$C$8</f>
        <v>84000</v>
      </c>
      <c r="E32" s="33" t="n">
        <f aca="false">(INDEX(Motor!$C$353:$G$353,1,$D$3)+INDEX(Motor!$C$356:$G$356,1,$D$3))*$E$8</f>
        <v>83000</v>
      </c>
      <c r="G32" s="33" t="n">
        <f aca="false">(INDEX(Motor!$C$677:$G$677,1,$D$3)+INDEX(Motor!$C$680:$G$680,1,$D$3))*$G$8</f>
        <v>82000</v>
      </c>
      <c r="I32" s="33" t="n">
        <f aca="false">(INDEX(Motor!$C$1001:$G$1001,1,$D$3)+INDEX(Motor!$C$1004:$G$1004,1,$D$3))*$I$8</f>
        <v>84000</v>
      </c>
    </row>
    <row r="33" customFormat="false" ht="15" hidden="false" customHeight="false" outlineLevel="0" collapsed="false">
      <c r="A33" s="7" t="s">
        <v>505</v>
      </c>
      <c r="B33" s="8" t="s">
        <v>79</v>
      </c>
      <c r="C33" s="28" t="n">
        <f aca="false">INDEX(Motor!$C$35:$G$35,1,$D$3)+INDEX(Motor!$C$36:$G$36,1,$D$3)-Pressupostos!$C$72</f>
        <v>195</v>
      </c>
      <c r="E33" s="28" t="n">
        <f aca="false">INDEX(Motor!$C$359:$G$359,1,$D$3)+INDEX(Motor!$C$360:$G$360,1,$D$3)-Pressupostos!$C$72</f>
        <v>50</v>
      </c>
      <c r="G33" s="28" t="n">
        <f aca="false">INDEX(Motor!$C$683:$G$683,1,$D$3)+INDEX(Motor!$C$684:$G$684,1,$D$3)-Pressupostos!$C$72</f>
        <v>45</v>
      </c>
      <c r="I33" s="28" t="n">
        <f aca="false">INDEX(Motor!$C$1007:$G$1007,1,$D$3)+INDEX(Motor!$C$1008:$G$1008,1,$D$3)-Pressupostos!$C$72</f>
        <v>50</v>
      </c>
    </row>
    <row r="34" customFormat="false" ht="15" hidden="false" customHeight="false" outlineLevel="0" collapsed="false">
      <c r="A34" s="7" t="s">
        <v>506</v>
      </c>
      <c r="B34" s="8" t="s">
        <v>76</v>
      </c>
      <c r="C34" s="26" t="n">
        <f aca="false">INDEX(Pressupostos!$C$281:$G$281,1,$D$3)</f>
        <v>0.85</v>
      </c>
      <c r="E34" s="26" t="n">
        <f aca="false">INDEX(Pressupostos!$C$282:$G$282,1,$D$3)</f>
        <v>0.9</v>
      </c>
      <c r="G34" s="26" t="n">
        <f aca="false">INDEX(Pressupostos!$C$283:$G$283,1,$D$3)</f>
        <v>0.9</v>
      </c>
      <c r="I34" s="26" t="n">
        <f aca="false">INDEX(Pressupostos!$C$284:$G$284,1,$D$3)</f>
        <v>0.75</v>
      </c>
    </row>
    <row r="35" customFormat="false" ht="15" hidden="false" customHeight="false" outlineLevel="0" collapsed="false">
      <c r="A35" s="7" t="s">
        <v>507</v>
      </c>
      <c r="B35" s="8" t="s">
        <v>11</v>
      </c>
      <c r="C35" s="33" t="n">
        <f aca="false">INDEX(Pressupostos!$C$281:$G$281,1,$D$3)*(INDEX(Motor!$C$29:$G$29,1,$D$3)+INDEX(Motor!$C$32:$G$32,1,$D$3))*$C$8/Pressupostos!$C$31</f>
        <v>102000</v>
      </c>
      <c r="E35" s="33" t="n">
        <f aca="false">INDEX(Pressupostos!$C$282:$G$282,1,$D$3)*(INDEX(Motor!$C$353:$G$353,1,$D$3)+INDEX(Motor!$C$356:$G$356,1,$D$3))*$E$8/Pressupostos!$D$31</f>
        <v>93375</v>
      </c>
      <c r="G35" s="33" t="n">
        <f aca="false">INDEX(Pressupostos!$C$283:$G$283,1,$D$3)*(INDEX(Motor!$C$677:$G$677,1,$D$3)+INDEX(Motor!$C$680:$G$680,1,$D$3))*$G$8/Pressupostos!$E$31</f>
        <v>86823.5294117647</v>
      </c>
      <c r="I35" s="33" t="n">
        <f aca="false">INDEX(Pressupostos!$C$284:$G$284,1,$D$3)*(INDEX(Motor!$C$1001:$G$1001,1,$D$3)+INDEX(Motor!$C$1004:$G$1004,1,$D$3))*$I$8/Pressupostos!$F$31</f>
        <v>78750</v>
      </c>
    </row>
    <row r="36" customFormat="false" ht="15" hidden="false" customHeight="false" outlineLevel="0" collapsed="false">
      <c r="A36" s="7" t="s">
        <v>508</v>
      </c>
      <c r="B36" s="8" t="s">
        <v>11</v>
      </c>
      <c r="C36" s="33" t="n">
        <f aca="false">(1-INDEX(Pressupostos!$C$281:$G$281,1,$D$3))*(INDEX(Motor!$C$29:$G$29,1,$D$3)+INDEX(Motor!$C$32:$G$32,1,$D$3))*$C$8</f>
        <v>12600</v>
      </c>
      <c r="E36" s="33" t="n">
        <f aca="false">(1-INDEX(Pressupostos!$C$282:$G$282,1,$D$3))*(INDEX(Motor!$C$353:$G$353,1,$D$3)+INDEX(Motor!$C$356:$G$356,1,$D$3))*$E$8</f>
        <v>8300</v>
      </c>
      <c r="G36" s="33" t="n">
        <f aca="false">(1-INDEX(Pressupostos!$C$283:$G$283,1,$D$3))*(INDEX(Motor!$C$677:$G$677,1,$D$3)+INDEX(Motor!$C$680:$G$680,1,$D$3))*$G$8</f>
        <v>8200</v>
      </c>
      <c r="I36" s="33" t="n">
        <f aca="false">(1-INDEX(Pressupostos!$C$284:$G$284,1,$D$3))*(INDEX(Motor!$C$1001:$G$1001,1,$D$3)+INDEX(Motor!$C$1004:$G$1004,1,$D$3))*$I$8</f>
        <v>21000</v>
      </c>
    </row>
    <row r="37" customFormat="false" ht="15" hidden="false" customHeight="false" outlineLevel="0" collapsed="false">
      <c r="A37" s="7" t="s">
        <v>509</v>
      </c>
      <c r="B37" s="8" t="s">
        <v>76</v>
      </c>
      <c r="C37" s="30" t="n">
        <f aca="false">INDEX(Pressupostos!$C$287:$G$287,1,$D$3)</f>
        <v>0.09</v>
      </c>
      <c r="E37" s="30" t="n">
        <f aca="false">INDEX(Pressupostos!$C$288:$G$288,1,$D$3)</f>
        <v>0.075</v>
      </c>
      <c r="G37" s="30" t="n">
        <f aca="false">INDEX(Pressupostos!$C$289:$G$289,1,$D$3)</f>
        <v>0.07</v>
      </c>
      <c r="I37" s="30" t="n">
        <f aca="false">INDEX(Pressupostos!$C$290:$G$290,1,$D$3)</f>
        <v>0.075</v>
      </c>
    </row>
    <row r="38" customFormat="false" ht="15" hidden="false" customHeight="false" outlineLevel="0" collapsed="false">
      <c r="A38" s="7" t="s">
        <v>510</v>
      </c>
      <c r="B38" s="8" t="s">
        <v>76</v>
      </c>
      <c r="C38" s="30" t="n">
        <f aca="false">INDEX(Pressupostos!$C$287:$G$287,1,$D$3)*(1-Pressupostos!$C$111)</f>
        <v>0.0648</v>
      </c>
      <c r="E38" s="30" t="n">
        <f aca="false">INDEX(Pressupostos!$C$288:$G$288,1,$D$3)*(1-Pressupostos!$C$111)</f>
        <v>0.054</v>
      </c>
      <c r="G38" s="30" t="n">
        <f aca="false">INDEX(Pressupostos!$C$289:$G$289,1,$D$3)*(1-Pressupostos!$C$111)</f>
        <v>0.0504</v>
      </c>
      <c r="I38" s="30" t="n">
        <f aca="false">INDEX(Pressupostos!$C$290:$G$290,1,$D$3)*(1-Pressupostos!$C$111)</f>
        <v>0.054</v>
      </c>
    </row>
    <row r="39" customFormat="false" ht="15" hidden="false" customHeight="false" outlineLevel="0" collapsed="false">
      <c r="A39" s="7" t="s">
        <v>511</v>
      </c>
      <c r="B39" s="8" t="s">
        <v>11</v>
      </c>
      <c r="C39" s="33" t="n">
        <f aca="false">INDEX(Motor!$C$46:$G$46,1,$D$3)*$C$8</f>
        <v>4904.38356164384</v>
      </c>
      <c r="E39" s="33" t="n">
        <f aca="false">INDEX(Motor!$C$370:$G$370,1,$D$3)*$E$8</f>
        <v>959.332191780822</v>
      </c>
      <c r="G39" s="33" t="n">
        <f aca="false">INDEX(Motor!$C$694:$G$694,1,$D$3)*$G$8</f>
        <v>749.298952457695</v>
      </c>
      <c r="I39" s="33" t="n">
        <f aca="false">INDEX(Motor!$C$1018:$G$1018,1,$D$3)*$I$8</f>
        <v>809.075342465753</v>
      </c>
    </row>
    <row r="40" customFormat="false" ht="15" hidden="false" customHeight="false" outlineLevel="0" collapsed="false">
      <c r="A40" s="7" t="s">
        <v>512</v>
      </c>
      <c r="B40" s="8" t="s">
        <v>76</v>
      </c>
      <c r="C40" s="30" t="n">
        <f aca="false">IF(INDEX(Pressupostos!$C$281:$G$281,1,$D$3)&gt;0,INDEX(Motor!$C$46:$G$46,1,$D$3)*$C$8/(INDEX(Pressupostos!$C$281:$G$281,1,$D$3)*(INDEX(Motor!$C$29:$G$29,1,$D$3)+INDEX(Motor!$C$32:$G$32,1,$D$3))*$C$8/Pressupostos!$C$31),0)</f>
        <v>0.0480821917808219</v>
      </c>
      <c r="E40" s="30" t="n">
        <f aca="false">IF(INDEX(Pressupostos!$C$282:$G$282,1,$D$3)&gt;0,INDEX(Motor!$C$370:$G$370,1,$D$3)*$E$8/(INDEX(Pressupostos!$C$282:$G$282,1,$D$3)*(INDEX(Motor!$C$353:$G$353,1,$D$3)+INDEX(Motor!$C$356:$G$356,1,$D$3))*$E$8/Pressupostos!$D$31),0)</f>
        <v>0.0102739726027397</v>
      </c>
      <c r="G40" s="30" t="n">
        <f aca="false">IF(INDEX(Pressupostos!$C$283:$G$283,1,$D$3)&gt;0,INDEX(Motor!$C$694:$G$694,1,$D$3)*$G$8/(INDEX(Pressupostos!$C$283:$G$283,1,$D$3)*(INDEX(Motor!$C$677:$G$677,1,$D$3)+INDEX(Motor!$C$680:$G$680,1,$D$3))*$G$8/Pressupostos!$E$31),0)</f>
        <v>0.00863013698630137</v>
      </c>
      <c r="I40" s="30" t="n">
        <f aca="false">IF(INDEX(Pressupostos!$C$284:$G$284,1,$D$3)&gt;0,INDEX(Motor!$C$1018:$G$1018,1,$D$3)*$I$8/(INDEX(Pressupostos!$C$284:$G$284,1,$D$3)*(INDEX(Motor!$C$1001:$G$1001,1,$D$3)+INDEX(Motor!$C$1004:$G$1004,1,$D$3))*$I$8/Pressupostos!$F$31),0)</f>
        <v>0.0102739726027397</v>
      </c>
    </row>
    <row r="41" customFormat="false" ht="15" hidden="false" customHeight="false" outlineLevel="0" collapsed="false">
      <c r="A41" s="7" t="s">
        <v>513</v>
      </c>
      <c r="B41" s="8" t="s">
        <v>11</v>
      </c>
      <c r="C41" s="33" t="n">
        <f aca="false">MAX(0,MIN(Pressupostos!$C$110*INDEX(Motor!$C$48:$G$48,1,$D$3)*$C$8,Pressupostos!$C$109*INDEX(Pressupostos!$C$281:$G$281,1,$D$3)*(INDEX(Motor!$C$29:$G$29,1,$D$3)+INDEX(Motor!$C$32:$G$32,1,$D$3))*$C$8/Pressupostos!$C$31))</f>
        <v>0</v>
      </c>
      <c r="E41" s="33" t="n">
        <f aca="false">MAX(0,MIN(Pressupostos!$C$110*INDEX(Motor!$C$372:$G$372,1,$D$3)*$E$8,Pressupostos!$C$109*INDEX(Pressupostos!$C$282:$G$282,1,$D$3)*(INDEX(Motor!$C$353:$G$353,1,$D$3)+INDEX(Motor!$C$356:$G$356,1,$D$3))*$E$8/Pressupostos!$D$31))</f>
        <v>2082.8143150685</v>
      </c>
      <c r="G41" s="33" t="n">
        <f aca="false">MAX(0,MIN(Pressupostos!$C$110*INDEX(Motor!$C$696:$G$696,1,$D$3)*$G$8,Pressupostos!$C$109*INDEX(Pressupostos!$C$283:$G$283,1,$D$3)*(INDEX(Motor!$C$677:$G$677,1,$D$3)+INDEX(Motor!$C$680:$G$680,1,$D$3))*$G$8/Pressupostos!$E$31))</f>
        <v>4341.17647058824</v>
      </c>
      <c r="I41" s="33" t="n">
        <f aca="false">MAX(0,MIN(Pressupostos!$C$110*INDEX(Motor!$C$1020:$G$1020,1,$D$3)*$I$8,Pressupostos!$C$109*INDEX(Pressupostos!$C$284:$G$284,1,$D$3)*(INDEX(Motor!$C$1001:$G$1001,1,$D$3)+INDEX(Motor!$C$1004:$G$1004,1,$D$3))*$I$8/Pressupostos!$F$31))</f>
        <v>3704.97739726028</v>
      </c>
    </row>
    <row r="42" customFormat="false" ht="15" hidden="false" customHeight="false" outlineLevel="0" collapsed="false">
      <c r="A42" s="7" t="s">
        <v>514</v>
      </c>
      <c r="B42" s="8" t="s">
        <v>11</v>
      </c>
      <c r="C42" s="33" t="n">
        <f aca="false">INDEX(Motor!$C$48:$G$48,1,$D$3)*$C$8-C41</f>
        <v>-3958.98356164381</v>
      </c>
      <c r="E42" s="33" t="n">
        <f aca="false">INDEX(Motor!$C$372:$G$372,1,$D$3)*$E$8-E41</f>
        <v>4859.90006849316</v>
      </c>
      <c r="G42" s="33" t="n">
        <f aca="false">INDEX(Motor!$C$696:$G$696,1,$D$3)*$G$8-G41</f>
        <v>10587.017727639</v>
      </c>
      <c r="I42" s="33" t="n">
        <f aca="false">INDEX(Motor!$C$1020:$G$1020,1,$D$3)*$I$8-I41</f>
        <v>8644.94726027398</v>
      </c>
    </row>
    <row r="43" customFormat="false" ht="15" hidden="false" customHeight="false" outlineLevel="0" collapsed="false">
      <c r="A43" s="7" t="s">
        <v>515</v>
      </c>
      <c r="B43" s="8" t="s">
        <v>11</v>
      </c>
      <c r="C43" s="33" t="n">
        <f aca="false">$C$8/(Pressupostos!$C$75*1000)*(Pressupostos!$C$121+12*Pressupostos!$C$122)</f>
        <v>1268.29268292683</v>
      </c>
      <c r="E43" s="33" t="n">
        <f aca="false">$E$8/(Pressupostos!$C$75*1000)*(Pressupostos!$C$121+12*Pressupostos!$C$122)</f>
        <v>1268.29268292683</v>
      </c>
      <c r="G43" s="33" t="n">
        <f aca="false">$G$8/(Pressupostos!$C$75*1000)*(Pressupostos!$C$121+12*Pressupostos!$C$122)</f>
        <v>1268.29268292683</v>
      </c>
      <c r="I43" s="33" t="n">
        <f aca="false">$I$8/(Pressupostos!$C$75*1000)*(Pressupostos!$C$121+12*Pressupostos!$C$122)</f>
        <v>1268.29268292683</v>
      </c>
    </row>
    <row r="44" customFormat="false" ht="15" hidden="false" customHeight="false" outlineLevel="0" collapsed="false">
      <c r="A44" s="7" t="s">
        <v>516</v>
      </c>
      <c r="B44" s="8" t="s">
        <v>11</v>
      </c>
      <c r="C44" s="33" t="n">
        <f aca="false">Pressupostos!$C$113*(1-INDEX(Pressupostos!$C$281:$G$281,1,$D$3))*(INDEX(Motor!$C$29:$G$29,1,$D$3)+INDEX(Motor!$C$32:$G$32,1,$D$3))*(INDEX(Motor!$C$35:$G$35,1,$D$3)+INDEX(Motor!$C$36:$G$36,1,$D$3)-Pressupostos!$C$72)/365*$C$8</f>
        <v>538.520547945206</v>
      </c>
      <c r="E44" s="33" t="n">
        <f aca="false">Pressupostos!$C$113*(1-INDEX(Pressupostos!$C$282:$G$282,1,$D$3))*(INDEX(Motor!$C$353:$G$353,1,$D$3)+INDEX(Motor!$C$356:$G$356,1,$D$3))*(INDEX(Motor!$C$359:$G$359,1,$D$3)+INDEX(Motor!$C$360:$G$360,1,$D$3)-Pressupostos!$C$72)/365*$E$8</f>
        <v>90.958904109589</v>
      </c>
      <c r="G44" s="33" t="n">
        <f aca="false">Pressupostos!$C$113*(1-INDEX(Pressupostos!$C$283:$G$283,1,$D$3))*(INDEX(Motor!$C$677:$G$677,1,$D$3)+INDEX(Motor!$C$680:$G$680,1,$D$3))*(INDEX(Motor!$C$683:$G$683,1,$D$3)+INDEX(Motor!$C$684:$G$684,1,$D$3)-Pressupostos!$C$72)/365*$G$8</f>
        <v>80.8767123287671</v>
      </c>
      <c r="I44" s="33" t="n">
        <f aca="false">Pressupostos!$C$113*(1-INDEX(Pressupostos!$C$284:$G$284,1,$D$3))*(INDEX(Motor!$C$1001:$G$1001,1,$D$3)+INDEX(Motor!$C$1004:$G$1004,1,$D$3))*(INDEX(Motor!$C$1007:$G$1007,1,$D$3)+INDEX(Motor!$C$1008:$G$1008,1,$D$3)-Pressupostos!$C$72)/365*$I$8</f>
        <v>230.13698630137</v>
      </c>
    </row>
    <row r="46" customFormat="false" ht="15" hidden="false" customHeight="false" outlineLevel="0" collapsed="false">
      <c r="A46" s="3" t="s">
        <v>517</v>
      </c>
      <c r="B46" s="4"/>
      <c r="C46" s="4"/>
      <c r="D46" s="4"/>
      <c r="E46" s="4"/>
      <c r="F46" s="4"/>
      <c r="G46" s="4"/>
      <c r="H46" s="4"/>
      <c r="I46" s="4"/>
      <c r="J46" s="4"/>
      <c r="K46" s="4"/>
    </row>
    <row r="47" customFormat="false" ht="15" hidden="false" customHeight="false" outlineLevel="0" collapsed="false">
      <c r="A47" s="5" t="s">
        <v>475</v>
      </c>
      <c r="B47" s="5" t="s">
        <v>4</v>
      </c>
      <c r="C47" s="6" t="s">
        <v>5</v>
      </c>
      <c r="D47" s="6" t="s">
        <v>6</v>
      </c>
      <c r="E47" s="6" t="s">
        <v>7</v>
      </c>
      <c r="F47" s="6" t="s">
        <v>8</v>
      </c>
      <c r="G47" s="6"/>
      <c r="H47" s="6"/>
      <c r="I47" s="6"/>
      <c r="J47" s="6"/>
      <c r="K47" s="6" t="s">
        <v>484</v>
      </c>
    </row>
    <row r="48" customFormat="false" ht="15" hidden="false" customHeight="false" outlineLevel="0" collapsed="false">
      <c r="A48" s="7" t="s">
        <v>518</v>
      </c>
      <c r="B48" s="8" t="s">
        <v>64</v>
      </c>
      <c r="C48" s="37" t="n">
        <f aca="false">D9+D12+D13+D14</f>
        <v>0.89</v>
      </c>
      <c r="D48" s="37" t="n">
        <f aca="false">F9+F12+F13+F14</f>
        <v>1.22</v>
      </c>
      <c r="E48" s="37" t="n">
        <f aca="false">H9+H12+H13+H14</f>
        <v>1.64</v>
      </c>
      <c r="F48" s="37" t="n">
        <f aca="false">J9+J12+J13+J14</f>
        <v>1.52</v>
      </c>
    </row>
    <row r="49" customFormat="false" ht="15" hidden="false" customHeight="false" outlineLevel="0" collapsed="false">
      <c r="A49" s="7" t="s">
        <v>519</v>
      </c>
      <c r="B49" s="8" t="s">
        <v>520</v>
      </c>
      <c r="C49" s="26" t="n">
        <f aca="false">IF(C48&gt;0,-D10/C48,0)</f>
        <v>0.606741573033708</v>
      </c>
      <c r="D49" s="26" t="n">
        <f aca="false">IF(D48&gt;0,-F10/D48,0)</f>
        <v>0.46311475409836</v>
      </c>
      <c r="E49" s="26" t="n">
        <f aca="false">IF(E48&gt;0,-H10/E48,0)</f>
        <v>0.365853658536585</v>
      </c>
      <c r="F49" s="26" t="n">
        <f aca="false">IF(F48&gt;0,-J10/F48,0)</f>
        <v>0.394736842105263</v>
      </c>
    </row>
    <row r="50" customFormat="false" ht="15" hidden="false" customHeight="false" outlineLevel="0" collapsed="false">
      <c r="A50" s="7" t="s">
        <v>521</v>
      </c>
      <c r="B50" s="8" t="s">
        <v>520</v>
      </c>
      <c r="C50" s="26" t="n">
        <f aca="false">IF(C48&gt;0,-D25/C48,0)</f>
        <v>0.275527166384485</v>
      </c>
      <c r="D50" s="26" t="n">
        <f aca="false">IF(D48&gt;0,-F25/D48,0)</f>
        <v>0.0393168931057714</v>
      </c>
      <c r="E50" s="26" t="n">
        <f aca="false">IF(E48&gt;0,-H25/E48,0)</f>
        <v>0.0228444802578566</v>
      </c>
      <c r="F50" s="26" t="n">
        <f aca="false">IF(F48&gt;0,-J25/F48,0)</f>
        <v>0.0266143204758472</v>
      </c>
    </row>
    <row r="51" customFormat="false" ht="15" hidden="false" customHeight="false" outlineLevel="0" collapsed="false">
      <c r="A51" s="7" t="s">
        <v>522</v>
      </c>
      <c r="B51" s="8" t="s">
        <v>520</v>
      </c>
      <c r="C51" s="26" t="n">
        <f aca="false">IF(C48&gt;0,-(D15+D16+D17+D18+D19+D20+D21+D22+D23+D24)/C48,0)</f>
        <v>0.34014606741573</v>
      </c>
      <c r="D51" s="26" t="n">
        <f aca="false">IF(D48&gt;0,-(F15+F16+F17+F18+F19+F20+F21+F22+F23+F24)/D48,0)</f>
        <v>0.213030878059735</v>
      </c>
      <c r="E51" s="26" t="n">
        <f aca="false">IF(E48&gt;0,-(H15+H16+H17+H18+H19+H20+H21+H22+H23+H24)/E48,0)</f>
        <v>0.156173989308386</v>
      </c>
      <c r="F51" s="26" t="n">
        <f aca="false">IF(F48&gt;0,-(J15+J16+J17+J18+J19+J20+J21+J22+J23+J24)/F48,0)</f>
        <v>0.172401315789474</v>
      </c>
    </row>
    <row r="52" customFormat="false" ht="15" hidden="false" customHeight="false" outlineLevel="0" collapsed="false">
      <c r="A52" s="7" t="s">
        <v>523</v>
      </c>
      <c r="B52" s="8" t="s">
        <v>520</v>
      </c>
      <c r="C52" s="26" t="n">
        <f aca="false">IF(C48&gt;0,D26/C48,0)</f>
        <v>-0.222414806833922</v>
      </c>
      <c r="D52" s="26" t="n">
        <f aca="false">IF(D48&gt;0,F26/D48,0)</f>
        <v>0.284537474736134</v>
      </c>
      <c r="E52" s="26" t="n">
        <f aca="false">IF(E48&gt;0,H26/E48,0)</f>
        <v>0.455127871897172</v>
      </c>
      <c r="F52" s="26" t="n">
        <f aca="false">IF(F48&gt;0,J26/F48,0)</f>
        <v>0.406247521629416</v>
      </c>
    </row>
    <row r="53" customFormat="false" ht="15" hidden="false" customHeight="false" outlineLevel="0" collapsed="false">
      <c r="A53" s="7" t="s">
        <v>524</v>
      </c>
      <c r="B53" s="8" t="s">
        <v>520</v>
      </c>
      <c r="C53" s="26" t="n">
        <f aca="false">IF(C48&gt;0,-D28/C48,0)</f>
        <v>0.0218426966292135</v>
      </c>
      <c r="D53" s="26" t="n">
        <f aca="false">IF(D48&gt;0,-F28/D48,0)</f>
        <v>0.016672131147541</v>
      </c>
      <c r="E53" s="26" t="n">
        <f aca="false">IF(E48&gt;0,-H28/E48,0)</f>
        <v>0.0131707317073171</v>
      </c>
      <c r="F53" s="26" t="n">
        <f aca="false">IF(F48&gt;0,-J28/F48,0)</f>
        <v>0.0142105263157895</v>
      </c>
    </row>
    <row r="54" customFormat="false" ht="15" hidden="false" customHeight="false" outlineLevel="0" collapsed="false">
      <c r="A54" s="7" t="s">
        <v>525</v>
      </c>
      <c r="B54" s="8" t="s">
        <v>520</v>
      </c>
      <c r="C54" s="26" t="n">
        <f aca="false">IF(C48&gt;0,D29/C48,0)</f>
        <v>-0.244257503463135</v>
      </c>
      <c r="D54" s="26" t="n">
        <f aca="false">IF(D48&gt;0,F29/D48,0)</f>
        <v>0.267865343588593</v>
      </c>
      <c r="E54" s="26" t="n">
        <f aca="false">IF(E48&gt;0,H29/E48,0)</f>
        <v>0.441957140189855</v>
      </c>
      <c r="F54" s="26" t="n">
        <f aca="false">IF(F48&gt;0,J29/F48,0)</f>
        <v>0.392036995313627</v>
      </c>
    </row>
    <row r="56" customFormat="false" ht="15" hidden="false" customHeight="false" outlineLevel="0" collapsed="false">
      <c r="A56" s="3" t="s">
        <v>526</v>
      </c>
      <c r="B56" s="4"/>
      <c r="C56" s="4"/>
      <c r="D56" s="4"/>
      <c r="E56" s="4"/>
      <c r="F56" s="4"/>
      <c r="G56" s="4"/>
      <c r="H56" s="4"/>
      <c r="I56" s="4"/>
      <c r="J56" s="4"/>
      <c r="K56" s="4"/>
    </row>
    <row r="57" customFormat="false" ht="15" hidden="false" customHeight="false" outlineLevel="0" collapsed="false">
      <c r="A57" s="5" t="s">
        <v>475</v>
      </c>
      <c r="B57" s="5" t="s">
        <v>4</v>
      </c>
      <c r="C57" s="6" t="s">
        <v>5</v>
      </c>
      <c r="D57" s="6" t="s">
        <v>6</v>
      </c>
      <c r="E57" s="6" t="s">
        <v>7</v>
      </c>
      <c r="F57" s="6" t="s">
        <v>8</v>
      </c>
      <c r="G57" s="6"/>
      <c r="H57" s="6"/>
      <c r="I57" s="6"/>
      <c r="J57" s="6"/>
      <c r="K57" s="6" t="s">
        <v>484</v>
      </c>
    </row>
    <row r="58" customFormat="false" ht="15" hidden="false" customHeight="false" outlineLevel="0" collapsed="false">
      <c r="A58" s="7" t="s">
        <v>527</v>
      </c>
      <c r="B58" s="8" t="s">
        <v>64</v>
      </c>
      <c r="C58" s="48" t="n">
        <f aca="false">Pressupostos!$C$202</f>
        <v>0.297</v>
      </c>
      <c r="D58" s="48" t="n">
        <f aca="false">Pressupostos!$C$202</f>
        <v>0.297</v>
      </c>
      <c r="E58" s="48" t="n">
        <f aca="false">Pressupostos!$C$202</f>
        <v>0.297</v>
      </c>
      <c r="F58" s="48" t="n">
        <f aca="false">Pressupostos!$C$202</f>
        <v>0.297</v>
      </c>
    </row>
    <row r="59" customFormat="false" ht="15" hidden="false" customHeight="false" outlineLevel="0" collapsed="false">
      <c r="A59" s="7" t="s">
        <v>528</v>
      </c>
      <c r="B59" s="8" t="s">
        <v>64</v>
      </c>
      <c r="C59" s="37" t="n">
        <f aca="false">Pressupostos!$C$205*C58</f>
        <v>0.25245</v>
      </c>
      <c r="D59" s="37" t="n">
        <f aca="false">Pressupostos!$C$205*D58</f>
        <v>0.25245</v>
      </c>
      <c r="E59" s="37" t="n">
        <f aca="false">Pressupostos!$C$205*E58</f>
        <v>0.25245</v>
      </c>
      <c r="F59" s="37" t="n">
        <f aca="false">Pressupostos!$C$205*F58</f>
        <v>0.25245</v>
      </c>
    </row>
    <row r="60" customFormat="false" ht="15" hidden="false" customHeight="false" outlineLevel="0" collapsed="false">
      <c r="A60" s="7" t="s">
        <v>529</v>
      </c>
      <c r="B60" s="8" t="s">
        <v>64</v>
      </c>
      <c r="C60" s="37" t="n">
        <f aca="false">D10</f>
        <v>-0.54</v>
      </c>
      <c r="D60" s="37" t="n">
        <f aca="false">F10</f>
        <v>-0.565</v>
      </c>
      <c r="E60" s="37" t="n">
        <f aca="false">H10</f>
        <v>-0.6</v>
      </c>
      <c r="F60" s="37" t="n">
        <f aca="false">J10</f>
        <v>-0.6</v>
      </c>
    </row>
    <row r="61" customFormat="false" ht="15" hidden="false" customHeight="false" outlineLevel="0" collapsed="false">
      <c r="A61" s="7" t="s">
        <v>530</v>
      </c>
      <c r="B61" s="8" t="s">
        <v>64</v>
      </c>
      <c r="C61" s="37" t="n">
        <f aca="false">D25</f>
        <v>-0.245219178082192</v>
      </c>
      <c r="D61" s="37" t="n">
        <f aca="false">F25</f>
        <v>-0.0479666095890411</v>
      </c>
      <c r="E61" s="37" t="n">
        <f aca="false">H25</f>
        <v>-0.0374649476228848</v>
      </c>
      <c r="F61" s="37" t="n">
        <f aca="false">J25</f>
        <v>-0.0404537671232877</v>
      </c>
    </row>
    <row r="62" customFormat="false" ht="15" hidden="false" customHeight="false" outlineLevel="0" collapsed="false">
      <c r="A62" s="7" t="s">
        <v>531</v>
      </c>
      <c r="B62" s="8" t="s">
        <v>64</v>
      </c>
      <c r="C62" s="37" t="n">
        <f aca="false">D15+D16+D17+D18+D19+D20+D21+D22+D23+D24</f>
        <v>-0.30273</v>
      </c>
      <c r="D62" s="37" t="n">
        <f aca="false">F15+F16+F17+F18+F19+F20+F21+F22+F23+F24</f>
        <v>-0.259897671232877</v>
      </c>
      <c r="E62" s="37" t="n">
        <f aca="false">H15+H16+H17+H18+H19+H20+H21+H22+H23+H24</f>
        <v>-0.256125342465753</v>
      </c>
      <c r="F62" s="37" t="n">
        <f aca="false">J15+J16+J17+J18+J19+J20+J21+J22+J23+J24</f>
        <v>-0.26205</v>
      </c>
    </row>
    <row r="63" customFormat="false" ht="15" hidden="false" customHeight="false" outlineLevel="0" collapsed="false">
      <c r="A63" s="11" t="s">
        <v>532</v>
      </c>
      <c r="B63" s="8" t="s">
        <v>64</v>
      </c>
      <c r="C63" s="47" t="n">
        <f aca="false">C59+C60+C61+C62</f>
        <v>-0.835499178082192</v>
      </c>
      <c r="D63" s="47" t="n">
        <f aca="false">D59+D60+D61+D62</f>
        <v>-0.620414280821917</v>
      </c>
      <c r="E63" s="47" t="n">
        <f aca="false">E59+E60+E61+E62</f>
        <v>-0.641140290088638</v>
      </c>
      <c r="F63" s="47" t="n">
        <f aca="false">F59+F60+F61+F62</f>
        <v>-0.650053767123287</v>
      </c>
      <c r="K63" s="2" t="s">
        <v>533</v>
      </c>
    </row>
    <row r="64" customFormat="false" ht="15" hidden="false" customHeight="false" outlineLevel="0" collapsed="false">
      <c r="A64" s="7" t="s">
        <v>534</v>
      </c>
      <c r="B64" s="8" t="s">
        <v>269</v>
      </c>
      <c r="C64" s="39" t="n">
        <f aca="false">IF(C59&gt;0,-C60/C59,0)</f>
        <v>2.13903743315508</v>
      </c>
      <c r="D64" s="39" t="n">
        <f aca="false">IF(D59&gt;0,-D60/D59,0)</f>
        <v>2.2380669439493</v>
      </c>
      <c r="E64" s="39" t="n">
        <f aca="false">IF(E59&gt;0,-E60/E59,0)</f>
        <v>2.3767082590612</v>
      </c>
      <c r="F64" s="39" t="n">
        <f aca="false">IF(F59&gt;0,-F60/F59,0)</f>
        <v>2.3767082590612</v>
      </c>
    </row>
    <row r="65" customFormat="false" ht="15" hidden="false" customHeight="false" outlineLevel="0" collapsed="false">
      <c r="A65" s="11" t="s">
        <v>535</v>
      </c>
      <c r="B65" s="8"/>
      <c r="C65" s="47" t="str">
        <f aca="false">IF(C63&lt;0,"não fecha","fecha")</f>
        <v>não fecha</v>
      </c>
      <c r="D65" s="47" t="str">
        <f aca="false">IF(D63&lt;0,"não fecha","fecha")</f>
        <v>não fecha</v>
      </c>
      <c r="E65" s="47" t="str">
        <f aca="false">IF(E63&lt;0,"não fecha","fecha")</f>
        <v>não fecha</v>
      </c>
      <c r="F65" s="47" t="str">
        <f aca="false">IF(F63&lt;0,"não fecha","fecha")</f>
        <v>não fecha</v>
      </c>
    </row>
    <row r="67" customFormat="false" ht="15" hidden="false" customHeight="false" outlineLevel="0" collapsed="false">
      <c r="A67" s="3" t="s">
        <v>536</v>
      </c>
      <c r="B67" s="4"/>
      <c r="C67" s="4"/>
      <c r="D67" s="4"/>
      <c r="E67" s="4"/>
      <c r="F67" s="4"/>
      <c r="G67" s="4"/>
      <c r="H67" s="4"/>
      <c r="I67" s="4"/>
      <c r="J67" s="4"/>
      <c r="K67" s="4"/>
    </row>
    <row r="68" customFormat="false" ht="15" hidden="false" customHeight="false" outlineLevel="0" collapsed="false">
      <c r="A68" s="5" t="s">
        <v>475</v>
      </c>
      <c r="B68" s="5" t="s">
        <v>4</v>
      </c>
      <c r="C68" s="6" t="s">
        <v>5</v>
      </c>
      <c r="D68" s="6" t="s">
        <v>6</v>
      </c>
      <c r="E68" s="6" t="s">
        <v>7</v>
      </c>
      <c r="F68" s="6" t="s">
        <v>8</v>
      </c>
      <c r="G68" s="6"/>
      <c r="H68" s="6"/>
      <c r="I68" s="6"/>
      <c r="J68" s="6"/>
      <c r="K68" s="6" t="s">
        <v>484</v>
      </c>
    </row>
    <row r="69" customFormat="false" ht="15" hidden="false" customHeight="false" outlineLevel="0" collapsed="false">
      <c r="A69" s="7" t="s">
        <v>537</v>
      </c>
      <c r="B69" s="8" t="s">
        <v>11</v>
      </c>
      <c r="C69" s="33" t="n">
        <f aca="false">C32</f>
        <v>84000</v>
      </c>
      <c r="D69" s="33" t="n">
        <f aca="false">E32</f>
        <v>83000</v>
      </c>
      <c r="E69" s="33" t="n">
        <f aca="false">G32</f>
        <v>82000</v>
      </c>
      <c r="F69" s="33" t="n">
        <f aca="false">I32</f>
        <v>84000</v>
      </c>
    </row>
    <row r="70" customFormat="false" ht="15" hidden="false" customHeight="false" outlineLevel="0" collapsed="false">
      <c r="A70" s="7" t="s">
        <v>538</v>
      </c>
      <c r="B70" s="8" t="s">
        <v>11</v>
      </c>
      <c r="C70" s="33" t="n">
        <f aca="false">Pressupostos!$C$197*C69</f>
        <v>-25200</v>
      </c>
      <c r="D70" s="33" t="n">
        <f aca="false">Pressupostos!$C$197*D69</f>
        <v>-24900</v>
      </c>
      <c r="E70" s="33" t="n">
        <f aca="false">Pressupostos!$C$197*E69</f>
        <v>-24600</v>
      </c>
      <c r="F70" s="33" t="n">
        <f aca="false">Pressupostos!$C$197*F69</f>
        <v>-25200</v>
      </c>
    </row>
    <row r="71" customFormat="false" ht="15" hidden="false" customHeight="false" outlineLevel="0" collapsed="false">
      <c r="A71" s="7" t="s">
        <v>539</v>
      </c>
      <c r="B71" s="8" t="s">
        <v>11</v>
      </c>
      <c r="C71" s="33" t="n">
        <f aca="false">Pressupostos!$C$188*C70</f>
        <v>-3780</v>
      </c>
      <c r="D71" s="33" t="n">
        <f aca="false">Pressupostos!$C$188*D70</f>
        <v>-3735</v>
      </c>
      <c r="E71" s="33" t="n">
        <f aca="false">Pressupostos!$C$188*E70</f>
        <v>-3690</v>
      </c>
      <c r="F71" s="33" t="n">
        <f aca="false">Pressupostos!$C$188*F70</f>
        <v>-3780</v>
      </c>
    </row>
    <row r="72" customFormat="false" ht="15" hidden="false" customHeight="false" outlineLevel="0" collapsed="false">
      <c r="A72" s="7" t="s">
        <v>540</v>
      </c>
      <c r="B72" s="8" t="s">
        <v>269</v>
      </c>
      <c r="C72" s="39" t="n">
        <f aca="false">IF(C26&gt;0,-C70/C26,0)</f>
        <v>0</v>
      </c>
      <c r="D72" s="39" t="n">
        <f aca="false">IF(E26&gt;0,-D70/E26,0)</f>
        <v>3.58649349870362</v>
      </c>
      <c r="E72" s="39" t="n">
        <f aca="false">IF(G26&gt;0,-E70/G26,0)</f>
        <v>1.64788853047754</v>
      </c>
      <c r="F72" s="39" t="n">
        <f aca="false">IF(I26&gt;0,-F70/I26,0)</f>
        <v>2.04049827823252</v>
      </c>
    </row>
    <row r="73" customFormat="false" ht="15" hidden="false" customHeight="false" outlineLevel="0" collapsed="false">
      <c r="A73" s="7" t="s">
        <v>541</v>
      </c>
      <c r="B73" s="8" t="s">
        <v>542</v>
      </c>
      <c r="C73" s="26" t="n">
        <f aca="false">Pressupostos!$C$185+Pressupostos!$C$186-D27</f>
        <v>0.608730283556006</v>
      </c>
      <c r="D73" s="26" t="n">
        <f aca="false">Pressupostos!$C$185+Pressupostos!$C$186-F27</f>
        <v>0.499733388558882</v>
      </c>
      <c r="E73" s="26" t="n">
        <f aca="false">Pressupostos!$C$185+Pressupostos!$C$186-H27</f>
        <v>0.429775979646044</v>
      </c>
      <c r="F73" s="26" t="n">
        <f aca="false">Pressupostos!$C$185+Pressupostos!$C$186-J27</f>
        <v>0.453648845763572</v>
      </c>
      <c r="K73" s="2" t="s">
        <v>543</v>
      </c>
    </row>
    <row r="74" customFormat="false" ht="15" hidden="false" customHeight="false" outlineLevel="0" collapsed="false">
      <c r="A74" s="7" t="s">
        <v>544</v>
      </c>
      <c r="B74" s="8" t="s">
        <v>542</v>
      </c>
      <c r="C74" s="26" t="n">
        <f aca="false">Pressupostos!$C$185+Pressupostos!$C$187-D27</f>
        <v>0.808730283556006</v>
      </c>
      <c r="D74" s="26" t="n">
        <f aca="false">Pressupostos!$C$185+Pressupostos!$C$187-F27</f>
        <v>0.699733388558883</v>
      </c>
      <c r="E74" s="26" t="n">
        <f aca="false">Pressupostos!$C$185+Pressupostos!$C$187-H27</f>
        <v>0.629775979646044</v>
      </c>
      <c r="F74" s="26" t="n">
        <f aca="false">Pressupostos!$C$185+Pressupostos!$C$187-J27</f>
        <v>0.653648845763572</v>
      </c>
    </row>
    <row r="76" customFormat="false" ht="15" hidden="false" customHeight="false" outlineLevel="0" collapsed="false">
      <c r="A76" s="3" t="s">
        <v>545</v>
      </c>
      <c r="B76" s="4"/>
      <c r="C76" s="4"/>
      <c r="D76" s="4"/>
      <c r="E76" s="4"/>
      <c r="F76" s="4"/>
      <c r="G76" s="4"/>
      <c r="H76" s="4"/>
      <c r="I76" s="4"/>
      <c r="J76" s="4"/>
      <c r="K76" s="4"/>
    </row>
    <row r="77" customFormat="false" ht="15" hidden="false" customHeight="false" outlineLevel="0" collapsed="false">
      <c r="A77" s="5" t="s">
        <v>475</v>
      </c>
      <c r="B77" s="5" t="s">
        <v>4</v>
      </c>
      <c r="C77" s="6" t="s">
        <v>5</v>
      </c>
      <c r="D77" s="6" t="s">
        <v>6</v>
      </c>
      <c r="E77" s="6" t="s">
        <v>7</v>
      </c>
      <c r="F77" s="6" t="s">
        <v>8</v>
      </c>
      <c r="G77" s="6"/>
      <c r="H77" s="6"/>
      <c r="I77" s="6"/>
      <c r="J77" s="6"/>
      <c r="K77" s="6" t="s">
        <v>484</v>
      </c>
    </row>
    <row r="78" customFormat="false" ht="15" hidden="false" customHeight="false" outlineLevel="0" collapsed="false">
      <c r="A78" s="7" t="s">
        <v>546</v>
      </c>
      <c r="B78" s="8" t="s">
        <v>64</v>
      </c>
      <c r="C78" s="48" t="n">
        <f aca="false">Motor!$C$31</f>
        <v>4.86</v>
      </c>
      <c r="D78" s="48" t="n">
        <f aca="false">Motor!$C$355</f>
        <v>5.085</v>
      </c>
      <c r="E78" s="48" t="n">
        <f aca="false">Motor!$C$679</f>
        <v>5.4</v>
      </c>
      <c r="F78" s="48" t="n">
        <f aca="false">Motor!$C$1003</f>
        <v>5.4</v>
      </c>
    </row>
    <row r="79" customFormat="false" ht="15" hidden="false" customHeight="false" outlineLevel="0" collapsed="false">
      <c r="A79" s="7" t="s">
        <v>547</v>
      </c>
      <c r="B79" s="8" t="s">
        <v>64</v>
      </c>
      <c r="C79" s="48" t="n">
        <f aca="false">Motor!$C$47</f>
        <v>4.82273</v>
      </c>
      <c r="D79" s="48" t="n">
        <f aca="false">Motor!$C$371</f>
        <v>4.74406068493151</v>
      </c>
      <c r="E79" s="48" t="n">
        <f aca="false">Motor!$C$695</f>
        <v>4.69025136986301</v>
      </c>
      <c r="F79" s="48" t="n">
        <f aca="false">Motor!$C$1019</f>
        <v>4.79625</v>
      </c>
    </row>
    <row r="80" customFormat="false" ht="15" hidden="false" customHeight="false" outlineLevel="0" collapsed="false">
      <c r="A80" s="7" t="s">
        <v>548</v>
      </c>
      <c r="B80" s="8" t="s">
        <v>64</v>
      </c>
      <c r="C80" s="48" t="n">
        <f aca="false">Motor!$C$48</f>
        <v>0.0372700000000013</v>
      </c>
      <c r="D80" s="48" t="n">
        <f aca="false">Motor!$C$372</f>
        <v>0.340939315068495</v>
      </c>
      <c r="E80" s="48" t="n">
        <f aca="false">Motor!$C$696</f>
        <v>0.709748630136987</v>
      </c>
      <c r="F80" s="48" t="n">
        <f aca="false">Motor!$C$1020</f>
        <v>0.603750000000002</v>
      </c>
    </row>
    <row r="81" customFormat="false" ht="15" hidden="false" customHeight="false" outlineLevel="0" collapsed="false">
      <c r="A81" s="7" t="s">
        <v>549</v>
      </c>
      <c r="B81" s="8" t="s">
        <v>76</v>
      </c>
      <c r="C81" s="49" t="n">
        <f aca="false">Motor!$C$49</f>
        <v>0.00766872427983565</v>
      </c>
      <c r="D81" s="49" t="n">
        <f aca="false">Motor!$C$373</f>
        <v>0.067048046227826</v>
      </c>
      <c r="E81" s="49" t="n">
        <f aca="false">Motor!$C$697</f>
        <v>0.131434931506849</v>
      </c>
      <c r="F81" s="49" t="n">
        <f aca="false">Motor!$C$1021</f>
        <v>0.111805555555556</v>
      </c>
    </row>
    <row r="82" customFormat="false" ht="15" hidden="false" customHeight="false" outlineLevel="0" collapsed="false">
      <c r="A82" s="7" t="s">
        <v>550</v>
      </c>
      <c r="B82" s="8" t="s">
        <v>64</v>
      </c>
      <c r="C82" s="48" t="n">
        <f aca="false">Motor!$C$54</f>
        <v>4.2</v>
      </c>
      <c r="D82" s="48" t="n">
        <f aca="false">Motor!$C$378</f>
        <v>4.35</v>
      </c>
      <c r="E82" s="48" t="n">
        <f aca="false">Motor!$C$702</f>
        <v>4.5</v>
      </c>
      <c r="F82" s="48" t="n">
        <f aca="false">Motor!$C$1026</f>
        <v>4.45</v>
      </c>
    </row>
    <row r="83" customFormat="false" ht="15" hidden="false" customHeight="false" outlineLevel="0" collapsed="false">
      <c r="A83" s="7" t="s">
        <v>551</v>
      </c>
      <c r="B83" s="8" t="s">
        <v>64</v>
      </c>
      <c r="C83" s="48" t="n">
        <f aca="false">Motor!$C$70</f>
        <v>4.32311666666667</v>
      </c>
      <c r="D83" s="48" t="n">
        <f aca="false">Motor!$C$394</f>
        <v>4.25364178082192</v>
      </c>
      <c r="E83" s="48" t="n">
        <f aca="false">Motor!$C$718</f>
        <v>4.2025696347032</v>
      </c>
      <c r="F83" s="48" t="n">
        <f aca="false">Motor!$C$1042</f>
        <v>4.25394178082192</v>
      </c>
    </row>
    <row r="84" customFormat="false" ht="15" hidden="false" customHeight="false" outlineLevel="0" collapsed="false">
      <c r="A84" s="7" t="s">
        <v>552</v>
      </c>
      <c r="B84" s="8" t="s">
        <v>64</v>
      </c>
      <c r="C84" s="48" t="n">
        <f aca="false">Motor!$C$71</f>
        <v>-0.123116666666666</v>
      </c>
      <c r="D84" s="48" t="n">
        <f aca="false">Motor!$C$395</f>
        <v>0.0963582191780832</v>
      </c>
      <c r="E84" s="48" t="n">
        <f aca="false">Motor!$C$719</f>
        <v>0.297430365296805</v>
      </c>
      <c r="F84" s="48" t="n">
        <f aca="false">Motor!$C$1043</f>
        <v>0.196058219178083</v>
      </c>
    </row>
    <row r="85" customFormat="false" ht="15" hidden="false" customHeight="false" outlineLevel="0" collapsed="false">
      <c r="A85" s="7" t="s">
        <v>553</v>
      </c>
      <c r="B85" s="8" t="s">
        <v>76</v>
      </c>
      <c r="C85" s="49" t="n">
        <f aca="false">Motor!$C$72</f>
        <v>-0.029313492063492</v>
      </c>
      <c r="D85" s="49" t="n">
        <f aca="false">Motor!$C$396</f>
        <v>0.0221513147535823</v>
      </c>
      <c r="E85" s="49" t="n">
        <f aca="false">Motor!$C$720</f>
        <v>0.0660956367326233</v>
      </c>
      <c r="F85" s="49" t="n">
        <f aca="false">Motor!$C$1044</f>
        <v>0.0440580267815916</v>
      </c>
    </row>
    <row r="87" customFormat="false" ht="15" hidden="false" customHeight="false" outlineLevel="0" collapsed="false">
      <c r="A87" s="11" t="s">
        <v>554</v>
      </c>
    </row>
    <row r="88" customFormat="false" ht="15" hidden="false" customHeight="false" outlineLevel="0" collapsed="false">
      <c r="A88" s="3" t="s">
        <v>474</v>
      </c>
      <c r="B88" s="4"/>
      <c r="C88" s="4"/>
      <c r="D88" s="4"/>
      <c r="E88" s="4"/>
      <c r="F88" s="4"/>
      <c r="G88" s="4"/>
      <c r="H88" s="4"/>
      <c r="I88" s="4"/>
      <c r="J88" s="4"/>
      <c r="K88" s="4"/>
    </row>
    <row r="89" customFormat="false" ht="23.85" hidden="false" customHeight="false" outlineLevel="0" collapsed="false">
      <c r="A89" s="5" t="s">
        <v>475</v>
      </c>
      <c r="B89" s="5" t="s">
        <v>4</v>
      </c>
      <c r="C89" s="6" t="s">
        <v>476</v>
      </c>
      <c r="D89" s="6" t="s">
        <v>477</v>
      </c>
      <c r="E89" s="6" t="s">
        <v>478</v>
      </c>
      <c r="F89" s="6" t="s">
        <v>479</v>
      </c>
      <c r="G89" s="6" t="s">
        <v>480</v>
      </c>
      <c r="H89" s="6" t="s">
        <v>481</v>
      </c>
      <c r="I89" s="6" t="s">
        <v>482</v>
      </c>
      <c r="J89" s="6" t="s">
        <v>483</v>
      </c>
      <c r="K89" s="6" t="s">
        <v>484</v>
      </c>
    </row>
    <row r="90" customFormat="false" ht="15" hidden="false" customHeight="false" outlineLevel="0" collapsed="false">
      <c r="A90" s="7" t="s">
        <v>152</v>
      </c>
      <c r="B90" s="8" t="s">
        <v>485</v>
      </c>
      <c r="C90" s="33" t="n">
        <f aca="false">Pressupostos!$C$47*1000</f>
        <v>30000</v>
      </c>
      <c r="E90" s="33" t="n">
        <f aca="false">Pressupostos!$C$47*1000</f>
        <v>30000</v>
      </c>
      <c r="G90" s="33" t="n">
        <f aca="false">Pressupostos!$C$47*1000</f>
        <v>30000</v>
      </c>
      <c r="I90" s="33" t="n">
        <f aca="false">Pressupostos!$C$47*1000</f>
        <v>30000</v>
      </c>
    </row>
    <row r="91" customFormat="false" ht="15" hidden="false" customHeight="false" outlineLevel="0" collapsed="false">
      <c r="A91" s="7" t="s">
        <v>486</v>
      </c>
      <c r="B91" s="8" t="s">
        <v>11</v>
      </c>
      <c r="C91" s="33" t="n">
        <f aca="false">D91*$C$90</f>
        <v>126000</v>
      </c>
      <c r="D91" s="37" t="n">
        <f aca="false">INDEX(Motor!$C$53:$G$53,1,$D$3)</f>
        <v>4.2</v>
      </c>
      <c r="E91" s="33" t="n">
        <f aca="false">F91*$E$90</f>
        <v>130500</v>
      </c>
      <c r="F91" s="37" t="n">
        <f aca="false">INDEX(Motor!$C$377:$G$377,1,$D$3)</f>
        <v>4.35</v>
      </c>
      <c r="G91" s="33" t="n">
        <f aca="false">H91*$G$90</f>
        <v>135000</v>
      </c>
      <c r="H91" s="37" t="n">
        <f aca="false">INDEX(Motor!$C$701:$G$701,1,$D$3)</f>
        <v>4.5</v>
      </c>
      <c r="I91" s="33" t="n">
        <f aca="false">J91*$I$90</f>
        <v>133500</v>
      </c>
      <c r="J91" s="37" t="n">
        <f aca="false">INDEX(Motor!$C$1025:$G$1025,1,$D$3)</f>
        <v>4.45</v>
      </c>
    </row>
    <row r="92" customFormat="false" ht="15" hidden="false" customHeight="false" outlineLevel="0" collapsed="false">
      <c r="A92" s="7" t="s">
        <v>89</v>
      </c>
      <c r="B92" s="8" t="s">
        <v>11</v>
      </c>
      <c r="C92" s="33" t="n">
        <f aca="false">D92*$C$90</f>
        <v>-0</v>
      </c>
      <c r="D92" s="37" t="n">
        <f aca="false">-(INDEX(Motor!$C$53:$G$53,1,$D$3)-INDEX(Motor!$C$54:$G$54,1,$D$3))</f>
        <v>-0</v>
      </c>
      <c r="E92" s="33" t="n">
        <f aca="false">F92*$E$90</f>
        <v>-0</v>
      </c>
      <c r="F92" s="37" t="n">
        <f aca="false">-(INDEX(Motor!$C$377:$G$377,1,$D$3)-INDEX(Motor!$C$378:$G$378,1,$D$3))</f>
        <v>-0</v>
      </c>
      <c r="G92" s="33" t="n">
        <f aca="false">H92*$G$90</f>
        <v>-0</v>
      </c>
      <c r="H92" s="37" t="n">
        <f aca="false">-(INDEX(Motor!$C$701:$G$701,1,$D$3)-INDEX(Motor!$C$702:$G$702,1,$D$3))</f>
        <v>-0</v>
      </c>
      <c r="I92" s="33" t="n">
        <f aca="false">J92*$I$90</f>
        <v>-0</v>
      </c>
      <c r="J92" s="37" t="n">
        <f aca="false">-(INDEX(Motor!$C$1025:$G$1025,1,$D$3)-INDEX(Motor!$C$1026:$G$1026,1,$D$3))</f>
        <v>-0</v>
      </c>
    </row>
    <row r="93" customFormat="false" ht="15" hidden="false" customHeight="false" outlineLevel="0" collapsed="false">
      <c r="A93" s="11" t="s">
        <v>487</v>
      </c>
      <c r="B93" s="8" t="s">
        <v>11</v>
      </c>
      <c r="C93" s="44" t="n">
        <f aca="false">D93*$C$90</f>
        <v>126000</v>
      </c>
      <c r="D93" s="45" t="n">
        <f aca="false">INDEX(Motor!$C$54:$G$54,1,$D$3)</f>
        <v>4.2</v>
      </c>
      <c r="E93" s="44" t="n">
        <f aca="false">F93*$E$90</f>
        <v>130500</v>
      </c>
      <c r="F93" s="45" t="n">
        <f aca="false">INDEX(Motor!$C$378:$G$378,1,$D$3)</f>
        <v>4.35</v>
      </c>
      <c r="G93" s="44" t="n">
        <f aca="false">H93*$G$90</f>
        <v>135000</v>
      </c>
      <c r="H93" s="45" t="n">
        <f aca="false">INDEX(Motor!$C$702:$G$702,1,$D$3)</f>
        <v>4.5</v>
      </c>
      <c r="I93" s="44" t="n">
        <f aca="false">J93*$I$90</f>
        <v>133500</v>
      </c>
      <c r="J93" s="45" t="n">
        <f aca="false">INDEX(Motor!$C$1026:$G$1026,1,$D$3)</f>
        <v>4.45</v>
      </c>
    </row>
    <row r="94" customFormat="false" ht="15" hidden="false" customHeight="false" outlineLevel="0" collapsed="false">
      <c r="A94" s="7" t="s">
        <v>488</v>
      </c>
      <c r="B94" s="8" t="s">
        <v>11</v>
      </c>
      <c r="C94" s="33" t="n">
        <f aca="false">D94*$C$90</f>
        <v>-109500</v>
      </c>
      <c r="D94" s="37" t="n">
        <f aca="false">-INDEX(Motor!$C$52:$G$52,1,$D$3)</f>
        <v>-3.65</v>
      </c>
      <c r="E94" s="33" t="n">
        <f aca="false">F94*$E$90</f>
        <v>-108000</v>
      </c>
      <c r="F94" s="37" t="n">
        <f aca="false">-INDEX(Motor!$C$376:$G$376,1,$D$3)</f>
        <v>-3.6</v>
      </c>
      <c r="G94" s="33" t="n">
        <f aca="false">H94*$G$90</f>
        <v>-106500</v>
      </c>
      <c r="H94" s="37" t="n">
        <f aca="false">-INDEX(Motor!$C$700:$G$700,1,$D$3)</f>
        <v>-3.55</v>
      </c>
      <c r="I94" s="33" t="n">
        <f aca="false">J94*$I$90</f>
        <v>-108000</v>
      </c>
      <c r="J94" s="37" t="n">
        <f aca="false">-INDEX(Motor!$C$1024:$G$1024,1,$D$3)</f>
        <v>-3.6</v>
      </c>
    </row>
    <row r="95" customFormat="false" ht="15" hidden="false" customHeight="false" outlineLevel="0" collapsed="false">
      <c r="A95" s="7" t="s">
        <v>489</v>
      </c>
      <c r="B95" s="8" t="s">
        <v>11</v>
      </c>
      <c r="C95" s="33" t="n">
        <f aca="false">D95*$C$90</f>
        <v>-13500</v>
      </c>
      <c r="D95" s="37" t="n">
        <f aca="false">-INDEX(Motor!$C$55:$G$55,1,$D$3)</f>
        <v>-0.45</v>
      </c>
      <c r="E95" s="33" t="n">
        <f aca="false">F95*$E$90</f>
        <v>-13500</v>
      </c>
      <c r="F95" s="37" t="n">
        <f aca="false">-INDEX(Motor!$C$379:$G$379,1,$D$3)</f>
        <v>-0.45</v>
      </c>
      <c r="G95" s="33" t="n">
        <f aca="false">H95*$G$90</f>
        <v>-13500</v>
      </c>
      <c r="H95" s="37" t="n">
        <f aca="false">-INDEX(Motor!$C$703:$G$703,1,$D$3)</f>
        <v>-0.45</v>
      </c>
      <c r="I95" s="33" t="n">
        <f aca="false">J95*$I$90</f>
        <v>-13500</v>
      </c>
      <c r="J95" s="37" t="n">
        <f aca="false">-INDEX(Motor!$C$1027:$G$1027,1,$D$3)</f>
        <v>-0.45</v>
      </c>
    </row>
    <row r="96" customFormat="false" ht="15" hidden="false" customHeight="false" outlineLevel="0" collapsed="false">
      <c r="A96" s="7" t="s">
        <v>215</v>
      </c>
      <c r="B96" s="8" t="s">
        <v>11</v>
      </c>
      <c r="C96" s="33" t="n">
        <f aca="false">D96*$C$90</f>
        <v>-3300</v>
      </c>
      <c r="D96" s="37" t="n">
        <f aca="false">-INDEX(Motor!$C$56:$G$56,1,$D$3)</f>
        <v>-0.11</v>
      </c>
      <c r="E96" s="33" t="n">
        <f aca="false">F96*$E$90</f>
        <v>-2700</v>
      </c>
      <c r="F96" s="37" t="n">
        <f aca="false">-INDEX(Motor!$C$380:$G$380,1,$D$3)</f>
        <v>-0.09</v>
      </c>
      <c r="G96" s="33" t="n">
        <f aca="false">H96*$G$90</f>
        <v>-2400</v>
      </c>
      <c r="H96" s="37" t="n">
        <f aca="false">-INDEX(Motor!$C$704:$G$704,1,$D$3)</f>
        <v>-0.08</v>
      </c>
      <c r="I96" s="33" t="n">
        <f aca="false">J96*$I$90</f>
        <v>-2700</v>
      </c>
      <c r="J96" s="37" t="n">
        <f aca="false">-INDEX(Motor!$C$1028:$G$1028,1,$D$3)</f>
        <v>-0.09</v>
      </c>
    </row>
    <row r="97" customFormat="false" ht="15" hidden="false" customHeight="false" outlineLevel="0" collapsed="false">
      <c r="A97" s="7" t="s">
        <v>117</v>
      </c>
      <c r="B97" s="8" t="s">
        <v>11</v>
      </c>
      <c r="C97" s="33" t="n">
        <f aca="false">D97*$C$90</f>
        <v>-0</v>
      </c>
      <c r="D97" s="37" t="n">
        <f aca="false">-INDEX(Motor!$C$57:$G$57,1,$D$3)</f>
        <v>-0</v>
      </c>
      <c r="E97" s="33" t="n">
        <f aca="false">F97*$E$90</f>
        <v>-0</v>
      </c>
      <c r="F97" s="37" t="n">
        <f aca="false">-INDEX(Motor!$C$381:$G$381,1,$D$3)</f>
        <v>-0</v>
      </c>
      <c r="G97" s="33" t="n">
        <f aca="false">H97*$G$90</f>
        <v>-0</v>
      </c>
      <c r="H97" s="37" t="n">
        <f aca="false">-INDEX(Motor!$C$705:$G$705,1,$D$3)</f>
        <v>-0</v>
      </c>
      <c r="I97" s="33" t="n">
        <f aca="false">J97*$I$90</f>
        <v>-0</v>
      </c>
      <c r="J97" s="37" t="n">
        <f aca="false">-INDEX(Motor!$C$1029:$G$1029,1,$D$3)</f>
        <v>-0</v>
      </c>
    </row>
    <row r="98" customFormat="false" ht="15" hidden="false" customHeight="false" outlineLevel="0" collapsed="false">
      <c r="A98" s="7" t="s">
        <v>490</v>
      </c>
      <c r="B98" s="8" t="s">
        <v>11</v>
      </c>
      <c r="C98" s="33" t="n">
        <f aca="false">D98*$C$90</f>
        <v>-140</v>
      </c>
      <c r="D98" s="37" t="n">
        <f aca="false">-INDEX(Motor!$C$60:$G$60,1,$D$3)</f>
        <v>-0.00466666666666667</v>
      </c>
      <c r="E98" s="33" t="n">
        <f aca="false">F98*$E$90</f>
        <v>-120</v>
      </c>
      <c r="F98" s="37" t="n">
        <f aca="false">-INDEX(Motor!$C$384:$G$384,1,$D$3)</f>
        <v>-0.004</v>
      </c>
      <c r="G98" s="33" t="n">
        <f aca="false">H98*$G$90</f>
        <v>-100</v>
      </c>
      <c r="H98" s="37" t="n">
        <f aca="false">-INDEX(Motor!$C$708:$G$708,1,$D$3)</f>
        <v>-0.00333333333333333</v>
      </c>
      <c r="I98" s="33" t="n">
        <f aca="false">J98*$I$90</f>
        <v>-120</v>
      </c>
      <c r="J98" s="37" t="n">
        <f aca="false">-INDEX(Motor!$C$1032:$G$1032,1,$D$3)</f>
        <v>-0.004</v>
      </c>
    </row>
    <row r="99" customFormat="false" ht="15" hidden="false" customHeight="false" outlineLevel="0" collapsed="false">
      <c r="A99" s="7" t="s">
        <v>165</v>
      </c>
      <c r="B99" s="8" t="s">
        <v>11</v>
      </c>
      <c r="C99" s="33" t="n">
        <f aca="false">D99*$C$90</f>
        <v>-21</v>
      </c>
      <c r="D99" s="37" t="n">
        <f aca="false">-INDEX(Motor!$C$61:$G$61,1,$D$3)</f>
        <v>-0.0007</v>
      </c>
      <c r="E99" s="33" t="n">
        <f aca="false">F99*$E$90</f>
        <v>-17.7534246575343</v>
      </c>
      <c r="F99" s="37" t="n">
        <f aca="false">-INDEX(Motor!$C$385:$G$385,1,$D$3)</f>
        <v>-0.000591780821917808</v>
      </c>
      <c r="G99" s="33" t="n">
        <f aca="false">H99*$G$90</f>
        <v>-14.5890410958904</v>
      </c>
      <c r="H99" s="37" t="n">
        <f aca="false">-INDEX(Motor!$C$709:$G$709,1,$D$3)</f>
        <v>-0.000486301369863014</v>
      </c>
      <c r="I99" s="33" t="n">
        <f aca="false">J99*$I$90</f>
        <v>-17.7534246575343</v>
      </c>
      <c r="J99" s="37" t="n">
        <f aca="false">-INDEX(Motor!$C$1033:$G$1033,1,$D$3)</f>
        <v>-0.000591780821917808</v>
      </c>
    </row>
    <row r="100" customFormat="false" ht="15" hidden="false" customHeight="false" outlineLevel="0" collapsed="false">
      <c r="A100" s="7" t="s">
        <v>491</v>
      </c>
      <c r="B100" s="8" t="s">
        <v>11</v>
      </c>
      <c r="C100" s="33" t="n">
        <f aca="false">D100*$C$90</f>
        <v>-600</v>
      </c>
      <c r="D100" s="37" t="n">
        <f aca="false">-INDEX(Motor!$C$62:$G$62,1,$D$3)</f>
        <v>-0.02</v>
      </c>
      <c r="E100" s="33" t="n">
        <f aca="false">F100*$E$90</f>
        <v>-600</v>
      </c>
      <c r="F100" s="37" t="n">
        <f aca="false">-INDEX(Motor!$C$386:$G$386,1,$D$3)</f>
        <v>-0.02</v>
      </c>
      <c r="G100" s="33" t="n">
        <f aca="false">H100*$G$90</f>
        <v>-600</v>
      </c>
      <c r="H100" s="37" t="n">
        <f aca="false">-INDEX(Motor!$C$710:$G$710,1,$D$3)</f>
        <v>-0.02</v>
      </c>
      <c r="I100" s="33" t="n">
        <f aca="false">J100*$I$90</f>
        <v>-600</v>
      </c>
      <c r="J100" s="37" t="n">
        <f aca="false">-INDEX(Motor!$C$1034:$G$1034,1,$D$3)</f>
        <v>-0.02</v>
      </c>
    </row>
    <row r="101" customFormat="false" ht="15" hidden="false" customHeight="false" outlineLevel="0" collapsed="false">
      <c r="A101" s="7" t="s">
        <v>492</v>
      </c>
      <c r="B101" s="8" t="s">
        <v>11</v>
      </c>
      <c r="C101" s="33" t="n">
        <f aca="false">D101*$C$90</f>
        <v>-547.5</v>
      </c>
      <c r="D101" s="37" t="n">
        <f aca="false">-INDEX(Motor!$C$63:$G$63,1,$D$3)</f>
        <v>-0.01825</v>
      </c>
      <c r="E101" s="33" t="n">
        <f aca="false">F101*$E$90</f>
        <v>-540</v>
      </c>
      <c r="F101" s="37" t="n">
        <f aca="false">-INDEX(Motor!$C$387:$G$387,1,$D$3)</f>
        <v>-0.018</v>
      </c>
      <c r="G101" s="33" t="n">
        <f aca="false">H101*$G$90</f>
        <v>-532.5</v>
      </c>
      <c r="H101" s="37" t="n">
        <f aca="false">-INDEX(Motor!$C$711:$G$711,1,$D$3)</f>
        <v>-0.01775</v>
      </c>
      <c r="I101" s="33" t="n">
        <f aca="false">J101*$I$90</f>
        <v>-540</v>
      </c>
      <c r="J101" s="37" t="n">
        <f aca="false">-INDEX(Motor!$C$1035:$G$1035,1,$D$3)</f>
        <v>-0.018</v>
      </c>
    </row>
    <row r="102" customFormat="false" ht="15" hidden="false" customHeight="false" outlineLevel="0" collapsed="false">
      <c r="A102" s="7" t="s">
        <v>493</v>
      </c>
      <c r="B102" s="8" t="s">
        <v>11</v>
      </c>
      <c r="C102" s="33" t="n">
        <f aca="false">D102*$C$90</f>
        <v>-105</v>
      </c>
      <c r="D102" s="37" t="n">
        <f aca="false">-INDEX(Motor!$C$64:$G$64,1,$D$3)</f>
        <v>-0.0035</v>
      </c>
      <c r="E102" s="33" t="n">
        <f aca="false">F102*$E$90</f>
        <v>-90</v>
      </c>
      <c r="F102" s="37" t="n">
        <f aca="false">-INDEX(Motor!$C$388:$G$388,1,$D$3)</f>
        <v>-0.003</v>
      </c>
      <c r="G102" s="33" t="n">
        <f aca="false">H102*$G$90</f>
        <v>-75</v>
      </c>
      <c r="H102" s="37" t="n">
        <f aca="false">-INDEX(Motor!$C$712:$G$712,1,$D$3)</f>
        <v>-0.0025</v>
      </c>
      <c r="I102" s="33" t="n">
        <f aca="false">J102*$I$90</f>
        <v>-90</v>
      </c>
      <c r="J102" s="37" t="n">
        <f aca="false">-INDEX(Motor!$C$1036:$G$1036,1,$D$3)</f>
        <v>-0.003</v>
      </c>
    </row>
    <row r="103" customFormat="false" ht="15" hidden="false" customHeight="false" outlineLevel="0" collapsed="false">
      <c r="A103" s="7" t="s">
        <v>494</v>
      </c>
      <c r="B103" s="8" t="s">
        <v>11</v>
      </c>
      <c r="C103" s="33" t="n">
        <f aca="false">D103*$C$90</f>
        <v>-1200</v>
      </c>
      <c r="D103" s="37" t="n">
        <f aca="false">-INDEX(Motor!$C$65:$G$65,1,$D$3)</f>
        <v>-0.04</v>
      </c>
      <c r="E103" s="33" t="n">
        <f aca="false">F103*$E$90</f>
        <v>-1200</v>
      </c>
      <c r="F103" s="37" t="n">
        <f aca="false">-INDEX(Motor!$C$389:$G$389,1,$D$3)</f>
        <v>-0.04</v>
      </c>
      <c r="G103" s="33" t="n">
        <f aca="false">H103*$G$90</f>
        <v>-1200</v>
      </c>
      <c r="H103" s="37" t="n">
        <f aca="false">-INDEX(Motor!$C$713:$G$713,1,$D$3)</f>
        <v>-0.04</v>
      </c>
      <c r="I103" s="33" t="n">
        <f aca="false">J103*$I$90</f>
        <v>-1200</v>
      </c>
      <c r="J103" s="37" t="n">
        <f aca="false">-INDEX(Motor!$C$1037:$G$1037,1,$D$3)</f>
        <v>-0.04</v>
      </c>
    </row>
    <row r="104" customFormat="false" ht="15" hidden="false" customHeight="false" outlineLevel="0" collapsed="false">
      <c r="A104" s="7" t="s">
        <v>495</v>
      </c>
      <c r="B104" s="8" t="s">
        <v>11</v>
      </c>
      <c r="C104" s="33" t="n">
        <f aca="false">D104*$C$90</f>
        <v>-150</v>
      </c>
      <c r="D104" s="37" t="n">
        <f aca="false">-INDEX(Motor!$C$66:$G$66,1,$D$3)</f>
        <v>-0.005</v>
      </c>
      <c r="E104" s="33" t="n">
        <f aca="false">F104*$E$90</f>
        <v>-150</v>
      </c>
      <c r="F104" s="37" t="n">
        <f aca="false">-INDEX(Motor!$C$390:$G$390,1,$D$3)</f>
        <v>-0.005</v>
      </c>
      <c r="G104" s="33" t="n">
        <f aca="false">H104*$G$90</f>
        <v>-150</v>
      </c>
      <c r="H104" s="37" t="n">
        <f aca="false">-INDEX(Motor!$C$714:$G$714,1,$D$3)</f>
        <v>-0.005</v>
      </c>
      <c r="I104" s="33" t="n">
        <f aca="false">J104*$I$90</f>
        <v>-150</v>
      </c>
      <c r="J104" s="37" t="n">
        <f aca="false">-INDEX(Motor!$C$1038:$G$1038,1,$D$3)</f>
        <v>-0.005</v>
      </c>
    </row>
    <row r="105" customFormat="false" ht="15" hidden="false" customHeight="false" outlineLevel="0" collapsed="false">
      <c r="A105" s="7" t="s">
        <v>81</v>
      </c>
      <c r="B105" s="8" t="s">
        <v>11</v>
      </c>
      <c r="C105" s="33" t="n">
        <f aca="false">D105*$C$90</f>
        <v>-630</v>
      </c>
      <c r="D105" s="37" t="n">
        <f aca="false">-INDEX(Motor!$C$67:$G$67,1,$D$3)</f>
        <v>-0.021</v>
      </c>
      <c r="E105" s="33" t="n">
        <f aca="false">F105*$E$90</f>
        <v>-391.5</v>
      </c>
      <c r="F105" s="37" t="n">
        <f aca="false">-INDEX(Motor!$C$391:$G$391,1,$D$3)</f>
        <v>-0.01305</v>
      </c>
      <c r="G105" s="33" t="n">
        <f aca="false">H105*$G$90</f>
        <v>-405</v>
      </c>
      <c r="H105" s="37" t="n">
        <f aca="false">-INDEX(Motor!$C$715:$G$715,1,$D$3)</f>
        <v>-0.0135</v>
      </c>
      <c r="I105" s="33" t="n">
        <f aca="false">J105*$I$90</f>
        <v>-400.5</v>
      </c>
      <c r="J105" s="37" t="n">
        <f aca="false">-INDEX(Motor!$C$1039:$G$1039,1,$D$3)</f>
        <v>-0.01335</v>
      </c>
    </row>
    <row r="106" customFormat="false" ht="15" hidden="false" customHeight="false" outlineLevel="0" collapsed="false">
      <c r="A106" s="7" t="s">
        <v>496</v>
      </c>
      <c r="B106" s="8" t="s">
        <v>11</v>
      </c>
      <c r="C106" s="33" t="n">
        <f aca="false">D106*$C$90</f>
        <v>-0</v>
      </c>
      <c r="D106" s="37" t="n">
        <f aca="false">-INDEX(Motor!$C$68:$G$68,1,$D$3)</f>
        <v>-0</v>
      </c>
      <c r="E106" s="33" t="n">
        <f aca="false">F106*$E$90</f>
        <v>-0</v>
      </c>
      <c r="F106" s="37" t="n">
        <f aca="false">-INDEX(Motor!$C$392:$G$392,1,$D$3)</f>
        <v>-0</v>
      </c>
      <c r="G106" s="33" t="n">
        <f aca="false">H106*$G$90</f>
        <v>-0</v>
      </c>
      <c r="H106" s="37" t="n">
        <f aca="false">-INDEX(Motor!$C$716:$G$716,1,$D$3)</f>
        <v>-0</v>
      </c>
      <c r="I106" s="33" t="n">
        <f aca="false">J106*$I$90</f>
        <v>-0</v>
      </c>
      <c r="J106" s="37" t="n">
        <f aca="false">-INDEX(Motor!$C$1040:$G$1040,1,$D$3)</f>
        <v>-0</v>
      </c>
    </row>
    <row r="107" customFormat="false" ht="15" hidden="false" customHeight="false" outlineLevel="0" collapsed="false">
      <c r="A107" s="7" t="s">
        <v>497</v>
      </c>
      <c r="B107" s="8" t="s">
        <v>11</v>
      </c>
      <c r="C107" s="33" t="n">
        <f aca="false">D107*$C$90</f>
        <v>-2209.66731898239</v>
      </c>
      <c r="D107" s="37" t="n">
        <f aca="false">-INDEX(Motor!$C$69:$G$69,1,$D$3)</f>
        <v>-0.0736555772994129</v>
      </c>
      <c r="E107" s="33" t="n">
        <f aca="false">F107*$E$90</f>
        <v>-1263.89126712329</v>
      </c>
      <c r="F107" s="37" t="n">
        <f aca="false">-INDEX(Motor!$C$393:$G$393,1,$D$3)</f>
        <v>-0.0421297089041096</v>
      </c>
      <c r="G107" s="33" t="n">
        <f aca="false">H107*$G$90</f>
        <v>-852.860596293312</v>
      </c>
      <c r="H107" s="37" t="n">
        <f aca="false">-INDEX(Motor!$C$717:$G$717,1,$D$3)</f>
        <v>-0.0284286865431104</v>
      </c>
      <c r="I107" s="33" t="n">
        <f aca="false">J107*$I$90</f>
        <v>-1287.2966609589</v>
      </c>
      <c r="J107" s="37" t="n">
        <f aca="false">-INDEX(Motor!$C$1041:$G$1041,1,$D$3)</f>
        <v>-0.0429098886986301</v>
      </c>
    </row>
    <row r="108" customFormat="false" ht="15" hidden="false" customHeight="false" outlineLevel="0" collapsed="false">
      <c r="A108" s="11" t="s">
        <v>498</v>
      </c>
      <c r="B108" s="8" t="s">
        <v>11</v>
      </c>
      <c r="C108" s="44" t="n">
        <f aca="false">D108*$C$90</f>
        <v>-5903.16731898239</v>
      </c>
      <c r="D108" s="45" t="n">
        <f aca="false">INDEX(Motor!$C$71:$G$71,1,$D$3)</f>
        <v>-0.19677224396608</v>
      </c>
      <c r="E108" s="44" t="n">
        <f aca="false">F108*$E$90</f>
        <v>1926.8553082192</v>
      </c>
      <c r="F108" s="45" t="n">
        <f aca="false">INDEX(Motor!$C$395:$G$395,1,$D$3)</f>
        <v>0.0642285102739733</v>
      </c>
      <c r="G108" s="44" t="n">
        <f aca="false">H108*$G$90</f>
        <v>8670.05036261082</v>
      </c>
      <c r="H108" s="45" t="n">
        <f aca="false">INDEX(Motor!$C$719:$G$719,1,$D$3)</f>
        <v>0.289001678753694</v>
      </c>
      <c r="I108" s="44" t="n">
        <f aca="false">J108*$I$90</f>
        <v>4894.44991438357</v>
      </c>
      <c r="J108" s="45" t="n">
        <f aca="false">INDEX(Motor!$C$1043:$G$1043,1,$D$3)</f>
        <v>0.163148330479452</v>
      </c>
    </row>
    <row r="109" customFormat="false" ht="15" hidden="false" customHeight="false" outlineLevel="0" collapsed="false">
      <c r="A109" s="7" t="s">
        <v>499</v>
      </c>
      <c r="B109" s="8" t="s">
        <v>76</v>
      </c>
      <c r="D109" s="26" t="n">
        <f aca="false">IF(D93&gt;0,D108/D93,0)</f>
        <v>-0.046850534277638</v>
      </c>
      <c r="F109" s="26" t="n">
        <f aca="false">IF(F93&gt;0,F108/F93,0)</f>
        <v>0.014765174775626</v>
      </c>
      <c r="H109" s="26" t="n">
        <f aca="false">IF(H93&gt;0,H108/H93,0)</f>
        <v>0.0642225952785987</v>
      </c>
      <c r="J109" s="26" t="n">
        <f aca="false">IF(J93&gt;0,J108/J93,0)</f>
        <v>0.0366625461751578</v>
      </c>
    </row>
    <row r="110" customFormat="false" ht="15" hidden="false" customHeight="false" outlineLevel="0" collapsed="false">
      <c r="A110" s="7" t="s">
        <v>500</v>
      </c>
      <c r="B110" s="8" t="s">
        <v>11</v>
      </c>
      <c r="C110" s="33" t="n">
        <f aca="false">D110*$C$90</f>
        <v>-504</v>
      </c>
      <c r="D110" s="37" t="n">
        <f aca="false">-Pressupostos!$C$118*D93</f>
        <v>-0.0168</v>
      </c>
      <c r="E110" s="33" t="n">
        <f aca="false">F110*$E$90</f>
        <v>-522</v>
      </c>
      <c r="F110" s="37" t="n">
        <f aca="false">-Pressupostos!$C$118*F93</f>
        <v>-0.0174</v>
      </c>
      <c r="G110" s="33" t="n">
        <f aca="false">H110*$G$90</f>
        <v>-540</v>
      </c>
      <c r="H110" s="37" t="n">
        <f aca="false">-Pressupostos!$C$118*H93</f>
        <v>-0.018</v>
      </c>
      <c r="I110" s="33" t="n">
        <f aca="false">J110*$I$90</f>
        <v>-534</v>
      </c>
      <c r="J110" s="37" t="n">
        <f aca="false">-Pressupostos!$C$118*J93</f>
        <v>-0.0178</v>
      </c>
    </row>
    <row r="111" customFormat="false" ht="15" hidden="false" customHeight="false" outlineLevel="0" collapsed="false">
      <c r="A111" s="11" t="s">
        <v>501</v>
      </c>
      <c r="B111" s="8" t="s">
        <v>11</v>
      </c>
      <c r="C111" s="46" t="n">
        <f aca="false">D111*$C$90</f>
        <v>-6407.16731898239</v>
      </c>
      <c r="D111" s="47" t="n">
        <f aca="false">D108+D110</f>
        <v>-0.21357224396608</v>
      </c>
      <c r="E111" s="46" t="n">
        <f aca="false">F111*$E$90</f>
        <v>1404.8553082192</v>
      </c>
      <c r="F111" s="47" t="n">
        <f aca="false">F108+F110</f>
        <v>0.0468285102739733</v>
      </c>
      <c r="G111" s="46" t="n">
        <f aca="false">H111*$G$90</f>
        <v>8130.05036261082</v>
      </c>
      <c r="H111" s="47" t="n">
        <f aca="false">H108+H110</f>
        <v>0.271001678753694</v>
      </c>
      <c r="I111" s="46" t="n">
        <f aca="false">J111*$I$90</f>
        <v>4360.44991438357</v>
      </c>
      <c r="J111" s="47" t="n">
        <f aca="false">J108+J110</f>
        <v>0.145348330479452</v>
      </c>
    </row>
    <row r="112" customFormat="false" ht="15" hidden="false" customHeight="false" outlineLevel="0" collapsed="false">
      <c r="A112" s="7" t="s">
        <v>502</v>
      </c>
      <c r="B112" s="8" t="s">
        <v>76</v>
      </c>
      <c r="D112" s="26" t="n">
        <f aca="false">IF(D93&gt;0,D111/D93,0)</f>
        <v>-0.050850534277638</v>
      </c>
      <c r="F112" s="26" t="n">
        <f aca="false">IF(F93&gt;0,F111/F93,0)</f>
        <v>0.010765174775626</v>
      </c>
      <c r="H112" s="26" t="n">
        <f aca="false">IF(H93&gt;0,H111/H93,0)</f>
        <v>0.0602225952785987</v>
      </c>
      <c r="J112" s="26" t="n">
        <f aca="false">IF(J93&gt;0,J111/J93,0)</f>
        <v>0.0326625461751578</v>
      </c>
    </row>
    <row r="113" customFormat="false" ht="15" hidden="false" customHeight="false" outlineLevel="0" collapsed="false">
      <c r="A113" s="22" t="s">
        <v>503</v>
      </c>
    </row>
    <row r="114" customFormat="false" ht="15" hidden="false" customHeight="false" outlineLevel="0" collapsed="false">
      <c r="A114" s="7" t="s">
        <v>504</v>
      </c>
      <c r="B114" s="8" t="s">
        <v>11</v>
      </c>
      <c r="C114" s="33" t="n">
        <f aca="false">(INDEX(Motor!$C$52:$G$52,1,$D$3)+INDEX(Motor!$C$55:$G$55,1,$D$3))*$C$90</f>
        <v>123000</v>
      </c>
      <c r="E114" s="33" t="n">
        <f aca="false">(INDEX(Motor!$C$376:$G$376,1,$D$3)+INDEX(Motor!$C$379:$G$379,1,$D$3))*$E$90</f>
        <v>121500</v>
      </c>
      <c r="G114" s="33" t="n">
        <f aca="false">(INDEX(Motor!$C$700:$G$700,1,$D$3)+INDEX(Motor!$C$703:$G$703,1,$D$3))*$G$90</f>
        <v>120000</v>
      </c>
      <c r="I114" s="33" t="n">
        <f aca="false">(INDEX(Motor!$C$1024:$G$1024,1,$D$3)+INDEX(Motor!$C$1027:$G$1027,1,$D$3))*$I$90</f>
        <v>121500</v>
      </c>
    </row>
    <row r="115" customFormat="false" ht="15" hidden="false" customHeight="false" outlineLevel="0" collapsed="false">
      <c r="A115" s="7" t="s">
        <v>505</v>
      </c>
      <c r="B115" s="8" t="s">
        <v>79</v>
      </c>
      <c r="C115" s="28" t="n">
        <f aca="false">INDEX(Motor!$C$58:$G$58,1,$D$3)+INDEX(Motor!$C$59:$G$59,1,$D$3)-Pressupostos!$C$72</f>
        <v>60</v>
      </c>
      <c r="E115" s="28" t="n">
        <f aca="false">INDEX(Motor!$C$382:$G$382,1,$D$3)+INDEX(Motor!$C$383:$G$383,1,$D$3)-Pressupostos!$C$72</f>
        <v>45</v>
      </c>
      <c r="G115" s="28" t="n">
        <f aca="false">INDEX(Motor!$C$706:$G$706,1,$D$3)+INDEX(Motor!$C$707:$G$707,1,$D$3)-Pressupostos!$C$72</f>
        <v>35</v>
      </c>
      <c r="I115" s="28" t="n">
        <f aca="false">INDEX(Motor!$C$1030:$G$1030,1,$D$3)+INDEX(Motor!$C$1031:$G$1031,1,$D$3)-Pressupostos!$C$72</f>
        <v>55</v>
      </c>
    </row>
    <row r="116" customFormat="false" ht="15" hidden="false" customHeight="false" outlineLevel="0" collapsed="false">
      <c r="A116" s="7" t="s">
        <v>506</v>
      </c>
      <c r="B116" s="8" t="s">
        <v>76</v>
      </c>
      <c r="C116" s="26" t="n">
        <f aca="false">INDEX(Pressupostos!$C$281:$G$281,1,$D$3)</f>
        <v>0.85</v>
      </c>
      <c r="E116" s="26" t="n">
        <f aca="false">INDEX(Pressupostos!$C$282:$G$282,1,$D$3)</f>
        <v>0.9</v>
      </c>
      <c r="G116" s="26" t="n">
        <f aca="false">INDEX(Pressupostos!$C$283:$G$283,1,$D$3)</f>
        <v>0.9</v>
      </c>
      <c r="I116" s="26" t="n">
        <f aca="false">INDEX(Pressupostos!$C$284:$G$284,1,$D$3)</f>
        <v>0.75</v>
      </c>
    </row>
    <row r="117" customFormat="false" ht="15" hidden="false" customHeight="false" outlineLevel="0" collapsed="false">
      <c r="A117" s="7" t="s">
        <v>507</v>
      </c>
      <c r="B117" s="8" t="s">
        <v>11</v>
      </c>
      <c r="C117" s="33" t="n">
        <f aca="false">INDEX(Pressupostos!$C$281:$G$281,1,$D$3)*(INDEX(Motor!$C$52:$G$52,1,$D$3)+INDEX(Motor!$C$55:$G$55,1,$D$3))*$C$90/Pressupostos!$C$31</f>
        <v>149357.142857143</v>
      </c>
      <c r="E117" s="33" t="n">
        <f aca="false">INDEX(Pressupostos!$C$282:$G$282,1,$D$3)*(INDEX(Motor!$C$376:$G$376,1,$D$3)+INDEX(Motor!$C$379:$G$379,1,$D$3))*$E$90/Pressupostos!$D$31</f>
        <v>136687.5</v>
      </c>
      <c r="G117" s="33" t="n">
        <f aca="false">INDEX(Pressupostos!$C$283:$G$283,1,$D$3)*(INDEX(Motor!$C$700:$G$700,1,$D$3)+INDEX(Motor!$C$703:$G$703,1,$D$3))*$G$90/Pressupostos!$E$31</f>
        <v>127058.823529412</v>
      </c>
      <c r="I117" s="33" t="n">
        <f aca="false">INDEX(Pressupostos!$C$284:$G$284,1,$D$3)*(INDEX(Motor!$C$1024:$G$1024,1,$D$3)+INDEX(Motor!$C$1027:$G$1027,1,$D$3))*$I$90/Pressupostos!$F$31</f>
        <v>113906.25</v>
      </c>
    </row>
    <row r="118" customFormat="false" ht="15" hidden="false" customHeight="false" outlineLevel="0" collapsed="false">
      <c r="A118" s="7" t="s">
        <v>508</v>
      </c>
      <c r="B118" s="8" t="s">
        <v>11</v>
      </c>
      <c r="C118" s="33" t="n">
        <f aca="false">(1-INDEX(Pressupostos!$C$281:$G$281,1,$D$3))*(INDEX(Motor!$C$52:$G$52,1,$D$3)+INDEX(Motor!$C$55:$G$55,1,$D$3))*$C$90</f>
        <v>18450</v>
      </c>
      <c r="E118" s="33" t="n">
        <f aca="false">(1-INDEX(Pressupostos!$C$282:$G$282,1,$D$3))*(INDEX(Motor!$C$376:$G$376,1,$D$3)+INDEX(Motor!$C$379:$G$379,1,$D$3))*$E$90</f>
        <v>12150</v>
      </c>
      <c r="G118" s="33" t="n">
        <f aca="false">(1-INDEX(Pressupostos!$C$283:$G$283,1,$D$3))*(INDEX(Motor!$C$700:$G$700,1,$D$3)+INDEX(Motor!$C$703:$G$703,1,$D$3))*$G$90</f>
        <v>12000</v>
      </c>
      <c r="I118" s="33" t="n">
        <f aca="false">(1-INDEX(Pressupostos!$C$284:$G$284,1,$D$3))*(INDEX(Motor!$C$1024:$G$1024,1,$D$3)+INDEX(Motor!$C$1027:$G$1027,1,$D$3))*$I$90</f>
        <v>30375</v>
      </c>
    </row>
    <row r="119" customFormat="false" ht="15" hidden="false" customHeight="false" outlineLevel="0" collapsed="false">
      <c r="A119" s="7" t="s">
        <v>509</v>
      </c>
      <c r="B119" s="8" t="s">
        <v>76</v>
      </c>
      <c r="C119" s="30" t="n">
        <f aca="false">INDEX(Pressupostos!$C$287:$G$287,1,$D$3)</f>
        <v>0.09</v>
      </c>
      <c r="E119" s="30" t="n">
        <f aca="false">INDEX(Pressupostos!$C$288:$G$288,1,$D$3)</f>
        <v>0.075</v>
      </c>
      <c r="G119" s="30" t="n">
        <f aca="false">INDEX(Pressupostos!$C$289:$G$289,1,$D$3)</f>
        <v>0.07</v>
      </c>
      <c r="I119" s="30" t="n">
        <f aca="false">INDEX(Pressupostos!$C$290:$G$290,1,$D$3)</f>
        <v>0.075</v>
      </c>
    </row>
    <row r="120" customFormat="false" ht="15" hidden="false" customHeight="false" outlineLevel="0" collapsed="false">
      <c r="A120" s="7" t="s">
        <v>510</v>
      </c>
      <c r="B120" s="8" t="s">
        <v>76</v>
      </c>
      <c r="C120" s="30" t="n">
        <f aca="false">INDEX(Pressupostos!$C$287:$G$287,1,$D$3)*(1-Pressupostos!$C$111)</f>
        <v>0.0648</v>
      </c>
      <c r="E120" s="30" t="n">
        <f aca="false">INDEX(Pressupostos!$C$288:$G$288,1,$D$3)*(1-Pressupostos!$C$111)</f>
        <v>0.054</v>
      </c>
      <c r="G120" s="30" t="n">
        <f aca="false">INDEX(Pressupostos!$C$289:$G$289,1,$D$3)*(1-Pressupostos!$C$111)</f>
        <v>0.0504</v>
      </c>
      <c r="I120" s="30" t="n">
        <f aca="false">INDEX(Pressupostos!$C$290:$G$290,1,$D$3)*(1-Pressupostos!$C$111)</f>
        <v>0.054</v>
      </c>
    </row>
    <row r="121" customFormat="false" ht="15" hidden="false" customHeight="false" outlineLevel="0" collapsed="false">
      <c r="A121" s="7" t="s">
        <v>511</v>
      </c>
      <c r="B121" s="8" t="s">
        <v>11</v>
      </c>
      <c r="C121" s="33" t="n">
        <f aca="false">INDEX(Motor!$C$69:$G$69,1,$D$3)*$C$90</f>
        <v>2209.66731898239</v>
      </c>
      <c r="E121" s="33" t="n">
        <f aca="false">INDEX(Motor!$C$393:$G$393,1,$D$3)*$E$90</f>
        <v>1263.89126712329</v>
      </c>
      <c r="G121" s="33" t="n">
        <f aca="false">INDEX(Motor!$C$717:$G$717,1,$D$3)*$G$90</f>
        <v>852.860596293312</v>
      </c>
      <c r="I121" s="33" t="n">
        <f aca="false">INDEX(Motor!$C$1041:$G$1041,1,$D$3)*$I$90</f>
        <v>1287.2966609589</v>
      </c>
    </row>
    <row r="122" customFormat="false" ht="15" hidden="false" customHeight="false" outlineLevel="0" collapsed="false">
      <c r="A122" s="7" t="s">
        <v>512</v>
      </c>
      <c r="B122" s="8" t="s">
        <v>76</v>
      </c>
      <c r="C122" s="30" t="n">
        <f aca="false">IF(INDEX(Pressupostos!$C$281:$G$281,1,$D$3)&gt;0,INDEX(Motor!$C$69:$G$69,1,$D$3)*$C$90/(INDEX(Pressupostos!$C$281:$G$281,1,$D$3)*(INDEX(Motor!$C$52:$G$52,1,$D$3)+INDEX(Motor!$C$55:$G$55,1,$D$3))*$C$90/Pressupostos!$C$31),0)</f>
        <v>0.0147945205479452</v>
      </c>
      <c r="E122" s="30" t="n">
        <f aca="false">IF(INDEX(Pressupostos!$C$282:$G$282,1,$D$3)&gt;0,INDEX(Motor!$C$393:$G$393,1,$D$3)*$E$90/(INDEX(Pressupostos!$C$282:$G$282,1,$D$3)*(INDEX(Motor!$C$376:$G$376,1,$D$3)+INDEX(Motor!$C$379:$G$379,1,$D$3))*$E$90/Pressupostos!$D$31),0)</f>
        <v>0.00924657534246575</v>
      </c>
      <c r="G122" s="30" t="n">
        <f aca="false">IF(INDEX(Pressupostos!$C$283:$G$283,1,$D$3)&gt;0,INDEX(Motor!$C$717:$G$717,1,$D$3)*$G$90/(INDEX(Pressupostos!$C$283:$G$283,1,$D$3)*(INDEX(Motor!$C$700:$G$700,1,$D$3)+INDEX(Motor!$C$703:$G$703,1,$D$3))*$G$90/Pressupostos!$E$31),0)</f>
        <v>0.00671232876712329</v>
      </c>
      <c r="I122" s="30" t="n">
        <f aca="false">IF(INDEX(Pressupostos!$C$284:$G$284,1,$D$3)&gt;0,INDEX(Motor!$C$1041:$G$1041,1,$D$3)*$I$90/(INDEX(Pressupostos!$C$284:$G$284,1,$D$3)*(INDEX(Motor!$C$1024:$G$1024,1,$D$3)+INDEX(Motor!$C$1027:$G$1027,1,$D$3))*$I$90/Pressupostos!$F$31),0)</f>
        <v>0.0113013698630137</v>
      </c>
    </row>
    <row r="123" customFormat="false" ht="15" hidden="false" customHeight="false" outlineLevel="0" collapsed="false">
      <c r="A123" s="7" t="s">
        <v>513</v>
      </c>
      <c r="B123" s="8" t="s">
        <v>11</v>
      </c>
      <c r="C123" s="33" t="n">
        <f aca="false">MAX(0,MIN(Pressupostos!$C$110*INDEX(Motor!$C$71:$G$71,1,$D$3)*$C$90,Pressupostos!$C$109*INDEX(Pressupostos!$C$281:$G$281,1,$D$3)*(INDEX(Motor!$C$52:$G$52,1,$D$3)+INDEX(Motor!$C$55:$G$55,1,$D$3))*$C$90/Pressupostos!$C$31))</f>
        <v>0</v>
      </c>
      <c r="E123" s="33" t="n">
        <f aca="false">MAX(0,MIN(Pressupostos!$C$110*INDEX(Motor!$C$395:$G$395,1,$D$3)*$E$90,Pressupostos!$C$109*INDEX(Pressupostos!$C$282:$G$282,1,$D$3)*(INDEX(Motor!$C$376:$G$376,1,$D$3)+INDEX(Motor!$C$379:$G$379,1,$D$3))*$E$90/Pressupostos!$D$31))</f>
        <v>578.056592465759</v>
      </c>
      <c r="G123" s="33" t="n">
        <f aca="false">MAX(0,MIN(Pressupostos!$C$110*INDEX(Motor!$C$719:$G$719,1,$D$3)*$G$90,Pressupostos!$C$109*INDEX(Pressupostos!$C$283:$G$283,1,$D$3)*(INDEX(Motor!$C$700:$G$700,1,$D$3)+INDEX(Motor!$C$703:$G$703,1,$D$3))*$G$90/Pressupostos!$E$31))</f>
        <v>2601.01510878325</v>
      </c>
      <c r="I123" s="33" t="n">
        <f aca="false">MAX(0,MIN(Pressupostos!$C$110*INDEX(Motor!$C$1043:$G$1043,1,$D$3)*$I$90,Pressupostos!$C$109*INDEX(Pressupostos!$C$284:$G$284,1,$D$3)*(INDEX(Motor!$C$1024:$G$1024,1,$D$3)+INDEX(Motor!$C$1027:$G$1027,1,$D$3))*$I$90/Pressupostos!$F$31))</f>
        <v>1468.33497431507</v>
      </c>
    </row>
    <row r="124" customFormat="false" ht="15" hidden="false" customHeight="false" outlineLevel="0" collapsed="false">
      <c r="A124" s="7" t="s">
        <v>514</v>
      </c>
      <c r="B124" s="8" t="s">
        <v>11</v>
      </c>
      <c r="C124" s="33" t="n">
        <f aca="false">INDEX(Motor!$C$71:$G$71,1,$D$3)*$C$90-C123</f>
        <v>-5903.16731898239</v>
      </c>
      <c r="E124" s="33" t="n">
        <f aca="false">INDEX(Motor!$C$395:$G$395,1,$D$3)*$E$90-E123</f>
        <v>1348.79871575344</v>
      </c>
      <c r="G124" s="33" t="n">
        <f aca="false">INDEX(Motor!$C$719:$G$719,1,$D$3)*$G$90-G123</f>
        <v>6069.03525382758</v>
      </c>
      <c r="I124" s="33" t="n">
        <f aca="false">INDEX(Motor!$C$1043:$G$1043,1,$D$3)*$I$90-I123</f>
        <v>3426.1149400685</v>
      </c>
    </row>
    <row r="125" customFormat="false" ht="15" hidden="false" customHeight="false" outlineLevel="0" collapsed="false">
      <c r="A125" s="7" t="s">
        <v>515</v>
      </c>
      <c r="B125" s="8" t="s">
        <v>11</v>
      </c>
      <c r="C125" s="33" t="n">
        <f aca="false">Pressupostos!$C$121+12*Pressupostos!$C$122</f>
        <v>13</v>
      </c>
      <c r="E125" s="33" t="n">
        <f aca="false">Pressupostos!$C$121+12*Pressupostos!$C$122</f>
        <v>13</v>
      </c>
      <c r="G125" s="33" t="n">
        <f aca="false">Pressupostos!$C$121+12*Pressupostos!$C$122</f>
        <v>13</v>
      </c>
      <c r="I125" s="33" t="n">
        <f aca="false">Pressupostos!$C$121+12*Pressupostos!$C$122</f>
        <v>13</v>
      </c>
    </row>
    <row r="126" customFormat="false" ht="15" hidden="false" customHeight="false" outlineLevel="0" collapsed="false">
      <c r="A126" s="7" t="s">
        <v>516</v>
      </c>
      <c r="B126" s="8" t="s">
        <v>11</v>
      </c>
      <c r="C126" s="33" t="n">
        <f aca="false">Pressupostos!$C$113*(1-INDEX(Pressupostos!$C$281:$G$281,1,$D$3))*(INDEX(Motor!$C$52:$G$52,1,$D$3)+INDEX(Motor!$C$55:$G$55,1,$D$3))*(INDEX(Motor!$C$58:$G$58,1,$D$3)+INDEX(Motor!$C$59:$G$59,1,$D$3)-Pressupostos!$C$72)/365*$C$90</f>
        <v>242.630136986301</v>
      </c>
      <c r="E126" s="33" t="n">
        <f aca="false">Pressupostos!$C$113*(1-INDEX(Pressupostos!$C$282:$G$282,1,$D$3))*(INDEX(Motor!$C$376:$G$376,1,$D$3)+INDEX(Motor!$C$379:$G$379,1,$D$3))*(INDEX(Motor!$C$382:$G$382,1,$D$3)+INDEX(Motor!$C$383:$G$383,1,$D$3)-Pressupostos!$C$72)/365*$E$90</f>
        <v>119.835616438356</v>
      </c>
      <c r="G126" s="33" t="n">
        <f aca="false">Pressupostos!$C$113*(1-INDEX(Pressupostos!$C$283:$G$283,1,$D$3))*(INDEX(Motor!$C$700:$G$700,1,$D$3)+INDEX(Motor!$C$703:$G$703,1,$D$3))*(INDEX(Motor!$C$706:$G$706,1,$D$3)+INDEX(Motor!$C$707:$G$707,1,$D$3)-Pressupostos!$C$72)/365*$G$90</f>
        <v>92.0547945205479</v>
      </c>
      <c r="I126" s="33" t="n">
        <f aca="false">Pressupostos!$C$113*(1-INDEX(Pressupostos!$C$284:$G$284,1,$D$3))*(INDEX(Motor!$C$1024:$G$1024,1,$D$3)+INDEX(Motor!$C$1027:$G$1027,1,$D$3))*(INDEX(Motor!$C$1030:$G$1030,1,$D$3)+INDEX(Motor!$C$1031:$G$1031,1,$D$3)-Pressupostos!$C$72)/365*$I$90</f>
        <v>366.164383561644</v>
      </c>
    </row>
    <row r="128" customFormat="false" ht="15" hidden="false" customHeight="false" outlineLevel="0" collapsed="false">
      <c r="A128" s="11" t="s">
        <v>555</v>
      </c>
    </row>
    <row r="129" customFormat="false" ht="15" hidden="false" customHeight="false" outlineLevel="0" collapsed="false">
      <c r="A129" s="3" t="s">
        <v>556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customFormat="false" ht="23.85" hidden="false" customHeight="false" outlineLevel="0" collapsed="false">
      <c r="A130" s="5" t="s">
        <v>475</v>
      </c>
      <c r="B130" s="5" t="s">
        <v>4</v>
      </c>
      <c r="C130" s="6" t="s">
        <v>476</v>
      </c>
      <c r="D130" s="6" t="s">
        <v>477</v>
      </c>
      <c r="E130" s="6" t="s">
        <v>478</v>
      </c>
      <c r="F130" s="6" t="s">
        <v>479</v>
      </c>
      <c r="G130" s="6" t="s">
        <v>480</v>
      </c>
      <c r="H130" s="6" t="s">
        <v>481</v>
      </c>
      <c r="I130" s="6" t="s">
        <v>482</v>
      </c>
      <c r="J130" s="6" t="s">
        <v>483</v>
      </c>
      <c r="K130" s="6" t="s">
        <v>484</v>
      </c>
    </row>
    <row r="131" customFormat="false" ht="15" hidden="false" customHeight="false" outlineLevel="0" collapsed="false">
      <c r="A131" s="7" t="s">
        <v>152</v>
      </c>
      <c r="B131" s="8" t="s">
        <v>485</v>
      </c>
      <c r="C131" s="33" t="n">
        <f aca="false">Pressupostos!$C$59*1000</f>
        <v>100000</v>
      </c>
      <c r="E131" s="33" t="n">
        <f aca="false">Pressupostos!$C$59*1000</f>
        <v>100000</v>
      </c>
      <c r="G131" s="33" t="n">
        <f aca="false">Pressupostos!$C$59*1000</f>
        <v>100000</v>
      </c>
      <c r="I131" s="33" t="n">
        <f aca="false">Pressupostos!$C$59*1000</f>
        <v>100000</v>
      </c>
    </row>
    <row r="132" customFormat="false" ht="15" hidden="false" customHeight="false" outlineLevel="0" collapsed="false">
      <c r="A132" s="7" t="s">
        <v>486</v>
      </c>
      <c r="B132" s="8" t="s">
        <v>11</v>
      </c>
      <c r="C132" s="33" t="n">
        <f aca="false">D132*$C$131</f>
        <v>365000</v>
      </c>
      <c r="D132" s="37" t="n">
        <f aca="false">INDEX(Motor!$C$76:$G$76,1,$D$3)</f>
        <v>3.65</v>
      </c>
      <c r="E132" s="33" t="n">
        <f aca="false">F132*$E$131</f>
        <v>365000</v>
      </c>
      <c r="F132" s="37" t="n">
        <f aca="false">INDEX(Motor!$C$400:$G$400,1,$D$3)</f>
        <v>3.65</v>
      </c>
      <c r="G132" s="33" t="n">
        <f aca="false">H132*$G$131</f>
        <v>365000</v>
      </c>
      <c r="H132" s="37" t="n">
        <f aca="false">INDEX(Motor!$C$724:$G$724,1,$D$3)</f>
        <v>3.65</v>
      </c>
      <c r="I132" s="33" t="n">
        <f aca="false">J132*$I$131</f>
        <v>365000</v>
      </c>
      <c r="J132" s="37" t="n">
        <f aca="false">INDEX(Motor!$C$1048:$G$1048,1,$D$3)</f>
        <v>3.65</v>
      </c>
    </row>
    <row r="133" customFormat="false" ht="15" hidden="false" customHeight="false" outlineLevel="0" collapsed="false">
      <c r="A133" s="7" t="s">
        <v>89</v>
      </c>
      <c r="B133" s="8" t="s">
        <v>11</v>
      </c>
      <c r="C133" s="33" t="n">
        <f aca="false">D133*$C$131</f>
        <v>-0</v>
      </c>
      <c r="D133" s="37" t="n">
        <f aca="false">-(INDEX(Motor!$C$76:$G$76,1,$D$3)-INDEX(Motor!$C$77:$G$77,1,$D$3))</f>
        <v>-0</v>
      </c>
      <c r="E133" s="33" t="n">
        <f aca="false">F133*$E$131</f>
        <v>-0</v>
      </c>
      <c r="F133" s="37" t="n">
        <f aca="false">-(INDEX(Motor!$C$400:$G$400,1,$D$3)-INDEX(Motor!$C$401:$G$401,1,$D$3))</f>
        <v>-0</v>
      </c>
      <c r="G133" s="33" t="n">
        <f aca="false">H133*$G$131</f>
        <v>-0</v>
      </c>
      <c r="H133" s="37" t="n">
        <f aca="false">-(INDEX(Motor!$C$724:$G$724,1,$D$3)-INDEX(Motor!$C$725:$G$725,1,$D$3))</f>
        <v>-0</v>
      </c>
      <c r="I133" s="33" t="n">
        <f aca="false">J133*$I$131</f>
        <v>-0</v>
      </c>
      <c r="J133" s="37" t="n">
        <f aca="false">-(INDEX(Motor!$C$1048:$G$1048,1,$D$3)-INDEX(Motor!$C$1049:$G$1049,1,$D$3))</f>
        <v>-0</v>
      </c>
    </row>
    <row r="134" customFormat="false" ht="15" hidden="false" customHeight="false" outlineLevel="0" collapsed="false">
      <c r="A134" s="11" t="s">
        <v>487</v>
      </c>
      <c r="B134" s="8" t="s">
        <v>11</v>
      </c>
      <c r="C134" s="44" t="n">
        <f aca="false">D134*$C$131</f>
        <v>365000</v>
      </c>
      <c r="D134" s="45" t="n">
        <f aca="false">INDEX(Motor!$C$77:$G$77,1,$D$3)</f>
        <v>3.65</v>
      </c>
      <c r="E134" s="44" t="n">
        <f aca="false">F134*$E$131</f>
        <v>365000</v>
      </c>
      <c r="F134" s="45" t="n">
        <f aca="false">INDEX(Motor!$C$401:$G$401,1,$D$3)</f>
        <v>3.65</v>
      </c>
      <c r="G134" s="44" t="n">
        <f aca="false">H134*$G$131</f>
        <v>365000</v>
      </c>
      <c r="H134" s="45" t="n">
        <f aca="false">INDEX(Motor!$C$725:$G$725,1,$D$3)</f>
        <v>3.65</v>
      </c>
      <c r="I134" s="44" t="n">
        <f aca="false">J134*$I$131</f>
        <v>365000</v>
      </c>
      <c r="J134" s="45" t="n">
        <f aca="false">INDEX(Motor!$C$1049:$G$1049,1,$D$3)</f>
        <v>3.65</v>
      </c>
    </row>
    <row r="135" customFormat="false" ht="15" hidden="false" customHeight="false" outlineLevel="0" collapsed="false">
      <c r="A135" s="7" t="s">
        <v>488</v>
      </c>
      <c r="B135" s="8" t="s">
        <v>11</v>
      </c>
      <c r="C135" s="33" t="n">
        <f aca="false">D135*$C$131</f>
        <v>-350000</v>
      </c>
      <c r="D135" s="37" t="n">
        <f aca="false">-INDEX(Motor!$C$75:$G$75,1,$D$3)</f>
        <v>-3.5</v>
      </c>
      <c r="E135" s="33" t="n">
        <f aca="false">F135*$E$131</f>
        <v>-350000</v>
      </c>
      <c r="F135" s="37" t="n">
        <f aca="false">-INDEX(Motor!$C$399:$G$399,1,$D$3)</f>
        <v>-3.5</v>
      </c>
      <c r="G135" s="33" t="n">
        <f aca="false">H135*$G$131</f>
        <v>-350000</v>
      </c>
      <c r="H135" s="37" t="n">
        <f aca="false">-INDEX(Motor!$C$723:$G$723,1,$D$3)</f>
        <v>-3.5</v>
      </c>
      <c r="I135" s="33" t="n">
        <f aca="false">J135*$I$131</f>
        <v>-350000</v>
      </c>
      <c r="J135" s="37" t="n">
        <f aca="false">-INDEX(Motor!$C$1047:$G$1047,1,$D$3)</f>
        <v>-3.5</v>
      </c>
    </row>
    <row r="136" customFormat="false" ht="15" hidden="false" customHeight="false" outlineLevel="0" collapsed="false">
      <c r="A136" s="7" t="s">
        <v>489</v>
      </c>
      <c r="B136" s="8" t="s">
        <v>11</v>
      </c>
      <c r="C136" s="33" t="n">
        <f aca="false">D136*$C$131</f>
        <v>-0</v>
      </c>
      <c r="D136" s="37" t="n">
        <f aca="false">-INDEX(Motor!$C$78:$G$78,1,$D$3)</f>
        <v>-0</v>
      </c>
      <c r="E136" s="33" t="n">
        <f aca="false">F136*$E$131</f>
        <v>-0</v>
      </c>
      <c r="F136" s="37" t="n">
        <f aca="false">-INDEX(Motor!$C$402:$G$402,1,$D$3)</f>
        <v>-0</v>
      </c>
      <c r="G136" s="33" t="n">
        <f aca="false">H136*$G$131</f>
        <v>-0</v>
      </c>
      <c r="H136" s="37" t="n">
        <f aca="false">-INDEX(Motor!$C$726:$G$726,1,$D$3)</f>
        <v>-0</v>
      </c>
      <c r="I136" s="33" t="n">
        <f aca="false">J136*$I$131</f>
        <v>-0</v>
      </c>
      <c r="J136" s="37" t="n">
        <f aca="false">-INDEX(Motor!$C$1050:$G$1050,1,$D$3)</f>
        <v>-0</v>
      </c>
    </row>
    <row r="137" customFormat="false" ht="15" hidden="false" customHeight="false" outlineLevel="0" collapsed="false">
      <c r="A137" s="7" t="s">
        <v>215</v>
      </c>
      <c r="B137" s="8" t="s">
        <v>11</v>
      </c>
      <c r="C137" s="33" t="n">
        <f aca="false">D137*$C$131</f>
        <v>-4000</v>
      </c>
      <c r="D137" s="37" t="n">
        <f aca="false">-INDEX(Motor!$C$79:$G$79,1,$D$3)</f>
        <v>-0.04</v>
      </c>
      <c r="E137" s="33" t="n">
        <f aca="false">F137*$E$131</f>
        <v>-4000</v>
      </c>
      <c r="F137" s="37" t="n">
        <f aca="false">-INDEX(Motor!$C$403:$G$403,1,$D$3)</f>
        <v>-0.04</v>
      </c>
      <c r="G137" s="33" t="n">
        <f aca="false">H137*$G$131</f>
        <v>-4000</v>
      </c>
      <c r="H137" s="37" t="n">
        <f aca="false">-INDEX(Motor!$C$727:$G$727,1,$D$3)</f>
        <v>-0.04</v>
      </c>
      <c r="I137" s="33" t="n">
        <f aca="false">J137*$I$131</f>
        <v>-4000</v>
      </c>
      <c r="J137" s="37" t="n">
        <f aca="false">-INDEX(Motor!$C$1051:$G$1051,1,$D$3)</f>
        <v>-0.04</v>
      </c>
    </row>
    <row r="138" customFormat="false" ht="15" hidden="false" customHeight="false" outlineLevel="0" collapsed="false">
      <c r="A138" s="7" t="s">
        <v>117</v>
      </c>
      <c r="B138" s="8" t="s">
        <v>11</v>
      </c>
      <c r="C138" s="33" t="n">
        <f aca="false">D138*$C$131</f>
        <v>-0</v>
      </c>
      <c r="D138" s="37" t="n">
        <f aca="false">-INDEX(Motor!$C$80:$G$80,1,$D$3)</f>
        <v>-0</v>
      </c>
      <c r="E138" s="33" t="n">
        <f aca="false">F138*$E$131</f>
        <v>-0</v>
      </c>
      <c r="F138" s="37" t="n">
        <f aca="false">-INDEX(Motor!$C$404:$G$404,1,$D$3)</f>
        <v>-0</v>
      </c>
      <c r="G138" s="33" t="n">
        <f aca="false">H138*$G$131</f>
        <v>-0</v>
      </c>
      <c r="H138" s="37" t="n">
        <f aca="false">-INDEX(Motor!$C$728:$G$728,1,$D$3)</f>
        <v>-0</v>
      </c>
      <c r="I138" s="33" t="n">
        <f aca="false">J138*$I$131</f>
        <v>-0</v>
      </c>
      <c r="J138" s="37" t="n">
        <f aca="false">-INDEX(Motor!$C$1052:$G$1052,1,$D$3)</f>
        <v>-0</v>
      </c>
    </row>
    <row r="139" customFormat="false" ht="15" hidden="false" customHeight="false" outlineLevel="0" collapsed="false">
      <c r="A139" s="7" t="s">
        <v>490</v>
      </c>
      <c r="B139" s="8" t="s">
        <v>11</v>
      </c>
      <c r="C139" s="33" t="n">
        <f aca="false">D139*$C$131</f>
        <v>-200</v>
      </c>
      <c r="D139" s="37" t="n">
        <f aca="false">-INDEX(Motor!$C$83:$G$83,1,$D$3)</f>
        <v>-0.002</v>
      </c>
      <c r="E139" s="33" t="n">
        <f aca="false">F139*$E$131</f>
        <v>-200</v>
      </c>
      <c r="F139" s="37" t="n">
        <f aca="false">-INDEX(Motor!$C$407:$G$407,1,$D$3)</f>
        <v>-0.002</v>
      </c>
      <c r="G139" s="33" t="n">
        <f aca="false">H139*$G$131</f>
        <v>-200</v>
      </c>
      <c r="H139" s="37" t="n">
        <f aca="false">-INDEX(Motor!$C$731:$G$731,1,$D$3)</f>
        <v>-0.002</v>
      </c>
      <c r="I139" s="33" t="n">
        <f aca="false">J139*$I$131</f>
        <v>-200</v>
      </c>
      <c r="J139" s="37" t="n">
        <f aca="false">-INDEX(Motor!$C$1055:$G$1055,1,$D$3)</f>
        <v>-0.002</v>
      </c>
    </row>
    <row r="140" customFormat="false" ht="15" hidden="false" customHeight="false" outlineLevel="0" collapsed="false">
      <c r="A140" s="7" t="s">
        <v>165</v>
      </c>
      <c r="B140" s="8" t="s">
        <v>11</v>
      </c>
      <c r="C140" s="33" t="n">
        <f aca="false">D140*$C$131</f>
        <v>-28.7671232876712</v>
      </c>
      <c r="D140" s="37" t="n">
        <f aca="false">-INDEX(Motor!$C$84:$G$84,1,$D$3)</f>
        <v>-0.000287671232876712</v>
      </c>
      <c r="E140" s="33" t="n">
        <f aca="false">F140*$E$131</f>
        <v>-28.7671232876712</v>
      </c>
      <c r="F140" s="37" t="n">
        <f aca="false">-INDEX(Motor!$C$408:$G$408,1,$D$3)</f>
        <v>-0.000287671232876712</v>
      </c>
      <c r="G140" s="33" t="n">
        <f aca="false">H140*$G$131</f>
        <v>-28.7671232876712</v>
      </c>
      <c r="H140" s="37" t="n">
        <f aca="false">-INDEX(Motor!$C$732:$G$732,1,$D$3)</f>
        <v>-0.000287671232876712</v>
      </c>
      <c r="I140" s="33" t="n">
        <f aca="false">J140*$I$131</f>
        <v>-28.7671232876712</v>
      </c>
      <c r="J140" s="37" t="n">
        <f aca="false">-INDEX(Motor!$C$1056:$G$1056,1,$D$3)</f>
        <v>-0.000287671232876712</v>
      </c>
    </row>
    <row r="141" customFormat="false" ht="15" hidden="false" customHeight="false" outlineLevel="0" collapsed="false">
      <c r="A141" s="7" t="s">
        <v>491</v>
      </c>
      <c r="B141" s="8" t="s">
        <v>11</v>
      </c>
      <c r="C141" s="33" t="n">
        <f aca="false">D141*$C$131</f>
        <v>-600</v>
      </c>
      <c r="D141" s="37" t="n">
        <f aca="false">-INDEX(Motor!$C$85:$G$85,1,$D$3)</f>
        <v>-0.006</v>
      </c>
      <c r="E141" s="33" t="n">
        <f aca="false">F141*$E$131</f>
        <v>-600</v>
      </c>
      <c r="F141" s="37" t="n">
        <f aca="false">-INDEX(Motor!$C$409:$G$409,1,$D$3)</f>
        <v>-0.006</v>
      </c>
      <c r="G141" s="33" t="n">
        <f aca="false">H141*$G$131</f>
        <v>-600</v>
      </c>
      <c r="H141" s="37" t="n">
        <f aca="false">-INDEX(Motor!$C$733:$G$733,1,$D$3)</f>
        <v>-0.006</v>
      </c>
      <c r="I141" s="33" t="n">
        <f aca="false">J141*$I$131</f>
        <v>-600</v>
      </c>
      <c r="J141" s="37" t="n">
        <f aca="false">-INDEX(Motor!$C$1057:$G$1057,1,$D$3)</f>
        <v>-0.006</v>
      </c>
    </row>
    <row r="142" customFormat="false" ht="15" hidden="false" customHeight="false" outlineLevel="0" collapsed="false">
      <c r="A142" s="7" t="s">
        <v>492</v>
      </c>
      <c r="B142" s="8" t="s">
        <v>11</v>
      </c>
      <c r="C142" s="33" t="n">
        <f aca="false">D142*$C$131</f>
        <v>-1750</v>
      </c>
      <c r="D142" s="37" t="n">
        <f aca="false">-INDEX(Motor!$C$86:$G$86,1,$D$3)</f>
        <v>-0.0175</v>
      </c>
      <c r="E142" s="33" t="n">
        <f aca="false">F142*$E$131</f>
        <v>-1750</v>
      </c>
      <c r="F142" s="37" t="n">
        <f aca="false">-INDEX(Motor!$C$410:$G$410,1,$D$3)</f>
        <v>-0.0175</v>
      </c>
      <c r="G142" s="33" t="n">
        <f aca="false">H142*$G$131</f>
        <v>-1750</v>
      </c>
      <c r="H142" s="37" t="n">
        <f aca="false">-INDEX(Motor!$C$734:$G$734,1,$D$3)</f>
        <v>-0.0175</v>
      </c>
      <c r="I142" s="33" t="n">
        <f aca="false">J142*$I$131</f>
        <v>-1750</v>
      </c>
      <c r="J142" s="37" t="n">
        <f aca="false">-INDEX(Motor!$C$1058:$G$1058,1,$D$3)</f>
        <v>-0.0175</v>
      </c>
    </row>
    <row r="143" customFormat="false" ht="15" hidden="false" customHeight="false" outlineLevel="0" collapsed="false">
      <c r="A143" s="7" t="s">
        <v>493</v>
      </c>
      <c r="B143" s="8" t="s">
        <v>11</v>
      </c>
      <c r="C143" s="33" t="n">
        <f aca="false">D143*$C$131</f>
        <v>-150</v>
      </c>
      <c r="D143" s="37" t="n">
        <f aca="false">-INDEX(Motor!$C$87:$G$87,1,$D$3)</f>
        <v>-0.0015</v>
      </c>
      <c r="E143" s="33" t="n">
        <f aca="false">F143*$E$131</f>
        <v>-150</v>
      </c>
      <c r="F143" s="37" t="n">
        <f aca="false">-INDEX(Motor!$C$411:$G$411,1,$D$3)</f>
        <v>-0.0015</v>
      </c>
      <c r="G143" s="33" t="n">
        <f aca="false">H143*$G$131</f>
        <v>-150</v>
      </c>
      <c r="H143" s="37" t="n">
        <f aca="false">-INDEX(Motor!$C$735:$G$735,1,$D$3)</f>
        <v>-0.0015</v>
      </c>
      <c r="I143" s="33" t="n">
        <f aca="false">J143*$I$131</f>
        <v>-150</v>
      </c>
      <c r="J143" s="37" t="n">
        <f aca="false">-INDEX(Motor!$C$1059:$G$1059,1,$D$3)</f>
        <v>-0.0015</v>
      </c>
    </row>
    <row r="144" customFormat="false" ht="15" hidden="false" customHeight="false" outlineLevel="0" collapsed="false">
      <c r="A144" s="7" t="s">
        <v>494</v>
      </c>
      <c r="B144" s="8" t="s">
        <v>11</v>
      </c>
      <c r="C144" s="33" t="n">
        <f aca="false">D144*$C$131</f>
        <v>-1200</v>
      </c>
      <c r="D144" s="37" t="n">
        <f aca="false">-INDEX(Motor!$C$88:$G$88,1,$D$3)</f>
        <v>-0.012</v>
      </c>
      <c r="E144" s="33" t="n">
        <f aca="false">F144*$E$131</f>
        <v>-1200</v>
      </c>
      <c r="F144" s="37" t="n">
        <f aca="false">-INDEX(Motor!$C$412:$G$412,1,$D$3)</f>
        <v>-0.012</v>
      </c>
      <c r="G144" s="33" t="n">
        <f aca="false">H144*$G$131</f>
        <v>-1200</v>
      </c>
      <c r="H144" s="37" t="n">
        <f aca="false">-INDEX(Motor!$C$736:$G$736,1,$D$3)</f>
        <v>-0.012</v>
      </c>
      <c r="I144" s="33" t="n">
        <f aca="false">J144*$I$131</f>
        <v>-1200</v>
      </c>
      <c r="J144" s="37" t="n">
        <f aca="false">-INDEX(Motor!$C$1060:$G$1060,1,$D$3)</f>
        <v>-0.012</v>
      </c>
    </row>
    <row r="145" customFormat="false" ht="15" hidden="false" customHeight="false" outlineLevel="0" collapsed="false">
      <c r="A145" s="7" t="s">
        <v>495</v>
      </c>
      <c r="B145" s="8" t="s">
        <v>11</v>
      </c>
      <c r="C145" s="33" t="n">
        <f aca="false">D145*$C$131</f>
        <v>-100</v>
      </c>
      <c r="D145" s="37" t="n">
        <f aca="false">-INDEX(Motor!$C$89:$G$89,1,$D$3)</f>
        <v>-0.001</v>
      </c>
      <c r="E145" s="33" t="n">
        <f aca="false">F145*$E$131</f>
        <v>-100</v>
      </c>
      <c r="F145" s="37" t="n">
        <f aca="false">-INDEX(Motor!$C$413:$G$413,1,$D$3)</f>
        <v>-0.001</v>
      </c>
      <c r="G145" s="33" t="n">
        <f aca="false">H145*$G$131</f>
        <v>-100</v>
      </c>
      <c r="H145" s="37" t="n">
        <f aca="false">-INDEX(Motor!$C$737:$G$737,1,$D$3)</f>
        <v>-0.001</v>
      </c>
      <c r="I145" s="33" t="n">
        <f aca="false">J145*$I$131</f>
        <v>-100</v>
      </c>
      <c r="J145" s="37" t="n">
        <f aca="false">-INDEX(Motor!$C$1061:$G$1061,1,$D$3)</f>
        <v>-0.001</v>
      </c>
    </row>
    <row r="146" customFormat="false" ht="15" hidden="false" customHeight="false" outlineLevel="0" collapsed="false">
      <c r="A146" s="7" t="s">
        <v>81</v>
      </c>
      <c r="B146" s="8" t="s">
        <v>11</v>
      </c>
      <c r="C146" s="33" t="n">
        <f aca="false">D146*$C$131</f>
        <v>-1095</v>
      </c>
      <c r="D146" s="37" t="n">
        <f aca="false">-INDEX(Motor!$C$90:$G$90,1,$D$3)</f>
        <v>-0.01095</v>
      </c>
      <c r="E146" s="33" t="n">
        <f aca="false">F146*$E$131</f>
        <v>-1095</v>
      </c>
      <c r="F146" s="37" t="n">
        <f aca="false">-INDEX(Motor!$C$414:$G$414,1,$D$3)</f>
        <v>-0.01095</v>
      </c>
      <c r="G146" s="33" t="n">
        <f aca="false">H146*$G$131</f>
        <v>-1095</v>
      </c>
      <c r="H146" s="37" t="n">
        <f aca="false">-INDEX(Motor!$C$738:$G$738,1,$D$3)</f>
        <v>-0.01095</v>
      </c>
      <c r="I146" s="33" t="n">
        <f aca="false">J146*$I$131</f>
        <v>-1095</v>
      </c>
      <c r="J146" s="37" t="n">
        <f aca="false">-INDEX(Motor!$C$1062:$G$1062,1,$D$3)</f>
        <v>-0.01095</v>
      </c>
    </row>
    <row r="147" customFormat="false" ht="15" hidden="false" customHeight="false" outlineLevel="0" collapsed="false">
      <c r="A147" s="7" t="s">
        <v>496</v>
      </c>
      <c r="B147" s="8" t="s">
        <v>11</v>
      </c>
      <c r="C147" s="33" t="n">
        <f aca="false">D147*$C$131</f>
        <v>-0</v>
      </c>
      <c r="D147" s="37" t="n">
        <f aca="false">-INDEX(Motor!$C$91:$G$91,1,$D$3)</f>
        <v>-0</v>
      </c>
      <c r="E147" s="33" t="n">
        <f aca="false">F147*$E$131</f>
        <v>-0</v>
      </c>
      <c r="F147" s="37" t="n">
        <f aca="false">-INDEX(Motor!$C$415:$G$415,1,$D$3)</f>
        <v>-0</v>
      </c>
      <c r="G147" s="33" t="n">
        <f aca="false">H147*$G$131</f>
        <v>-0</v>
      </c>
      <c r="H147" s="37" t="n">
        <f aca="false">-INDEX(Motor!$C$739:$G$739,1,$D$3)</f>
        <v>-0</v>
      </c>
      <c r="I147" s="33" t="n">
        <f aca="false">J147*$I$131</f>
        <v>-0</v>
      </c>
      <c r="J147" s="37" t="n">
        <f aca="false">-INDEX(Motor!$C$1063:$G$1063,1,$D$3)</f>
        <v>-0</v>
      </c>
    </row>
    <row r="148" customFormat="false" ht="15" hidden="false" customHeight="false" outlineLevel="0" collapsed="false">
      <c r="A148" s="7" t="s">
        <v>497</v>
      </c>
      <c r="B148" s="8" t="s">
        <v>11</v>
      </c>
      <c r="C148" s="33" t="n">
        <f aca="false">D148*$C$131</f>
        <v>-3143.83561643836</v>
      </c>
      <c r="D148" s="37" t="n">
        <f aca="false">-INDEX(Motor!$C$92:$G$92,1,$D$3)</f>
        <v>-0.0314383561643836</v>
      </c>
      <c r="E148" s="33" t="n">
        <f aca="false">F148*$E$131</f>
        <v>-2427.22602739726</v>
      </c>
      <c r="F148" s="37" t="n">
        <f aca="false">-INDEX(Motor!$C$416:$G$416,1,$D$3)</f>
        <v>-0.0242722602739726</v>
      </c>
      <c r="G148" s="33" t="n">
        <f aca="false">H148*$G$131</f>
        <v>-2132.15149073328</v>
      </c>
      <c r="H148" s="37" t="n">
        <f aca="false">-INDEX(Motor!$C$740:$G$740,1,$D$3)</f>
        <v>-0.0213215149073328</v>
      </c>
      <c r="I148" s="33" t="n">
        <f aca="false">J148*$I$131</f>
        <v>-2022.68835616438</v>
      </c>
      <c r="J148" s="37" t="n">
        <f aca="false">-INDEX(Motor!$C$1064:$G$1064,1,$D$3)</f>
        <v>-0.0202268835616438</v>
      </c>
    </row>
    <row r="149" customFormat="false" ht="15" hidden="false" customHeight="false" outlineLevel="0" collapsed="false">
      <c r="A149" s="11" t="s">
        <v>498</v>
      </c>
      <c r="B149" s="8" t="s">
        <v>11</v>
      </c>
      <c r="C149" s="44" t="n">
        <f aca="false">D149*$C$131</f>
        <v>2732.39726027406</v>
      </c>
      <c r="D149" s="45" t="n">
        <f aca="false">INDEX(Motor!$C$94:$G$94,1,$D$3)</f>
        <v>0.0273239726027406</v>
      </c>
      <c r="E149" s="44" t="n">
        <f aca="false">F149*$E$131</f>
        <v>3449.00684931515</v>
      </c>
      <c r="F149" s="45" t="n">
        <f aca="false">INDEX(Motor!$C$418:$G$418,1,$D$3)</f>
        <v>0.0344900684931515</v>
      </c>
      <c r="G149" s="44" t="n">
        <f aca="false">H149*$G$131</f>
        <v>3744.08138597913</v>
      </c>
      <c r="H149" s="45" t="n">
        <f aca="false">INDEX(Motor!$C$742:$G$742,1,$D$3)</f>
        <v>0.0374408138597913</v>
      </c>
      <c r="I149" s="44" t="n">
        <f aca="false">J149*$I$131</f>
        <v>3853.544520548</v>
      </c>
      <c r="J149" s="45" t="n">
        <f aca="false">INDEX(Motor!$C$1066:$G$1066,1,$D$3)</f>
        <v>0.03853544520548</v>
      </c>
    </row>
    <row r="150" customFormat="false" ht="15" hidden="false" customHeight="false" outlineLevel="0" collapsed="false">
      <c r="A150" s="7" t="s">
        <v>499</v>
      </c>
      <c r="B150" s="8" t="s">
        <v>76</v>
      </c>
      <c r="D150" s="26" t="n">
        <f aca="false">IF(D134&gt;0,D149/D134,0)</f>
        <v>0.0074860198911618</v>
      </c>
      <c r="F150" s="26" t="n">
        <f aca="false">IF(F134&gt;0,F149/F134,0)</f>
        <v>0.00944933383374014</v>
      </c>
      <c r="H150" s="26" t="n">
        <f aca="false">IF(H134&gt;0,H149/H134,0)</f>
        <v>0.0102577572218606</v>
      </c>
      <c r="J150" s="26" t="n">
        <f aca="false">IF(J134&gt;0,J149/J134,0)</f>
        <v>0.0105576562206795</v>
      </c>
    </row>
    <row r="151" customFormat="false" ht="15" hidden="false" customHeight="false" outlineLevel="0" collapsed="false">
      <c r="A151" s="7" t="s">
        <v>500</v>
      </c>
      <c r="B151" s="8" t="s">
        <v>11</v>
      </c>
      <c r="C151" s="33" t="n">
        <f aca="false">D151*$C$131</f>
        <v>-730</v>
      </c>
      <c r="D151" s="37" t="n">
        <f aca="false">-Pressupostos!$C$119*D134</f>
        <v>-0.0073</v>
      </c>
      <c r="E151" s="33" t="n">
        <f aca="false">F151*$E$131</f>
        <v>-730</v>
      </c>
      <c r="F151" s="37" t="n">
        <f aca="false">-Pressupostos!$C$119*F134</f>
        <v>-0.0073</v>
      </c>
      <c r="G151" s="33" t="n">
        <f aca="false">H151*$G$131</f>
        <v>-730</v>
      </c>
      <c r="H151" s="37" t="n">
        <f aca="false">-Pressupostos!$C$119*H134</f>
        <v>-0.0073</v>
      </c>
      <c r="I151" s="33" t="n">
        <f aca="false">J151*$I$131</f>
        <v>-730</v>
      </c>
      <c r="J151" s="37" t="n">
        <f aca="false">-Pressupostos!$C$119*J134</f>
        <v>-0.0073</v>
      </c>
    </row>
    <row r="152" customFormat="false" ht="15" hidden="false" customHeight="false" outlineLevel="0" collapsed="false">
      <c r="A152" s="11" t="s">
        <v>501</v>
      </c>
      <c r="B152" s="8" t="s">
        <v>11</v>
      </c>
      <c r="C152" s="46" t="n">
        <f aca="false">D152*$C$131</f>
        <v>2002.39726027406</v>
      </c>
      <c r="D152" s="47" t="n">
        <f aca="false">D149+D151</f>
        <v>0.0200239726027406</v>
      </c>
      <c r="E152" s="46" t="n">
        <f aca="false">F152*$E$131</f>
        <v>2719.00684931515</v>
      </c>
      <c r="F152" s="47" t="n">
        <f aca="false">F149+F151</f>
        <v>0.0271900684931515</v>
      </c>
      <c r="G152" s="46" t="n">
        <f aca="false">H152*$G$131</f>
        <v>3014.08138597913</v>
      </c>
      <c r="H152" s="47" t="n">
        <f aca="false">H149+H151</f>
        <v>0.0301408138597913</v>
      </c>
      <c r="I152" s="46" t="n">
        <f aca="false">J152*$I$131</f>
        <v>3123.544520548</v>
      </c>
      <c r="J152" s="47" t="n">
        <f aca="false">J149+J151</f>
        <v>0.03123544520548</v>
      </c>
    </row>
    <row r="153" customFormat="false" ht="15" hidden="false" customHeight="false" outlineLevel="0" collapsed="false">
      <c r="A153" s="7" t="s">
        <v>502</v>
      </c>
      <c r="B153" s="8" t="s">
        <v>76</v>
      </c>
      <c r="D153" s="26" t="n">
        <f aca="false">IF(D134&gt;0,D152/D134,0)</f>
        <v>0.0054860198911618</v>
      </c>
      <c r="F153" s="26" t="n">
        <f aca="false">IF(F134&gt;0,F152/F134,0)</f>
        <v>0.00744933383374014</v>
      </c>
      <c r="H153" s="26" t="n">
        <f aca="false">IF(H134&gt;0,H152/H134,0)</f>
        <v>0.00825775722186062</v>
      </c>
      <c r="J153" s="26" t="n">
        <f aca="false">IF(J134&gt;0,J152/J134,0)</f>
        <v>0.00855765622067946</v>
      </c>
    </row>
    <row r="154" customFormat="false" ht="15" hidden="false" customHeight="false" outlineLevel="0" collapsed="false">
      <c r="A154" s="22" t="s">
        <v>503</v>
      </c>
    </row>
    <row r="155" customFormat="false" ht="15" hidden="false" customHeight="false" outlineLevel="0" collapsed="false">
      <c r="A155" s="7" t="s">
        <v>504</v>
      </c>
      <c r="B155" s="8" t="s">
        <v>11</v>
      </c>
      <c r="C155" s="33" t="n">
        <f aca="false">(INDEX(Motor!$C$75:$G$75,1,$D$3)+INDEX(Motor!$C$78:$G$78,1,$D$3))*$C$131</f>
        <v>350000</v>
      </c>
      <c r="E155" s="33" t="n">
        <f aca="false">(INDEX(Motor!$C$399:$G$399,1,$D$3)+INDEX(Motor!$C$402:$G$402,1,$D$3))*$E$131</f>
        <v>350000</v>
      </c>
      <c r="G155" s="33" t="n">
        <f aca="false">(INDEX(Motor!$C$723:$G$723,1,$D$3)+INDEX(Motor!$C$726:$G$726,1,$D$3))*$G$131</f>
        <v>350000</v>
      </c>
      <c r="I155" s="33" t="n">
        <f aca="false">(INDEX(Motor!$C$1047:$G$1047,1,$D$3)+INDEX(Motor!$C$1050:$G$1050,1,$D$3))*$I$131</f>
        <v>350000</v>
      </c>
    </row>
    <row r="156" customFormat="false" ht="15" hidden="false" customHeight="false" outlineLevel="0" collapsed="false">
      <c r="A156" s="7" t="s">
        <v>505</v>
      </c>
      <c r="B156" s="8" t="s">
        <v>79</v>
      </c>
      <c r="C156" s="28" t="n">
        <f aca="false">INDEX(Motor!$C$81:$G$81,1,$D$3)+INDEX(Motor!$C$82:$G$82,1,$D$3)-Pressupostos!$C$72</f>
        <v>30</v>
      </c>
      <c r="E156" s="28" t="n">
        <f aca="false">INDEX(Motor!$C$405:$G$405,1,$D$3)+INDEX(Motor!$C$406:$G$406,1,$D$3)-Pressupostos!$C$72</f>
        <v>30</v>
      </c>
      <c r="G156" s="28" t="n">
        <f aca="false">INDEX(Motor!$C$729:$G$729,1,$D$3)+INDEX(Motor!$C$730:$G$730,1,$D$3)-Pressupostos!$C$72</f>
        <v>30</v>
      </c>
      <c r="I156" s="28" t="n">
        <f aca="false">INDEX(Motor!$C$1053:$G$1053,1,$D$3)+INDEX(Motor!$C$1054:$G$1054,1,$D$3)-Pressupostos!$C$72</f>
        <v>30</v>
      </c>
    </row>
    <row r="157" customFormat="false" ht="15" hidden="false" customHeight="false" outlineLevel="0" collapsed="false">
      <c r="A157" s="7" t="s">
        <v>506</v>
      </c>
      <c r="B157" s="8" t="s">
        <v>76</v>
      </c>
      <c r="C157" s="26" t="n">
        <f aca="false">INDEX(Pressupostos!$C$281:$G$281,1,$D$3)</f>
        <v>0.85</v>
      </c>
      <c r="E157" s="26" t="n">
        <f aca="false">INDEX(Pressupostos!$C$282:$G$282,1,$D$3)</f>
        <v>0.9</v>
      </c>
      <c r="G157" s="26" t="n">
        <f aca="false">INDEX(Pressupostos!$C$283:$G$283,1,$D$3)</f>
        <v>0.9</v>
      </c>
      <c r="I157" s="26" t="n">
        <f aca="false">INDEX(Pressupostos!$C$284:$G$284,1,$D$3)</f>
        <v>0.75</v>
      </c>
    </row>
    <row r="158" customFormat="false" ht="15" hidden="false" customHeight="false" outlineLevel="0" collapsed="false">
      <c r="A158" s="7" t="s">
        <v>507</v>
      </c>
      <c r="B158" s="8" t="s">
        <v>11</v>
      </c>
      <c r="C158" s="33" t="n">
        <f aca="false">INDEX(Pressupostos!$C$281:$G$281,1,$D$3)*(INDEX(Motor!$C$75:$G$75,1,$D$3)+INDEX(Motor!$C$78:$G$78,1,$D$3))*$C$131/Pressupostos!$C$31</f>
        <v>425000</v>
      </c>
      <c r="E158" s="33" t="n">
        <f aca="false">INDEX(Pressupostos!$C$282:$G$282,1,$D$3)*(INDEX(Motor!$C$399:$G$399,1,$D$3)+INDEX(Motor!$C$402:$G$402,1,$D$3))*$E$131/Pressupostos!$D$31</f>
        <v>393750</v>
      </c>
      <c r="G158" s="33" t="n">
        <f aca="false">INDEX(Pressupostos!$C$283:$G$283,1,$D$3)*(INDEX(Motor!$C$723:$G$723,1,$D$3)+INDEX(Motor!$C$726:$G$726,1,$D$3))*$G$131/Pressupostos!$E$31</f>
        <v>370588.235294118</v>
      </c>
      <c r="I158" s="33" t="n">
        <f aca="false">INDEX(Pressupostos!$C$284:$G$284,1,$D$3)*(INDEX(Motor!$C$1047:$G$1047,1,$D$3)+INDEX(Motor!$C$1050:$G$1050,1,$D$3))*$I$131/Pressupostos!$F$31</f>
        <v>328125</v>
      </c>
    </row>
    <row r="159" customFormat="false" ht="15" hidden="false" customHeight="false" outlineLevel="0" collapsed="false">
      <c r="A159" s="7" t="s">
        <v>508</v>
      </c>
      <c r="B159" s="8" t="s">
        <v>11</v>
      </c>
      <c r="C159" s="33" t="n">
        <f aca="false">(1-INDEX(Pressupostos!$C$281:$G$281,1,$D$3))*(INDEX(Motor!$C$75:$G$75,1,$D$3)+INDEX(Motor!$C$78:$G$78,1,$D$3))*$C$131</f>
        <v>52500</v>
      </c>
      <c r="E159" s="33" t="n">
        <f aca="false">(1-INDEX(Pressupostos!$C$282:$G$282,1,$D$3))*(INDEX(Motor!$C$399:$G$399,1,$D$3)+INDEX(Motor!$C$402:$G$402,1,$D$3))*$E$131</f>
        <v>35000</v>
      </c>
      <c r="G159" s="33" t="n">
        <f aca="false">(1-INDEX(Pressupostos!$C$283:$G$283,1,$D$3))*(INDEX(Motor!$C$723:$G$723,1,$D$3)+INDEX(Motor!$C$726:$G$726,1,$D$3))*$G$131</f>
        <v>35000</v>
      </c>
      <c r="I159" s="33" t="n">
        <f aca="false">(1-INDEX(Pressupostos!$C$284:$G$284,1,$D$3))*(INDEX(Motor!$C$1047:$G$1047,1,$D$3)+INDEX(Motor!$C$1050:$G$1050,1,$D$3))*$I$131</f>
        <v>87500</v>
      </c>
    </row>
    <row r="160" customFormat="false" ht="15" hidden="false" customHeight="false" outlineLevel="0" collapsed="false">
      <c r="A160" s="7" t="s">
        <v>509</v>
      </c>
      <c r="B160" s="8" t="s">
        <v>76</v>
      </c>
      <c r="C160" s="30" t="n">
        <f aca="false">INDEX(Pressupostos!$C$287:$G$287,1,$D$3)</f>
        <v>0.09</v>
      </c>
      <c r="E160" s="30" t="n">
        <f aca="false">INDEX(Pressupostos!$C$288:$G$288,1,$D$3)</f>
        <v>0.075</v>
      </c>
      <c r="G160" s="30" t="n">
        <f aca="false">INDEX(Pressupostos!$C$289:$G$289,1,$D$3)</f>
        <v>0.07</v>
      </c>
      <c r="I160" s="30" t="n">
        <f aca="false">INDEX(Pressupostos!$C$290:$G$290,1,$D$3)</f>
        <v>0.075</v>
      </c>
    </row>
    <row r="161" customFormat="false" ht="15" hidden="false" customHeight="false" outlineLevel="0" collapsed="false">
      <c r="A161" s="7" t="s">
        <v>510</v>
      </c>
      <c r="B161" s="8" t="s">
        <v>76</v>
      </c>
      <c r="C161" s="30" t="n">
        <f aca="false">INDEX(Pressupostos!$C$287:$G$287,1,$D$3)*(1-Pressupostos!$C$111)</f>
        <v>0.0648</v>
      </c>
      <c r="E161" s="30" t="n">
        <f aca="false">INDEX(Pressupostos!$C$288:$G$288,1,$D$3)*(1-Pressupostos!$C$111)</f>
        <v>0.054</v>
      </c>
      <c r="G161" s="30" t="n">
        <f aca="false">INDEX(Pressupostos!$C$289:$G$289,1,$D$3)*(1-Pressupostos!$C$111)</f>
        <v>0.0504</v>
      </c>
      <c r="I161" s="30" t="n">
        <f aca="false">INDEX(Pressupostos!$C$290:$G$290,1,$D$3)*(1-Pressupostos!$C$111)</f>
        <v>0.054</v>
      </c>
    </row>
    <row r="162" customFormat="false" ht="15" hidden="false" customHeight="false" outlineLevel="0" collapsed="false">
      <c r="A162" s="7" t="s">
        <v>511</v>
      </c>
      <c r="B162" s="8" t="s">
        <v>11</v>
      </c>
      <c r="C162" s="33" t="n">
        <f aca="false">INDEX(Motor!$C$92:$G$92,1,$D$3)*$C$131</f>
        <v>3143.83561643836</v>
      </c>
      <c r="E162" s="33" t="n">
        <f aca="false">INDEX(Motor!$C$416:$G$416,1,$D$3)*$E$131</f>
        <v>2427.22602739726</v>
      </c>
      <c r="G162" s="33" t="n">
        <f aca="false">INDEX(Motor!$C$740:$G$740,1,$D$3)*$G$131</f>
        <v>2132.15149073328</v>
      </c>
      <c r="I162" s="33" t="n">
        <f aca="false">INDEX(Motor!$C$1064:$G$1064,1,$D$3)*$I$131</f>
        <v>2022.68835616438</v>
      </c>
    </row>
    <row r="163" customFormat="false" ht="15" hidden="false" customHeight="false" outlineLevel="0" collapsed="false">
      <c r="A163" s="7" t="s">
        <v>512</v>
      </c>
      <c r="B163" s="8" t="s">
        <v>76</v>
      </c>
      <c r="C163" s="30" t="n">
        <f aca="false">IF(INDEX(Pressupostos!$C$281:$G$281,1,$D$3)&gt;0,INDEX(Motor!$C$92:$G$92,1,$D$3)*$C$131/(INDEX(Pressupostos!$C$281:$G$281,1,$D$3)*(INDEX(Motor!$C$75:$G$75,1,$D$3)+INDEX(Motor!$C$78:$G$78,1,$D$3))*$C$131/Pressupostos!$C$31),0)</f>
        <v>0.0073972602739726</v>
      </c>
      <c r="E163" s="30" t="n">
        <f aca="false">IF(INDEX(Pressupostos!$C$282:$G$282,1,$D$3)&gt;0,INDEX(Motor!$C$416:$G$416,1,$D$3)*$E$131/(INDEX(Pressupostos!$C$282:$G$282,1,$D$3)*(INDEX(Motor!$C$399:$G$399,1,$D$3)+INDEX(Motor!$C$402:$G$402,1,$D$3))*$E$131/Pressupostos!$D$31),0)</f>
        <v>0.00616438356164384</v>
      </c>
      <c r="G163" s="30" t="n">
        <f aca="false">IF(INDEX(Pressupostos!$C$283:$G$283,1,$D$3)&gt;0,INDEX(Motor!$C$740:$G$740,1,$D$3)*$G$131/(INDEX(Pressupostos!$C$283:$G$283,1,$D$3)*(INDEX(Motor!$C$723:$G$723,1,$D$3)+INDEX(Motor!$C$726:$G$726,1,$D$3))*$G$131/Pressupostos!$E$31),0)</f>
        <v>0.00575342465753425</v>
      </c>
      <c r="I163" s="30" t="n">
        <f aca="false">IF(INDEX(Pressupostos!$C$284:$G$284,1,$D$3)&gt;0,INDEX(Motor!$C$1064:$G$1064,1,$D$3)*$I$131/(INDEX(Pressupostos!$C$284:$G$284,1,$D$3)*(INDEX(Motor!$C$1047:$G$1047,1,$D$3)+INDEX(Motor!$C$1050:$G$1050,1,$D$3))*$I$131/Pressupostos!$F$31),0)</f>
        <v>0.00616438356164384</v>
      </c>
    </row>
    <row r="164" customFormat="false" ht="15" hidden="false" customHeight="false" outlineLevel="0" collapsed="false">
      <c r="A164" s="7" t="s">
        <v>513</v>
      </c>
      <c r="B164" s="8" t="s">
        <v>11</v>
      </c>
      <c r="C164" s="33" t="n">
        <f aca="false">MAX(0,MIN(Pressupostos!$C$110*INDEX(Motor!$C$94:$G$94,1,$D$3)*$C$131,Pressupostos!$C$109*INDEX(Pressupostos!$C$281:$G$281,1,$D$3)*(INDEX(Motor!$C$75:$G$75,1,$D$3)+INDEX(Motor!$C$78:$G$78,1,$D$3))*$C$131/Pressupostos!$C$31))</f>
        <v>819.719178082217</v>
      </c>
      <c r="E164" s="33" t="n">
        <f aca="false">MAX(0,MIN(Pressupostos!$C$110*INDEX(Motor!$C$418:$G$418,1,$D$3)*$E$131,Pressupostos!$C$109*INDEX(Pressupostos!$C$282:$G$282,1,$D$3)*(INDEX(Motor!$C$399:$G$399,1,$D$3)+INDEX(Motor!$C$402:$G$402,1,$D$3))*$E$131/Pressupostos!$D$31))</f>
        <v>1034.70205479455</v>
      </c>
      <c r="G164" s="33" t="n">
        <f aca="false">MAX(0,MIN(Pressupostos!$C$110*INDEX(Motor!$C$742:$G$742,1,$D$3)*$G$131,Pressupostos!$C$109*INDEX(Pressupostos!$C$283:$G$283,1,$D$3)*(INDEX(Motor!$C$723:$G$723,1,$D$3)+INDEX(Motor!$C$726:$G$726,1,$D$3))*$G$131/Pressupostos!$E$31))</f>
        <v>1123.22441579374</v>
      </c>
      <c r="I164" s="33" t="n">
        <f aca="false">MAX(0,MIN(Pressupostos!$C$110*INDEX(Motor!$C$1066:$G$1066,1,$D$3)*$I$131,Pressupostos!$C$109*INDEX(Pressupostos!$C$284:$G$284,1,$D$3)*(INDEX(Motor!$C$1047:$G$1047,1,$D$3)+INDEX(Motor!$C$1050:$G$1050,1,$D$3))*$I$131/Pressupostos!$F$31))</f>
        <v>1156.0633561644</v>
      </c>
    </row>
    <row r="165" customFormat="false" ht="15" hidden="false" customHeight="false" outlineLevel="0" collapsed="false">
      <c r="A165" s="7" t="s">
        <v>514</v>
      </c>
      <c r="B165" s="8" t="s">
        <v>11</v>
      </c>
      <c r="C165" s="33" t="n">
        <f aca="false">INDEX(Motor!$C$94:$G$94,1,$D$3)*$C$131-C164</f>
        <v>1912.67808219184</v>
      </c>
      <c r="E165" s="33" t="n">
        <f aca="false">INDEX(Motor!$C$418:$G$418,1,$D$3)*$E$131-E164</f>
        <v>2414.30479452061</v>
      </c>
      <c r="G165" s="33" t="n">
        <f aca="false">INDEX(Motor!$C$742:$G$742,1,$D$3)*$G$131-G164</f>
        <v>2620.85697018539</v>
      </c>
      <c r="I165" s="33" t="n">
        <f aca="false">INDEX(Motor!$C$1066:$G$1066,1,$D$3)*$I$131-I164</f>
        <v>2697.4811643836</v>
      </c>
    </row>
    <row r="166" customFormat="false" ht="15" hidden="false" customHeight="false" outlineLevel="0" collapsed="false">
      <c r="A166" s="7" t="s">
        <v>515</v>
      </c>
      <c r="B166" s="8" t="s">
        <v>11</v>
      </c>
      <c r="C166" s="33" t="n">
        <f aca="false">Pressupostos!$C$121+12*Pressupostos!$C$122</f>
        <v>13</v>
      </c>
      <c r="E166" s="33" t="n">
        <f aca="false">Pressupostos!$C$121+12*Pressupostos!$C$122</f>
        <v>13</v>
      </c>
      <c r="G166" s="33" t="n">
        <f aca="false">Pressupostos!$C$121+12*Pressupostos!$C$122</f>
        <v>13</v>
      </c>
      <c r="I166" s="33" t="n">
        <f aca="false">Pressupostos!$C$121+12*Pressupostos!$C$122</f>
        <v>13</v>
      </c>
    </row>
    <row r="167" customFormat="false" ht="15" hidden="false" customHeight="false" outlineLevel="0" collapsed="false">
      <c r="A167" s="7" t="s">
        <v>516</v>
      </c>
      <c r="B167" s="8" t="s">
        <v>11</v>
      </c>
      <c r="C167" s="33" t="n">
        <f aca="false">Pressupostos!$C$113*(1-INDEX(Pressupostos!$C$281:$G$281,1,$D$3))*(INDEX(Motor!$C$75:$G$75,1,$D$3)+INDEX(Motor!$C$78:$G$78,1,$D$3))*(INDEX(Motor!$C$81:$G$81,1,$D$3)+INDEX(Motor!$C$82:$G$82,1,$D$3)-Pressupostos!$C$72)/365*$C$131</f>
        <v>345.205479452055</v>
      </c>
      <c r="E167" s="33" t="n">
        <f aca="false">Pressupostos!$C$113*(1-INDEX(Pressupostos!$C$282:$G$282,1,$D$3))*(INDEX(Motor!$C$399:$G$399,1,$D$3)+INDEX(Motor!$C$402:$G$402,1,$D$3))*(INDEX(Motor!$C$405:$G$405,1,$D$3)+INDEX(Motor!$C$406:$G$406,1,$D$3)-Pressupostos!$C$72)/365*$E$131</f>
        <v>230.13698630137</v>
      </c>
      <c r="G167" s="33" t="n">
        <f aca="false">Pressupostos!$C$113*(1-INDEX(Pressupostos!$C$283:$G$283,1,$D$3))*(INDEX(Motor!$C$723:$G$723,1,$D$3)+INDEX(Motor!$C$726:$G$726,1,$D$3))*(INDEX(Motor!$C$729:$G$729,1,$D$3)+INDEX(Motor!$C$730:$G$730,1,$D$3)-Pressupostos!$C$72)/365*$G$131</f>
        <v>230.13698630137</v>
      </c>
      <c r="I167" s="33" t="n">
        <f aca="false">Pressupostos!$C$113*(1-INDEX(Pressupostos!$C$284:$G$284,1,$D$3))*(INDEX(Motor!$C$1047:$G$1047,1,$D$3)+INDEX(Motor!$C$1050:$G$1050,1,$D$3))*(INDEX(Motor!$C$1053:$G$1053,1,$D$3)+INDEX(Motor!$C$1054:$G$1054,1,$D$3)-Pressupostos!$C$72)/365*$I$131</f>
        <v>575.342465753425</v>
      </c>
    </row>
    <row r="169" customFormat="false" ht="15" hidden="false" customHeight="false" outlineLevel="0" collapsed="false">
      <c r="A169" s="11" t="s">
        <v>557</v>
      </c>
    </row>
    <row r="170" customFormat="false" ht="23.85" hidden="false" customHeight="false" outlineLevel="0" collapsed="false">
      <c r="A170" s="5" t="s">
        <v>475</v>
      </c>
      <c r="B170" s="5" t="s">
        <v>4</v>
      </c>
      <c r="C170" s="6" t="s">
        <v>477</v>
      </c>
      <c r="D170" s="6" t="s">
        <v>479</v>
      </c>
      <c r="E170" s="6" t="s">
        <v>481</v>
      </c>
      <c r="F170" s="6" t="s">
        <v>483</v>
      </c>
      <c r="G170" s="6"/>
      <c r="H170" s="6"/>
      <c r="I170" s="6"/>
      <c r="J170" s="6"/>
      <c r="K170" s="6" t="s">
        <v>484</v>
      </c>
    </row>
    <row r="171" customFormat="false" ht="15" hidden="false" customHeight="false" outlineLevel="0" collapsed="false">
      <c r="A171" s="7" t="s">
        <v>558</v>
      </c>
      <c r="B171" s="8" t="s">
        <v>64</v>
      </c>
      <c r="C171" s="48" t="n">
        <f aca="false">Pressupostos!$C$10</f>
        <v>3.5</v>
      </c>
      <c r="D171" s="48" t="n">
        <f aca="false">Pressupostos!$D$10</f>
        <v>3.5</v>
      </c>
      <c r="E171" s="48" t="n">
        <f aca="false">Pressupostos!$E$10</f>
        <v>3.5</v>
      </c>
      <c r="F171" s="48" t="n">
        <f aca="false">Pressupostos!$F$10</f>
        <v>3.5</v>
      </c>
    </row>
    <row r="172" customFormat="false" ht="15" hidden="false" customHeight="false" outlineLevel="0" collapsed="false">
      <c r="A172" s="7" t="s">
        <v>559</v>
      </c>
      <c r="B172" s="8" t="s">
        <v>64</v>
      </c>
      <c r="C172" s="37" t="n">
        <f aca="false">INDEX(Motor!$C$98:$G$98,1,$D$3)</f>
        <v>0.02625</v>
      </c>
      <c r="D172" s="37" t="n">
        <f aca="false">INDEX(Motor!$C$422:$G$422,1,$D$3)</f>
        <v>0.02625</v>
      </c>
      <c r="E172" s="37" t="n">
        <f aca="false">INDEX(Motor!$C$746:$G$746,1,$D$3)</f>
        <v>0.02625</v>
      </c>
      <c r="F172" s="37" t="n">
        <f aca="false">INDEX(Motor!$C$1070:$G$1070,1,$D$3)</f>
        <v>0.02625</v>
      </c>
    </row>
    <row r="173" customFormat="false" ht="15" hidden="false" customHeight="false" outlineLevel="0" collapsed="false">
      <c r="A173" s="7" t="s">
        <v>560</v>
      </c>
      <c r="B173" s="8" t="s">
        <v>64</v>
      </c>
      <c r="C173" s="37" t="n">
        <f aca="false">-INDEX(Motor!$C$99:$G$99,1,$D$3)</f>
        <v>-0.019</v>
      </c>
      <c r="D173" s="37" t="n">
        <f aca="false">-INDEX(Motor!$C$423:$G$423,1,$D$3)</f>
        <v>-0.019</v>
      </c>
      <c r="E173" s="37" t="n">
        <f aca="false">-INDEX(Motor!$C$747:$G$747,1,$D$3)</f>
        <v>-0.019</v>
      </c>
      <c r="F173" s="37" t="n">
        <f aca="false">-INDEX(Motor!$C$1071:$G$1071,1,$D$3)</f>
        <v>-0.019</v>
      </c>
    </row>
    <row r="174" customFormat="false" ht="15" hidden="false" customHeight="false" outlineLevel="0" collapsed="false">
      <c r="A174" s="11" t="s">
        <v>561</v>
      </c>
      <c r="B174" s="8" t="s">
        <v>64</v>
      </c>
      <c r="C174" s="47" t="n">
        <f aca="false">INDEX(Motor!$C$100:$G$100,1,$D$3)</f>
        <v>0.00725</v>
      </c>
      <c r="D174" s="47" t="n">
        <f aca="false">INDEX(Motor!$C$424:$G$424,1,$D$3)</f>
        <v>0.00725</v>
      </c>
      <c r="E174" s="47" t="n">
        <f aca="false">INDEX(Motor!$C$748:$G$748,1,$D$3)</f>
        <v>0.00725</v>
      </c>
      <c r="F174" s="47" t="n">
        <f aca="false">INDEX(Motor!$C$1072:$G$1072,1,$D$3)</f>
        <v>0.00725</v>
      </c>
    </row>
    <row r="175" customFormat="false" ht="15" hidden="false" customHeight="false" outlineLevel="0" collapsed="false">
      <c r="A175" s="7" t="s">
        <v>562</v>
      </c>
      <c r="B175" s="8" t="s">
        <v>11</v>
      </c>
      <c r="C175" s="33" t="n">
        <f aca="false">C174*Pressupostos!$C$59*1000</f>
        <v>725</v>
      </c>
      <c r="D175" s="33" t="n">
        <f aca="false">D174*Pressupostos!$C$59*1000</f>
        <v>725</v>
      </c>
      <c r="E175" s="33" t="n">
        <f aca="false">E174*Pressupostos!$C$59*1000</f>
        <v>725</v>
      </c>
      <c r="F175" s="33" t="n">
        <f aca="false">F174*Pressupostos!$C$59*1000</f>
        <v>725</v>
      </c>
    </row>
    <row r="177" customFormat="false" ht="15" hidden="false" customHeight="false" outlineLevel="0" collapsed="false">
      <c r="A177" s="11" t="s">
        <v>563</v>
      </c>
    </row>
    <row r="178" customFormat="false" ht="35.05" hidden="false" customHeight="false" outlineLevel="0" collapsed="false">
      <c r="A178" s="5" t="s">
        <v>475</v>
      </c>
      <c r="B178" s="5" t="s">
        <v>4</v>
      </c>
      <c r="C178" s="6" t="s">
        <v>564</v>
      </c>
      <c r="D178" s="6" t="s">
        <v>565</v>
      </c>
      <c r="E178" s="6" t="s">
        <v>566</v>
      </c>
      <c r="F178" s="6" t="s">
        <v>567</v>
      </c>
      <c r="G178" s="6" t="s">
        <v>568</v>
      </c>
      <c r="H178" s="6" t="s">
        <v>569</v>
      </c>
      <c r="I178" s="6"/>
      <c r="J178" s="6" t="s">
        <v>484</v>
      </c>
    </row>
    <row r="179" customFormat="false" ht="15" hidden="false" customHeight="false" outlineLevel="0" collapsed="false">
      <c r="A179" s="7" t="s">
        <v>570</v>
      </c>
      <c r="B179" s="8" t="s">
        <v>189</v>
      </c>
      <c r="C179" s="33" t="n">
        <f aca="false">Pressupostos!$C$85*Pressupostos!$C$78</f>
        <v>15000</v>
      </c>
      <c r="D179" s="33" t="n">
        <f aca="false">Pressupostos!$C$85*Pressupostos!$C$78</f>
        <v>15000</v>
      </c>
      <c r="E179" s="33" t="n">
        <f aca="false">Pressupostos!$C$85*Pressupostos!$C$78</f>
        <v>15000</v>
      </c>
      <c r="F179" s="33" t="n">
        <f aca="false">Pressupostos!$C$85*Pressupostos!$C$78</f>
        <v>15000</v>
      </c>
      <c r="G179" s="33" t="n">
        <f aca="false">Pressupostos!$C$85*Pressupostos!$C$78</f>
        <v>15000</v>
      </c>
      <c r="H179" s="33" t="n">
        <f aca="false">Pressupostos!$C$85*Pressupostos!$C$78</f>
        <v>15000</v>
      </c>
    </row>
    <row r="180" customFormat="false" ht="15" hidden="false" customHeight="false" outlineLevel="0" collapsed="false">
      <c r="A180" s="7" t="s">
        <v>571</v>
      </c>
      <c r="B180" s="8" t="s">
        <v>11</v>
      </c>
      <c r="C180" s="33" t="n">
        <f aca="false">C179*Pressupostos!$C$80</f>
        <v>6000</v>
      </c>
      <c r="D180" s="33" t="n">
        <f aca="false">D179*Pressupostos!$C$80</f>
        <v>6000</v>
      </c>
      <c r="E180" s="33" t="n">
        <f aca="false">E179*Pressupostos!$C$80</f>
        <v>6000</v>
      </c>
      <c r="F180" s="33" t="n">
        <f aca="false">F179*Pressupostos!$C$80</f>
        <v>6000</v>
      </c>
      <c r="G180" s="33" t="n">
        <f aca="false">G179*Pressupostos!$C$80</f>
        <v>6000</v>
      </c>
      <c r="H180" s="33" t="n">
        <f aca="false">H179*Pressupostos!$C$80</f>
        <v>6000</v>
      </c>
    </row>
    <row r="181" customFormat="false" ht="15" hidden="false" customHeight="false" outlineLevel="0" collapsed="false">
      <c r="A181" s="7" t="s">
        <v>572</v>
      </c>
      <c r="B181" s="8" t="s">
        <v>11</v>
      </c>
      <c r="C181" s="33" t="n">
        <f aca="false">C180*(1-Pressupostos!$C$81)</f>
        <v>5400</v>
      </c>
      <c r="D181" s="33" t="n">
        <f aca="false">D180*(1-Pressupostos!$C$86)</f>
        <v>5100</v>
      </c>
      <c r="E181" s="33" t="n">
        <f aca="false">E180*(1-Pressupostos!$C$81)</f>
        <v>5400</v>
      </c>
      <c r="F181" s="33" t="n">
        <f aca="false">F180*(1-Pressupostos!$C$81)</f>
        <v>5400</v>
      </c>
      <c r="G181" s="33" t="n">
        <f aca="false">G180*(1-Pressupostos!$C$81)</f>
        <v>5400</v>
      </c>
      <c r="H181" s="33" t="n">
        <f aca="false">H180*(1-Pressupostos!$C$81)</f>
        <v>5400</v>
      </c>
    </row>
    <row r="182" customFormat="false" ht="15" hidden="false" customHeight="false" outlineLevel="0" collapsed="false">
      <c r="A182" s="7" t="s">
        <v>573</v>
      </c>
      <c r="B182" s="8" t="s">
        <v>11</v>
      </c>
      <c r="C182" s="33" t="n">
        <f aca="false">-C179*Pressupostos!$C$83</f>
        <v>-3600</v>
      </c>
      <c r="D182" s="33" t="n">
        <f aca="false">-D179*Pressupostos!$C$83</f>
        <v>-3600</v>
      </c>
      <c r="E182" s="50" t="s">
        <v>148</v>
      </c>
      <c r="F182" s="50" t="s">
        <v>148</v>
      </c>
      <c r="G182" s="50" t="s">
        <v>148</v>
      </c>
      <c r="H182" s="50" t="s">
        <v>148</v>
      </c>
    </row>
    <row r="183" customFormat="false" ht="15" hidden="false" customHeight="false" outlineLevel="0" collapsed="false">
      <c r="A183" s="7" t="s">
        <v>574</v>
      </c>
      <c r="B183" s="8" t="s">
        <v>11</v>
      </c>
      <c r="C183" s="33" t="n">
        <f aca="false">-(Pressupostos!$C$87+Pressupostos!$C$88*C179)</f>
        <v>-950</v>
      </c>
      <c r="D183" s="33" t="n">
        <f aca="false">-(Pressupostos!$C$87+Pressupostos!$C$88*D179)</f>
        <v>-950</v>
      </c>
      <c r="E183" s="50" t="s">
        <v>148</v>
      </c>
      <c r="F183" s="50" t="s">
        <v>148</v>
      </c>
      <c r="G183" s="50" t="s">
        <v>148</v>
      </c>
      <c r="H183" s="50" t="s">
        <v>148</v>
      </c>
    </row>
    <row r="184" customFormat="false" ht="15" hidden="false" customHeight="false" outlineLevel="0" collapsed="false">
      <c r="A184" s="7" t="s">
        <v>575</v>
      </c>
      <c r="B184" s="8" t="s">
        <v>11</v>
      </c>
      <c r="C184" s="33" t="n">
        <f aca="false">-Pressupostos!$C$89</f>
        <v>-150</v>
      </c>
      <c r="D184" s="33" t="n">
        <f aca="false">-Pressupostos!$C$89</f>
        <v>-150</v>
      </c>
      <c r="E184" s="50" t="s">
        <v>148</v>
      </c>
      <c r="F184" s="50" t="s">
        <v>148</v>
      </c>
      <c r="G184" s="50" t="s">
        <v>148</v>
      </c>
      <c r="H184" s="50" t="s">
        <v>148</v>
      </c>
    </row>
    <row r="185" customFormat="false" ht="15" hidden="false" customHeight="false" outlineLevel="0" collapsed="false">
      <c r="A185" s="7" t="s">
        <v>576</v>
      </c>
      <c r="B185" s="8" t="s">
        <v>11</v>
      </c>
      <c r="C185" s="33" t="n">
        <f aca="false">Pressupostos!$C$85*Pressupostos!$C$79*Pressupostos!$C$84</f>
        <v>1000</v>
      </c>
      <c r="D185" s="33" t="n">
        <f aca="false">Pressupostos!$C$85*Pressupostos!$C$79*Pressupostos!$C$84</f>
        <v>1000</v>
      </c>
      <c r="E185" s="33" t="n">
        <f aca="false">0</f>
        <v>0</v>
      </c>
      <c r="F185" s="33" t="n">
        <f aca="false">0</f>
        <v>0</v>
      </c>
      <c r="G185" s="33" t="n">
        <f aca="false">0</f>
        <v>0</v>
      </c>
      <c r="H185" s="33" t="n">
        <f aca="false">0</f>
        <v>0</v>
      </c>
    </row>
    <row r="186" customFormat="false" ht="15" hidden="false" customHeight="false" outlineLevel="0" collapsed="false">
      <c r="A186" s="7" t="s">
        <v>577</v>
      </c>
      <c r="B186" s="8" t="s">
        <v>11</v>
      </c>
      <c r="C186" s="33" t="n">
        <f aca="false">-INDEX(Pressupostos!$C$288:$G$288,1,1)*(-C182+C185)*Pressupostos!$C$90/365</f>
        <v>-30.2465753424658</v>
      </c>
      <c r="D186" s="33" t="n">
        <f aca="false">-INDEX(Pressupostos!$C$288:$G$288,1,1)*(-D182+D185)*Pressupostos!$C$90/365</f>
        <v>-30.2465753424658</v>
      </c>
      <c r="E186" s="50" t="s">
        <v>148</v>
      </c>
      <c r="F186" s="50" t="s">
        <v>148</v>
      </c>
      <c r="G186" s="50" t="s">
        <v>148</v>
      </c>
      <c r="H186" s="50" t="s">
        <v>148</v>
      </c>
      <c r="K186" s="2" t="s">
        <v>578</v>
      </c>
    </row>
    <row r="187" customFormat="false" ht="15" hidden="false" customHeight="false" outlineLevel="0" collapsed="false">
      <c r="A187" s="7" t="s">
        <v>579</v>
      </c>
      <c r="B187" s="8" t="s">
        <v>11</v>
      </c>
      <c r="C187" s="33" t="n">
        <f aca="false">-Pressupostos!$D$18*C181</f>
        <v>-32.4</v>
      </c>
      <c r="D187" s="33" t="n">
        <f aca="false">-Pressupostos!$D$18*D181</f>
        <v>-30.6</v>
      </c>
      <c r="E187" s="50" t="s">
        <v>148</v>
      </c>
      <c r="F187" s="50" t="s">
        <v>148</v>
      </c>
      <c r="G187" s="50" t="s">
        <v>148</v>
      </c>
      <c r="H187" s="50" t="s">
        <v>148</v>
      </c>
    </row>
    <row r="188" customFormat="false" ht="15" hidden="false" customHeight="false" outlineLevel="0" collapsed="false">
      <c r="A188" s="11" t="s">
        <v>580</v>
      </c>
      <c r="B188" s="8" t="s">
        <v>11</v>
      </c>
      <c r="C188" s="46" t="n">
        <f aca="false">C181+C182+C183+C184+C186+C187</f>
        <v>637.353424657534</v>
      </c>
      <c r="D188" s="46" t="n">
        <f aca="false">D181+D182+D183+D184+D186+D187</f>
        <v>339.153424657534</v>
      </c>
      <c r="E188" s="46" t="n">
        <f aca="false">E181*Pressupostos!$C$27</f>
        <v>54</v>
      </c>
      <c r="F188" s="46" t="n">
        <f aca="false">F181*Pressupostos!$D$27</f>
        <v>108</v>
      </c>
      <c r="G188" s="46" t="n">
        <f aca="false">G181*Pressupostos!$E$27</f>
        <v>162</v>
      </c>
      <c r="H188" s="46" t="n">
        <f aca="false">H181*Pressupostos!$F$27</f>
        <v>108</v>
      </c>
    </row>
    <row r="189" customFormat="false" ht="15" hidden="false" customHeight="false" outlineLevel="0" collapsed="false">
      <c r="A189" s="7" t="s">
        <v>581</v>
      </c>
      <c r="B189" s="8" t="s">
        <v>76</v>
      </c>
      <c r="C189" s="26" t="n">
        <f aca="false">IF(C181&gt;0,C188/C181,0)</f>
        <v>0.118028411973617</v>
      </c>
      <c r="D189" s="26" t="n">
        <f aca="false">IF(D181&gt;0,D188/D181,0)</f>
        <v>0.0665006715014773</v>
      </c>
      <c r="E189" s="26" t="n">
        <f aca="false">IF(E181&gt;0,E188/E181,0)</f>
        <v>0.01</v>
      </c>
      <c r="F189" s="26" t="n">
        <f aca="false">IF(F181&gt;0,F188/F181,0)</f>
        <v>0.02</v>
      </c>
      <c r="G189" s="26" t="n">
        <f aca="false">IF(G181&gt;0,G188/G181,0)</f>
        <v>0.03</v>
      </c>
      <c r="H189" s="26" t="n">
        <f aca="false">IF(H181&gt;0,H188/H181,0)</f>
        <v>0.02</v>
      </c>
    </row>
    <row r="190" customFormat="false" ht="15" hidden="false" customHeight="false" outlineLevel="0" collapsed="false">
      <c r="A190" s="7" t="s">
        <v>582</v>
      </c>
      <c r="B190" s="8" t="s">
        <v>583</v>
      </c>
      <c r="C190" s="24" t="n">
        <f aca="false">C188/Pressupostos!$C$85</f>
        <v>31.8676712328767</v>
      </c>
      <c r="D190" s="24" t="n">
        <f aca="false">D188/Pressupostos!$C$85</f>
        <v>16.9576712328767</v>
      </c>
      <c r="E190" s="24" t="n">
        <f aca="false">E188/Pressupostos!$C$85</f>
        <v>2.7</v>
      </c>
      <c r="F190" s="24" t="n">
        <f aca="false">F188/Pressupostos!$C$85</f>
        <v>5.4</v>
      </c>
      <c r="G190" s="24" t="n">
        <f aca="false">G188/Pressupostos!$C$85</f>
        <v>8.1</v>
      </c>
      <c r="H190" s="24" t="n">
        <f aca="false">H188/Pressupostos!$C$85</f>
        <v>5.4</v>
      </c>
    </row>
    <row r="191" customFormat="false" ht="15" hidden="false" customHeight="false" outlineLevel="0" collapsed="false">
      <c r="A191" s="7" t="s">
        <v>584</v>
      </c>
      <c r="B191" s="8" t="s">
        <v>11</v>
      </c>
      <c r="C191" s="33" t="n">
        <f aca="false">0</f>
        <v>0</v>
      </c>
      <c r="D191" s="33" t="n">
        <f aca="false">0</f>
        <v>0</v>
      </c>
      <c r="E191" s="33" t="n">
        <f aca="false">0</f>
        <v>0</v>
      </c>
      <c r="F191" s="33" t="n">
        <f aca="false">0</f>
        <v>0</v>
      </c>
      <c r="G191" s="33" t="n">
        <f aca="false">0</f>
        <v>0</v>
      </c>
      <c r="H191" s="33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585</v>
      </c>
    </row>
    <row r="2" customFormat="false" ht="15" hidden="false" customHeight="false" outlineLevel="0" collapsed="false">
      <c r="A2" s="2" t="s">
        <v>586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587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588</v>
      </c>
      <c r="B6" s="8"/>
      <c r="C6" s="52" t="n">
        <v>2027</v>
      </c>
      <c r="D6" s="52" t="n">
        <v>2028</v>
      </c>
      <c r="E6" s="52" t="n">
        <v>2029</v>
      </c>
      <c r="F6" s="52" t="n">
        <v>2030</v>
      </c>
      <c r="G6" s="52" t="n">
        <v>2031</v>
      </c>
    </row>
    <row r="8" customFormat="false" ht="15" hidden="false" customHeight="false" outlineLevel="0" collapsed="false">
      <c r="A8" s="3" t="s">
        <v>589</v>
      </c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387</v>
      </c>
      <c r="B9" s="8" t="s">
        <v>123</v>
      </c>
      <c r="C9" s="53" t="n">
        <f aca="false">Pressupostos!$C$216</f>
        <v>40</v>
      </c>
      <c r="D9" s="53" t="n">
        <f aca="false">Pressupostos!$D$216</f>
        <v>180</v>
      </c>
      <c r="E9" s="53" t="n">
        <f aca="false">Pressupostos!$E$216</f>
        <v>650</v>
      </c>
      <c r="F9" s="53" t="n">
        <f aca="false">Pressupostos!$F$216</f>
        <v>1300</v>
      </c>
      <c r="G9" s="53" t="n">
        <f aca="false">Pressupostos!$G$216</f>
        <v>2000</v>
      </c>
    </row>
    <row r="10" customFormat="false" ht="15" hidden="false" customHeight="false" outlineLevel="0" collapsed="false">
      <c r="A10" s="7" t="s">
        <v>590</v>
      </c>
      <c r="B10" s="8" t="s">
        <v>120</v>
      </c>
      <c r="C10" s="54" t="n">
        <f aca="false">Pressupostos!$C$222</f>
        <v>8</v>
      </c>
      <c r="D10" s="54" t="n">
        <f aca="false">Pressupostos!$D$222</f>
        <v>37</v>
      </c>
      <c r="E10" s="54" t="n">
        <f aca="false">Pressupostos!$E$222</f>
        <v>133</v>
      </c>
      <c r="F10" s="54" t="n">
        <f aca="false">Pressupostos!$F$222</f>
        <v>267</v>
      </c>
      <c r="G10" s="54" t="n">
        <f aca="false">Pressupostos!$G$222</f>
        <v>410</v>
      </c>
    </row>
    <row r="11" customFormat="false" ht="15" hidden="false" customHeight="false" outlineLevel="0" collapsed="false">
      <c r="A11" s="7" t="s">
        <v>591</v>
      </c>
      <c r="B11" s="8" t="s">
        <v>120</v>
      </c>
      <c r="C11" s="54" t="n">
        <f aca="false">Pressupostos!$C$228</f>
        <v>52</v>
      </c>
      <c r="D11" s="54" t="n">
        <f aca="false">Pressupostos!$D$228</f>
        <v>363</v>
      </c>
      <c r="E11" s="54" t="n">
        <f aca="false">Pressupostos!$E$228</f>
        <v>717</v>
      </c>
      <c r="F11" s="54" t="n">
        <f aca="false">Pressupostos!$F$228</f>
        <v>1183</v>
      </c>
      <c r="G11" s="54" t="n">
        <f aca="false">Pressupostos!$G$228</f>
        <v>1790</v>
      </c>
    </row>
    <row r="12" customFormat="false" ht="15" hidden="false" customHeight="false" outlineLevel="0" collapsed="false">
      <c r="A12" s="7" t="s">
        <v>398</v>
      </c>
      <c r="B12" s="8" t="s">
        <v>120</v>
      </c>
      <c r="C12" s="54" t="n">
        <f aca="false">Pressupostos!$C$234</f>
        <v>0</v>
      </c>
      <c r="D12" s="54" t="n">
        <f aca="false">Pressupostos!$D$234</f>
        <v>0</v>
      </c>
      <c r="E12" s="54" t="n">
        <f aca="false">Pressupostos!$E$234</f>
        <v>0</v>
      </c>
      <c r="F12" s="54" t="n">
        <f aca="false">Pressupostos!$F$234</f>
        <v>0</v>
      </c>
      <c r="G12" s="54" t="n">
        <f aca="false">Pressupostos!$G$234</f>
        <v>0</v>
      </c>
    </row>
    <row r="13" customFormat="false" ht="15" hidden="false" customHeight="false" outlineLevel="0" collapsed="false">
      <c r="A13" s="7" t="s">
        <v>592</v>
      </c>
      <c r="B13" s="8" t="s">
        <v>120</v>
      </c>
      <c r="C13" s="55" t="n">
        <f aca="false">C12*Pressupostos!$G$33</f>
        <v>0</v>
      </c>
      <c r="D13" s="55" t="n">
        <f aca="false">D12*Pressupostos!$G$33</f>
        <v>0</v>
      </c>
      <c r="E13" s="55" t="n">
        <f aca="false">E12*Pressupostos!$G$33</f>
        <v>0</v>
      </c>
      <c r="F13" s="55" t="n">
        <f aca="false">F12*Pressupostos!$G$33</f>
        <v>0</v>
      </c>
      <c r="G13" s="55" t="n">
        <f aca="false">G12*Pressupostos!$G$33</f>
        <v>0</v>
      </c>
    </row>
    <row r="14" customFormat="false" ht="15" hidden="false" customHeight="false" outlineLevel="0" collapsed="false">
      <c r="A14" s="7" t="s">
        <v>593</v>
      </c>
      <c r="B14" s="8" t="s">
        <v>120</v>
      </c>
      <c r="C14" s="55" t="n">
        <f aca="false">C12-C13</f>
        <v>0</v>
      </c>
      <c r="D14" s="55" t="n">
        <f aca="false">D12-D13</f>
        <v>0</v>
      </c>
      <c r="E14" s="55" t="n">
        <f aca="false">E12-E13</f>
        <v>0</v>
      </c>
      <c r="F14" s="55" t="n">
        <f aca="false">F12-F13</f>
        <v>0</v>
      </c>
      <c r="G14" s="55" t="n">
        <f aca="false">G12-G13</f>
        <v>0</v>
      </c>
    </row>
    <row r="15" customFormat="false" ht="15" hidden="false" customHeight="false" outlineLevel="0" collapsed="false">
      <c r="A15" s="56" t="s">
        <v>594</v>
      </c>
      <c r="B15" s="57" t="s">
        <v>120</v>
      </c>
      <c r="C15" s="58" t="n">
        <f aca="false">C10+C11+C12</f>
        <v>60</v>
      </c>
      <c r="D15" s="58" t="n">
        <f aca="false">D10+D11+D12</f>
        <v>400</v>
      </c>
      <c r="E15" s="58" t="n">
        <f aca="false">E10+E11+E12</f>
        <v>850</v>
      </c>
      <c r="F15" s="58" t="n">
        <f aca="false">F10+F11+F12</f>
        <v>1450</v>
      </c>
      <c r="G15" s="58" t="n">
        <f aca="false">G10+G11+G12</f>
        <v>2200</v>
      </c>
    </row>
    <row r="16" customFormat="false" ht="15" hidden="false" customHeight="false" outlineLevel="0" collapsed="false">
      <c r="A16" s="7" t="s">
        <v>595</v>
      </c>
      <c r="B16" s="8" t="s">
        <v>76</v>
      </c>
      <c r="C16" s="59" t="n">
        <f aca="false">IF(C15&gt;0,C10/C15,0)</f>
        <v>0.133333333333333</v>
      </c>
      <c r="D16" s="59" t="n">
        <f aca="false">IF(D15&gt;0,D10/D15,0)</f>
        <v>0.0925</v>
      </c>
      <c r="E16" s="59" t="n">
        <f aca="false">IF(E15&gt;0,E10/E15,0)</f>
        <v>0.156470588235294</v>
      </c>
      <c r="F16" s="59" t="n">
        <f aca="false">IF(F15&gt;0,F10/F15,0)</f>
        <v>0.184137931034483</v>
      </c>
      <c r="G16" s="59" t="n">
        <f aca="false">IF(G15&gt;0,G10/G15,0)</f>
        <v>0.186363636363636</v>
      </c>
    </row>
    <row r="17" customFormat="false" ht="15" hidden="false" customHeight="false" outlineLevel="0" collapsed="false">
      <c r="A17" s="7" t="s">
        <v>596</v>
      </c>
      <c r="B17" s="8" t="s">
        <v>76</v>
      </c>
      <c r="C17" s="60" t="n">
        <f aca="false">C15/(Pressupostos!$C$76*1000)</f>
        <v>0.000353982300884956</v>
      </c>
      <c r="D17" s="60" t="n">
        <f aca="false">D15/(Pressupostos!$C$76*1000)</f>
        <v>0.00235988200589971</v>
      </c>
      <c r="E17" s="60" t="n">
        <f aca="false">E15/(Pressupostos!$C$76*1000)</f>
        <v>0.00501474926253687</v>
      </c>
      <c r="F17" s="60" t="n">
        <f aca="false">F15/(Pressupostos!$C$76*1000)</f>
        <v>0.00855457227138643</v>
      </c>
      <c r="G17" s="60" t="n">
        <f aca="false">G15/(Pressupostos!$C$76*1000)</f>
        <v>0.0129793510324484</v>
      </c>
    </row>
    <row r="18" customFormat="false" ht="15" hidden="false" customHeight="false" outlineLevel="0" collapsed="false">
      <c r="A18" s="7" t="s">
        <v>597</v>
      </c>
      <c r="B18" s="8" t="s">
        <v>123</v>
      </c>
      <c r="C18" s="55" t="n">
        <f aca="false">C10/Pressupostos!$C$40+C11/Pressupostos!$C$47+C12/Pressupostos!$C$59</f>
        <v>2.13333333333333</v>
      </c>
      <c r="D18" s="55" t="n">
        <f aca="false">D10/Pressupostos!$C$40+D11/Pressupostos!$C$47+D12/Pressupostos!$C$59</f>
        <v>13.95</v>
      </c>
      <c r="E18" s="55" t="n">
        <f aca="false">E10/Pressupostos!$C$40+E11/Pressupostos!$C$47+E12/Pressupostos!$C$59</f>
        <v>30.55</v>
      </c>
      <c r="F18" s="55" t="n">
        <f aca="false">F10/Pressupostos!$C$40+F11/Pressupostos!$C$47+F12/Pressupostos!$C$59</f>
        <v>52.7833333333333</v>
      </c>
      <c r="G18" s="55" t="n">
        <f aca="false">G10/Pressupostos!$C$40+G11/Pressupostos!$C$47+G12/Pressupostos!$C$59</f>
        <v>80.1666666666667</v>
      </c>
    </row>
    <row r="20" customFormat="false" ht="15" hidden="false" customHeight="false" outlineLevel="0" collapsed="false">
      <c r="A20" s="3" t="s">
        <v>598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599</v>
      </c>
      <c r="B21" s="8" t="s">
        <v>202</v>
      </c>
      <c r="C21" s="53" t="n">
        <f aca="false">Pressupostos!$C$260</f>
        <v>150</v>
      </c>
      <c r="D21" s="53" t="n">
        <f aca="false">Pressupostos!$D$260</f>
        <v>600</v>
      </c>
      <c r="E21" s="53" t="n">
        <f aca="false">Pressupostos!$E$260</f>
        <v>1000</v>
      </c>
      <c r="F21" s="53" t="n">
        <f aca="false">Pressupostos!$F$260</f>
        <v>1400</v>
      </c>
      <c r="G21" s="53" t="n">
        <f aca="false">Pressupostos!$G$260</f>
        <v>1800</v>
      </c>
    </row>
    <row r="22" customFormat="false" ht="15" hidden="false" customHeight="false" outlineLevel="0" collapsed="false">
      <c r="A22" s="7" t="s">
        <v>599</v>
      </c>
      <c r="B22" s="8" t="s">
        <v>189</v>
      </c>
      <c r="C22" s="61" t="n">
        <f aca="false">C21*Pressupostos!$C$78</f>
        <v>112500</v>
      </c>
      <c r="D22" s="61" t="n">
        <f aca="false">D21*Pressupostos!$C$78</f>
        <v>450000</v>
      </c>
      <c r="E22" s="61" t="n">
        <f aca="false">E21*Pressupostos!$C$78</f>
        <v>750000</v>
      </c>
      <c r="F22" s="61" t="n">
        <f aca="false">F21*Pressupostos!$C$78</f>
        <v>1050000</v>
      </c>
      <c r="G22" s="61" t="n">
        <f aca="false">G21*Pressupostos!$C$78</f>
        <v>1350000</v>
      </c>
    </row>
    <row r="24" customFormat="false" ht="15" hidden="false" customHeight="false" outlineLevel="0" collapsed="false">
      <c r="A24" s="3" t="s">
        <v>600</v>
      </c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601</v>
      </c>
      <c r="B25" s="8" t="s">
        <v>120</v>
      </c>
      <c r="C25" s="55" t="n">
        <f aca="false">IF(C6&lt;Pressupostos!$G$28,0,Pressupostos!$C$266)</f>
        <v>0</v>
      </c>
      <c r="D25" s="55" t="n">
        <f aca="false">IF(D6&lt;Pressupostos!$G$28,0,Pressupostos!$D$266)</f>
        <v>0</v>
      </c>
      <c r="E25" s="55" t="n">
        <f aca="false">IF(E6&lt;Pressupostos!$G$28,0,Pressupostos!$E$266)</f>
        <v>30</v>
      </c>
      <c r="F25" s="55" t="n">
        <f aca="false">IF(F6&lt;Pressupostos!$G$28,0,Pressupostos!$F$266)</f>
        <v>60</v>
      </c>
      <c r="G25" s="55" t="n">
        <f aca="false">IF(G6&lt;Pressupostos!$G$28,0,Pressupostos!$G$266)</f>
        <v>100</v>
      </c>
    </row>
    <row r="27" customFormat="false" ht="15" hidden="false" customHeight="false" outlineLevel="0" collapsed="false">
      <c r="A27" s="3" t="s">
        <v>602</v>
      </c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7" t="s">
        <v>603</v>
      </c>
      <c r="B28" s="8" t="s">
        <v>11</v>
      </c>
      <c r="C28" s="53" t="n">
        <f aca="false">Pressupostos!$C$272</f>
        <v>0</v>
      </c>
      <c r="D28" s="53" t="n">
        <f aca="false">Pressupostos!$D$272</f>
        <v>500000</v>
      </c>
      <c r="E28" s="53" t="n">
        <f aca="false">Pressupostos!$E$272</f>
        <v>1500000</v>
      </c>
      <c r="F28" s="53" t="n">
        <f aca="false">Pressupostos!$F$272</f>
        <v>3000000</v>
      </c>
      <c r="G28" s="53" t="n">
        <f aca="false">Pressupostos!$G$272</f>
        <v>5000000</v>
      </c>
    </row>
    <row r="29" customFormat="false" ht="15" hidden="false" customHeight="false" outlineLevel="0" collapsed="false">
      <c r="A29" s="7" t="s">
        <v>604</v>
      </c>
      <c r="B29" s="8" t="s">
        <v>120</v>
      </c>
      <c r="C29" s="55" t="n">
        <f aca="false">C28/(Pressupostos!$C$105*Pressupostos!$C$106)*Pressupostos!$C$102/1000</f>
        <v>0</v>
      </c>
      <c r="D29" s="55" t="n">
        <f aca="false">D28/(Pressupostos!$C$105*Pressupostos!$C$106)*Pressupostos!$C$102/1000</f>
        <v>457.142857142857</v>
      </c>
      <c r="E29" s="55" t="n">
        <f aca="false">E28/(Pressupostos!$C$105*Pressupostos!$C$106)*Pressupostos!$C$102/1000</f>
        <v>1371.42857142857</v>
      </c>
      <c r="F29" s="55" t="n">
        <f aca="false">F28/(Pressupostos!$C$105*Pressupostos!$C$106)*Pressupostos!$C$102/1000</f>
        <v>2742.85714285714</v>
      </c>
      <c r="G29" s="55" t="n">
        <f aca="false">G28/(Pressupostos!$C$105*Pressupostos!$C$106)*Pressupostos!$C$102/1000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606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607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608</v>
      </c>
      <c r="B6" s="8" t="s">
        <v>11</v>
      </c>
      <c r="C6" s="61" t="n">
        <f aca="false">Volumes!C10*1000*Custos!C8</f>
        <v>40680</v>
      </c>
      <c r="D6" s="61" t="n">
        <f aca="false">Volumes!D10*1000*Custos!D8</f>
        <v>188145</v>
      </c>
      <c r="E6" s="61" t="n">
        <f aca="false">Volumes!E10*1000*Custos!E8</f>
        <v>676305</v>
      </c>
      <c r="F6" s="61" t="n">
        <f aca="false">Volumes!F10*1000*Custos!F8</f>
        <v>1357695</v>
      </c>
      <c r="G6" s="61" t="n">
        <f aca="false">Volumes!G10*1000*Custos!G8</f>
        <v>2084850</v>
      </c>
    </row>
    <row r="7" customFormat="false" ht="15" hidden="false" customHeight="false" outlineLevel="0" collapsed="false">
      <c r="A7" s="7" t="s">
        <v>609</v>
      </c>
      <c r="B7" s="8" t="s">
        <v>11</v>
      </c>
      <c r="C7" s="61" t="n">
        <f aca="false">Volumes!C11*1000*Custos!C32</f>
        <v>226200</v>
      </c>
      <c r="D7" s="61" t="n">
        <f aca="false">Volumes!D11*1000*Custos!D32</f>
        <v>1579050</v>
      </c>
      <c r="E7" s="61" t="n">
        <f aca="false">Volumes!E11*1000*Custos!E32</f>
        <v>3118950</v>
      </c>
      <c r="F7" s="61" t="n">
        <f aca="false">Volumes!F11*1000*Custos!F32</f>
        <v>5146050</v>
      </c>
      <c r="G7" s="61" t="n">
        <f aca="false">Volumes!G11*1000*Custos!G32</f>
        <v>7786500</v>
      </c>
    </row>
    <row r="8" customFormat="false" ht="15" hidden="false" customHeight="false" outlineLevel="0" collapsed="false">
      <c r="A8" s="7" t="s">
        <v>610</v>
      </c>
      <c r="B8" s="8" t="s">
        <v>11</v>
      </c>
      <c r="C8" s="61" t="n">
        <f aca="false">Volumes!C13*1000*Custos!C56</f>
        <v>0</v>
      </c>
      <c r="D8" s="61" t="n">
        <f aca="false">Volumes!D13*1000*Custos!D56</f>
        <v>0</v>
      </c>
      <c r="E8" s="61" t="n">
        <f aca="false">Volumes!E13*1000*Custos!E56</f>
        <v>0</v>
      </c>
      <c r="F8" s="61" t="n">
        <f aca="false">Volumes!F13*1000*Custos!F56</f>
        <v>0</v>
      </c>
      <c r="G8" s="61" t="n">
        <f aca="false">Volumes!G13*1000*Custos!G56</f>
        <v>0</v>
      </c>
    </row>
    <row r="9" customFormat="false" ht="15" hidden="false" customHeight="false" outlineLevel="0" collapsed="false">
      <c r="A9" s="7" t="s">
        <v>611</v>
      </c>
      <c r="B9" s="8" t="s">
        <v>11</v>
      </c>
      <c r="C9" s="61" t="n">
        <f aca="false">C6+C7+C8</f>
        <v>266880</v>
      </c>
      <c r="D9" s="61" t="n">
        <f aca="false">D6+D7+D8</f>
        <v>1767195</v>
      </c>
      <c r="E9" s="61" t="n">
        <f aca="false">E6+E7+E8</f>
        <v>3795255</v>
      </c>
      <c r="F9" s="61" t="n">
        <f aca="false">F6+F7+F8</f>
        <v>6503745</v>
      </c>
      <c r="G9" s="61" t="n">
        <f aca="false">G6+G7+G8</f>
        <v>9871350</v>
      </c>
    </row>
    <row r="10" customFormat="false" ht="15" hidden="false" customHeight="false" outlineLevel="0" collapsed="false">
      <c r="A10" s="7" t="s">
        <v>612</v>
      </c>
      <c r="B10" s="8" t="s">
        <v>11</v>
      </c>
      <c r="C10" s="61" t="n">
        <f aca="false">Volumes!C25*1000*Pressupostos!$C$93</f>
        <v>0</v>
      </c>
      <c r="D10" s="61" t="n">
        <f aca="false">Volumes!D25*1000*Pressupostos!$C$93</f>
        <v>0</v>
      </c>
      <c r="E10" s="61" t="n">
        <f aca="false">Volumes!E25*1000*Pressupostos!$C$93</f>
        <v>235500</v>
      </c>
      <c r="F10" s="61" t="n">
        <f aca="false">Volumes!F25*1000*Pressupostos!$C$93</f>
        <v>471000</v>
      </c>
      <c r="G10" s="61" t="n">
        <f aca="false">Volumes!G25*1000*Pressupostos!$C$93</f>
        <v>785000</v>
      </c>
    </row>
    <row r="11" customFormat="false" ht="15" hidden="false" customHeight="false" outlineLevel="0" collapsed="false">
      <c r="A11" s="2" t="s">
        <v>613</v>
      </c>
      <c r="B11" s="8" t="s">
        <v>11</v>
      </c>
      <c r="C11" s="61" t="n">
        <f aca="false">Volumes!C22*Pressupostos!$C$80*(1-Pressupostos!$C$81)</f>
        <v>40500</v>
      </c>
      <c r="D11" s="61" t="n">
        <f aca="false">Volumes!D22*Pressupostos!$C$80*(1-Pressupostos!$C$81)</f>
        <v>162000</v>
      </c>
      <c r="E11" s="61" t="n">
        <f aca="false">Volumes!E22*Pressupostos!$C$80*(1-Pressupostos!$C$81)</f>
        <v>270000</v>
      </c>
      <c r="F11" s="61" t="n">
        <f aca="false">Volumes!F22*Pressupostos!$C$80*(1-Pressupostos!$C$81)</f>
        <v>378000</v>
      </c>
      <c r="G11" s="61" t="n">
        <f aca="false">Volumes!G22*Pressupostos!$C$80*(1-Pressupostos!$C$81)</f>
        <v>486000</v>
      </c>
    </row>
    <row r="12" customFormat="false" ht="15" hidden="false" customHeight="false" outlineLevel="0" collapsed="false">
      <c r="A12" s="7" t="s">
        <v>614</v>
      </c>
      <c r="B12" s="8" t="s">
        <v>11</v>
      </c>
      <c r="C12" s="61" t="n">
        <f aca="false">C11*Pressupostos!$G$27</f>
        <v>810</v>
      </c>
      <c r="D12" s="61" t="n">
        <f aca="false">D11*Pressupostos!$G$27</f>
        <v>3240</v>
      </c>
      <c r="E12" s="61" t="n">
        <f aca="false">E11*Pressupostos!$G$27</f>
        <v>5400</v>
      </c>
      <c r="F12" s="61" t="n">
        <f aca="false">F11*Pressupostos!$G$27</f>
        <v>7560</v>
      </c>
      <c r="G12" s="61" t="n">
        <f aca="false">G11*Pressupostos!$G$27</f>
        <v>9720</v>
      </c>
    </row>
    <row r="13" customFormat="false" ht="15" hidden="false" customHeight="false" outlineLevel="0" collapsed="false">
      <c r="A13" s="7" t="s">
        <v>615</v>
      </c>
      <c r="B13" s="8" t="s">
        <v>11</v>
      </c>
      <c r="C13" s="61" t="n">
        <f aca="false">Volumes!C14*1000*Custos!C78</f>
        <v>0</v>
      </c>
      <c r="D13" s="61" t="n">
        <f aca="false">Volumes!D14*1000*Custos!D78</f>
        <v>0</v>
      </c>
      <c r="E13" s="61" t="n">
        <f aca="false">Volumes!E14*1000*Custos!E78</f>
        <v>0</v>
      </c>
      <c r="F13" s="61" t="n">
        <f aca="false">Volumes!F14*1000*Custos!F78</f>
        <v>0</v>
      </c>
      <c r="G13" s="61" t="n">
        <f aca="false">Volumes!G14*1000*Custos!G78</f>
        <v>0</v>
      </c>
    </row>
    <row r="14" customFormat="false" ht="15" hidden="false" customHeight="false" outlineLevel="0" collapsed="false">
      <c r="A14" s="7" t="s">
        <v>616</v>
      </c>
      <c r="B14" s="8" t="s">
        <v>11</v>
      </c>
      <c r="C14" s="61" t="n">
        <f aca="false">Volumes!C28*(Pressupostos!$C$101*Pressupostos!$C$102+Pressupostos!$C$103)</f>
        <v>0</v>
      </c>
      <c r="D14" s="61" t="n">
        <f aca="false">Volumes!D28*(Pressupostos!$C$101*Pressupostos!$C$102+Pressupostos!$C$103)</f>
        <v>10000</v>
      </c>
      <c r="E14" s="61" t="n">
        <f aca="false">Volumes!E28*(Pressupostos!$C$101*Pressupostos!$C$102+Pressupostos!$C$103)</f>
        <v>30000</v>
      </c>
      <c r="F14" s="61" t="n">
        <f aca="false">Volumes!F28*(Pressupostos!$C$101*Pressupostos!$C$102+Pressupostos!$C$103)</f>
        <v>60000</v>
      </c>
      <c r="G14" s="61" t="n">
        <f aca="false">Volumes!G28*(Pressupostos!$C$101*Pressupostos!$C$102+Pressupostos!$C$103)</f>
        <v>100000</v>
      </c>
    </row>
    <row r="15" customFormat="false" ht="15" hidden="false" customHeight="false" outlineLevel="0" collapsed="false">
      <c r="A15" s="7" t="s">
        <v>617</v>
      </c>
      <c r="B15" s="8" t="s">
        <v>11</v>
      </c>
      <c r="C15" s="53" t="n">
        <f aca="false">Pressupostos!$C$278</f>
        <v>0</v>
      </c>
      <c r="D15" s="53" t="n">
        <f aca="false">Pressupostos!$D$278</f>
        <v>0</v>
      </c>
      <c r="E15" s="53" t="n">
        <f aca="false">Pressupostos!$E$278</f>
        <v>0</v>
      </c>
      <c r="F15" s="53" t="n">
        <f aca="false">Pressupostos!$F$278</f>
        <v>10000</v>
      </c>
      <c r="G15" s="53" t="n">
        <f aca="false">Pressupostos!$G$278</f>
        <v>30000</v>
      </c>
    </row>
    <row r="16" customFormat="false" ht="15" hidden="false" customHeight="false" outlineLevel="0" collapsed="false">
      <c r="A16" s="56" t="s">
        <v>618</v>
      </c>
      <c r="B16" s="57" t="s">
        <v>11</v>
      </c>
      <c r="C16" s="62" t="n">
        <f aca="false">C9+C10+C12+C13+C14+C15</f>
        <v>267690</v>
      </c>
      <c r="D16" s="62" t="n">
        <f aca="false">D9+D10+D12+D13+D14+D15</f>
        <v>1780435</v>
      </c>
      <c r="E16" s="62" t="n">
        <f aca="false">E9+E10+E12+E13+E14+E15</f>
        <v>4066155</v>
      </c>
      <c r="F16" s="62" t="n">
        <f aca="false">F9+F10+F12+F13+F14+F15</f>
        <v>7052305</v>
      </c>
      <c r="G16" s="62" t="n">
        <f aca="false">G9+G10+G12+G13+G14+G15</f>
        <v>10796070</v>
      </c>
    </row>
    <row r="18" customFormat="false" ht="15" hidden="false" customHeight="false" outlineLevel="0" collapsed="false">
      <c r="A18" s="3" t="s">
        <v>619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2" t="s">
        <v>620</v>
      </c>
      <c r="B19" s="8" t="s">
        <v>11</v>
      </c>
      <c r="C19" s="61" t="n">
        <f aca="false">Volumes!C14*1000*Pressupostos!$G$10</f>
        <v>0</v>
      </c>
      <c r="D19" s="61" t="n">
        <f aca="false">Volumes!D14*1000*Pressupostos!$G$10</f>
        <v>0</v>
      </c>
      <c r="E19" s="61" t="n">
        <f aca="false">Volumes!E14*1000*Pressupostos!$G$10</f>
        <v>0</v>
      </c>
      <c r="F19" s="61" t="n">
        <f aca="false">Volumes!F14*1000*Pressupostos!$G$10</f>
        <v>0</v>
      </c>
      <c r="G19" s="61" t="n">
        <f aca="false">Volumes!G14*1000*Pressupostos!$G$10</f>
        <v>0</v>
      </c>
    </row>
    <row r="20" customFormat="false" ht="15" hidden="false" customHeight="false" outlineLevel="0" collapsed="false">
      <c r="A20" s="56" t="s">
        <v>621</v>
      </c>
      <c r="B20" s="57" t="s">
        <v>11</v>
      </c>
      <c r="C20" s="62" t="n">
        <f aca="false">C9+C10+C11+C19</f>
        <v>307380</v>
      </c>
      <c r="D20" s="62" t="n">
        <f aca="false">D9+D10+D11+D19</f>
        <v>1929195</v>
      </c>
      <c r="E20" s="62" t="n">
        <f aca="false">E9+E10+E11+E19</f>
        <v>4300755</v>
      </c>
      <c r="F20" s="62" t="n">
        <f aca="false">F9+F10+F11+F19</f>
        <v>7352745</v>
      </c>
      <c r="G20" s="62" t="n">
        <f aca="false">G9+G10+G11+G19</f>
        <v>11142350</v>
      </c>
    </row>
    <row r="21" customFormat="false" ht="15" hidden="false" customHeight="false" outlineLevel="0" collapsed="false">
      <c r="A21" s="7" t="s">
        <v>622</v>
      </c>
      <c r="B21" s="8" t="s">
        <v>11</v>
      </c>
      <c r="C21" s="61" t="n">
        <f aca="false">C20-C19-C8</f>
        <v>307380</v>
      </c>
      <c r="D21" s="61" t="n">
        <f aca="false">D20-D19-D8</f>
        <v>1929195</v>
      </c>
      <c r="E21" s="61" t="n">
        <f aca="false">E20-E19-E8</f>
        <v>4300755</v>
      </c>
      <c r="F21" s="61" t="n">
        <f aca="false">F20-F19-F8</f>
        <v>7352745</v>
      </c>
      <c r="G21" s="61" t="n">
        <f aca="false">G20-G19-G8</f>
        <v>11142350</v>
      </c>
    </row>
    <row r="22" customFormat="false" ht="15" hidden="false" customHeight="false" outlineLevel="0" collapsed="false">
      <c r="A22" s="7" t="s">
        <v>623</v>
      </c>
      <c r="B22" s="8" t="s">
        <v>11</v>
      </c>
      <c r="C22" s="61" t="n">
        <f aca="false">Volumes!C10*1000*(Custos!C6+Custos!C9)+Volumes!C11*1000*(Custos!C30+Custos!C33)+Volumes!C13*1000*(Custos!C54+Custos!C57)+Volumes!C25*1000*Pressupostos!$C$92</f>
        <v>243800</v>
      </c>
      <c r="D22" s="61" t="n">
        <f aca="false">Volumes!D10*1000*(Custos!D6+Custos!D9)+Volumes!D11*1000*(Custos!D30+Custos!D33)+Volumes!D13*1000*(Custos!D54+Custos!D57)+Volumes!D25*1000*Pressupostos!$C$92</f>
        <v>1623700</v>
      </c>
      <c r="E22" s="61" t="n">
        <f aca="false">Volumes!E10*1000*(Custos!E6+Custos!E9)+Volumes!E11*1000*(Custos!E30+Custos!E33)+Volumes!E13*1000*(Custos!E54+Custos!E57)+Volumes!E25*1000*Pressupostos!$C$92</f>
        <v>3665800</v>
      </c>
      <c r="F22" s="61" t="n">
        <f aca="false">Volumes!F10*1000*(Custos!F6+Custos!F9)+Volumes!F11*1000*(Custos!F30+Custos!F33)+Volumes!F13*1000*(Custos!F54+Custos!F57)+Volumes!F25*1000*Pressupostos!$C$92</f>
        <v>6319200</v>
      </c>
      <c r="G22" s="61" t="n">
        <f aca="false">Volumes!G10*1000*(Custos!G6+Custos!G9)+Volumes!G11*1000*(Custos!G30+Custos!G33)+Volumes!G13*1000*(Custos!G54+Custos!G57)+Volumes!G25*1000*Pressupostos!$C$92</f>
        <v>9651000</v>
      </c>
    </row>
    <row r="23" customFormat="false" ht="15" hidden="false" customHeight="false" outlineLevel="0" collapsed="false">
      <c r="A23" s="7" t="s">
        <v>624</v>
      </c>
      <c r="B23" s="8" t="s">
        <v>11</v>
      </c>
      <c r="C23" s="61" t="n">
        <f aca="false">C22*Pressupostos!$C$285</f>
        <v>0</v>
      </c>
      <c r="D23" s="61" t="n">
        <f aca="false">D22*Pressupostos!$D$285</f>
        <v>1461330</v>
      </c>
      <c r="E23" s="61" t="n">
        <f aca="false">E22*Pressupostos!$E$285</f>
        <v>3299220</v>
      </c>
      <c r="F23" s="61" t="n">
        <f aca="false">F22*Pressupostos!$F$285</f>
        <v>5687280</v>
      </c>
      <c r="G23" s="61" t="n">
        <f aca="false">G22*Pressupostos!$G$285</f>
        <v>8685900</v>
      </c>
    </row>
    <row r="25" customFormat="false" ht="15" hidden="false" customHeight="false" outlineLevel="0" collapsed="false">
      <c r="A25" s="3" t="s">
        <v>625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7" t="s">
        <v>626</v>
      </c>
      <c r="B26" s="8" t="s">
        <v>11</v>
      </c>
      <c r="C26" s="61" t="n">
        <f aca="false">Volumes!C10*1000*Custos!C25</f>
        <v>2727.51452054796</v>
      </c>
      <c r="D26" s="61" t="n">
        <f aca="false">Volumes!D10*1000*Custos!D25</f>
        <v>5610.35054794528</v>
      </c>
      <c r="E26" s="61" t="n">
        <f aca="false">Volumes!E10*1000*Custos!E25</f>
        <v>46169.050650685</v>
      </c>
      <c r="F26" s="61" t="n">
        <f aca="false">Volumes!F10*1000*Custos!F25</f>
        <v>96209.0426712332</v>
      </c>
      <c r="G26" s="61" t="n">
        <f aca="false">Volumes!G10*1000*Custos!G25</f>
        <v>147736.732191781</v>
      </c>
    </row>
    <row r="27" customFormat="false" ht="15" hidden="false" customHeight="false" outlineLevel="0" collapsed="false">
      <c r="A27" s="7" t="s">
        <v>627</v>
      </c>
      <c r="B27" s="8" t="s">
        <v>11</v>
      </c>
      <c r="C27" s="61" t="n">
        <f aca="false">Volumes!C11*1000*Custos!C49</f>
        <v>5010.62739726033</v>
      </c>
      <c r="D27" s="61" t="n">
        <f aca="false">Volumes!D11*1000*Custos!D49</f>
        <v>18665.410273973</v>
      </c>
      <c r="E27" s="61" t="n">
        <f aca="false">Volumes!E11*1000*Custos!E49</f>
        <v>46051.8418664388</v>
      </c>
      <c r="F27" s="61" t="n">
        <f aca="false">Volumes!F11*1000*Custos!F49</f>
        <v>79304.9573630142</v>
      </c>
      <c r="G27" s="61" t="n">
        <f aca="false">Volumes!G11*1000*Custos!G49</f>
        <v>119996.511986302</v>
      </c>
    </row>
    <row r="28" customFormat="false" ht="15" hidden="false" customHeight="false" outlineLevel="0" collapsed="false">
      <c r="A28" s="7" t="s">
        <v>628</v>
      </c>
      <c r="B28" s="8" t="s">
        <v>11</v>
      </c>
      <c r="C28" s="61" t="n">
        <f aca="false">Volumes!C13*1000*Custos!C73+Volumes!C14*1000*Custos!C80</f>
        <v>0</v>
      </c>
      <c r="D28" s="61" t="n">
        <f aca="false">Volumes!D13*1000*Custos!D73+Volumes!D14*1000*Custos!D80</f>
        <v>0</v>
      </c>
      <c r="E28" s="61" t="n">
        <f aca="false">Volumes!E13*1000*Custos!E73+Volumes!E14*1000*Custos!E80</f>
        <v>0</v>
      </c>
      <c r="F28" s="61" t="n">
        <f aca="false">Volumes!F13*1000*Custos!F73+Volumes!F14*1000*Custos!F80</f>
        <v>0</v>
      </c>
      <c r="G28" s="61" t="n">
        <f aca="false">Volumes!G13*1000*Custos!G73+Volumes!G14*1000*Custos!G80</f>
        <v>0</v>
      </c>
    </row>
    <row r="29" customFormat="false" ht="15" hidden="false" customHeight="false" outlineLevel="0" collapsed="false">
      <c r="A29" s="7" t="s">
        <v>629</v>
      </c>
      <c r="B29" s="8" t="s">
        <v>11</v>
      </c>
      <c r="C29" s="61" t="n">
        <f aca="false">C26+C27+C28</f>
        <v>7738.14191780829</v>
      </c>
      <c r="D29" s="61" t="n">
        <f aca="false">D26+D27+D28</f>
        <v>24275.7608219183</v>
      </c>
      <c r="E29" s="61" t="n">
        <f aca="false">E26+E27+E28</f>
        <v>92220.8925171239</v>
      </c>
      <c r="F29" s="61" t="n">
        <f aca="false">F26+F27+F28</f>
        <v>175514.000034247</v>
      </c>
      <c r="G29" s="61" t="n">
        <f aca="false">G26+G27+G28</f>
        <v>267733.244178084</v>
      </c>
    </row>
    <row r="30" customFormat="false" ht="15" hidden="false" customHeight="false" outlineLevel="0" collapsed="false">
      <c r="A30" s="7" t="s">
        <v>630</v>
      </c>
      <c r="B30" s="8" t="s">
        <v>64</v>
      </c>
      <c r="C30" s="63" t="n">
        <f aca="false">IF(Volumes!C15&gt;0,C29/(Volumes!C15*1000),0)</f>
        <v>0.128969031963471</v>
      </c>
      <c r="D30" s="63" t="n">
        <f aca="false">IF(Volumes!D15&gt;0,D29/(Volumes!D15*1000),0)</f>
        <v>0.0606894020547957</v>
      </c>
      <c r="E30" s="63" t="n">
        <f aca="false">IF(Volumes!E15&gt;0,E29/(Volumes!E15*1000),0)</f>
        <v>0.108495167667205</v>
      </c>
      <c r="F30" s="63" t="n">
        <f aca="false">IF(Volumes!F15&gt;0,F29/(Volumes!F15*1000),0)</f>
        <v>0.121044137954653</v>
      </c>
      <c r="G30" s="63" t="n">
        <f aca="false">IF(Volumes!G15&gt;0,G29/(Volumes!G15*1000),0)</f>
        <v>0.121696929171856</v>
      </c>
    </row>
    <row r="31" customFormat="false" ht="15" hidden="false" customHeight="false" outlineLevel="0" collapsed="false">
      <c r="A31" s="7" t="s">
        <v>631</v>
      </c>
      <c r="B31" s="8" t="s">
        <v>76</v>
      </c>
      <c r="C31" s="59" t="n">
        <f aca="false">IF(C9&gt;0,C29/C9,0)</f>
        <v>0.0289948363227229</v>
      </c>
      <c r="D31" s="59" t="n">
        <f aca="false">IF(D9&gt;0,D29/D9,0)</f>
        <v>0.0137368885844054</v>
      </c>
      <c r="E31" s="59" t="n">
        <f aca="false">IF(E9&gt;0,E29/E9,0)</f>
        <v>0.0242989977003189</v>
      </c>
      <c r="F31" s="59" t="n">
        <f aca="false">IF(F9&gt;0,F29/F9,0)</f>
        <v>0.0269866054149182</v>
      </c>
      <c r="G31" s="59" t="n">
        <f aca="false">IF(G9&gt;0,G29/G9,0)</f>
        <v>0.0271222521922618</v>
      </c>
    </row>
    <row r="32" customFormat="false" ht="15" hidden="false" customHeight="false" outlineLevel="0" collapsed="false">
      <c r="A32" s="2" t="s">
        <v>632</v>
      </c>
      <c r="B32" s="8" t="s">
        <v>64</v>
      </c>
      <c r="C32" s="63" t="n">
        <f aca="false">Pressupostos!$C$291*Pressupostos!$C$92*(Pressupostos!$C$95+Pressupostos!$C$96-Pressupostos!$C$97)/365*Pressupostos!$C$285/Pressupostos!$G$31</f>
        <v>0</v>
      </c>
      <c r="D32" s="63" t="n">
        <f aca="false">Pressupostos!$D$291*Pressupostos!$C$92*(Pressupostos!$C$95+Pressupostos!$C$96-Pressupostos!$C$97)/365*Pressupostos!$D$285/Pressupostos!$G$31</f>
        <v>0.0776712328767123</v>
      </c>
      <c r="E32" s="63" t="n">
        <f aca="false">Pressupostos!$E$291*Pressupostos!$C$92*(Pressupostos!$C$95+Pressupostos!$C$96-Pressupostos!$C$97)/365*Pressupostos!$E$285/Pressupostos!$G$31</f>
        <v>0.0728167808219178</v>
      </c>
      <c r="F32" s="63" t="n">
        <f aca="false">Pressupostos!$F$291*Pressupostos!$C$92*(Pressupostos!$C$95+Pressupostos!$C$96-Pressupostos!$C$97)/365*Pressupostos!$F$285/Pressupostos!$G$31</f>
        <v>0.0679623287671233</v>
      </c>
      <c r="G32" s="63" t="n">
        <f aca="false">Pressupostos!$G$291*Pressupostos!$C$92*(Pressupostos!$C$95+Pressupostos!$C$96-Pressupostos!$C$97)/365*Pressupostos!$G$285/Pressupostos!$G$31</f>
        <v>0.0679623287671233</v>
      </c>
    </row>
    <row r="33" customFormat="false" ht="15" hidden="false" customHeight="false" outlineLevel="0" collapsed="false">
      <c r="A33" s="7" t="s">
        <v>600</v>
      </c>
      <c r="B33" s="8" t="s">
        <v>11</v>
      </c>
      <c r="C33" s="61" t="n">
        <f aca="false">Volumes!C25*1000*(Pressupostos!$C$93-Pressupostos!$C$92-Pressupostos!$C$94-C32-Pressupostos!$C$98*Pressupostos!$C$93-Pressupostos!$C$99-Pressupostos!$G$29*Pressupostos!$C$92)</f>
        <v>0</v>
      </c>
      <c r="D33" s="61" t="n">
        <f aca="false">Volumes!D25*1000*(Pressupostos!$C$93-Pressupostos!$C$92-Pressupostos!$C$94-D32-Pressupostos!$C$98*Pressupostos!$C$93-Pressupostos!$C$99-Pressupostos!$G$29*Pressupostos!$C$92)</f>
        <v>0</v>
      </c>
      <c r="E33" s="61" t="n">
        <f aca="false">Volumes!E25*1000*(Pressupostos!$C$93-Pressupostos!$C$92-Pressupostos!$C$94-E32-Pressupostos!$C$98*Pressupostos!$C$93-Pressupostos!$C$99-Pressupostos!$G$29*Pressupostos!$C$92)</f>
        <v>16502.4965753425</v>
      </c>
      <c r="F33" s="61" t="n">
        <f aca="false">Volumes!F25*1000*(Pressupostos!$C$93-Pressupostos!$C$92-Pressupostos!$C$94-F32-Pressupostos!$C$98*Pressupostos!$C$93-Pressupostos!$C$99-Pressupostos!$G$29*Pressupostos!$C$92)</f>
        <v>33296.2602739726</v>
      </c>
      <c r="G33" s="61" t="n">
        <f aca="false">Volumes!G25*1000*(Pressupostos!$C$93-Pressupostos!$C$92-Pressupostos!$C$94-G32-Pressupostos!$C$98*Pressupostos!$C$93-Pressupostos!$C$99-Pressupostos!$G$29*Pressupostos!$C$92)</f>
        <v>55493.7671232876</v>
      </c>
    </row>
    <row r="34" customFormat="false" ht="15" hidden="false" customHeight="false" outlineLevel="0" collapsed="false">
      <c r="A34" s="7" t="s">
        <v>633</v>
      </c>
      <c r="B34" s="8" t="s">
        <v>11</v>
      </c>
      <c r="C34" s="61" t="n">
        <f aca="false">C12</f>
        <v>810</v>
      </c>
      <c r="D34" s="61" t="n">
        <f aca="false">D12</f>
        <v>3240</v>
      </c>
      <c r="E34" s="61" t="n">
        <f aca="false">E12</f>
        <v>5400</v>
      </c>
      <c r="F34" s="61" t="n">
        <f aca="false">F12</f>
        <v>7560</v>
      </c>
      <c r="G34" s="61" t="n">
        <f aca="false">G12</f>
        <v>9720</v>
      </c>
    </row>
    <row r="35" customFormat="false" ht="15" hidden="false" customHeight="false" outlineLevel="0" collapsed="false">
      <c r="A35" s="7" t="s">
        <v>634</v>
      </c>
      <c r="B35" s="8" t="s">
        <v>11</v>
      </c>
      <c r="C35" s="61" t="n">
        <f aca="false">C14-Custos!C94</f>
        <v>0</v>
      </c>
      <c r="D35" s="61" t="n">
        <f aca="false">D14-Custos!D94</f>
        <v>1771.42857142857</v>
      </c>
      <c r="E35" s="61" t="n">
        <f aca="false">E14-Custos!E94</f>
        <v>5314.28571428572</v>
      </c>
      <c r="F35" s="61" t="n">
        <f aca="false">F14-Custos!F94</f>
        <v>10628.5714285714</v>
      </c>
      <c r="G35" s="61" t="n">
        <f aca="false">G14-Custos!G94</f>
        <v>17714.2857142857</v>
      </c>
    </row>
    <row r="36" customFormat="false" ht="15" hidden="false" customHeight="false" outlineLevel="0" collapsed="false">
      <c r="A36" s="7" t="s">
        <v>617</v>
      </c>
      <c r="B36" s="8" t="s">
        <v>11</v>
      </c>
      <c r="C36" s="61" t="n">
        <f aca="false">C15</f>
        <v>0</v>
      </c>
      <c r="D36" s="61" t="n">
        <f aca="false">D15</f>
        <v>0</v>
      </c>
      <c r="E36" s="61" t="n">
        <f aca="false">E15</f>
        <v>0</v>
      </c>
      <c r="F36" s="61" t="n">
        <f aca="false">F15</f>
        <v>10000</v>
      </c>
      <c r="G36" s="61" t="n">
        <f aca="false">G15</f>
        <v>30000</v>
      </c>
    </row>
    <row r="37" customFormat="false" ht="15" hidden="false" customHeight="false" outlineLevel="0" collapsed="false">
      <c r="A37" s="56" t="s">
        <v>635</v>
      </c>
      <c r="B37" s="57" t="s">
        <v>11</v>
      </c>
      <c r="C37" s="62" t="n">
        <f aca="false">C29+C33+C34+C35+C36</f>
        <v>8548.14191780829</v>
      </c>
      <c r="D37" s="62" t="n">
        <f aca="false">D29+D33+D34+D35+D36</f>
        <v>29287.1893933469</v>
      </c>
      <c r="E37" s="62" t="n">
        <f aca="false">E29+E33+E34+E35+E36</f>
        <v>119437.674806752</v>
      </c>
      <c r="F37" s="62" t="n">
        <f aca="false">F29+F33+F34+F35+F36</f>
        <v>236998.831736791</v>
      </c>
      <c r="G37" s="62" t="n">
        <f aca="false">G29+G33+G34+G35+G36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261</v>
      </c>
    </row>
    <row r="2" customFormat="false" ht="15" hidden="false" customHeight="false" outlineLevel="0" collapsed="false">
      <c r="A2" s="2" t="s">
        <v>636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637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638</v>
      </c>
      <c r="B6" s="8" t="s">
        <v>432</v>
      </c>
      <c r="C6" s="64" t="n">
        <f aca="false">Pressupostos!$C$335</f>
        <v>1</v>
      </c>
      <c r="D6" s="64" t="n">
        <f aca="false">Pressupostos!$D$335</f>
        <v>1</v>
      </c>
      <c r="E6" s="64" t="n">
        <f aca="false">Pressupostos!$E$335</f>
        <v>1</v>
      </c>
      <c r="F6" s="64" t="n">
        <f aca="false">Pressupostos!$F$335</f>
        <v>1</v>
      </c>
      <c r="G6" s="64" t="n">
        <f aca="false">Pressupostos!$G$335</f>
        <v>1</v>
      </c>
    </row>
    <row r="7" customFormat="false" ht="15" hidden="false" customHeight="false" outlineLevel="0" collapsed="false">
      <c r="A7" s="7" t="s">
        <v>639</v>
      </c>
      <c r="B7" s="8" t="s">
        <v>432</v>
      </c>
      <c r="C7" s="64" t="n">
        <f aca="false">Pressupostos!$C$341</f>
        <v>1</v>
      </c>
      <c r="D7" s="64" t="n">
        <f aca="false">Pressupostos!$D$341</f>
        <v>1</v>
      </c>
      <c r="E7" s="64" t="n">
        <f aca="false">Pressupostos!$E$341</f>
        <v>1</v>
      </c>
      <c r="F7" s="64" t="n">
        <f aca="false">Pressupostos!$F$341</f>
        <v>1</v>
      </c>
      <c r="G7" s="64" t="n">
        <f aca="false">Pressupostos!$G$341</f>
        <v>1</v>
      </c>
    </row>
    <row r="8" customFormat="false" ht="15" hidden="false" customHeight="false" outlineLevel="0" collapsed="false">
      <c r="A8" s="7" t="s">
        <v>640</v>
      </c>
      <c r="B8" s="8" t="s">
        <v>432</v>
      </c>
      <c r="C8" s="64" t="n">
        <f aca="false">Pressupostos!$C$347</f>
        <v>1</v>
      </c>
      <c r="D8" s="64" t="n">
        <f aca="false">Pressupostos!$D$347</f>
        <v>1</v>
      </c>
      <c r="E8" s="64" t="n">
        <f aca="false">Pressupostos!$E$347</f>
        <v>2</v>
      </c>
      <c r="F8" s="64" t="n">
        <f aca="false">Pressupostos!$F$347</f>
        <v>2</v>
      </c>
      <c r="G8" s="64" t="n">
        <f aca="false">Pressupostos!$G$347</f>
        <v>2</v>
      </c>
    </row>
    <row r="9" customFormat="false" ht="15" hidden="false" customHeight="false" outlineLevel="0" collapsed="false">
      <c r="A9" s="7" t="s">
        <v>641</v>
      </c>
      <c r="B9" s="8" t="s">
        <v>432</v>
      </c>
      <c r="C9" s="64" t="n">
        <f aca="false">Pressupostos!$C$353</f>
        <v>1</v>
      </c>
      <c r="D9" s="64" t="n">
        <f aca="false">Pressupostos!$D$353</f>
        <v>1</v>
      </c>
      <c r="E9" s="64" t="n">
        <f aca="false">Pressupostos!$E$353</f>
        <v>1</v>
      </c>
      <c r="F9" s="64" t="n">
        <f aca="false">Pressupostos!$F$353</f>
        <v>1</v>
      </c>
      <c r="G9" s="64" t="n">
        <f aca="false">Pressupostos!$G$353</f>
        <v>1</v>
      </c>
    </row>
    <row r="10" customFormat="false" ht="15" hidden="false" customHeight="false" outlineLevel="0" collapsed="false">
      <c r="A10" s="7" t="s">
        <v>642</v>
      </c>
      <c r="B10" s="8" t="s">
        <v>432</v>
      </c>
      <c r="C10" s="64" t="n">
        <f aca="false">Pressupostos!$C$359</f>
        <v>0.5</v>
      </c>
      <c r="D10" s="64" t="n">
        <f aca="false">Pressupostos!$D$359</f>
        <v>1</v>
      </c>
      <c r="E10" s="64" t="n">
        <f aca="false">Pressupostos!$E$359</f>
        <v>1</v>
      </c>
      <c r="F10" s="64" t="n">
        <f aca="false">Pressupostos!$F$359</f>
        <v>1</v>
      </c>
      <c r="G10" s="64" t="n">
        <f aca="false">Pressupostos!$G$359</f>
        <v>1</v>
      </c>
    </row>
    <row r="11" customFormat="false" ht="15" hidden="false" customHeight="false" outlineLevel="0" collapsed="false">
      <c r="A11" s="7" t="s">
        <v>643</v>
      </c>
      <c r="B11" s="8" t="s">
        <v>432</v>
      </c>
      <c r="C11" s="64" t="n">
        <f aca="false">Pressupostos!$C$365</f>
        <v>1</v>
      </c>
      <c r="D11" s="64" t="n">
        <f aca="false">Pressupostos!$D$365</f>
        <v>1</v>
      </c>
      <c r="E11" s="64" t="n">
        <f aca="false">Pressupostos!$E$365</f>
        <v>1</v>
      </c>
      <c r="F11" s="64" t="n">
        <f aca="false">Pressupostos!$F$365</f>
        <v>2</v>
      </c>
      <c r="G11" s="64" t="n">
        <f aca="false">Pressupostos!$G$365</f>
        <v>2</v>
      </c>
    </row>
    <row r="12" customFormat="false" ht="15" hidden="false" customHeight="false" outlineLevel="0" collapsed="false">
      <c r="A12" s="7" t="s">
        <v>644</v>
      </c>
      <c r="B12" s="8" t="s">
        <v>432</v>
      </c>
      <c r="C12" s="64" t="n">
        <f aca="false">Pressupostos!$C$371</f>
        <v>0.5</v>
      </c>
      <c r="D12" s="64" t="n">
        <f aca="false">Pressupostos!$D$371</f>
        <v>1</v>
      </c>
      <c r="E12" s="64" t="n">
        <f aca="false">Pressupostos!$E$371</f>
        <v>1</v>
      </c>
      <c r="F12" s="64" t="n">
        <f aca="false">Pressupostos!$F$371</f>
        <v>1</v>
      </c>
      <c r="G12" s="64" t="n">
        <f aca="false">Pressupostos!$G$371</f>
        <v>1</v>
      </c>
    </row>
    <row r="13" customFormat="false" ht="15" hidden="false" customHeight="false" outlineLevel="0" collapsed="false">
      <c r="A13" s="7" t="s">
        <v>645</v>
      </c>
      <c r="B13" s="8" t="s">
        <v>432</v>
      </c>
      <c r="C13" s="64" t="n">
        <f aca="false">Pressupostos!$C$377</f>
        <v>1</v>
      </c>
      <c r="D13" s="64" t="n">
        <f aca="false">Pressupostos!$D$377</f>
        <v>1</v>
      </c>
      <c r="E13" s="64" t="n">
        <f aca="false">Pressupostos!$E$377</f>
        <v>2</v>
      </c>
      <c r="F13" s="64" t="n">
        <f aca="false">Pressupostos!$F$377</f>
        <v>3</v>
      </c>
      <c r="G13" s="64" t="n">
        <f aca="false">Pressupostos!$G$377</f>
        <v>5</v>
      </c>
    </row>
    <row r="14" customFormat="false" ht="15" hidden="false" customHeight="false" outlineLevel="0" collapsed="false">
      <c r="A14" s="7" t="s">
        <v>646</v>
      </c>
      <c r="B14" s="8" t="s">
        <v>432</v>
      </c>
      <c r="C14" s="64" t="n">
        <f aca="false">Pressupostos!$C$383</f>
        <v>0</v>
      </c>
      <c r="D14" s="64" t="n">
        <f aca="false">Pressupostos!$D$383</f>
        <v>0</v>
      </c>
      <c r="E14" s="64" t="n">
        <f aca="false">Pressupostos!$E$383</f>
        <v>0</v>
      </c>
      <c r="F14" s="64" t="n">
        <f aca="false">Pressupostos!$F$383</f>
        <v>1</v>
      </c>
      <c r="G14" s="64" t="n">
        <f aca="false">Pressupostos!$G$383</f>
        <v>1</v>
      </c>
    </row>
    <row r="15" customFormat="false" ht="15" hidden="false" customHeight="false" outlineLevel="0" collapsed="false">
      <c r="A15" s="7" t="s">
        <v>647</v>
      </c>
      <c r="B15" s="8" t="s">
        <v>432</v>
      </c>
      <c r="C15" s="64" t="n">
        <f aca="false">Pressupostos!$C$389</f>
        <v>0</v>
      </c>
      <c r="D15" s="64" t="n">
        <f aca="false">Pressupostos!$D$389</f>
        <v>0</v>
      </c>
      <c r="E15" s="64" t="n">
        <f aca="false">Pressupostos!$E$389</f>
        <v>0</v>
      </c>
      <c r="F15" s="64" t="n">
        <f aca="false">Pressupostos!$F$389</f>
        <v>0</v>
      </c>
      <c r="G15" s="64" t="n">
        <f aca="false">Pressupostos!$G$389</f>
        <v>1</v>
      </c>
    </row>
    <row r="16" customFormat="false" ht="15" hidden="false" customHeight="false" outlineLevel="0" collapsed="false">
      <c r="A16" s="7" t="s">
        <v>648</v>
      </c>
      <c r="B16" s="8" t="s">
        <v>432</v>
      </c>
      <c r="C16" s="64" t="n">
        <f aca="false">Pressupostos!$C$395</f>
        <v>0</v>
      </c>
      <c r="D16" s="64" t="n">
        <f aca="false">Pressupostos!$D$395</f>
        <v>0</v>
      </c>
      <c r="E16" s="64" t="n">
        <f aca="false">Pressupostos!$E$395</f>
        <v>1</v>
      </c>
      <c r="F16" s="64" t="n">
        <f aca="false">Pressupostos!$F$395</f>
        <v>1</v>
      </c>
      <c r="G16" s="64" t="n">
        <f aca="false">Pressupostos!$G$395</f>
        <v>1</v>
      </c>
    </row>
    <row r="17" customFormat="false" ht="15" hidden="false" customHeight="false" outlineLevel="0" collapsed="false">
      <c r="A17" s="7" t="s">
        <v>649</v>
      </c>
      <c r="B17" s="8" t="s">
        <v>432</v>
      </c>
      <c r="C17" s="64" t="n">
        <f aca="false">Pressupostos!$C$401</f>
        <v>0</v>
      </c>
      <c r="D17" s="64" t="n">
        <f aca="false">Pressupostos!$D$401</f>
        <v>0</v>
      </c>
      <c r="E17" s="64" t="n">
        <f aca="false">Pressupostos!$E$401</f>
        <v>0</v>
      </c>
      <c r="F17" s="64" t="n">
        <f aca="false">Pressupostos!$F$401</f>
        <v>0</v>
      </c>
      <c r="G17" s="64" t="n">
        <f aca="false">Pressupostos!$G$401</f>
        <v>0</v>
      </c>
    </row>
    <row r="18" customFormat="false" ht="15" hidden="false" customHeight="false" outlineLevel="0" collapsed="false">
      <c r="A18" s="56" t="s">
        <v>650</v>
      </c>
      <c r="B18" s="57" t="s">
        <v>432</v>
      </c>
      <c r="C18" s="65" t="n">
        <f aca="false">C6+C7+C8+C9+C10+C11+C12+C13+C14+C15+C16+C17</f>
        <v>7</v>
      </c>
      <c r="D18" s="65" t="n">
        <f aca="false">D6+D7+D8+D9+D10+D11+D12+D13+D14+D15+D16+D17</f>
        <v>8</v>
      </c>
      <c r="E18" s="65" t="n">
        <f aca="false">E6+E7+E8+E9+E10+E11+E12+E13+E14+E15+E16+E17</f>
        <v>11</v>
      </c>
      <c r="F18" s="65" t="n">
        <f aca="false">F6+F7+F8+F9+F10+F11+F12+F13+F14+F15+F16+F17</f>
        <v>14</v>
      </c>
      <c r="G18" s="65" t="n">
        <f aca="false">G6+G7+G8+G9+G10+G11+G12+G13+G14+G15+G16+G17</f>
        <v>17</v>
      </c>
    </row>
    <row r="20" customFormat="false" ht="15" hidden="false" customHeight="false" outlineLevel="0" collapsed="false">
      <c r="A20" s="3" t="s">
        <v>651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638</v>
      </c>
      <c r="B21" s="8" t="s">
        <v>11</v>
      </c>
      <c r="C21" s="61" t="n">
        <f aca="false">C6*Pressupostos!$C$131*(1+Pressupostos!$C$127)^0*(1+Pressupostos!$C$132)*Pressupostos!$C$128</f>
        <v>43998</v>
      </c>
      <c r="D21" s="61" t="n">
        <f aca="false">D6*Pressupostos!$C$131*(1+Pressupostos!$C$127)^1*(1+Pressupostos!$C$132)</f>
        <v>61800</v>
      </c>
      <c r="E21" s="61" t="n">
        <f aca="false">E6*Pressupostos!$C$131*(1+Pressupostos!$C$127)^2*(1+Pressupostos!$C$132)</f>
        <v>63654</v>
      </c>
      <c r="F21" s="61" t="n">
        <f aca="false">F6*Pressupostos!$C$131*(1+Pressupostos!$C$127)^3*(1+Pressupostos!$C$132)</f>
        <v>65563.62</v>
      </c>
      <c r="G21" s="61" t="n">
        <f aca="false">G6*Pressupostos!$C$131*(1+Pressupostos!$C$127)^4*(1+Pressupostos!$C$132)</f>
        <v>67530.5286</v>
      </c>
    </row>
    <row r="22" customFormat="false" ht="15" hidden="false" customHeight="false" outlineLevel="0" collapsed="false">
      <c r="A22" s="7" t="s">
        <v>639</v>
      </c>
      <c r="B22" s="8" t="s">
        <v>11</v>
      </c>
      <c r="C22" s="61" t="n">
        <f aca="false">C7*Pressupostos!$C$133*(1+Pressupostos!$C$127)^0*(1+Pressupostos!$C$134)*Pressupostos!$C$128</f>
        <v>47664.5</v>
      </c>
      <c r="D22" s="61" t="n">
        <f aca="false">D7*Pressupostos!$C$133*(1+Pressupostos!$C$127)^1*(1+Pressupostos!$C$134)</f>
        <v>66950</v>
      </c>
      <c r="E22" s="61" t="n">
        <f aca="false">E7*Pressupostos!$C$133*(1+Pressupostos!$C$127)^2*(1+Pressupostos!$C$134)</f>
        <v>68958.5</v>
      </c>
      <c r="F22" s="61" t="n">
        <f aca="false">F7*Pressupostos!$C$133*(1+Pressupostos!$C$127)^3*(1+Pressupostos!$C$134)</f>
        <v>71027.255</v>
      </c>
      <c r="G22" s="61" t="n">
        <f aca="false">G7*Pressupostos!$C$133*(1+Pressupostos!$C$127)^4*(1+Pressupostos!$C$134)</f>
        <v>73158.07265</v>
      </c>
    </row>
    <row r="23" customFormat="false" ht="15" hidden="false" customHeight="false" outlineLevel="0" collapsed="false">
      <c r="A23" s="7" t="s">
        <v>640</v>
      </c>
      <c r="B23" s="8" t="s">
        <v>11</v>
      </c>
      <c r="C23" s="61" t="n">
        <f aca="false">C8*Pressupostos!$C$135*(1+Pressupostos!$C$127)^0*(1+Pressupostos!$C$136)</f>
        <v>45000</v>
      </c>
      <c r="D23" s="61" t="n">
        <f aca="false">D8*Pressupostos!$C$135*(1+Pressupostos!$C$127)^1*(1+Pressupostos!$C$136)</f>
        <v>46350</v>
      </c>
      <c r="E23" s="61" t="n">
        <f aca="false">E8*Pressupostos!$C$135*(1+Pressupostos!$C$127)^2*(1+Pressupostos!$C$136)</f>
        <v>95481</v>
      </c>
      <c r="F23" s="61" t="n">
        <f aca="false">F8*Pressupostos!$C$135*(1+Pressupostos!$C$127)^3*(1+Pressupostos!$C$136)</f>
        <v>98345.43</v>
      </c>
      <c r="G23" s="61" t="n">
        <f aca="false">G8*Pressupostos!$C$135*(1+Pressupostos!$C$127)^4*(1+Pressupostos!$C$136)</f>
        <v>101295.7929</v>
      </c>
    </row>
    <row r="24" customFormat="false" ht="15" hidden="false" customHeight="false" outlineLevel="0" collapsed="false">
      <c r="A24" s="7" t="s">
        <v>641</v>
      </c>
      <c r="B24" s="8" t="s">
        <v>11</v>
      </c>
      <c r="C24" s="61" t="n">
        <f aca="false">C9*Pressupostos!$C$137*(1+Pressupostos!$C$127)^0*(1+Pressupostos!$C$138)</f>
        <v>60000</v>
      </c>
      <c r="D24" s="61" t="n">
        <f aca="false">D9*Pressupostos!$C$137*(1+Pressupostos!$C$127)^1*(1+Pressupostos!$C$138)</f>
        <v>61800</v>
      </c>
      <c r="E24" s="61" t="n">
        <f aca="false">E9*Pressupostos!$C$137*(1+Pressupostos!$C$127)^2*(1+Pressupostos!$C$138)</f>
        <v>63654</v>
      </c>
      <c r="F24" s="61" t="n">
        <f aca="false">F9*Pressupostos!$C$137*(1+Pressupostos!$C$127)^3*(1+Pressupostos!$C$138)</f>
        <v>65563.62</v>
      </c>
      <c r="G24" s="61" t="n">
        <f aca="false">G9*Pressupostos!$C$137*(1+Pressupostos!$C$127)^4*(1+Pressupostos!$C$138)</f>
        <v>67530.5286</v>
      </c>
    </row>
    <row r="25" customFormat="false" ht="15" hidden="false" customHeight="false" outlineLevel="0" collapsed="false">
      <c r="A25" s="7" t="s">
        <v>642</v>
      </c>
      <c r="B25" s="8" t="s">
        <v>11</v>
      </c>
      <c r="C25" s="61" t="n">
        <f aca="false">C10*Pressupostos!$C$139*(1+Pressupostos!$C$127)^0*(1+Pressupostos!$C$140)</f>
        <v>22500</v>
      </c>
      <c r="D25" s="61" t="n">
        <f aca="false">D10*Pressupostos!$C$139*(1+Pressupostos!$C$127)^1*(1+Pressupostos!$C$140)</f>
        <v>46350</v>
      </c>
      <c r="E25" s="61" t="n">
        <f aca="false">E10*Pressupostos!$C$139*(1+Pressupostos!$C$127)^2*(1+Pressupostos!$C$140)</f>
        <v>47740.5</v>
      </c>
      <c r="F25" s="61" t="n">
        <f aca="false">F10*Pressupostos!$C$139*(1+Pressupostos!$C$127)^3*(1+Pressupostos!$C$140)</f>
        <v>49172.715</v>
      </c>
      <c r="G25" s="61" t="n">
        <f aca="false">G10*Pressupostos!$C$139*(1+Pressupostos!$C$127)^4*(1+Pressupostos!$C$140)</f>
        <v>50647.89645</v>
      </c>
    </row>
    <row r="26" customFormat="false" ht="15" hidden="false" customHeight="false" outlineLevel="0" collapsed="false">
      <c r="A26" s="7" t="s">
        <v>643</v>
      </c>
      <c r="B26" s="8" t="s">
        <v>11</v>
      </c>
      <c r="C26" s="61" t="n">
        <f aca="false">C11*Pressupostos!$C$141*(1+Pressupostos!$C$127)^0*(1+Pressupostos!$C$142)</f>
        <v>38000</v>
      </c>
      <c r="D26" s="61" t="n">
        <f aca="false">D11*Pressupostos!$C$141*(1+Pressupostos!$C$127)^1*(1+Pressupostos!$C$142)</f>
        <v>39140</v>
      </c>
      <c r="E26" s="61" t="n">
        <f aca="false">E11*Pressupostos!$C$141*(1+Pressupostos!$C$127)^2*(1+Pressupostos!$C$142)</f>
        <v>40314.2</v>
      </c>
      <c r="F26" s="61" t="n">
        <f aca="false">F11*Pressupostos!$C$141*(1+Pressupostos!$C$127)^3*(1+Pressupostos!$C$142)</f>
        <v>83047.252</v>
      </c>
      <c r="G26" s="61" t="n">
        <f aca="false">G11*Pressupostos!$C$141*(1+Pressupostos!$C$127)^4*(1+Pressupostos!$C$142)</f>
        <v>85538.66956</v>
      </c>
    </row>
    <row r="27" customFormat="false" ht="15" hidden="false" customHeight="false" outlineLevel="0" collapsed="false">
      <c r="A27" s="7" t="s">
        <v>644</v>
      </c>
      <c r="B27" s="8" t="s">
        <v>11</v>
      </c>
      <c r="C27" s="61" t="n">
        <f aca="false">C12*Pressupostos!$C$143*(1+Pressupostos!$C$127)^0*(1+Pressupostos!$C$144)</f>
        <v>16000</v>
      </c>
      <c r="D27" s="61" t="n">
        <f aca="false">D12*Pressupostos!$C$143*(1+Pressupostos!$C$127)^1*(1+Pressupostos!$C$144)</f>
        <v>32960</v>
      </c>
      <c r="E27" s="61" t="n">
        <f aca="false">E12*Pressupostos!$C$143*(1+Pressupostos!$C$127)^2*(1+Pressupostos!$C$144)</f>
        <v>33948.8</v>
      </c>
      <c r="F27" s="61" t="n">
        <f aca="false">F12*Pressupostos!$C$143*(1+Pressupostos!$C$127)^3*(1+Pressupostos!$C$144)</f>
        <v>34967.264</v>
      </c>
      <c r="G27" s="61" t="n">
        <f aca="false">G12*Pressupostos!$C$143*(1+Pressupostos!$C$127)^4*(1+Pressupostos!$C$144)</f>
        <v>36016.28192</v>
      </c>
    </row>
    <row r="28" customFormat="false" ht="15" hidden="false" customHeight="false" outlineLevel="0" collapsed="false">
      <c r="A28" s="7" t="s">
        <v>645</v>
      </c>
      <c r="B28" s="8" t="s">
        <v>11</v>
      </c>
      <c r="C28" s="61" t="n">
        <f aca="false">C13*Pressupostos!$C$145*(1+Pressupostos!$C$127)^0*(1+Pressupostos!$C$146)</f>
        <v>34500</v>
      </c>
      <c r="D28" s="61" t="n">
        <f aca="false">D13*Pressupostos!$C$145*(1+Pressupostos!$C$127)^1*(1+Pressupostos!$C$146)</f>
        <v>35535</v>
      </c>
      <c r="E28" s="61" t="n">
        <f aca="false">E13*Pressupostos!$C$145*(1+Pressupostos!$C$127)^2*(1+Pressupostos!$C$146)</f>
        <v>73202.1</v>
      </c>
      <c r="F28" s="61" t="n">
        <f aca="false">F13*Pressupostos!$C$145*(1+Pressupostos!$C$127)^3*(1+Pressupostos!$C$146)</f>
        <v>113097.2445</v>
      </c>
      <c r="G28" s="61" t="n">
        <f aca="false">G13*Pressupostos!$C$145*(1+Pressupostos!$C$127)^4*(1+Pressupostos!$C$146)</f>
        <v>194150.269725</v>
      </c>
    </row>
    <row r="29" customFormat="false" ht="15" hidden="false" customHeight="false" outlineLevel="0" collapsed="false">
      <c r="A29" s="7" t="s">
        <v>646</v>
      </c>
      <c r="B29" s="8" t="s">
        <v>11</v>
      </c>
      <c r="C29" s="61" t="n">
        <f aca="false">C14*Pressupostos!$C$147*(1+Pressupostos!$C$127)^0*(1+Pressupostos!$C$148)</f>
        <v>0</v>
      </c>
      <c r="D29" s="61" t="n">
        <f aca="false">D14*Pressupostos!$C$147*(1+Pressupostos!$C$127)^1*(1+Pressupostos!$C$148)</f>
        <v>0</v>
      </c>
      <c r="E29" s="61" t="n">
        <f aca="false">E14*Pressupostos!$C$147*(1+Pressupostos!$C$127)^2*(1+Pressupostos!$C$148)</f>
        <v>0</v>
      </c>
      <c r="F29" s="61" t="n">
        <f aca="false">F14*Pressupostos!$C$147*(1+Pressupostos!$C$127)^3*(1+Pressupostos!$C$148)</f>
        <v>49172.715</v>
      </c>
      <c r="G29" s="61" t="n">
        <f aca="false">G14*Pressupostos!$C$147*(1+Pressupostos!$C$127)^4*(1+Pressupostos!$C$148)</f>
        <v>50647.89645</v>
      </c>
    </row>
    <row r="30" customFormat="false" ht="15" hidden="false" customHeight="false" outlineLevel="0" collapsed="false">
      <c r="A30" s="7" t="s">
        <v>647</v>
      </c>
      <c r="B30" s="8" t="s">
        <v>11</v>
      </c>
      <c r="C30" s="61" t="n">
        <f aca="false">C15*Pressupostos!$C$149*(1+Pressupostos!$C$127)^0*(1+Pressupostos!$C$150)</f>
        <v>0</v>
      </c>
      <c r="D30" s="61" t="n">
        <f aca="false">D15*Pressupostos!$C$149*(1+Pressupostos!$C$127)^1*(1+Pressupostos!$C$150)</f>
        <v>0</v>
      </c>
      <c r="E30" s="61" t="n">
        <f aca="false">E15*Pressupostos!$C$149*(1+Pressupostos!$C$127)^2*(1+Pressupostos!$C$150)</f>
        <v>0</v>
      </c>
      <c r="F30" s="61" t="n">
        <f aca="false">F15*Pressupostos!$C$149*(1+Pressupostos!$C$127)^3*(1+Pressupostos!$C$150)</f>
        <v>0</v>
      </c>
      <c r="G30" s="61" t="n">
        <f aca="false">G15*Pressupostos!$C$149*(1+Pressupostos!$C$127)^4*(1+Pressupostos!$C$150)</f>
        <v>45020.3524</v>
      </c>
    </row>
    <row r="31" customFormat="false" ht="15" hidden="false" customHeight="false" outlineLevel="0" collapsed="false">
      <c r="A31" s="7" t="s">
        <v>648</v>
      </c>
      <c r="B31" s="8" t="s">
        <v>11</v>
      </c>
      <c r="C31" s="61" t="n">
        <f aca="false">C16*Pressupostos!$C$151*(1+Pressupostos!$C$127)^0*(1+Pressupostos!$C$152)</f>
        <v>0</v>
      </c>
      <c r="D31" s="61" t="n">
        <f aca="false">D16*Pressupostos!$C$151*(1+Pressupostos!$C$127)^1*(1+Pressupostos!$C$152)</f>
        <v>0</v>
      </c>
      <c r="E31" s="61" t="n">
        <f aca="false">E16*Pressupostos!$C$151*(1+Pressupostos!$C$127)^2*(1+Pressupostos!$C$152)</f>
        <v>25461.6</v>
      </c>
      <c r="F31" s="61" t="n">
        <f aca="false">F16*Pressupostos!$C$151*(1+Pressupostos!$C$127)^3*(1+Pressupostos!$C$152)</f>
        <v>26225.448</v>
      </c>
      <c r="G31" s="61" t="n">
        <f aca="false">G16*Pressupostos!$C$151*(1+Pressupostos!$C$127)^4*(1+Pressupostos!$C$152)</f>
        <v>27012.21144</v>
      </c>
    </row>
    <row r="32" customFormat="false" ht="15" hidden="false" customHeight="false" outlineLevel="0" collapsed="false">
      <c r="A32" s="7" t="s">
        <v>649</v>
      </c>
      <c r="B32" s="8" t="s">
        <v>11</v>
      </c>
      <c r="C32" s="61" t="n">
        <f aca="false">C17*Pressupostos!$C$153*(1+Pressupostos!$C$127)^0*(1+Pressupostos!$C$154)</f>
        <v>0</v>
      </c>
      <c r="D32" s="61" t="n">
        <f aca="false">D17*Pressupostos!$C$153*(1+Pressupostos!$C$127)^1*(1+Pressupostos!$C$154)</f>
        <v>0</v>
      </c>
      <c r="E32" s="61" t="n">
        <f aca="false">E17*Pressupostos!$C$153*(1+Pressupostos!$C$127)^2*(1+Pressupostos!$C$154)</f>
        <v>0</v>
      </c>
      <c r="F32" s="61" t="n">
        <f aca="false">F17*Pressupostos!$C$153*(1+Pressupostos!$C$127)^3*(1+Pressupostos!$C$154)</f>
        <v>0</v>
      </c>
      <c r="G32" s="61" t="n">
        <f aca="false">G17*Pressupostos!$C$153*(1+Pressupostos!$C$127)^4*(1+Pressupostos!$C$154)</f>
        <v>0</v>
      </c>
    </row>
    <row r="33" customFormat="false" ht="15" hidden="false" customHeight="false" outlineLevel="0" collapsed="false">
      <c r="A33" s="7" t="s">
        <v>652</v>
      </c>
      <c r="B33" s="8" t="s">
        <v>11</v>
      </c>
      <c r="C33" s="61" t="n">
        <f aca="false">C21+C22+C23+C24+C25+C26+C27+C28+C29+C30+C31+C32</f>
        <v>307662.5</v>
      </c>
      <c r="D33" s="61" t="n">
        <f aca="false">D21+D22+D23+D24+D25+D26+D27+D28+D29+D30+D31+D32</f>
        <v>390885</v>
      </c>
      <c r="E33" s="61" t="n">
        <f aca="false">E21+E22+E23+E24+E25+E26+E27+E28+E29+E30+E31+E32</f>
        <v>512414.7</v>
      </c>
      <c r="F33" s="61" t="n">
        <f aca="false">F21+F22+F23+F24+F25+F26+F27+F28+F29+F30+F31+F32</f>
        <v>656182.5635</v>
      </c>
      <c r="G33" s="61" t="n">
        <f aca="false">G21+G22+G23+G24+G25+G26+G27+G28+G29+G30+G31+G32</f>
        <v>798548.500695</v>
      </c>
    </row>
    <row r="34" customFormat="false" ht="15" hidden="false" customHeight="false" outlineLevel="0" collapsed="false">
      <c r="A34" s="7" t="s">
        <v>653</v>
      </c>
      <c r="B34" s="8" t="s">
        <v>11</v>
      </c>
      <c r="C34" s="61" t="n">
        <f aca="false">C33*(Pressupostos!$C$124+Pressupostos!$C$125)</f>
        <v>79223.09375</v>
      </c>
      <c r="D34" s="61" t="n">
        <f aca="false">D33*(Pressupostos!$C$124+Pressupostos!$C$125)</f>
        <v>100652.8875</v>
      </c>
      <c r="E34" s="61" t="n">
        <f aca="false">E33*(Pressupostos!$C$124+Pressupostos!$C$125)</f>
        <v>131946.78525</v>
      </c>
      <c r="F34" s="61" t="n">
        <f aca="false">F33*(Pressupostos!$C$124+Pressupostos!$C$125)</f>
        <v>168967.01010125</v>
      </c>
      <c r="G34" s="61" t="n">
        <f aca="false">G33*(Pressupostos!$C$124+Pressupostos!$C$125)</f>
        <v>205626.238928963</v>
      </c>
    </row>
    <row r="35" customFormat="false" ht="15" hidden="false" customHeight="false" outlineLevel="0" collapsed="false">
      <c r="A35" s="7" t="s">
        <v>654</v>
      </c>
      <c r="B35" s="8" t="s">
        <v>11</v>
      </c>
      <c r="C35" s="61" t="n">
        <f aca="false">C18*Pressupostos!$C$126*(1+Pressupostos!$C$127)^0</f>
        <v>14000</v>
      </c>
      <c r="D35" s="61" t="n">
        <f aca="false">D18*Pressupostos!$C$126*(1+Pressupostos!$C$127)^1</f>
        <v>16480</v>
      </c>
      <c r="E35" s="61" t="n">
        <f aca="false">E18*Pressupostos!$C$126*(1+Pressupostos!$C$127)^2</f>
        <v>23339.8</v>
      </c>
      <c r="F35" s="61" t="n">
        <f aca="false">F18*Pressupostos!$C$126*(1+Pressupostos!$C$127)^3</f>
        <v>30596.356</v>
      </c>
      <c r="G35" s="61" t="n">
        <f aca="false">G18*Pressupostos!$C$126*(1+Pressupostos!$C$127)^4</f>
        <v>38267.29954</v>
      </c>
    </row>
    <row r="36" customFormat="false" ht="15" hidden="false" customHeight="false" outlineLevel="0" collapsed="false">
      <c r="A36" s="56" t="s">
        <v>655</v>
      </c>
      <c r="B36" s="57" t="s">
        <v>11</v>
      </c>
      <c r="C36" s="62" t="n">
        <f aca="false">C33+C34+C35</f>
        <v>400885.59375</v>
      </c>
      <c r="D36" s="62" t="n">
        <f aca="false">D33+D34+D35</f>
        <v>508017.8875</v>
      </c>
      <c r="E36" s="62" t="n">
        <f aca="false">E33+E34+E35</f>
        <v>667701.28525</v>
      </c>
      <c r="F36" s="62" t="n">
        <f aca="false">F33+F34+F35</f>
        <v>855745.92960125</v>
      </c>
      <c r="G36" s="62" t="n">
        <f aca="false">G33+G34+G35</f>
        <v>1042442.03916396</v>
      </c>
    </row>
    <row r="37" customFormat="false" ht="15" hidden="false" customHeight="false" outlineLevel="0" collapsed="false">
      <c r="A37" s="2" t="s">
        <v>656</v>
      </c>
      <c r="B37" s="8" t="s">
        <v>11</v>
      </c>
      <c r="C37" s="61" t="n">
        <f aca="false">IF(C18&gt;0,C36/C18,0)</f>
        <v>57269.3705357143</v>
      </c>
      <c r="D37" s="61" t="n">
        <f aca="false">IF(D18&gt;0,D36/D18,0)</f>
        <v>63502.2359375</v>
      </c>
      <c r="E37" s="61" t="n">
        <f aca="false">IF(E18&gt;0,E36/E18,0)</f>
        <v>60700.1168409091</v>
      </c>
      <c r="F37" s="61" t="n">
        <f aca="false">IF(F18&gt;0,F36/F18,0)</f>
        <v>61124.7092572321</v>
      </c>
      <c r="G37" s="61" t="n">
        <f aca="false">IF(G18&gt;0,G36/G18,0)</f>
        <v>61320.1199508213</v>
      </c>
    </row>
    <row r="39" customFormat="false" ht="15" hidden="false" customHeight="false" outlineLevel="0" collapsed="false">
      <c r="A39" s="3" t="s">
        <v>657</v>
      </c>
      <c r="B39" s="4"/>
      <c r="C39" s="4"/>
      <c r="D39" s="4"/>
      <c r="E39" s="4"/>
      <c r="F39" s="4"/>
      <c r="G39" s="4"/>
      <c r="H39" s="4"/>
    </row>
    <row r="40" customFormat="false" ht="35.05" hidden="false" customHeight="false" outlineLevel="0" collapsed="false">
      <c r="A40" s="5" t="s">
        <v>658</v>
      </c>
      <c r="B40" s="5" t="s">
        <v>659</v>
      </c>
      <c r="C40" s="6" t="s">
        <v>660</v>
      </c>
      <c r="D40" s="6" t="s">
        <v>661</v>
      </c>
      <c r="E40" s="6" t="s">
        <v>662</v>
      </c>
      <c r="F40" s="6" t="s">
        <v>663</v>
      </c>
    </row>
    <row r="41" customFormat="false" ht="15" hidden="false" customHeight="false" outlineLevel="0" collapsed="false">
      <c r="A41" s="7" t="s">
        <v>638</v>
      </c>
      <c r="B41" s="8" t="s">
        <v>664</v>
      </c>
      <c r="C41" s="66" t="n">
        <f aca="false">Pressupostos!$C$131</f>
        <v>60000</v>
      </c>
      <c r="D41" s="33" t="n">
        <f aca="false">C41/14</f>
        <v>4285.71428571429</v>
      </c>
      <c r="E41" s="49" t="n">
        <f aca="false">Pressupostos!$C$132</f>
        <v>0</v>
      </c>
      <c r="F41" s="33" t="n">
        <f aca="false">C41*(1+E41)*(1+Pressupostos!$C$124+Pressupostos!$C$125)+Pressupostos!$C$126</f>
        <v>77450</v>
      </c>
    </row>
    <row r="42" customFormat="false" ht="15" hidden="false" customHeight="false" outlineLevel="0" collapsed="false">
      <c r="A42" s="7" t="s">
        <v>639</v>
      </c>
      <c r="B42" s="8" t="s">
        <v>664</v>
      </c>
      <c r="C42" s="66" t="n">
        <f aca="false">Pressupostos!$C$133</f>
        <v>65000</v>
      </c>
      <c r="D42" s="33" t="n">
        <f aca="false">C42/14</f>
        <v>4642.85714285714</v>
      </c>
      <c r="E42" s="49" t="n">
        <f aca="false">Pressupostos!$C$134</f>
        <v>0</v>
      </c>
      <c r="F42" s="33" t="n">
        <f aca="false">C42*(1+E42)*(1+Pressupostos!$C$124+Pressupostos!$C$125)+Pressupostos!$C$126</f>
        <v>83737.5</v>
      </c>
    </row>
    <row r="43" customFormat="false" ht="15" hidden="false" customHeight="false" outlineLevel="0" collapsed="false">
      <c r="A43" s="7" t="s">
        <v>640</v>
      </c>
      <c r="B43" s="8" t="s">
        <v>665</v>
      </c>
      <c r="C43" s="66" t="n">
        <f aca="false">Pressupostos!$C$135</f>
        <v>45000</v>
      </c>
      <c r="D43" s="33" t="n">
        <f aca="false">C43/14</f>
        <v>3214.28571428571</v>
      </c>
      <c r="E43" s="49" t="n">
        <f aca="false">Pressupostos!$C$136</f>
        <v>0</v>
      </c>
      <c r="F43" s="33" t="n">
        <f aca="false">C43*(1+E43)*(1+Pressupostos!$C$124+Pressupostos!$C$125)+Pressupostos!$C$126</f>
        <v>58587.5</v>
      </c>
    </row>
    <row r="44" customFormat="false" ht="15" hidden="false" customHeight="false" outlineLevel="0" collapsed="false">
      <c r="A44" s="7" t="s">
        <v>641</v>
      </c>
      <c r="B44" s="8" t="s">
        <v>665</v>
      </c>
      <c r="C44" s="66" t="n">
        <f aca="false">Pressupostos!$C$137</f>
        <v>60000</v>
      </c>
      <c r="D44" s="33" t="n">
        <f aca="false">C44/14</f>
        <v>4285.71428571429</v>
      </c>
      <c r="E44" s="49" t="n">
        <f aca="false">Pressupostos!$C$138</f>
        <v>0</v>
      </c>
      <c r="F44" s="33" t="n">
        <f aca="false">C44*(1+E44)*(1+Pressupostos!$C$124+Pressupostos!$C$125)+Pressupostos!$C$126</f>
        <v>77450</v>
      </c>
    </row>
    <row r="45" customFormat="false" ht="15" hidden="false" customHeight="false" outlineLevel="0" collapsed="false">
      <c r="A45" s="7" t="s">
        <v>642</v>
      </c>
      <c r="B45" s="8" t="s">
        <v>665</v>
      </c>
      <c r="C45" s="66" t="n">
        <f aca="false">Pressupostos!$C$139</f>
        <v>45000</v>
      </c>
      <c r="D45" s="33" t="n">
        <f aca="false">C45/14</f>
        <v>3214.28571428571</v>
      </c>
      <c r="E45" s="49" t="n">
        <f aca="false">Pressupostos!$C$140</f>
        <v>0</v>
      </c>
      <c r="F45" s="33" t="n">
        <f aca="false">C45*(1+E45)*(1+Pressupostos!$C$124+Pressupostos!$C$125)+Pressupostos!$C$126</f>
        <v>58587.5</v>
      </c>
    </row>
    <row r="46" customFormat="false" ht="15" hidden="false" customHeight="false" outlineLevel="0" collapsed="false">
      <c r="A46" s="7" t="s">
        <v>643</v>
      </c>
      <c r="B46" s="8" t="s">
        <v>665</v>
      </c>
      <c r="C46" s="66" t="n">
        <f aca="false">Pressupostos!$C$141</f>
        <v>38000</v>
      </c>
      <c r="D46" s="33" t="n">
        <f aca="false">C46/14</f>
        <v>2714.28571428571</v>
      </c>
      <c r="E46" s="49" t="n">
        <f aca="false">Pressupostos!$C$142</f>
        <v>0</v>
      </c>
      <c r="F46" s="33" t="n">
        <f aca="false">C46*(1+E46)*(1+Pressupostos!$C$124+Pressupostos!$C$125)+Pressupostos!$C$126</f>
        <v>49785</v>
      </c>
    </row>
    <row r="47" customFormat="false" ht="15" hidden="false" customHeight="false" outlineLevel="0" collapsed="false">
      <c r="A47" s="7" t="s">
        <v>644</v>
      </c>
      <c r="B47" s="8" t="s">
        <v>665</v>
      </c>
      <c r="C47" s="66" t="n">
        <f aca="false">Pressupostos!$C$143</f>
        <v>32000</v>
      </c>
      <c r="D47" s="33" t="n">
        <f aca="false">C47/14</f>
        <v>2285.71428571429</v>
      </c>
      <c r="E47" s="49" t="n">
        <f aca="false">Pressupostos!$C$144</f>
        <v>0</v>
      </c>
      <c r="F47" s="33" t="n">
        <f aca="false">C47*(1+E47)*(1+Pressupostos!$C$124+Pressupostos!$C$125)+Pressupostos!$C$126</f>
        <v>42240</v>
      </c>
    </row>
    <row r="48" customFormat="false" ht="15" hidden="false" customHeight="false" outlineLevel="0" collapsed="false">
      <c r="A48" s="7" t="s">
        <v>645</v>
      </c>
      <c r="B48" s="8" t="s">
        <v>665</v>
      </c>
      <c r="C48" s="66" t="n">
        <f aca="false">Pressupostos!$C$145</f>
        <v>30000</v>
      </c>
      <c r="D48" s="33" t="n">
        <f aca="false">C48/14</f>
        <v>2142.85714285714</v>
      </c>
      <c r="E48" s="49" t="n">
        <f aca="false">Pressupostos!$C$146</f>
        <v>0.15</v>
      </c>
      <c r="F48" s="33" t="n">
        <f aca="false">C48*(1+E48)*(1+Pressupostos!$C$124+Pressupostos!$C$125)+Pressupostos!$C$126</f>
        <v>45383.75</v>
      </c>
    </row>
    <row r="49" customFormat="false" ht="15" hidden="false" customHeight="false" outlineLevel="0" collapsed="false">
      <c r="A49" s="7" t="s">
        <v>646</v>
      </c>
      <c r="B49" s="8" t="s">
        <v>665</v>
      </c>
      <c r="C49" s="66" t="n">
        <f aca="false">Pressupostos!$C$147</f>
        <v>45000</v>
      </c>
      <c r="D49" s="33" t="n">
        <f aca="false">C49/14</f>
        <v>3214.28571428571</v>
      </c>
      <c r="E49" s="49" t="n">
        <f aca="false">Pressupostos!$C$148</f>
        <v>0</v>
      </c>
      <c r="F49" s="33" t="n">
        <f aca="false">C49*(1+E49)*(1+Pressupostos!$C$124+Pressupostos!$C$125)+Pressupostos!$C$126</f>
        <v>58587.5</v>
      </c>
    </row>
    <row r="50" customFormat="false" ht="15" hidden="false" customHeight="false" outlineLevel="0" collapsed="false">
      <c r="A50" s="7" t="s">
        <v>647</v>
      </c>
      <c r="B50" s="8" t="s">
        <v>665</v>
      </c>
      <c r="C50" s="66" t="n">
        <f aca="false">Pressupostos!$C$149</f>
        <v>40000</v>
      </c>
      <c r="D50" s="33" t="n">
        <f aca="false">C50/14</f>
        <v>2857.14285714286</v>
      </c>
      <c r="E50" s="49" t="n">
        <f aca="false">Pressupostos!$C$150</f>
        <v>0</v>
      </c>
      <c r="F50" s="33" t="n">
        <f aca="false">C50*(1+E50)*(1+Pressupostos!$C$124+Pressupostos!$C$125)+Pressupostos!$C$126</f>
        <v>52300</v>
      </c>
    </row>
    <row r="51" customFormat="false" ht="15" hidden="false" customHeight="false" outlineLevel="0" collapsed="false">
      <c r="A51" s="7" t="s">
        <v>648</v>
      </c>
      <c r="B51" s="8" t="s">
        <v>665</v>
      </c>
      <c r="C51" s="66" t="n">
        <f aca="false">Pressupostos!$C$151</f>
        <v>24000</v>
      </c>
      <c r="D51" s="33" t="n">
        <f aca="false">C51/14</f>
        <v>1714.28571428571</v>
      </c>
      <c r="E51" s="49" t="n">
        <f aca="false">Pressupostos!$C$152</f>
        <v>0</v>
      </c>
      <c r="F51" s="33" t="n">
        <f aca="false">C51*(1+E51)*(1+Pressupostos!$C$124+Pressupostos!$C$125)+Pressupostos!$C$126</f>
        <v>32180</v>
      </c>
    </row>
    <row r="52" customFormat="false" ht="15" hidden="false" customHeight="false" outlineLevel="0" collapsed="false">
      <c r="A52" s="7" t="s">
        <v>649</v>
      </c>
      <c r="B52" s="8" t="s">
        <v>665</v>
      </c>
      <c r="C52" s="66" t="n">
        <f aca="false">Pressupostos!$C$153</f>
        <v>45000</v>
      </c>
      <c r="D52" s="33" t="n">
        <f aca="false">C52/14</f>
        <v>3214.28571428571</v>
      </c>
      <c r="E52" s="49" t="n">
        <f aca="false">Pressupostos!$C$154</f>
        <v>0.15</v>
      </c>
      <c r="F52" s="33" t="n">
        <f aca="false">C52*(1+E52)*(1+Pressupostos!$C$124+Pressupostos!$C$125)+Pressupostos!$C$126</f>
        <v>67075.625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666</v>
      </c>
    </row>
    <row r="2" customFormat="false" ht="15" hidden="false" customHeight="false" outlineLevel="0" collapsed="false">
      <c r="A2" s="2" t="s">
        <v>667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668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669</v>
      </c>
      <c r="B6" s="8" t="s">
        <v>64</v>
      </c>
      <c r="C6" s="63" t="n">
        <f aca="false">Pressupostos!$G$10+Pressupostos!$G$11</f>
        <v>3.6</v>
      </c>
      <c r="D6" s="63" t="n">
        <f aca="false">Pressupostos!$G$10+Pressupostos!$G$11</f>
        <v>3.6</v>
      </c>
      <c r="E6" s="63" t="n">
        <f aca="false">Pressupostos!$G$10+Pressupostos!$G$11</f>
        <v>3.6</v>
      </c>
      <c r="F6" s="63" t="n">
        <f aca="false">Pressupostos!$G$10+Pressupostos!$G$11</f>
        <v>3.6</v>
      </c>
      <c r="G6" s="63" t="n">
        <f aca="false">Pressupostos!$G$10+Pressupostos!$G$11</f>
        <v>3.6</v>
      </c>
    </row>
    <row r="7" customFormat="false" ht="15" hidden="false" customHeight="false" outlineLevel="0" collapsed="false">
      <c r="A7" s="7" t="s">
        <v>670</v>
      </c>
      <c r="B7" s="8" t="s">
        <v>64</v>
      </c>
      <c r="C7" s="67" t="n">
        <f aca="false">Pressupostos!$G$15</f>
        <v>5.65</v>
      </c>
      <c r="D7" s="67" t="n">
        <f aca="false">Pressupostos!$G$15</f>
        <v>5.65</v>
      </c>
      <c r="E7" s="67" t="n">
        <f aca="false">Pressupostos!$G$15</f>
        <v>5.65</v>
      </c>
      <c r="F7" s="67" t="n">
        <f aca="false">Pressupostos!$G$15</f>
        <v>5.65</v>
      </c>
      <c r="G7" s="67" t="n">
        <f aca="false">Pressupostos!$G$15</f>
        <v>5.65</v>
      </c>
    </row>
    <row r="8" customFormat="false" ht="15" hidden="false" customHeight="false" outlineLevel="0" collapsed="false">
      <c r="A8" s="56" t="s">
        <v>671</v>
      </c>
      <c r="B8" s="57" t="s">
        <v>64</v>
      </c>
      <c r="C8" s="68" t="n">
        <f aca="false">C7*(1-Pressupostos!$G$16)</f>
        <v>5.085</v>
      </c>
      <c r="D8" s="68" t="n">
        <f aca="false">D7*(1-Pressupostos!$G$16)</f>
        <v>5.085</v>
      </c>
      <c r="E8" s="68" t="n">
        <f aca="false">E7*(1-Pressupostos!$G$16)</f>
        <v>5.085</v>
      </c>
      <c r="F8" s="68" t="n">
        <f aca="false">F7*(1-Pressupostos!$G$16)</f>
        <v>5.085</v>
      </c>
      <c r="G8" s="68" t="n">
        <f aca="false">G7*(1-Pressupostos!$G$16)</f>
        <v>5.085</v>
      </c>
    </row>
    <row r="9" customFormat="false" ht="15" hidden="false" customHeight="false" outlineLevel="0" collapsed="false">
      <c r="A9" s="7" t="s">
        <v>144</v>
      </c>
      <c r="B9" s="8" t="s">
        <v>64</v>
      </c>
      <c r="C9" s="67" t="n">
        <f aca="false">Pressupostos!$C$38</f>
        <v>0.55</v>
      </c>
      <c r="D9" s="67" t="n">
        <f aca="false">Pressupostos!$C$38</f>
        <v>0.55</v>
      </c>
      <c r="E9" s="67" t="n">
        <f aca="false">Pressupostos!$C$38</f>
        <v>0.55</v>
      </c>
      <c r="F9" s="67" t="n">
        <f aca="false">Pressupostos!$C$38</f>
        <v>0.55</v>
      </c>
      <c r="G9" s="67" t="n">
        <f aca="false">Pressupostos!$C$38</f>
        <v>0.55</v>
      </c>
    </row>
    <row r="10" customFormat="false" ht="15" hidden="false" customHeight="false" outlineLevel="0" collapsed="false">
      <c r="A10" s="7" t="s">
        <v>215</v>
      </c>
      <c r="B10" s="8" t="s">
        <v>64</v>
      </c>
      <c r="C10" s="67" t="n">
        <f aca="false">Pressupostos!$C$241</f>
        <v>0.3</v>
      </c>
      <c r="D10" s="67" t="n">
        <f aca="false">Pressupostos!$D$241</f>
        <v>0.3</v>
      </c>
      <c r="E10" s="67" t="n">
        <f aca="false">Pressupostos!$E$241</f>
        <v>0.28</v>
      </c>
      <c r="F10" s="67" t="n">
        <f aca="false">Pressupostos!$F$241</f>
        <v>0.27</v>
      </c>
      <c r="G10" s="67" t="n">
        <f aca="false">Pressupostos!$G$241</f>
        <v>0.27</v>
      </c>
    </row>
    <row r="11" customFormat="false" ht="15" hidden="false" customHeight="false" outlineLevel="0" collapsed="false">
      <c r="A11" s="7" t="s">
        <v>117</v>
      </c>
      <c r="B11" s="8" t="s">
        <v>64</v>
      </c>
      <c r="C11" s="67" t="n">
        <f aca="false">Pressupostos!$C$39</f>
        <v>0.06</v>
      </c>
      <c r="D11" s="67" t="n">
        <f aca="false">Pressupostos!$C$39</f>
        <v>0.06</v>
      </c>
      <c r="E11" s="67" t="n">
        <f aca="false">Pressupostos!$C$39</f>
        <v>0.06</v>
      </c>
      <c r="F11" s="67" t="n">
        <f aca="false">Pressupostos!$C$39</f>
        <v>0.06</v>
      </c>
      <c r="G11" s="67" t="n">
        <f aca="false">Pressupostos!$C$39</f>
        <v>0.06</v>
      </c>
    </row>
    <row r="12" customFormat="false" ht="15" hidden="false" customHeight="false" outlineLevel="0" collapsed="false">
      <c r="A12" s="7" t="s">
        <v>91</v>
      </c>
      <c r="B12" s="8" t="s">
        <v>79</v>
      </c>
      <c r="C12" s="69" t="n">
        <f aca="false">Pressupostos!$C$247</f>
        <v>180</v>
      </c>
      <c r="D12" s="69" t="n">
        <f aca="false">Pressupostos!$D$247</f>
        <v>180</v>
      </c>
      <c r="E12" s="69" t="n">
        <f aca="false">Pressupostos!$E$247</f>
        <v>45</v>
      </c>
      <c r="F12" s="69" t="n">
        <f aca="false">Pressupostos!$F$247</f>
        <v>45</v>
      </c>
      <c r="G12" s="69" t="n">
        <f aca="false">Pressupostos!$G$247</f>
        <v>45</v>
      </c>
    </row>
    <row r="13" customFormat="false" ht="15" hidden="false" customHeight="false" outlineLevel="0" collapsed="false">
      <c r="A13" s="7" t="s">
        <v>78</v>
      </c>
      <c r="B13" s="8" t="s">
        <v>79</v>
      </c>
      <c r="C13" s="69" t="n">
        <f aca="false">Pressupostos!$G$17</f>
        <v>35</v>
      </c>
      <c r="D13" s="69" t="n">
        <f aca="false">Pressupostos!$G$17</f>
        <v>35</v>
      </c>
      <c r="E13" s="69" t="n">
        <f aca="false">Pressupostos!$G$17</f>
        <v>35</v>
      </c>
      <c r="F13" s="69" t="n">
        <f aca="false">Pressupostos!$G$17</f>
        <v>35</v>
      </c>
      <c r="G13" s="69" t="n">
        <f aca="false">Pressupostos!$G$17</f>
        <v>35</v>
      </c>
    </row>
    <row r="14" customFormat="false" ht="15" hidden="false" customHeight="false" outlineLevel="0" collapsed="false">
      <c r="A14" s="7" t="s">
        <v>490</v>
      </c>
      <c r="B14" s="8" t="s">
        <v>64</v>
      </c>
      <c r="C14" s="63" t="n">
        <f aca="false">Pressupostos!$C$66*C12/30/1000</f>
        <v>0.024</v>
      </c>
      <c r="D14" s="63" t="n">
        <f aca="false">Pressupostos!$C$66*D12/30/1000</f>
        <v>0.024</v>
      </c>
      <c r="E14" s="63" t="n">
        <f aca="false">Pressupostos!$C$66*E12/30/1000</f>
        <v>0.006</v>
      </c>
      <c r="F14" s="63" t="n">
        <f aca="false">Pressupostos!$C$66*F12/30/1000</f>
        <v>0.006</v>
      </c>
      <c r="G14" s="63" t="n">
        <f aca="false">Pressupostos!$C$66*G12/30/1000</f>
        <v>0.006</v>
      </c>
    </row>
    <row r="15" customFormat="false" ht="15" hidden="false" customHeight="false" outlineLevel="0" collapsed="false">
      <c r="A15" s="7" t="s">
        <v>165</v>
      </c>
      <c r="B15" s="8" t="s">
        <v>64</v>
      </c>
      <c r="C15" s="63" t="n">
        <f aca="false">C6*Pressupostos!$C$67*C12/365</f>
        <v>0.00355068493150685</v>
      </c>
      <c r="D15" s="63" t="n">
        <f aca="false">D6*Pressupostos!$C$67*D12/365</f>
        <v>0.00355068493150685</v>
      </c>
      <c r="E15" s="63" t="n">
        <f aca="false">E6*Pressupostos!$C$67*E12/365</f>
        <v>0.000887671232876712</v>
      </c>
      <c r="F15" s="63" t="n">
        <f aca="false">F6*Pressupostos!$C$67*F12/365</f>
        <v>0.000887671232876712</v>
      </c>
      <c r="G15" s="63" t="n">
        <f aca="false">G6*Pressupostos!$C$67*G12/365</f>
        <v>0.000887671232876712</v>
      </c>
    </row>
    <row r="16" customFormat="false" ht="15" hidden="false" customHeight="false" outlineLevel="0" collapsed="false">
      <c r="A16" s="7" t="s">
        <v>672</v>
      </c>
      <c r="B16" s="8" t="s">
        <v>64</v>
      </c>
      <c r="C16" s="63" t="n">
        <f aca="false">Pressupostos!$C$41*Pressupostos!$C$68/(Pressupostos!$C$40*1000)</f>
        <v>0.03</v>
      </c>
      <c r="D16" s="63" t="n">
        <f aca="false">Pressupostos!$C$41*Pressupostos!$C$68/(Pressupostos!$C$40*1000)</f>
        <v>0.03</v>
      </c>
      <c r="E16" s="63" t="n">
        <f aca="false">Pressupostos!$C$41*Pressupostos!$C$68/(Pressupostos!$C$40*1000)</f>
        <v>0.03</v>
      </c>
      <c r="F16" s="63" t="n">
        <f aca="false">Pressupostos!$C$41*Pressupostos!$C$68/(Pressupostos!$C$40*1000)</f>
        <v>0.03</v>
      </c>
      <c r="G16" s="63" t="n">
        <f aca="false">Pressupostos!$C$41*Pressupostos!$C$68/(Pressupostos!$C$40*1000)</f>
        <v>0.03</v>
      </c>
    </row>
    <row r="17" customFormat="false" ht="15" hidden="false" customHeight="false" outlineLevel="0" collapsed="false">
      <c r="A17" s="7" t="s">
        <v>492</v>
      </c>
      <c r="B17" s="8" t="s">
        <v>64</v>
      </c>
      <c r="C17" s="63" t="n">
        <f aca="false">Pressupostos!$C$69*C6</f>
        <v>0.018</v>
      </c>
      <c r="D17" s="63" t="n">
        <f aca="false">Pressupostos!$C$69*D6</f>
        <v>0.018</v>
      </c>
      <c r="E17" s="63" t="n">
        <f aca="false">Pressupostos!$C$69*E6</f>
        <v>0.018</v>
      </c>
      <c r="F17" s="63" t="n">
        <f aca="false">Pressupostos!$C$69*F6</f>
        <v>0.018</v>
      </c>
      <c r="G17" s="63" t="n">
        <f aca="false">Pressupostos!$C$69*G6</f>
        <v>0.018</v>
      </c>
    </row>
    <row r="18" customFormat="false" ht="15" hidden="false" customHeight="false" outlineLevel="0" collapsed="false">
      <c r="A18" s="7" t="s">
        <v>493</v>
      </c>
      <c r="B18" s="8" t="s">
        <v>64</v>
      </c>
      <c r="C18" s="63" t="n">
        <f aca="false">Pressupostos!$C$70*Pressupostos!$C$71*C12/90</f>
        <v>0.018</v>
      </c>
      <c r="D18" s="63" t="n">
        <f aca="false">Pressupostos!$C$70*Pressupostos!$C$71*D12/90</f>
        <v>0.018</v>
      </c>
      <c r="E18" s="63" t="n">
        <f aca="false">Pressupostos!$C$70*Pressupostos!$C$71*E12/90</f>
        <v>0.0045</v>
      </c>
      <c r="F18" s="63" t="n">
        <f aca="false">Pressupostos!$C$70*Pressupostos!$C$71*F12/90</f>
        <v>0.0045</v>
      </c>
      <c r="G18" s="63" t="n">
        <f aca="false">Pressupostos!$C$70*Pressupostos!$C$71*G12/90</f>
        <v>0.0045</v>
      </c>
    </row>
    <row r="19" customFormat="false" ht="15" hidden="false" customHeight="false" outlineLevel="0" collapsed="false">
      <c r="A19" s="7" t="s">
        <v>673</v>
      </c>
      <c r="B19" s="8" t="s">
        <v>64</v>
      </c>
      <c r="C19" s="63" t="n">
        <f aca="false">Pressupostos!$C$42/(Pressupostos!$C$40*1000)</f>
        <v>0.1</v>
      </c>
      <c r="D19" s="63" t="n">
        <f aca="false">Pressupostos!$C$42/(Pressupostos!$C$40*1000)</f>
        <v>0.1</v>
      </c>
      <c r="E19" s="63" t="n">
        <f aca="false">Pressupostos!$C$42/(Pressupostos!$C$40*1000)</f>
        <v>0.1</v>
      </c>
      <c r="F19" s="63" t="n">
        <f aca="false">Pressupostos!$C$42/(Pressupostos!$C$40*1000)</f>
        <v>0.1</v>
      </c>
      <c r="G19" s="63" t="n">
        <f aca="false">Pressupostos!$C$42/(Pressupostos!$C$40*1000)</f>
        <v>0.1</v>
      </c>
    </row>
    <row r="20" customFormat="false" ht="15" hidden="false" customHeight="false" outlineLevel="0" collapsed="false">
      <c r="A20" s="7" t="s">
        <v>139</v>
      </c>
      <c r="B20" s="8" t="s">
        <v>64</v>
      </c>
      <c r="C20" s="67" t="n">
        <f aca="false">Pressupostos!$C$43</f>
        <v>0.01</v>
      </c>
      <c r="D20" s="67" t="n">
        <f aca="false">Pressupostos!$C$43</f>
        <v>0.01</v>
      </c>
      <c r="E20" s="67" t="n">
        <f aca="false">Pressupostos!$C$43</f>
        <v>0.01</v>
      </c>
      <c r="F20" s="67" t="n">
        <f aca="false">Pressupostos!$C$43</f>
        <v>0.01</v>
      </c>
      <c r="G20" s="67" t="n">
        <f aca="false">Pressupostos!$C$43</f>
        <v>0.01</v>
      </c>
    </row>
    <row r="21" customFormat="false" ht="15" hidden="false" customHeight="false" outlineLevel="0" collapsed="false">
      <c r="A21" s="7" t="s">
        <v>81</v>
      </c>
      <c r="B21" s="8" t="s">
        <v>64</v>
      </c>
      <c r="C21" s="63" t="n">
        <f aca="false">Pressupostos!$G$18*C8</f>
        <v>0.03051</v>
      </c>
      <c r="D21" s="63" t="n">
        <f aca="false">Pressupostos!$G$18*D8</f>
        <v>0.03051</v>
      </c>
      <c r="E21" s="63" t="n">
        <f aca="false">Pressupostos!$G$18*E8</f>
        <v>0.03051</v>
      </c>
      <c r="F21" s="63" t="n">
        <f aca="false">Pressupostos!$G$18*F8</f>
        <v>0.03051</v>
      </c>
      <c r="G21" s="63" t="n">
        <f aca="false">Pressupostos!$G$18*G8</f>
        <v>0.03051</v>
      </c>
    </row>
    <row r="22" customFormat="false" ht="15" hidden="false" customHeight="false" outlineLevel="0" collapsed="false">
      <c r="A22" s="7" t="s">
        <v>674</v>
      </c>
      <c r="B22" s="8" t="s">
        <v>64</v>
      </c>
      <c r="C22" s="63" t="n">
        <f aca="false">Pressupostos!$C$73*C8</f>
        <v>0</v>
      </c>
      <c r="D22" s="63" t="n">
        <f aca="false">Pressupostos!$C$73*D8</f>
        <v>0</v>
      </c>
      <c r="E22" s="63" t="n">
        <f aca="false">Pressupostos!$C$73*E8</f>
        <v>0</v>
      </c>
      <c r="F22" s="63" t="n">
        <f aca="false">Pressupostos!$C$73*F8</f>
        <v>0</v>
      </c>
      <c r="G22" s="63" t="n">
        <f aca="false">Pressupostos!$C$73*G8</f>
        <v>0</v>
      </c>
    </row>
    <row r="23" customFormat="false" ht="15" hidden="false" customHeight="false" outlineLevel="0" collapsed="false">
      <c r="A23" s="7" t="s">
        <v>675</v>
      </c>
      <c r="B23" s="8" t="s">
        <v>64</v>
      </c>
      <c r="C23" s="63" t="n">
        <f aca="false">Pressupostos!$C$291*(C6+C9)*(C12+C13-Pressupostos!$C$72)/365*Pressupostos!$C$285/Pressupostos!$G$31</f>
        <v>0</v>
      </c>
      <c r="D23" s="63" t="n">
        <f aca="false">Pressupostos!$D$291*(D6+D9)*(D12+D13-Pressupostos!$C$72)/365*Pressupostos!$D$285/Pressupostos!$G$31</f>
        <v>0.189308219178082</v>
      </c>
      <c r="E23" s="63" t="n">
        <f aca="false">Pressupostos!$E$291*(E6+E9)*(E12+E13-Pressupostos!$C$72)/365*Pressupostos!$E$285/Pressupostos!$G$31</f>
        <v>0.0479666095890411</v>
      </c>
      <c r="F23" s="63" t="n">
        <f aca="false">Pressupostos!$F$291*(F6+F9)*(F12+F13-Pressupostos!$C$72)/365*Pressupostos!$F$285/Pressupostos!$G$31</f>
        <v>0.0447688356164384</v>
      </c>
      <c r="G23" s="63" t="n">
        <f aca="false">Pressupostos!$G$291*(G6+G9)*(G12+G13-Pressupostos!$C$72)/365*Pressupostos!$G$285/Pressupostos!$G$31</f>
        <v>0.0447688356164384</v>
      </c>
    </row>
    <row r="24" customFormat="false" ht="15" hidden="false" customHeight="false" outlineLevel="0" collapsed="false">
      <c r="A24" s="7" t="s">
        <v>676</v>
      </c>
      <c r="B24" s="8" t="s">
        <v>64</v>
      </c>
      <c r="C24" s="63" t="n">
        <f aca="false">C6+C9+C10+C11+C14+C15+C16+C17+C18+C19+C20+C21+C22+C23</f>
        <v>4.74406068493151</v>
      </c>
      <c r="D24" s="63" t="n">
        <f aca="false">D6+D9+D10+D11+D14+D15+D16+D17+D18+D19+D20+D21+D22+D23</f>
        <v>4.93336890410959</v>
      </c>
      <c r="E24" s="63" t="n">
        <f aca="false">E6+E9+E10+E11+E14+E15+E16+E17+E18+E19+E20+E21+E22+E23</f>
        <v>4.73786428082192</v>
      </c>
      <c r="F24" s="63" t="n">
        <f aca="false">F6+F9+F10+F11+F14+F15+F16+F17+F18+F19+F20+F21+F22+F23</f>
        <v>4.72466650684931</v>
      </c>
      <c r="G24" s="63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56" t="s">
        <v>677</v>
      </c>
      <c r="B25" s="57" t="s">
        <v>64</v>
      </c>
      <c r="C25" s="68" t="n">
        <f aca="false">C8-C24</f>
        <v>0.340939315068495</v>
      </c>
      <c r="D25" s="68" t="n">
        <f aca="false">D8-D24</f>
        <v>0.151631095890413</v>
      </c>
      <c r="E25" s="68" t="n">
        <f aca="false">E8-E24</f>
        <v>0.347135719178083</v>
      </c>
      <c r="F25" s="68" t="n">
        <f aca="false">F8-F24</f>
        <v>0.360333493150686</v>
      </c>
      <c r="G25" s="68" t="n">
        <f aca="false">G8-G24</f>
        <v>0.360333493150686</v>
      </c>
    </row>
    <row r="26" customFormat="false" ht="15" hidden="false" customHeight="false" outlineLevel="0" collapsed="false">
      <c r="A26" s="7" t="s">
        <v>678</v>
      </c>
      <c r="B26" s="8" t="s">
        <v>76</v>
      </c>
      <c r="C26" s="59" t="n">
        <f aca="false">IF(C8&gt;0,C25/C8,0)</f>
        <v>0.067048046227826</v>
      </c>
      <c r="D26" s="59" t="n">
        <f aca="false">IF(D8&gt;0,D25/D8,0)</f>
        <v>0.0298192912272199</v>
      </c>
      <c r="E26" s="59" t="n">
        <f aca="false">IF(E8&gt;0,E25/E8,0)</f>
        <v>0.0682666114411176</v>
      </c>
      <c r="F26" s="59" t="n">
        <f aca="false">IF(F8&gt;0,F25/F8,0)</f>
        <v>0.0708620438841074</v>
      </c>
      <c r="G26" s="59" t="n">
        <f aca="false">IF(G8&gt;0,G25/G8,0)</f>
        <v>0.0708620438841074</v>
      </c>
    </row>
    <row r="27" customFormat="false" ht="15" hidden="false" customHeight="false" outlineLevel="0" collapsed="false">
      <c r="A27" s="7" t="s">
        <v>679</v>
      </c>
      <c r="B27" s="8" t="s">
        <v>64</v>
      </c>
      <c r="C27" s="63" t="n">
        <f aca="false">(C6+C9)*(C12-Pressupostos!$C$72)/365+C8*C13/365</f>
        <v>2.19308219178082</v>
      </c>
      <c r="D27" s="63" t="n">
        <f aca="false">(D6+D9)*(D12-Pressupostos!$C$72)/365+D8*D13/365</f>
        <v>2.19308219178082</v>
      </c>
      <c r="E27" s="63" t="n">
        <f aca="false">(E6+E9)*(E12-Pressupostos!$C$72)/365+E8*E13/365</f>
        <v>0.658150684931507</v>
      </c>
      <c r="F27" s="63" t="n">
        <f aca="false">(F6+F9)*(F12-Pressupostos!$C$72)/365+F8*F13/365</f>
        <v>0.658150684931507</v>
      </c>
      <c r="G27" s="63" t="n">
        <f aca="false">(G6+G9)*(G12-Pressupostos!$C$72)/365+G8*G13/365</f>
        <v>0.658150684931507</v>
      </c>
    </row>
    <row r="29" customFormat="false" ht="15" hidden="false" customHeight="false" outlineLevel="0" collapsed="false">
      <c r="A29" s="3" t="s">
        <v>680</v>
      </c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7" t="s">
        <v>669</v>
      </c>
      <c r="B30" s="8" t="s">
        <v>64</v>
      </c>
      <c r="C30" s="63" t="n">
        <f aca="false">Pressupostos!$G$10+Pressupostos!$G$12</f>
        <v>3.6</v>
      </c>
      <c r="D30" s="63" t="n">
        <f aca="false">Pressupostos!$G$10+Pressupostos!$G$12</f>
        <v>3.6</v>
      </c>
      <c r="E30" s="63" t="n">
        <f aca="false">Pressupostos!$G$10+Pressupostos!$G$12</f>
        <v>3.6</v>
      </c>
      <c r="F30" s="63" t="n">
        <f aca="false">Pressupostos!$G$10+Pressupostos!$G$12</f>
        <v>3.6</v>
      </c>
      <c r="G30" s="63" t="n">
        <f aca="false">Pressupostos!$G$10+Pressupostos!$G$12</f>
        <v>3.6</v>
      </c>
    </row>
    <row r="31" customFormat="false" ht="15" hidden="false" customHeight="false" outlineLevel="0" collapsed="false">
      <c r="A31" s="7" t="s">
        <v>670</v>
      </c>
      <c r="B31" s="8" t="s">
        <v>64</v>
      </c>
      <c r="C31" s="63" t="n">
        <f aca="false">Pressupostos!$G$20+Pressupostos!$G$21</f>
        <v>4.35</v>
      </c>
      <c r="D31" s="63" t="n">
        <f aca="false">Pressupostos!$G$20+Pressupostos!$G$21</f>
        <v>4.35</v>
      </c>
      <c r="E31" s="63" t="n">
        <f aca="false">Pressupostos!$G$20+Pressupostos!$G$21</f>
        <v>4.35</v>
      </c>
      <c r="F31" s="63" t="n">
        <f aca="false">Pressupostos!$G$20+Pressupostos!$G$21</f>
        <v>4.35</v>
      </c>
      <c r="G31" s="63" t="n">
        <f aca="false">Pressupostos!$G$20+Pressupostos!$G$21</f>
        <v>4.35</v>
      </c>
    </row>
    <row r="32" customFormat="false" ht="15" hidden="false" customHeight="false" outlineLevel="0" collapsed="false">
      <c r="A32" s="56" t="s">
        <v>671</v>
      </c>
      <c r="B32" s="57" t="s">
        <v>64</v>
      </c>
      <c r="C32" s="68" t="n">
        <f aca="false">C31*(1-Pressupostos!$G$22)</f>
        <v>4.35</v>
      </c>
      <c r="D32" s="68" t="n">
        <f aca="false">D31*(1-Pressupostos!$G$22)</f>
        <v>4.35</v>
      </c>
      <c r="E32" s="68" t="n">
        <f aca="false">E31*(1-Pressupostos!$G$22)</f>
        <v>4.35</v>
      </c>
      <c r="F32" s="68" t="n">
        <f aca="false">F31*(1-Pressupostos!$G$22)</f>
        <v>4.35</v>
      </c>
      <c r="G32" s="68" t="n">
        <f aca="false">G31*(1-Pressupostos!$G$22)</f>
        <v>4.35</v>
      </c>
    </row>
    <row r="33" customFormat="false" ht="15" hidden="false" customHeight="false" outlineLevel="0" collapsed="false">
      <c r="A33" s="7" t="s">
        <v>144</v>
      </c>
      <c r="B33" s="8" t="s">
        <v>64</v>
      </c>
      <c r="C33" s="67" t="n">
        <f aca="false">Pressupostos!$C$45</f>
        <v>0.45</v>
      </c>
      <c r="D33" s="67" t="n">
        <f aca="false">Pressupostos!$C$45</f>
        <v>0.45</v>
      </c>
      <c r="E33" s="67" t="n">
        <f aca="false">Pressupostos!$C$45</f>
        <v>0.45</v>
      </c>
      <c r="F33" s="67" t="n">
        <f aca="false">Pressupostos!$C$45</f>
        <v>0.45</v>
      </c>
      <c r="G33" s="67" t="n">
        <f aca="false">Pressupostos!$C$45</f>
        <v>0.45</v>
      </c>
    </row>
    <row r="34" customFormat="false" ht="15" hidden="false" customHeight="false" outlineLevel="0" collapsed="false">
      <c r="A34" s="7" t="s">
        <v>215</v>
      </c>
      <c r="B34" s="8" t="s">
        <v>64</v>
      </c>
      <c r="C34" s="67" t="n">
        <f aca="false">Pressupostos!$C$253</f>
        <v>0.1</v>
      </c>
      <c r="D34" s="67" t="n">
        <f aca="false">Pressupostos!$D$253</f>
        <v>0.1</v>
      </c>
      <c r="E34" s="67" t="n">
        <f aca="false">Pressupostos!$E$253</f>
        <v>0.09</v>
      </c>
      <c r="F34" s="67" t="n">
        <f aca="false">Pressupostos!$F$253</f>
        <v>0.09</v>
      </c>
      <c r="G34" s="67" t="n">
        <f aca="false">Pressupostos!$G$253</f>
        <v>0.09</v>
      </c>
    </row>
    <row r="35" customFormat="false" ht="15" hidden="false" customHeight="false" outlineLevel="0" collapsed="false">
      <c r="A35" s="7" t="s">
        <v>117</v>
      </c>
      <c r="B35" s="8" t="s">
        <v>64</v>
      </c>
      <c r="C35" s="67" t="n">
        <f aca="false">Pressupostos!$C$46</f>
        <v>0</v>
      </c>
      <c r="D35" s="67" t="n">
        <f aca="false">Pressupostos!$C$46</f>
        <v>0</v>
      </c>
      <c r="E35" s="67" t="n">
        <f aca="false">Pressupostos!$C$46</f>
        <v>0</v>
      </c>
      <c r="F35" s="67" t="n">
        <f aca="false">Pressupostos!$C$46</f>
        <v>0</v>
      </c>
      <c r="G35" s="67" t="n">
        <f aca="false">Pressupostos!$C$46</f>
        <v>0</v>
      </c>
    </row>
    <row r="36" customFormat="false" ht="15" hidden="false" customHeight="false" outlineLevel="0" collapsed="false">
      <c r="A36" s="7" t="s">
        <v>91</v>
      </c>
      <c r="B36" s="8" t="s">
        <v>79</v>
      </c>
      <c r="C36" s="69" t="n">
        <f aca="false">Pressupostos!$G$23</f>
        <v>30</v>
      </c>
      <c r="D36" s="69" t="n">
        <f aca="false">Pressupostos!$G$23</f>
        <v>30</v>
      </c>
      <c r="E36" s="69" t="n">
        <f aca="false">Pressupostos!$G$23</f>
        <v>30</v>
      </c>
      <c r="F36" s="69" t="n">
        <f aca="false">Pressupostos!$G$23</f>
        <v>30</v>
      </c>
      <c r="G36" s="69" t="n">
        <f aca="false">Pressupostos!$G$23</f>
        <v>30</v>
      </c>
    </row>
    <row r="37" customFormat="false" ht="15" hidden="false" customHeight="false" outlineLevel="0" collapsed="false">
      <c r="A37" s="7" t="s">
        <v>78</v>
      </c>
      <c r="B37" s="8" t="s">
        <v>79</v>
      </c>
      <c r="C37" s="69" t="n">
        <f aca="false">Pressupostos!$G$24</f>
        <v>45</v>
      </c>
      <c r="D37" s="69" t="n">
        <f aca="false">Pressupostos!$G$24</f>
        <v>45</v>
      </c>
      <c r="E37" s="69" t="n">
        <f aca="false">Pressupostos!$G$24</f>
        <v>45</v>
      </c>
      <c r="F37" s="69" t="n">
        <f aca="false">Pressupostos!$G$24</f>
        <v>45</v>
      </c>
      <c r="G37" s="69" t="n">
        <f aca="false">Pressupostos!$G$24</f>
        <v>45</v>
      </c>
    </row>
    <row r="38" customFormat="false" ht="15" hidden="false" customHeight="false" outlineLevel="0" collapsed="false">
      <c r="A38" s="7" t="s">
        <v>490</v>
      </c>
      <c r="B38" s="8" t="s">
        <v>64</v>
      </c>
      <c r="C38" s="63" t="n">
        <f aca="false">Pressupostos!$C$66*C36/30/1000</f>
        <v>0.004</v>
      </c>
      <c r="D38" s="63" t="n">
        <f aca="false">Pressupostos!$C$66*D36/30/1000</f>
        <v>0.004</v>
      </c>
      <c r="E38" s="63" t="n">
        <f aca="false">Pressupostos!$C$66*E36/30/1000</f>
        <v>0.004</v>
      </c>
      <c r="F38" s="63" t="n">
        <f aca="false">Pressupostos!$C$66*F36/30/1000</f>
        <v>0.004</v>
      </c>
      <c r="G38" s="63" t="n">
        <f aca="false">Pressupostos!$C$66*G36/30/1000</f>
        <v>0.004</v>
      </c>
    </row>
    <row r="39" customFormat="false" ht="15" hidden="false" customHeight="false" outlineLevel="0" collapsed="false">
      <c r="A39" s="7" t="s">
        <v>165</v>
      </c>
      <c r="B39" s="8" t="s">
        <v>64</v>
      </c>
      <c r="C39" s="63" t="n">
        <f aca="false">C30*Pressupostos!$C$67*C36/365</f>
        <v>0.000591780821917808</v>
      </c>
      <c r="D39" s="63" t="n">
        <f aca="false">D30*Pressupostos!$C$67*D36/365</f>
        <v>0.000591780821917808</v>
      </c>
      <c r="E39" s="63" t="n">
        <f aca="false">E30*Pressupostos!$C$67*E36/365</f>
        <v>0.000591780821917808</v>
      </c>
      <c r="F39" s="63" t="n">
        <f aca="false">F30*Pressupostos!$C$67*F36/365</f>
        <v>0.000591780821917808</v>
      </c>
      <c r="G39" s="63" t="n">
        <f aca="false">G30*Pressupostos!$C$67*G36/365</f>
        <v>0.000591780821917808</v>
      </c>
    </row>
    <row r="40" customFormat="false" ht="15" hidden="false" customHeight="false" outlineLevel="0" collapsed="false">
      <c r="A40" s="7" t="s">
        <v>672</v>
      </c>
      <c r="B40" s="8" t="s">
        <v>64</v>
      </c>
      <c r="C40" s="63" t="n">
        <f aca="false">Pressupostos!$C$48*Pressupostos!$C$68/(Pressupostos!$C$47*1000)</f>
        <v>0.02</v>
      </c>
      <c r="D40" s="63" t="n">
        <f aca="false">Pressupostos!$C$48*Pressupostos!$C$68/(Pressupostos!$C$47*1000)</f>
        <v>0.02</v>
      </c>
      <c r="E40" s="63" t="n">
        <f aca="false">Pressupostos!$C$48*Pressupostos!$C$68/(Pressupostos!$C$47*1000)</f>
        <v>0.02</v>
      </c>
      <c r="F40" s="63" t="n">
        <f aca="false">Pressupostos!$C$48*Pressupostos!$C$68/(Pressupostos!$C$47*1000)</f>
        <v>0.02</v>
      </c>
      <c r="G40" s="63" t="n">
        <f aca="false">Pressupostos!$C$48*Pressupostos!$C$68/(Pressupostos!$C$47*1000)</f>
        <v>0.02</v>
      </c>
    </row>
    <row r="41" customFormat="false" ht="15" hidden="false" customHeight="false" outlineLevel="0" collapsed="false">
      <c r="A41" s="7" t="s">
        <v>492</v>
      </c>
      <c r="B41" s="8" t="s">
        <v>64</v>
      </c>
      <c r="C41" s="63" t="n">
        <f aca="false">Pressupostos!$C$69*C30</f>
        <v>0.018</v>
      </c>
      <c r="D41" s="63" t="n">
        <f aca="false">Pressupostos!$C$69*D30</f>
        <v>0.018</v>
      </c>
      <c r="E41" s="63" t="n">
        <f aca="false">Pressupostos!$C$69*E30</f>
        <v>0.018</v>
      </c>
      <c r="F41" s="63" t="n">
        <f aca="false">Pressupostos!$C$69*F30</f>
        <v>0.018</v>
      </c>
      <c r="G41" s="63" t="n">
        <f aca="false">Pressupostos!$C$69*G30</f>
        <v>0.018</v>
      </c>
    </row>
    <row r="42" customFormat="false" ht="15" hidden="false" customHeight="false" outlineLevel="0" collapsed="false">
      <c r="A42" s="7" t="s">
        <v>493</v>
      </c>
      <c r="B42" s="8" t="s">
        <v>64</v>
      </c>
      <c r="C42" s="63" t="n">
        <f aca="false">Pressupostos!$C$70*Pressupostos!$C$71*C36/90</f>
        <v>0.003</v>
      </c>
      <c r="D42" s="63" t="n">
        <f aca="false">Pressupostos!$C$70*Pressupostos!$C$71*D36/90</f>
        <v>0.003</v>
      </c>
      <c r="E42" s="63" t="n">
        <f aca="false">Pressupostos!$C$70*Pressupostos!$C$71*E36/90</f>
        <v>0.003</v>
      </c>
      <c r="F42" s="63" t="n">
        <f aca="false">Pressupostos!$C$70*Pressupostos!$C$71*F36/90</f>
        <v>0.003</v>
      </c>
      <c r="G42" s="63" t="n">
        <f aca="false">Pressupostos!$C$70*Pressupostos!$C$71*G36/90</f>
        <v>0.003</v>
      </c>
    </row>
    <row r="43" customFormat="false" ht="15" hidden="false" customHeight="false" outlineLevel="0" collapsed="false">
      <c r="A43" s="7" t="s">
        <v>673</v>
      </c>
      <c r="B43" s="8" t="s">
        <v>64</v>
      </c>
      <c r="C43" s="63" t="n">
        <f aca="false">Pressupostos!$C$49/(Pressupostos!$C$47*1000)</f>
        <v>0.04</v>
      </c>
      <c r="D43" s="63" t="n">
        <f aca="false">Pressupostos!$C$49/(Pressupostos!$C$47*1000)</f>
        <v>0.04</v>
      </c>
      <c r="E43" s="63" t="n">
        <f aca="false">Pressupostos!$C$49/(Pressupostos!$C$47*1000)</f>
        <v>0.04</v>
      </c>
      <c r="F43" s="63" t="n">
        <f aca="false">Pressupostos!$C$49/(Pressupostos!$C$47*1000)</f>
        <v>0.04</v>
      </c>
      <c r="G43" s="63" t="n">
        <f aca="false">Pressupostos!$C$49/(Pressupostos!$C$47*1000)</f>
        <v>0.04</v>
      </c>
    </row>
    <row r="44" customFormat="false" ht="15" hidden="false" customHeight="false" outlineLevel="0" collapsed="false">
      <c r="A44" s="7" t="s">
        <v>139</v>
      </c>
      <c r="B44" s="8" t="s">
        <v>64</v>
      </c>
      <c r="C44" s="67" t="n">
        <f aca="false">Pressupostos!$C$50</f>
        <v>0.005</v>
      </c>
      <c r="D44" s="67" t="n">
        <f aca="false">Pressupostos!$C$50</f>
        <v>0.005</v>
      </c>
      <c r="E44" s="67" t="n">
        <f aca="false">Pressupostos!$C$50</f>
        <v>0.005</v>
      </c>
      <c r="F44" s="67" t="n">
        <f aca="false">Pressupostos!$C$50</f>
        <v>0.005</v>
      </c>
      <c r="G44" s="67" t="n">
        <f aca="false">Pressupostos!$C$50</f>
        <v>0.005</v>
      </c>
    </row>
    <row r="45" customFormat="false" ht="15" hidden="false" customHeight="false" outlineLevel="0" collapsed="false">
      <c r="A45" s="7" t="s">
        <v>81</v>
      </c>
      <c r="B45" s="8" t="s">
        <v>64</v>
      </c>
      <c r="C45" s="63" t="n">
        <f aca="false">Pressupostos!$G$25*C32</f>
        <v>0.01305</v>
      </c>
      <c r="D45" s="63" t="n">
        <f aca="false">Pressupostos!$G$25*D32</f>
        <v>0.01305</v>
      </c>
      <c r="E45" s="63" t="n">
        <f aca="false">Pressupostos!$G$25*E32</f>
        <v>0.01305</v>
      </c>
      <c r="F45" s="63" t="n">
        <f aca="false">Pressupostos!$G$25*F32</f>
        <v>0.01305</v>
      </c>
      <c r="G45" s="63" t="n">
        <f aca="false">Pressupostos!$G$25*G32</f>
        <v>0.01305</v>
      </c>
    </row>
    <row r="46" customFormat="false" ht="15" hidden="false" customHeight="false" outlineLevel="0" collapsed="false">
      <c r="A46" s="7" t="s">
        <v>674</v>
      </c>
      <c r="B46" s="8" t="s">
        <v>64</v>
      </c>
      <c r="C46" s="63" t="n">
        <f aca="false">Pressupostos!$C$73*C32</f>
        <v>0</v>
      </c>
      <c r="D46" s="63" t="n">
        <f aca="false">Pressupostos!$C$73*D32</f>
        <v>0</v>
      </c>
      <c r="E46" s="63" t="n">
        <f aca="false">Pressupostos!$C$73*E32</f>
        <v>0</v>
      </c>
      <c r="F46" s="63" t="n">
        <f aca="false">Pressupostos!$C$73*F32</f>
        <v>0</v>
      </c>
      <c r="G46" s="63" t="n">
        <f aca="false">Pressupostos!$C$73*G32</f>
        <v>0</v>
      </c>
    </row>
    <row r="47" customFormat="false" ht="15" hidden="false" customHeight="false" outlineLevel="0" collapsed="false">
      <c r="A47" s="7" t="s">
        <v>675</v>
      </c>
      <c r="B47" s="8" t="s">
        <v>64</v>
      </c>
      <c r="C47" s="63" t="n">
        <f aca="false">Pressupostos!$C$291*(C30+C33)*(C36+C37-Pressupostos!$C$72)/365*Pressupostos!$C$285/Pressupostos!$G$31</f>
        <v>0</v>
      </c>
      <c r="D47" s="63" t="n">
        <f aca="false">Pressupostos!$D$291*(D30+D33)*(D36+D37-Pressupostos!$C$72)/365*Pressupostos!$D$285/Pressupostos!$G$31</f>
        <v>0.0449383561643836</v>
      </c>
      <c r="E47" s="63" t="n">
        <f aca="false">Pressupostos!$E$291*(E30+E33)*(E36+E37-Pressupostos!$C$72)/365*Pressupostos!$E$285/Pressupostos!$G$31</f>
        <v>0.0421297089041096</v>
      </c>
      <c r="F47" s="63" t="n">
        <f aca="false">Pressupostos!$F$291*(F30+F33)*(F36+F37-Pressupostos!$C$72)/365*Pressupostos!$F$285/Pressupostos!$G$31</f>
        <v>0.0393210616438356</v>
      </c>
      <c r="G47" s="63" t="n">
        <f aca="false">Pressupostos!$G$291*(G30+G33)*(G36+G37-Pressupostos!$C$72)/365*Pressupostos!$G$285/Pressupostos!$G$31</f>
        <v>0.0393210616438356</v>
      </c>
    </row>
    <row r="48" customFormat="false" ht="15" hidden="false" customHeight="false" outlineLevel="0" collapsed="false">
      <c r="A48" s="7" t="s">
        <v>676</v>
      </c>
      <c r="B48" s="8" t="s">
        <v>64</v>
      </c>
      <c r="C48" s="63" t="n">
        <f aca="false">C30+C33+C34+C35+C38+C39+C40+C41+C42+C43+C44+C45+C46+C47</f>
        <v>4.25364178082192</v>
      </c>
      <c r="D48" s="63" t="n">
        <f aca="false">D30+D33+D34+D35+D38+D39+D40+D41+D42+D43+D44+D45+D46+D47</f>
        <v>4.2985801369863</v>
      </c>
      <c r="E48" s="63" t="n">
        <f aca="false">E30+E33+E34+E35+E38+E39+E40+E41+E42+E43+E44+E45+E46+E47</f>
        <v>4.28577148972603</v>
      </c>
      <c r="F48" s="63" t="n">
        <f aca="false">F30+F33+F34+F35+F38+F39+F40+F41+F42+F43+F44+F45+F46+F47</f>
        <v>4.28296284246575</v>
      </c>
      <c r="G48" s="63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56" t="s">
        <v>677</v>
      </c>
      <c r="B49" s="57" t="s">
        <v>64</v>
      </c>
      <c r="C49" s="68" t="n">
        <f aca="false">C32-C48</f>
        <v>0.0963582191780832</v>
      </c>
      <c r="D49" s="68" t="n">
        <f aca="false">D32-D48</f>
        <v>0.0514198630136997</v>
      </c>
      <c r="E49" s="68" t="n">
        <f aca="false">E32-E48</f>
        <v>0.0642285102739733</v>
      </c>
      <c r="F49" s="68" t="n">
        <f aca="false">F32-F48</f>
        <v>0.067037157534247</v>
      </c>
      <c r="G49" s="68" t="n">
        <f aca="false">G32-G48</f>
        <v>0.067037157534247</v>
      </c>
    </row>
    <row r="50" customFormat="false" ht="15" hidden="false" customHeight="false" outlineLevel="0" collapsed="false">
      <c r="A50" s="7" t="s">
        <v>678</v>
      </c>
      <c r="B50" s="8" t="s">
        <v>76</v>
      </c>
      <c r="C50" s="59" t="n">
        <f aca="false">IF(C32&gt;0,C49/C32,0)</f>
        <v>0.0221513147535823</v>
      </c>
      <c r="D50" s="59" t="n">
        <f aca="false">IF(D32&gt;0,D49/D32,0)</f>
        <v>0.0118206581640689</v>
      </c>
      <c r="E50" s="59" t="n">
        <f aca="false">IF(E32&gt;0,E49/E32,0)</f>
        <v>0.014765174775626</v>
      </c>
      <c r="F50" s="59" t="n">
        <f aca="false">IF(F32&gt;0,F49/F32,0)</f>
        <v>0.0154108408124706</v>
      </c>
      <c r="G50" s="59" t="n">
        <f aca="false">IF(G32&gt;0,G49/G32,0)</f>
        <v>0.0154108408124706</v>
      </c>
    </row>
    <row r="51" customFormat="false" ht="15" hidden="false" customHeight="false" outlineLevel="0" collapsed="false">
      <c r="A51" s="7" t="s">
        <v>679</v>
      </c>
      <c r="B51" s="8" t="s">
        <v>64</v>
      </c>
      <c r="C51" s="63" t="n">
        <f aca="false">(C30+C33)*(C36-Pressupostos!$C$72)/365+C32*C37/365</f>
        <v>0.536301369863014</v>
      </c>
      <c r="D51" s="63" t="n">
        <f aca="false">(D30+D33)*(D36-Pressupostos!$C$72)/365+D32*D37/365</f>
        <v>0.536301369863014</v>
      </c>
      <c r="E51" s="63" t="n">
        <f aca="false">(E30+E33)*(E36-Pressupostos!$C$72)/365+E32*E37/365</f>
        <v>0.536301369863014</v>
      </c>
      <c r="F51" s="63" t="n">
        <f aca="false">(F30+F33)*(F36-Pressupostos!$C$72)/365+F32*F37/365</f>
        <v>0.536301369863014</v>
      </c>
      <c r="G51" s="63" t="n">
        <f aca="false">(G30+G33)*(G36-Pressupostos!$C$72)/365+G32*G37/365</f>
        <v>0.536301369863014</v>
      </c>
    </row>
    <row r="53" customFormat="false" ht="15" hidden="false" customHeight="false" outlineLevel="0" collapsed="false">
      <c r="A53" s="3" t="s">
        <v>681</v>
      </c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7" t="s">
        <v>669</v>
      </c>
      <c r="B54" s="8" t="s">
        <v>64</v>
      </c>
      <c r="C54" s="63" t="n">
        <f aca="false">Pressupostos!$G$10+Pressupostos!$G$13</f>
        <v>3.5</v>
      </c>
      <c r="D54" s="63" t="n">
        <f aca="false">Pressupostos!$G$10+Pressupostos!$G$13</f>
        <v>3.5</v>
      </c>
      <c r="E54" s="63" t="n">
        <f aca="false">Pressupostos!$G$10+Pressupostos!$G$13</f>
        <v>3.5</v>
      </c>
      <c r="F54" s="63" t="n">
        <f aca="false">Pressupostos!$G$10+Pressupostos!$G$13</f>
        <v>3.5</v>
      </c>
      <c r="G54" s="63" t="n">
        <f aca="false">Pressupostos!$G$10+Pressupostos!$G$13</f>
        <v>3.5</v>
      </c>
    </row>
    <row r="55" customFormat="false" ht="15" hidden="false" customHeight="false" outlineLevel="0" collapsed="false">
      <c r="A55" s="7" t="s">
        <v>670</v>
      </c>
      <c r="B55" s="8" t="s">
        <v>64</v>
      </c>
      <c r="C55" s="63" t="n">
        <f aca="false">Pressupostos!$G$10+Pressupostos!$C$52</f>
        <v>3.65</v>
      </c>
      <c r="D55" s="63" t="n">
        <f aca="false">Pressupostos!$G$10+Pressupostos!$C$52</f>
        <v>3.65</v>
      </c>
      <c r="E55" s="63" t="n">
        <f aca="false">Pressupostos!$G$10+Pressupostos!$C$52</f>
        <v>3.65</v>
      </c>
      <c r="F55" s="63" t="n">
        <f aca="false">Pressupostos!$G$10+Pressupostos!$C$52</f>
        <v>3.65</v>
      </c>
      <c r="G55" s="63" t="n">
        <f aca="false">Pressupostos!$G$10+Pressupostos!$C$52</f>
        <v>3.65</v>
      </c>
    </row>
    <row r="56" customFormat="false" ht="15" hidden="false" customHeight="false" outlineLevel="0" collapsed="false">
      <c r="A56" s="56" t="s">
        <v>671</v>
      </c>
      <c r="B56" s="57" t="s">
        <v>64</v>
      </c>
      <c r="C56" s="68" t="n">
        <f aca="false">C55*(1-Pressupostos!$C$53)</f>
        <v>3.65</v>
      </c>
      <c r="D56" s="68" t="n">
        <f aca="false">D55*(1-Pressupostos!$C$53)</f>
        <v>3.65</v>
      </c>
      <c r="E56" s="68" t="n">
        <f aca="false">E55*(1-Pressupostos!$C$53)</f>
        <v>3.65</v>
      </c>
      <c r="F56" s="68" t="n">
        <f aca="false">F55*(1-Pressupostos!$C$53)</f>
        <v>3.65</v>
      </c>
      <c r="G56" s="68" t="n">
        <f aca="false">G55*(1-Pressupostos!$C$53)</f>
        <v>3.65</v>
      </c>
    </row>
    <row r="57" customFormat="false" ht="15" hidden="false" customHeight="false" outlineLevel="0" collapsed="false">
      <c r="A57" s="7" t="s">
        <v>144</v>
      </c>
      <c r="B57" s="8" t="s">
        <v>64</v>
      </c>
      <c r="C57" s="67" t="n">
        <f aca="false">Pressupostos!$C$54</f>
        <v>0</v>
      </c>
      <c r="D57" s="67" t="n">
        <f aca="false">Pressupostos!$C$54</f>
        <v>0</v>
      </c>
      <c r="E57" s="67" t="n">
        <f aca="false">Pressupostos!$C$54</f>
        <v>0</v>
      </c>
      <c r="F57" s="67" t="n">
        <f aca="false">Pressupostos!$C$54</f>
        <v>0</v>
      </c>
      <c r="G57" s="67" t="n">
        <f aca="false">Pressupostos!$C$54</f>
        <v>0</v>
      </c>
    </row>
    <row r="58" customFormat="false" ht="15" hidden="false" customHeight="false" outlineLevel="0" collapsed="false">
      <c r="A58" s="7" t="s">
        <v>215</v>
      </c>
      <c r="B58" s="8" t="s">
        <v>64</v>
      </c>
      <c r="C58" s="67" t="n">
        <f aca="false">Pressupostos!$C$55</f>
        <v>0.04</v>
      </c>
      <c r="D58" s="67" t="n">
        <f aca="false">Pressupostos!$C$55</f>
        <v>0.04</v>
      </c>
      <c r="E58" s="67" t="n">
        <f aca="false">Pressupostos!$C$55</f>
        <v>0.04</v>
      </c>
      <c r="F58" s="67" t="n">
        <f aca="false">Pressupostos!$C$55</f>
        <v>0.04</v>
      </c>
      <c r="G58" s="67" t="n">
        <f aca="false">Pressupostos!$C$55</f>
        <v>0.04</v>
      </c>
    </row>
    <row r="59" customFormat="false" ht="15" hidden="false" customHeight="false" outlineLevel="0" collapsed="false">
      <c r="A59" s="7" t="s">
        <v>117</v>
      </c>
      <c r="B59" s="8" t="s">
        <v>64</v>
      </c>
      <c r="C59" s="67" t="n">
        <f aca="false">Pressupostos!$C$56</f>
        <v>0</v>
      </c>
      <c r="D59" s="67" t="n">
        <f aca="false">Pressupostos!$C$56</f>
        <v>0</v>
      </c>
      <c r="E59" s="67" t="n">
        <f aca="false">Pressupostos!$C$56</f>
        <v>0</v>
      </c>
      <c r="F59" s="67" t="n">
        <f aca="false">Pressupostos!$C$56</f>
        <v>0</v>
      </c>
      <c r="G59" s="67" t="n">
        <f aca="false">Pressupostos!$C$56</f>
        <v>0</v>
      </c>
    </row>
    <row r="60" customFormat="false" ht="15" hidden="false" customHeight="false" outlineLevel="0" collapsed="false">
      <c r="A60" s="7" t="s">
        <v>91</v>
      </c>
      <c r="B60" s="8" t="s">
        <v>79</v>
      </c>
      <c r="C60" s="69" t="n">
        <f aca="false">Pressupostos!$C$57</f>
        <v>15</v>
      </c>
      <c r="D60" s="69" t="n">
        <f aca="false">Pressupostos!$C$57</f>
        <v>15</v>
      </c>
      <c r="E60" s="69" t="n">
        <f aca="false">Pressupostos!$C$57</f>
        <v>15</v>
      </c>
      <c r="F60" s="69" t="n">
        <f aca="false">Pressupostos!$C$57</f>
        <v>15</v>
      </c>
      <c r="G60" s="69" t="n">
        <f aca="false">Pressupostos!$C$57</f>
        <v>15</v>
      </c>
    </row>
    <row r="61" customFormat="false" ht="15" hidden="false" customHeight="false" outlineLevel="0" collapsed="false">
      <c r="A61" s="7" t="s">
        <v>78</v>
      </c>
      <c r="B61" s="8" t="s">
        <v>79</v>
      </c>
      <c r="C61" s="69" t="n">
        <f aca="false">Pressupostos!$C$58</f>
        <v>45</v>
      </c>
      <c r="D61" s="69" t="n">
        <f aca="false">Pressupostos!$C$58</f>
        <v>45</v>
      </c>
      <c r="E61" s="69" t="n">
        <f aca="false">Pressupostos!$C$58</f>
        <v>45</v>
      </c>
      <c r="F61" s="69" t="n">
        <f aca="false">Pressupostos!$C$58</f>
        <v>45</v>
      </c>
      <c r="G61" s="69" t="n">
        <f aca="false">Pressupostos!$C$58</f>
        <v>45</v>
      </c>
    </row>
    <row r="62" customFormat="false" ht="15" hidden="false" customHeight="false" outlineLevel="0" collapsed="false">
      <c r="A62" s="7" t="s">
        <v>490</v>
      </c>
      <c r="B62" s="8" t="s">
        <v>64</v>
      </c>
      <c r="C62" s="63" t="n">
        <f aca="false">Pressupostos!$C$66*C60/30/1000</f>
        <v>0.002</v>
      </c>
      <c r="D62" s="63" t="n">
        <f aca="false">Pressupostos!$C$66*D60/30/1000</f>
        <v>0.002</v>
      </c>
      <c r="E62" s="63" t="n">
        <f aca="false">Pressupostos!$C$66*E60/30/1000</f>
        <v>0.002</v>
      </c>
      <c r="F62" s="63" t="n">
        <f aca="false">Pressupostos!$C$66*F60/30/1000</f>
        <v>0.002</v>
      </c>
      <c r="G62" s="63" t="n">
        <f aca="false">Pressupostos!$C$66*G60/30/1000</f>
        <v>0.002</v>
      </c>
    </row>
    <row r="63" customFormat="false" ht="15" hidden="false" customHeight="false" outlineLevel="0" collapsed="false">
      <c r="A63" s="7" t="s">
        <v>165</v>
      </c>
      <c r="B63" s="8" t="s">
        <v>64</v>
      </c>
      <c r="C63" s="63" t="n">
        <f aca="false">C54*Pressupostos!$C$67*C60/365</f>
        <v>0.000287671232876712</v>
      </c>
      <c r="D63" s="63" t="n">
        <f aca="false">D54*Pressupostos!$C$67*D60/365</f>
        <v>0.000287671232876712</v>
      </c>
      <c r="E63" s="63" t="n">
        <f aca="false">E54*Pressupostos!$C$67*E60/365</f>
        <v>0.000287671232876712</v>
      </c>
      <c r="F63" s="63" t="n">
        <f aca="false">F54*Pressupostos!$C$67*F60/365</f>
        <v>0.000287671232876712</v>
      </c>
      <c r="G63" s="63" t="n">
        <f aca="false">G54*Pressupostos!$C$67*G60/365</f>
        <v>0.000287671232876712</v>
      </c>
    </row>
    <row r="64" customFormat="false" ht="15" hidden="false" customHeight="false" outlineLevel="0" collapsed="false">
      <c r="A64" s="7" t="s">
        <v>672</v>
      </c>
      <c r="B64" s="8" t="s">
        <v>64</v>
      </c>
      <c r="C64" s="63" t="n">
        <f aca="false">Pressupostos!$C$60*Pressupostos!$C$68/(Pressupostos!$C$59*1000)</f>
        <v>0.006</v>
      </c>
      <c r="D64" s="63" t="n">
        <f aca="false">Pressupostos!$C$60*Pressupostos!$C$68/(Pressupostos!$C$59*1000)</f>
        <v>0.006</v>
      </c>
      <c r="E64" s="63" t="n">
        <f aca="false">Pressupostos!$C$60*Pressupostos!$C$68/(Pressupostos!$C$59*1000)</f>
        <v>0.006</v>
      </c>
      <c r="F64" s="63" t="n">
        <f aca="false">Pressupostos!$C$60*Pressupostos!$C$68/(Pressupostos!$C$59*1000)</f>
        <v>0.006</v>
      </c>
      <c r="G64" s="63" t="n">
        <f aca="false">Pressupostos!$C$60*Pressupostos!$C$68/(Pressupostos!$C$59*1000)</f>
        <v>0.006</v>
      </c>
    </row>
    <row r="65" customFormat="false" ht="15" hidden="false" customHeight="false" outlineLevel="0" collapsed="false">
      <c r="A65" s="7" t="s">
        <v>492</v>
      </c>
      <c r="B65" s="8" t="s">
        <v>64</v>
      </c>
      <c r="C65" s="63" t="n">
        <f aca="false">Pressupostos!$C$69*C54</f>
        <v>0.0175</v>
      </c>
      <c r="D65" s="63" t="n">
        <f aca="false">Pressupostos!$C$69*D54</f>
        <v>0.0175</v>
      </c>
      <c r="E65" s="63" t="n">
        <f aca="false">Pressupostos!$C$69*E54</f>
        <v>0.0175</v>
      </c>
      <c r="F65" s="63" t="n">
        <f aca="false">Pressupostos!$C$69*F54</f>
        <v>0.0175</v>
      </c>
      <c r="G65" s="63" t="n">
        <f aca="false">Pressupostos!$C$69*G54</f>
        <v>0.0175</v>
      </c>
    </row>
    <row r="66" customFormat="false" ht="15" hidden="false" customHeight="false" outlineLevel="0" collapsed="false">
      <c r="A66" s="7" t="s">
        <v>493</v>
      </c>
      <c r="B66" s="8" t="s">
        <v>64</v>
      </c>
      <c r="C66" s="63" t="n">
        <f aca="false">Pressupostos!$C$70*Pressupostos!$C$71*C60/90</f>
        <v>0.0015</v>
      </c>
      <c r="D66" s="63" t="n">
        <f aca="false">Pressupostos!$C$70*Pressupostos!$C$71*D60/90</f>
        <v>0.0015</v>
      </c>
      <c r="E66" s="63" t="n">
        <f aca="false">Pressupostos!$C$70*Pressupostos!$C$71*E60/90</f>
        <v>0.0015</v>
      </c>
      <c r="F66" s="63" t="n">
        <f aca="false">Pressupostos!$C$70*Pressupostos!$C$71*F60/90</f>
        <v>0.0015</v>
      </c>
      <c r="G66" s="63" t="n">
        <f aca="false">Pressupostos!$C$70*Pressupostos!$C$71*G60/90</f>
        <v>0.0015</v>
      </c>
    </row>
    <row r="67" customFormat="false" ht="15" hidden="false" customHeight="false" outlineLevel="0" collapsed="false">
      <c r="A67" s="7" t="s">
        <v>673</v>
      </c>
      <c r="B67" s="8" t="s">
        <v>64</v>
      </c>
      <c r="C67" s="63" t="n">
        <f aca="false">Pressupostos!$C$61/(Pressupostos!$C$59*1000)</f>
        <v>0.012</v>
      </c>
      <c r="D67" s="63" t="n">
        <f aca="false">Pressupostos!$C$61/(Pressupostos!$C$59*1000)</f>
        <v>0.012</v>
      </c>
      <c r="E67" s="63" t="n">
        <f aca="false">Pressupostos!$C$61/(Pressupostos!$C$59*1000)</f>
        <v>0.012</v>
      </c>
      <c r="F67" s="63" t="n">
        <f aca="false">Pressupostos!$C$61/(Pressupostos!$C$59*1000)</f>
        <v>0.012</v>
      </c>
      <c r="G67" s="63" t="n">
        <f aca="false">Pressupostos!$C$61/(Pressupostos!$C$59*1000)</f>
        <v>0.012</v>
      </c>
    </row>
    <row r="68" customFormat="false" ht="15" hidden="false" customHeight="false" outlineLevel="0" collapsed="false">
      <c r="A68" s="7" t="s">
        <v>139</v>
      </c>
      <c r="B68" s="8" t="s">
        <v>64</v>
      </c>
      <c r="C68" s="67" t="n">
        <f aca="false">Pressupostos!$C$62</f>
        <v>0.001</v>
      </c>
      <c r="D68" s="67" t="n">
        <f aca="false">Pressupostos!$C$62</f>
        <v>0.001</v>
      </c>
      <c r="E68" s="67" t="n">
        <f aca="false">Pressupostos!$C$62</f>
        <v>0.001</v>
      </c>
      <c r="F68" s="67" t="n">
        <f aca="false">Pressupostos!$C$62</f>
        <v>0.001</v>
      </c>
      <c r="G68" s="67" t="n">
        <f aca="false">Pressupostos!$C$62</f>
        <v>0.001</v>
      </c>
    </row>
    <row r="69" customFormat="false" ht="15" hidden="false" customHeight="false" outlineLevel="0" collapsed="false">
      <c r="A69" s="7" t="s">
        <v>81</v>
      </c>
      <c r="B69" s="8" t="s">
        <v>64</v>
      </c>
      <c r="C69" s="63" t="n">
        <f aca="false">Pressupostos!$C$63*C56</f>
        <v>0.01095</v>
      </c>
      <c r="D69" s="63" t="n">
        <f aca="false">Pressupostos!$C$63*D56</f>
        <v>0.01095</v>
      </c>
      <c r="E69" s="63" t="n">
        <f aca="false">Pressupostos!$C$63*E56</f>
        <v>0.01095</v>
      </c>
      <c r="F69" s="63" t="n">
        <f aca="false">Pressupostos!$C$63*F56</f>
        <v>0.01095</v>
      </c>
      <c r="G69" s="63" t="n">
        <f aca="false">Pressupostos!$C$63*G56</f>
        <v>0.01095</v>
      </c>
    </row>
    <row r="70" customFormat="false" ht="15" hidden="false" customHeight="false" outlineLevel="0" collapsed="false">
      <c r="A70" s="7" t="s">
        <v>674</v>
      </c>
      <c r="B70" s="8" t="s">
        <v>64</v>
      </c>
      <c r="C70" s="63" t="n">
        <f aca="false">Pressupostos!$C$73*C56</f>
        <v>0</v>
      </c>
      <c r="D70" s="63" t="n">
        <f aca="false">Pressupostos!$C$73*D56</f>
        <v>0</v>
      </c>
      <c r="E70" s="63" t="n">
        <f aca="false">Pressupostos!$C$73*E56</f>
        <v>0</v>
      </c>
      <c r="F70" s="63" t="n">
        <f aca="false">Pressupostos!$C$73*F56</f>
        <v>0</v>
      </c>
      <c r="G70" s="63" t="n">
        <f aca="false">Pressupostos!$C$73*G56</f>
        <v>0</v>
      </c>
    </row>
    <row r="71" customFormat="false" ht="15" hidden="false" customHeight="false" outlineLevel="0" collapsed="false">
      <c r="A71" s="7" t="s">
        <v>675</v>
      </c>
      <c r="B71" s="8" t="s">
        <v>64</v>
      </c>
      <c r="C71" s="63" t="n">
        <f aca="false">Pressupostos!$C$291*(C54+C57)*(C60+C61-Pressupostos!$C$72)/365*Pressupostos!$C$285/Pressupostos!$G$31</f>
        <v>0</v>
      </c>
      <c r="D71" s="63" t="n">
        <f aca="false">Pressupostos!$D$291*(D54+D57)*(D60+D61-Pressupostos!$C$72)/365*Pressupostos!$D$285/Pressupostos!$G$31</f>
        <v>0.0258904109589041</v>
      </c>
      <c r="E71" s="63" t="n">
        <f aca="false">Pressupostos!$E$291*(E54+E57)*(E60+E61-Pressupostos!$C$72)/365*Pressupostos!$E$285/Pressupostos!$G$31</f>
        <v>0.0242722602739726</v>
      </c>
      <c r="F71" s="63" t="n">
        <f aca="false">Pressupostos!$F$291*(F54+F57)*(F60+F61-Pressupostos!$C$72)/365*Pressupostos!$F$285/Pressupostos!$G$31</f>
        <v>0.0226541095890411</v>
      </c>
      <c r="G71" s="63" t="n">
        <f aca="false">Pressupostos!$G$291*(G54+G57)*(G60+G61-Pressupostos!$C$72)/365*Pressupostos!$G$285/Pressupostos!$G$31</f>
        <v>0.0226541095890411</v>
      </c>
    </row>
    <row r="72" customFormat="false" ht="15" hidden="false" customHeight="false" outlineLevel="0" collapsed="false">
      <c r="A72" s="7" t="s">
        <v>676</v>
      </c>
      <c r="B72" s="8" t="s">
        <v>64</v>
      </c>
      <c r="C72" s="63" t="n">
        <f aca="false">C54+C57+C58+C59+C62+C63+C64+C65+C66+C67+C68+C69+C70+C71</f>
        <v>3.59123767123288</v>
      </c>
      <c r="D72" s="63" t="n">
        <f aca="false">D54+D57+D58+D59+D62+D63+D64+D65+D66+D67+D68+D69+D70+D71</f>
        <v>3.61712808219178</v>
      </c>
      <c r="E72" s="63" t="n">
        <f aca="false">E54+E57+E58+E59+E62+E63+E64+E65+E66+E67+E68+E69+E70+E71</f>
        <v>3.61550993150685</v>
      </c>
      <c r="F72" s="63" t="n">
        <f aca="false">F54+F57+F58+F59+F62+F63+F64+F65+F66+F67+F68+F69+F70+F71</f>
        <v>3.61389178082192</v>
      </c>
      <c r="G72" s="63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56" t="s">
        <v>677</v>
      </c>
      <c r="B73" s="57" t="s">
        <v>64</v>
      </c>
      <c r="C73" s="68" t="n">
        <f aca="false">C56-C72</f>
        <v>0.058762328767124</v>
      </c>
      <c r="D73" s="68" t="n">
        <f aca="false">D56-D72</f>
        <v>0.0328719178082197</v>
      </c>
      <c r="E73" s="68" t="n">
        <f aca="false">E56-E72</f>
        <v>0.0344900684931515</v>
      </c>
      <c r="F73" s="68" t="n">
        <f aca="false">F56-F72</f>
        <v>0.0361082191780828</v>
      </c>
      <c r="G73" s="68" t="n">
        <f aca="false">G56-G72</f>
        <v>0.0361082191780828</v>
      </c>
    </row>
    <row r="74" customFormat="false" ht="15" hidden="false" customHeight="false" outlineLevel="0" collapsed="false">
      <c r="A74" s="7" t="s">
        <v>678</v>
      </c>
      <c r="B74" s="8" t="s">
        <v>76</v>
      </c>
      <c r="C74" s="59" t="n">
        <f aca="false">IF(C56&gt;0,C73/C56,0)</f>
        <v>0.0160992681553764</v>
      </c>
      <c r="D74" s="59" t="n">
        <f aca="false">IF(D56&gt;0,D73/D56,0)</f>
        <v>0.00900600487896431</v>
      </c>
      <c r="E74" s="59" t="n">
        <f aca="false">IF(E56&gt;0,E73/E56,0)</f>
        <v>0.00944933383374014</v>
      </c>
      <c r="F74" s="59" t="n">
        <f aca="false">IF(F56&gt;0,F73/F56,0)</f>
        <v>0.00989266278851584</v>
      </c>
      <c r="G74" s="59" t="n">
        <f aca="false">IF(G56&gt;0,G73/G56,0)</f>
        <v>0.00989266278851584</v>
      </c>
    </row>
    <row r="75" customFormat="false" ht="15" hidden="false" customHeight="false" outlineLevel="0" collapsed="false">
      <c r="A75" s="7" t="s">
        <v>679</v>
      </c>
      <c r="B75" s="8" t="s">
        <v>64</v>
      </c>
      <c r="C75" s="63" t="n">
        <f aca="false">(C54+C57)*(C60-Pressupostos!$C$72)/365+C56*C61/365</f>
        <v>0.306164383561644</v>
      </c>
      <c r="D75" s="63" t="n">
        <f aca="false">(D54+D57)*(D60-Pressupostos!$C$72)/365+D56*D61/365</f>
        <v>0.306164383561644</v>
      </c>
      <c r="E75" s="63" t="n">
        <f aca="false">(E54+E57)*(E60-Pressupostos!$C$72)/365+E56*E61/365</f>
        <v>0.306164383561644</v>
      </c>
      <c r="F75" s="63" t="n">
        <f aca="false">(F54+F57)*(F60-Pressupostos!$C$72)/365+F56*F61/365</f>
        <v>0.306164383561644</v>
      </c>
      <c r="G75" s="63" t="n">
        <f aca="false">(G54+G57)*(G60-Pressupostos!$C$72)/365+G56*G61/365</f>
        <v>0.306164383561644</v>
      </c>
    </row>
    <row r="77" customFormat="false" ht="15" hidden="false" customHeight="false" outlineLevel="0" collapsed="false">
      <c r="A77" s="3" t="s">
        <v>682</v>
      </c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7" t="s">
        <v>683</v>
      </c>
      <c r="B78" s="8" t="s">
        <v>64</v>
      </c>
      <c r="C78" s="63" t="n">
        <f aca="false">Pressupostos!$C$64*Pressupostos!$G$10</f>
        <v>0.02625</v>
      </c>
      <c r="D78" s="63" t="n">
        <f aca="false">Pressupostos!$C$64*Pressupostos!$G$10</f>
        <v>0.02625</v>
      </c>
      <c r="E78" s="63" t="n">
        <f aca="false">Pressupostos!$C$64*Pressupostos!$G$10</f>
        <v>0.02625</v>
      </c>
      <c r="F78" s="63" t="n">
        <f aca="false">Pressupostos!$C$64*Pressupostos!$G$10</f>
        <v>0.02625</v>
      </c>
      <c r="G78" s="63" t="n">
        <f aca="false">Pressupostos!$C$64*Pressupostos!$G$10</f>
        <v>0.02625</v>
      </c>
    </row>
    <row r="79" customFormat="false" ht="15" hidden="false" customHeight="false" outlineLevel="0" collapsed="false">
      <c r="A79" s="7" t="s">
        <v>684</v>
      </c>
      <c r="B79" s="8" t="s">
        <v>64</v>
      </c>
      <c r="C79" s="63" t="n">
        <f aca="false">C67+C64+C68</f>
        <v>0.019</v>
      </c>
      <c r="D79" s="63" t="n">
        <f aca="false">D67+D64+D68</f>
        <v>0.019</v>
      </c>
      <c r="E79" s="63" t="n">
        <f aca="false">E67+E64+E68</f>
        <v>0.019</v>
      </c>
      <c r="F79" s="63" t="n">
        <f aca="false">F67+F64+F68</f>
        <v>0.019</v>
      </c>
      <c r="G79" s="63" t="n">
        <f aca="false">G67+G64+G68</f>
        <v>0.019</v>
      </c>
    </row>
    <row r="80" customFormat="false" ht="15" hidden="false" customHeight="false" outlineLevel="0" collapsed="false">
      <c r="A80" s="56" t="s">
        <v>561</v>
      </c>
      <c r="B80" s="57" t="s">
        <v>64</v>
      </c>
      <c r="C80" s="68" t="n">
        <f aca="false">C78-C79</f>
        <v>0.00725</v>
      </c>
      <c r="D80" s="68" t="n">
        <f aca="false">D78-D79</f>
        <v>0.00725</v>
      </c>
      <c r="E80" s="68" t="n">
        <f aca="false">E78-E79</f>
        <v>0.00725</v>
      </c>
      <c r="F80" s="68" t="n">
        <f aca="false">F78-F79</f>
        <v>0.00725</v>
      </c>
      <c r="G80" s="68" t="n">
        <f aca="false">G78-G79</f>
        <v>0.00725</v>
      </c>
    </row>
    <row r="82" customFormat="false" ht="15" hidden="false" customHeight="false" outlineLevel="0" collapsed="false">
      <c r="A82" s="3" t="s">
        <v>685</v>
      </c>
      <c r="B82" s="4"/>
      <c r="C82" s="4"/>
      <c r="D82" s="4"/>
      <c r="E82" s="4"/>
      <c r="F82" s="4"/>
      <c r="G82" s="4"/>
      <c r="H82" s="4"/>
    </row>
    <row r="83" customFormat="false" ht="15" hidden="false" customHeight="false" outlineLevel="0" collapsed="false">
      <c r="A83" s="7" t="s">
        <v>686</v>
      </c>
      <c r="B83" s="8" t="s">
        <v>11</v>
      </c>
      <c r="C83" s="61" t="n">
        <f aca="false">Volumes!C10*1000*(C6+C9)+Volumes!C11*1000*(C30+C33)+Volumes!C13*1000*(C54+C57)</f>
        <v>243800</v>
      </c>
      <c r="D83" s="61" t="n">
        <f aca="false">Volumes!D10*1000*(D6+D9)+Volumes!D11*1000*(D30+D33)+Volumes!D13*1000*(D54+D57)</f>
        <v>1623700</v>
      </c>
      <c r="E83" s="61" t="n">
        <f aca="false">Volumes!E10*1000*(E6+E9)+Volumes!E11*1000*(E30+E33)+Volumes!E13*1000*(E54+E57)</f>
        <v>3455800</v>
      </c>
      <c r="F83" s="61" t="n">
        <f aca="false">Volumes!F10*1000*(F6+F9)+Volumes!F11*1000*(F30+F33)+Volumes!F13*1000*(F54+F57)</f>
        <v>5899200</v>
      </c>
      <c r="G83" s="61" t="n">
        <f aca="false">Volumes!G10*1000*(G6+G9)+Volumes!G11*1000*(G30+G33)+Volumes!G13*1000*(G54+G57)</f>
        <v>8951000</v>
      </c>
    </row>
    <row r="84" customFormat="false" ht="15" hidden="false" customHeight="false" outlineLevel="0" collapsed="false">
      <c r="A84" s="7" t="s">
        <v>687</v>
      </c>
      <c r="B84" s="8" t="s">
        <v>11</v>
      </c>
      <c r="C84" s="61" t="n">
        <f aca="false">Volumes!C25*1000*Pressupostos!$C$92</f>
        <v>0</v>
      </c>
      <c r="D84" s="61" t="n">
        <f aca="false">Volumes!D25*1000*Pressupostos!$C$92</f>
        <v>0</v>
      </c>
      <c r="E84" s="61" t="n">
        <f aca="false">Volumes!E25*1000*Pressupostos!$C$92</f>
        <v>210000</v>
      </c>
      <c r="F84" s="61" t="n">
        <f aca="false">Volumes!F25*1000*Pressupostos!$C$92</f>
        <v>420000</v>
      </c>
      <c r="G84" s="61" t="n">
        <f aca="false">Volumes!G25*1000*Pressupostos!$C$92</f>
        <v>700000</v>
      </c>
    </row>
    <row r="85" customFormat="false" ht="15" hidden="false" customHeight="false" outlineLevel="0" collapsed="false">
      <c r="A85" s="7" t="s">
        <v>688</v>
      </c>
      <c r="B85" s="8" t="s">
        <v>11</v>
      </c>
      <c r="C85" s="61" t="n">
        <f aca="false">C83+C84</f>
        <v>243800</v>
      </c>
      <c r="D85" s="61" t="n">
        <f aca="false">D83+D84</f>
        <v>1623700</v>
      </c>
      <c r="E85" s="61" t="n">
        <f aca="false">E83+E84</f>
        <v>3665800</v>
      </c>
      <c r="F85" s="61" t="n">
        <f aca="false">F83+F84</f>
        <v>6319200</v>
      </c>
      <c r="G85" s="61" t="n">
        <f aca="false">G83+G84</f>
        <v>9651000</v>
      </c>
    </row>
    <row r="86" customFormat="false" ht="15" hidden="false" customHeight="false" outlineLevel="0" collapsed="false">
      <c r="A86" s="7" t="s">
        <v>215</v>
      </c>
      <c r="B86" s="8" t="s">
        <v>11</v>
      </c>
      <c r="C86" s="61" t="n">
        <f aca="false">Volumes!C10*1000*(C10)+Volumes!C11*1000*(C34)+Volumes!C13*1000*(C58)+Volumes!C25*1000*Pressupostos!$C$94</f>
        <v>7600</v>
      </c>
      <c r="D86" s="61" t="n">
        <f aca="false">Volumes!D10*1000*(D10)+Volumes!D11*1000*(D34)+Volumes!D13*1000*(D58)+Volumes!D25*1000*Pressupostos!$C$94</f>
        <v>47400</v>
      </c>
      <c r="E86" s="61" t="n">
        <f aca="false">Volumes!E10*1000*(E10)+Volumes!E11*1000*(E34)+Volumes!E13*1000*(E58)+Volumes!E25*1000*Pressupostos!$C$94</f>
        <v>106270</v>
      </c>
      <c r="F86" s="61" t="n">
        <f aca="false">Volumes!F10*1000*(F10)+Volumes!F11*1000*(F34)+Volumes!F13*1000*(F58)+Volumes!F25*1000*Pressupostos!$C$94</f>
        <v>187560</v>
      </c>
      <c r="G86" s="61" t="n">
        <f aca="false">Volumes!G10*1000*(G10)+Volumes!G11*1000*(G34)+Volumes!G13*1000*(G58)+Volumes!G25*1000*Pressupostos!$C$94</f>
        <v>286800</v>
      </c>
    </row>
    <row r="87" customFormat="false" ht="15" hidden="false" customHeight="false" outlineLevel="0" collapsed="false">
      <c r="A87" s="7" t="s">
        <v>117</v>
      </c>
      <c r="B87" s="8" t="s">
        <v>11</v>
      </c>
      <c r="C87" s="61" t="n">
        <f aca="false">Volumes!C10*1000*(C11)+Volumes!C11*1000*(C35)+Volumes!C13*1000*(C59)</f>
        <v>480</v>
      </c>
      <c r="D87" s="61" t="n">
        <f aca="false">Volumes!D10*1000*(D11)+Volumes!D11*1000*(D35)+Volumes!D13*1000*(D59)</f>
        <v>2220</v>
      </c>
      <c r="E87" s="61" t="n">
        <f aca="false">Volumes!E10*1000*(E11)+Volumes!E11*1000*(E35)+Volumes!E13*1000*(E59)</f>
        <v>7980</v>
      </c>
      <c r="F87" s="61" t="n">
        <f aca="false">Volumes!F10*1000*(F11)+Volumes!F11*1000*(F35)+Volumes!F13*1000*(F59)</f>
        <v>16020</v>
      </c>
      <c r="G87" s="61" t="n">
        <f aca="false">Volumes!G10*1000*(G11)+Volumes!G11*1000*(G35)+Volumes!G13*1000*(G59)</f>
        <v>24600</v>
      </c>
    </row>
    <row r="88" customFormat="false" ht="15" hidden="false" customHeight="false" outlineLevel="0" collapsed="false">
      <c r="A88" s="7" t="s">
        <v>689</v>
      </c>
      <c r="B88" s="8" t="s">
        <v>11</v>
      </c>
      <c r="C88" s="61" t="n">
        <f aca="false">Volumes!C10*1000*(C14+C15)+Volumes!C11*1000*(C38+C39)+Volumes!C13*1000*(C62+C63)</f>
        <v>459.178082191781</v>
      </c>
      <c r="D88" s="61" t="n">
        <f aca="false">Volumes!D10*1000*(D14+D15)+Volumes!D11*1000*(D38+D39)+Volumes!D13*1000*(D62+D63)</f>
        <v>2686.19178082192</v>
      </c>
      <c r="E88" s="61" t="n">
        <f aca="false">Volumes!E10*1000*(E14+E15)+Volumes!E11*1000*(E38+E39)+Volumes!E13*1000*(E62+E63)</f>
        <v>4208.36712328767</v>
      </c>
      <c r="F88" s="61" t="n">
        <f aca="false">Volumes!F10*1000*(F14+F15)+Volumes!F11*1000*(F38+F39)+Volumes!F13*1000*(F62+F63)</f>
        <v>7271.08493150685</v>
      </c>
      <c r="G88" s="61" t="n">
        <f aca="false">Volumes!G10*1000*(G14+G15)+Volumes!G11*1000*(G38+G39)+Volumes!G13*1000*(G62+G63)</f>
        <v>11043.2328767123</v>
      </c>
    </row>
    <row r="89" customFormat="false" ht="15" hidden="false" customHeight="false" outlineLevel="0" collapsed="false">
      <c r="A89" s="7" t="s">
        <v>690</v>
      </c>
      <c r="B89" s="8" t="s">
        <v>11</v>
      </c>
      <c r="C89" s="61" t="n">
        <f aca="false">Volumes!C10*1000*(C16+C17+C18)+Volumes!C11*1000*(C40+C41+C42)+Volumes!C13*1000*(C64+C65+C66)</f>
        <v>2660</v>
      </c>
      <c r="D89" s="61" t="n">
        <f aca="false">Volumes!D10*1000*(D16+D17+D18)+Volumes!D11*1000*(D40+D41+D42)+Volumes!D13*1000*(D64+D65+D66)</f>
        <v>17325</v>
      </c>
      <c r="E89" s="61" t="n">
        <f aca="false">Volumes!E10*1000*(E16+E17+E18)+Volumes!E11*1000*(E40+E41+E42)+Volumes!E13*1000*(E64+E65+E66)</f>
        <v>36379.5</v>
      </c>
      <c r="F89" s="61" t="n">
        <f aca="false">Volumes!F10*1000*(F16+F17+F18)+Volumes!F11*1000*(F40+F41+F42)+Volumes!F13*1000*(F64+F65+F66)</f>
        <v>62520.5</v>
      </c>
      <c r="G89" s="61" t="n">
        <f aca="false">Volumes!G10*1000*(G16+G17+G18)+Volumes!G11*1000*(G40+G41+G42)+Volumes!G13*1000*(G64+G65+G66)</f>
        <v>94915</v>
      </c>
    </row>
    <row r="90" customFormat="false" ht="15" hidden="false" customHeight="false" outlineLevel="0" collapsed="false">
      <c r="A90" s="7" t="s">
        <v>673</v>
      </c>
      <c r="B90" s="8" t="s">
        <v>11</v>
      </c>
      <c r="C90" s="61" t="n">
        <f aca="false">Volumes!C10*1000*(C19)+Volumes!C11*1000*(C43)+Volumes!C13*1000*(C67)</f>
        <v>2880</v>
      </c>
      <c r="D90" s="61" t="n">
        <f aca="false">Volumes!D10*1000*(D19)+Volumes!D11*1000*(D43)+Volumes!D13*1000*(D67)</f>
        <v>18220</v>
      </c>
      <c r="E90" s="61" t="n">
        <f aca="false">Volumes!E10*1000*(E19)+Volumes!E11*1000*(E43)+Volumes!E13*1000*(E67)</f>
        <v>41980</v>
      </c>
      <c r="F90" s="61" t="n">
        <f aca="false">Volumes!F10*1000*(F19)+Volumes!F11*1000*(F43)+Volumes!F13*1000*(F67)</f>
        <v>74020</v>
      </c>
      <c r="G90" s="61" t="n">
        <f aca="false">Volumes!G10*1000*(G19)+Volumes!G11*1000*(G43)+Volumes!G13*1000*(G67)</f>
        <v>112600</v>
      </c>
    </row>
    <row r="91" customFormat="false" ht="15" hidden="false" customHeight="false" outlineLevel="0" collapsed="false">
      <c r="A91" s="7" t="s">
        <v>691</v>
      </c>
      <c r="B91" s="8" t="s">
        <v>11</v>
      </c>
      <c r="C91" s="61" t="n">
        <f aca="false">Volumes!C10*1000*(C20)+Volumes!C11*1000*(C44)+Volumes!C13*1000*(C68)+Volumes!C25*1000*Pressupostos!$C$99</f>
        <v>340</v>
      </c>
      <c r="D91" s="61" t="n">
        <f aca="false">Volumes!D10*1000*(D20)+Volumes!D11*1000*(D44)+Volumes!D13*1000*(D68)+Volumes!D25*1000*Pressupostos!$C$99</f>
        <v>2185</v>
      </c>
      <c r="E91" s="61" t="n">
        <f aca="false">Volumes!E10*1000*(E20)+Volumes!E11*1000*(E44)+Volumes!E13*1000*(E68)+Volumes!E25*1000*Pressupostos!$C$99</f>
        <v>5815</v>
      </c>
      <c r="F91" s="61" t="n">
        <f aca="false">Volumes!F10*1000*(F20)+Volumes!F11*1000*(F44)+Volumes!F13*1000*(F68)+Volumes!F25*1000*Pressupostos!$C$99</f>
        <v>10385</v>
      </c>
      <c r="G91" s="61" t="n">
        <f aca="false">Volumes!G10*1000*(G20)+Volumes!G11*1000*(G44)+Volumes!G13*1000*(G68)+Volumes!G25*1000*Pressupostos!$C$99</f>
        <v>16050</v>
      </c>
    </row>
    <row r="92" customFormat="false" ht="15" hidden="false" customHeight="false" outlineLevel="0" collapsed="false">
      <c r="A92" s="7" t="s">
        <v>81</v>
      </c>
      <c r="B92" s="8" t="s">
        <v>11</v>
      </c>
      <c r="C92" s="61" t="n">
        <f aca="false">Volumes!C10*1000*(C21)+Volumes!C11*1000*(C45)+Volumes!C13*1000*(C69)+Volumes!C25*1000*Pressupostos!$C$98*Pressupostos!$C$93</f>
        <v>922.68</v>
      </c>
      <c r="D92" s="61" t="n">
        <f aca="false">Volumes!D10*1000*(D21)+Volumes!D11*1000*(D45)+Volumes!D13*1000*(D69)+Volumes!D25*1000*Pressupostos!$C$98*Pressupostos!$C$93</f>
        <v>5866.02</v>
      </c>
      <c r="E92" s="61" t="n">
        <f aca="false">Volumes!E10*1000*(E21)+Volumes!E11*1000*(E45)+Volumes!E13*1000*(E69)+Volumes!E25*1000*Pressupostos!$C$98*Pressupostos!$C$93</f>
        <v>14827.68</v>
      </c>
      <c r="F92" s="61" t="n">
        <f aca="false">Volumes!F10*1000*(F21)+Volumes!F11*1000*(F45)+Volumes!F13*1000*(F69)+Volumes!F25*1000*Pressupostos!$C$98*Pressupostos!$C$93</f>
        <v>26410.32</v>
      </c>
      <c r="G92" s="61" t="n">
        <f aca="false">Volumes!G10*1000*(G21)+Volumes!G11*1000*(G45)+Volumes!G13*1000*(G69)+Volumes!G25*1000*Pressupostos!$C$98*Pressupostos!$C$93</f>
        <v>40578.6</v>
      </c>
    </row>
    <row r="93" customFormat="false" ht="15" hidden="false" customHeight="false" outlineLevel="0" collapsed="false">
      <c r="A93" s="7" t="s">
        <v>692</v>
      </c>
      <c r="B93" s="8" t="s">
        <v>11</v>
      </c>
      <c r="C93" s="61" t="n">
        <f aca="false">Volumes!C10*1000*(C22)+Volumes!C11*1000*(C46)+Volumes!C13*1000*(C70)+Volumes!C25*1000*Pressupostos!$G$29*Pressupostos!$C$92</f>
        <v>0</v>
      </c>
      <c r="D93" s="61" t="n">
        <f aca="false">Volumes!D10*1000*(D22)+Volumes!D11*1000*(D46)+Volumes!D13*1000*(D70)+Volumes!D25*1000*Pressupostos!$G$29*Pressupostos!$C$92</f>
        <v>0</v>
      </c>
      <c r="E93" s="61" t="n">
        <f aca="false">Volumes!E10*1000*(E22)+Volumes!E11*1000*(E46)+Volumes!E13*1000*(E70)+Volumes!E25*1000*Pressupostos!$G$29*Pressupostos!$C$92</f>
        <v>0</v>
      </c>
      <c r="F93" s="61" t="n">
        <f aca="false">Volumes!F10*1000*(F22)+Volumes!F11*1000*(F46)+Volumes!F13*1000*(F70)+Volumes!F25*1000*Pressupostos!$G$29*Pressupostos!$C$92</f>
        <v>0</v>
      </c>
      <c r="G93" s="61" t="n">
        <f aca="false">Volumes!G10*1000*(G22)+Volumes!G11*1000*(G46)+Volumes!G13*1000*(G70)+Volumes!G25*1000*Pressupostos!$G$29*Pressupostos!$C$92</f>
        <v>0</v>
      </c>
    </row>
    <row r="94" customFormat="false" ht="15" hidden="false" customHeight="false" outlineLevel="0" collapsed="false">
      <c r="A94" s="7" t="s">
        <v>693</v>
      </c>
      <c r="B94" s="8" t="s">
        <v>11</v>
      </c>
      <c r="C94" s="61" t="n">
        <f aca="false">Volumes!C29*1000*Pressupostos!$C$104*Pressupostos!$G$30</f>
        <v>0</v>
      </c>
      <c r="D94" s="61" t="n">
        <f aca="false">Volumes!D29*1000*Pressupostos!$C$104*Pressupostos!$G$30</f>
        <v>8228.57142857143</v>
      </c>
      <c r="E94" s="61" t="n">
        <f aca="false">Volumes!E29*1000*Pressupostos!$C$104*Pressupostos!$G$30</f>
        <v>24685.7142857143</v>
      </c>
      <c r="F94" s="61" t="n">
        <f aca="false">Volumes!F29*1000*Pressupostos!$C$104*Pressupostos!$G$30</f>
        <v>49371.4285714286</v>
      </c>
      <c r="G94" s="61" t="n">
        <f aca="false">Volumes!G29*1000*Pressupostos!$C$104*Pressupostos!$G$30</f>
        <v>82285.7142857143</v>
      </c>
    </row>
    <row r="95" customFormat="false" ht="15" hidden="false" customHeight="false" outlineLevel="0" collapsed="false">
      <c r="A95" s="7" t="s">
        <v>694</v>
      </c>
      <c r="B95" s="8" t="s">
        <v>11</v>
      </c>
      <c r="C95" s="61" t="n">
        <f aca="false">Volumes!C14*1000*C79</f>
        <v>0</v>
      </c>
      <c r="D95" s="61" t="n">
        <f aca="false">Volumes!D14*1000*D79</f>
        <v>0</v>
      </c>
      <c r="E95" s="61" t="n">
        <f aca="false">Volumes!E14*1000*E79</f>
        <v>0</v>
      </c>
      <c r="F95" s="61" t="n">
        <f aca="false">Volumes!F14*1000*F79</f>
        <v>0</v>
      </c>
      <c r="G95" s="61" t="n">
        <f aca="false">Volumes!G14*1000*G79</f>
        <v>0</v>
      </c>
    </row>
    <row r="96" customFormat="false" ht="15" hidden="false" customHeight="false" outlineLevel="0" collapsed="false">
      <c r="A96" s="7" t="s">
        <v>695</v>
      </c>
      <c r="B96" s="8" t="s">
        <v>11</v>
      </c>
      <c r="C96" s="61" t="n">
        <f aca="false">C86+C87+C88+C89+C90+C91+C92+C93+C94+C95</f>
        <v>15341.8580821918</v>
      </c>
      <c r="D96" s="61" t="n">
        <f aca="false">D86+D87+D88+D89+D90+D91+D92+D93+D94+D95</f>
        <v>104130.783209393</v>
      </c>
      <c r="E96" s="61" t="n">
        <f aca="false">E86+E87+E88+E89+E90+E91+E92+E93+E94+E95</f>
        <v>242146.261409002</v>
      </c>
      <c r="F96" s="61" t="n">
        <f aca="false">F86+F87+F88+F89+F90+F91+F92+F93+F94+F95</f>
        <v>433558.333502936</v>
      </c>
      <c r="G96" s="61" t="n">
        <f aca="false">G86+G87+G88+G89+G90+G91+G92+G93+G94+G95</f>
        <v>668872.547162427</v>
      </c>
    </row>
    <row r="97" customFormat="false" ht="15" hidden="false" customHeight="false" outlineLevel="0" collapsed="false">
      <c r="A97" s="7" t="s">
        <v>696</v>
      </c>
      <c r="B97" s="8" t="s">
        <v>11</v>
      </c>
      <c r="C97" s="61" t="n">
        <f aca="false">Volumes!C10*1000*(C23)+Volumes!C11*1000*(C47)+Volumes!C13*1000*(C71)</f>
        <v>0</v>
      </c>
      <c r="D97" s="61" t="n">
        <f aca="false">Volumes!D10*1000*(D23)+Volumes!D11*1000*(D47)+Volumes!D13*1000*(D71)</f>
        <v>23317.0273972603</v>
      </c>
      <c r="E97" s="61" t="n">
        <f aca="false">Volumes!E10*1000*(E23)+Volumes!E11*1000*(E47)+Volumes!E13*1000*(E71)</f>
        <v>36586.560359589</v>
      </c>
      <c r="F97" s="61" t="n">
        <f aca="false">Volumes!F10*1000*(F23)+Volumes!F11*1000*(F47)+Volumes!F13*1000*(F71)</f>
        <v>58470.0950342466</v>
      </c>
      <c r="G97" s="61" t="n">
        <f aca="false">Volumes!G10*1000*(G23)+Volumes!G11*1000*(G47)+Volumes!G13*1000*(G71)</f>
        <v>88739.9229452055</v>
      </c>
    </row>
    <row r="98" customFormat="false" ht="15" hidden="false" customHeight="false" outlineLevel="0" collapsed="false">
      <c r="A98" s="7" t="s">
        <v>697</v>
      </c>
      <c r="B98" s="8" t="s">
        <v>11</v>
      </c>
      <c r="C98" s="61" t="n">
        <f aca="false">Volumes!C25*1000*Receitas!C32</f>
        <v>0</v>
      </c>
      <c r="D98" s="61" t="n">
        <f aca="false">Volumes!D25*1000*Receitas!D32</f>
        <v>0</v>
      </c>
      <c r="E98" s="61" t="n">
        <f aca="false">Volumes!E25*1000*Receitas!E32</f>
        <v>2184.50342465753</v>
      </c>
      <c r="F98" s="61" t="n">
        <f aca="false">Volumes!F25*1000*Receitas!F32</f>
        <v>4077.7397260274</v>
      </c>
      <c r="G98" s="61" t="n">
        <f aca="false">Volumes!G25*1000*Receitas!G32</f>
        <v>6796.23287671233</v>
      </c>
    </row>
    <row r="99" customFormat="false" ht="15" hidden="false" customHeight="false" outlineLevel="0" collapsed="false">
      <c r="A99" s="7" t="s">
        <v>698</v>
      </c>
      <c r="B99" s="8" t="s">
        <v>11</v>
      </c>
      <c r="C99" s="61" t="n">
        <f aca="false">C97+C98</f>
        <v>0</v>
      </c>
      <c r="D99" s="61" t="n">
        <f aca="false">D97+D98</f>
        <v>23317.0273972603</v>
      </c>
      <c r="E99" s="61" t="n">
        <f aca="false">E97+E98</f>
        <v>38771.0637842466</v>
      </c>
      <c r="F99" s="61" t="n">
        <f aca="false">F97+F98</f>
        <v>62547.834760274</v>
      </c>
      <c r="G99" s="61" t="n">
        <f aca="false">G97+G98</f>
        <v>95536.1558219178</v>
      </c>
    </row>
    <row r="100" customFormat="false" ht="15" hidden="false" customHeight="false" outlineLevel="0" collapsed="false">
      <c r="A100" s="8" t="s">
        <v>699</v>
      </c>
      <c r="B100" s="8" t="s">
        <v>11</v>
      </c>
      <c r="C100" s="70" t="n">
        <f aca="false">ROUND(Receitas!C16-C85-C96-C99-Receitas!C37,6)</f>
        <v>-0</v>
      </c>
      <c r="D100" s="70" t="n">
        <f aca="false">ROUND(Receitas!D16-D85-D96-D99-Receitas!D37,6)</f>
        <v>-0</v>
      </c>
      <c r="E100" s="70" t="n">
        <f aca="false">ROUND(Receitas!E16-E85-E96-E99-Receitas!E37,6)</f>
        <v>-0</v>
      </c>
      <c r="F100" s="70" t="n">
        <f aca="false">ROUND(Receitas!F16-F85-F96-F99-Receitas!F37,6)</f>
        <v>-0</v>
      </c>
      <c r="G100" s="70" t="n">
        <f aca="false">ROUND(Receitas!G16-G85-G96-G99-Receitas!G37,6)</f>
        <v>0</v>
      </c>
    </row>
    <row r="102" customFormat="false" ht="15" hidden="false" customHeight="false" outlineLevel="0" collapsed="false">
      <c r="A102" s="3" t="s">
        <v>700</v>
      </c>
      <c r="B102" s="4"/>
      <c r="C102" s="4"/>
      <c r="D102" s="4"/>
      <c r="E102" s="4"/>
      <c r="F102" s="4"/>
      <c r="G102" s="4"/>
      <c r="H102" s="4"/>
    </row>
    <row r="103" customFormat="false" ht="15" hidden="false" customHeight="false" outlineLevel="0" collapsed="false">
      <c r="A103" s="7" t="s">
        <v>449</v>
      </c>
      <c r="B103" s="8" t="s">
        <v>11</v>
      </c>
      <c r="C103" s="61" t="n">
        <f aca="false">Pressupostos!$C$408*(1+Pressupostos!$C$156)*(1+Pressupostos!$C$157)^0</f>
        <v>94500</v>
      </c>
      <c r="D103" s="61" t="n">
        <f aca="false">Pressupostos!$D$408*(1+Pressupostos!$C$156)*(1+Pressupostos!$C$157)^1</f>
        <v>53550</v>
      </c>
      <c r="E103" s="61" t="n">
        <f aca="false">Pressupostos!$E$408*(1+Pressupostos!$C$156)*(1+Pressupostos!$C$157)^2</f>
        <v>49158.9</v>
      </c>
      <c r="F103" s="61" t="n">
        <f aca="false">Pressupostos!$F$408*(1+Pressupostos!$C$156)*(1+Pressupostos!$C$157)^3</f>
        <v>50142.078</v>
      </c>
      <c r="G103" s="61" t="n">
        <f aca="false">Pressupostos!$G$408*(1+Pressupostos!$C$156)*(1+Pressupostos!$C$157)^4</f>
        <v>51144.91956</v>
      </c>
    </row>
    <row r="104" customFormat="false" ht="15" hidden="false" customHeight="false" outlineLevel="0" collapsed="false">
      <c r="A104" s="7" t="s">
        <v>451</v>
      </c>
      <c r="B104" s="8" t="s">
        <v>11</v>
      </c>
      <c r="C104" s="61" t="n">
        <f aca="false">Pressupostos!$C$414*(1+Pressupostos!$C$156)*(1+Pressupostos!$C$157)^0</f>
        <v>10500</v>
      </c>
      <c r="D104" s="61" t="n">
        <f aca="false">Pressupostos!$D$414*(1+Pressupostos!$C$156)*(1+Pressupostos!$C$157)^1</f>
        <v>10710</v>
      </c>
      <c r="E104" s="61" t="n">
        <f aca="false">Pressupostos!$E$414*(1+Pressupostos!$C$156)*(1+Pressupostos!$C$157)^2</f>
        <v>10924.2</v>
      </c>
      <c r="F104" s="61" t="n">
        <f aca="false">Pressupostos!$F$414*(1+Pressupostos!$C$156)*(1+Pressupostos!$C$157)^3</f>
        <v>11142.684</v>
      </c>
      <c r="G104" s="61" t="n">
        <f aca="false">Pressupostos!$G$414*(1+Pressupostos!$C$156)*(1+Pressupostos!$C$157)^4</f>
        <v>11365.53768</v>
      </c>
    </row>
    <row r="105" customFormat="false" ht="15" hidden="false" customHeight="false" outlineLevel="0" collapsed="false">
      <c r="A105" s="7" t="s">
        <v>452</v>
      </c>
      <c r="B105" s="8" t="s">
        <v>11</v>
      </c>
      <c r="C105" s="61" t="n">
        <f aca="false">Pressupostos!$C$420*(1+Pressupostos!$C$156)*(1+Pressupostos!$C$157)^0</f>
        <v>12600</v>
      </c>
      <c r="D105" s="61" t="n">
        <f aca="false">Pressupostos!$D$420*(1+Pressupostos!$C$156)*(1+Pressupostos!$C$157)^1</f>
        <v>12852</v>
      </c>
      <c r="E105" s="61" t="n">
        <f aca="false">Pressupostos!$E$420*(1+Pressupostos!$C$156)*(1+Pressupostos!$C$157)^2</f>
        <v>13109.04</v>
      </c>
      <c r="F105" s="61" t="n">
        <f aca="false">Pressupostos!$F$420*(1+Pressupostos!$C$156)*(1+Pressupostos!$C$157)^3</f>
        <v>0</v>
      </c>
      <c r="G105" s="61" t="n">
        <f aca="false">Pressupostos!$G$420*(1+Pressupostos!$C$156)*(1+Pressupostos!$C$157)^4</f>
        <v>0</v>
      </c>
    </row>
    <row r="106" customFormat="false" ht="15" hidden="false" customHeight="false" outlineLevel="0" collapsed="false">
      <c r="A106" s="7" t="s">
        <v>454</v>
      </c>
      <c r="B106" s="8" t="s">
        <v>11</v>
      </c>
      <c r="C106" s="61" t="n">
        <f aca="false">Pressupostos!$C$426*(1+Pressupostos!$C$156)*(1+Pressupostos!$C$157)^0</f>
        <v>31500</v>
      </c>
      <c r="D106" s="61" t="n">
        <f aca="false">Pressupostos!$D$426*(1+Pressupostos!$C$156)*(1+Pressupostos!$C$157)^1</f>
        <v>42840</v>
      </c>
      <c r="E106" s="61" t="n">
        <f aca="false">Pressupostos!$E$426*(1+Pressupostos!$C$156)*(1+Pressupostos!$C$157)^2</f>
        <v>60083.1</v>
      </c>
      <c r="F106" s="61" t="n">
        <f aca="false">Pressupostos!$F$426*(1+Pressupostos!$C$156)*(1+Pressupostos!$C$157)^3</f>
        <v>77998.788</v>
      </c>
      <c r="G106" s="61" t="n">
        <f aca="false">Pressupostos!$G$426*(1+Pressupostos!$C$156)*(1+Pressupostos!$C$157)^4</f>
        <v>96607.07028</v>
      </c>
    </row>
    <row r="107" customFormat="false" ht="15" hidden="false" customHeight="false" outlineLevel="0" collapsed="false">
      <c r="A107" s="7" t="s">
        <v>456</v>
      </c>
      <c r="B107" s="8" t="s">
        <v>11</v>
      </c>
      <c r="C107" s="61" t="n">
        <f aca="false">Pressupostos!$C$432*(1+Pressupostos!$C$156)*(1+Pressupostos!$C$157)^0</f>
        <v>15750</v>
      </c>
      <c r="D107" s="61" t="n">
        <f aca="false">Pressupostos!$D$432*(1+Pressupostos!$C$156)*(1+Pressupostos!$C$157)^1</f>
        <v>16065</v>
      </c>
      <c r="E107" s="61" t="n">
        <f aca="false">Pressupostos!$E$432*(1+Pressupostos!$C$156)*(1+Pressupostos!$C$157)^2</f>
        <v>38234.7</v>
      </c>
      <c r="F107" s="61" t="n">
        <f aca="false">Pressupostos!$F$432*(1+Pressupostos!$C$156)*(1+Pressupostos!$C$157)^3</f>
        <v>22285.368</v>
      </c>
      <c r="G107" s="61" t="n">
        <f aca="false">Pressupostos!$G$432*(1+Pressupostos!$C$156)*(1+Pressupostos!$C$157)^4</f>
        <v>22731.07536</v>
      </c>
    </row>
    <row r="108" customFormat="false" ht="15" hidden="false" customHeight="false" outlineLevel="0" collapsed="false">
      <c r="A108" s="7" t="s">
        <v>458</v>
      </c>
      <c r="B108" s="8" t="s">
        <v>11</v>
      </c>
      <c r="C108" s="61" t="n">
        <f aca="false">Pressupostos!$C$438*(1+Pressupostos!$C$156)*(1+Pressupostos!$C$157)^0</f>
        <v>10500</v>
      </c>
      <c r="D108" s="61" t="n">
        <f aca="false">Pressupostos!$D$438*(1+Pressupostos!$C$156)*(1+Pressupostos!$C$157)^1</f>
        <v>12852</v>
      </c>
      <c r="E108" s="61" t="n">
        <f aca="false">Pressupostos!$E$438*(1+Pressupostos!$C$156)*(1+Pressupostos!$C$157)^2</f>
        <v>16386.3</v>
      </c>
      <c r="F108" s="61" t="n">
        <f aca="false">Pressupostos!$F$438*(1+Pressupostos!$C$156)*(1+Pressupostos!$C$157)^3</f>
        <v>20056.8312</v>
      </c>
      <c r="G108" s="61" t="n">
        <f aca="false">Pressupostos!$G$438*(1+Pressupostos!$C$156)*(1+Pressupostos!$C$157)^4</f>
        <v>22731.07536</v>
      </c>
    </row>
    <row r="109" customFormat="false" ht="15" hidden="false" customHeight="false" outlineLevel="0" collapsed="false">
      <c r="A109" s="7" t="s">
        <v>459</v>
      </c>
      <c r="B109" s="8" t="s">
        <v>11</v>
      </c>
      <c r="C109" s="61" t="n">
        <f aca="false">Pressupostos!$C$444*(1+Pressupostos!$C$156)*(1+Pressupostos!$C$157)^0</f>
        <v>42000</v>
      </c>
      <c r="D109" s="61" t="n">
        <f aca="false">Pressupostos!$D$444*(1+Pressupostos!$C$156)*(1+Pressupostos!$C$157)^1</f>
        <v>53550</v>
      </c>
      <c r="E109" s="61" t="n">
        <f aca="false">Pressupostos!$E$444*(1+Pressupostos!$C$156)*(1+Pressupostos!$C$157)^2</f>
        <v>76469.4</v>
      </c>
      <c r="F109" s="61" t="n">
        <f aca="false">Pressupostos!$F$444*(1+Pressupostos!$C$156)*(1+Pressupostos!$C$157)^3</f>
        <v>100284.156</v>
      </c>
      <c r="G109" s="61" t="n">
        <f aca="false">Pressupostos!$G$444*(1+Pressupostos!$C$156)*(1+Pressupostos!$C$157)^4</f>
        <v>125020.91448</v>
      </c>
    </row>
    <row r="110" customFormat="false" ht="15" hidden="false" customHeight="false" outlineLevel="0" collapsed="false">
      <c r="A110" s="7" t="s">
        <v>461</v>
      </c>
      <c r="B110" s="8" t="s">
        <v>11</v>
      </c>
      <c r="C110" s="61" t="n">
        <f aca="false">Pressupostos!$C$450*(1+Pressupostos!$C$156)*(1+Pressupostos!$C$157)^0</f>
        <v>12600</v>
      </c>
      <c r="D110" s="61" t="n">
        <f aca="false">Pressupostos!$D$450*(1+Pressupostos!$C$156)*(1+Pressupostos!$C$157)^1</f>
        <v>16065</v>
      </c>
      <c r="E110" s="61" t="n">
        <f aca="false">Pressupostos!$E$450*(1+Pressupostos!$C$156)*(1+Pressupostos!$C$157)^2</f>
        <v>26218.08</v>
      </c>
      <c r="F110" s="61" t="n">
        <f aca="false">Pressupostos!$F$450*(1+Pressupostos!$C$156)*(1+Pressupostos!$C$157)^3</f>
        <v>33428.052</v>
      </c>
      <c r="G110" s="61" t="n">
        <f aca="false">Pressupostos!$G$450*(1+Pressupostos!$C$156)*(1+Pressupostos!$C$157)^4</f>
        <v>40915.935648</v>
      </c>
    </row>
    <row r="111" customFormat="false" ht="15" hidden="false" customHeight="false" outlineLevel="0" collapsed="false">
      <c r="A111" s="7" t="s">
        <v>463</v>
      </c>
      <c r="B111" s="8" t="s">
        <v>11</v>
      </c>
      <c r="C111" s="61" t="n">
        <f aca="false">Pressupostos!$C$456*(1+Pressupostos!$C$156)*(1+Pressupostos!$C$157)^0</f>
        <v>18900</v>
      </c>
      <c r="D111" s="61" t="n">
        <f aca="false">Pressupostos!$D$456*(1+Pressupostos!$C$156)*(1+Pressupostos!$C$157)^1</f>
        <v>23562</v>
      </c>
      <c r="E111" s="61" t="n">
        <f aca="false">Pressupostos!$E$456*(1+Pressupostos!$C$156)*(1+Pressupostos!$C$157)^2</f>
        <v>32772.6</v>
      </c>
      <c r="F111" s="61" t="n">
        <f aca="false">Pressupostos!$F$456*(1+Pressupostos!$C$156)*(1+Pressupostos!$C$157)^3</f>
        <v>42342.1992</v>
      </c>
      <c r="G111" s="61" t="n">
        <f aca="false">Pressupostos!$G$456*(1+Pressupostos!$C$156)*(1+Pressupostos!$C$157)^4</f>
        <v>51144.91956</v>
      </c>
    </row>
    <row r="112" customFormat="false" ht="15" hidden="false" customHeight="false" outlineLevel="0" collapsed="false">
      <c r="A112" s="7" t="s">
        <v>464</v>
      </c>
      <c r="B112" s="8" t="s">
        <v>11</v>
      </c>
      <c r="C112" s="61" t="n">
        <f aca="false">Pressupostos!$C$462*(1+Pressupostos!$C$156)*(1+Pressupostos!$C$157)^0</f>
        <v>5250</v>
      </c>
      <c r="D112" s="61" t="n">
        <f aca="false">Pressupostos!$D$462*(1+Pressupostos!$C$156)*(1+Pressupostos!$C$157)^1</f>
        <v>8568</v>
      </c>
      <c r="E112" s="61" t="n">
        <f aca="false">Pressupostos!$E$462*(1+Pressupostos!$C$156)*(1+Pressupostos!$C$157)^2</f>
        <v>13109.04</v>
      </c>
      <c r="F112" s="61" t="n">
        <f aca="false">Pressupostos!$F$462*(1+Pressupostos!$C$156)*(1+Pressupostos!$C$157)^3</f>
        <v>16714.026</v>
      </c>
      <c r="G112" s="61" t="n">
        <f aca="false">Pressupostos!$G$462*(1+Pressupostos!$C$156)*(1+Pressupostos!$C$157)^4</f>
        <v>17048.30652</v>
      </c>
    </row>
    <row r="113" customFormat="false" ht="15" hidden="false" customHeight="false" outlineLevel="0" collapsed="false">
      <c r="A113" s="7" t="s">
        <v>701</v>
      </c>
      <c r="B113" s="8" t="s">
        <v>11</v>
      </c>
      <c r="C113" s="61" t="n">
        <f aca="false">C103+C104+C105+C106+C107+C108+C109+C110+C111+C112</f>
        <v>254100</v>
      </c>
      <c r="D113" s="61" t="n">
        <f aca="false">D103+D104+D105+D106+D107+D108+D109+D110+D111+D112</f>
        <v>250614</v>
      </c>
      <c r="E113" s="61" t="n">
        <f aca="false">E103+E104+E105+E106+E107+E108+E109+E110+E111+E112</f>
        <v>336465.36</v>
      </c>
      <c r="F113" s="61" t="n">
        <f aca="false">F103+F104+F105+F106+F107+F108+F109+F110+F111+F112</f>
        <v>374394.1824</v>
      </c>
      <c r="G113" s="61" t="n">
        <f aca="false">G103+G104+G105+G106+G107+G108+G109+G110+G111+G112</f>
        <v>438709.754448</v>
      </c>
    </row>
    <row r="114" customFormat="false" ht="15" hidden="false" customHeight="false" outlineLevel="0" collapsed="false">
      <c r="A114" s="7" t="s">
        <v>702</v>
      </c>
      <c r="B114" s="8" t="s">
        <v>11</v>
      </c>
      <c r="C114" s="61" t="n">
        <f aca="false">Pressupostos!$C$114+Pressupostos!$C$115+Pressupostos!$C$116*Pressupostos!$C$297+Pressupostos!$C$466+Pressupostos!$C$309</f>
        <v>65000</v>
      </c>
      <c r="D114" s="61" t="n">
        <f aca="false">Pressupostos!$C$115+Pressupostos!$C$116*Pressupostos!$D$297+Pressupostos!$D$466+Pressupostos!$D$309</f>
        <v>65000</v>
      </c>
      <c r="E114" s="61" t="n">
        <f aca="false">Pressupostos!$C$115+Pressupostos!$C$116*Pressupostos!$E$297+Pressupostos!$E$466+Pressupostos!$E$309</f>
        <v>70000</v>
      </c>
      <c r="F114" s="61" t="n">
        <f aca="false">Pressupostos!$C$115+Pressupostos!$C$116*Pressupostos!$F$297+Pressupostos!$F$466+Pressupostos!$F$309</f>
        <v>75000</v>
      </c>
      <c r="G114" s="61" t="n">
        <f aca="false">Pressupostos!$C$115+Pressupostos!$C$116*Pressupostos!$G$297+Pressupostos!$G$466+Pressupostos!$G$309</f>
        <v>80000</v>
      </c>
    </row>
    <row r="115" customFormat="false" ht="15" hidden="false" customHeight="false" outlineLevel="0" collapsed="false">
      <c r="A115" s="7" t="s">
        <v>703</v>
      </c>
      <c r="B115" s="8" t="s">
        <v>11</v>
      </c>
      <c r="C115" s="61" t="n">
        <f aca="false">IF(Volumes!C6&lt;Pressupostos!$C$120,0,MAX(Pressupostos!$C$303,Pressupostos!$C$118*(Receitas!C6+Receitas!C7)+Pressupostos!$C$119*Receitas!C8))</f>
        <v>0</v>
      </c>
      <c r="D115" s="61" t="n">
        <f aca="false">IF(Volumes!D6&lt;Pressupostos!$C$120,0,MAX(Pressupostos!$D$303,Pressupostos!$C$118*(Receitas!D6+Receitas!D7)+Pressupostos!$C$119*Receitas!D8))</f>
        <v>7068.78</v>
      </c>
      <c r="E115" s="61" t="n">
        <f aca="false">IF(Volumes!E6&lt;Pressupostos!$C$120,0,MAX(Pressupostos!$E$303,Pressupostos!$C$118*(Receitas!E6+Receitas!E7)+Pressupostos!$C$119*Receitas!E8))</f>
        <v>15181.02</v>
      </c>
      <c r="F115" s="61" t="n">
        <f aca="false">IF(Volumes!F6&lt;Pressupostos!$C$120,0,MAX(Pressupostos!$F$303,Pressupostos!$C$118*(Receitas!F6+Receitas!F7)+Pressupostos!$C$119*Receitas!F8))</f>
        <v>26014.98</v>
      </c>
      <c r="G115" s="61" t="n">
        <f aca="false">IF(Volumes!G6&lt;Pressupostos!$C$120,0,MAX(Pressupostos!$G$303,Pressupostos!$C$118*(Receitas!G6+Receitas!G7)+Pressupostos!$C$119*Receitas!G8))</f>
        <v>39485.4</v>
      </c>
    </row>
    <row r="116" customFormat="false" ht="15" hidden="false" customHeight="false" outlineLevel="0" collapsed="false">
      <c r="A116" s="56" t="s">
        <v>704</v>
      </c>
      <c r="B116" s="57" t="s">
        <v>11</v>
      </c>
      <c r="C116" s="62" t="n">
        <f aca="false">C113+C114+C115</f>
        <v>319100</v>
      </c>
      <c r="D116" s="62" t="n">
        <f aca="false">D113+D114+D115</f>
        <v>322682.78</v>
      </c>
      <c r="E116" s="62" t="n">
        <f aca="false">E113+E114+E115</f>
        <v>421646.38</v>
      </c>
      <c r="F116" s="62" t="n">
        <f aca="false">F113+F114+F115</f>
        <v>475409.1624</v>
      </c>
      <c r="G116" s="62" t="n">
        <f aca="false">G113+G114+G115</f>
        <v>558195.154448</v>
      </c>
    </row>
    <row r="118" customFormat="false" ht="15" hidden="false" customHeight="false" outlineLevel="0" collapsed="false">
      <c r="A118" s="3" t="s">
        <v>705</v>
      </c>
      <c r="B118" s="4"/>
      <c r="C118" s="4"/>
      <c r="D118" s="4"/>
      <c r="E118" s="4"/>
      <c r="F118" s="4"/>
      <c r="G118" s="4"/>
      <c r="H118" s="4"/>
    </row>
    <row r="119" customFormat="false" ht="15" hidden="false" customHeight="false" outlineLevel="0" collapsed="false">
      <c r="A119" s="7" t="s">
        <v>706</v>
      </c>
      <c r="B119" s="8" t="s">
        <v>11</v>
      </c>
      <c r="C119" s="61" t="n">
        <f aca="false">Pressupostos!$C$165*Pressupostos!$C$316</f>
        <v>18000</v>
      </c>
      <c r="D119" s="61" t="n">
        <f aca="false">Pressupostos!$C$165*Pressupostos!$D$316</f>
        <v>12000</v>
      </c>
      <c r="E119" s="61" t="n">
        <f aca="false">Pressupostos!$C$165*Pressupostos!$E$316</f>
        <v>12000</v>
      </c>
      <c r="F119" s="61" t="n">
        <f aca="false">Pressupostos!$C$165*Pressupostos!$F$316</f>
        <v>12000</v>
      </c>
      <c r="G119" s="61" t="n">
        <f aca="false">Pressupostos!$C$165*Pressupostos!$G$316</f>
        <v>12000</v>
      </c>
    </row>
    <row r="120" customFormat="false" ht="15" hidden="false" customHeight="false" outlineLevel="0" collapsed="false">
      <c r="A120" s="7" t="s">
        <v>707</v>
      </c>
      <c r="B120" s="8" t="s">
        <v>11</v>
      </c>
      <c r="C120" s="53" t="n">
        <f aca="false">Pressupostos!$C$322</f>
        <v>60000</v>
      </c>
      <c r="D120" s="53" t="n">
        <f aca="false">Pressupostos!$D$322</f>
        <v>15000</v>
      </c>
      <c r="E120" s="53" t="n">
        <f aca="false">Pressupostos!$E$322</f>
        <v>15000</v>
      </c>
      <c r="F120" s="53" t="n">
        <f aca="false">Pressupostos!$F$322</f>
        <v>10000</v>
      </c>
      <c r="G120" s="53" t="n">
        <f aca="false">Pressupostos!$G$322</f>
        <v>10000</v>
      </c>
    </row>
    <row r="121" customFormat="false" ht="15" hidden="false" customHeight="false" outlineLevel="0" collapsed="false">
      <c r="A121" s="7" t="s">
        <v>708</v>
      </c>
      <c r="B121" s="8" t="s">
        <v>11</v>
      </c>
      <c r="C121" s="53" t="n">
        <f aca="false">Pressupostos!$C$328</f>
        <v>0</v>
      </c>
      <c r="D121" s="53" t="n">
        <f aca="false">Pressupostos!$D$328</f>
        <v>15000</v>
      </c>
      <c r="E121" s="53" t="n">
        <f aca="false">Pressupostos!$E$328</f>
        <v>15000</v>
      </c>
      <c r="F121" s="53" t="n">
        <f aca="false">Pressupostos!$F$328</f>
        <v>10000</v>
      </c>
      <c r="G121" s="53" t="n">
        <f aca="false">Pressupostos!$G$328</f>
        <v>10000</v>
      </c>
    </row>
    <row r="122" customFormat="false" ht="15" hidden="false" customHeight="false" outlineLevel="0" collapsed="false">
      <c r="A122" s="7" t="s">
        <v>709</v>
      </c>
      <c r="B122" s="8" t="s">
        <v>11</v>
      </c>
      <c r="C122" s="61" t="n">
        <f aca="false">Pressupostos!$C$166*MAX(0,Pessoal!C18)</f>
        <v>14000</v>
      </c>
      <c r="D122" s="61" t="n">
        <f aca="false">Pressupostos!$C$166*MAX(0,Pessoal!D18-Pessoal!C18)</f>
        <v>2000</v>
      </c>
      <c r="E122" s="61" t="n">
        <f aca="false">Pressupostos!$C$166*MAX(0,Pessoal!E18-Pessoal!D18)</f>
        <v>6000</v>
      </c>
      <c r="F122" s="61" t="n">
        <f aca="false">Pressupostos!$C$166*MAX(0,Pessoal!F18-Pessoal!E18)</f>
        <v>6000</v>
      </c>
      <c r="G122" s="61" t="n">
        <f aca="false">Pressupostos!$C$166*MAX(0,Pessoal!G18-Pessoal!F18)</f>
        <v>6000</v>
      </c>
    </row>
    <row r="123" customFormat="false" ht="15" hidden="false" customHeight="false" outlineLevel="0" collapsed="false">
      <c r="A123" s="7" t="s">
        <v>424</v>
      </c>
      <c r="B123" s="8" t="s">
        <v>11</v>
      </c>
      <c r="C123" s="61" t="n">
        <f aca="false">C119+C120+C121+C122</f>
        <v>92000</v>
      </c>
      <c r="D123" s="61" t="n">
        <f aca="false">D119+D120+D121+D122</f>
        <v>44000</v>
      </c>
      <c r="E123" s="61" t="n">
        <f aca="false">E119+E120+E121+E122</f>
        <v>48000</v>
      </c>
      <c r="F123" s="61" t="n">
        <f aca="false">F119+F120+F121+F122</f>
        <v>38000</v>
      </c>
      <c r="G123" s="61" t="n">
        <f aca="false">G119+G120+G121+G122</f>
        <v>38000</v>
      </c>
    </row>
    <row r="124" customFormat="false" ht="15" hidden="false" customHeight="false" outlineLevel="0" collapsed="false">
      <c r="A124" s="7" t="s">
        <v>710</v>
      </c>
      <c r="B124" s="8" t="s">
        <v>11</v>
      </c>
      <c r="C124" s="61" t="n">
        <f aca="false">(C120*((0)&lt;Pressupostos!$C$167))/Pressupostos!$C$167</f>
        <v>20000</v>
      </c>
      <c r="D124" s="61" t="n">
        <f aca="false">(C120*((1)&lt;Pressupostos!$C$167)+D120*((0)&lt;Pressupostos!$C$167))/Pressupostos!$C$167</f>
        <v>25000</v>
      </c>
      <c r="E124" s="61" t="n">
        <f aca="false">(C120*((2)&lt;Pressupostos!$C$167)+D120*((1)&lt;Pressupostos!$C$167)+E120*((0)&lt;Pressupostos!$C$167))/Pressupostos!$C$167</f>
        <v>30000</v>
      </c>
      <c r="F124" s="61" t="n">
        <f aca="false">(C120*((3)&lt;Pressupostos!$C$167)+D120*((2)&lt;Pressupostos!$C$167)+E120*((1)&lt;Pressupostos!$C$167)+F120*((0)&lt;Pressupostos!$C$167))/Pressupostos!$C$167</f>
        <v>13333.3333333333</v>
      </c>
      <c r="G124" s="61" t="n">
        <f aca="false">(C120*((4)&lt;Pressupostos!$C$167)+D120*((3)&lt;Pressupostos!$C$167)+E120*((2)&lt;Pressupostos!$C$167)+F120*((1)&lt;Pressupostos!$C$167)+G120*((0)&lt;Pressupostos!$C$167))/Pressupostos!$C$167</f>
        <v>11666.6666666667</v>
      </c>
    </row>
    <row r="125" customFormat="false" ht="15" hidden="false" customHeight="false" outlineLevel="0" collapsed="false">
      <c r="A125" s="7" t="s">
        <v>711</v>
      </c>
      <c r="B125" s="8" t="s">
        <v>11</v>
      </c>
      <c r="C125" s="61" t="n">
        <f aca="false">(C121*((0)&lt;Pressupostos!$C$167))/Pressupostos!$C$167</f>
        <v>0</v>
      </c>
      <c r="D125" s="61" t="n">
        <f aca="false">(C121*((1)&lt;Pressupostos!$C$167)+D121*((0)&lt;Pressupostos!$C$167))/Pressupostos!$C$167</f>
        <v>5000</v>
      </c>
      <c r="E125" s="61" t="n">
        <f aca="false">(C121*((2)&lt;Pressupostos!$C$167)+D121*((1)&lt;Pressupostos!$C$167)+E121*((0)&lt;Pressupostos!$C$167))/Pressupostos!$C$167</f>
        <v>10000</v>
      </c>
      <c r="F125" s="61" t="n">
        <f aca="false">(C121*((3)&lt;Pressupostos!$C$167)+D121*((2)&lt;Pressupostos!$C$167)+E121*((1)&lt;Pressupostos!$C$167)+F121*((0)&lt;Pressupostos!$C$167))/Pressupostos!$C$167</f>
        <v>13333.3333333333</v>
      </c>
      <c r="G125" s="61" t="n">
        <f aca="false">(C121*((4)&lt;Pressupostos!$C$167)+D121*((3)&lt;Pressupostos!$C$167)+E121*((2)&lt;Pressupostos!$C$167)+F121*((1)&lt;Pressupostos!$C$167)+G121*((0)&lt;Pressupostos!$C$167))/Pressupostos!$C$167</f>
        <v>11666.6666666667</v>
      </c>
    </row>
    <row r="126" customFormat="false" ht="15" hidden="false" customHeight="false" outlineLevel="0" collapsed="false">
      <c r="A126" s="7" t="s">
        <v>712</v>
      </c>
      <c r="B126" s="8" t="s">
        <v>11</v>
      </c>
      <c r="C126" s="61" t="n">
        <f aca="false">(C119*((0)&lt;Pressupostos!$C$169))/Pressupostos!$C$169</f>
        <v>3600</v>
      </c>
      <c r="D126" s="61" t="n">
        <f aca="false">(C119*((1)&lt;Pressupostos!$C$169)+D119*((0)&lt;Pressupostos!$C$169))/Pressupostos!$C$169</f>
        <v>6000</v>
      </c>
      <c r="E126" s="61" t="n">
        <f aca="false">(C119*((2)&lt;Pressupostos!$C$169)+D119*((1)&lt;Pressupostos!$C$169)+E119*((0)&lt;Pressupostos!$C$169))/Pressupostos!$C$169</f>
        <v>8400</v>
      </c>
      <c r="F126" s="61" t="n">
        <f aca="false">(C119*((3)&lt;Pressupostos!$C$169)+D119*((2)&lt;Pressupostos!$C$169)+E119*((1)&lt;Pressupostos!$C$169)+F119*((0)&lt;Pressupostos!$C$169))/Pressupostos!$C$169</f>
        <v>10800</v>
      </c>
      <c r="G126" s="61" t="n">
        <f aca="false">(C119*((4)&lt;Pressupostos!$C$169)+D119*((3)&lt;Pressupostos!$C$169)+E119*((2)&lt;Pressupostos!$C$169)+F119*((1)&lt;Pressupostos!$C$169)+G119*((0)&lt;Pressupostos!$C$169))/Pressupostos!$C$169</f>
        <v>13200</v>
      </c>
    </row>
    <row r="127" customFormat="false" ht="15" hidden="false" customHeight="false" outlineLevel="0" collapsed="false">
      <c r="A127" s="7" t="s">
        <v>713</v>
      </c>
      <c r="B127" s="8" t="s">
        <v>11</v>
      </c>
      <c r="C127" s="61" t="n">
        <f aca="false">(C122*((0)&lt;Pressupostos!$C$168))/Pressupostos!$C$168</f>
        <v>3500</v>
      </c>
      <c r="D127" s="61" t="n">
        <f aca="false">(C122*((1)&lt;Pressupostos!$C$168)+D122*((0)&lt;Pressupostos!$C$168))/Pressupostos!$C$168</f>
        <v>4000</v>
      </c>
      <c r="E127" s="61" t="n">
        <f aca="false">(C122*((2)&lt;Pressupostos!$C$168)+D122*((1)&lt;Pressupostos!$C$168)+E122*((0)&lt;Pressupostos!$C$168))/Pressupostos!$C$168</f>
        <v>5500</v>
      </c>
      <c r="F127" s="61" t="n">
        <f aca="false">(C122*((3)&lt;Pressupostos!$C$168)+D122*((2)&lt;Pressupostos!$C$168)+E122*((1)&lt;Pressupostos!$C$168)+F122*((0)&lt;Pressupostos!$C$168))/Pressupostos!$C$168</f>
        <v>7000</v>
      </c>
      <c r="G127" s="61" t="n">
        <f aca="false">(C122*((4)&lt;Pressupostos!$C$168)+D122*((3)&lt;Pressupostos!$C$168)+E122*((2)&lt;Pressupostos!$C$168)+F122*((1)&lt;Pressupostos!$C$168)+G122*((0)&lt;Pressupostos!$C$168))/Pressupostos!$C$168</f>
        <v>5000</v>
      </c>
    </row>
    <row r="128" customFormat="false" ht="15" hidden="false" customHeight="false" outlineLevel="0" collapsed="false">
      <c r="A128" s="7" t="s">
        <v>714</v>
      </c>
      <c r="B128" s="8" t="s">
        <v>11</v>
      </c>
      <c r="C128" s="61" t="n">
        <f aca="false">C124+C125+C126+C127</f>
        <v>27100</v>
      </c>
      <c r="D128" s="61" t="n">
        <f aca="false">D124+D125+D126+D127</f>
        <v>40000</v>
      </c>
      <c r="E128" s="61" t="n">
        <f aca="false">E124+E125+E126+E127</f>
        <v>53900</v>
      </c>
      <c r="F128" s="61" t="n">
        <f aca="false">F124+F125+F126+F127</f>
        <v>44466.6666666667</v>
      </c>
      <c r="G128" s="61" t="n">
        <f aca="false">G124+G125+G126+G127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2" t="s">
        <v>716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717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6" t="s">
        <v>718</v>
      </c>
      <c r="B6" s="57" t="s">
        <v>11</v>
      </c>
      <c r="C6" s="71" t="n">
        <f aca="false">Receitas!C16</f>
        <v>267690</v>
      </c>
      <c r="D6" s="71" t="n">
        <f aca="false">Receitas!D16</f>
        <v>1780435</v>
      </c>
      <c r="E6" s="71" t="n">
        <f aca="false">Receitas!E16</f>
        <v>4066155</v>
      </c>
      <c r="F6" s="71" t="n">
        <f aca="false">Receitas!F16</f>
        <v>7052305</v>
      </c>
      <c r="G6" s="71" t="n">
        <f aca="false">Receitas!G16</f>
        <v>10796070</v>
      </c>
    </row>
    <row r="7" customFormat="false" ht="15" hidden="false" customHeight="false" outlineLevel="0" collapsed="false">
      <c r="A7" s="7" t="s">
        <v>688</v>
      </c>
      <c r="B7" s="8" t="s">
        <v>11</v>
      </c>
      <c r="C7" s="61" t="n">
        <f aca="false">-Custos!C85</f>
        <v>-243800</v>
      </c>
      <c r="D7" s="61" t="n">
        <f aca="false">-Custos!D85</f>
        <v>-1623700</v>
      </c>
      <c r="E7" s="61" t="n">
        <f aca="false">-Custos!E85</f>
        <v>-3665800</v>
      </c>
      <c r="F7" s="61" t="n">
        <f aca="false">-Custos!F85</f>
        <v>-6319200</v>
      </c>
      <c r="G7" s="61" t="n">
        <f aca="false">-Custos!G85</f>
        <v>-9651000</v>
      </c>
    </row>
    <row r="8" customFormat="false" ht="15" hidden="false" customHeight="false" outlineLevel="0" collapsed="false">
      <c r="A8" s="56" t="s">
        <v>719</v>
      </c>
      <c r="B8" s="57" t="s">
        <v>11</v>
      </c>
      <c r="C8" s="62" t="n">
        <f aca="false">C6+C7</f>
        <v>23890</v>
      </c>
      <c r="D8" s="62" t="n">
        <f aca="false">D6+D7</f>
        <v>156735</v>
      </c>
      <c r="E8" s="62" t="n">
        <f aca="false">E6+E7</f>
        <v>400355</v>
      </c>
      <c r="F8" s="62" t="n">
        <f aca="false">F6+F7</f>
        <v>733105</v>
      </c>
      <c r="G8" s="62" t="n">
        <f aca="false">G6+G7</f>
        <v>1145070</v>
      </c>
    </row>
    <row r="9" customFormat="false" ht="15" hidden="false" customHeight="false" outlineLevel="0" collapsed="false">
      <c r="A9" s="2" t="s">
        <v>720</v>
      </c>
      <c r="B9" s="8" t="s">
        <v>76</v>
      </c>
      <c r="C9" s="59" t="n">
        <f aca="false">IF(C6&gt;0,C8/C6,0)</f>
        <v>0.0892450222272031</v>
      </c>
      <c r="D9" s="59" t="n">
        <f aca="false">IF(D6&gt;0,D8/D6,0)</f>
        <v>0.0880318573831675</v>
      </c>
      <c r="E9" s="59" t="n">
        <f aca="false">IF(E6&gt;0,E8/E6,0)</f>
        <v>0.0984603390672514</v>
      </c>
      <c r="F9" s="59" t="n">
        <f aca="false">IF(F6&gt;0,F8/F6,0)</f>
        <v>0.103952537503696</v>
      </c>
      <c r="G9" s="59" t="n">
        <f aca="false">IF(G6&gt;0,G8/G6,0)</f>
        <v>0.106063595363869</v>
      </c>
    </row>
    <row r="10" customFormat="false" ht="15" hidden="false" customHeight="false" outlineLevel="0" collapsed="false">
      <c r="A10" s="7" t="s">
        <v>721</v>
      </c>
      <c r="B10" s="8" t="s">
        <v>11</v>
      </c>
      <c r="C10" s="61" t="n">
        <f aca="false">-Custos!C96</f>
        <v>-15341.8580821918</v>
      </c>
      <c r="D10" s="61" t="n">
        <f aca="false">-Custos!D96</f>
        <v>-104130.783209393</v>
      </c>
      <c r="E10" s="61" t="n">
        <f aca="false">-Custos!E96</f>
        <v>-242146.261409002</v>
      </c>
      <c r="F10" s="61" t="n">
        <f aca="false">-Custos!F96</f>
        <v>-433558.333502936</v>
      </c>
      <c r="G10" s="61" t="n">
        <f aca="false">-Custos!G96</f>
        <v>-668872.547162427</v>
      </c>
    </row>
    <row r="11" customFormat="false" ht="15" hidden="false" customHeight="false" outlineLevel="0" collapsed="false">
      <c r="A11" s="7" t="s">
        <v>698</v>
      </c>
      <c r="B11" s="8" t="s">
        <v>11</v>
      </c>
      <c r="C11" s="61" t="n">
        <f aca="false">-Custos!C99</f>
        <v>-0</v>
      </c>
      <c r="D11" s="61" t="n">
        <f aca="false">-Custos!D99</f>
        <v>-23317.0273972603</v>
      </c>
      <c r="E11" s="61" t="n">
        <f aca="false">-Custos!E99</f>
        <v>-38771.0637842466</v>
      </c>
      <c r="F11" s="61" t="n">
        <f aca="false">-Custos!F99</f>
        <v>-62547.834760274</v>
      </c>
      <c r="G11" s="61" t="n">
        <f aca="false">-Custos!G99</f>
        <v>-95536.1558219178</v>
      </c>
    </row>
    <row r="12" customFormat="false" ht="15" hidden="false" customHeight="false" outlineLevel="0" collapsed="false">
      <c r="A12" s="56" t="s">
        <v>677</v>
      </c>
      <c r="B12" s="57" t="s">
        <v>11</v>
      </c>
      <c r="C12" s="62" t="n">
        <f aca="false">C8+C10+C11</f>
        <v>8548.14191780822</v>
      </c>
      <c r="D12" s="62" t="n">
        <f aca="false">D8+D10+D11</f>
        <v>29287.1893933461</v>
      </c>
      <c r="E12" s="62" t="n">
        <f aca="false">E8+E10+E11</f>
        <v>119437.674806751</v>
      </c>
      <c r="F12" s="62" t="n">
        <f aca="false">F8+F10+F11</f>
        <v>236998.831736791</v>
      </c>
      <c r="G12" s="62" t="n">
        <f aca="false">G8+G10+G11</f>
        <v>380661.297015656</v>
      </c>
    </row>
    <row r="13" customFormat="false" ht="15" hidden="false" customHeight="false" outlineLevel="0" collapsed="false">
      <c r="A13" s="7" t="s">
        <v>261</v>
      </c>
      <c r="B13" s="8" t="s">
        <v>11</v>
      </c>
      <c r="C13" s="61" t="n">
        <f aca="false">-Pessoal!C36</f>
        <v>-400885.59375</v>
      </c>
      <c r="D13" s="61" t="n">
        <f aca="false">-Pessoal!D36</f>
        <v>-508017.8875</v>
      </c>
      <c r="E13" s="61" t="n">
        <f aca="false">-Pessoal!E36</f>
        <v>-667701.28525</v>
      </c>
      <c r="F13" s="61" t="n">
        <f aca="false">-Pessoal!F36</f>
        <v>-855745.92960125</v>
      </c>
      <c r="G13" s="61" t="n">
        <f aca="false">-Pessoal!G36</f>
        <v>-1042442.03916396</v>
      </c>
    </row>
    <row r="14" customFormat="false" ht="15" hidden="false" customHeight="false" outlineLevel="0" collapsed="false">
      <c r="A14" s="7" t="s">
        <v>722</v>
      </c>
      <c r="B14" s="8" t="s">
        <v>11</v>
      </c>
      <c r="C14" s="61" t="n">
        <f aca="false">-Custos!C116</f>
        <v>-319100</v>
      </c>
      <c r="D14" s="61" t="n">
        <f aca="false">-Custos!D116</f>
        <v>-322682.78</v>
      </c>
      <c r="E14" s="61" t="n">
        <f aca="false">-Custos!E116</f>
        <v>-421646.38</v>
      </c>
      <c r="F14" s="61" t="n">
        <f aca="false">-Custos!F116</f>
        <v>-475409.1624</v>
      </c>
      <c r="G14" s="61" t="n">
        <f aca="false">-Custos!G116</f>
        <v>-558195.154448</v>
      </c>
    </row>
    <row r="15" customFormat="false" ht="15" hidden="false" customHeight="false" outlineLevel="0" collapsed="false">
      <c r="A15" s="56" t="s">
        <v>723</v>
      </c>
      <c r="B15" s="57" t="s">
        <v>11</v>
      </c>
      <c r="C15" s="62" t="n">
        <f aca="false">C12+C13+C14</f>
        <v>-711437.451832192</v>
      </c>
      <c r="D15" s="62" t="n">
        <f aca="false">D12+D13+D14</f>
        <v>-801413.478106654</v>
      </c>
      <c r="E15" s="62" t="n">
        <f aca="false">E12+E13+E14</f>
        <v>-969909.990443249</v>
      </c>
      <c r="F15" s="62" t="n">
        <f aca="false">F12+F13+F14</f>
        <v>-1094156.26026446</v>
      </c>
      <c r="G15" s="62" t="n">
        <f aca="false">G12+G13+G14</f>
        <v>-1219975.89659631</v>
      </c>
      <c r="H15" s="2" t="s">
        <v>724</v>
      </c>
    </row>
    <row r="16" customFormat="false" ht="15" hidden="false" customHeight="false" outlineLevel="0" collapsed="false">
      <c r="A16" s="2" t="s">
        <v>725</v>
      </c>
      <c r="B16" s="8" t="s">
        <v>76</v>
      </c>
      <c r="C16" s="59" t="n">
        <f aca="false">IF(C6&gt;0,C15/C6,0)</f>
        <v>-2.65769155303594</v>
      </c>
      <c r="D16" s="59" t="n">
        <f aca="false">IF(D6&gt;0,D15/D6,0)</f>
        <v>-0.450122289275741</v>
      </c>
      <c r="E16" s="59" t="n">
        <f aca="false">IF(E6&gt;0,E15/E6,0)</f>
        <v>-0.238532468743383</v>
      </c>
      <c r="F16" s="59" t="n">
        <f aca="false">IF(F6&gt;0,F15/F6,0)</f>
        <v>-0.155148743604319</v>
      </c>
      <c r="G16" s="59" t="n">
        <f aca="false">IF(G6&gt;0,G15/G6,0)</f>
        <v>-0.113001851284431</v>
      </c>
    </row>
    <row r="17" customFormat="false" ht="15" hidden="false" customHeight="false" outlineLevel="0" collapsed="false">
      <c r="A17" s="2" t="s">
        <v>726</v>
      </c>
      <c r="B17" s="8" t="s">
        <v>11</v>
      </c>
      <c r="C17" s="61" t="n">
        <f aca="false">C15+Custos!C99</f>
        <v>-711437.451832192</v>
      </c>
      <c r="D17" s="61" t="n">
        <f aca="false">D15+Custos!D99</f>
        <v>-778096.450709394</v>
      </c>
      <c r="E17" s="61" t="n">
        <f aca="false">E15+Custos!E99</f>
        <v>-931138.926659002</v>
      </c>
      <c r="F17" s="61" t="n">
        <f aca="false">F15+Custos!F99</f>
        <v>-1031608.42550419</v>
      </c>
      <c r="G17" s="61" t="n">
        <f aca="false">G15+Custos!G99</f>
        <v>-1124439.74077439</v>
      </c>
    </row>
    <row r="18" customFormat="false" ht="15" hidden="false" customHeight="false" outlineLevel="0" collapsed="false">
      <c r="A18" s="7" t="s">
        <v>714</v>
      </c>
      <c r="B18" s="8" t="s">
        <v>11</v>
      </c>
      <c r="C18" s="61" t="n">
        <f aca="false">-Custos!C128</f>
        <v>-27100</v>
      </c>
      <c r="D18" s="61" t="n">
        <f aca="false">-Custos!D128</f>
        <v>-40000</v>
      </c>
      <c r="E18" s="61" t="n">
        <f aca="false">-Custos!E128</f>
        <v>-53900</v>
      </c>
      <c r="F18" s="61" t="n">
        <f aca="false">-Custos!F128</f>
        <v>-44466.6666666667</v>
      </c>
      <c r="G18" s="61" t="n">
        <f aca="false">-Custos!G128</f>
        <v>-41533.3333333333</v>
      </c>
    </row>
    <row r="19" customFormat="false" ht="15" hidden="false" customHeight="false" outlineLevel="0" collapsed="false">
      <c r="A19" s="56" t="s">
        <v>727</v>
      </c>
      <c r="B19" s="57" t="s">
        <v>11</v>
      </c>
      <c r="C19" s="62" t="n">
        <f aca="false">C15+C18</f>
        <v>-738537.451832192</v>
      </c>
      <c r="D19" s="62" t="n">
        <f aca="false">D15+D18</f>
        <v>-841413.478106654</v>
      </c>
      <c r="E19" s="62" t="n">
        <f aca="false">E15+E18</f>
        <v>-1023809.99044325</v>
      </c>
      <c r="F19" s="62" t="n">
        <f aca="false">F15+F18</f>
        <v>-1138622.92693113</v>
      </c>
      <c r="G19" s="62" t="n">
        <f aca="false">G15+G18</f>
        <v>-1261509.22992964</v>
      </c>
    </row>
    <row r="21" customFormat="false" ht="15" hidden="false" customHeight="false" outlineLevel="0" collapsed="false">
      <c r="A21" s="3" t="s">
        <v>728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729</v>
      </c>
      <c r="B22" s="8" t="s">
        <v>11</v>
      </c>
      <c r="C22" s="61" t="n">
        <f aca="false">C19</f>
        <v>-738537.451832192</v>
      </c>
      <c r="D22" s="61" t="n">
        <f aca="false">D19</f>
        <v>-841413.478106654</v>
      </c>
      <c r="E22" s="61" t="n">
        <f aca="false">E19</f>
        <v>-1023809.99044325</v>
      </c>
      <c r="F22" s="61" t="n">
        <f aca="false">F19</f>
        <v>-1138622.92693113</v>
      </c>
      <c r="G22" s="61" t="n">
        <f aca="false">G19</f>
        <v>-1261509.22992964</v>
      </c>
    </row>
    <row r="23" customFormat="false" ht="15" hidden="false" customHeight="false" outlineLevel="0" collapsed="false">
      <c r="A23" s="7" t="s">
        <v>730</v>
      </c>
      <c r="B23" s="8" t="s">
        <v>11</v>
      </c>
      <c r="C23" s="61" t="n">
        <f aca="false">0</f>
        <v>0</v>
      </c>
      <c r="D23" s="61" t="n">
        <f aca="false">C26</f>
        <v>738537.451832192</v>
      </c>
      <c r="E23" s="61" t="n">
        <f aca="false">D26</f>
        <v>1579950.92993885</v>
      </c>
      <c r="F23" s="61" t="n">
        <f aca="false">E26</f>
        <v>2603760.92038209</v>
      </c>
      <c r="G23" s="61" t="n">
        <f aca="false">F26</f>
        <v>3742383.84731322</v>
      </c>
    </row>
    <row r="24" customFormat="false" ht="15" hidden="false" customHeight="false" outlineLevel="0" collapsed="false">
      <c r="A24" s="7" t="s">
        <v>731</v>
      </c>
      <c r="B24" s="8" t="s">
        <v>11</v>
      </c>
      <c r="C24" s="61" t="n">
        <f aca="false">MAX(0,-C22)</f>
        <v>738537.451832192</v>
      </c>
      <c r="D24" s="61" t="n">
        <f aca="false">MAX(0,-D22)</f>
        <v>841413.478106654</v>
      </c>
      <c r="E24" s="61" t="n">
        <f aca="false">MAX(0,-E22)</f>
        <v>1023809.99044325</v>
      </c>
      <c r="F24" s="61" t="n">
        <f aca="false">MAX(0,-F22)</f>
        <v>1138622.92693113</v>
      </c>
      <c r="G24" s="61" t="n">
        <f aca="false">MAX(0,-G22)</f>
        <v>1261509.22992964</v>
      </c>
    </row>
    <row r="25" customFormat="false" ht="15" hidden="false" customHeight="false" outlineLevel="0" collapsed="false">
      <c r="A25" s="7" t="s">
        <v>732</v>
      </c>
      <c r="B25" s="8" t="s">
        <v>11</v>
      </c>
      <c r="C25" s="61" t="n">
        <f aca="false">MIN(C23,Pressupostos!$C$181*MAX(0,C22))</f>
        <v>0</v>
      </c>
      <c r="D25" s="61" t="n">
        <f aca="false">MIN(D23,Pressupostos!$C$181*MAX(0,D22))</f>
        <v>0</v>
      </c>
      <c r="E25" s="61" t="n">
        <f aca="false">MIN(E23,Pressupostos!$C$181*MAX(0,E22))</f>
        <v>0</v>
      </c>
      <c r="F25" s="61" t="n">
        <f aca="false">MIN(F23,Pressupostos!$C$181*MAX(0,F22))</f>
        <v>0</v>
      </c>
      <c r="G25" s="61" t="n">
        <f aca="false">MIN(G23,Pressupostos!$C$181*MAX(0,G22))</f>
        <v>0</v>
      </c>
    </row>
    <row r="26" customFormat="false" ht="15" hidden="false" customHeight="false" outlineLevel="0" collapsed="false">
      <c r="A26" s="7" t="s">
        <v>733</v>
      </c>
      <c r="B26" s="8" t="s">
        <v>11</v>
      </c>
      <c r="C26" s="61" t="n">
        <f aca="false">C23+C24-C25</f>
        <v>738537.451832192</v>
      </c>
      <c r="D26" s="61" t="n">
        <f aca="false">D23+D24-D25</f>
        <v>1579950.92993885</v>
      </c>
      <c r="E26" s="61" t="n">
        <f aca="false">E23+E24-E25</f>
        <v>2603760.92038209</v>
      </c>
      <c r="F26" s="61" t="n">
        <f aca="false">F23+F24-F25</f>
        <v>3742383.84731322</v>
      </c>
      <c r="G26" s="61" t="n">
        <f aca="false">G23+G24-G25</f>
        <v>5003893.07724286</v>
      </c>
    </row>
    <row r="27" customFormat="false" ht="15" hidden="false" customHeight="false" outlineLevel="0" collapsed="false">
      <c r="A27" s="7" t="s">
        <v>734</v>
      </c>
      <c r="B27" s="8" t="s">
        <v>11</v>
      </c>
      <c r="C27" s="61" t="n">
        <f aca="false">MAX(0,C22)-C25</f>
        <v>0</v>
      </c>
      <c r="D27" s="61" t="n">
        <f aca="false">MAX(0,D22)-D25</f>
        <v>0</v>
      </c>
      <c r="E27" s="61" t="n">
        <f aca="false">MAX(0,E22)-E25</f>
        <v>0</v>
      </c>
      <c r="F27" s="61" t="n">
        <f aca="false">MAX(0,F22)-F25</f>
        <v>0</v>
      </c>
      <c r="G27" s="61" t="n">
        <f aca="false">MAX(0,G22)-G25</f>
        <v>0</v>
      </c>
    </row>
    <row r="28" customFormat="false" ht="15" hidden="false" customHeight="false" outlineLevel="0" collapsed="false">
      <c r="A28" s="7" t="s">
        <v>735</v>
      </c>
      <c r="B28" s="8" t="s">
        <v>11</v>
      </c>
      <c r="C28" s="61" t="n">
        <f aca="false">Pressupostos!$C$172*MIN(C27,Pressupostos!$C$173)+Pressupostos!$C$467*MAX(0,C27-Pressupostos!$C$173)</f>
        <v>0</v>
      </c>
      <c r="D28" s="61" t="n">
        <f aca="false">Pressupostos!$C$172*MIN(D27,Pressupostos!$C$173)+Pressupostos!$D$467*MAX(0,D27-Pressupostos!$C$173)</f>
        <v>0</v>
      </c>
      <c r="E28" s="61" t="n">
        <f aca="false">Pressupostos!$C$172*MIN(E27,Pressupostos!$C$173)+Pressupostos!$E$467*MAX(0,E27-Pressupostos!$C$173)</f>
        <v>0</v>
      </c>
      <c r="F28" s="61" t="n">
        <f aca="false">Pressupostos!$C$172*MIN(F27,Pressupostos!$C$173)+Pressupostos!$F$467*MAX(0,F27-Pressupostos!$C$173)</f>
        <v>0</v>
      </c>
      <c r="G28" s="61" t="n">
        <f aca="false">Pressupostos!$C$172*MIN(G27,Pressupostos!$C$173)+Pressupostos!$G$467*MAX(0,G27-Pressupostos!$C$173)</f>
        <v>0</v>
      </c>
    </row>
    <row r="29" customFormat="false" ht="15" hidden="false" customHeight="false" outlineLevel="0" collapsed="false">
      <c r="A29" s="7" t="s">
        <v>736</v>
      </c>
      <c r="B29" s="8" t="s">
        <v>11</v>
      </c>
      <c r="C29" s="61" t="n">
        <f aca="false">Pressupostos!$C$174*MAX(0,C22)</f>
        <v>0</v>
      </c>
      <c r="D29" s="61" t="n">
        <f aca="false">Pressupostos!$C$174*MAX(0,D22)</f>
        <v>0</v>
      </c>
      <c r="E29" s="61" t="n">
        <f aca="false">Pressupostos!$C$174*MAX(0,E22)</f>
        <v>0</v>
      </c>
      <c r="F29" s="61" t="n">
        <f aca="false">Pressupostos!$C$174*MAX(0,F22)</f>
        <v>0</v>
      </c>
      <c r="G29" s="61" t="n">
        <f aca="false">Pressupostos!$C$174*MAX(0,G22)</f>
        <v>0</v>
      </c>
    </row>
    <row r="30" customFormat="false" ht="15" hidden="false" customHeight="false" outlineLevel="0" collapsed="false">
      <c r="A30" s="7" t="s">
        <v>737</v>
      </c>
      <c r="B30" s="8" t="s">
        <v>11</v>
      </c>
      <c r="C30" s="61" t="n">
        <f aca="false">Pressupostos!$C$176*MAX(0,MIN(C22,Pressupostos!$C$177)-Pressupostos!$C$175)+Pressupostos!$C$178*MAX(0,MIN(C22,Pressupostos!$C$179)-Pressupostos!$C$177)+Pressupostos!$C$180*MAX(0,C22-Pressupostos!$C$179)</f>
        <v>0</v>
      </c>
      <c r="D30" s="61" t="n">
        <f aca="false">Pressupostos!$C$176*MAX(0,MIN(D22,Pressupostos!$C$177)-Pressupostos!$C$175)+Pressupostos!$C$178*MAX(0,MIN(D22,Pressupostos!$C$179)-Pressupostos!$C$177)+Pressupostos!$C$180*MAX(0,D22-Pressupostos!$C$179)</f>
        <v>0</v>
      </c>
      <c r="E30" s="61" t="n">
        <f aca="false">Pressupostos!$C$176*MAX(0,MIN(E22,Pressupostos!$C$177)-Pressupostos!$C$175)+Pressupostos!$C$178*MAX(0,MIN(E22,Pressupostos!$C$179)-Pressupostos!$C$177)+Pressupostos!$C$180*MAX(0,E22-Pressupostos!$C$179)</f>
        <v>0</v>
      </c>
      <c r="F30" s="61" t="n">
        <f aca="false">Pressupostos!$C$176*MAX(0,MIN(F22,Pressupostos!$C$177)-Pressupostos!$C$175)+Pressupostos!$C$178*MAX(0,MIN(F22,Pressupostos!$C$179)-Pressupostos!$C$177)+Pressupostos!$C$180*MAX(0,F22-Pressupostos!$C$179)</f>
        <v>0</v>
      </c>
      <c r="G30" s="61" t="n">
        <f aca="false">Pressupostos!$C$176*MAX(0,MIN(G22,Pressupostos!$C$177)-Pressupostos!$C$175)+Pressupostos!$C$178*MAX(0,MIN(G22,Pressupostos!$C$179)-Pressupostos!$C$177)+Pressupostos!$C$180*MAX(0,G22-Pressupostos!$C$179)</f>
        <v>0</v>
      </c>
    </row>
    <row r="31" customFormat="false" ht="15" hidden="false" customHeight="false" outlineLevel="0" collapsed="false">
      <c r="A31" s="7" t="s">
        <v>738</v>
      </c>
      <c r="B31" s="8" t="s">
        <v>11</v>
      </c>
      <c r="C31" s="61" t="n">
        <f aca="false">C28+C29+C30</f>
        <v>0</v>
      </c>
      <c r="D31" s="61" t="n">
        <f aca="false">D28+D29+D30</f>
        <v>0</v>
      </c>
      <c r="E31" s="61" t="n">
        <f aca="false">E28+E29+E30</f>
        <v>0</v>
      </c>
      <c r="F31" s="61" t="n">
        <f aca="false">F28+F29+F30</f>
        <v>0</v>
      </c>
      <c r="G31" s="61" t="n">
        <f aca="false">G28+G29+G30</f>
        <v>0</v>
      </c>
    </row>
    <row r="33" customFormat="false" ht="15" hidden="false" customHeight="false" outlineLevel="0" collapsed="false">
      <c r="A33" s="3" t="s">
        <v>739</v>
      </c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7" t="s">
        <v>738</v>
      </c>
      <c r="B34" s="8" t="s">
        <v>11</v>
      </c>
      <c r="C34" s="61" t="n">
        <f aca="false">-C31</f>
        <v>-0</v>
      </c>
      <c r="D34" s="61" t="n">
        <f aca="false">-D31</f>
        <v>-0</v>
      </c>
      <c r="E34" s="61" t="n">
        <f aca="false">-E31</f>
        <v>-0</v>
      </c>
      <c r="F34" s="61" t="n">
        <f aca="false">-F31</f>
        <v>-0</v>
      </c>
      <c r="G34" s="61" t="n">
        <f aca="false">-G31</f>
        <v>-0</v>
      </c>
    </row>
    <row r="35" customFormat="false" ht="15" hidden="false" customHeight="false" outlineLevel="0" collapsed="false">
      <c r="A35" s="56" t="s">
        <v>740</v>
      </c>
      <c r="B35" s="57" t="s">
        <v>11</v>
      </c>
      <c r="C35" s="62" t="n">
        <f aca="false">C19+C34</f>
        <v>-738537.451832192</v>
      </c>
      <c r="D35" s="62" t="n">
        <f aca="false">D19+D34</f>
        <v>-841413.478106654</v>
      </c>
      <c r="E35" s="62" t="n">
        <f aca="false">E19+E34</f>
        <v>-1023809.99044325</v>
      </c>
      <c r="F35" s="62" t="n">
        <f aca="false">F19+F34</f>
        <v>-1138622.92693113</v>
      </c>
      <c r="G35" s="62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741</v>
      </c>
    </row>
    <row r="2" customFormat="false" ht="15" hidden="false" customHeight="false" outlineLevel="0" collapsed="false">
      <c r="A2" s="2" t="s">
        <v>742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743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744</v>
      </c>
      <c r="B6" s="8" t="s">
        <v>11</v>
      </c>
      <c r="C6" s="61" t="n">
        <f aca="false">Volumes!C10*1000*((Custos!C6+Custos!C9)*Custos!C12/365)+Volumes!C11*1000*((Custos!C30+Custos!C33)*Custos!C36/365)+Volumes!C13*1000*((Custos!C54+Custos!C57)*Custos!C60/365)</f>
        <v>33682.1917808219</v>
      </c>
      <c r="D6" s="61" t="n">
        <f aca="false">Volumes!D10*1000*((Custos!D6+Custos!D9)*Custos!D12/365)+Volumes!D11*1000*((Custos!D30+Custos!D33)*Custos!D36/365)+Volumes!D13*1000*((Custos!D54+Custos!D57)*Custos!D60/365)</f>
        <v>196557.534246575</v>
      </c>
      <c r="E6" s="61" t="n">
        <f aca="false">Volumes!E10*1000*((Custos!E6+Custos!E9)*Custos!E12/365)+Volumes!E11*1000*((Custos!E30+Custos!E33)*Custos!E36/365)+Volumes!E13*1000*((Custos!E54+Custos!E57)*Custos!E60/365)</f>
        <v>306721.232876712</v>
      </c>
      <c r="F6" s="61" t="n">
        <f aca="false">Volumes!F10*1000*((Custos!F6+Custos!F9)*Custos!F12/365)+Volumes!F11*1000*((Custos!F30+Custos!F33)*Custos!F36/365)+Volumes!F13*1000*((Custos!F54+Custos!F57)*Custos!F60/365)</f>
        <v>530402.054794521</v>
      </c>
      <c r="G6" s="61" t="n">
        <f aca="false">Volumes!G10*1000*((Custos!G6+Custos!G9)*Custos!G12/365)+Volumes!G11*1000*((Custos!G30+Custos!G33)*Custos!G36/365)+Volumes!G13*1000*((Custos!G54+Custos!G57)*Custos!G60/365)</f>
        <v>805623.287671233</v>
      </c>
    </row>
    <row r="7" customFormat="false" ht="15" hidden="false" customHeight="false" outlineLevel="0" collapsed="false">
      <c r="A7" s="7" t="s">
        <v>745</v>
      </c>
      <c r="B7" s="8" t="s">
        <v>11</v>
      </c>
      <c r="C7" s="61" t="n">
        <f aca="false">C6+Volumes!C25*1000*Pressupostos!$C$92*Pressupostos!$C$95/365</f>
        <v>33682.1917808219</v>
      </c>
      <c r="D7" s="61" t="n">
        <f aca="false">D6+Volumes!D25*1000*Pressupostos!$C$92*Pressupostos!$C$95/365</f>
        <v>196557.534246575</v>
      </c>
      <c r="E7" s="61" t="n">
        <f aca="false">E6+Volumes!E25*1000*Pressupostos!$C$92*Pressupostos!$C$95/365</f>
        <v>332611.643835617</v>
      </c>
      <c r="F7" s="61" t="n">
        <f aca="false">F6+Volumes!F25*1000*Pressupostos!$C$92*Pressupostos!$C$95/365</f>
        <v>582182.876712329</v>
      </c>
      <c r="G7" s="61" t="n">
        <f aca="false">G6+Volumes!G25*1000*Pressupostos!$C$92*Pressupostos!$C$95/365</f>
        <v>891924.657534247</v>
      </c>
    </row>
    <row r="8" customFormat="false" ht="15" hidden="false" customHeight="false" outlineLevel="0" collapsed="false">
      <c r="A8" s="7" t="s">
        <v>746</v>
      </c>
      <c r="B8" s="8" t="s">
        <v>11</v>
      </c>
      <c r="C8" s="61" t="n">
        <f aca="false">Volumes!C10*1000*(Custos!C8*Custos!C13/365)+Volumes!C11*1000*(Custos!C32*Custos!C37/365)+Volumes!C13*1000*(Custos!C56*Custos!C61/365)+Receitas!C10*Pressupostos!$C$96/365+(Receitas!C12+Receitas!C13)*Pressupostos!$C$82/365</f>
        <v>31855.0684931507</v>
      </c>
      <c r="D8" s="61" t="n">
        <f aca="false">Volumes!D10*1000*(Custos!D8*Custos!D13/365)+Volumes!D11*1000*(Custos!D32*Custos!D37/365)+Volumes!D13*1000*(Custos!D56*Custos!D61/365)+Receitas!D10*Pressupostos!$C$96/365+(Receitas!D12+Receitas!D13)*Pressupostos!$C$82/365</f>
        <v>212985</v>
      </c>
      <c r="E8" s="61" t="n">
        <f aca="false">Volumes!E10*1000*(Custos!E8*Custos!E13/365)+Volumes!E11*1000*(Custos!E32*Custos!E37/365)+Volumes!E13*1000*(Custos!E56*Custos!E61/365)+Receitas!E10*Pressupostos!$C$96/365+(Receitas!E12+Receitas!E13)*Pressupostos!$C$82/365</f>
        <v>469179.246575342</v>
      </c>
      <c r="F8" s="61" t="n">
        <f aca="false">Volumes!F10*1000*(Custos!F8*Custos!F13/365)+Volumes!F11*1000*(Custos!F32*Custos!F37/365)+Volumes!F13*1000*(Custos!F56*Custos!F61/365)+Receitas!F10*Pressupostos!$C$96/365+(Receitas!F12+Receitas!F13)*Pressupostos!$C$82/365</f>
        <v>803968.150684931</v>
      </c>
      <c r="G8" s="61" t="n">
        <f aca="false">Volumes!G10*1000*(Custos!G8*Custos!G13/365)+Volumes!G11*1000*(Custos!G32*Custos!G37/365)+Volumes!G13*1000*(Custos!G56*Custos!G61/365)+Receitas!G10*Pressupostos!$C$96/365+(Receitas!G12+Receitas!G13)*Pressupostos!$C$82/365</f>
        <v>1225216.02739726</v>
      </c>
    </row>
    <row r="9" customFormat="false" ht="15" hidden="false" customHeight="false" outlineLevel="0" collapsed="false">
      <c r="A9" s="7" t="s">
        <v>747</v>
      </c>
      <c r="B9" s="8" t="s">
        <v>11</v>
      </c>
      <c r="C9" s="61" t="n">
        <f aca="false">Volumes!C10*1000*((Custos!C6+Custos!C9)*Pressupostos!$C$72/365)+Volumes!C11*1000*((Custos!C30+Custos!C33)*Pressupostos!$C$72/365)+Volumes!C13*1000*((Custos!C54+Custos!C57)*Pressupostos!$C$72/365)+Volumes!C25*1000*Pressupostos!$C$92*Pressupostos!$C$97/365</f>
        <v>20038.3561643836</v>
      </c>
      <c r="D9" s="61" t="n">
        <f aca="false">Volumes!D10*1000*((Custos!D6+Custos!D9)*Pressupostos!$C$72/365)+Volumes!D11*1000*((Custos!D30+Custos!D33)*Pressupostos!$C$72/365)+Volumes!D13*1000*((Custos!D54+Custos!D57)*Pressupostos!$C$72/365)+Volumes!D25*1000*Pressupostos!$C$92*Pressupostos!$C$97/365</f>
        <v>133454.794520548</v>
      </c>
      <c r="E9" s="61" t="n">
        <f aca="false">Volumes!E10*1000*((Custos!E6+Custos!E9)*Pressupostos!$C$72/365)+Volumes!E11*1000*((Custos!E30+Custos!E33)*Pressupostos!$C$72/365)+Volumes!E13*1000*((Custos!E54+Custos!E57)*Pressupostos!$C$72/365)+Volumes!E25*1000*Pressupostos!$C$92*Pressupostos!$C$97/365</f>
        <v>301298.630136986</v>
      </c>
      <c r="F9" s="61" t="n">
        <f aca="false">Volumes!F10*1000*((Custos!F6+Custos!F9)*Pressupostos!$C$72/365)+Volumes!F11*1000*((Custos!F30+Custos!F33)*Pressupostos!$C$72/365)+Volumes!F13*1000*((Custos!F54+Custos!F57)*Pressupostos!$C$72/365)+Volumes!F25*1000*Pressupostos!$C$92*Pressupostos!$C$97/365</f>
        <v>519386.301369863</v>
      </c>
      <c r="G9" s="61" t="n">
        <f aca="false">Volumes!G10*1000*((Custos!G6+Custos!G9)*Pressupostos!$C$72/365)+Volumes!G11*1000*((Custos!G30+Custos!G33)*Pressupostos!$C$72/365)+Volumes!G13*1000*((Custos!G54+Custos!G57)*Pressupostos!$C$72/365)+Volumes!G25*1000*Pressupostos!$C$92*Pressupostos!$C$97/365</f>
        <v>793232.876712329</v>
      </c>
    </row>
    <row r="10" customFormat="false" ht="15" hidden="false" customHeight="false" outlineLevel="0" collapsed="false">
      <c r="A10" s="56" t="s">
        <v>748</v>
      </c>
      <c r="B10" s="57" t="s">
        <v>11</v>
      </c>
      <c r="C10" s="62" t="n">
        <f aca="false">C7+C8-C9</f>
        <v>45498.904109589</v>
      </c>
      <c r="D10" s="62" t="n">
        <f aca="false">D7+D8-D9</f>
        <v>276087.739726027</v>
      </c>
      <c r="E10" s="62" t="n">
        <f aca="false">E7+E8-E9</f>
        <v>500492.260273972</v>
      </c>
      <c r="F10" s="62" t="n">
        <f aca="false">F7+F8-F9</f>
        <v>866764.726027397</v>
      </c>
      <c r="G10" s="62" t="n">
        <f aca="false">G7+G8-G9</f>
        <v>1323907.80821918</v>
      </c>
    </row>
    <row r="12" customFormat="false" ht="15" hidden="false" customHeight="false" outlineLevel="0" collapsed="false">
      <c r="A12" s="3" t="s">
        <v>749</v>
      </c>
      <c r="B12" s="4"/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56" t="s">
        <v>750</v>
      </c>
      <c r="B13" s="57" t="s">
        <v>11</v>
      </c>
      <c r="C13" s="62" t="n">
        <f aca="false">Pressupostos!$C$285*C10/Pressupostos!$G$31</f>
        <v>0</v>
      </c>
      <c r="D13" s="62" t="n">
        <f aca="false">Pressupostos!$D$285*D10/Pressupostos!$G$31</f>
        <v>310598.707191781</v>
      </c>
      <c r="E13" s="62" t="n">
        <f aca="false">Pressupostos!$E$285*E10/Pressupostos!$G$31</f>
        <v>563053.792808219</v>
      </c>
      <c r="F13" s="62" t="n">
        <f aca="false">Pressupostos!$F$285*F10/Pressupostos!$G$31</f>
        <v>975110.316780822</v>
      </c>
      <c r="G13" s="62" t="n">
        <f aca="false">Pressupostos!$G$285*G10/Pressupostos!$G$31</f>
        <v>1489396.28424658</v>
      </c>
    </row>
    <row r="14" customFormat="false" ht="15" hidden="false" customHeight="false" outlineLevel="0" collapsed="false">
      <c r="A14" s="7" t="s">
        <v>751</v>
      </c>
      <c r="B14" s="8" t="s">
        <v>11</v>
      </c>
      <c r="C14" s="61" t="n">
        <f aca="false">Pressupostos!$C$285*C10</f>
        <v>0</v>
      </c>
      <c r="D14" s="61" t="n">
        <f aca="false">Pressupostos!$D$285*D10</f>
        <v>248478.965753425</v>
      </c>
      <c r="E14" s="61" t="n">
        <f aca="false">Pressupostos!$E$285*E10</f>
        <v>450443.034246575</v>
      </c>
      <c r="F14" s="61" t="n">
        <f aca="false">Pressupostos!$F$285*F10</f>
        <v>780088.253424658</v>
      </c>
      <c r="G14" s="61" t="n">
        <f aca="false">Pressupostos!$G$285*G10</f>
        <v>1191517.02739726</v>
      </c>
    </row>
    <row r="15" customFormat="false" ht="15" hidden="false" customHeight="false" outlineLevel="0" collapsed="false">
      <c r="A15" s="7" t="s">
        <v>752</v>
      </c>
      <c r="B15" s="8" t="s">
        <v>11</v>
      </c>
      <c r="C15" s="61" t="n">
        <f aca="false">C13-C14</f>
        <v>0</v>
      </c>
      <c r="D15" s="61" t="n">
        <f aca="false">D13-D14</f>
        <v>62119.7414383561</v>
      </c>
      <c r="E15" s="61" t="n">
        <f aca="false">E13-E14</f>
        <v>112610.758561644</v>
      </c>
      <c r="F15" s="61" t="n">
        <f aca="false">F13-F14</f>
        <v>195022.063356164</v>
      </c>
      <c r="G15" s="61" t="n">
        <f aca="false">G13-G14</f>
        <v>297879.256849315</v>
      </c>
    </row>
    <row r="16" customFormat="false" ht="15" hidden="false" customHeight="false" outlineLevel="0" collapsed="false">
      <c r="A16" s="7" t="s">
        <v>753</v>
      </c>
      <c r="B16" s="8" t="s">
        <v>11</v>
      </c>
      <c r="C16" s="61" t="n">
        <f aca="false">C10-C14</f>
        <v>45498.904109589</v>
      </c>
      <c r="D16" s="61" t="n">
        <f aca="false">D10-D14</f>
        <v>27608.7739726027</v>
      </c>
      <c r="E16" s="61" t="n">
        <f aca="false">E10-E14</f>
        <v>50049.2260273973</v>
      </c>
      <c r="F16" s="61" t="n">
        <f aca="false">F10-F14</f>
        <v>86676.4726027397</v>
      </c>
      <c r="G16" s="61" t="n">
        <f aca="false">G10-G14</f>
        <v>132390.780821918</v>
      </c>
    </row>
    <row r="17" customFormat="false" ht="15" hidden="false" customHeight="false" outlineLevel="0" collapsed="false">
      <c r="A17" s="7" t="s">
        <v>754</v>
      </c>
      <c r="B17" s="8" t="s">
        <v>11</v>
      </c>
      <c r="C17" s="61" t="n">
        <f aca="false">MAX(0,Pressupostos!$C$108-C16)</f>
        <v>4501.09589041097</v>
      </c>
      <c r="D17" s="61" t="n">
        <f aca="false">MAX(0,Pressupostos!$C$108-D16)</f>
        <v>22391.2260273973</v>
      </c>
      <c r="E17" s="61" t="n">
        <f aca="false">MAX(0,Pressupostos!$C$108-E16)</f>
        <v>0</v>
      </c>
      <c r="F17" s="61" t="n">
        <f aca="false">MAX(0,Pressupostos!$C$108-F16)</f>
        <v>0</v>
      </c>
      <c r="G17" s="61" t="n">
        <f aca="false">MAX(0,Pressupostos!$C$108-G16)</f>
        <v>0</v>
      </c>
    </row>
    <row r="18" customFormat="false" ht="15" hidden="false" customHeight="false" outlineLevel="0" collapsed="false">
      <c r="A18" s="7" t="s">
        <v>755</v>
      </c>
      <c r="B18" s="8" t="s">
        <v>11</v>
      </c>
      <c r="C18" s="61" t="n">
        <f aca="false">Pressupostos!$C$109*C13</f>
        <v>0</v>
      </c>
      <c r="D18" s="61" t="n">
        <f aca="false">Pressupostos!$C$109*D13</f>
        <v>15529.935359589</v>
      </c>
      <c r="E18" s="61" t="n">
        <f aca="false">Pressupostos!$C$109*E13</f>
        <v>28152.689640411</v>
      </c>
      <c r="F18" s="61" t="n">
        <f aca="false">Pressupostos!$C$109*F13</f>
        <v>48755.5158390411</v>
      </c>
      <c r="G18" s="61" t="n">
        <f aca="false">Pressupostos!$C$109*G13</f>
        <v>74469.8142123288</v>
      </c>
    </row>
    <row r="19" customFormat="false" ht="15" hidden="false" customHeight="false" outlineLevel="0" collapsed="false">
      <c r="A19" s="2" t="s">
        <v>756</v>
      </c>
      <c r="B19" s="8" t="s">
        <v>123</v>
      </c>
      <c r="C19" s="61" t="n">
        <f aca="false">C13/Pressupostos!$C$112</f>
        <v>0</v>
      </c>
      <c r="D19" s="61" t="n">
        <f aca="false">D13/Pressupostos!$C$112</f>
        <v>6.21197414383562</v>
      </c>
      <c r="E19" s="61" t="n">
        <f aca="false">E13/Pressupostos!$C$112</f>
        <v>11.2610758561644</v>
      </c>
      <c r="F19" s="61" t="n">
        <f aca="false">F13/Pressupostos!$C$112</f>
        <v>19.5022063356164</v>
      </c>
      <c r="G19" s="61" t="n">
        <f aca="false">G13/Pressupostos!$C$112</f>
        <v>29.7879256849315</v>
      </c>
    </row>
    <row r="21" customFormat="false" ht="15" hidden="false" customHeight="false" outlineLevel="0" collapsed="false">
      <c r="A21" s="3" t="s">
        <v>757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758</v>
      </c>
      <c r="B22" s="8" t="s">
        <v>11</v>
      </c>
      <c r="C22" s="53" t="n">
        <f aca="false">DR!C15</f>
        <v>-711437.451832192</v>
      </c>
      <c r="D22" s="53" t="n">
        <f aca="false">DR!D15</f>
        <v>-801413.478106654</v>
      </c>
      <c r="E22" s="53" t="n">
        <f aca="false">DR!E15</f>
        <v>-969909.990443249</v>
      </c>
      <c r="F22" s="53" t="n">
        <f aca="false">DR!F15</f>
        <v>-1094156.26026446</v>
      </c>
      <c r="G22" s="53" t="n">
        <f aca="false">DR!G15</f>
        <v>-1219975.89659631</v>
      </c>
    </row>
    <row r="23" customFormat="false" ht="15" hidden="false" customHeight="false" outlineLevel="0" collapsed="false">
      <c r="A23" s="7" t="s">
        <v>759</v>
      </c>
      <c r="B23" s="8" t="s">
        <v>11</v>
      </c>
      <c r="C23" s="61" t="n">
        <f aca="false">-DR!C31</f>
        <v>-0</v>
      </c>
      <c r="D23" s="61" t="n">
        <f aca="false">-DR!D31</f>
        <v>-0</v>
      </c>
      <c r="E23" s="61" t="n">
        <f aca="false">-DR!E31</f>
        <v>-0</v>
      </c>
      <c r="F23" s="61" t="n">
        <f aca="false">-DR!F31</f>
        <v>-0</v>
      </c>
      <c r="G23" s="61" t="n">
        <f aca="false">-DR!G31</f>
        <v>-0</v>
      </c>
    </row>
    <row r="24" customFormat="false" ht="15" hidden="false" customHeight="false" outlineLevel="0" collapsed="false">
      <c r="A24" s="7" t="s">
        <v>760</v>
      </c>
      <c r="B24" s="8" t="s">
        <v>11</v>
      </c>
      <c r="C24" s="61" t="n">
        <f aca="false">-C10</f>
        <v>-45498.904109589</v>
      </c>
      <c r="D24" s="61" t="n">
        <f aca="false">-(D10-C10)</f>
        <v>-230588.835616438</v>
      </c>
      <c r="E24" s="61" t="n">
        <f aca="false">-(E10-D10)</f>
        <v>-224404.520547945</v>
      </c>
      <c r="F24" s="61" t="n">
        <f aca="false">-(F10-E10)</f>
        <v>-366272.465753425</v>
      </c>
      <c r="G24" s="61" t="n">
        <f aca="false">-(G10-F10)</f>
        <v>-457143.082191781</v>
      </c>
    </row>
    <row r="25" customFormat="false" ht="15" hidden="false" customHeight="false" outlineLevel="0" collapsed="false">
      <c r="A25" s="7" t="s">
        <v>424</v>
      </c>
      <c r="B25" s="8" t="s">
        <v>11</v>
      </c>
      <c r="C25" s="61" t="n">
        <f aca="false">-Custos!C123</f>
        <v>-92000</v>
      </c>
      <c r="D25" s="61" t="n">
        <f aca="false">-Custos!D123</f>
        <v>-44000</v>
      </c>
      <c r="E25" s="61" t="n">
        <f aca="false">-Custos!E123</f>
        <v>-48000</v>
      </c>
      <c r="F25" s="61" t="n">
        <f aca="false">-Custos!F123</f>
        <v>-38000</v>
      </c>
      <c r="G25" s="61" t="n">
        <f aca="false">-Custos!G123</f>
        <v>-38000</v>
      </c>
    </row>
    <row r="26" customFormat="false" ht="15" hidden="false" customHeight="false" outlineLevel="0" collapsed="false">
      <c r="A26" s="7" t="s">
        <v>761</v>
      </c>
      <c r="B26" s="8" t="s">
        <v>11</v>
      </c>
      <c r="C26" s="61" t="n">
        <f aca="false">C22+C23+C24+C25</f>
        <v>-848936.355941781</v>
      </c>
      <c r="D26" s="61" t="n">
        <f aca="false">D22+D23+D24+D25</f>
        <v>-1076002.31372309</v>
      </c>
      <c r="E26" s="61" t="n">
        <f aca="false">E22+E23+E24+E25</f>
        <v>-1242314.51099119</v>
      </c>
      <c r="F26" s="61" t="n">
        <f aca="false">F22+F23+F24+F25</f>
        <v>-1498428.72601788</v>
      </c>
      <c r="G26" s="61" t="n">
        <f aca="false">G22+G23+G24+G25</f>
        <v>-1715118.97878809</v>
      </c>
    </row>
    <row r="27" customFormat="false" ht="15" hidden="false" customHeight="false" outlineLevel="0" collapsed="false">
      <c r="A27" s="7" t="s">
        <v>762</v>
      </c>
      <c r="B27" s="8" t="s">
        <v>11</v>
      </c>
      <c r="C27" s="61" t="n">
        <f aca="false">C13</f>
        <v>0</v>
      </c>
      <c r="D27" s="61" t="n">
        <f aca="false">D13-C13</f>
        <v>310598.707191781</v>
      </c>
      <c r="E27" s="61" t="n">
        <f aca="false">E13-D13</f>
        <v>252455.085616438</v>
      </c>
      <c r="F27" s="61" t="n">
        <f aca="false">F13-E13</f>
        <v>412056.523972603</v>
      </c>
      <c r="G27" s="61" t="n">
        <f aca="false">G13-F13</f>
        <v>514285.967465753</v>
      </c>
    </row>
    <row r="28" customFormat="false" ht="15" hidden="false" customHeight="false" outlineLevel="0" collapsed="false">
      <c r="A28" s="7" t="s">
        <v>763</v>
      </c>
      <c r="B28" s="8" t="s">
        <v>11</v>
      </c>
      <c r="C28" s="61" t="n">
        <f aca="false">-C15</f>
        <v>-0</v>
      </c>
      <c r="D28" s="61" t="n">
        <f aca="false">-(D15-C15)</f>
        <v>-62119.7414383561</v>
      </c>
      <c r="E28" s="61" t="n">
        <f aca="false">-(E15-D15)</f>
        <v>-50491.0171232877</v>
      </c>
      <c r="F28" s="61" t="n">
        <f aca="false">-(F15-E15)</f>
        <v>-82411.3047945206</v>
      </c>
      <c r="G28" s="61" t="n">
        <f aca="false">-(G15-F15)</f>
        <v>-102857.193493151</v>
      </c>
    </row>
    <row r="29" customFormat="false" ht="15" hidden="false" customHeight="false" outlineLevel="0" collapsed="false">
      <c r="A29" s="7" t="s">
        <v>764</v>
      </c>
      <c r="B29" s="8" t="s">
        <v>11</v>
      </c>
      <c r="C29" s="61" t="n">
        <f aca="false">-C18</f>
        <v>-0</v>
      </c>
      <c r="D29" s="61" t="n">
        <f aca="false">-(D18-C18)</f>
        <v>-15529.935359589</v>
      </c>
      <c r="E29" s="61" t="n">
        <f aca="false">-(E18-D18)</f>
        <v>-12622.7542808219</v>
      </c>
      <c r="F29" s="61" t="n">
        <f aca="false">-(F18-E18)</f>
        <v>-20602.8261986301</v>
      </c>
      <c r="G29" s="61" t="n">
        <f aca="false">-(G18-F18)</f>
        <v>-25714.2983732877</v>
      </c>
    </row>
    <row r="30" customFormat="false" ht="15" hidden="false" customHeight="false" outlineLevel="0" collapsed="false">
      <c r="A30" s="7" t="s">
        <v>765</v>
      </c>
      <c r="B30" s="8" t="s">
        <v>11</v>
      </c>
      <c r="C30" s="61" t="n">
        <f aca="false">-(C17-Pressupostos!$C$108)</f>
        <v>45498.904109589</v>
      </c>
      <c r="D30" s="61" t="n">
        <f aca="false">-(D17-C17)</f>
        <v>-17890.1301369863</v>
      </c>
      <c r="E30" s="61" t="n">
        <f aca="false">-(E17-D17)</f>
        <v>22391.2260273973</v>
      </c>
      <c r="F30" s="61" t="n">
        <f aca="false">-(F17-E17)</f>
        <v>-0</v>
      </c>
      <c r="G30" s="61" t="n">
        <f aca="false">-(G17-F17)</f>
        <v>-0</v>
      </c>
    </row>
    <row r="31" customFormat="false" ht="15" hidden="false" customHeight="false" outlineLevel="0" collapsed="false">
      <c r="A31" s="56" t="s">
        <v>766</v>
      </c>
      <c r="B31" s="57" t="s">
        <v>11</v>
      </c>
      <c r="C31" s="62" t="n">
        <f aca="false">C26+C27+C28+C29+C30</f>
        <v>-803437.451832192</v>
      </c>
      <c r="D31" s="62" t="n">
        <f aca="false">D26+D27+D28+D29+D30</f>
        <v>-860943.413466243</v>
      </c>
      <c r="E31" s="62" t="n">
        <f aca="false">E26+E27+E28+E29+E30</f>
        <v>-1030581.97075147</v>
      </c>
      <c r="F31" s="62" t="n">
        <f aca="false">F26+F27+F28+F29+F30</f>
        <v>-1189386.33303843</v>
      </c>
      <c r="G31" s="62" t="n">
        <f aca="false">G26+G27+G28+G29+G30</f>
        <v>-1329404.50318877</v>
      </c>
    </row>
    <row r="32" customFormat="false" ht="15" hidden="false" customHeight="false" outlineLevel="0" collapsed="false">
      <c r="A32" s="56" t="s">
        <v>767</v>
      </c>
      <c r="B32" s="57" t="s">
        <v>11</v>
      </c>
      <c r="C32" s="62" t="n">
        <f aca="false">C31</f>
        <v>-803437.451832192</v>
      </c>
      <c r="D32" s="62" t="n">
        <f aca="false">C32+D31</f>
        <v>-1664380.86529843</v>
      </c>
      <c r="E32" s="62" t="n">
        <f aca="false">D32+E31</f>
        <v>-2694962.8360499</v>
      </c>
      <c r="F32" s="62" t="n">
        <f aca="false">E32+F31</f>
        <v>-3884349.16908834</v>
      </c>
      <c r="G32" s="62" t="n">
        <f aca="false">F32+G31</f>
        <v>-5213753.67227711</v>
      </c>
    </row>
    <row r="33" customFormat="false" ht="15" hidden="false" customHeight="false" outlineLevel="0" collapsed="false">
      <c r="A33" s="8" t="s">
        <v>768</v>
      </c>
      <c r="B33" s="8" t="s">
        <v>11</v>
      </c>
      <c r="C33" s="70" t="n">
        <f aca="false">ROUND(DR!C15-Custos!C123-DR!C31-(MAX(C16,Pressupostos!$C$108)-Pressupostos!$C$108)-(C18)-C31,6)</f>
        <v>0</v>
      </c>
      <c r="D33" s="70" t="n">
        <f aca="false">ROUND(DR!D15-Custos!D123-DR!D31-(MAX(D16,Pressupostos!$C$108)-MAX(C16,Pressupostos!$C$108))-(D18-C18)-D31,6)</f>
        <v>0</v>
      </c>
      <c r="E33" s="70" t="n">
        <f aca="false">ROUND(DR!E15-Custos!E123-DR!E31-(MAX(E16,Pressupostos!$C$108)-MAX(D16,Pressupostos!$C$108))-(E18-D18)-E31,6)</f>
        <v>0</v>
      </c>
      <c r="F33" s="70" t="n">
        <f aca="false">ROUND(DR!F15-Custos!F123-DR!F31-(MAX(F16,Pressupostos!$C$108)-MAX(E16,Pressupostos!$C$108))-(F18-E18)-F31,6)</f>
        <v>0</v>
      </c>
      <c r="G33" s="70" t="n">
        <f aca="false">ROUND(DR!G15-Custos!G123-DR!G31-(MAX(G16,Pressupostos!$C$108)-MAX(F16,Pressupostos!$C$108))-(G18-F18)-G31,6)</f>
        <v>0</v>
      </c>
    </row>
    <row r="35" customFormat="false" ht="15" hidden="false" customHeight="false" outlineLevel="0" collapsed="false">
      <c r="A35" s="3" t="s">
        <v>769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7" t="s">
        <v>770</v>
      </c>
      <c r="B36" s="8" t="s">
        <v>11</v>
      </c>
      <c r="C36" s="61" t="n">
        <f aca="false">0</f>
        <v>0</v>
      </c>
      <c r="D36" s="61" t="n">
        <f aca="false">C41</f>
        <v>151562.548167808</v>
      </c>
      <c r="E36" s="61" t="n">
        <f aca="false">D41</f>
        <v>150000</v>
      </c>
      <c r="F36" s="61" t="n">
        <f aca="false">E41</f>
        <v>150000</v>
      </c>
      <c r="G36" s="61" t="n">
        <f aca="false">F41</f>
        <v>150000</v>
      </c>
    </row>
    <row r="37" customFormat="false" ht="15" hidden="false" customHeight="false" outlineLevel="0" collapsed="false">
      <c r="A37" s="7" t="s">
        <v>771</v>
      </c>
      <c r="B37" s="8" t="s">
        <v>11</v>
      </c>
      <c r="C37" s="61" t="n">
        <f aca="false">-(Pressupostos!$C$159+Pressupostos!$C$160+Pressupostos!$C$161+Pressupostos!$C$162+Pressupostos!$C$163+Pressupostos!$C$108)</f>
        <v>-145000</v>
      </c>
      <c r="D37" s="61" t="n">
        <f aca="false">0</f>
        <v>0</v>
      </c>
      <c r="E37" s="61" t="n">
        <f aca="false">0</f>
        <v>0</v>
      </c>
      <c r="F37" s="61" t="n">
        <f aca="false">0</f>
        <v>0</v>
      </c>
      <c r="G37" s="61" t="n">
        <f aca="false">0</f>
        <v>0</v>
      </c>
    </row>
    <row r="38" customFormat="false" ht="15" hidden="false" customHeight="false" outlineLevel="0" collapsed="false">
      <c r="A38" s="7" t="s">
        <v>772</v>
      </c>
      <c r="B38" s="8" t="s">
        <v>11</v>
      </c>
      <c r="C38" s="53" t="n">
        <f aca="false">Pressupostos!$G$32</f>
        <v>1100000</v>
      </c>
      <c r="D38" s="61" t="n">
        <f aca="false">0</f>
        <v>0</v>
      </c>
      <c r="E38" s="61" t="n">
        <f aca="false">0</f>
        <v>0</v>
      </c>
      <c r="F38" s="61" t="n">
        <f aca="false">0</f>
        <v>0</v>
      </c>
      <c r="G38" s="61" t="n">
        <f aca="false">0</f>
        <v>0</v>
      </c>
    </row>
    <row r="39" customFormat="false" ht="15" hidden="false" customHeight="false" outlineLevel="0" collapsed="false">
      <c r="A39" s="7" t="s">
        <v>773</v>
      </c>
      <c r="B39" s="8" t="s">
        <v>11</v>
      </c>
      <c r="C39" s="61" t="n">
        <f aca="false">C36+C37+C38+C31</f>
        <v>151562.548167808</v>
      </c>
      <c r="D39" s="61" t="n">
        <f aca="false">D36+D37+D38+D31</f>
        <v>-709380.865298435</v>
      </c>
      <c r="E39" s="61" t="n">
        <f aca="false">E36+E37+E38+E31</f>
        <v>-880581.970751468</v>
      </c>
      <c r="F39" s="61" t="n">
        <f aca="false">F36+F37+F38+F31</f>
        <v>-1039386.33303843</v>
      </c>
      <c r="G39" s="61" t="n">
        <f aca="false">G36+G37+G38+G31</f>
        <v>-1179404.50318877</v>
      </c>
    </row>
    <row r="40" customFormat="false" ht="15" hidden="false" customHeight="false" outlineLevel="0" collapsed="false">
      <c r="A40" s="56" t="s">
        <v>774</v>
      </c>
      <c r="B40" s="57" t="s">
        <v>11</v>
      </c>
      <c r="C40" s="62" t="n">
        <f aca="false">MAX(0,Pressupostos!$C$170-C39)</f>
        <v>0</v>
      </c>
      <c r="D40" s="62" t="n">
        <f aca="false">MAX(0,Pressupostos!$C$170-D39)</f>
        <v>859380.865298435</v>
      </c>
      <c r="E40" s="62" t="n">
        <f aca="false">MAX(0,Pressupostos!$C$170-E39)</f>
        <v>1030581.97075147</v>
      </c>
      <c r="F40" s="62" t="n">
        <f aca="false">MAX(0,Pressupostos!$C$170-F39)</f>
        <v>1189386.33303843</v>
      </c>
      <c r="G40" s="62" t="n">
        <f aca="false">MAX(0,Pressupostos!$C$170-G39)</f>
        <v>1329404.50318877</v>
      </c>
    </row>
    <row r="41" customFormat="false" ht="15" hidden="false" customHeight="false" outlineLevel="0" collapsed="false">
      <c r="A41" s="56" t="s">
        <v>775</v>
      </c>
      <c r="B41" s="57" t="s">
        <v>11</v>
      </c>
      <c r="C41" s="62" t="n">
        <f aca="false">C39+C40</f>
        <v>151562.548167808</v>
      </c>
      <c r="D41" s="62" t="n">
        <f aca="false">D39+D40</f>
        <v>150000</v>
      </c>
      <c r="E41" s="62" t="n">
        <f aca="false">E39+E40</f>
        <v>150000</v>
      </c>
      <c r="F41" s="62" t="n">
        <f aca="false">F39+F40</f>
        <v>150000</v>
      </c>
      <c r="G41" s="62" t="n">
        <f aca="false">G39+G40</f>
        <v>150000</v>
      </c>
    </row>
    <row r="42" customFormat="false" ht="15" hidden="false" customHeight="false" outlineLevel="0" collapsed="false">
      <c r="A42" s="7" t="s">
        <v>776</v>
      </c>
      <c r="B42" s="8" t="s">
        <v>11</v>
      </c>
      <c r="C42" s="61" t="n">
        <f aca="false">C15+C18+C17</f>
        <v>4501.09589041097</v>
      </c>
      <c r="D42" s="61" t="n">
        <f aca="false">D15+D18+D17</f>
        <v>100040.902825342</v>
      </c>
      <c r="E42" s="61" t="n">
        <f aca="false">E15+E18+E17</f>
        <v>140763.448202055</v>
      </c>
      <c r="F42" s="61" t="n">
        <f aca="false">F15+F18+F17</f>
        <v>243777.579195205</v>
      </c>
      <c r="G42" s="61" t="n">
        <f aca="false">G15+G18+G17</f>
        <v>372349.071061644</v>
      </c>
    </row>
    <row r="43" customFormat="false" ht="15" hidden="false" customHeight="false" outlineLevel="0" collapsed="false">
      <c r="A43" s="7" t="s">
        <v>777</v>
      </c>
      <c r="B43" s="8" t="s">
        <v>11</v>
      </c>
      <c r="C43" s="61" t="n">
        <f aca="false">C41+C42</f>
        <v>156063.644058219</v>
      </c>
      <c r="D43" s="61" t="n">
        <f aca="false">D41+D42</f>
        <v>250040.902825342</v>
      </c>
      <c r="E43" s="61" t="n">
        <f aca="false">E41+E42</f>
        <v>290763.448202055</v>
      </c>
      <c r="F43" s="61" t="n">
        <f aca="false">F41+F42</f>
        <v>393777.579195206</v>
      </c>
      <c r="G43" s="61" t="n">
        <f aca="false">G41+G42</f>
        <v>522349.071061644</v>
      </c>
    </row>
    <row r="44" customFormat="false" ht="15" hidden="false" customHeight="false" outlineLevel="0" collapsed="false">
      <c r="A44" s="7" t="s">
        <v>778</v>
      </c>
      <c r="B44" s="8" t="s">
        <v>11</v>
      </c>
      <c r="C44" s="61" t="n">
        <f aca="false">C38+C40</f>
        <v>1100000</v>
      </c>
      <c r="D44" s="61" t="n">
        <f aca="false">C44+D38+D40</f>
        <v>1959380.86529843</v>
      </c>
      <c r="E44" s="61" t="n">
        <f aca="false">D44+E38+E40</f>
        <v>2989962.8360499</v>
      </c>
      <c r="F44" s="61" t="n">
        <f aca="false">E44+F38+F40</f>
        <v>4179349.16908834</v>
      </c>
      <c r="G44" s="61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779</v>
      </c>
    </row>
    <row r="2" customFormat="false" ht="15" hidden="false" customHeight="false" outlineLevel="0" collapsed="false">
      <c r="A2" s="2" t="s">
        <v>780</v>
      </c>
    </row>
    <row r="3" customFormat="false" ht="15" hidden="false" customHeight="false" outlineLevel="0" collapsed="false">
      <c r="A3" s="51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484</v>
      </c>
    </row>
    <row r="5" customFormat="false" ht="15" hidden="false" customHeight="false" outlineLevel="0" collapsed="false">
      <c r="A5" s="3" t="s">
        <v>781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782</v>
      </c>
      <c r="B6" s="8" t="s">
        <v>11</v>
      </c>
      <c r="C6" s="72" t="n">
        <f aca="false">Pressupostos!$C$159+Pressupostos!$C$160+Pressupostos!$C$161+Pressupostos!$C$162+Pressupostos!$C$163</f>
        <v>95000</v>
      </c>
    </row>
    <row r="7" customFormat="false" ht="15" hidden="false" customHeight="false" outlineLevel="0" collapsed="false">
      <c r="A7" s="7" t="s">
        <v>783</v>
      </c>
      <c r="B7" s="8" t="s">
        <v>11</v>
      </c>
      <c r="C7" s="73" t="n">
        <f aca="false">Pressupostos!$C$108</f>
        <v>50000</v>
      </c>
    </row>
    <row r="8" customFormat="false" ht="15" hidden="false" customHeight="false" outlineLevel="0" collapsed="false">
      <c r="A8" s="7" t="s">
        <v>322</v>
      </c>
      <c r="B8" s="8" t="s">
        <v>11</v>
      </c>
      <c r="C8" s="73" t="n">
        <f aca="false">Pressupostos!$C$170</f>
        <v>150000</v>
      </c>
    </row>
    <row r="9" customFormat="false" ht="15" hidden="false" customHeight="false" outlineLevel="0" collapsed="false">
      <c r="A9" s="7" t="s">
        <v>784</v>
      </c>
      <c r="B9" s="8" t="s">
        <v>11</v>
      </c>
      <c r="C9" s="72" t="n">
        <f aca="false">MAX(0,-MIN('Fluxo de caixa'!$C$32:$G$32))</f>
        <v>5213753.67227711</v>
      </c>
    </row>
    <row r="10" customFormat="false" ht="15" hidden="false" customHeight="false" outlineLevel="0" collapsed="false">
      <c r="A10" s="56" t="s">
        <v>785</v>
      </c>
      <c r="B10" s="57" t="s">
        <v>11</v>
      </c>
      <c r="C10" s="74" t="n">
        <f aca="false">C6+C7+C8+C9</f>
        <v>5508753.67227711</v>
      </c>
    </row>
    <row r="11" customFormat="false" ht="15" hidden="false" customHeight="false" outlineLevel="0" collapsed="false">
      <c r="A11" s="7" t="s">
        <v>786</v>
      </c>
      <c r="B11" s="8" t="s">
        <v>20</v>
      </c>
      <c r="C11" s="75" t="n">
        <f aca="false">INDEX(Volumes!$C$6:$G$6,1,MATCH(MIN('Fluxo de caixa'!$C$32:$G$32),'Fluxo de caixa'!$C$32:$G$32,0))</f>
        <v>2031</v>
      </c>
    </row>
    <row r="12" customFormat="false" ht="15" hidden="false" customHeight="false" outlineLevel="0" collapsed="false">
      <c r="A12" s="7" t="s">
        <v>787</v>
      </c>
      <c r="B12" s="8"/>
      <c r="C12" s="76" t="str">
        <f aca="false">IF('Fluxo de caixa'!G31&lt;0,"sim","não")</f>
        <v>sim</v>
      </c>
    </row>
    <row r="13" customFormat="false" ht="15" hidden="false" customHeight="false" outlineLevel="0" collapsed="false">
      <c r="A13" s="7" t="s">
        <v>788</v>
      </c>
      <c r="B13" s="8" t="s">
        <v>11</v>
      </c>
      <c r="C13" s="73" t="n">
        <f aca="false">'Fluxo de caixa'!G44</f>
        <v>5508753.67227711</v>
      </c>
    </row>
    <row r="15" customFormat="false" ht="15" hidden="false" customHeight="false" outlineLevel="0" collapsed="false">
      <c r="A15" s="3" t="s">
        <v>789</v>
      </c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790</v>
      </c>
      <c r="B16" s="8" t="s">
        <v>11</v>
      </c>
      <c r="C16" s="72" t="n">
        <f aca="false">C6+C7</f>
        <v>145000</v>
      </c>
    </row>
    <row r="17" customFormat="false" ht="15" hidden="false" customHeight="false" outlineLevel="0" collapsed="false">
      <c r="A17" s="7" t="s">
        <v>791</v>
      </c>
      <c r="B17" s="8" t="s">
        <v>11</v>
      </c>
      <c r="C17" s="72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424</v>
      </c>
      <c r="B18" s="8" t="s">
        <v>11</v>
      </c>
      <c r="C18" s="72" t="n">
        <f aca="false">SUMPRODUCT((Volumes!$C$6:$G$6&lt;=C11)*Custos!$C$123:$G$123)</f>
        <v>260000</v>
      </c>
    </row>
    <row r="19" customFormat="false" ht="15" hidden="false" customHeight="false" outlineLevel="0" collapsed="false">
      <c r="A19" s="7" t="s">
        <v>792</v>
      </c>
      <c r="B19" s="8" t="s">
        <v>11</v>
      </c>
      <c r="C19" s="72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793</v>
      </c>
      <c r="B20" s="8" t="s">
        <v>11</v>
      </c>
      <c r="C20" s="72" t="n">
        <f aca="false">C9-C17-C18-C19</f>
        <v>156860.595034246</v>
      </c>
    </row>
    <row r="21" customFormat="false" ht="15" hidden="false" customHeight="false" outlineLevel="0" collapsed="false">
      <c r="A21" s="7" t="s">
        <v>322</v>
      </c>
      <c r="B21" s="8" t="s">
        <v>11</v>
      </c>
      <c r="C21" s="72" t="n">
        <f aca="false">C8</f>
        <v>150000</v>
      </c>
    </row>
    <row r="22" customFormat="false" ht="15" hidden="false" customHeight="false" outlineLevel="0" collapsed="false">
      <c r="A22" s="56" t="s">
        <v>794</v>
      </c>
      <c r="B22" s="57" t="s">
        <v>11</v>
      </c>
      <c r="C22" s="74" t="n">
        <f aca="false">C16+C17+C18+C19+C20+C21</f>
        <v>5508753.67227711</v>
      </c>
    </row>
    <row r="24" customFormat="false" ht="15" hidden="false" customHeight="false" outlineLevel="0" collapsed="false">
      <c r="A24" s="3" t="s">
        <v>795</v>
      </c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772</v>
      </c>
      <c r="B25" s="8" t="s">
        <v>11</v>
      </c>
      <c r="C25" s="73" t="n">
        <f aca="false">Pressupostos!$G$32</f>
        <v>1100000</v>
      </c>
    </row>
    <row r="26" customFormat="false" ht="15" hidden="false" customHeight="false" outlineLevel="0" collapsed="false">
      <c r="A26" s="7" t="s">
        <v>796</v>
      </c>
      <c r="B26" s="8" t="s">
        <v>11</v>
      </c>
      <c r="C26" s="72" t="n">
        <f aca="false">C6+Pressupostos!$C$108+Pressupostos!$C$130/12*((Pessoal!C33-Pessoal!C21-Pessoal!C22+(Pessoal!C21+Pessoal!C22)/Pressupostos!$C$128*Pressupostos!$C$129)*(1+Pressupostos!$C$124+Pressupostos!$C$125)+Pessoal!C18*Pressupostos!$C$126+Custos!C116)+Custos!C123+MAX(0,Pressupostos!$C$183*1000*(Custos!C6+Custos!C9)+Pressupostos!$C$184*1000*(Custos!C30+Custos!C33)-Pressupostos!$C$108)</f>
        <v>734321.666666667</v>
      </c>
      <c r="H26" s="2" t="s">
        <v>797</v>
      </c>
    </row>
    <row r="27" customFormat="false" ht="15" hidden="false" customHeight="false" outlineLevel="0" collapsed="false">
      <c r="A27" s="7" t="s">
        <v>798</v>
      </c>
      <c r="B27" s="8" t="s">
        <v>11</v>
      </c>
      <c r="C27" s="72" t="n">
        <f aca="false">C6+Pressupostos!$C$108-'Fluxo de caixa'!C31</f>
        <v>948437.451832192</v>
      </c>
    </row>
    <row r="28" customFormat="false" ht="15" hidden="false" customHeight="false" outlineLevel="0" collapsed="false">
      <c r="A28" s="7" t="s">
        <v>799</v>
      </c>
      <c r="B28" s="8" t="s">
        <v>11</v>
      </c>
      <c r="C28" s="61" t="n">
        <f aca="false">Pressupostos!$G$32-C6-Pressupostos!$C$108+'Fluxo de caixa'!C32</f>
        <v>151562.548167808</v>
      </c>
      <c r="D28" s="61" t="n">
        <f aca="false">Pressupostos!$G$32-C6-Pressupostos!$C$108+'Fluxo de caixa'!D32</f>
        <v>-709380.865298435</v>
      </c>
      <c r="E28" s="61" t="n">
        <f aca="false">Pressupostos!$G$32-C6-Pressupostos!$C$108+'Fluxo de caixa'!E32</f>
        <v>-1739962.8360499</v>
      </c>
      <c r="F28" s="61" t="n">
        <f aca="false">Pressupostos!$G$32-C6-Pressupostos!$C$108+'Fluxo de caixa'!F32</f>
        <v>-2929349.16908834</v>
      </c>
      <c r="G28" s="61" t="n">
        <f aca="false">Pressupostos!$G$32-C6-Pressupostos!$C$108+'Fluxo de caixa'!G32</f>
        <v>-4258753.67227711</v>
      </c>
    </row>
    <row r="29" customFormat="false" ht="15" hidden="false" customHeight="false" outlineLevel="0" collapsed="false">
      <c r="A29" s="7" t="s">
        <v>800</v>
      </c>
      <c r="B29" s="8" t="s">
        <v>18</v>
      </c>
      <c r="C29" s="77" t="str">
        <f aca="false">IF(AND(Pressupostos!$G$32-C6-Pressupostos!$C$108&gt;0,C28&lt;=0),12*(Pressupostos!$G$32-C6-Pressupostos!$C$108)/(Pressupostos!$G$32-C6-Pressupostos!$C$108-C28),"")</f>
        <v/>
      </c>
      <c r="D29" s="77" t="n">
        <f aca="false">IF(AND(C28&gt;0,D28&lt;=0),12+12*C28/(C28-D28),"")</f>
        <v>14.1125088473483</v>
      </c>
      <c r="E29" s="77" t="str">
        <f aca="false">IF(AND(D28&gt;0,E28&lt;=0),24+12*D28/(D28-E28),"")</f>
        <v/>
      </c>
      <c r="F29" s="77" t="str">
        <f aca="false">IF(AND(E28&gt;0,F28&lt;=0),36+12*E28/(E28-F28),"")</f>
        <v/>
      </c>
      <c r="G29" s="77" t="str">
        <f aca="false">IF(AND(F28&gt;0,G28&lt;=0),48+12*F28/(F28-G28),"")</f>
        <v/>
      </c>
    </row>
    <row r="30" customFormat="false" ht="15" hidden="false" customHeight="false" outlineLevel="0" collapsed="false">
      <c r="A30" s="56" t="s">
        <v>801</v>
      </c>
      <c r="B30" s="57" t="s">
        <v>274</v>
      </c>
      <c r="C30" s="78" t="n">
        <f aca="false">IF(COUNT($C$29:$G$29)=0,"&gt; 60",MIN($C$29:$G$29))</f>
        <v>14.1125088473483</v>
      </c>
    </row>
    <row r="32" customFormat="false" ht="15" hidden="false" customHeight="false" outlineLevel="0" collapsed="false">
      <c r="A32" s="3" t="s">
        <v>802</v>
      </c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7" t="s">
        <v>803</v>
      </c>
      <c r="B33" s="8" t="s">
        <v>18</v>
      </c>
      <c r="C33" s="77" t="str">
        <f aca="false">IF(DR!C15&gt;=0,1,"")</f>
        <v/>
      </c>
      <c r="D33" s="77" t="str">
        <f aca="false">IF(AND(DR!C15&lt;0,DR!D15&gt;=0),6.5+12*(-DR!C15)/(DR!D15-DR!C15),"")</f>
        <v/>
      </c>
      <c r="E33" s="77" t="str">
        <f aca="false">IF(AND(DR!D15&lt;0,DR!E15&gt;=0),18.5+12*(-DR!D15)/(DR!E15-DR!D15),"")</f>
        <v/>
      </c>
      <c r="F33" s="77" t="str">
        <f aca="false">IF(AND(DR!E15&lt;0,DR!F15&gt;=0),30.5+12*(-DR!E15)/(DR!F15-DR!E15),"")</f>
        <v/>
      </c>
      <c r="G33" s="77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804</v>
      </c>
      <c r="B34" s="8" t="s">
        <v>18</v>
      </c>
      <c r="C34" s="79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56" t="s">
        <v>805</v>
      </c>
      <c r="B35" s="57" t="s">
        <v>806</v>
      </c>
      <c r="C35" s="80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807</v>
      </c>
      <c r="B36" s="8" t="s">
        <v>20</v>
      </c>
      <c r="C36" s="81" t="str">
        <f aca="false">IF(DR!C15&gt;=0,Volumes!C6,"")</f>
        <v/>
      </c>
      <c r="D36" s="81" t="str">
        <f aca="false">IF(DR!D15&gt;=0,Volumes!D6,"")</f>
        <v/>
      </c>
      <c r="E36" s="81" t="str">
        <f aca="false">IF(DR!E15&gt;=0,Volumes!E6,"")</f>
        <v/>
      </c>
      <c r="F36" s="81" t="str">
        <f aca="false">IF(DR!F15&gt;=0,Volumes!F6,"")</f>
        <v/>
      </c>
      <c r="G36" s="81" t="str">
        <f aca="false">IF(DR!G15&gt;=0,Volumes!G6,"")</f>
        <v/>
      </c>
    </row>
    <row r="37" customFormat="false" ht="15" hidden="false" customHeight="false" outlineLevel="0" collapsed="false">
      <c r="A37" s="7" t="s">
        <v>808</v>
      </c>
      <c r="B37" s="8" t="s">
        <v>20</v>
      </c>
      <c r="C37" s="75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809</v>
      </c>
      <c r="B38" s="8" t="s">
        <v>20</v>
      </c>
      <c r="C38" s="81" t="str">
        <f aca="false">IF(DR!C35&gt;=0,Volumes!C6,"")</f>
        <v/>
      </c>
      <c r="D38" s="81" t="str">
        <f aca="false">IF(DR!D35&gt;=0,Volumes!D6,"")</f>
        <v/>
      </c>
      <c r="E38" s="81" t="str">
        <f aca="false">IF(DR!E35&gt;=0,Volumes!E6,"")</f>
        <v/>
      </c>
      <c r="F38" s="81" t="str">
        <f aca="false">IF(DR!F35&gt;=0,Volumes!F6,"")</f>
        <v/>
      </c>
      <c r="G38" s="81" t="str">
        <f aca="false">IF(DR!G35&gt;=0,Volumes!G6,"")</f>
        <v/>
      </c>
    </row>
    <row r="39" customFormat="false" ht="15" hidden="false" customHeight="false" outlineLevel="0" collapsed="false">
      <c r="A39" s="7" t="s">
        <v>810</v>
      </c>
      <c r="B39" s="8" t="s">
        <v>20</v>
      </c>
      <c r="C39" s="75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811</v>
      </c>
      <c r="B40" s="8" t="s">
        <v>20</v>
      </c>
      <c r="C40" s="81" t="str">
        <f aca="false">IF('Fluxo de caixa'!C31&gt;=0,Volumes!C6,"")</f>
        <v/>
      </c>
      <c r="D40" s="81" t="str">
        <f aca="false">IF('Fluxo de caixa'!D31&gt;=0,Volumes!D6,"")</f>
        <v/>
      </c>
      <c r="E40" s="81" t="str">
        <f aca="false">IF('Fluxo de caixa'!E31&gt;=0,Volumes!E6,"")</f>
        <v/>
      </c>
      <c r="F40" s="81" t="str">
        <f aca="false">IF('Fluxo de caixa'!F31&gt;=0,Volumes!F6,"")</f>
        <v/>
      </c>
      <c r="G40" s="81" t="str">
        <f aca="false">IF('Fluxo de caixa'!G31&gt;=0,Volumes!G6,"")</f>
        <v/>
      </c>
    </row>
    <row r="41" customFormat="false" ht="15" hidden="false" customHeight="false" outlineLevel="0" collapsed="false">
      <c r="A41" s="7" t="s">
        <v>19</v>
      </c>
      <c r="B41" s="8" t="s">
        <v>20</v>
      </c>
      <c r="C41" s="75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3" t="s">
        <v>812</v>
      </c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7" t="s">
        <v>813</v>
      </c>
      <c r="B44" s="8" t="s">
        <v>11</v>
      </c>
      <c r="C44" s="53" t="n">
        <f aca="false">'Fluxo de caixa'!C13</f>
        <v>0</v>
      </c>
      <c r="D44" s="53" t="n">
        <f aca="false">'Fluxo de caixa'!D13</f>
        <v>310598.707191781</v>
      </c>
      <c r="E44" s="53" t="n">
        <f aca="false">'Fluxo de caixa'!E13</f>
        <v>563053.792808219</v>
      </c>
      <c r="F44" s="53" t="n">
        <f aca="false">'Fluxo de caixa'!F13</f>
        <v>975110.316780822</v>
      </c>
      <c r="G44" s="53" t="n">
        <f aca="false">'Fluxo de caixa'!G13</f>
        <v>1489396.28424658</v>
      </c>
    </row>
    <row r="45" customFormat="false" ht="15" hidden="false" customHeight="false" outlineLevel="0" collapsed="false">
      <c r="A45" s="7" t="s">
        <v>509</v>
      </c>
      <c r="B45" s="8" t="s">
        <v>76</v>
      </c>
      <c r="C45" s="82" t="n">
        <f aca="false">Pressupostos!$C$291</f>
        <v>0.08</v>
      </c>
      <c r="D45" s="82" t="n">
        <f aca="false">Pressupostos!$D$291</f>
        <v>0.08</v>
      </c>
      <c r="E45" s="82" t="n">
        <f aca="false">Pressupostos!$E$291</f>
        <v>0.075</v>
      </c>
      <c r="F45" s="82" t="n">
        <f aca="false">Pressupostos!$F$291</f>
        <v>0.07</v>
      </c>
      <c r="G45" s="82" t="n">
        <f aca="false">Pressupostos!$G$291</f>
        <v>0.07</v>
      </c>
    </row>
    <row r="46" customFormat="false" ht="15" hidden="false" customHeight="false" outlineLevel="0" collapsed="false">
      <c r="A46" s="7" t="s">
        <v>814</v>
      </c>
      <c r="B46" s="8" t="s">
        <v>76</v>
      </c>
      <c r="C46" s="60" t="n">
        <f aca="false">Pressupostos!$C$291*(1-Pressupostos!$C$111)</f>
        <v>0.0576</v>
      </c>
      <c r="D46" s="60" t="n">
        <f aca="false">Pressupostos!$D$291*(1-Pressupostos!$C$111)</f>
        <v>0.0576</v>
      </c>
      <c r="E46" s="60" t="n">
        <f aca="false">Pressupostos!$E$291*(1-Pressupostos!$C$111)</f>
        <v>0.054</v>
      </c>
      <c r="F46" s="60" t="n">
        <f aca="false">Pressupostos!$F$291*(1-Pressupostos!$C$111)</f>
        <v>0.0504</v>
      </c>
      <c r="G46" s="60" t="n">
        <f aca="false">Pressupostos!$G$291*(1-Pressupostos!$C$111)</f>
        <v>0.0504</v>
      </c>
    </row>
    <row r="47" customFormat="false" ht="15" hidden="false" customHeight="false" outlineLevel="0" collapsed="false">
      <c r="A47" s="7" t="s">
        <v>815</v>
      </c>
      <c r="B47" s="8" t="s">
        <v>11</v>
      </c>
      <c r="C47" s="53" t="n">
        <f aca="false">Custos!C99</f>
        <v>0</v>
      </c>
      <c r="D47" s="53" t="n">
        <f aca="false">Custos!D99</f>
        <v>23317.0273972603</v>
      </c>
      <c r="E47" s="53" t="n">
        <f aca="false">Custos!E99</f>
        <v>38771.0637842466</v>
      </c>
      <c r="F47" s="53" t="n">
        <f aca="false">Custos!F99</f>
        <v>62547.834760274</v>
      </c>
      <c r="G47" s="53" t="n">
        <f aca="false">Custos!G99</f>
        <v>95536.1558219178</v>
      </c>
    </row>
    <row r="48" customFormat="false" ht="15" hidden="false" customHeight="false" outlineLevel="0" collapsed="false">
      <c r="A48" s="7" t="s">
        <v>816</v>
      </c>
      <c r="B48" s="8" t="s">
        <v>76</v>
      </c>
      <c r="C48" s="59" t="n">
        <f aca="false">IF('Fluxo de caixa'!C13&gt;0,('Fluxo de caixa'!C16+'Fluxo de caixa'!C18)/'Fluxo de caixa'!C13,0)</f>
        <v>0</v>
      </c>
      <c r="D48" s="59" t="n">
        <f aca="false">IF('Fluxo de caixa'!D13&gt;0,('Fluxo de caixa'!D16+'Fluxo de caixa'!D18)/'Fluxo de caixa'!D13,0)</f>
        <v>0.138888888888889</v>
      </c>
      <c r="E48" s="59" t="n">
        <f aca="false">IF('Fluxo de caixa'!E13&gt;0,('Fluxo de caixa'!E16+'Fluxo de caixa'!E18)/'Fluxo de caixa'!E13,0)</f>
        <v>0.138888888888889</v>
      </c>
      <c r="F48" s="59" t="n">
        <f aca="false">IF('Fluxo de caixa'!F13&gt;0,('Fluxo de caixa'!F16+'Fluxo de caixa'!F18)/'Fluxo de caixa'!F13,0)</f>
        <v>0.138888888888889</v>
      </c>
      <c r="G48" s="59" t="n">
        <f aca="false">IF('Fluxo de caixa'!G13&gt;0,('Fluxo de caixa'!G16+'Fluxo de caixa'!G18)/'Fluxo de caixa'!G13,0)</f>
        <v>0.138888888888889</v>
      </c>
    </row>
    <row r="49" customFormat="false" ht="15" hidden="false" customHeight="false" outlineLevel="0" collapsed="false">
      <c r="A49" s="7" t="s">
        <v>817</v>
      </c>
      <c r="B49" s="8" t="s">
        <v>123</v>
      </c>
      <c r="C49" s="53" t="n">
        <f aca="false">'Fluxo de caixa'!C19</f>
        <v>0</v>
      </c>
      <c r="D49" s="53" t="n">
        <f aca="false">'Fluxo de caixa'!D19</f>
        <v>6.21197414383562</v>
      </c>
      <c r="E49" s="53" t="n">
        <f aca="false">'Fluxo de caixa'!E19</f>
        <v>11.2610758561644</v>
      </c>
      <c r="F49" s="53" t="n">
        <f aca="false">'Fluxo de caixa'!F19</f>
        <v>19.5022063356164</v>
      </c>
      <c r="G49" s="53" t="n">
        <f aca="false">'Fluxo de caixa'!G19</f>
        <v>29.7879256849315</v>
      </c>
    </row>
    <row r="50" customFormat="false" ht="15" hidden="false" customHeight="false" outlineLevel="0" collapsed="false">
      <c r="A50" s="7" t="s">
        <v>818</v>
      </c>
      <c r="B50" s="8" t="s">
        <v>11</v>
      </c>
      <c r="C50" s="61" t="n">
        <f aca="false">Custos!C99+Custos!C114</f>
        <v>65000</v>
      </c>
      <c r="D50" s="61" t="n">
        <f aca="false">Custos!D99+Custos!D114</f>
        <v>88317.0273972603</v>
      </c>
      <c r="E50" s="61" t="n">
        <f aca="false">Custos!E99+Custos!E114</f>
        <v>108771.063784247</v>
      </c>
      <c r="F50" s="61" t="n">
        <f aca="false">Custos!F99+Custos!F114</f>
        <v>137547.834760274</v>
      </c>
      <c r="G50" s="61" t="n">
        <f aca="false">Custos!G99+Custos!G114</f>
        <v>175536.155821918</v>
      </c>
    </row>
    <row r="51" customFormat="false" ht="15" hidden="false" customHeight="false" outlineLevel="0" collapsed="false">
      <c r="A51" s="7" t="s">
        <v>819</v>
      </c>
      <c r="B51" s="8" t="s">
        <v>76</v>
      </c>
      <c r="C51" s="59" t="str">
        <f aca="false">IF('Fluxo de caixa'!C13&gt;0,C50/'Fluxo de caixa'!C13,"")</f>
        <v/>
      </c>
      <c r="D51" s="59" t="n">
        <f aca="false">IF('Fluxo de caixa'!D13&gt;0,D50/'Fluxo de caixa'!D13,"")</f>
        <v>0.284344478429295</v>
      </c>
      <c r="E51" s="59" t="n">
        <f aca="false">IF('Fluxo de caixa'!E13&gt;0,E50/'Fluxo de caixa'!E13,"")</f>
        <v>0.19318058980076</v>
      </c>
      <c r="F51" s="59" t="n">
        <f aca="false">IF('Fluxo de caixa'!F13&gt;0,F50/'Fluxo de caixa'!F13,"")</f>
        <v>0.141058742168135</v>
      </c>
      <c r="G51" s="59" t="n">
        <f aca="false">IF('Fluxo de caixa'!G13&gt;0,G50/'Fluxo de caixa'!G13,"")</f>
        <v>0.11785725376018</v>
      </c>
    </row>
    <row r="53" customFormat="false" ht="15" hidden="false" customHeight="false" outlineLevel="0" collapsed="false">
      <c r="A53" s="3" t="s">
        <v>820</v>
      </c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7" t="s">
        <v>821</v>
      </c>
      <c r="B54" s="8" t="s">
        <v>11</v>
      </c>
      <c r="C54" s="61" t="n">
        <f aca="false">MAX(0,-DR!C15)</f>
        <v>711437.451832192</v>
      </c>
      <c r="D54" s="61" t="n">
        <f aca="false">MAX(0,-DR!D15)</f>
        <v>801413.478106654</v>
      </c>
      <c r="E54" s="61" t="n">
        <f aca="false">MAX(0,-DR!E15)</f>
        <v>969909.990443249</v>
      </c>
      <c r="F54" s="61" t="n">
        <f aca="false">MAX(0,-DR!F15)</f>
        <v>1094156.26026446</v>
      </c>
      <c r="G54" s="61" t="n">
        <f aca="false">MAX(0,-DR!G15)</f>
        <v>1219975.89659631</v>
      </c>
    </row>
    <row r="55" customFormat="false" ht="15" hidden="false" customHeight="false" outlineLevel="0" collapsed="false">
      <c r="A55" s="2" t="s">
        <v>822</v>
      </c>
      <c r="B55" s="8"/>
      <c r="C55" s="61" t="n">
        <f aca="false">IF(AND(Volumes!C6&gt;=Pressupostos!$C$120,Pressupostos!$C$118*(Receitas!C6+Receitas!C7)+Pressupostos!$C$119*Receitas!C8&gt;Pressupostos!$C$303),1,0)</f>
        <v>0</v>
      </c>
      <c r="D55" s="61" t="n">
        <f aca="false">IF(AND(Volumes!D6&gt;=Pressupostos!$C$120,Pressupostos!$C$118*(Receitas!D6+Receitas!D7)+Pressupostos!$C$119*Receitas!D8&gt;Pressupostos!$D$303),1,0)</f>
        <v>1</v>
      </c>
      <c r="E55" s="61" t="n">
        <f aca="false">IF(AND(Volumes!E6&gt;=Pressupostos!$C$120,Pressupostos!$C$118*(Receitas!E6+Receitas!E7)+Pressupostos!$C$119*Receitas!E8&gt;Pressupostos!$E$303),1,0)</f>
        <v>1</v>
      </c>
      <c r="F55" s="61" t="n">
        <f aca="false">IF(AND(Volumes!F6&gt;=Pressupostos!$C$120,Pressupostos!$C$118*(Receitas!F6+Receitas!F7)+Pressupostos!$C$119*Receitas!F8&gt;Pressupostos!$F$303),1,0)</f>
        <v>1</v>
      </c>
      <c r="G55" s="61" t="n">
        <f aca="false">IF(AND(Volumes!G6&gt;=Pressupostos!$C$120,Pressupostos!$C$118*(Receitas!G6+Receitas!G7)+Pressupostos!$C$119*Receitas!G8&gt;Pressupostos!$G$303),1,0)</f>
        <v>1</v>
      </c>
    </row>
    <row r="56" customFormat="false" ht="15" hidden="false" customHeight="false" outlineLevel="0" collapsed="false">
      <c r="A56" s="7" t="s">
        <v>823</v>
      </c>
      <c r="B56" s="8" t="s">
        <v>64</v>
      </c>
      <c r="C56" s="63" t="n">
        <f aca="false">IF(Volumes!C11&gt;0,C54/(Volumes!C11*1000*(1-Pressupostos!$G$22)*(1-Pressupostos!$G$25-C55*Pressupostos!$C$118)),"n/a")</f>
        <v>13.7226574306032</v>
      </c>
      <c r="D56" s="63" t="n">
        <f aca="false">IF(Volumes!D11&gt;0,D54/(Volumes!D11*1000*(1-Pressupostos!$G$22)*(1-Pressupostos!$G$25-D55*Pressupostos!$C$118)),"n/a")</f>
        <v>2.22331382516917</v>
      </c>
      <c r="E56" s="63" t="n">
        <f aca="false">IF(Volumes!E11&gt;0,E54/(Volumes!E11*1000*(1-Pressupostos!$G$22)*(1-Pressupostos!$G$25-E55*Pressupostos!$C$118)),"n/a")</f>
        <v>1.36226948534195</v>
      </c>
      <c r="F56" s="63" t="n">
        <f aca="false">IF(Volumes!F11&gt;0,F54/(Volumes!F11*1000*(1-Pressupostos!$G$22)*(1-Pressupostos!$G$25-F55*Pressupostos!$C$118)),"n/a")</f>
        <v>0.931419565244505</v>
      </c>
      <c r="G56" s="63" t="n">
        <f aca="false">IF(Volumes!G11&gt;0,G54/(Volumes!G11*1000*(1-Pressupostos!$G$22)*(1-Pressupostos!$G$25-G55*Pressupostos!$C$118)),"n/a")</f>
        <v>0.686355267091038</v>
      </c>
    </row>
    <row r="57" customFormat="false" ht="15" hidden="false" customHeight="false" outlineLevel="0" collapsed="false">
      <c r="A57" s="7" t="s">
        <v>824</v>
      </c>
      <c r="B57" s="8" t="s">
        <v>64</v>
      </c>
      <c r="C57" s="63" t="n">
        <f aca="false">IF(Volumes!C10&gt;0,Pressupostos!$G$15+C54/(Volumes!C10*1000*(1-Pressupostos!$G$16)*(1-Pressupostos!$G$18-C55*Pressupostos!$C$118)),"n/a")</f>
        <v>105.057200401323</v>
      </c>
      <c r="D57" s="63" t="n">
        <f aca="false">IF(Volumes!D10&gt;0,Pressupostos!$G$15+D54/(Volumes!D10*1000*(1-Pressupostos!$G$16)*(1-Pressupostos!$G$18-D55*Pressupostos!$C$118)),"n/a")</f>
        <v>29.9595664788016</v>
      </c>
      <c r="E57" s="63" t="n">
        <f aca="false">IF(Volumes!E10&gt;0,Pressupostos!$G$15+E54/(Volumes!E10*1000*(1-Pressupostos!$G$16)*(1-Pressupostos!$G$18-E55*Pressupostos!$C$118)),"n/a")</f>
        <v>13.8346872268487</v>
      </c>
      <c r="F57" s="63" t="n">
        <f aca="false">IF(Volumes!F10&gt;0,Pressupostos!$G$15+F54/(Volumes!F10*1000*(1-Pressupostos!$G$16)*(1-Pressupostos!$G$18-F55*Pressupostos!$C$118)),"n/a")</f>
        <v>10.2492856583499</v>
      </c>
      <c r="G57" s="63" t="n">
        <f aca="false">IF(Volumes!G10&gt;0,Pressupostos!$G$15+G54/(Volumes!G10*1000*(1-Pressupostos!$G$16)*(1-Pressupostos!$G$18-G55*Pressupostos!$C$118)),"n/a")</f>
        <v>8.98956337520546</v>
      </c>
    </row>
    <row r="58" customFormat="false" ht="15" hidden="false" customHeight="false" outlineLevel="0" collapsed="false">
      <c r="A58" s="7" t="s">
        <v>825</v>
      </c>
      <c r="B58" s="8" t="s">
        <v>64</v>
      </c>
      <c r="C58" s="63" t="n">
        <f aca="false">IF(Pressupostos!$G$33=1,Custos!C73-C55*Pressupostos!$C$119*Custos!C56,Custos!C80)</f>
        <v>0.00725</v>
      </c>
      <c r="D58" s="63" t="n">
        <f aca="false">IF(Pressupostos!$G$33=1,Custos!D73-D55*Pressupostos!$C$119*Custos!D56,Custos!D80)</f>
        <v>0.00725</v>
      </c>
      <c r="E58" s="63" t="n">
        <f aca="false">IF(Pressupostos!$G$33=1,Custos!E73-E55*Pressupostos!$C$119*Custos!E56,Custos!E80)</f>
        <v>0.00725</v>
      </c>
      <c r="F58" s="63" t="n">
        <f aca="false">IF(Pressupostos!$G$33=1,Custos!F73-F55*Pressupostos!$C$119*Custos!F56,Custos!F80)</f>
        <v>0.00725</v>
      </c>
      <c r="G58" s="63" t="n">
        <f aca="false">IF(Pressupostos!$G$33=1,Custos!G73-G55*Pressupostos!$C$119*Custos!G56,Custos!G80)</f>
        <v>0.00725</v>
      </c>
    </row>
    <row r="59" customFormat="false" ht="15" hidden="false" customHeight="false" outlineLevel="0" collapsed="false">
      <c r="A59" s="7" t="s">
        <v>826</v>
      </c>
      <c r="B59" s="8" t="s">
        <v>120</v>
      </c>
      <c r="C59" s="55" t="n">
        <f aca="false">IF(C58&gt;0,Volumes!C12+C54/(C58*1000),"n/a")</f>
        <v>98129.303700992</v>
      </c>
      <c r="D59" s="55" t="n">
        <f aca="false">IF(D58&gt;0,Volumes!D12+D54/(D58*1000),"n/a")</f>
        <v>110539.790083676</v>
      </c>
      <c r="E59" s="55" t="n">
        <f aca="false">IF(E58&gt;0,Volumes!E12+E54/(E58*1000),"n/a")</f>
        <v>133780.688337</v>
      </c>
      <c r="F59" s="55" t="n">
        <f aca="false">IF(F58&gt;0,Volumes!F12+F54/(F58*1000),"n/a")</f>
        <v>150918.104864063</v>
      </c>
      <c r="G59" s="55" t="n">
        <f aca="false">IF(G58&gt;0,Volumes!G12+G54/(G58*1000),"n/a")</f>
        <v>168272.53746156</v>
      </c>
    </row>
    <row r="60" customFormat="false" ht="15" hidden="false" customHeight="false" outlineLevel="0" collapsed="false">
      <c r="A60" s="7" t="s">
        <v>827</v>
      </c>
      <c r="B60" s="8" t="s">
        <v>76</v>
      </c>
      <c r="C60" s="59" t="n">
        <f aca="false">C54/(Pessoal!C36+Custos!C113+Custos!C114)</f>
        <v>0.988127343113512</v>
      </c>
      <c r="D60" s="59" t="n">
        <f aca="false">D54/(Pessoal!D36+Custos!D113+Custos!D114)</f>
        <v>0.973023859650716</v>
      </c>
      <c r="E60" s="59" t="n">
        <f aca="false">E54/(Pessoal!E36+Custos!E113+Custos!E114)</f>
        <v>0.902941824466644</v>
      </c>
      <c r="F60" s="59" t="n">
        <f aca="false">F54/(Pessoal!F36+Custos!F113+Custos!F114)</f>
        <v>0.838343906683493</v>
      </c>
      <c r="G60" s="59" t="n">
        <f aca="false">G54/(Pessoal!G36+Custos!G113+Custos!G114)</f>
        <v>0.781458857228551</v>
      </c>
    </row>
    <row r="61" customFormat="false" ht="15" hidden="false" customHeight="false" outlineLevel="0" collapsed="false">
      <c r="A61" s="2" t="s">
        <v>828</v>
      </c>
      <c r="B61" s="8" t="s">
        <v>76</v>
      </c>
      <c r="C61" s="60" t="n">
        <f aca="false">Pressupostos!$C$101*Pressupostos!$C$102+Pressupostos!$C$103-Pressupostos!$G$30*Pressupostos!$C$104*Pressupostos!$C$102/(Pressupostos!$C$105*Pressupostos!$C$106)</f>
        <v>0.00354285714285715</v>
      </c>
      <c r="D61" s="60" t="n">
        <f aca="false">Pressupostos!$C$101*Pressupostos!$C$102+Pressupostos!$C$103-Pressupostos!$G$30*Pressupostos!$C$104*Pressupostos!$C$102/(Pressupostos!$C$105*Pressupostos!$C$106)</f>
        <v>0.00354285714285715</v>
      </c>
      <c r="E61" s="60" t="n">
        <f aca="false">Pressupostos!$C$101*Pressupostos!$C$102+Pressupostos!$C$103-Pressupostos!$G$30*Pressupostos!$C$104*Pressupostos!$C$102/(Pressupostos!$C$105*Pressupostos!$C$106)</f>
        <v>0.00354285714285715</v>
      </c>
      <c r="F61" s="60" t="n">
        <f aca="false">Pressupostos!$C$101*Pressupostos!$C$102+Pressupostos!$C$103-Pressupostos!$G$30*Pressupostos!$C$104*Pressupostos!$C$102/(Pressupostos!$C$105*Pressupostos!$C$106)</f>
        <v>0.00354285714285715</v>
      </c>
      <c r="G61" s="60" t="n">
        <f aca="false">Pressupostos!$C$101*Pressupostos!$C$102+Pressupostos!$C$103-Pressupostos!$G$30*Pressupostos!$C$104*Pressupostos!$C$102/(Pressupostos!$C$105*Pressupostos!$C$106)</f>
        <v>0.00354285714285715</v>
      </c>
    </row>
    <row r="62" customFormat="false" ht="15" hidden="false" customHeight="false" outlineLevel="0" collapsed="false">
      <c r="A62" s="7" t="s">
        <v>829</v>
      </c>
      <c r="B62" s="8" t="s">
        <v>11</v>
      </c>
      <c r="C62" s="61" t="n">
        <f aca="false">IF(C61&gt;0,Volumes!C28+C54/C61,"n/a")</f>
        <v>200808958.178441</v>
      </c>
      <c r="D62" s="61" t="n">
        <f aca="false">IF(D61&gt;0,Volumes!D28+D54/D61,"n/a")</f>
        <v>226705417.207523</v>
      </c>
      <c r="E62" s="61" t="n">
        <f aca="false">IF(E61&gt;0,Volumes!E28+E54/E61,"n/a")</f>
        <v>275264916.657368</v>
      </c>
      <c r="F62" s="61" t="n">
        <f aca="false">IF(F61&gt;0,Volumes!F28+F54/F61,"n/a")</f>
        <v>311834428.300452</v>
      </c>
      <c r="G62" s="61" t="n">
        <f aca="false">IF(G61&gt;0,Volumes!G28+G54/G61,"n/a")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true"/>
  </sheetPr>
  <dimension ref="A1:H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6"/>
    <col collapsed="false" customWidth="true" hidden="false" outlineLevel="0" max="7" min="3" style="0" width="20"/>
    <col collapsed="false" customWidth="true" hidden="false" outlineLevel="0" max="8" min="8" style="0" width="100"/>
  </cols>
  <sheetData>
    <row r="1" customFormat="false" ht="17.35" hidden="false" customHeight="false" outlineLevel="0" collapsed="false">
      <c r="A1" s="1" t="s">
        <v>830</v>
      </c>
    </row>
    <row r="2" customFormat="false" ht="15" hidden="false" customHeight="false" outlineLevel="0" collapsed="false">
      <c r="A2" s="2" t="s">
        <v>831</v>
      </c>
    </row>
    <row r="4" customFormat="false" ht="15" hidden="false" customHeight="false" outlineLevel="0" collapsed="false">
      <c r="A4" s="3" t="s">
        <v>832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5" t="s">
        <v>833</v>
      </c>
      <c r="C5" s="6" t="s">
        <v>381</v>
      </c>
      <c r="D5" s="6" t="s">
        <v>382</v>
      </c>
      <c r="E5" s="6" t="s">
        <v>383</v>
      </c>
      <c r="F5" s="6" t="s">
        <v>384</v>
      </c>
      <c r="G5" s="6" t="s">
        <v>385</v>
      </c>
      <c r="H5" s="6" t="s">
        <v>4</v>
      </c>
    </row>
    <row r="6" customFormat="false" ht="15" hidden="false" customHeight="false" outlineLevel="0" collapsed="false">
      <c r="A6" s="11" t="s">
        <v>834</v>
      </c>
      <c r="B6" s="8" t="s">
        <v>5</v>
      </c>
      <c r="C6" s="83" t="n">
        <f aca="false">Motor!C16</f>
        <v>40</v>
      </c>
      <c r="D6" s="83" t="n">
        <f aca="false">Motor!D16</f>
        <v>150</v>
      </c>
      <c r="E6" s="83" t="n">
        <f aca="false">Motor!E16</f>
        <v>300</v>
      </c>
      <c r="F6" s="83" t="n">
        <f aca="false">Motor!F16</f>
        <v>450</v>
      </c>
      <c r="G6" s="83" t="n">
        <f aca="false">Motor!G16</f>
        <v>600</v>
      </c>
      <c r="H6" s="8" t="s">
        <v>120</v>
      </c>
    </row>
    <row r="7" customFormat="false" ht="15" hidden="false" customHeight="false" outlineLevel="0" collapsed="false">
      <c r="A7" s="7"/>
      <c r="B7" s="8" t="s">
        <v>6</v>
      </c>
      <c r="C7" s="83" t="n">
        <f aca="false">Motor!C340</f>
        <v>60</v>
      </c>
      <c r="D7" s="83" t="n">
        <f aca="false">Motor!D340</f>
        <v>400</v>
      </c>
      <c r="E7" s="83" t="n">
        <f aca="false">Motor!E340</f>
        <v>850</v>
      </c>
      <c r="F7" s="83" t="n">
        <f aca="false">Motor!F340</f>
        <v>1450</v>
      </c>
      <c r="G7" s="83" t="n">
        <f aca="false">Motor!G340</f>
        <v>2200</v>
      </c>
      <c r="H7" s="8" t="s">
        <v>120</v>
      </c>
    </row>
    <row r="8" customFormat="false" ht="15" hidden="false" customHeight="false" outlineLevel="0" collapsed="false">
      <c r="A8" s="7"/>
      <c r="B8" s="8" t="s">
        <v>7</v>
      </c>
      <c r="C8" s="83" t="n">
        <f aca="false">Motor!C664</f>
        <v>80</v>
      </c>
      <c r="D8" s="83" t="n">
        <f aca="false">Motor!D664</f>
        <v>650</v>
      </c>
      <c r="E8" s="83" t="n">
        <f aca="false">Motor!E664</f>
        <v>1300</v>
      </c>
      <c r="F8" s="83" t="n">
        <f aca="false">Motor!F664</f>
        <v>2200</v>
      </c>
      <c r="G8" s="83" t="n">
        <f aca="false">Motor!G664</f>
        <v>3300</v>
      </c>
      <c r="H8" s="8" t="s">
        <v>120</v>
      </c>
    </row>
    <row r="9" customFormat="false" ht="15" hidden="false" customHeight="false" outlineLevel="0" collapsed="false">
      <c r="A9" s="84"/>
      <c r="B9" s="3" t="s">
        <v>8</v>
      </c>
      <c r="C9" s="85" t="n">
        <f aca="false">Motor!C988</f>
        <v>60.2</v>
      </c>
      <c r="D9" s="85" t="n">
        <f aca="false">Motor!D988</f>
        <v>893.75</v>
      </c>
      <c r="E9" s="85" t="n">
        <f aca="false">Motor!E988</f>
        <v>2299</v>
      </c>
      <c r="F9" s="85" t="n">
        <f aca="false">Motor!F988</f>
        <v>3826.5</v>
      </c>
      <c r="G9" s="85" t="n">
        <f aca="false">Motor!G988</f>
        <v>5495</v>
      </c>
      <c r="H9" s="86" t="s">
        <v>120</v>
      </c>
    </row>
    <row r="10" customFormat="false" ht="15" hidden="false" customHeight="false" outlineLevel="0" collapsed="false">
      <c r="A10" s="11" t="s">
        <v>835</v>
      </c>
      <c r="B10" s="8" t="s">
        <v>5</v>
      </c>
      <c r="C10" s="66" t="n">
        <f aca="false">Motor!C115</f>
        <v>188160</v>
      </c>
      <c r="D10" s="66" t="n">
        <f aca="false">Motor!D115</f>
        <v>643860</v>
      </c>
      <c r="E10" s="66" t="n">
        <f aca="false">Motor!E115</f>
        <v>1372160</v>
      </c>
      <c r="F10" s="66" t="n">
        <f aca="false">Motor!F115</f>
        <v>2101120</v>
      </c>
      <c r="G10" s="66" t="n">
        <f aca="false">Motor!G115</f>
        <v>2823480</v>
      </c>
      <c r="H10" s="8" t="s">
        <v>11</v>
      </c>
    </row>
    <row r="11" customFormat="false" ht="15" hidden="false" customHeight="false" outlineLevel="0" collapsed="false">
      <c r="A11" s="7"/>
      <c r="B11" s="8" t="s">
        <v>6</v>
      </c>
      <c r="C11" s="66" t="n">
        <f aca="false">Motor!C439</f>
        <v>307380</v>
      </c>
      <c r="D11" s="66" t="n">
        <f aca="false">Motor!D439</f>
        <v>1929195</v>
      </c>
      <c r="E11" s="66" t="n">
        <f aca="false">Motor!E439</f>
        <v>4300755</v>
      </c>
      <c r="F11" s="66" t="n">
        <f aca="false">Motor!F439</f>
        <v>7352745</v>
      </c>
      <c r="G11" s="66" t="n">
        <f aca="false">Motor!G439</f>
        <v>11142350</v>
      </c>
      <c r="H11" s="8" t="s">
        <v>11</v>
      </c>
    </row>
    <row r="12" customFormat="false" ht="15" hidden="false" customHeight="false" outlineLevel="0" collapsed="false">
      <c r="A12" s="7"/>
      <c r="B12" s="8" t="s">
        <v>7</v>
      </c>
      <c r="C12" s="66" t="n">
        <f aca="false">Motor!C763</f>
        <v>417600</v>
      </c>
      <c r="D12" s="66" t="n">
        <f aca="false">Motor!D763</f>
        <v>3353800</v>
      </c>
      <c r="E12" s="66" t="n">
        <f aca="false">Motor!E763</f>
        <v>6832000</v>
      </c>
      <c r="F12" s="66" t="n">
        <f aca="false">Motor!F763</f>
        <v>11648000</v>
      </c>
      <c r="G12" s="66" t="n">
        <f aca="false">Motor!G763</f>
        <v>17469500</v>
      </c>
      <c r="H12" s="8" t="s">
        <v>11</v>
      </c>
    </row>
    <row r="13" customFormat="false" ht="15" hidden="false" customHeight="false" outlineLevel="0" collapsed="false">
      <c r="A13" s="84"/>
      <c r="B13" s="3" t="s">
        <v>8</v>
      </c>
      <c r="C13" s="87" t="n">
        <f aca="false">Motor!C1087</f>
        <v>285400</v>
      </c>
      <c r="D13" s="87" t="n">
        <f aca="false">Motor!D1087</f>
        <v>3567850</v>
      </c>
      <c r="E13" s="87" t="n">
        <f aca="false">Motor!E1087</f>
        <v>8980650</v>
      </c>
      <c r="F13" s="87" t="n">
        <f aca="false">Motor!F1087</f>
        <v>15116350</v>
      </c>
      <c r="G13" s="87" t="n">
        <f aca="false">Motor!G1087</f>
        <v>21958000</v>
      </c>
      <c r="H13" s="86" t="s">
        <v>11</v>
      </c>
    </row>
    <row r="14" customFormat="false" ht="15" hidden="false" customHeight="false" outlineLevel="0" collapsed="false">
      <c r="A14" s="11" t="s">
        <v>622</v>
      </c>
      <c r="B14" s="8" t="s">
        <v>5</v>
      </c>
      <c r="C14" s="66" t="n">
        <f aca="false">Motor!C116</f>
        <v>188160</v>
      </c>
      <c r="D14" s="66" t="n">
        <f aca="false">Motor!D116</f>
        <v>643860</v>
      </c>
      <c r="E14" s="66" t="n">
        <f aca="false">Motor!E116</f>
        <v>1372160</v>
      </c>
      <c r="F14" s="66" t="n">
        <f aca="false">Motor!F116</f>
        <v>2101120</v>
      </c>
      <c r="G14" s="66" t="n">
        <f aca="false">Motor!G116</f>
        <v>2823480</v>
      </c>
      <c r="H14" s="8" t="s">
        <v>11</v>
      </c>
    </row>
    <row r="15" customFormat="false" ht="15" hidden="false" customHeight="false" outlineLevel="0" collapsed="false">
      <c r="A15" s="7"/>
      <c r="B15" s="8" t="s">
        <v>6</v>
      </c>
      <c r="C15" s="66" t="n">
        <f aca="false">Motor!C440</f>
        <v>307380</v>
      </c>
      <c r="D15" s="66" t="n">
        <f aca="false">Motor!D440</f>
        <v>1929195</v>
      </c>
      <c r="E15" s="66" t="n">
        <f aca="false">Motor!E440</f>
        <v>4300755</v>
      </c>
      <c r="F15" s="66" t="n">
        <f aca="false">Motor!F440</f>
        <v>7352745</v>
      </c>
      <c r="G15" s="66" t="n">
        <f aca="false">Motor!G440</f>
        <v>11142350</v>
      </c>
      <c r="H15" s="8" t="s">
        <v>11</v>
      </c>
    </row>
    <row r="16" customFormat="false" ht="15" hidden="false" customHeight="false" outlineLevel="0" collapsed="false">
      <c r="A16" s="7"/>
      <c r="B16" s="8" t="s">
        <v>7</v>
      </c>
      <c r="C16" s="66" t="n">
        <f aca="false">Motor!C764</f>
        <v>417600</v>
      </c>
      <c r="D16" s="66" t="n">
        <f aca="false">Motor!D764</f>
        <v>3353800</v>
      </c>
      <c r="E16" s="66" t="n">
        <f aca="false">Motor!E764</f>
        <v>6832000</v>
      </c>
      <c r="F16" s="66" t="n">
        <f aca="false">Motor!F764</f>
        <v>11648000</v>
      </c>
      <c r="G16" s="66" t="n">
        <f aca="false">Motor!G764</f>
        <v>17469500</v>
      </c>
      <c r="H16" s="8" t="s">
        <v>11</v>
      </c>
    </row>
    <row r="17" customFormat="false" ht="15" hidden="false" customHeight="false" outlineLevel="0" collapsed="false">
      <c r="A17" s="84"/>
      <c r="B17" s="3" t="s">
        <v>8</v>
      </c>
      <c r="C17" s="87" t="n">
        <f aca="false">Motor!C1088</f>
        <v>285400</v>
      </c>
      <c r="D17" s="87" t="n">
        <f aca="false">Motor!D1088</f>
        <v>1817850</v>
      </c>
      <c r="E17" s="87" t="n">
        <f aca="false">Motor!E1088</f>
        <v>3730650</v>
      </c>
      <c r="F17" s="87" t="n">
        <f aca="false">Motor!F1088</f>
        <v>6366350</v>
      </c>
      <c r="G17" s="87" t="n">
        <f aca="false">Motor!G1088</f>
        <v>9708000</v>
      </c>
      <c r="H17" s="86" t="s">
        <v>11</v>
      </c>
    </row>
    <row r="18" customFormat="false" ht="15" hidden="false" customHeight="false" outlineLevel="0" collapsed="false">
      <c r="A18" s="11" t="s">
        <v>618</v>
      </c>
      <c r="B18" s="8" t="s">
        <v>5</v>
      </c>
      <c r="C18" s="66" t="n">
        <f aca="false">Motor!C112</f>
        <v>172122</v>
      </c>
      <c r="D18" s="66" t="n">
        <f aca="false">Motor!D112</f>
        <v>643860</v>
      </c>
      <c r="E18" s="66" t="n">
        <f aca="false">Motor!E112</f>
        <v>1372160</v>
      </c>
      <c r="F18" s="66" t="n">
        <f aca="false">Motor!F112</f>
        <v>2111120</v>
      </c>
      <c r="G18" s="66" t="n">
        <f aca="false">Motor!G112</f>
        <v>2843480</v>
      </c>
      <c r="H18" s="8" t="s">
        <v>11</v>
      </c>
    </row>
    <row r="19" customFormat="false" ht="15" hidden="false" customHeight="false" outlineLevel="0" collapsed="false">
      <c r="A19" s="7"/>
      <c r="B19" s="8" t="s">
        <v>6</v>
      </c>
      <c r="C19" s="66" t="n">
        <f aca="false">Motor!C436</f>
        <v>267690</v>
      </c>
      <c r="D19" s="66" t="n">
        <f aca="false">Motor!D436</f>
        <v>1780435</v>
      </c>
      <c r="E19" s="66" t="n">
        <f aca="false">Motor!E436</f>
        <v>4066155</v>
      </c>
      <c r="F19" s="66" t="n">
        <f aca="false">Motor!F436</f>
        <v>7052305</v>
      </c>
      <c r="G19" s="66" t="n">
        <f aca="false">Motor!G436</f>
        <v>10796070</v>
      </c>
      <c r="H19" s="8" t="s">
        <v>11</v>
      </c>
    </row>
    <row r="20" customFormat="false" ht="15" hidden="false" customHeight="false" outlineLevel="0" collapsed="false">
      <c r="A20" s="7"/>
      <c r="B20" s="8" t="s">
        <v>7</v>
      </c>
      <c r="C20" s="66" t="n">
        <f aca="false">Motor!C760</f>
        <v>370458</v>
      </c>
      <c r="D20" s="66" t="n">
        <f aca="false">Motor!D760</f>
        <v>3164280</v>
      </c>
      <c r="E20" s="66" t="n">
        <f aca="false">Motor!E760</f>
        <v>6509150</v>
      </c>
      <c r="F20" s="66" t="n">
        <f aca="false">Motor!F760</f>
        <v>11221820</v>
      </c>
      <c r="G20" s="66" t="n">
        <f aca="false">Motor!G760</f>
        <v>16943800</v>
      </c>
      <c r="H20" s="8" t="s">
        <v>11</v>
      </c>
    </row>
    <row r="21" customFormat="false" ht="15" hidden="false" customHeight="false" outlineLevel="0" collapsed="false">
      <c r="A21" s="84"/>
      <c r="B21" s="3" t="s">
        <v>8</v>
      </c>
      <c r="C21" s="87" t="n">
        <f aca="false">Motor!C1084</f>
        <v>275874.4</v>
      </c>
      <c r="D21" s="87" t="n">
        <f aca="false">Motor!D1084</f>
        <v>1805254</v>
      </c>
      <c r="E21" s="87" t="n">
        <f aca="false">Motor!E1084</f>
        <v>3704769</v>
      </c>
      <c r="F21" s="87" t="n">
        <f aca="false">Motor!F1084</f>
        <v>6335277</v>
      </c>
      <c r="G21" s="87" t="n">
        <f aca="false">Motor!G1084</f>
        <v>9691735</v>
      </c>
      <c r="H21" s="86" t="s">
        <v>11</v>
      </c>
    </row>
    <row r="22" customFormat="false" ht="15" hidden="false" customHeight="false" outlineLevel="0" collapsed="false">
      <c r="A22" s="11" t="s">
        <v>836</v>
      </c>
      <c r="B22" s="8" t="s">
        <v>5</v>
      </c>
      <c r="C22" s="66" t="n">
        <f aca="false">Motor!C102</f>
        <v>29160</v>
      </c>
      <c r="D22" s="66" t="n">
        <f aca="false">Motor!D102</f>
        <v>102060</v>
      </c>
      <c r="E22" s="66" t="n">
        <f aca="false">Motor!E102</f>
        <v>247860</v>
      </c>
      <c r="F22" s="66" t="n">
        <f aca="false">Motor!F102</f>
        <v>398520</v>
      </c>
      <c r="G22" s="66" t="n">
        <f aca="false">Motor!G102</f>
        <v>500580</v>
      </c>
      <c r="H22" s="8" t="s">
        <v>11</v>
      </c>
    </row>
    <row r="23" customFormat="false" ht="15" hidden="false" customHeight="false" outlineLevel="0" collapsed="false">
      <c r="A23" s="7"/>
      <c r="B23" s="8" t="s">
        <v>6</v>
      </c>
      <c r="C23" s="66" t="n">
        <f aca="false">Motor!C426</f>
        <v>40680</v>
      </c>
      <c r="D23" s="66" t="n">
        <f aca="false">Motor!D426</f>
        <v>188145</v>
      </c>
      <c r="E23" s="66" t="n">
        <f aca="false">Motor!E426</f>
        <v>676305</v>
      </c>
      <c r="F23" s="66" t="n">
        <f aca="false">Motor!F426</f>
        <v>1357695</v>
      </c>
      <c r="G23" s="66" t="n">
        <f aca="false">Motor!G426</f>
        <v>2084850</v>
      </c>
      <c r="H23" s="8" t="s">
        <v>11</v>
      </c>
    </row>
    <row r="24" customFormat="false" ht="15" hidden="false" customHeight="false" outlineLevel="0" collapsed="false">
      <c r="A24" s="7"/>
      <c r="B24" s="8" t="s">
        <v>7</v>
      </c>
      <c r="C24" s="66" t="n">
        <f aca="false">Motor!C750</f>
        <v>54000</v>
      </c>
      <c r="D24" s="66" t="n">
        <f aca="false">Motor!D750</f>
        <v>334800</v>
      </c>
      <c r="E24" s="66" t="n">
        <f aca="false">Motor!E750</f>
        <v>1107000</v>
      </c>
      <c r="F24" s="66" t="n">
        <f aca="false">Motor!F750</f>
        <v>2214000</v>
      </c>
      <c r="G24" s="66" t="n">
        <f aca="false">Motor!G750</f>
        <v>3321000</v>
      </c>
      <c r="H24" s="8" t="s">
        <v>11</v>
      </c>
    </row>
    <row r="25" customFormat="false" ht="15" hidden="false" customHeight="false" outlineLevel="0" collapsed="false">
      <c r="A25" s="84"/>
      <c r="B25" s="3" t="s">
        <v>8</v>
      </c>
      <c r="C25" s="87" t="n">
        <f aca="false">Motor!C1074</f>
        <v>44280</v>
      </c>
      <c r="D25" s="87" t="n">
        <f aca="false">Motor!D1074</f>
        <v>166050</v>
      </c>
      <c r="E25" s="87" t="n">
        <f aca="false">Motor!E1074</f>
        <v>442800</v>
      </c>
      <c r="F25" s="87" t="n">
        <f aca="false">Motor!F1074</f>
        <v>774900</v>
      </c>
      <c r="G25" s="87" t="n">
        <f aca="false">Motor!G1074</f>
        <v>1107000</v>
      </c>
      <c r="H25" s="86" t="s">
        <v>11</v>
      </c>
    </row>
    <row r="26" customFormat="false" ht="15" hidden="false" customHeight="false" outlineLevel="0" collapsed="false">
      <c r="A26" s="11" t="s">
        <v>837</v>
      </c>
      <c r="B26" s="8" t="s">
        <v>5</v>
      </c>
      <c r="C26" s="66" t="n">
        <f aca="false">Motor!C103</f>
        <v>142800</v>
      </c>
      <c r="D26" s="66" t="n">
        <f aca="false">Motor!D103</f>
        <v>541800</v>
      </c>
      <c r="E26" s="66" t="n">
        <f aca="false">Motor!E103</f>
        <v>1045800</v>
      </c>
      <c r="F26" s="66" t="n">
        <f aca="false">Motor!F103</f>
        <v>1545600</v>
      </c>
      <c r="G26" s="66" t="n">
        <f aca="false">Motor!G103</f>
        <v>2087400</v>
      </c>
      <c r="H26" s="8" t="s">
        <v>11</v>
      </c>
    </row>
    <row r="27" customFormat="false" ht="15" hidden="false" customHeight="false" outlineLevel="0" collapsed="false">
      <c r="A27" s="7"/>
      <c r="B27" s="8" t="s">
        <v>6</v>
      </c>
      <c r="C27" s="66" t="n">
        <f aca="false">Motor!C427</f>
        <v>226200</v>
      </c>
      <c r="D27" s="66" t="n">
        <f aca="false">Motor!D427</f>
        <v>1579050</v>
      </c>
      <c r="E27" s="66" t="n">
        <f aca="false">Motor!E427</f>
        <v>3118950</v>
      </c>
      <c r="F27" s="66" t="n">
        <f aca="false">Motor!F427</f>
        <v>5146050</v>
      </c>
      <c r="G27" s="66" t="n">
        <f aca="false">Motor!G427</f>
        <v>7786500</v>
      </c>
      <c r="H27" s="8" t="s">
        <v>11</v>
      </c>
    </row>
    <row r="28" customFormat="false" ht="15" hidden="false" customHeight="false" outlineLevel="0" collapsed="false">
      <c r="A28" s="7"/>
      <c r="B28" s="8" t="s">
        <v>7</v>
      </c>
      <c r="C28" s="66" t="n">
        <f aca="false">Motor!C751</f>
        <v>315000</v>
      </c>
      <c r="D28" s="66" t="n">
        <f aca="false">Motor!D751</f>
        <v>2646000</v>
      </c>
      <c r="E28" s="66" t="n">
        <f aca="false">Motor!E751</f>
        <v>4927500</v>
      </c>
      <c r="F28" s="66" t="n">
        <f aca="false">Motor!F751</f>
        <v>8055000</v>
      </c>
      <c r="G28" s="66" t="n">
        <f aca="false">Motor!G751</f>
        <v>12082500</v>
      </c>
      <c r="H28" s="8" t="s">
        <v>11</v>
      </c>
    </row>
    <row r="29" customFormat="false" ht="15" hidden="false" customHeight="false" outlineLevel="0" collapsed="false">
      <c r="A29" s="84"/>
      <c r="B29" s="3" t="s">
        <v>8</v>
      </c>
      <c r="C29" s="87" t="n">
        <f aca="false">Motor!C1075</f>
        <v>231400</v>
      </c>
      <c r="D29" s="87" t="n">
        <f aca="false">Motor!D1075</f>
        <v>1615350</v>
      </c>
      <c r="E29" s="87" t="n">
        <f aca="false">Motor!E1075</f>
        <v>3190650</v>
      </c>
      <c r="F29" s="87" t="n">
        <f aca="false">Motor!F1075</f>
        <v>5264350</v>
      </c>
      <c r="G29" s="87" t="n">
        <f aca="false">Motor!G1075</f>
        <v>7965500</v>
      </c>
      <c r="H29" s="86" t="s">
        <v>11</v>
      </c>
    </row>
    <row r="30" customFormat="false" ht="15" hidden="false" customHeight="false" outlineLevel="0" collapsed="false">
      <c r="A30" s="11" t="s">
        <v>838</v>
      </c>
      <c r="B30" s="8" t="s">
        <v>5</v>
      </c>
      <c r="C30" s="66" t="n">
        <f aca="false">Motor!C104</f>
        <v>0</v>
      </c>
      <c r="D30" s="66" t="n">
        <f aca="false">Motor!D104</f>
        <v>0</v>
      </c>
      <c r="E30" s="66" t="n">
        <f aca="false">Motor!E104</f>
        <v>0</v>
      </c>
      <c r="F30" s="66" t="n">
        <f aca="false">Motor!F104</f>
        <v>0</v>
      </c>
      <c r="G30" s="66" t="n">
        <f aca="false">Motor!G104</f>
        <v>0</v>
      </c>
      <c r="H30" s="8" t="s">
        <v>11</v>
      </c>
    </row>
    <row r="31" customFormat="false" ht="15" hidden="false" customHeight="false" outlineLevel="0" collapsed="false">
      <c r="A31" s="7"/>
      <c r="B31" s="8" t="s">
        <v>6</v>
      </c>
      <c r="C31" s="66" t="n">
        <f aca="false">Motor!C428</f>
        <v>0</v>
      </c>
      <c r="D31" s="66" t="n">
        <f aca="false">Motor!D428</f>
        <v>0</v>
      </c>
      <c r="E31" s="66" t="n">
        <f aca="false">Motor!E428</f>
        <v>0</v>
      </c>
      <c r="F31" s="66" t="n">
        <f aca="false">Motor!F428</f>
        <v>0</v>
      </c>
      <c r="G31" s="66" t="n">
        <f aca="false">Motor!G428</f>
        <v>0</v>
      </c>
      <c r="H31" s="8" t="s">
        <v>11</v>
      </c>
    </row>
    <row r="32" customFormat="false" ht="15" hidden="false" customHeight="false" outlineLevel="0" collapsed="false">
      <c r="A32" s="7"/>
      <c r="B32" s="8" t="s">
        <v>7</v>
      </c>
      <c r="C32" s="66" t="n">
        <f aca="false">Motor!C752</f>
        <v>0</v>
      </c>
      <c r="D32" s="66" t="n">
        <f aca="false">Motor!D752</f>
        <v>0</v>
      </c>
      <c r="E32" s="66" t="n">
        <f aca="false">Motor!E752</f>
        <v>0</v>
      </c>
      <c r="F32" s="66" t="n">
        <f aca="false">Motor!F752</f>
        <v>0</v>
      </c>
      <c r="G32" s="66" t="n">
        <f aca="false">Motor!G752</f>
        <v>0</v>
      </c>
      <c r="H32" s="8" t="s">
        <v>11</v>
      </c>
    </row>
    <row r="33" customFormat="false" ht="15" hidden="false" customHeight="false" outlineLevel="0" collapsed="false">
      <c r="A33" s="84"/>
      <c r="B33" s="3" t="s">
        <v>8</v>
      </c>
      <c r="C33" s="87" t="n">
        <f aca="false">Motor!C1076</f>
        <v>0</v>
      </c>
      <c r="D33" s="87" t="n">
        <f aca="false">Motor!D1076</f>
        <v>0</v>
      </c>
      <c r="E33" s="87" t="n">
        <f aca="false">Motor!E1076</f>
        <v>0</v>
      </c>
      <c r="F33" s="87" t="n">
        <f aca="false">Motor!F1076</f>
        <v>0</v>
      </c>
      <c r="G33" s="87" t="n">
        <f aca="false">Motor!G1076</f>
        <v>0</v>
      </c>
      <c r="H33" s="86" t="s">
        <v>11</v>
      </c>
    </row>
    <row r="34" customFormat="false" ht="15" hidden="false" customHeight="false" outlineLevel="0" collapsed="false">
      <c r="A34" s="11" t="s">
        <v>839</v>
      </c>
      <c r="B34" s="8" t="s">
        <v>5</v>
      </c>
      <c r="C34" s="66" t="n">
        <f aca="false">Motor!C109</f>
        <v>0</v>
      </c>
      <c r="D34" s="66" t="n">
        <f aca="false">Motor!D109</f>
        <v>0</v>
      </c>
      <c r="E34" s="66" t="n">
        <f aca="false">Motor!E109</f>
        <v>0</v>
      </c>
      <c r="F34" s="66" t="n">
        <f aca="false">Motor!F109</f>
        <v>0</v>
      </c>
      <c r="G34" s="66" t="n">
        <f aca="false">Motor!G109</f>
        <v>0</v>
      </c>
      <c r="H34" s="8" t="s">
        <v>11</v>
      </c>
    </row>
    <row r="35" customFormat="false" ht="15" hidden="false" customHeight="false" outlineLevel="0" collapsed="false">
      <c r="A35" s="7"/>
      <c r="B35" s="8" t="s">
        <v>6</v>
      </c>
      <c r="C35" s="66" t="n">
        <f aca="false">Motor!C433</f>
        <v>0</v>
      </c>
      <c r="D35" s="66" t="n">
        <f aca="false">Motor!D433</f>
        <v>0</v>
      </c>
      <c r="E35" s="66" t="n">
        <f aca="false">Motor!E433</f>
        <v>0</v>
      </c>
      <c r="F35" s="66" t="n">
        <f aca="false">Motor!F433</f>
        <v>0</v>
      </c>
      <c r="G35" s="66" t="n">
        <f aca="false">Motor!G433</f>
        <v>0</v>
      </c>
      <c r="H35" s="8" t="s">
        <v>11</v>
      </c>
    </row>
    <row r="36" customFormat="false" ht="15" hidden="false" customHeight="false" outlineLevel="0" collapsed="false">
      <c r="A36" s="7"/>
      <c r="B36" s="8" t="s">
        <v>7</v>
      </c>
      <c r="C36" s="66" t="n">
        <f aca="false">Motor!C757</f>
        <v>0</v>
      </c>
      <c r="D36" s="66" t="n">
        <f aca="false">Motor!D757</f>
        <v>0</v>
      </c>
      <c r="E36" s="66" t="n">
        <f aca="false">Motor!E757</f>
        <v>0</v>
      </c>
      <c r="F36" s="66" t="n">
        <f aca="false">Motor!F757</f>
        <v>0</v>
      </c>
      <c r="G36" s="66" t="n">
        <f aca="false">Motor!G757</f>
        <v>0</v>
      </c>
      <c r="H36" s="8" t="s">
        <v>11</v>
      </c>
    </row>
    <row r="37" customFormat="false" ht="15" hidden="false" customHeight="false" outlineLevel="0" collapsed="false">
      <c r="A37" s="84"/>
      <c r="B37" s="3" t="s">
        <v>8</v>
      </c>
      <c r="C37" s="87" t="n">
        <f aca="false">Motor!C1081</f>
        <v>0</v>
      </c>
      <c r="D37" s="87" t="n">
        <f aca="false">Motor!D1081</f>
        <v>13125</v>
      </c>
      <c r="E37" s="87" t="n">
        <f aca="false">Motor!E1081</f>
        <v>39375</v>
      </c>
      <c r="F37" s="87" t="n">
        <f aca="false">Motor!F1081</f>
        <v>65625</v>
      </c>
      <c r="G37" s="87" t="n">
        <f aca="false">Motor!G1081</f>
        <v>91875</v>
      </c>
      <c r="H37" s="86" t="s">
        <v>11</v>
      </c>
    </row>
    <row r="38" customFormat="false" ht="15" hidden="false" customHeight="false" outlineLevel="0" collapsed="false">
      <c r="A38" s="11" t="s">
        <v>840</v>
      </c>
      <c r="B38" s="8" t="s">
        <v>5</v>
      </c>
      <c r="C38" s="66" t="n">
        <f aca="false">Motor!C106</f>
        <v>0</v>
      </c>
      <c r="D38" s="66" t="n">
        <f aca="false">Motor!D106</f>
        <v>0</v>
      </c>
      <c r="E38" s="66" t="n">
        <f aca="false">Motor!E106</f>
        <v>78500</v>
      </c>
      <c r="F38" s="66" t="n">
        <f aca="false">Motor!F106</f>
        <v>157000</v>
      </c>
      <c r="G38" s="66" t="n">
        <f aca="false">Motor!G106</f>
        <v>235500</v>
      </c>
      <c r="H38" s="8" t="s">
        <v>11</v>
      </c>
    </row>
    <row r="39" customFormat="false" ht="15" hidden="false" customHeight="false" outlineLevel="0" collapsed="false">
      <c r="A39" s="7"/>
      <c r="B39" s="8" t="s">
        <v>6</v>
      </c>
      <c r="C39" s="66" t="n">
        <f aca="false">Motor!C430</f>
        <v>0</v>
      </c>
      <c r="D39" s="66" t="n">
        <f aca="false">Motor!D430</f>
        <v>0</v>
      </c>
      <c r="E39" s="66" t="n">
        <f aca="false">Motor!E430</f>
        <v>235500</v>
      </c>
      <c r="F39" s="66" t="n">
        <f aca="false">Motor!F430</f>
        <v>471000</v>
      </c>
      <c r="G39" s="66" t="n">
        <f aca="false">Motor!G430</f>
        <v>785000</v>
      </c>
      <c r="H39" s="8" t="s">
        <v>11</v>
      </c>
    </row>
    <row r="40" customFormat="false" ht="15" hidden="false" customHeight="false" outlineLevel="0" collapsed="false">
      <c r="A40" s="7"/>
      <c r="B40" s="8" t="s">
        <v>7</v>
      </c>
      <c r="C40" s="66" t="n">
        <f aca="false">Motor!C754</f>
        <v>0</v>
      </c>
      <c r="D40" s="66" t="n">
        <f aca="false">Motor!D754</f>
        <v>157000</v>
      </c>
      <c r="E40" s="66" t="n">
        <f aca="false">Motor!E754</f>
        <v>392500</v>
      </c>
      <c r="F40" s="66" t="n">
        <f aca="false">Motor!F754</f>
        <v>785000</v>
      </c>
      <c r="G40" s="66" t="n">
        <f aca="false">Motor!G754</f>
        <v>1256000</v>
      </c>
      <c r="H40" s="8" t="s">
        <v>11</v>
      </c>
    </row>
    <row r="41" customFormat="false" ht="15" hidden="false" customHeight="false" outlineLevel="0" collapsed="false">
      <c r="A41" s="84"/>
      <c r="B41" s="3" t="s">
        <v>8</v>
      </c>
      <c r="C41" s="87" t="n">
        <f aca="false">Motor!C1078</f>
        <v>0</v>
      </c>
      <c r="D41" s="87" t="n">
        <f aca="false">Motor!D1078</f>
        <v>0</v>
      </c>
      <c r="E41" s="87" t="n">
        <f aca="false">Motor!E1078</f>
        <v>0</v>
      </c>
      <c r="F41" s="87" t="n">
        <f aca="false">Motor!F1078</f>
        <v>157000</v>
      </c>
      <c r="G41" s="87" t="n">
        <f aca="false">Motor!G1078</f>
        <v>392500</v>
      </c>
      <c r="H41" s="86" t="s">
        <v>11</v>
      </c>
    </row>
    <row r="42" customFormat="false" ht="15" hidden="false" customHeight="false" outlineLevel="0" collapsed="false">
      <c r="A42" s="11" t="s">
        <v>841</v>
      </c>
      <c r="B42" s="8" t="s">
        <v>5</v>
      </c>
      <c r="C42" s="66" t="n">
        <f aca="false">Motor!C108</f>
        <v>162</v>
      </c>
      <c r="D42" s="66" t="n">
        <f aca="false">Motor!D108</f>
        <v>0</v>
      </c>
      <c r="E42" s="66" t="n">
        <f aca="false">Motor!E108</f>
        <v>0</v>
      </c>
      <c r="F42" s="66" t="n">
        <f aca="false">Motor!F108</f>
        <v>0</v>
      </c>
      <c r="G42" s="66" t="n">
        <f aca="false">Motor!G108</f>
        <v>0</v>
      </c>
      <c r="H42" s="8" t="s">
        <v>11</v>
      </c>
    </row>
    <row r="43" customFormat="false" ht="15" hidden="false" customHeight="false" outlineLevel="0" collapsed="false">
      <c r="A43" s="7"/>
      <c r="B43" s="8" t="s">
        <v>6</v>
      </c>
      <c r="C43" s="66" t="n">
        <f aca="false">Motor!C432</f>
        <v>810</v>
      </c>
      <c r="D43" s="66" t="n">
        <f aca="false">Motor!D432</f>
        <v>3240</v>
      </c>
      <c r="E43" s="66" t="n">
        <f aca="false">Motor!E432</f>
        <v>5400</v>
      </c>
      <c r="F43" s="66" t="n">
        <f aca="false">Motor!F432</f>
        <v>7560</v>
      </c>
      <c r="G43" s="66" t="n">
        <f aca="false">Motor!G432</f>
        <v>9720</v>
      </c>
      <c r="H43" s="8" t="s">
        <v>11</v>
      </c>
    </row>
    <row r="44" customFormat="false" ht="15" hidden="false" customHeight="false" outlineLevel="0" collapsed="false">
      <c r="A44" s="7"/>
      <c r="B44" s="8" t="s">
        <v>7</v>
      </c>
      <c r="C44" s="66" t="n">
        <f aca="false">Motor!C756</f>
        <v>1458</v>
      </c>
      <c r="D44" s="66" t="n">
        <f aca="false">Motor!D756</f>
        <v>6480</v>
      </c>
      <c r="E44" s="66" t="n">
        <f aca="false">Motor!E756</f>
        <v>12150</v>
      </c>
      <c r="F44" s="66" t="n">
        <f aca="false">Motor!F756</f>
        <v>17820</v>
      </c>
      <c r="G44" s="66" t="n">
        <f aca="false">Motor!G756</f>
        <v>24300</v>
      </c>
      <c r="H44" s="8" t="s">
        <v>11</v>
      </c>
    </row>
    <row r="45" customFormat="false" ht="15" hidden="false" customHeight="false" outlineLevel="0" collapsed="false">
      <c r="A45" s="84"/>
      <c r="B45" s="3" t="s">
        <v>8</v>
      </c>
      <c r="C45" s="87" t="n">
        <f aca="false">Motor!C1080</f>
        <v>194.4</v>
      </c>
      <c r="D45" s="87" t="n">
        <f aca="false">Motor!D1080</f>
        <v>729</v>
      </c>
      <c r="E45" s="87" t="n">
        <f aca="false">Motor!E1080</f>
        <v>1944</v>
      </c>
      <c r="F45" s="87" t="n">
        <f aca="false">Motor!F1080</f>
        <v>3402</v>
      </c>
      <c r="G45" s="87" t="n">
        <f aca="false">Motor!G1080</f>
        <v>4860</v>
      </c>
      <c r="H45" s="86" t="s">
        <v>11</v>
      </c>
    </row>
    <row r="46" customFormat="false" ht="15" hidden="false" customHeight="false" outlineLevel="0" collapsed="false">
      <c r="A46" s="11" t="s">
        <v>842</v>
      </c>
      <c r="B46" s="8" t="s">
        <v>5</v>
      </c>
      <c r="C46" s="66" t="n">
        <f aca="false">Motor!C110</f>
        <v>0</v>
      </c>
      <c r="D46" s="66" t="n">
        <f aca="false">Motor!D110</f>
        <v>0</v>
      </c>
      <c r="E46" s="66" t="n">
        <f aca="false">Motor!E110</f>
        <v>0</v>
      </c>
      <c r="F46" s="66" t="n">
        <f aca="false">Motor!F110</f>
        <v>10000</v>
      </c>
      <c r="G46" s="66" t="n">
        <f aca="false">Motor!G110</f>
        <v>20000</v>
      </c>
      <c r="H46" s="8" t="s">
        <v>11</v>
      </c>
    </row>
    <row r="47" customFormat="false" ht="15" hidden="false" customHeight="false" outlineLevel="0" collapsed="false">
      <c r="A47" s="7"/>
      <c r="B47" s="8" t="s">
        <v>6</v>
      </c>
      <c r="C47" s="66" t="n">
        <f aca="false">Motor!C434</f>
        <v>0</v>
      </c>
      <c r="D47" s="66" t="n">
        <f aca="false">Motor!D434</f>
        <v>10000</v>
      </c>
      <c r="E47" s="66" t="n">
        <f aca="false">Motor!E434</f>
        <v>30000</v>
      </c>
      <c r="F47" s="66" t="n">
        <f aca="false">Motor!F434</f>
        <v>60000</v>
      </c>
      <c r="G47" s="66" t="n">
        <f aca="false">Motor!G434</f>
        <v>100000</v>
      </c>
      <c r="H47" s="8" t="s">
        <v>11</v>
      </c>
    </row>
    <row r="48" customFormat="false" ht="15" hidden="false" customHeight="false" outlineLevel="0" collapsed="false">
      <c r="A48" s="7"/>
      <c r="B48" s="8" t="s">
        <v>7</v>
      </c>
      <c r="C48" s="66" t="n">
        <f aca="false">Motor!C758</f>
        <v>0</v>
      </c>
      <c r="D48" s="66" t="n">
        <f aca="false">Motor!D758</f>
        <v>20000</v>
      </c>
      <c r="E48" s="66" t="n">
        <f aca="false">Motor!E758</f>
        <v>60000</v>
      </c>
      <c r="F48" s="66" t="n">
        <f aca="false">Motor!F758</f>
        <v>120000</v>
      </c>
      <c r="G48" s="66" t="n">
        <f aca="false">Motor!G758</f>
        <v>200000</v>
      </c>
      <c r="H48" s="8" t="s">
        <v>11</v>
      </c>
    </row>
    <row r="49" customFormat="false" ht="15" hidden="false" customHeight="false" outlineLevel="0" collapsed="false">
      <c r="A49" s="84"/>
      <c r="B49" s="3" t="s">
        <v>8</v>
      </c>
      <c r="C49" s="87" t="n">
        <f aca="false">Motor!C1082</f>
        <v>0</v>
      </c>
      <c r="D49" s="87" t="n">
        <f aca="false">Motor!D1082</f>
        <v>10000</v>
      </c>
      <c r="E49" s="87" t="n">
        <f aca="false">Motor!E1082</f>
        <v>30000</v>
      </c>
      <c r="F49" s="87" t="n">
        <f aca="false">Motor!F1082</f>
        <v>60000</v>
      </c>
      <c r="G49" s="87" t="n">
        <f aca="false">Motor!G1082</f>
        <v>100000</v>
      </c>
      <c r="H49" s="86" t="s">
        <v>11</v>
      </c>
    </row>
    <row r="50" customFormat="false" ht="15" hidden="false" customHeight="false" outlineLevel="0" collapsed="false">
      <c r="A50" s="11" t="s">
        <v>843</v>
      </c>
      <c r="B50" s="8" t="s">
        <v>5</v>
      </c>
      <c r="C50" s="66" t="n">
        <f aca="false">Motor!C111</f>
        <v>0</v>
      </c>
      <c r="D50" s="66" t="n">
        <f aca="false">Motor!D111</f>
        <v>0</v>
      </c>
      <c r="E50" s="66" t="n">
        <f aca="false">Motor!E111</f>
        <v>0</v>
      </c>
      <c r="F50" s="66" t="n">
        <f aca="false">Motor!F111</f>
        <v>0</v>
      </c>
      <c r="G50" s="66" t="n">
        <f aca="false">Motor!G111</f>
        <v>0</v>
      </c>
      <c r="H50" s="8" t="s">
        <v>11</v>
      </c>
    </row>
    <row r="51" customFormat="false" ht="15" hidden="false" customHeight="false" outlineLevel="0" collapsed="false">
      <c r="A51" s="7"/>
      <c r="B51" s="8" t="s">
        <v>6</v>
      </c>
      <c r="C51" s="66" t="n">
        <f aca="false">Motor!C435</f>
        <v>0</v>
      </c>
      <c r="D51" s="66" t="n">
        <f aca="false">Motor!D435</f>
        <v>0</v>
      </c>
      <c r="E51" s="66" t="n">
        <f aca="false">Motor!E435</f>
        <v>0</v>
      </c>
      <c r="F51" s="66" t="n">
        <f aca="false">Motor!F435</f>
        <v>10000</v>
      </c>
      <c r="G51" s="66" t="n">
        <f aca="false">Motor!G435</f>
        <v>30000</v>
      </c>
      <c r="H51" s="8" t="s">
        <v>11</v>
      </c>
    </row>
    <row r="52" customFormat="false" ht="15" hidden="false" customHeight="false" outlineLevel="0" collapsed="false">
      <c r="A52" s="7"/>
      <c r="B52" s="8" t="s">
        <v>7</v>
      </c>
      <c r="C52" s="66" t="n">
        <f aca="false">Motor!C759</f>
        <v>0</v>
      </c>
      <c r="D52" s="66" t="n">
        <f aca="false">Motor!D759</f>
        <v>0</v>
      </c>
      <c r="E52" s="66" t="n">
        <f aca="false">Motor!E759</f>
        <v>10000</v>
      </c>
      <c r="F52" s="66" t="n">
        <f aca="false">Motor!F759</f>
        <v>30000</v>
      </c>
      <c r="G52" s="66" t="n">
        <f aca="false">Motor!G759</f>
        <v>60000</v>
      </c>
      <c r="H52" s="8" t="s">
        <v>11</v>
      </c>
    </row>
    <row r="53" customFormat="false" ht="15" hidden="false" customHeight="false" outlineLevel="0" collapsed="false">
      <c r="A53" s="84"/>
      <c r="B53" s="3" t="s">
        <v>8</v>
      </c>
      <c r="C53" s="87" t="n">
        <f aca="false">Motor!C1083</f>
        <v>0</v>
      </c>
      <c r="D53" s="87" t="n">
        <f aca="false">Motor!D1083</f>
        <v>0</v>
      </c>
      <c r="E53" s="87" t="n">
        <f aca="false">Motor!E1083</f>
        <v>0</v>
      </c>
      <c r="F53" s="87" t="n">
        <f aca="false">Motor!F1083</f>
        <v>10000</v>
      </c>
      <c r="G53" s="87" t="n">
        <f aca="false">Motor!G1083</f>
        <v>30000</v>
      </c>
      <c r="H53" s="86" t="s">
        <v>11</v>
      </c>
    </row>
    <row r="54" customFormat="false" ht="15" hidden="false" customHeight="false" outlineLevel="0" collapsed="false">
      <c r="A54" s="11" t="s">
        <v>719</v>
      </c>
      <c r="B54" s="8" t="s">
        <v>5</v>
      </c>
      <c r="C54" s="66" t="n">
        <f aca="false">Motor!C212</f>
        <v>7522</v>
      </c>
      <c r="D54" s="66" t="n">
        <f aca="false">Motor!D212</f>
        <v>26760</v>
      </c>
      <c r="E54" s="66" t="n">
        <f aca="false">Motor!E212</f>
        <v>67060</v>
      </c>
      <c r="F54" s="66" t="n">
        <f aca="false">Motor!F212</f>
        <v>117920</v>
      </c>
      <c r="G54" s="66" t="n">
        <f aca="false">Motor!G212</f>
        <v>163180</v>
      </c>
      <c r="H54" s="8" t="s">
        <v>11</v>
      </c>
    </row>
    <row r="55" customFormat="false" ht="15" hidden="false" customHeight="false" outlineLevel="0" collapsed="false">
      <c r="A55" s="7"/>
      <c r="B55" s="8" t="s">
        <v>6</v>
      </c>
      <c r="C55" s="66" t="n">
        <f aca="false">Motor!C536</f>
        <v>23890</v>
      </c>
      <c r="D55" s="66" t="n">
        <f aca="false">Motor!D536</f>
        <v>156735</v>
      </c>
      <c r="E55" s="66" t="n">
        <f aca="false">Motor!E536</f>
        <v>400355</v>
      </c>
      <c r="F55" s="66" t="n">
        <f aca="false">Motor!F536</f>
        <v>733105</v>
      </c>
      <c r="G55" s="66" t="n">
        <f aca="false">Motor!G536</f>
        <v>1145070</v>
      </c>
      <c r="H55" s="8" t="s">
        <v>11</v>
      </c>
    </row>
    <row r="56" customFormat="false" ht="15" hidden="false" customHeight="false" outlineLevel="0" collapsed="false">
      <c r="A56" s="7"/>
      <c r="B56" s="8" t="s">
        <v>7</v>
      </c>
      <c r="C56" s="66" t="n">
        <f aca="false">Motor!C860</f>
        <v>49458</v>
      </c>
      <c r="D56" s="66" t="n">
        <f aca="false">Motor!D860</f>
        <v>418080</v>
      </c>
      <c r="E56" s="66" t="n">
        <f aca="false">Motor!E860</f>
        <v>938650</v>
      </c>
      <c r="F56" s="66" t="n">
        <f aca="false">Motor!F860</f>
        <v>1680820</v>
      </c>
      <c r="G56" s="66" t="n">
        <f aca="false">Motor!G860</f>
        <v>2562300</v>
      </c>
      <c r="H56" s="8" t="s">
        <v>11</v>
      </c>
    </row>
    <row r="57" customFormat="false" ht="15" hidden="false" customHeight="false" outlineLevel="0" collapsed="false">
      <c r="A57" s="84"/>
      <c r="B57" s="3" t="s">
        <v>8</v>
      </c>
      <c r="C57" s="87" t="n">
        <f aca="false">Motor!C1184</f>
        <v>30834.4</v>
      </c>
      <c r="D57" s="87" t="n">
        <f aca="false">Motor!D1184</f>
        <v>205954</v>
      </c>
      <c r="E57" s="87" t="n">
        <f aca="false">Motor!E1184</f>
        <v>456519</v>
      </c>
      <c r="F57" s="87" t="n">
        <f aca="false">Motor!F1184</f>
        <v>801426.999999999</v>
      </c>
      <c r="G57" s="87" t="n">
        <f aca="false">Motor!G1184</f>
        <v>1231235</v>
      </c>
      <c r="H57" s="86" t="s">
        <v>11</v>
      </c>
    </row>
    <row r="58" customFormat="false" ht="15" hidden="false" customHeight="false" outlineLevel="0" collapsed="false">
      <c r="A58" s="11" t="s">
        <v>677</v>
      </c>
      <c r="B58" s="8" t="s">
        <v>5</v>
      </c>
      <c r="C58" s="66" t="n">
        <f aca="false">Motor!C131</f>
        <v>-3800.34666666665</v>
      </c>
      <c r="D58" s="66" t="n">
        <f aca="false">Motor!D131</f>
        <v>-29750.5522113503</v>
      </c>
      <c r="E58" s="66" t="n">
        <f aca="false">Motor!E131</f>
        <v>-53805.847514677</v>
      </c>
      <c r="F58" s="66" t="n">
        <f aca="false">Motor!F131</f>
        <v>-65150.6884409653</v>
      </c>
      <c r="G58" s="66" t="n">
        <f aca="false">Motor!G131</f>
        <v>-79079.8422178733</v>
      </c>
      <c r="H58" s="8" t="s">
        <v>11</v>
      </c>
    </row>
    <row r="59" customFormat="false" ht="15" hidden="false" customHeight="false" outlineLevel="0" collapsed="false">
      <c r="A59" s="7"/>
      <c r="B59" s="8" t="s">
        <v>6</v>
      </c>
      <c r="C59" s="66" t="n">
        <f aca="false">Motor!C455</f>
        <v>8548.14191780829</v>
      </c>
      <c r="D59" s="66" t="n">
        <f aca="false">Motor!D455</f>
        <v>29287.1893933469</v>
      </c>
      <c r="E59" s="66" t="n">
        <f aca="false">Motor!E455</f>
        <v>119437.674806752</v>
      </c>
      <c r="F59" s="66" t="n">
        <f aca="false">Motor!F455</f>
        <v>236998.831736791</v>
      </c>
      <c r="G59" s="66" t="n">
        <f aca="false">Motor!G455</f>
        <v>380661.297015657</v>
      </c>
      <c r="H59" s="8" t="s">
        <v>11</v>
      </c>
    </row>
    <row r="60" customFormat="false" ht="15" hidden="false" customHeight="false" outlineLevel="0" collapsed="false">
      <c r="A60" s="7"/>
      <c r="B60" s="8" t="s">
        <v>7</v>
      </c>
      <c r="C60" s="66" t="n">
        <f aca="false">Motor!C779</f>
        <v>29375.6118721462</v>
      </c>
      <c r="D60" s="66" t="n">
        <f aca="false">Motor!D779</f>
        <v>225646.642235525</v>
      </c>
      <c r="E60" s="66" t="n">
        <f aca="false">Motor!E779</f>
        <v>530196.172959596</v>
      </c>
      <c r="F60" s="66" t="n">
        <f aca="false">Motor!F779</f>
        <v>957600.562411267</v>
      </c>
      <c r="G60" s="66" t="n">
        <f aca="false">Motor!G779</f>
        <v>1458148.74427305</v>
      </c>
      <c r="H60" s="8" t="s">
        <v>11</v>
      </c>
    </row>
    <row r="61" customFormat="false" ht="15" hidden="false" customHeight="false" outlineLevel="0" collapsed="false">
      <c r="A61" s="84"/>
      <c r="B61" s="3" t="s">
        <v>8</v>
      </c>
      <c r="C61" s="87" t="n">
        <f aca="false">Motor!C1103</f>
        <v>15340.1773972603</v>
      </c>
      <c r="D61" s="87" t="n">
        <f aca="false">Motor!D1103</f>
        <v>82564.2679794522</v>
      </c>
      <c r="E61" s="87" t="n">
        <f aca="false">Motor!E1103</f>
        <v>210431.044049658</v>
      </c>
      <c r="F61" s="87" t="n">
        <f aca="false">Motor!F1103</f>
        <v>389253.646489727</v>
      </c>
      <c r="G61" s="87" t="n">
        <f aca="false">Motor!G1103</f>
        <v>613843.923801371</v>
      </c>
      <c r="H61" s="86" t="s">
        <v>11</v>
      </c>
    </row>
    <row r="62" customFormat="false" ht="15" hidden="false" customHeight="false" outlineLevel="0" collapsed="false">
      <c r="A62" s="11" t="s">
        <v>630</v>
      </c>
      <c r="B62" s="8" t="s">
        <v>5</v>
      </c>
      <c r="C62" s="48" t="n">
        <f aca="false">Motor!C124</f>
        <v>-0.0990586666666662</v>
      </c>
      <c r="D62" s="48" t="n">
        <f aca="false">Motor!D124</f>
        <v>-0.198337014742335</v>
      </c>
      <c r="E62" s="48" t="n">
        <f aca="false">Motor!E124</f>
        <v>-0.196972322765818</v>
      </c>
      <c r="F62" s="48" t="n">
        <f aca="false">Motor!F124</f>
        <v>-0.172208479205624</v>
      </c>
      <c r="G62" s="48" t="n">
        <f aca="false">Motor!G124</f>
        <v>-0.164133745509893</v>
      </c>
      <c r="H62" s="8" t="s">
        <v>64</v>
      </c>
    </row>
    <row r="63" customFormat="false" ht="15" hidden="false" customHeight="false" outlineLevel="0" collapsed="false">
      <c r="A63" s="7"/>
      <c r="B63" s="8" t="s">
        <v>6</v>
      </c>
      <c r="C63" s="48" t="n">
        <f aca="false">Motor!C448</f>
        <v>0.128969031963471</v>
      </c>
      <c r="D63" s="48" t="n">
        <f aca="false">Motor!D448</f>
        <v>0.0606894020547957</v>
      </c>
      <c r="E63" s="48" t="n">
        <f aca="false">Motor!E448</f>
        <v>0.108495167667205</v>
      </c>
      <c r="F63" s="48" t="n">
        <f aca="false">Motor!F448</f>
        <v>0.121044137954653</v>
      </c>
      <c r="G63" s="48" t="n">
        <f aca="false">Motor!G448</f>
        <v>0.121696929171856</v>
      </c>
      <c r="H63" s="8" t="s">
        <v>64</v>
      </c>
    </row>
    <row r="64" customFormat="false" ht="15" hidden="false" customHeight="false" outlineLevel="0" collapsed="false">
      <c r="A64" s="7"/>
      <c r="B64" s="8" t="s">
        <v>7</v>
      </c>
      <c r="C64" s="48" t="n">
        <f aca="false">Motor!C772</f>
        <v>0.348970148401828</v>
      </c>
      <c r="D64" s="48" t="n">
        <f aca="false">Motor!D772</f>
        <v>0.314671467550983</v>
      </c>
      <c r="E64" s="48" t="n">
        <f aca="false">Motor!E772</f>
        <v>0.361131406743942</v>
      </c>
      <c r="F64" s="48" t="n">
        <f aca="false">Motor!F772</f>
        <v>0.378260447464167</v>
      </c>
      <c r="G64" s="48" t="n">
        <f aca="false">Motor!G772</f>
        <v>0.378260447464167</v>
      </c>
      <c r="H64" s="8" t="s">
        <v>64</v>
      </c>
    </row>
    <row r="65" customFormat="false" ht="15" hidden="false" customHeight="false" outlineLevel="0" collapsed="false">
      <c r="A65" s="84"/>
      <c r="B65" s="3" t="s">
        <v>8</v>
      </c>
      <c r="C65" s="88" t="n">
        <f aca="false">Motor!C1096</f>
        <v>0.251590986665454</v>
      </c>
      <c r="D65" s="88" t="n">
        <f aca="false">Motor!D1096</f>
        <v>0.0803751250119745</v>
      </c>
      <c r="E65" s="88" t="n">
        <f aca="false">Motor!E1096</f>
        <v>0.0776368177684462</v>
      </c>
      <c r="F65" s="88" t="n">
        <f aca="false">Motor!F1096</f>
        <v>0.0796932841942189</v>
      </c>
      <c r="G65" s="88" t="n">
        <f aca="false">Motor!G1096</f>
        <v>0.0822057666060056</v>
      </c>
      <c r="H65" s="86" t="s">
        <v>64</v>
      </c>
    </row>
    <row r="66" customFormat="false" ht="15" hidden="false" customHeight="false" outlineLevel="0" collapsed="false">
      <c r="A66" s="11" t="s">
        <v>261</v>
      </c>
      <c r="B66" s="8" t="s">
        <v>5</v>
      </c>
      <c r="C66" s="66" t="n">
        <f aca="false">Motor!C181</f>
        <v>400885.59375</v>
      </c>
      <c r="D66" s="66" t="n">
        <f aca="false">Motor!D181</f>
        <v>456091.725</v>
      </c>
      <c r="E66" s="66" t="n">
        <f aca="false">Motor!E181</f>
        <v>469774.47675</v>
      </c>
      <c r="F66" s="66" t="n">
        <f aca="false">Motor!F181</f>
        <v>515877.78260875</v>
      </c>
      <c r="G66" s="66" t="n">
        <f aca="false">Motor!G181</f>
        <v>531354.116087013</v>
      </c>
      <c r="H66" s="8" t="s">
        <v>11</v>
      </c>
    </row>
    <row r="67" customFormat="false" ht="15" hidden="false" customHeight="false" outlineLevel="0" collapsed="false">
      <c r="A67" s="7"/>
      <c r="B67" s="8" t="s">
        <v>6</v>
      </c>
      <c r="C67" s="66" t="n">
        <f aca="false">Motor!C505</f>
        <v>400885.59375</v>
      </c>
      <c r="D67" s="66" t="n">
        <f aca="false">Motor!D505</f>
        <v>508017.8875</v>
      </c>
      <c r="E67" s="66" t="n">
        <f aca="false">Motor!E505</f>
        <v>667701.28525</v>
      </c>
      <c r="F67" s="66" t="n">
        <f aca="false">Motor!F505</f>
        <v>855745.92960125</v>
      </c>
      <c r="G67" s="66" t="n">
        <f aca="false">Motor!G505</f>
        <v>1042442.03916396</v>
      </c>
      <c r="H67" s="8" t="s">
        <v>11</v>
      </c>
    </row>
    <row r="68" customFormat="false" ht="15" hidden="false" customHeight="false" outlineLevel="0" collapsed="false">
      <c r="A68" s="7"/>
      <c r="B68" s="8" t="s">
        <v>7</v>
      </c>
      <c r="C68" s="66" t="n">
        <f aca="false">Motor!C829</f>
        <v>400885.59375</v>
      </c>
      <c r="D68" s="66" t="n">
        <f aca="false">Motor!D829</f>
        <v>699532.225</v>
      </c>
      <c r="E68" s="66" t="n">
        <f aca="false">Motor!E829</f>
        <v>948461.839625</v>
      </c>
      <c r="F68" s="66" t="n">
        <f aca="false">Motor!F829</f>
        <v>1229685.30445375</v>
      </c>
      <c r="G68" s="66" t="n">
        <f aca="false">Motor!G829</f>
        <v>1625549.8641068</v>
      </c>
      <c r="H68" s="8" t="s">
        <v>11</v>
      </c>
    </row>
    <row r="69" customFormat="false" ht="15" hidden="false" customHeight="false" outlineLevel="0" collapsed="false">
      <c r="A69" s="84"/>
      <c r="B69" s="3" t="s">
        <v>8</v>
      </c>
      <c r="C69" s="87" t="n">
        <f aca="false">Motor!C1153</f>
        <v>303573.09375</v>
      </c>
      <c r="D69" s="87" t="n">
        <f aca="false">Motor!D1153</f>
        <v>477845.325</v>
      </c>
      <c r="E69" s="87" t="n">
        <f aca="false">Motor!E1153</f>
        <v>563341.2153125</v>
      </c>
      <c r="F69" s="87" t="n">
        <f aca="false">Motor!F1153</f>
        <v>697007.527174375</v>
      </c>
      <c r="G69" s="87" t="n">
        <f aca="false">Motor!G1153</f>
        <v>768997.563445444</v>
      </c>
      <c r="H69" s="86" t="s">
        <v>11</v>
      </c>
    </row>
    <row r="70" customFormat="false" ht="15" hidden="false" customHeight="false" outlineLevel="0" collapsed="false">
      <c r="A70" s="11" t="s">
        <v>704</v>
      </c>
      <c r="B70" s="8" t="s">
        <v>5</v>
      </c>
      <c r="C70" s="66" t="n">
        <f aca="false">Motor!C197</f>
        <v>304400</v>
      </c>
      <c r="D70" s="66" t="n">
        <f aca="false">Motor!D197</f>
        <v>252142.44</v>
      </c>
      <c r="E70" s="66" t="n">
        <f aca="false">Motor!E197</f>
        <v>273364.76</v>
      </c>
      <c r="F70" s="66" t="n">
        <f aca="false">Motor!F197</f>
        <v>301201.502</v>
      </c>
      <c r="G70" s="66" t="n">
        <f aca="false">Motor!G197</f>
        <v>320847.533888</v>
      </c>
      <c r="H70" s="8" t="s">
        <v>11</v>
      </c>
    </row>
    <row r="71" customFormat="false" ht="15" hidden="false" customHeight="false" outlineLevel="0" collapsed="false">
      <c r="A71" s="7"/>
      <c r="B71" s="8" t="s">
        <v>6</v>
      </c>
      <c r="C71" s="66" t="n">
        <f aca="false">Motor!C521</f>
        <v>319100</v>
      </c>
      <c r="D71" s="66" t="n">
        <f aca="false">Motor!D521</f>
        <v>322682.78</v>
      </c>
      <c r="E71" s="66" t="n">
        <f aca="false">Motor!E521</f>
        <v>421646.38</v>
      </c>
      <c r="F71" s="66" t="n">
        <f aca="false">Motor!F521</f>
        <v>475409.1624</v>
      </c>
      <c r="G71" s="66" t="n">
        <f aca="false">Motor!G521</f>
        <v>558195.154448</v>
      </c>
      <c r="H71" s="8" t="s">
        <v>11</v>
      </c>
    </row>
    <row r="72" customFormat="false" ht="15" hidden="false" customHeight="false" outlineLevel="0" collapsed="false">
      <c r="A72" s="7"/>
      <c r="B72" s="8" t="s">
        <v>7</v>
      </c>
      <c r="C72" s="66" t="n">
        <f aca="false">Motor!C845</f>
        <v>334850</v>
      </c>
      <c r="D72" s="66" t="n">
        <f aca="false">Motor!D845</f>
        <v>409649.2</v>
      </c>
      <c r="E72" s="66" t="n">
        <f aca="false">Motor!E845</f>
        <v>485854.68</v>
      </c>
      <c r="F72" s="66" t="n">
        <f aca="false">Motor!F845</f>
        <v>602439.9488</v>
      </c>
      <c r="G72" s="66" t="n">
        <f aca="false">Motor!G845</f>
        <v>738758.513128</v>
      </c>
      <c r="H72" s="8" t="s">
        <v>11</v>
      </c>
    </row>
    <row r="73" customFormat="false" ht="15" hidden="false" customHeight="false" outlineLevel="0" collapsed="false">
      <c r="A73" s="84"/>
      <c r="B73" s="3" t="s">
        <v>8</v>
      </c>
      <c r="C73" s="87" t="n">
        <f aca="false">Motor!C1169</f>
        <v>298100</v>
      </c>
      <c r="D73" s="87" t="n">
        <f aca="false">Motor!D1169</f>
        <v>299538.6</v>
      </c>
      <c r="E73" s="87" t="n">
        <f aca="false">Motor!E1169</f>
        <v>373100.9</v>
      </c>
      <c r="F73" s="87" t="n">
        <f aca="false">Motor!F1169</f>
        <v>398866.784</v>
      </c>
      <c r="G73" s="87" t="n">
        <f aca="false">Motor!G1169</f>
        <v>443388.501272</v>
      </c>
      <c r="H73" s="86" t="s">
        <v>11</v>
      </c>
    </row>
    <row r="74" customFormat="false" ht="15" hidden="false" customHeight="false" outlineLevel="0" collapsed="false">
      <c r="A74" s="11" t="s">
        <v>758</v>
      </c>
      <c r="B74" s="8" t="s">
        <v>5</v>
      </c>
      <c r="C74" s="66" t="n">
        <f aca="false">Motor!C219</f>
        <v>-709085.940416667</v>
      </c>
      <c r="D74" s="66" t="n">
        <f aca="false">Motor!D219</f>
        <v>-737984.71721135</v>
      </c>
      <c r="E74" s="66" t="n">
        <f aca="false">Motor!E219</f>
        <v>-796945.084264677</v>
      </c>
      <c r="F74" s="66" t="n">
        <f aca="false">Motor!F219</f>
        <v>-882229.973049715</v>
      </c>
      <c r="G74" s="66" t="n">
        <f aca="false">Motor!G219</f>
        <v>-931281.492192886</v>
      </c>
      <c r="H74" s="8" t="s">
        <v>11</v>
      </c>
    </row>
    <row r="75" customFormat="false" ht="15" hidden="false" customHeight="false" outlineLevel="0" collapsed="false">
      <c r="A75" s="7"/>
      <c r="B75" s="8" t="s">
        <v>6</v>
      </c>
      <c r="C75" s="66" t="n">
        <f aca="false">Motor!C543</f>
        <v>-711437.451832192</v>
      </c>
      <c r="D75" s="66" t="n">
        <f aca="false">Motor!D543</f>
        <v>-801413.478106654</v>
      </c>
      <c r="E75" s="66" t="n">
        <f aca="false">Motor!E543</f>
        <v>-969909.990443249</v>
      </c>
      <c r="F75" s="66" t="n">
        <f aca="false">Motor!F543</f>
        <v>-1094156.26026446</v>
      </c>
      <c r="G75" s="66" t="n">
        <f aca="false">Motor!G543</f>
        <v>-1219975.89659631</v>
      </c>
      <c r="H75" s="8" t="s">
        <v>11</v>
      </c>
    </row>
    <row r="76" customFormat="false" ht="15" hidden="false" customHeight="false" outlineLevel="0" collapsed="false">
      <c r="A76" s="7"/>
      <c r="B76" s="8" t="s">
        <v>7</v>
      </c>
      <c r="C76" s="66" t="n">
        <f aca="false">Motor!C867</f>
        <v>-706359.981877854</v>
      </c>
      <c r="D76" s="66" t="n">
        <f aca="false">Motor!D867</f>
        <v>-883534.782764476</v>
      </c>
      <c r="E76" s="66" t="n">
        <f aca="false">Motor!E867</f>
        <v>-904120.346665405</v>
      </c>
      <c r="F76" s="66" t="n">
        <f aca="false">Motor!F867</f>
        <v>-874524.690842484</v>
      </c>
      <c r="G76" s="66" t="n">
        <f aca="false">Motor!G867</f>
        <v>-906159.632961748</v>
      </c>
      <c r="H76" s="8" t="s">
        <v>11</v>
      </c>
    </row>
    <row r="77" customFormat="false" ht="15" hidden="false" customHeight="false" outlineLevel="0" collapsed="false">
      <c r="A77" s="84"/>
      <c r="B77" s="3" t="s">
        <v>8</v>
      </c>
      <c r="C77" s="87" t="n">
        <f aca="false">Motor!C1191</f>
        <v>-586332.91635274</v>
      </c>
      <c r="D77" s="87" t="n">
        <f aca="false">Motor!D1191</f>
        <v>-694819.657020548</v>
      </c>
      <c r="E77" s="87" t="n">
        <f aca="false">Motor!E1191</f>
        <v>-726011.071262843</v>
      </c>
      <c r="F77" s="87" t="n">
        <f aca="false">Motor!F1191</f>
        <v>-706620.66468465</v>
      </c>
      <c r="G77" s="87" t="n">
        <f aca="false">Motor!G1191</f>
        <v>-598542.140916074</v>
      </c>
      <c r="H77" s="86" t="s">
        <v>11</v>
      </c>
    </row>
    <row r="78" customFormat="false" ht="15" hidden="false" customHeight="false" outlineLevel="0" collapsed="false">
      <c r="A78" s="11" t="s">
        <v>740</v>
      </c>
      <c r="B78" s="8" t="s">
        <v>5</v>
      </c>
      <c r="C78" s="66" t="n">
        <f aca="false">Motor!C237</f>
        <v>-736185.940416667</v>
      </c>
      <c r="D78" s="66" t="n">
        <f aca="false">Motor!D237</f>
        <v>-770084.71721135</v>
      </c>
      <c r="E78" s="66" t="n">
        <f aca="false">Motor!E237</f>
        <v>-835245.084264677</v>
      </c>
      <c r="F78" s="66" t="n">
        <f aca="false">Motor!F237</f>
        <v>-906979.973049715</v>
      </c>
      <c r="G78" s="66" t="n">
        <f aca="false">Motor!G237</f>
        <v>-953731.492192886</v>
      </c>
      <c r="H78" s="8" t="s">
        <v>11</v>
      </c>
    </row>
    <row r="79" customFormat="false" ht="15" hidden="false" customHeight="false" outlineLevel="0" collapsed="false">
      <c r="A79" s="7"/>
      <c r="B79" s="8" t="s">
        <v>6</v>
      </c>
      <c r="C79" s="66" t="n">
        <f aca="false">Motor!C561</f>
        <v>-738537.451832192</v>
      </c>
      <c r="D79" s="66" t="n">
        <f aca="false">Motor!D561</f>
        <v>-841413.478106654</v>
      </c>
      <c r="E79" s="66" t="n">
        <f aca="false">Motor!E561</f>
        <v>-1023809.99044325</v>
      </c>
      <c r="F79" s="66" t="n">
        <f aca="false">Motor!F561</f>
        <v>-1138622.92693113</v>
      </c>
      <c r="G79" s="66" t="n">
        <f aca="false">Motor!G561</f>
        <v>-1261509.22992964</v>
      </c>
      <c r="H79" s="8" t="s">
        <v>11</v>
      </c>
    </row>
    <row r="80" customFormat="false" ht="15" hidden="false" customHeight="false" outlineLevel="0" collapsed="false">
      <c r="A80" s="7"/>
      <c r="B80" s="8" t="s">
        <v>7</v>
      </c>
      <c r="C80" s="66" t="n">
        <f aca="false">Motor!C885</f>
        <v>-733459.981877854</v>
      </c>
      <c r="D80" s="66" t="n">
        <f aca="false">Motor!D885</f>
        <v>-931734.782764476</v>
      </c>
      <c r="E80" s="66" t="n">
        <f aca="false">Motor!E885</f>
        <v>-971253.679998739</v>
      </c>
      <c r="F80" s="66" t="n">
        <f aca="false">Motor!F885</f>
        <v>-937758.024175817</v>
      </c>
      <c r="G80" s="66" t="n">
        <f aca="false">Motor!G885</f>
        <v>-967992.966295082</v>
      </c>
      <c r="H80" s="8" t="s">
        <v>11</v>
      </c>
    </row>
    <row r="81" customFormat="false" ht="15" hidden="false" customHeight="false" outlineLevel="0" collapsed="false">
      <c r="A81" s="84"/>
      <c r="B81" s="3" t="s">
        <v>8</v>
      </c>
      <c r="C81" s="87" t="n">
        <f aca="false">Motor!C1209</f>
        <v>-612682.91635274</v>
      </c>
      <c r="D81" s="87" t="n">
        <f aca="false">Motor!D1209</f>
        <v>-734569.657020548</v>
      </c>
      <c r="E81" s="87" t="n">
        <f aca="false">Motor!E1209</f>
        <v>-778661.071262843</v>
      </c>
      <c r="F81" s="87" t="n">
        <f aca="false">Motor!F1209</f>
        <v>-749587.331351316</v>
      </c>
      <c r="G81" s="87" t="n">
        <f aca="false">Motor!G1209</f>
        <v>-638325.474249407</v>
      </c>
      <c r="H81" s="86" t="s">
        <v>11</v>
      </c>
    </row>
    <row r="82" customFormat="false" ht="15" hidden="false" customHeight="false" outlineLevel="0" collapsed="false">
      <c r="A82" s="11" t="s">
        <v>766</v>
      </c>
      <c r="B82" s="8" t="s">
        <v>5</v>
      </c>
      <c r="C82" s="66" t="n">
        <f aca="false">Motor!C262</f>
        <v>-801085.940416667</v>
      </c>
      <c r="D82" s="66" t="n">
        <f aca="false">Motor!D262</f>
        <v>-761346.022495108</v>
      </c>
      <c r="E82" s="66" t="n">
        <f aca="false">Motor!E262</f>
        <v>-827766.825947652</v>
      </c>
      <c r="F82" s="66" t="n">
        <f aca="false">Motor!F262</f>
        <v>-915690.806709206</v>
      </c>
      <c r="G82" s="66" t="n">
        <f aca="false">Motor!G262</f>
        <v>-971191.049922827</v>
      </c>
      <c r="H82" s="8" t="s">
        <v>11</v>
      </c>
    </row>
    <row r="83" customFormat="false" ht="15" hidden="false" customHeight="false" outlineLevel="0" collapsed="false">
      <c r="A83" s="7"/>
      <c r="B83" s="8" t="s">
        <v>6</v>
      </c>
      <c r="C83" s="66" t="n">
        <f aca="false">Motor!C586</f>
        <v>-803437.451832192</v>
      </c>
      <c r="D83" s="66" t="n">
        <f aca="false">Motor!D586</f>
        <v>-860943.413466243</v>
      </c>
      <c r="E83" s="66" t="n">
        <f aca="false">Motor!E586</f>
        <v>-1030581.97075147</v>
      </c>
      <c r="F83" s="66" t="n">
        <f aca="false">Motor!F586</f>
        <v>-1189386.33303843</v>
      </c>
      <c r="G83" s="66" t="n">
        <f aca="false">Motor!G586</f>
        <v>-1329404.50318877</v>
      </c>
      <c r="H83" s="8" t="s">
        <v>11</v>
      </c>
    </row>
    <row r="84" customFormat="false" ht="15" hidden="false" customHeight="false" outlineLevel="0" collapsed="false">
      <c r="A84" s="7"/>
      <c r="B84" s="8" t="s">
        <v>7</v>
      </c>
      <c r="C84" s="66" t="n">
        <f aca="false">Motor!C910</f>
        <v>-800452.420234018</v>
      </c>
      <c r="D84" s="66" t="n">
        <f aca="false">Motor!D910</f>
        <v>-972773.103473581</v>
      </c>
      <c r="E84" s="66" t="n">
        <f aca="false">Motor!E910</f>
        <v>-1001686.15488458</v>
      </c>
      <c r="F84" s="66" t="n">
        <f aca="false">Motor!F910</f>
        <v>-1005522.71823974</v>
      </c>
      <c r="G84" s="66" t="n">
        <f aca="false">Motor!G910</f>
        <v>-1056003.13658786</v>
      </c>
      <c r="H84" s="8" t="s">
        <v>11</v>
      </c>
    </row>
    <row r="85" customFormat="false" ht="15" hidden="false" customHeight="false" outlineLevel="0" collapsed="false">
      <c r="A85" s="84"/>
      <c r="B85" s="3" t="s">
        <v>8</v>
      </c>
      <c r="C85" s="87" t="n">
        <f aca="false">Motor!C1234</f>
        <v>-678616.839640411</v>
      </c>
      <c r="D85" s="87" t="n">
        <f aca="false">Motor!D1234</f>
        <v>-780619.564212329</v>
      </c>
      <c r="E85" s="87" t="n">
        <f aca="false">Motor!E1234</f>
        <v>-837475.06098887</v>
      </c>
      <c r="F85" s="87" t="n">
        <f aca="false">Motor!F1234</f>
        <v>-855207.225472321</v>
      </c>
      <c r="G85" s="87" t="n">
        <f aca="false">Motor!G1234</f>
        <v>-774966.897337307</v>
      </c>
      <c r="H85" s="86" t="s">
        <v>11</v>
      </c>
    </row>
    <row r="86" customFormat="false" ht="15" hidden="false" customHeight="false" outlineLevel="0" collapsed="false">
      <c r="A86" s="11" t="s">
        <v>844</v>
      </c>
      <c r="B86" s="8" t="s">
        <v>5</v>
      </c>
      <c r="C86" s="66" t="n">
        <f aca="false">Motor!C263</f>
        <v>-801085.940416667</v>
      </c>
      <c r="D86" s="66" t="n">
        <f aca="false">Motor!D263</f>
        <v>-1562431.96291177</v>
      </c>
      <c r="E86" s="66" t="n">
        <f aca="false">Motor!E263</f>
        <v>-2390198.78885943</v>
      </c>
      <c r="F86" s="66" t="n">
        <f aca="false">Motor!F263</f>
        <v>-3305889.59556863</v>
      </c>
      <c r="G86" s="66" t="n">
        <f aca="false">Motor!G263</f>
        <v>-4277080.64549146</v>
      </c>
      <c r="H86" s="8" t="s">
        <v>11</v>
      </c>
    </row>
    <row r="87" customFormat="false" ht="15" hidden="false" customHeight="false" outlineLevel="0" collapsed="false">
      <c r="A87" s="7"/>
      <c r="B87" s="8" t="s">
        <v>6</v>
      </c>
      <c r="C87" s="66" t="n">
        <f aca="false">Motor!C587</f>
        <v>-803437.451832192</v>
      </c>
      <c r="D87" s="66" t="n">
        <f aca="false">Motor!D587</f>
        <v>-1664380.86529843</v>
      </c>
      <c r="E87" s="66" t="n">
        <f aca="false">Motor!E587</f>
        <v>-2694962.8360499</v>
      </c>
      <c r="F87" s="66" t="n">
        <f aca="false">Motor!F587</f>
        <v>-3884349.16908834</v>
      </c>
      <c r="G87" s="66" t="n">
        <f aca="false">Motor!G587</f>
        <v>-5213753.67227711</v>
      </c>
      <c r="H87" s="8" t="s">
        <v>11</v>
      </c>
    </row>
    <row r="88" customFormat="false" ht="15" hidden="false" customHeight="false" outlineLevel="0" collapsed="false">
      <c r="A88" s="7"/>
      <c r="B88" s="8" t="s">
        <v>7</v>
      </c>
      <c r="C88" s="66" t="n">
        <f aca="false">Motor!C911</f>
        <v>-800452.420234018</v>
      </c>
      <c r="D88" s="66" t="n">
        <f aca="false">Motor!D911</f>
        <v>-1773225.5237076</v>
      </c>
      <c r="E88" s="66" t="n">
        <f aca="false">Motor!E911</f>
        <v>-2774911.67859218</v>
      </c>
      <c r="F88" s="66" t="n">
        <f aca="false">Motor!F911</f>
        <v>-3780434.39683193</v>
      </c>
      <c r="G88" s="66" t="n">
        <f aca="false">Motor!G911</f>
        <v>-4836437.53341978</v>
      </c>
      <c r="H88" s="8" t="s">
        <v>11</v>
      </c>
    </row>
    <row r="89" customFormat="false" ht="15" hidden="false" customHeight="false" outlineLevel="0" collapsed="false">
      <c r="A89" s="84"/>
      <c r="B89" s="3" t="s">
        <v>8</v>
      </c>
      <c r="C89" s="87" t="n">
        <f aca="false">Motor!C1235</f>
        <v>-678616.839640411</v>
      </c>
      <c r="D89" s="87" t="n">
        <f aca="false">Motor!D1235</f>
        <v>-1459236.40385274</v>
      </c>
      <c r="E89" s="87" t="n">
        <f aca="false">Motor!E1235</f>
        <v>-2296711.46484161</v>
      </c>
      <c r="F89" s="87" t="n">
        <f aca="false">Motor!F1235</f>
        <v>-3151918.69031393</v>
      </c>
      <c r="G89" s="87" t="n">
        <f aca="false">Motor!G1235</f>
        <v>-3926885.58765124</v>
      </c>
      <c r="H89" s="86" t="s">
        <v>11</v>
      </c>
    </row>
    <row r="90" customFormat="false" ht="15" hidden="false" customHeight="false" outlineLevel="0" collapsed="false">
      <c r="A90" s="11" t="s">
        <v>845</v>
      </c>
      <c r="B90" s="8" t="s">
        <v>5</v>
      </c>
      <c r="C90" s="66" t="n">
        <f aca="false">Motor!C270</f>
        <v>0</v>
      </c>
      <c r="D90" s="66" t="n">
        <f aca="false">Motor!D270</f>
        <v>757431.962911774</v>
      </c>
      <c r="E90" s="66" t="n">
        <f aca="false">Motor!E270</f>
        <v>827766.825947652</v>
      </c>
      <c r="F90" s="66" t="n">
        <f aca="false">Motor!F270</f>
        <v>915690.806709206</v>
      </c>
      <c r="G90" s="66" t="n">
        <f aca="false">Motor!G270</f>
        <v>971191.049922827</v>
      </c>
      <c r="H90" s="8" t="s">
        <v>11</v>
      </c>
    </row>
    <row r="91" customFormat="false" ht="15" hidden="false" customHeight="false" outlineLevel="0" collapsed="false">
      <c r="A91" s="7"/>
      <c r="B91" s="8" t="s">
        <v>6</v>
      </c>
      <c r="C91" s="66" t="n">
        <f aca="false">Motor!C594</f>
        <v>0</v>
      </c>
      <c r="D91" s="66" t="n">
        <f aca="false">Motor!D594</f>
        <v>859380.865298435</v>
      </c>
      <c r="E91" s="66" t="n">
        <f aca="false">Motor!E594</f>
        <v>1030581.97075147</v>
      </c>
      <c r="F91" s="66" t="n">
        <f aca="false">Motor!F594</f>
        <v>1189386.33303843</v>
      </c>
      <c r="G91" s="66" t="n">
        <f aca="false">Motor!G594</f>
        <v>1329404.50318877</v>
      </c>
      <c r="H91" s="8" t="s">
        <v>11</v>
      </c>
    </row>
    <row r="92" customFormat="false" ht="15" hidden="false" customHeight="false" outlineLevel="0" collapsed="false">
      <c r="A92" s="7"/>
      <c r="B92" s="8" t="s">
        <v>7</v>
      </c>
      <c r="C92" s="66" t="n">
        <f aca="false">Motor!C918</f>
        <v>0</v>
      </c>
      <c r="D92" s="66" t="n">
        <f aca="false">Motor!D918</f>
        <v>968225.523707599</v>
      </c>
      <c r="E92" s="66" t="n">
        <f aca="false">Motor!E918</f>
        <v>1001686.15488458</v>
      </c>
      <c r="F92" s="66" t="n">
        <f aca="false">Motor!F918</f>
        <v>1005522.71823974</v>
      </c>
      <c r="G92" s="66" t="n">
        <f aca="false">Motor!G918</f>
        <v>1056003.13658786</v>
      </c>
      <c r="H92" s="8" t="s">
        <v>11</v>
      </c>
    </row>
    <row r="93" customFormat="false" ht="15" hidden="false" customHeight="false" outlineLevel="0" collapsed="false">
      <c r="A93" s="84"/>
      <c r="B93" s="3" t="s">
        <v>8</v>
      </c>
      <c r="C93" s="87" t="n">
        <f aca="false">Motor!C1242</f>
        <v>0</v>
      </c>
      <c r="D93" s="87" t="n">
        <f aca="false">Motor!D1242</f>
        <v>654236.40385274</v>
      </c>
      <c r="E93" s="87" t="n">
        <f aca="false">Motor!E1242</f>
        <v>837475.06098887</v>
      </c>
      <c r="F93" s="87" t="n">
        <f aca="false">Motor!F1242</f>
        <v>855207.225472321</v>
      </c>
      <c r="G93" s="87" t="n">
        <f aca="false">Motor!G1242</f>
        <v>774966.897337307</v>
      </c>
      <c r="H93" s="86" t="s">
        <v>11</v>
      </c>
    </row>
    <row r="94" customFormat="false" ht="15" hidden="false" customHeight="false" outlineLevel="0" collapsed="false">
      <c r="A94" s="11" t="s">
        <v>775</v>
      </c>
      <c r="B94" s="8" t="s">
        <v>5</v>
      </c>
      <c r="C94" s="66" t="n">
        <f aca="false">Motor!C271</f>
        <v>153914.059583333</v>
      </c>
      <c r="D94" s="66" t="n">
        <f aca="false">Motor!D271</f>
        <v>150000</v>
      </c>
      <c r="E94" s="66" t="n">
        <f aca="false">Motor!E271</f>
        <v>150000</v>
      </c>
      <c r="F94" s="66" t="n">
        <f aca="false">Motor!F271</f>
        <v>150000</v>
      </c>
      <c r="G94" s="66" t="n">
        <f aca="false">Motor!G271</f>
        <v>150000</v>
      </c>
      <c r="H94" s="8" t="s">
        <v>11</v>
      </c>
    </row>
    <row r="95" customFormat="false" ht="15" hidden="false" customHeight="false" outlineLevel="0" collapsed="false">
      <c r="A95" s="7"/>
      <c r="B95" s="8" t="s">
        <v>6</v>
      </c>
      <c r="C95" s="66" t="n">
        <f aca="false">Motor!C595</f>
        <v>151562.548167808</v>
      </c>
      <c r="D95" s="66" t="n">
        <f aca="false">Motor!D595</f>
        <v>150000</v>
      </c>
      <c r="E95" s="66" t="n">
        <f aca="false">Motor!E595</f>
        <v>150000</v>
      </c>
      <c r="F95" s="66" t="n">
        <f aca="false">Motor!F595</f>
        <v>150000</v>
      </c>
      <c r="G95" s="66" t="n">
        <f aca="false">Motor!G595</f>
        <v>150000</v>
      </c>
      <c r="H95" s="8" t="s">
        <v>11</v>
      </c>
    </row>
    <row r="96" customFormat="false" ht="15" hidden="false" customHeight="false" outlineLevel="0" collapsed="false">
      <c r="A96" s="7"/>
      <c r="B96" s="8" t="s">
        <v>7</v>
      </c>
      <c r="C96" s="66" t="n">
        <f aca="false">Motor!C919</f>
        <v>154547.579765982</v>
      </c>
      <c r="D96" s="66" t="n">
        <f aca="false">Motor!D919</f>
        <v>150000</v>
      </c>
      <c r="E96" s="66" t="n">
        <f aca="false">Motor!E919</f>
        <v>150000</v>
      </c>
      <c r="F96" s="66" t="n">
        <f aca="false">Motor!F919</f>
        <v>150000</v>
      </c>
      <c r="G96" s="66" t="n">
        <f aca="false">Motor!G919</f>
        <v>150000</v>
      </c>
      <c r="H96" s="8" t="s">
        <v>11</v>
      </c>
    </row>
    <row r="97" customFormat="false" ht="15" hidden="false" customHeight="false" outlineLevel="0" collapsed="false">
      <c r="A97" s="84"/>
      <c r="B97" s="3" t="s">
        <v>8</v>
      </c>
      <c r="C97" s="87" t="n">
        <f aca="false">Motor!C1243</f>
        <v>276383.160359589</v>
      </c>
      <c r="D97" s="87" t="n">
        <f aca="false">Motor!D1243</f>
        <v>150000</v>
      </c>
      <c r="E97" s="87" t="n">
        <f aca="false">Motor!E1243</f>
        <v>150000</v>
      </c>
      <c r="F97" s="87" t="n">
        <f aca="false">Motor!F1243</f>
        <v>150000</v>
      </c>
      <c r="G97" s="87" t="n">
        <f aca="false">Motor!G1243</f>
        <v>150000</v>
      </c>
      <c r="H97" s="86" t="s">
        <v>11</v>
      </c>
    </row>
    <row r="98" customFormat="false" ht="15" hidden="false" customHeight="false" outlineLevel="0" collapsed="false">
      <c r="A98" s="11" t="s">
        <v>813</v>
      </c>
      <c r="B98" s="8" t="s">
        <v>5</v>
      </c>
      <c r="C98" s="66" t="n">
        <f aca="false">Motor!C245</f>
        <v>0</v>
      </c>
      <c r="D98" s="66" t="n">
        <f aca="false">Motor!D245</f>
        <v>167226.105675147</v>
      </c>
      <c r="E98" s="66" t="n">
        <f aca="false">Motor!E245</f>
        <v>363660.939334638</v>
      </c>
      <c r="F98" s="66" t="n">
        <f aca="false">Motor!F245</f>
        <v>458964.735812133</v>
      </c>
      <c r="G98" s="66" t="n">
        <f aca="false">Motor!G245</f>
        <v>567935.068493151</v>
      </c>
      <c r="H98" s="8" t="s">
        <v>11</v>
      </c>
    </row>
    <row r="99" customFormat="false" ht="15" hidden="false" customHeight="false" outlineLevel="0" collapsed="false">
      <c r="A99" s="7"/>
      <c r="B99" s="8" t="s">
        <v>6</v>
      </c>
      <c r="C99" s="66" t="n">
        <f aca="false">Motor!C569</f>
        <v>0</v>
      </c>
      <c r="D99" s="66" t="n">
        <f aca="false">Motor!D569</f>
        <v>310598.707191781</v>
      </c>
      <c r="E99" s="66" t="n">
        <f aca="false">Motor!E569</f>
        <v>563053.792808219</v>
      </c>
      <c r="F99" s="66" t="n">
        <f aca="false">Motor!F569</f>
        <v>975110.316780822</v>
      </c>
      <c r="G99" s="66" t="n">
        <f aca="false">Motor!G569</f>
        <v>1489396.28424658</v>
      </c>
      <c r="H99" s="8" t="s">
        <v>11</v>
      </c>
    </row>
    <row r="100" customFormat="false" ht="15" hidden="false" customHeight="false" outlineLevel="0" collapsed="false">
      <c r="A100" s="7"/>
      <c r="B100" s="8" t="s">
        <v>7</v>
      </c>
      <c r="C100" s="66" t="n">
        <f aca="false">Motor!C893</f>
        <v>0</v>
      </c>
      <c r="D100" s="66" t="n">
        <f aca="false">Motor!D893</f>
        <v>366615.181305399</v>
      </c>
      <c r="E100" s="66" t="n">
        <f aca="false">Motor!E893</f>
        <v>691591.619661563</v>
      </c>
      <c r="F100" s="66" t="n">
        <f aca="false">Motor!F893</f>
        <v>1196962.57856567</v>
      </c>
      <c r="G100" s="66" t="n">
        <f aca="false">Motor!G893</f>
        <v>1805109.91136181</v>
      </c>
      <c r="H100" s="8" t="s">
        <v>11</v>
      </c>
    </row>
    <row r="101" customFormat="false" ht="15" hidden="false" customHeight="false" outlineLevel="0" collapsed="false">
      <c r="A101" s="84"/>
      <c r="B101" s="3" t="s">
        <v>8</v>
      </c>
      <c r="C101" s="87" t="n">
        <f aca="false">Motor!C1217</f>
        <v>0</v>
      </c>
      <c r="D101" s="87" t="n">
        <f aca="false">Motor!D1217</f>
        <v>293948.938356164</v>
      </c>
      <c r="E101" s="87" t="n">
        <f aca="false">Motor!E1217</f>
        <v>506993.116438356</v>
      </c>
      <c r="F101" s="87" t="n">
        <f aca="false">Motor!F1217</f>
        <v>859371.729452055</v>
      </c>
      <c r="G101" s="87" t="n">
        <f aca="false">Motor!G1217</f>
        <v>1309134.11815068</v>
      </c>
      <c r="H101" s="86" t="s">
        <v>11</v>
      </c>
    </row>
    <row r="102" customFormat="false" ht="15" hidden="false" customHeight="false" outlineLevel="0" collapsed="false">
      <c r="A102" s="11" t="s">
        <v>846</v>
      </c>
      <c r="B102" s="8" t="s">
        <v>5</v>
      </c>
      <c r="C102" s="66" t="n">
        <f aca="false">Motor!C118</f>
        <v>0</v>
      </c>
      <c r="D102" s="66" t="n">
        <f aca="false">Motor!D118</f>
        <v>524535</v>
      </c>
      <c r="E102" s="66" t="n">
        <f aca="false">Motor!E118</f>
        <v>1109335</v>
      </c>
      <c r="F102" s="66" t="n">
        <f aca="false">Motor!F118</f>
        <v>1694220</v>
      </c>
      <c r="G102" s="66" t="n">
        <f aca="false">Motor!G118</f>
        <v>2278255</v>
      </c>
      <c r="H102" s="8" t="s">
        <v>11</v>
      </c>
    </row>
    <row r="103" customFormat="false" ht="15" hidden="false" customHeight="false" outlineLevel="0" collapsed="false">
      <c r="A103" s="7"/>
      <c r="B103" s="8" t="s">
        <v>6</v>
      </c>
      <c r="C103" s="66" t="n">
        <f aca="false">Motor!C442</f>
        <v>0</v>
      </c>
      <c r="D103" s="66" t="n">
        <f aca="false">Motor!D442</f>
        <v>1461330</v>
      </c>
      <c r="E103" s="66" t="n">
        <f aca="false">Motor!E442</f>
        <v>3299220</v>
      </c>
      <c r="F103" s="66" t="n">
        <f aca="false">Motor!F442</f>
        <v>5687280</v>
      </c>
      <c r="G103" s="66" t="n">
        <f aca="false">Motor!G442</f>
        <v>8685900</v>
      </c>
      <c r="H103" s="8" t="s">
        <v>11</v>
      </c>
    </row>
    <row r="104" customFormat="false" ht="15" hidden="false" customHeight="false" outlineLevel="0" collapsed="false">
      <c r="A104" s="7"/>
      <c r="B104" s="8" t="s">
        <v>7</v>
      </c>
      <c r="C104" s="66" t="n">
        <f aca="false">Motor!C766</f>
        <v>0</v>
      </c>
      <c r="D104" s="66" t="n">
        <f aca="false">Motor!D766</f>
        <v>2471580</v>
      </c>
      <c r="E104" s="66" t="n">
        <f aca="false">Motor!E766</f>
        <v>5013450</v>
      </c>
      <c r="F104" s="66" t="n">
        <f aca="false">Motor!F766</f>
        <v>8586900</v>
      </c>
      <c r="G104" s="66" t="n">
        <f aca="false">Motor!G766</f>
        <v>12943350</v>
      </c>
      <c r="H104" s="8" t="s">
        <v>11</v>
      </c>
    </row>
    <row r="105" customFormat="false" ht="15" hidden="false" customHeight="false" outlineLevel="0" collapsed="false">
      <c r="A105" s="84"/>
      <c r="B105" s="3" t="s">
        <v>8</v>
      </c>
      <c r="C105" s="87" t="n">
        <f aca="false">Motor!C1090</f>
        <v>0</v>
      </c>
      <c r="D105" s="87" t="n">
        <f aca="false">Motor!D1090</f>
        <v>1199475</v>
      </c>
      <c r="E105" s="87" t="n">
        <f aca="false">Motor!E1090</f>
        <v>2436187.5</v>
      </c>
      <c r="F105" s="87" t="n">
        <f aca="false">Motor!F1090</f>
        <v>4150387.5</v>
      </c>
      <c r="G105" s="87" t="n">
        <f aca="false">Motor!G1090</f>
        <v>6345375</v>
      </c>
      <c r="H105" s="86" t="s">
        <v>11</v>
      </c>
    </row>
    <row r="106" customFormat="false" ht="15" hidden="false" customHeight="false" outlineLevel="0" collapsed="false">
      <c r="A106" s="11" t="s">
        <v>817</v>
      </c>
      <c r="B106" s="8" t="s">
        <v>5</v>
      </c>
      <c r="C106" s="66" t="n">
        <f aca="false">Motor!C251</f>
        <v>0</v>
      </c>
      <c r="D106" s="66" t="n">
        <f aca="false">Motor!D251</f>
        <v>3.34452211350294</v>
      </c>
      <c r="E106" s="66" t="n">
        <f aca="false">Motor!E251</f>
        <v>7.27321878669276</v>
      </c>
      <c r="F106" s="66" t="n">
        <f aca="false">Motor!F251</f>
        <v>9.17929471624266</v>
      </c>
      <c r="G106" s="66" t="n">
        <f aca="false">Motor!G251</f>
        <v>11.358701369863</v>
      </c>
      <c r="H106" s="8" t="s">
        <v>123</v>
      </c>
    </row>
    <row r="107" customFormat="false" ht="15" hidden="false" customHeight="false" outlineLevel="0" collapsed="false">
      <c r="A107" s="7"/>
      <c r="B107" s="8" t="s">
        <v>6</v>
      </c>
      <c r="C107" s="66" t="n">
        <f aca="false">Motor!C575</f>
        <v>0</v>
      </c>
      <c r="D107" s="66" t="n">
        <f aca="false">Motor!D575</f>
        <v>6.21197414383562</v>
      </c>
      <c r="E107" s="66" t="n">
        <f aca="false">Motor!E575</f>
        <v>11.2610758561644</v>
      </c>
      <c r="F107" s="66" t="n">
        <f aca="false">Motor!F575</f>
        <v>19.5022063356164</v>
      </c>
      <c r="G107" s="66" t="n">
        <f aca="false">Motor!G575</f>
        <v>29.7879256849315</v>
      </c>
      <c r="H107" s="8" t="s">
        <v>123</v>
      </c>
    </row>
    <row r="108" customFormat="false" ht="15" hidden="false" customHeight="false" outlineLevel="0" collapsed="false">
      <c r="A108" s="7"/>
      <c r="B108" s="8" t="s">
        <v>7</v>
      </c>
      <c r="C108" s="66" t="n">
        <f aca="false">Motor!C899</f>
        <v>0</v>
      </c>
      <c r="D108" s="66" t="n">
        <f aca="false">Motor!D899</f>
        <v>7.33230362610798</v>
      </c>
      <c r="E108" s="66" t="n">
        <f aca="false">Motor!E899</f>
        <v>13.8318323932313</v>
      </c>
      <c r="F108" s="66" t="n">
        <f aca="false">Motor!F899</f>
        <v>23.9392515713135</v>
      </c>
      <c r="G108" s="66" t="n">
        <f aca="false">Motor!G899</f>
        <v>36.1021982272361</v>
      </c>
      <c r="H108" s="8" t="s">
        <v>123</v>
      </c>
    </row>
    <row r="109" customFormat="false" ht="15" hidden="false" customHeight="false" outlineLevel="0" collapsed="false">
      <c r="A109" s="84"/>
      <c r="B109" s="3" t="s">
        <v>8</v>
      </c>
      <c r="C109" s="87" t="n">
        <f aca="false">Motor!C1223</f>
        <v>0</v>
      </c>
      <c r="D109" s="87" t="n">
        <f aca="false">Motor!D1223</f>
        <v>5.87897876712329</v>
      </c>
      <c r="E109" s="87" t="n">
        <f aca="false">Motor!E1223</f>
        <v>10.1398623287671</v>
      </c>
      <c r="F109" s="87" t="n">
        <f aca="false">Motor!F1223</f>
        <v>17.1874345890411</v>
      </c>
      <c r="G109" s="87" t="n">
        <f aca="false">Motor!G1223</f>
        <v>26.1826823630137</v>
      </c>
      <c r="H109" s="86" t="s">
        <v>123</v>
      </c>
    </row>
    <row r="110" customFormat="false" ht="15" hidden="false" customHeight="false" outlineLevel="0" collapsed="false">
      <c r="A110" s="11" t="s">
        <v>432</v>
      </c>
      <c r="B110" s="8" t="s">
        <v>5</v>
      </c>
      <c r="C110" s="89" t="n">
        <f aca="false">Motor!C164</f>
        <v>7</v>
      </c>
      <c r="D110" s="89" t="n">
        <f aca="false">Motor!D164</f>
        <v>7</v>
      </c>
      <c r="E110" s="89" t="n">
        <f aca="false">Motor!E164</f>
        <v>7</v>
      </c>
      <c r="F110" s="89" t="n">
        <f aca="false">Motor!F164</f>
        <v>7.5</v>
      </c>
      <c r="G110" s="89" t="n">
        <f aca="false">Motor!G164</f>
        <v>7.5</v>
      </c>
      <c r="H110" s="8" t="s">
        <v>432</v>
      </c>
    </row>
    <row r="111" customFormat="false" ht="15" hidden="false" customHeight="false" outlineLevel="0" collapsed="false">
      <c r="A111" s="7"/>
      <c r="B111" s="8" t="s">
        <v>6</v>
      </c>
      <c r="C111" s="89" t="n">
        <f aca="false">Motor!C488</f>
        <v>7</v>
      </c>
      <c r="D111" s="89" t="n">
        <f aca="false">Motor!D488</f>
        <v>8</v>
      </c>
      <c r="E111" s="89" t="n">
        <f aca="false">Motor!E488</f>
        <v>11</v>
      </c>
      <c r="F111" s="89" t="n">
        <f aca="false">Motor!F488</f>
        <v>14</v>
      </c>
      <c r="G111" s="89" t="n">
        <f aca="false">Motor!G488</f>
        <v>17</v>
      </c>
      <c r="H111" s="8" t="s">
        <v>432</v>
      </c>
    </row>
    <row r="112" customFormat="false" ht="15" hidden="false" customHeight="false" outlineLevel="0" collapsed="false">
      <c r="A112" s="7"/>
      <c r="B112" s="8" t="s">
        <v>7</v>
      </c>
      <c r="C112" s="89" t="n">
        <f aca="false">Motor!C812</f>
        <v>7</v>
      </c>
      <c r="D112" s="89" t="n">
        <f aca="false">Motor!D812</f>
        <v>12</v>
      </c>
      <c r="E112" s="89" t="n">
        <f aca="false">Motor!E812</f>
        <v>16</v>
      </c>
      <c r="F112" s="89" t="n">
        <f aca="false">Motor!F812</f>
        <v>21</v>
      </c>
      <c r="G112" s="89" t="n">
        <f aca="false">Motor!G812</f>
        <v>28</v>
      </c>
      <c r="H112" s="8" t="s">
        <v>432</v>
      </c>
    </row>
    <row r="113" customFormat="false" ht="15" hidden="false" customHeight="false" outlineLevel="0" collapsed="false">
      <c r="A113" s="84"/>
      <c r="B113" s="3" t="s">
        <v>8</v>
      </c>
      <c r="C113" s="90" t="n">
        <f aca="false">Motor!C1136</f>
        <v>5.5</v>
      </c>
      <c r="D113" s="90" t="n">
        <f aca="false">Motor!D1136</f>
        <v>7.5</v>
      </c>
      <c r="E113" s="90" t="n">
        <f aca="false">Motor!E1136</f>
        <v>8.5</v>
      </c>
      <c r="F113" s="90" t="n">
        <f aca="false">Motor!F1136</f>
        <v>11</v>
      </c>
      <c r="G113" s="90" t="n">
        <f aca="false">Motor!G1136</f>
        <v>12</v>
      </c>
      <c r="H113" s="86" t="s">
        <v>432</v>
      </c>
    </row>
    <row r="115" customFormat="false" ht="15" hidden="false" customHeight="false" outlineLevel="0" collapsed="false">
      <c r="A115" s="3" t="s">
        <v>847</v>
      </c>
      <c r="B115" s="4"/>
      <c r="C115" s="4"/>
      <c r="D115" s="4"/>
      <c r="E115" s="4"/>
      <c r="F115" s="4"/>
      <c r="G115" s="4"/>
      <c r="H115" s="4"/>
    </row>
    <row r="116" customFormat="false" ht="15" hidden="false" customHeight="false" outlineLevel="0" collapsed="false">
      <c r="A116" s="5" t="s">
        <v>3</v>
      </c>
      <c r="B116" s="5" t="s">
        <v>4</v>
      </c>
      <c r="C116" s="6" t="s">
        <v>5</v>
      </c>
      <c r="D116" s="6" t="s">
        <v>6</v>
      </c>
      <c r="E116" s="6" t="s">
        <v>7</v>
      </c>
      <c r="F116" s="6" t="s">
        <v>8</v>
      </c>
      <c r="G116" s="6"/>
      <c r="H116" s="6" t="s">
        <v>484</v>
      </c>
    </row>
    <row r="117" customFormat="false" ht="15" hidden="false" customHeight="false" outlineLevel="0" collapsed="false">
      <c r="A117" s="11" t="s">
        <v>785</v>
      </c>
      <c r="B117" s="8" t="s">
        <v>11</v>
      </c>
      <c r="C117" s="91" t="n">
        <f aca="false">Motor!C280</f>
        <v>4572080.64549146</v>
      </c>
      <c r="D117" s="91" t="n">
        <f aca="false">Motor!C604</f>
        <v>5508753.67227711</v>
      </c>
      <c r="E117" s="91" t="n">
        <f aca="false">Motor!C928</f>
        <v>5131437.53341978</v>
      </c>
      <c r="F117" s="91" t="n">
        <f aca="false">Motor!C1252</f>
        <v>4221885.58765124</v>
      </c>
      <c r="H117" s="2" t="s">
        <v>848</v>
      </c>
    </row>
    <row r="118" customFormat="false" ht="15" hidden="false" customHeight="false" outlineLevel="0" collapsed="false">
      <c r="A118" s="7" t="s">
        <v>786</v>
      </c>
      <c r="B118" s="8" t="s">
        <v>20</v>
      </c>
      <c r="C118" s="92" t="n">
        <f aca="false">Motor!C281</f>
        <v>2031</v>
      </c>
      <c r="D118" s="92" t="n">
        <f aca="false">Motor!C605</f>
        <v>2031</v>
      </c>
      <c r="E118" s="92" t="n">
        <f aca="false">Motor!C929</f>
        <v>2031</v>
      </c>
      <c r="F118" s="92" t="n">
        <f aca="false">Motor!C1253</f>
        <v>2031</v>
      </c>
    </row>
    <row r="119" customFormat="false" ht="15" hidden="false" customHeight="false" outlineLevel="0" collapsed="false">
      <c r="A119" s="7" t="s">
        <v>787</v>
      </c>
      <c r="B119" s="8"/>
      <c r="C119" s="93" t="str">
        <f aca="false">Motor!C282</f>
        <v>sim</v>
      </c>
      <c r="D119" s="93" t="str">
        <f aca="false">Motor!C606</f>
        <v>sim</v>
      </c>
      <c r="E119" s="93" t="str">
        <f aca="false">Motor!C930</f>
        <v>sim</v>
      </c>
      <c r="F119" s="93" t="str">
        <f aca="false">Motor!C1254</f>
        <v>sim</v>
      </c>
    </row>
    <row r="120" customFormat="false" ht="15" hidden="false" customHeight="false" outlineLevel="0" collapsed="false">
      <c r="A120" s="7" t="s">
        <v>849</v>
      </c>
      <c r="B120" s="8" t="s">
        <v>11</v>
      </c>
      <c r="C120" s="53" t="n">
        <f aca="false">Motor!C283</f>
        <v>4572080.64549146</v>
      </c>
      <c r="D120" s="53" t="n">
        <f aca="false">Motor!C607</f>
        <v>5508753.67227711</v>
      </c>
      <c r="E120" s="53" t="n">
        <f aca="false">Motor!C931</f>
        <v>5131437.53341978</v>
      </c>
      <c r="F120" s="53" t="n">
        <f aca="false">Motor!C1255</f>
        <v>4221885.58765124</v>
      </c>
    </row>
    <row r="121" customFormat="false" ht="15" hidden="false" customHeight="false" outlineLevel="0" collapsed="false">
      <c r="A121" s="11" t="s">
        <v>850</v>
      </c>
      <c r="B121" s="8" t="s">
        <v>806</v>
      </c>
      <c r="C121" s="94" t="str">
        <f aca="false">Motor!C302</f>
        <v>não atinge até 2031</v>
      </c>
      <c r="D121" s="94" t="str">
        <f aca="false">Motor!C626</f>
        <v>não atinge até 2031</v>
      </c>
      <c r="E121" s="94" t="str">
        <f aca="false">Motor!C950</f>
        <v>não atinge até 2031</v>
      </c>
      <c r="F121" s="94" t="str">
        <f aca="false">Motor!C1274</f>
        <v>não atinge até 2031</v>
      </c>
      <c r="H121" s="2" t="s">
        <v>851</v>
      </c>
    </row>
    <row r="122" customFormat="false" ht="15" hidden="false" customHeight="false" outlineLevel="0" collapsed="false">
      <c r="A122" s="7" t="s">
        <v>808</v>
      </c>
      <c r="B122" s="8" t="s">
        <v>20</v>
      </c>
      <c r="C122" s="92" t="str">
        <f aca="false">Motor!C304</f>
        <v>não atinge até 2031</v>
      </c>
      <c r="D122" s="92" t="str">
        <f aca="false">Motor!C628</f>
        <v>não atinge até 2031</v>
      </c>
      <c r="E122" s="92" t="str">
        <f aca="false">Motor!C952</f>
        <v>não atinge até 2031</v>
      </c>
      <c r="F122" s="92" t="str">
        <f aca="false">Motor!C1276</f>
        <v>não atinge até 2031</v>
      </c>
    </row>
    <row r="123" customFormat="false" ht="15" hidden="false" customHeight="false" outlineLevel="0" collapsed="false">
      <c r="A123" s="7" t="s">
        <v>19</v>
      </c>
      <c r="B123" s="8" t="s">
        <v>20</v>
      </c>
      <c r="C123" s="92" t="str">
        <f aca="false">Motor!C308</f>
        <v>não atinge até 2031</v>
      </c>
      <c r="D123" s="92" t="str">
        <f aca="false">Motor!C632</f>
        <v>não atinge até 2031</v>
      </c>
      <c r="E123" s="92" t="str">
        <f aca="false">Motor!C956</f>
        <v>não atinge até 2031</v>
      </c>
      <c r="F123" s="92" t="str">
        <f aca="false">Motor!C1280</f>
        <v>não atinge até 2031</v>
      </c>
    </row>
    <row r="124" customFormat="false" ht="15" hidden="false" customHeight="false" outlineLevel="0" collapsed="false">
      <c r="A124" s="7" t="s">
        <v>852</v>
      </c>
      <c r="B124" s="8" t="s">
        <v>274</v>
      </c>
      <c r="C124" s="95" t="n">
        <f aca="false">Motor!C298</f>
        <v>14.4259254799113</v>
      </c>
      <c r="D124" s="95" t="n">
        <f aca="false">Motor!C622</f>
        <v>14.1125088473483</v>
      </c>
      <c r="E124" s="95" t="n">
        <f aca="false">Motor!C946</f>
        <v>13.9064784486428</v>
      </c>
      <c r="F124" s="95" t="n">
        <f aca="false">Motor!C1270</f>
        <v>16.248673843656</v>
      </c>
    </row>
    <row r="125" customFormat="false" ht="15" hidden="false" customHeight="false" outlineLevel="0" collapsed="false">
      <c r="A125" s="7" t="s">
        <v>853</v>
      </c>
      <c r="B125" s="8" t="s">
        <v>11</v>
      </c>
      <c r="C125" s="53" t="n">
        <f aca="false">Motor!C294</f>
        <v>725521.666666667</v>
      </c>
      <c r="D125" s="53" t="n">
        <f aca="false">Motor!C618</f>
        <v>734321.666666667</v>
      </c>
      <c r="E125" s="53" t="n">
        <f aca="false">Motor!C942</f>
        <v>743821.666666667</v>
      </c>
      <c r="F125" s="53" t="n">
        <f aca="false">Motor!C1266</f>
        <v>652596.666666667</v>
      </c>
    </row>
    <row r="127" customFormat="false" ht="15" hidden="false" customHeight="false" outlineLevel="0" collapsed="false">
      <c r="A127" s="3" t="s">
        <v>854</v>
      </c>
      <c r="B127" s="4"/>
      <c r="C127" s="4"/>
      <c r="D127" s="4"/>
      <c r="E127" s="4"/>
      <c r="F127" s="4"/>
      <c r="G127" s="4"/>
      <c r="H127" s="4"/>
    </row>
    <row r="128" customFormat="false" ht="15" hidden="false" customHeight="false" outlineLevel="0" collapsed="false">
      <c r="A128" s="5" t="s">
        <v>855</v>
      </c>
      <c r="B128" s="5" t="s">
        <v>4</v>
      </c>
      <c r="C128" s="6" t="s">
        <v>5</v>
      </c>
      <c r="D128" s="6" t="s">
        <v>6</v>
      </c>
      <c r="E128" s="6" t="s">
        <v>7</v>
      </c>
      <c r="F128" s="6" t="s">
        <v>8</v>
      </c>
      <c r="G128" s="6"/>
      <c r="H128" s="6" t="s">
        <v>856</v>
      </c>
    </row>
    <row r="129" customFormat="false" ht="15" hidden="false" customHeight="false" outlineLevel="0" collapsed="false">
      <c r="A129" s="7" t="s">
        <v>857</v>
      </c>
      <c r="B129" s="8" t="s">
        <v>11</v>
      </c>
      <c r="C129" s="53" t="n">
        <f aca="false">Motor!G319</f>
        <v>931281.492192886</v>
      </c>
      <c r="D129" s="53" t="n">
        <f aca="false">Motor!G643</f>
        <v>1219975.89659631</v>
      </c>
      <c r="E129" s="53" t="n">
        <f aca="false">Motor!G967</f>
        <v>906159.632961748</v>
      </c>
      <c r="F129" s="53" t="n">
        <f aca="false">Motor!G1291</f>
        <v>598542.140916074</v>
      </c>
    </row>
    <row r="130" customFormat="false" ht="15" hidden="false" customHeight="false" outlineLevel="0" collapsed="false">
      <c r="A130" s="7" t="s">
        <v>858</v>
      </c>
      <c r="B130" s="8" t="s">
        <v>64</v>
      </c>
      <c r="C130" s="67" t="n">
        <f aca="false">Motor!G321</f>
        <v>1.89082322835679</v>
      </c>
      <c r="D130" s="67" t="n">
        <f aca="false">Motor!G645</f>
        <v>0.686355267091038</v>
      </c>
      <c r="E130" s="67" t="n">
        <f aca="false">Motor!G969</f>
        <v>0.339868702129712</v>
      </c>
      <c r="F130" s="67" t="n">
        <f aca="false">Motor!G1293</f>
        <v>0.336738252075182</v>
      </c>
      <c r="H130" s="2" t="s">
        <v>859</v>
      </c>
    </row>
    <row r="131" customFormat="false" ht="15" hidden="false" customHeight="false" outlineLevel="0" collapsed="false">
      <c r="A131" s="7" t="s">
        <v>860</v>
      </c>
      <c r="B131" s="8" t="s">
        <v>64</v>
      </c>
      <c r="C131" s="67" t="n">
        <f aca="false">Motor!G322</f>
        <v>15.5682049992891</v>
      </c>
      <c r="D131" s="67" t="n">
        <f aca="false">Motor!G646</f>
        <v>8.98956337520546</v>
      </c>
      <c r="E131" s="67" t="n">
        <f aca="false">Motor!G970</f>
        <v>7.6520128910178</v>
      </c>
      <c r="F131" s="67" t="n">
        <f aca="false">Motor!G1294</f>
        <v>9.27689984350866</v>
      </c>
      <c r="H131" s="2" t="s">
        <v>861</v>
      </c>
    </row>
    <row r="132" customFormat="false" ht="15" hidden="false" customHeight="false" outlineLevel="0" collapsed="false">
      <c r="A132" s="7" t="s">
        <v>862</v>
      </c>
      <c r="B132" s="8" t="s">
        <v>120</v>
      </c>
      <c r="C132" s="54" t="n">
        <f aca="false">Motor!G324</f>
        <v>128452.619612812</v>
      </c>
      <c r="D132" s="54" t="n">
        <f aca="false">Motor!G648</f>
        <v>168272.53746156</v>
      </c>
      <c r="E132" s="54" t="n">
        <f aca="false">Motor!G972</f>
        <v>124987.535580931</v>
      </c>
      <c r="F132" s="54" t="n">
        <f aca="false">Motor!G1296</f>
        <v>86057.5366780792</v>
      </c>
      <c r="H132" s="2" t="s">
        <v>863</v>
      </c>
    </row>
    <row r="133" customFormat="false" ht="15" hidden="false" customHeight="false" outlineLevel="0" collapsed="false">
      <c r="A133" s="7" t="s">
        <v>864</v>
      </c>
      <c r="B133" s="8" t="s">
        <v>76</v>
      </c>
      <c r="C133" s="96" t="n">
        <f aca="false">Motor!G325</f>
        <v>1.1062324534101</v>
      </c>
      <c r="D133" s="96" t="n">
        <f aca="false">Motor!G649</f>
        <v>0.781458857228551</v>
      </c>
      <c r="E133" s="96" t="n">
        <f aca="false">Motor!G973</f>
        <v>0.393521451183597</v>
      </c>
      <c r="F133" s="96" t="n">
        <f aca="false">Motor!G1297</f>
        <v>0.508922832812873</v>
      </c>
    </row>
    <row r="134" customFormat="false" ht="15" hidden="false" customHeight="false" outlineLevel="0" collapsed="false">
      <c r="A134" s="7" t="s">
        <v>865</v>
      </c>
      <c r="B134" s="8" t="s">
        <v>11</v>
      </c>
      <c r="C134" s="53" t="n">
        <f aca="false">Motor!G327</f>
        <v>263861711.506056</v>
      </c>
      <c r="D134" s="53" t="n">
        <f aca="false">Motor!G651</f>
        <v>349348035.329602</v>
      </c>
      <c r="E134" s="53" t="n">
        <f aca="false">Motor!G975</f>
        <v>265770864.142429</v>
      </c>
      <c r="F134" s="53" t="n">
        <f aca="false">Motor!G1299</f>
        <v>34927107.0458037</v>
      </c>
    </row>
    <row r="136" customFormat="false" ht="15" hidden="false" customHeight="false" outlineLevel="0" collapsed="false">
      <c r="A136" s="3" t="s">
        <v>866</v>
      </c>
      <c r="B136" s="4"/>
      <c r="C136" s="4"/>
      <c r="D136" s="4"/>
      <c r="E136" s="4"/>
      <c r="F136" s="4"/>
      <c r="G136" s="4"/>
      <c r="H136" s="4"/>
    </row>
    <row r="137" customFormat="false" ht="15" hidden="false" customHeight="false" outlineLevel="0" collapsed="false">
      <c r="A137" s="5" t="s">
        <v>59</v>
      </c>
      <c r="B137" s="5" t="s">
        <v>6</v>
      </c>
      <c r="C137" s="6" t="s">
        <v>8</v>
      </c>
      <c r="D137" s="6"/>
      <c r="E137" s="6"/>
      <c r="F137" s="6"/>
      <c r="G137" s="6"/>
      <c r="H137" s="6" t="s">
        <v>867</v>
      </c>
    </row>
    <row r="138" customFormat="false" ht="64.5" hidden="false" customHeight="true" outlineLevel="0" collapsed="false">
      <c r="A138" s="97" t="s">
        <v>868</v>
      </c>
      <c r="B138" s="98" t="s">
        <v>869</v>
      </c>
      <c r="C138" s="99" t="s">
        <v>870</v>
      </c>
      <c r="D138" s="99"/>
      <c r="E138" s="99"/>
      <c r="F138" s="99"/>
      <c r="G138" s="99"/>
      <c r="H138" s="98" t="s">
        <v>871</v>
      </c>
    </row>
    <row r="139" customFormat="false" ht="39" hidden="false" customHeight="true" outlineLevel="0" collapsed="false">
      <c r="A139" s="97" t="s">
        <v>872</v>
      </c>
      <c r="B139" s="98" t="s">
        <v>873</v>
      </c>
      <c r="C139" s="99" t="s">
        <v>874</v>
      </c>
      <c r="D139" s="99"/>
      <c r="E139" s="99"/>
      <c r="F139" s="99"/>
      <c r="G139" s="99"/>
      <c r="H139" s="98" t="s">
        <v>875</v>
      </c>
    </row>
    <row r="140" customFormat="false" ht="51.75" hidden="false" customHeight="true" outlineLevel="0" collapsed="false">
      <c r="A140" s="97" t="s">
        <v>876</v>
      </c>
      <c r="B140" s="98" t="s">
        <v>877</v>
      </c>
      <c r="C140" s="99" t="s">
        <v>878</v>
      </c>
      <c r="D140" s="99"/>
      <c r="E140" s="99"/>
      <c r="F140" s="99"/>
      <c r="G140" s="99"/>
      <c r="H140" s="98" t="s">
        <v>879</v>
      </c>
    </row>
    <row r="141" customFormat="false" ht="51.75" hidden="false" customHeight="true" outlineLevel="0" collapsed="false">
      <c r="A141" s="97" t="s">
        <v>880</v>
      </c>
      <c r="B141" s="98" t="s">
        <v>881</v>
      </c>
      <c r="C141" s="99" t="s">
        <v>873</v>
      </c>
      <c r="D141" s="99"/>
      <c r="E141" s="99"/>
      <c r="F141" s="99"/>
      <c r="G141" s="99"/>
      <c r="H141" s="98" t="s">
        <v>882</v>
      </c>
    </row>
    <row r="142" customFormat="false" ht="25.5" hidden="false" customHeight="true" outlineLevel="0" collapsed="false">
      <c r="A142" s="97" t="s">
        <v>883</v>
      </c>
      <c r="B142" s="98" t="s">
        <v>884</v>
      </c>
      <c r="C142" s="99" t="s">
        <v>885</v>
      </c>
      <c r="D142" s="99"/>
      <c r="E142" s="99"/>
      <c r="F142" s="99"/>
      <c r="G142" s="99"/>
      <c r="H142" s="98" t="s">
        <v>886</v>
      </c>
    </row>
    <row r="143" customFormat="false" ht="129.75" hidden="false" customHeight="true" outlineLevel="0" collapsed="false">
      <c r="A143" s="97" t="s">
        <v>887</v>
      </c>
      <c r="B143" s="98" t="s">
        <v>888</v>
      </c>
      <c r="C143" s="99" t="s">
        <v>889</v>
      </c>
      <c r="D143" s="99"/>
      <c r="E143" s="99"/>
      <c r="F143" s="99"/>
      <c r="G143" s="99"/>
      <c r="H143" s="98" t="s">
        <v>890</v>
      </c>
    </row>
    <row r="144" customFormat="false" ht="39" hidden="false" customHeight="true" outlineLevel="0" collapsed="false">
      <c r="A144" s="97" t="s">
        <v>891</v>
      </c>
      <c r="B144" s="98" t="s">
        <v>892</v>
      </c>
      <c r="C144" s="99" t="s">
        <v>893</v>
      </c>
      <c r="D144" s="99"/>
      <c r="E144" s="99"/>
      <c r="F144" s="99"/>
      <c r="G144" s="99"/>
      <c r="H144" s="98" t="s">
        <v>894</v>
      </c>
    </row>
    <row r="145" customFormat="false" ht="39" hidden="false" customHeight="true" outlineLevel="0" collapsed="false">
      <c r="A145" s="97" t="s">
        <v>895</v>
      </c>
      <c r="B145" s="98" t="s">
        <v>896</v>
      </c>
      <c r="C145" s="99" t="s">
        <v>897</v>
      </c>
      <c r="D145" s="99"/>
      <c r="E145" s="99"/>
      <c r="F145" s="99"/>
      <c r="G145" s="99"/>
      <c r="H145" s="98" t="s">
        <v>898</v>
      </c>
    </row>
    <row r="146" customFormat="false" ht="39" hidden="false" customHeight="true" outlineLevel="0" collapsed="false">
      <c r="A146" s="97" t="s">
        <v>899</v>
      </c>
      <c r="B146" s="98" t="s">
        <v>900</v>
      </c>
      <c r="C146" s="99" t="s">
        <v>901</v>
      </c>
      <c r="D146" s="99"/>
      <c r="E146" s="99"/>
      <c r="F146" s="99"/>
      <c r="G146" s="99"/>
      <c r="H146" s="98" t="s">
        <v>902</v>
      </c>
    </row>
    <row r="147" customFormat="false" ht="39" hidden="false" customHeight="true" outlineLevel="0" collapsed="false">
      <c r="A147" s="97" t="s">
        <v>903</v>
      </c>
      <c r="B147" s="98" t="s">
        <v>904</v>
      </c>
      <c r="C147" s="99" t="s">
        <v>905</v>
      </c>
      <c r="D147" s="99"/>
      <c r="E147" s="99"/>
      <c r="F147" s="99"/>
      <c r="G147" s="99"/>
      <c r="H147" s="98" t="s">
        <v>906</v>
      </c>
    </row>
    <row r="148" customFormat="false" ht="64.5" hidden="false" customHeight="true" outlineLevel="0" collapsed="false">
      <c r="A148" s="97" t="s">
        <v>907</v>
      </c>
      <c r="B148" s="98" t="s">
        <v>908</v>
      </c>
      <c r="C148" s="99" t="s">
        <v>909</v>
      </c>
      <c r="D148" s="99"/>
      <c r="E148" s="99"/>
      <c r="F148" s="99"/>
      <c r="G148" s="99"/>
      <c r="H148" s="98" t="s">
        <v>910</v>
      </c>
    </row>
    <row r="149" customFormat="false" ht="51.75" hidden="false" customHeight="true" outlineLevel="0" collapsed="false">
      <c r="A149" s="97" t="s">
        <v>911</v>
      </c>
      <c r="B149" s="98" t="s">
        <v>912</v>
      </c>
      <c r="C149" s="99" t="s">
        <v>913</v>
      </c>
      <c r="D149" s="99"/>
      <c r="E149" s="99"/>
      <c r="F149" s="99"/>
      <c r="G149" s="99"/>
      <c r="H149" s="98" t="s">
        <v>914</v>
      </c>
    </row>
    <row r="150" customFormat="false" ht="64.5" hidden="false" customHeight="true" outlineLevel="0" collapsed="false">
      <c r="A150" s="97" t="s">
        <v>915</v>
      </c>
      <c r="B150" s="98" t="s">
        <v>916</v>
      </c>
      <c r="C150" s="99" t="s">
        <v>917</v>
      </c>
      <c r="D150" s="99"/>
      <c r="E150" s="99"/>
      <c r="F150" s="99"/>
      <c r="G150" s="99"/>
      <c r="H150" s="98" t="s">
        <v>918</v>
      </c>
    </row>
    <row r="151" customFormat="false" ht="51.75" hidden="false" customHeight="true" outlineLevel="0" collapsed="false">
      <c r="A151" s="97" t="s">
        <v>919</v>
      </c>
      <c r="B151" s="98" t="s">
        <v>920</v>
      </c>
      <c r="C151" s="99" t="s">
        <v>921</v>
      </c>
      <c r="D151" s="99"/>
      <c r="E151" s="99"/>
      <c r="F151" s="99"/>
      <c r="G151" s="99"/>
      <c r="H151" s="98" t="s">
        <v>922</v>
      </c>
    </row>
    <row r="152" customFormat="false" ht="25.5" hidden="false" customHeight="true" outlineLevel="0" collapsed="false">
      <c r="A152" s="97" t="s">
        <v>923</v>
      </c>
      <c r="B152" s="98" t="s">
        <v>924</v>
      </c>
      <c r="C152" s="99" t="s">
        <v>925</v>
      </c>
      <c r="D152" s="99"/>
      <c r="E152" s="99"/>
      <c r="F152" s="99"/>
      <c r="G152" s="99"/>
      <c r="H152" s="98" t="s">
        <v>926</v>
      </c>
    </row>
    <row r="153" customFormat="false" ht="51.75" hidden="false" customHeight="true" outlineLevel="0" collapsed="false">
      <c r="A153" s="100" t="s">
        <v>927</v>
      </c>
      <c r="H153" s="98" t="s">
        <v>928</v>
      </c>
    </row>
    <row r="154" customFormat="false" ht="64.5" hidden="false" customHeight="true" outlineLevel="0" collapsed="false">
      <c r="A154" s="100" t="s">
        <v>929</v>
      </c>
      <c r="H154" s="98" t="s">
        <v>930</v>
      </c>
    </row>
    <row r="156" customFormat="false" ht="15" hidden="false" customHeight="false" outlineLevel="0" collapsed="false">
      <c r="A156" s="3" t="s">
        <v>931</v>
      </c>
      <c r="B156" s="4"/>
      <c r="C156" s="4"/>
      <c r="D156" s="4"/>
      <c r="E156" s="4"/>
      <c r="F156" s="4"/>
      <c r="G156" s="4"/>
      <c r="H156" s="4"/>
    </row>
    <row r="157" customFormat="false" ht="15" hidden="false" customHeight="false" outlineLevel="0" collapsed="false">
      <c r="A157" s="7" t="s">
        <v>932</v>
      </c>
      <c r="C157" s="33" t="n">
        <f aca="false">ROUND(DR!C15-CHOOSE(Pressupostos!$E$4,Motor!$C$219,Motor!$C$543,Motor!$C$867,Motor!$C$1191),4)</f>
        <v>0</v>
      </c>
      <c r="D157" s="33" t="n">
        <f aca="false">ROUND(DR!D15-CHOOSE(Pressupostos!$E$4,Motor!$D$219,Motor!$D$543,Motor!$D$867,Motor!$D$1191),4)</f>
        <v>0</v>
      </c>
      <c r="E157" s="33" t="n">
        <f aca="false">ROUND(DR!E15-CHOOSE(Pressupostos!$E$4,Motor!$E$219,Motor!$E$543,Motor!$E$867,Motor!$E$1191),4)</f>
        <v>0</v>
      </c>
      <c r="F157" s="33" t="n">
        <f aca="false">ROUND(DR!F15-CHOOSE(Pressupostos!$E$4,Motor!$F$219,Motor!$F$543,Motor!$F$867,Motor!$F$1191),4)</f>
        <v>0</v>
      </c>
      <c r="G157" s="33" t="n">
        <f aca="false">ROUND(DR!G15-CHOOSE(Pressupostos!$E$4,Motor!$G$219,Motor!$G$543,Motor!$G$867,Motor!$G$1191),4)</f>
        <v>0</v>
      </c>
    </row>
    <row r="158" customFormat="false" ht="15" hidden="false" customHeight="false" outlineLevel="0" collapsed="false">
      <c r="A158" s="7" t="s">
        <v>933</v>
      </c>
      <c r="C158" s="33" t="n">
        <f aca="false">ROUND('Fluxo de caixa'!C32-CHOOSE(Pressupostos!$E$4,Motor!$C$263,Motor!$C$587,Motor!$C$911,Motor!$C$1235),4)</f>
        <v>0</v>
      </c>
      <c r="D158" s="33" t="n">
        <f aca="false">ROUND('Fluxo de caixa'!D32-CHOOSE(Pressupostos!$E$4,Motor!$D$263,Motor!$D$587,Motor!$D$911,Motor!$D$1235),4)</f>
        <v>0</v>
      </c>
      <c r="E158" s="33" t="n">
        <f aca="false">ROUND('Fluxo de caixa'!E32-CHOOSE(Pressupostos!$E$4,Motor!$E$263,Motor!$E$587,Motor!$E$911,Motor!$E$1235),4)</f>
        <v>0</v>
      </c>
      <c r="F158" s="33" t="n">
        <f aca="false">ROUND('Fluxo de caixa'!F32-CHOOSE(Pressupostos!$E$4,Motor!$F$263,Motor!$F$587,Motor!$F$911,Motor!$F$1235),4)</f>
        <v>0</v>
      </c>
      <c r="G158" s="33" t="n">
        <f aca="false">ROUND('Fluxo de caixa'!G32-CHOOSE(Pressupostos!$E$4,Motor!$G$263,Motor!$G$587,Motor!$G$911,Motor!$G$1235),4)</f>
        <v>0</v>
      </c>
    </row>
    <row r="159" customFormat="false" ht="15" hidden="false" customHeight="false" outlineLevel="0" collapsed="false">
      <c r="A159" s="7" t="s">
        <v>934</v>
      </c>
      <c r="C159" s="33" t="n">
        <f aca="false">ROUND('Capital &amp; financiamento'!C10-CHOOSE(Pressupostos!$E$4,Motor!$C$280,Motor!$C$604,Motor!$C$928,Motor!$C$1252),4)</f>
        <v>0</v>
      </c>
    </row>
    <row r="160" customFormat="false" ht="15" hidden="false" customHeight="false" outlineLevel="0" collapsed="false">
      <c r="A160" s="7" t="s">
        <v>935</v>
      </c>
      <c r="C160" s="33" t="n">
        <f aca="false">ROUND(SUMPRODUCT(ABS(Motor!$C$150:$G$150))+SUMPRODUCT(ABS(Motor!$C$264:$G$264))+SUMPRODUCT(ABS(Motor!$C$474:$G$474))+SUMPRODUCT(ABS(Motor!$C$588:$G$588))+SUMPRODUCT(ABS(Motor!$C$798:$G$798))+SUMPRODUCT(ABS(Motor!$C$912:$G$912))+SUMPRODUCT(ABS(Motor!$C$1122:$G$1122))+SUMPRODUCT(ABS(Motor!$C$1236:$G$1236))+SUMPRODUCT(ABS(Motor!$C$1446:$G$1446))+SUMPRODUCT(ABS(Motor!$C$1560:$G$1560))+SUMPRODUCT(ABS(Motor!$C$1770:$G$1770))+SUMPRODUCT(ABS(Motor!$C$1884:$G$1884))+SUMPRODUCT(ABS(Motor!$C$2094:$G$2094))+SUMPRODUCT(ABS(Motor!$C$2208:$G$2208))+SUMPRODUCT(ABS(Motor!$C$2418:$G$2418))+SUMPRODUCT(ABS(Motor!$C$2532:$G$2532))+SUMPRODUCT(ABS(Motor!$C$2742:$G$2742))+SUMPRODUCT(ABS(Motor!$C$2856:$G$2856))+SUMPRODUCT(ABS(Motor!$C$3066:$G$3066))+SUMPRODUCT(ABS(Motor!$C$3180:$G$3180))+SUMPRODUCT(ABS(Motor!$C$3390:$G$3390))+SUMPRODUCT(ABS(Motor!$C$3504:$G$3504))+SUMPRODUCT(ABS(Motor!$C$3714:$G$3714))+SUMPRODUCT(ABS(Motor!$C$3828:$G$3828))+SUMPRODUCT(ABS(Motor!$C$4038:$G$4038))+SUMPRODUCT(ABS(Motor!$C$4152:$G$4152))+SUMPRODUCT(ABS(Motor!$C$4362:$G$4362))+SUMPRODUCT(ABS(Motor!$C$4476:$G$4476))+SUMPRODUCT(ABS(Motor!$C$4686:$G$4686))+SUMPRODUCT(ABS(Motor!$C$4800:$G$4800))+SUMPRODUCT(ABS(Motor!$C$5010:$G$5010))+SUMPRODUCT(ABS(Motor!$C$5124:$G$5124))+SUMPRODUCT(ABS(Motor!$C$5334:$G$5334))+SUMPRODUCT(ABS(Motor!$C$5448:$G$5448))+SUMPRODUCT(ABS(Motor!$C$5658:$G$5658))+SUMPRODUCT(ABS(Motor!$C$5772:$G$5772))+SUMPRODUCT(ABS(Motor!$C$5982:$G$5982))+SUMPRODUCT(ABS(Motor!$C$6096:$G$6096))+SUMPRODUCT(ABS(Motor!$C$6306:$G$6306))+SUMPRODUCT(ABS(Motor!$C$6420:$G$6420))+SUMPRODUCT(ABS(Motor!$C$6630:$G$6630))+SUMPRODUCT(ABS(Motor!$C$6744:$G$6744))+SUMPRODUCT(ABS(Motor!$C$6954:$G$6954))+SUMPRODUCT(ABS(Motor!$C$7068:$G$7068))+SUMPRODUCT(ABS(Motor!$C$7278:$G$7278))+SUMPRODUCT(ABS(Motor!$C$7392:$G$7392))+SUMPRODUCT(ABS(Motor!$C$7602:$G$7602))+SUMPRODUCT(ABS(Motor!$C$7716:$G$7716))+SUMPRODUCT(ABS(Motor!$C$7926:$G$7926))+SUMPRODUCT(ABS(Motor!$C$8040:$G$8040))+SUMPRODUCT(ABS(Motor!$C$8250:$G$8250))+SUMPRODUCT(ABS(Motor!$C$8364:$G$8364)),4)</f>
        <v>0</v>
      </c>
    </row>
    <row r="161" customFormat="false" ht="15" hidden="false" customHeight="false" outlineLevel="0" collapsed="false">
      <c r="A161" s="11" t="s">
        <v>936</v>
      </c>
      <c r="C161" s="101" t="str">
        <f aca="false">IF(SUMPRODUCT(ABS(C157:G157))+SUMPRODUCT(ABS(C158:G158))+SUMPRODUCT(ABS(C159:G159))+SUMPRODUCT(ABS(C160:G160))=0,"OK","ERRO")</f>
        <v>OK</v>
      </c>
    </row>
  </sheetData>
  <mergeCells count="15">
    <mergeCell ref="C138:G138"/>
    <mergeCell ref="C139:G139"/>
    <mergeCell ref="C140:G140"/>
    <mergeCell ref="C141:G141"/>
    <mergeCell ref="C142:G142"/>
    <mergeCell ref="C143:G143"/>
    <mergeCell ref="C144:G144"/>
    <mergeCell ref="C145:G145"/>
    <mergeCell ref="C146:G146"/>
    <mergeCell ref="C147:G147"/>
    <mergeCell ref="C148:G148"/>
    <mergeCell ref="C149:G149"/>
    <mergeCell ref="C150:G150"/>
    <mergeCell ref="C151:G151"/>
    <mergeCell ref="C152:G1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  <col collapsed="false" customWidth="true" hidden="false" outlineLevel="0" max="8" min="3" style="0" width="15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937</v>
      </c>
    </row>
    <row r="2" customFormat="false" ht="15" hidden="false" customHeight="false" outlineLevel="0" collapsed="false">
      <c r="A2" s="2" t="s">
        <v>938</v>
      </c>
    </row>
    <row r="4" customFormat="false" ht="15" hidden="false" customHeight="false" outlineLevel="0" collapsed="false">
      <c r="A4" s="3" t="s">
        <v>939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7" t="s">
        <v>353</v>
      </c>
      <c r="B5" s="49" t="n">
        <f aca="false">Pressupostos!$C$191</f>
        <v>0.1</v>
      </c>
    </row>
    <row r="6" customFormat="false" ht="15" hidden="false" customHeight="false" outlineLevel="0" collapsed="false">
      <c r="A6" s="7" t="s">
        <v>355</v>
      </c>
      <c r="B6" s="49" t="n">
        <f aca="false">Pressupostos!$C$192</f>
        <v>0.125</v>
      </c>
    </row>
    <row r="7" customFormat="false" ht="15" hidden="false" customHeight="false" outlineLevel="0" collapsed="false">
      <c r="A7" s="7" t="s">
        <v>356</v>
      </c>
      <c r="B7" s="49" t="n">
        <f aca="false">Pressupostos!$C$193</f>
        <v>0.15</v>
      </c>
    </row>
    <row r="8" customFormat="false" ht="15" hidden="false" customHeight="false" outlineLevel="0" collapsed="false">
      <c r="A8" s="7" t="s">
        <v>357</v>
      </c>
      <c r="B8" s="49" t="n">
        <f aca="false">Pressupostos!$C$194</f>
        <v>-0.3</v>
      </c>
    </row>
    <row r="9" customFormat="false" ht="15" hidden="false" customHeight="false" outlineLevel="0" collapsed="false">
      <c r="A9" s="7" t="s">
        <v>359</v>
      </c>
      <c r="B9" s="49" t="n">
        <f aca="false">Pressupostos!$C$195</f>
        <v>0.3</v>
      </c>
    </row>
    <row r="10" customFormat="false" ht="15" hidden="false" customHeight="false" outlineLevel="0" collapsed="false">
      <c r="A10" s="7" t="s">
        <v>362</v>
      </c>
      <c r="B10" s="49" t="n">
        <f aca="false">Pressupostos!$C$197</f>
        <v>-0.3</v>
      </c>
    </row>
    <row r="11" customFormat="false" ht="15" hidden="false" customHeight="false" outlineLevel="0" collapsed="false">
      <c r="A11" s="7" t="s">
        <v>360</v>
      </c>
      <c r="B11" s="102" t="n">
        <f aca="false">Pressupostos!$C$196</f>
        <v>0.2</v>
      </c>
    </row>
    <row r="12" customFormat="false" ht="15" hidden="false" customHeight="false" outlineLevel="0" collapsed="false">
      <c r="A12" s="7" t="s">
        <v>348</v>
      </c>
      <c r="B12" s="49" t="n">
        <f aca="false">Pressupostos!$C$188</f>
        <v>0.15</v>
      </c>
    </row>
    <row r="14" customFormat="false" ht="15" hidden="false" customHeight="false" outlineLevel="0" collapsed="false">
      <c r="A14" s="3" t="s">
        <v>940</v>
      </c>
      <c r="B14" s="4"/>
      <c r="C14" s="4"/>
      <c r="D14" s="4"/>
      <c r="E14" s="4"/>
      <c r="F14" s="4"/>
      <c r="G14" s="4"/>
      <c r="H14" s="4"/>
      <c r="I14" s="4"/>
    </row>
    <row r="15" customFormat="false" ht="35.05" hidden="false" customHeight="false" outlineLevel="0" collapsed="false">
      <c r="A15" s="5" t="s">
        <v>941</v>
      </c>
      <c r="B15" s="5" t="s">
        <v>942</v>
      </c>
      <c r="C15" s="6" t="s">
        <v>943</v>
      </c>
      <c r="D15" s="6" t="s">
        <v>944</v>
      </c>
      <c r="E15" s="6" t="s">
        <v>945</v>
      </c>
      <c r="F15" s="6" t="s">
        <v>946</v>
      </c>
      <c r="G15" s="6" t="s">
        <v>947</v>
      </c>
      <c r="H15" s="6" t="s">
        <v>948</v>
      </c>
      <c r="I15" s="6" t="s">
        <v>17</v>
      </c>
    </row>
    <row r="16" customFormat="false" ht="15" hidden="false" customHeight="false" outlineLevel="0" collapsed="false">
      <c r="A16" s="11" t="s">
        <v>949</v>
      </c>
      <c r="C16" s="103" t="n">
        <f aca="false">Motor!$E$372</f>
        <v>0.347135719178083</v>
      </c>
      <c r="D16" s="91" t="n">
        <f aca="false">Motor!$E$543</f>
        <v>-969909.990443249</v>
      </c>
      <c r="E16" s="91" t="n">
        <f aca="false">Motor!$G$543</f>
        <v>-1219975.89659631</v>
      </c>
      <c r="F16" s="104" t="n">
        <f aca="false">E16-E16</f>
        <v>0</v>
      </c>
      <c r="G16" s="91" t="n">
        <f aca="false">Motor!$G$587</f>
        <v>-5213753.67227711</v>
      </c>
      <c r="H16" s="91" t="n">
        <f aca="false">Motor!$C$604</f>
        <v>5508753.67227711</v>
      </c>
      <c r="I16" s="94" t="str">
        <f aca="false">Motor!$C$626</f>
        <v>não atinge até 2031</v>
      </c>
    </row>
    <row r="17" customFormat="false" ht="15" hidden="false" customHeight="false" outlineLevel="0" collapsed="false">
      <c r="A17" s="7" t="s">
        <v>950</v>
      </c>
      <c r="B17" s="96" t="n">
        <f aca="false">Pressupostos!$C$191</f>
        <v>0.1</v>
      </c>
      <c r="C17" s="67" t="n">
        <f aca="false">Motor!$E$1344</f>
        <v>0.347135719178083</v>
      </c>
      <c r="D17" s="53" t="n">
        <f aca="false">Motor!$E$1515</f>
        <v>-969909.990443249</v>
      </c>
      <c r="E17" s="53" t="n">
        <f aca="false">Motor!$G$1515</f>
        <v>-1219975.89659631</v>
      </c>
      <c r="F17" s="61" t="n">
        <f aca="false">E17-E16</f>
        <v>0</v>
      </c>
      <c r="G17" s="53" t="n">
        <f aca="false">Motor!$G$1559</f>
        <v>-5213753.67227711</v>
      </c>
      <c r="H17" s="53" t="n">
        <f aca="false">Motor!$C$1576</f>
        <v>5508753.67227711</v>
      </c>
      <c r="I17" s="105" t="str">
        <f aca="false">Motor!$C$1598</f>
        <v>não atinge até 2031</v>
      </c>
    </row>
    <row r="18" customFormat="false" ht="15" hidden="false" customHeight="false" outlineLevel="0" collapsed="false">
      <c r="A18" s="7" t="s">
        <v>950</v>
      </c>
      <c r="B18" s="96" t="n">
        <f aca="false">Pressupostos!$C$192</f>
        <v>0.125</v>
      </c>
      <c r="C18" s="67" t="n">
        <f aca="false">Motor!$E$1668</f>
        <v>0.206733219178083</v>
      </c>
      <c r="D18" s="53" t="n">
        <f aca="false">Motor!$E$1839</f>
        <v>-988508.377943249</v>
      </c>
      <c r="E18" s="53" t="n">
        <f aca="false">Motor!$G$1839</f>
        <v>-1277309.27159631</v>
      </c>
      <c r="F18" s="61" t="n">
        <f aca="false">E18-E16</f>
        <v>-57333.375</v>
      </c>
      <c r="G18" s="53" t="n">
        <f aca="false">Motor!$G$1883</f>
        <v>-5332451.55892951</v>
      </c>
      <c r="H18" s="53" t="n">
        <f aca="false">Motor!$C$1900</f>
        <v>5627451.55892951</v>
      </c>
      <c r="I18" s="105" t="str">
        <f aca="false">Motor!$C$1922</f>
        <v>não atinge até 2031</v>
      </c>
    </row>
    <row r="19" customFormat="false" ht="15" hidden="false" customHeight="false" outlineLevel="0" collapsed="false">
      <c r="A19" s="7" t="s">
        <v>950</v>
      </c>
      <c r="B19" s="96" t="n">
        <f aca="false">Pressupostos!$C$193</f>
        <v>0.15</v>
      </c>
      <c r="C19" s="67" t="n">
        <f aca="false">Motor!$E$1992</f>
        <v>0.0663307191780822</v>
      </c>
      <c r="D19" s="53" t="n">
        <f aca="false">Motor!$E$2163</f>
        <v>-1007106.76544325</v>
      </c>
      <c r="E19" s="53" t="n">
        <f aca="false">Motor!$G$2163</f>
        <v>-1334642.64659631</v>
      </c>
      <c r="F19" s="61" t="n">
        <f aca="false">E19-E16</f>
        <v>-114666.75</v>
      </c>
      <c r="G19" s="53" t="n">
        <f aca="false">Motor!$G$2207</f>
        <v>-5451149.4455819</v>
      </c>
      <c r="H19" s="53" t="n">
        <f aca="false">Motor!$C$2224</f>
        <v>5746149.4455819</v>
      </c>
      <c r="I19" s="105" t="str">
        <f aca="false">Motor!$C$2246</f>
        <v>não atinge até 2031</v>
      </c>
    </row>
    <row r="20" customFormat="false" ht="15" hidden="false" customHeight="false" outlineLevel="0" collapsed="false">
      <c r="A20" s="7" t="s">
        <v>951</v>
      </c>
      <c r="B20" s="96" t="n">
        <f aca="false">Pressupostos!$C$194</f>
        <v>-0.3</v>
      </c>
      <c r="C20" s="67" t="n">
        <f aca="false">Motor!$E$2316</f>
        <v>0.347135719178083</v>
      </c>
      <c r="D20" s="53" t="n">
        <f aca="false">Motor!$E$2487</f>
        <v>-999592.701170988</v>
      </c>
      <c r="E20" s="53" t="n">
        <f aca="false">Motor!$G$2487</f>
        <v>-1308014.37998672</v>
      </c>
      <c r="F20" s="61" t="n">
        <f aca="false">E20-E16</f>
        <v>-88038.4833904109</v>
      </c>
      <c r="G20" s="53" t="n">
        <f aca="false">Motor!$G$2531</f>
        <v>-5335221.80879937</v>
      </c>
      <c r="H20" s="53" t="n">
        <f aca="false">Motor!$C$2548</f>
        <v>5630221.80879937</v>
      </c>
      <c r="I20" s="105" t="str">
        <f aca="false">Motor!$C$2570</f>
        <v>não atinge até 2031</v>
      </c>
    </row>
    <row r="21" customFormat="false" ht="15" hidden="false" customHeight="false" outlineLevel="0" collapsed="false">
      <c r="A21" s="7" t="s">
        <v>951</v>
      </c>
      <c r="B21" s="96" t="n">
        <f aca="false">Pressupostos!$C$195</f>
        <v>0.3</v>
      </c>
      <c r="C21" s="67" t="n">
        <f aca="false">Motor!$E$2640</f>
        <v>0.347135719178083</v>
      </c>
      <c r="D21" s="53" t="n">
        <f aca="false">Motor!$E$2811</f>
        <v>-940227.279715509</v>
      </c>
      <c r="E21" s="53" t="n">
        <f aca="false">Motor!$G$2811</f>
        <v>-1131937.4132059</v>
      </c>
      <c r="F21" s="61" t="n">
        <f aca="false">E21-E16</f>
        <v>88038.4833904109</v>
      </c>
      <c r="G21" s="53" t="n">
        <f aca="false">Motor!$G$2855</f>
        <v>-5092285.53575485</v>
      </c>
      <c r="H21" s="53" t="n">
        <f aca="false">Motor!$C$2872</f>
        <v>5387285.53575485</v>
      </c>
      <c r="I21" s="105" t="str">
        <f aca="false">Motor!$C$2894</f>
        <v>não atinge até 2031</v>
      </c>
    </row>
    <row r="22" customFormat="false" ht="15" hidden="false" customHeight="false" outlineLevel="0" collapsed="false">
      <c r="A22" s="7" t="s">
        <v>952</v>
      </c>
      <c r="B22" s="96" t="n">
        <f aca="false">Pressupostos!$C$197</f>
        <v>-0.3</v>
      </c>
      <c r="C22" s="67" t="n">
        <f aca="false">Motor!$E$2964</f>
        <v>-0.101566246575342</v>
      </c>
      <c r="D22" s="53" t="n">
        <f aca="false">Motor!$E$3135</f>
        <v>-1193341.53994667</v>
      </c>
      <c r="E22" s="53" t="n">
        <f aca="false">Motor!$G$3135</f>
        <v>-1813917.60926754</v>
      </c>
      <c r="F22" s="61" t="n">
        <f aca="false">E22-E16</f>
        <v>-593941.712671234</v>
      </c>
      <c r="G22" s="53" t="n">
        <f aca="false">Motor!$G$3179</f>
        <v>-6479296.72228396</v>
      </c>
      <c r="H22" s="53" t="n">
        <f aca="false">Motor!$C$3196</f>
        <v>6774296.72228396</v>
      </c>
      <c r="I22" s="105" t="str">
        <f aca="false">Motor!$C$3218</f>
        <v>não atinge até 2031</v>
      </c>
    </row>
    <row r="23" customFormat="false" ht="15" hidden="false" customHeight="false" outlineLevel="0" collapsed="false">
      <c r="A23" s="7" t="s">
        <v>953</v>
      </c>
      <c r="B23" s="106" t="n">
        <f aca="false">Pressupostos!$C$196</f>
        <v>0.2</v>
      </c>
      <c r="C23" s="67" t="n">
        <f aca="false">Motor!$E$3288</f>
        <v>0.347135719178083</v>
      </c>
      <c r="D23" s="53" t="n">
        <f aca="false">Motor!$E$3459</f>
        <v>-749797.934001223</v>
      </c>
      <c r="E23" s="53" t="n">
        <f aca="false">Motor!$G$3459</f>
        <v>-652080.92749161</v>
      </c>
      <c r="F23" s="61" t="n">
        <f aca="false">E23-E16</f>
        <v>567894.969104697</v>
      </c>
      <c r="G23" s="53" t="n">
        <f aca="false">Motor!$G$3503</f>
        <v>-4005939.30966874</v>
      </c>
      <c r="H23" s="53" t="n">
        <f aca="false">Motor!$C$3520</f>
        <v>4300939.30966874</v>
      </c>
      <c r="I23" s="105" t="str">
        <f aca="false">Motor!$C$3542</f>
        <v>não atinge até 2031</v>
      </c>
    </row>
    <row r="24" customFormat="false" ht="15" hidden="false" customHeight="false" outlineLevel="0" collapsed="false">
      <c r="A24" s="7" t="s">
        <v>954</v>
      </c>
      <c r="B24" s="96" t="n">
        <f aca="false">Pressupostos!$C$198</f>
        <v>0.1</v>
      </c>
      <c r="C24" s="67" t="n">
        <f aca="false">Motor!$E$3612</f>
        <v>0.331146849315069</v>
      </c>
      <c r="D24" s="53" t="n">
        <f aca="false">Motor!$E$3783</f>
        <v>-982833.678371331</v>
      </c>
      <c r="E24" s="53" t="n">
        <f aca="false">Motor!$G$3783</f>
        <v>-1260919.96337713</v>
      </c>
      <c r="F24" s="61" t="n">
        <f aca="false">E24-E16</f>
        <v>-40944.0667808219</v>
      </c>
      <c r="G24" s="53" t="n">
        <f aca="false">Motor!$G$3827</f>
        <v>-5300256.89873259</v>
      </c>
      <c r="H24" s="53" t="n">
        <f aca="false">Motor!$C$3844</f>
        <v>5595256.89873259</v>
      </c>
      <c r="I24" s="105" t="str">
        <f aca="false">Motor!$C$3866</f>
        <v>não atinge até 2031</v>
      </c>
    </row>
    <row r="25" customFormat="false" ht="15" hidden="false" customHeight="false" outlineLevel="0" collapsed="false">
      <c r="A25" s="7" t="s">
        <v>954</v>
      </c>
      <c r="B25" s="96" t="n">
        <f aca="false">Pressupostos!$C$199</f>
        <v>0.12</v>
      </c>
      <c r="C25" s="67" t="n">
        <f aca="false">Motor!$E$3936</f>
        <v>0.318355753424658</v>
      </c>
      <c r="D25" s="53" t="n">
        <f aca="false">Motor!$E$4107</f>
        <v>-993172.628713797</v>
      </c>
      <c r="E25" s="53" t="n">
        <f aca="false">Motor!$G$4107</f>
        <v>-1288216.00789768</v>
      </c>
      <c r="F25" s="61" t="n">
        <f aca="false">E25-E16</f>
        <v>-68240.11130137</v>
      </c>
      <c r="G25" s="53" t="n">
        <f aca="false">Motor!$G$4151</f>
        <v>-5361591.96037642</v>
      </c>
      <c r="H25" s="53" t="n">
        <f aca="false">Motor!$C$4168</f>
        <v>5656591.96037642</v>
      </c>
      <c r="I25" s="105" t="str">
        <f aca="false">Motor!$C$4190</f>
        <v>não atinge até 2031</v>
      </c>
    </row>
    <row r="27" customFormat="false" ht="15" hidden="false" customHeight="false" outlineLevel="0" collapsed="false">
      <c r="A27" s="3" t="s">
        <v>955</v>
      </c>
      <c r="B27" s="4"/>
      <c r="C27" s="4"/>
      <c r="D27" s="4"/>
      <c r="E27" s="4"/>
      <c r="F27" s="4"/>
      <c r="G27" s="4"/>
      <c r="H27" s="4"/>
      <c r="I27" s="4"/>
    </row>
    <row r="28" customFormat="false" ht="35.05" hidden="false" customHeight="false" outlineLevel="0" collapsed="false">
      <c r="A28" s="5" t="s">
        <v>941</v>
      </c>
      <c r="B28" s="5" t="s">
        <v>942</v>
      </c>
      <c r="C28" s="6" t="s">
        <v>943</v>
      </c>
      <c r="D28" s="6" t="s">
        <v>944</v>
      </c>
      <c r="E28" s="6" t="s">
        <v>945</v>
      </c>
      <c r="F28" s="6" t="s">
        <v>946</v>
      </c>
      <c r="G28" s="6" t="s">
        <v>947</v>
      </c>
      <c r="H28" s="6" t="s">
        <v>948</v>
      </c>
      <c r="I28" s="6" t="s">
        <v>17</v>
      </c>
    </row>
    <row r="29" customFormat="false" ht="15" hidden="false" customHeight="false" outlineLevel="0" collapsed="false">
      <c r="A29" s="11" t="s">
        <v>949</v>
      </c>
      <c r="C29" s="103" t="n">
        <f aca="false">Motor!$E$1020</f>
        <v>0.617496232876713</v>
      </c>
      <c r="D29" s="91" t="n">
        <f aca="false">Motor!$E$1191</f>
        <v>-726011.071262843</v>
      </c>
      <c r="E29" s="91" t="n">
        <f aca="false">Motor!$G$1191</f>
        <v>-598542.140916074</v>
      </c>
      <c r="F29" s="104" t="n">
        <f aca="false">E29-E29</f>
        <v>0</v>
      </c>
      <c r="G29" s="91" t="n">
        <f aca="false">Motor!$G$1235</f>
        <v>-3926885.58765124</v>
      </c>
      <c r="H29" s="91" t="n">
        <f aca="false">Motor!$C$1252</f>
        <v>4221885.58765124</v>
      </c>
      <c r="I29" s="94" t="str">
        <f aca="false">Motor!$C$1274</f>
        <v>não atinge até 2031</v>
      </c>
    </row>
    <row r="30" customFormat="false" ht="15" hidden="false" customHeight="false" outlineLevel="0" collapsed="false">
      <c r="A30" s="7" t="s">
        <v>950</v>
      </c>
      <c r="B30" s="96" t="n">
        <f aca="false">Pressupostos!$C$191</f>
        <v>0.1</v>
      </c>
      <c r="C30" s="67" t="n">
        <f aca="false">Motor!$E$4260</f>
        <v>0.617496232876713</v>
      </c>
      <c r="D30" s="53" t="n">
        <f aca="false">Motor!$E$4431</f>
        <v>-726011.071262843</v>
      </c>
      <c r="E30" s="53" t="n">
        <f aca="false">Motor!$G$4431</f>
        <v>-598542.140916074</v>
      </c>
      <c r="F30" s="61" t="n">
        <f aca="false">E30-E29</f>
        <v>0</v>
      </c>
      <c r="G30" s="53" t="n">
        <f aca="false">Motor!$G$4475</f>
        <v>-3926885.58765124</v>
      </c>
      <c r="H30" s="53" t="n">
        <f aca="false">Motor!$C$4492</f>
        <v>4221885.58765124</v>
      </c>
      <c r="I30" s="105" t="str">
        <f aca="false">Motor!$C$4514</f>
        <v>não atinge até 2031</v>
      </c>
    </row>
    <row r="31" customFormat="false" ht="15" hidden="false" customHeight="false" outlineLevel="0" collapsed="false">
      <c r="A31" s="7" t="s">
        <v>950</v>
      </c>
      <c r="B31" s="96" t="n">
        <f aca="false">Pressupostos!$C$192</f>
        <v>0.125</v>
      </c>
      <c r="C31" s="67" t="n">
        <f aca="false">Motor!$E$4584</f>
        <v>0.468396232876712</v>
      </c>
      <c r="D31" s="53" t="n">
        <f aca="false">Motor!$E$4755</f>
        <v>-738188.071262843</v>
      </c>
      <c r="E31" s="53" t="n">
        <f aca="false">Motor!$G$4755</f>
        <v>-628984.640916074</v>
      </c>
      <c r="F31" s="61" t="n">
        <f aca="false">E31-E29</f>
        <v>-30442.5</v>
      </c>
      <c r="G31" s="53" t="n">
        <f aca="false">Motor!$G$4799</f>
        <v>-3995728.45807932</v>
      </c>
      <c r="H31" s="53" t="n">
        <f aca="false">Motor!$C$4816</f>
        <v>4290728.45807932</v>
      </c>
      <c r="I31" s="105" t="str">
        <f aca="false">Motor!$C$4838</f>
        <v>não atinge até 2031</v>
      </c>
    </row>
    <row r="32" customFormat="false" ht="15" hidden="false" customHeight="false" outlineLevel="0" collapsed="false">
      <c r="A32" s="7" t="s">
        <v>950</v>
      </c>
      <c r="B32" s="96" t="n">
        <f aca="false">Pressupostos!$C$193</f>
        <v>0.15</v>
      </c>
      <c r="C32" s="67" t="n">
        <f aca="false">Motor!$E$4908</f>
        <v>0.319296232876712</v>
      </c>
      <c r="D32" s="53" t="n">
        <f aca="false">Motor!$E$5079</f>
        <v>-750365.071262843</v>
      </c>
      <c r="E32" s="53" t="n">
        <f aca="false">Motor!$G$5079</f>
        <v>-659427.140916076</v>
      </c>
      <c r="F32" s="61" t="n">
        <f aca="false">E32-E29</f>
        <v>-60885.0000000019</v>
      </c>
      <c r="G32" s="53" t="n">
        <f aca="false">Motor!$G$5123</f>
        <v>-4064571.32850741</v>
      </c>
      <c r="H32" s="53" t="n">
        <f aca="false">Motor!$C$5140</f>
        <v>4359571.32850741</v>
      </c>
      <c r="I32" s="105" t="str">
        <f aca="false">Motor!$C$5162</f>
        <v>não atinge até 2031</v>
      </c>
    </row>
    <row r="33" customFormat="false" ht="15" hidden="false" customHeight="false" outlineLevel="0" collapsed="false">
      <c r="A33" s="7" t="s">
        <v>951</v>
      </c>
      <c r="B33" s="96" t="n">
        <f aca="false">Pressupostos!$C$194</f>
        <v>-0.3</v>
      </c>
      <c r="C33" s="67" t="n">
        <f aca="false">Motor!$E$5232</f>
        <v>0.617496232876713</v>
      </c>
      <c r="D33" s="53" t="n">
        <f aca="false">Motor!$E$5403</f>
        <v>-775780.24447774</v>
      </c>
      <c r="E33" s="53" t="n">
        <f aca="false">Motor!$G$5403</f>
        <v>-732808.318056486</v>
      </c>
      <c r="F33" s="61" t="n">
        <f aca="false">E33-E29</f>
        <v>-134266.177140412</v>
      </c>
      <c r="G33" s="53" t="n">
        <f aca="false">Motor!$G$5447</f>
        <v>-4099315.84434216</v>
      </c>
      <c r="H33" s="53" t="n">
        <f aca="false">Motor!$C$5464</f>
        <v>4394315.84434216</v>
      </c>
      <c r="I33" s="105" t="str">
        <f aca="false">Motor!$C$5486</f>
        <v>não atinge até 2031</v>
      </c>
    </row>
    <row r="34" customFormat="false" ht="15" hidden="false" customHeight="false" outlineLevel="0" collapsed="false">
      <c r="A34" s="7" t="s">
        <v>951</v>
      </c>
      <c r="B34" s="96" t="n">
        <f aca="false">Pressupostos!$C$195</f>
        <v>0.3</v>
      </c>
      <c r="C34" s="67" t="n">
        <f aca="false">Motor!$E$5556</f>
        <v>0.617496232876713</v>
      </c>
      <c r="D34" s="53" t="n">
        <f aca="false">Motor!$E$5727</f>
        <v>-676241.898047945</v>
      </c>
      <c r="E34" s="53" t="n">
        <f aca="false">Motor!$G$5727</f>
        <v>-464275.963775665</v>
      </c>
      <c r="F34" s="61" t="n">
        <f aca="false">E34-E29</f>
        <v>134266.177140409</v>
      </c>
      <c r="G34" s="53" t="n">
        <f aca="false">Motor!$G$5771</f>
        <v>-3754455.33096031</v>
      </c>
      <c r="H34" s="53" t="n">
        <f aca="false">Motor!$C$5788</f>
        <v>4049455.33096031</v>
      </c>
      <c r="I34" s="105" t="str">
        <f aca="false">Motor!$C$5810</f>
        <v>não atinge até 2031</v>
      </c>
    </row>
    <row r="35" customFormat="false" ht="15" hidden="false" customHeight="false" outlineLevel="0" collapsed="false">
      <c r="A35" s="7" t="s">
        <v>952</v>
      </c>
      <c r="B35" s="96" t="n">
        <f aca="false">Pressupostos!$C$197</f>
        <v>-0.3</v>
      </c>
      <c r="C35" s="67" t="n">
        <f aca="false">Motor!$E$5880</f>
        <v>0.0728385787671235</v>
      </c>
      <c r="D35" s="53" t="n">
        <f aca="false">Motor!$E$6051</f>
        <v>-946374.866202911</v>
      </c>
      <c r="E35" s="53" t="n">
        <f aca="false">Motor!$G$6051</f>
        <v>-1148375.35906676</v>
      </c>
      <c r="F35" s="61" t="n">
        <f aca="false">E35-E29</f>
        <v>-549833.218150686</v>
      </c>
      <c r="G35" s="53" t="n">
        <f aca="false">Motor!$G$6095</f>
        <v>-5068841.45043206</v>
      </c>
      <c r="H35" s="53" t="n">
        <f aca="false">Motor!$C$6112</f>
        <v>5363841.45043206</v>
      </c>
      <c r="I35" s="105" t="str">
        <f aca="false">Motor!$C$6134</f>
        <v>não atinge até 2031</v>
      </c>
    </row>
    <row r="36" customFormat="false" ht="15" hidden="false" customHeight="false" outlineLevel="0" collapsed="false">
      <c r="A36" s="7" t="s">
        <v>953</v>
      </c>
      <c r="B36" s="106" t="n">
        <f aca="false">Pressupostos!$C$196</f>
        <v>0.2</v>
      </c>
      <c r="C36" s="67" t="n">
        <f aca="false">Motor!$E$6204</f>
        <v>0.617496232876713</v>
      </c>
      <c r="D36" s="53" t="n">
        <f aca="false">Motor!$E$6375</f>
        <v>-553684.368047945</v>
      </c>
      <c r="E36" s="53" t="n">
        <f aca="false">Motor!$G$6375</f>
        <v>-133204.863775663</v>
      </c>
      <c r="F36" s="61" t="n">
        <f aca="false">E36-E29</f>
        <v>465337.277140411</v>
      </c>
      <c r="G36" s="53" t="n">
        <f aca="false">Motor!$G$6419</f>
        <v>-3034923.57983018</v>
      </c>
      <c r="H36" s="53" t="n">
        <f aca="false">Motor!$C$6436</f>
        <v>3329923.57983018</v>
      </c>
      <c r="I36" s="105" t="str">
        <f aca="false">Motor!$C$6458</f>
        <v>não atinge até 2031</v>
      </c>
    </row>
    <row r="37" customFormat="false" ht="15" hidden="false" customHeight="false" outlineLevel="0" collapsed="false">
      <c r="A37" s="7" t="s">
        <v>954</v>
      </c>
      <c r="B37" s="96" t="n">
        <f aca="false">Pressupostos!$C$198</f>
        <v>0.1</v>
      </c>
      <c r="C37" s="67" t="n">
        <f aca="false">Motor!$E$6528</f>
        <v>0.604011643835617</v>
      </c>
      <c r="D37" s="53" t="n">
        <f aca="false">Motor!$E$6699</f>
        <v>-737372.270963186</v>
      </c>
      <c r="E37" s="53" t="n">
        <f aca="false">Motor!$G$6699</f>
        <v>-633796.443142101</v>
      </c>
      <c r="F37" s="61" t="n">
        <f aca="false">E37-E29</f>
        <v>-35254.3022260275</v>
      </c>
      <c r="G37" s="53" t="n">
        <f aca="false">Motor!$G$6743</f>
        <v>-4001994.5848687</v>
      </c>
      <c r="H37" s="53" t="n">
        <f aca="false">Motor!$C$6760</f>
        <v>4296994.5848687</v>
      </c>
      <c r="I37" s="105" t="str">
        <f aca="false">Motor!$C$6782</f>
        <v>não atinge até 2031</v>
      </c>
    </row>
    <row r="38" customFormat="false" ht="15" hidden="false" customHeight="false" outlineLevel="0" collapsed="false">
      <c r="A38" s="7" t="s">
        <v>954</v>
      </c>
      <c r="B38" s="96" t="n">
        <f aca="false">Pressupostos!$C$199</f>
        <v>0.12</v>
      </c>
      <c r="C38" s="67" t="n">
        <f aca="false">Motor!$E$6852</f>
        <v>0.593223972602741</v>
      </c>
      <c r="D38" s="53" t="n">
        <f aca="false">Motor!$E$7023</f>
        <v>-746461.230723459</v>
      </c>
      <c r="E38" s="53" t="n">
        <f aca="false">Motor!$G$7023</f>
        <v>-657299.311292786</v>
      </c>
      <c r="F38" s="61" t="n">
        <f aca="false">E38-E29</f>
        <v>-58757.1703767122</v>
      </c>
      <c r="G38" s="53" t="n">
        <f aca="false">Motor!$G$7067</f>
        <v>-4055375.75781391</v>
      </c>
      <c r="H38" s="53" t="n">
        <f aca="false">Motor!$C$7084</f>
        <v>4350375.75781391</v>
      </c>
      <c r="I38" s="105" t="str">
        <f aca="false">Motor!$C$7106</f>
        <v>não atinge até 2031</v>
      </c>
    </row>
    <row r="39" customFormat="false" ht="15" hidden="false" customHeight="false" outlineLevel="0" collapsed="false">
      <c r="A39" s="7" t="s">
        <v>956</v>
      </c>
      <c r="C39" s="67" t="n">
        <f aca="false">Motor!$E$7176</f>
        <v>0.304386232876714</v>
      </c>
      <c r="D39" s="53" t="n">
        <f aca="false">Motor!$E$7347</f>
        <v>-852780.871262843</v>
      </c>
      <c r="E39" s="53" t="n">
        <f aca="false">Motor!$G$7347</f>
        <v>-970218.390916074</v>
      </c>
      <c r="F39" s="61" t="n">
        <f aca="false">E39-E29</f>
        <v>-371676.25</v>
      </c>
      <c r="G39" s="53" t="n">
        <f aca="false">Motor!$G$7391</f>
        <v>-4711095.42411185</v>
      </c>
      <c r="H39" s="53" t="n">
        <f aca="false">Motor!$C$7408</f>
        <v>5006095.42411185</v>
      </c>
      <c r="I39" s="105" t="str">
        <f aca="false">Motor!$C$7430</f>
        <v>não atinge até 2031</v>
      </c>
    </row>
    <row r="40" customFormat="false" ht="15" hidden="false" customHeight="false" outlineLevel="0" collapsed="false">
      <c r="A40" s="7" t="s">
        <v>957</v>
      </c>
      <c r="C40" s="67" t="n">
        <f aca="false">Motor!$E$7500</f>
        <v>0.617496232876713</v>
      </c>
      <c r="D40" s="53" t="n">
        <f aca="false">Motor!$E$7671</f>
        <v>-690032.903454623</v>
      </c>
      <c r="E40" s="53" t="n">
        <f aca="false">Motor!$G$7671</f>
        <v>-509873.476532512</v>
      </c>
      <c r="F40" s="61" t="n">
        <f aca="false">E40-E29</f>
        <v>88668.6643835616</v>
      </c>
      <c r="G40" s="53" t="n">
        <f aca="false">Motor!$G$7715</f>
        <v>-4043467.61890124</v>
      </c>
      <c r="H40" s="53" t="n">
        <f aca="false">Motor!$C$7732</f>
        <v>4338467.61890124</v>
      </c>
      <c r="I40" s="105" t="str">
        <f aca="false">Motor!$C$7754</f>
        <v>não atinge até 2031</v>
      </c>
    </row>
    <row r="41" customFormat="false" ht="15" hidden="false" customHeight="false" outlineLevel="0" collapsed="false">
      <c r="A41" s="7" t="s">
        <v>958</v>
      </c>
      <c r="C41" s="67" t="n">
        <f aca="false">Motor!$E$7824</f>
        <v>0.609405479452056</v>
      </c>
      <c r="D41" s="53" t="n">
        <f aca="false">Motor!$E$7995</f>
        <v>-732827.791083048</v>
      </c>
      <c r="E41" s="53" t="n">
        <f aca="false">Motor!$G$7995</f>
        <v>-614994.148621553</v>
      </c>
      <c r="F41" s="61" t="n">
        <f aca="false">E41-E29</f>
        <v>-16452.0077054794</v>
      </c>
      <c r="G41" s="53" t="n">
        <f aca="false">Motor!$G$8039</f>
        <v>-3768874.84343035</v>
      </c>
      <c r="H41" s="53" t="n">
        <f aca="false">Motor!$C$8056</f>
        <v>4063874.84343035</v>
      </c>
      <c r="I41" s="105" t="str">
        <f aca="false">Motor!$C$8078</f>
        <v>não atinge até 2031</v>
      </c>
    </row>
    <row r="42" customFormat="false" ht="15" hidden="false" customHeight="false" outlineLevel="0" collapsed="false">
      <c r="A42" s="7" t="s">
        <v>959</v>
      </c>
      <c r="B42" s="69" t="n">
        <f aca="false">Pressupostos!$C$200</f>
        <v>5</v>
      </c>
      <c r="C42" s="67" t="n">
        <f aca="false">Motor!$E$8148</f>
        <v>0.597269349315069</v>
      </c>
      <c r="D42" s="53" t="n">
        <f aca="false">Motor!$E$8319</f>
        <v>-741654.398531679</v>
      </c>
      <c r="E42" s="53" t="n">
        <f aca="false">Motor!$G$8319</f>
        <v>-634997.727388677</v>
      </c>
      <c r="F42" s="61" t="n">
        <f aca="false">E42-E29</f>
        <v>-36455.5864726028</v>
      </c>
      <c r="G42" s="53" t="n">
        <f aca="false">Motor!$G$8363</f>
        <v>-4176362.82973172</v>
      </c>
      <c r="H42" s="53" t="n">
        <f aca="false">Motor!$C$8380</f>
        <v>4471362.82973172</v>
      </c>
      <c r="I42" s="105" t="str">
        <f aca="false">Motor!$C$8402</f>
        <v>não atinge até 2031</v>
      </c>
    </row>
    <row r="44" customFormat="false" ht="15" hidden="false" customHeight="false" outlineLevel="0" collapsed="false">
      <c r="A44" s="3" t="s">
        <v>960</v>
      </c>
      <c r="B44" s="4"/>
      <c r="C44" s="4"/>
      <c r="D44" s="4"/>
      <c r="E44" s="4"/>
      <c r="F44" s="4"/>
      <c r="G44" s="4"/>
      <c r="H44" s="4"/>
      <c r="I44" s="4"/>
    </row>
    <row r="45" customFormat="false" ht="15" hidden="false" customHeight="false" outlineLevel="0" collapsed="false">
      <c r="A45" s="2" t="s">
        <v>961</v>
      </c>
    </row>
    <row r="46" customFormat="false" ht="15" hidden="false" customHeight="false" outlineLevel="0" collapsed="false">
      <c r="A46" s="11" t="s">
        <v>962</v>
      </c>
      <c r="B46" s="107" t="n">
        <f aca="false">Pressupostos!$C$202</f>
        <v>0.297</v>
      </c>
    </row>
    <row r="47" customFormat="false" ht="15" hidden="false" customHeight="false" outlineLevel="0" collapsed="false">
      <c r="A47" s="5" t="s">
        <v>963</v>
      </c>
      <c r="B47" s="108" t="n">
        <f aca="false">Pressupostos!$C$204</f>
        <v>0.8</v>
      </c>
      <c r="C47" s="109" t="n">
        <f aca="false">Pressupostos!$C$205</f>
        <v>0.85</v>
      </c>
      <c r="D47" s="109" t="n">
        <f aca="false">Pressupostos!$C$206</f>
        <v>0.9</v>
      </c>
    </row>
    <row r="48" customFormat="false" ht="15" hidden="false" customHeight="false" outlineLevel="0" collapsed="false">
      <c r="A48" s="110" t="n">
        <f aca="false">Pressupostos!$C$191</f>
        <v>0.1</v>
      </c>
      <c r="B48" s="37" t="n">
        <f aca="false">B$47*Pressupostos!$C$202-$A48*Motor!$E$354-Motor!$E$370-(Motor!$E$358+Motor!$E$361+Motor!$E$362+Motor!$E$363+Motor!$E$364+Motor!$E$365+Motor!$E$366+Motor!$E$367+Motor!$E$368+Motor!$E$369)</f>
        <v>-0.635264280821918</v>
      </c>
      <c r="C48" s="37" t="n">
        <f aca="false">C$47*Pressupostos!$C$202-$A48*Motor!$E$354-Motor!$E$370-(Motor!$E$358+Motor!$E$361+Motor!$E$362+Motor!$E$363+Motor!$E$364+Motor!$E$365+Motor!$E$366+Motor!$E$367+Motor!$E$368+Motor!$E$369)</f>
        <v>-0.620414280821918</v>
      </c>
      <c r="D48" s="37" t="n">
        <f aca="false">D$47*Pressupostos!$C$202-$A48*Motor!$E$354-Motor!$E$370-(Motor!$E$358+Motor!$E$361+Motor!$E$362+Motor!$E$363+Motor!$E$364+Motor!$E$365+Motor!$E$366+Motor!$E$367+Motor!$E$368+Motor!$E$369)</f>
        <v>-0.605564280821918</v>
      </c>
    </row>
    <row r="49" customFormat="false" ht="15" hidden="false" customHeight="false" outlineLevel="0" collapsed="false">
      <c r="A49" s="110" t="n">
        <f aca="false">Pressupostos!$C$192</f>
        <v>0.125</v>
      </c>
      <c r="B49" s="37" t="n">
        <f aca="false">B$47*Pressupostos!$C$202-$A49*Motor!$E$354-Motor!$E$370-(Motor!$E$358+Motor!$E$361+Motor!$E$362+Motor!$E$363+Motor!$E$364+Motor!$E$365+Motor!$E$366+Motor!$E$367+Motor!$E$368+Motor!$E$369)</f>
        <v>-0.776514280821918</v>
      </c>
      <c r="C49" s="37" t="n">
        <f aca="false">C$47*Pressupostos!$C$202-$A49*Motor!$E$354-Motor!$E$370-(Motor!$E$358+Motor!$E$361+Motor!$E$362+Motor!$E$363+Motor!$E$364+Motor!$E$365+Motor!$E$366+Motor!$E$367+Motor!$E$368+Motor!$E$369)</f>
        <v>-0.761664280821918</v>
      </c>
      <c r="D49" s="37" t="n">
        <f aca="false">D$47*Pressupostos!$C$202-$A49*Motor!$E$354-Motor!$E$370-(Motor!$E$358+Motor!$E$361+Motor!$E$362+Motor!$E$363+Motor!$E$364+Motor!$E$365+Motor!$E$366+Motor!$E$367+Motor!$E$368+Motor!$E$369)</f>
        <v>-0.746814280821918</v>
      </c>
    </row>
    <row r="50" customFormat="false" ht="15" hidden="false" customHeight="false" outlineLevel="0" collapsed="false">
      <c r="A50" s="110" t="n">
        <f aca="false">Pressupostos!$C$193</f>
        <v>0.15</v>
      </c>
      <c r="B50" s="37" t="n">
        <f aca="false">B$47*Pressupostos!$C$202-$A50*Motor!$E$354-Motor!$E$370-(Motor!$E$358+Motor!$E$361+Motor!$E$362+Motor!$E$363+Motor!$E$364+Motor!$E$365+Motor!$E$366+Motor!$E$367+Motor!$E$368+Motor!$E$369)</f>
        <v>-0.917764280821918</v>
      </c>
      <c r="C50" s="37" t="n">
        <f aca="false">C$47*Pressupostos!$C$202-$A50*Motor!$E$354-Motor!$E$370-(Motor!$E$358+Motor!$E$361+Motor!$E$362+Motor!$E$363+Motor!$E$364+Motor!$E$365+Motor!$E$366+Motor!$E$367+Motor!$E$368+Motor!$E$369)</f>
        <v>-0.902914280821918</v>
      </c>
      <c r="D50" s="37" t="n">
        <f aca="false">D$47*Pressupostos!$C$202-$A50*Motor!$E$354-Motor!$E$370-(Motor!$E$358+Motor!$E$361+Motor!$E$362+Motor!$E$363+Motor!$E$364+Motor!$E$365+Motor!$E$366+Motor!$E$367+Motor!$E$368+Motor!$E$369)</f>
        <v>-0.888064280821918</v>
      </c>
    </row>
    <row r="52" customFormat="false" ht="15" hidden="false" customHeight="false" outlineLevel="0" collapsed="false">
      <c r="A52" s="11" t="s">
        <v>964</v>
      </c>
      <c r="B52" s="107" t="n">
        <f aca="false">Pressupostos!$C$203</f>
        <v>0.499</v>
      </c>
    </row>
    <row r="53" customFormat="false" ht="15" hidden="false" customHeight="false" outlineLevel="0" collapsed="false">
      <c r="A53" s="5" t="s">
        <v>963</v>
      </c>
      <c r="B53" s="108" t="n">
        <f aca="false">Pressupostos!$C$204</f>
        <v>0.8</v>
      </c>
      <c r="C53" s="109" t="n">
        <f aca="false">Pressupostos!$C$205</f>
        <v>0.85</v>
      </c>
      <c r="D53" s="109" t="n">
        <f aca="false">Pressupostos!$C$206</f>
        <v>0.9</v>
      </c>
    </row>
    <row r="54" customFormat="false" ht="15" hidden="false" customHeight="false" outlineLevel="0" collapsed="false">
      <c r="A54" s="110" t="n">
        <f aca="false">Pressupostos!$C$191</f>
        <v>0.1</v>
      </c>
      <c r="B54" s="37" t="n">
        <f aca="false">B$53*Pressupostos!$C$203-$A54*Motor!$E$354-Motor!$E$370-(Motor!$E$358+Motor!$E$361+Motor!$E$362+Motor!$E$363+Motor!$E$364+Motor!$E$365+Motor!$E$366+Motor!$E$367+Motor!$E$368+Motor!$E$369)</f>
        <v>-0.473664280821918</v>
      </c>
      <c r="C54" s="37" t="n">
        <f aca="false">C$53*Pressupostos!$C$203-$A54*Motor!$E$354-Motor!$E$370-(Motor!$E$358+Motor!$E$361+Motor!$E$362+Motor!$E$363+Motor!$E$364+Motor!$E$365+Motor!$E$366+Motor!$E$367+Motor!$E$368+Motor!$E$369)</f>
        <v>-0.448714280821918</v>
      </c>
      <c r="D54" s="37" t="n">
        <f aca="false">D$53*Pressupostos!$C$203-$A54*Motor!$E$354-Motor!$E$370-(Motor!$E$358+Motor!$E$361+Motor!$E$362+Motor!$E$363+Motor!$E$364+Motor!$E$365+Motor!$E$366+Motor!$E$367+Motor!$E$368+Motor!$E$369)</f>
        <v>-0.423764280821918</v>
      </c>
    </row>
    <row r="55" customFormat="false" ht="15" hidden="false" customHeight="false" outlineLevel="0" collapsed="false">
      <c r="A55" s="110" t="n">
        <f aca="false">Pressupostos!$C$192</f>
        <v>0.125</v>
      </c>
      <c r="B55" s="37" t="n">
        <f aca="false">B$53*Pressupostos!$C$203-$A55*Motor!$E$354-Motor!$E$370-(Motor!$E$358+Motor!$E$361+Motor!$E$362+Motor!$E$363+Motor!$E$364+Motor!$E$365+Motor!$E$366+Motor!$E$367+Motor!$E$368+Motor!$E$369)</f>
        <v>-0.614914280821918</v>
      </c>
      <c r="C55" s="37" t="n">
        <f aca="false">C$53*Pressupostos!$C$203-$A55*Motor!$E$354-Motor!$E$370-(Motor!$E$358+Motor!$E$361+Motor!$E$362+Motor!$E$363+Motor!$E$364+Motor!$E$365+Motor!$E$366+Motor!$E$367+Motor!$E$368+Motor!$E$369)</f>
        <v>-0.589964280821918</v>
      </c>
      <c r="D55" s="37" t="n">
        <f aca="false">D$53*Pressupostos!$C$203-$A55*Motor!$E$354-Motor!$E$370-(Motor!$E$358+Motor!$E$361+Motor!$E$362+Motor!$E$363+Motor!$E$364+Motor!$E$365+Motor!$E$366+Motor!$E$367+Motor!$E$368+Motor!$E$369)</f>
        <v>-0.565014280821918</v>
      </c>
    </row>
    <row r="56" customFormat="false" ht="15" hidden="false" customHeight="false" outlineLevel="0" collapsed="false">
      <c r="A56" s="110" t="n">
        <f aca="false">Pressupostos!$C$193</f>
        <v>0.15</v>
      </c>
      <c r="B56" s="37" t="n">
        <f aca="false">B$53*Pressupostos!$C$203-$A56*Motor!$E$354-Motor!$E$370-(Motor!$E$358+Motor!$E$361+Motor!$E$362+Motor!$E$363+Motor!$E$364+Motor!$E$365+Motor!$E$366+Motor!$E$367+Motor!$E$368+Motor!$E$369)</f>
        <v>-0.756164280821918</v>
      </c>
      <c r="C56" s="37" t="n">
        <f aca="false">C$53*Pressupostos!$C$203-$A56*Motor!$E$354-Motor!$E$370-(Motor!$E$358+Motor!$E$361+Motor!$E$362+Motor!$E$363+Motor!$E$364+Motor!$E$365+Motor!$E$366+Motor!$E$367+Motor!$E$368+Motor!$E$369)</f>
        <v>-0.731214280821918</v>
      </c>
      <c r="D56" s="37" t="n">
        <f aca="false">D$53*Pressupostos!$C$203-$A56*Motor!$E$354-Motor!$E$370-(Motor!$E$358+Motor!$E$361+Motor!$E$362+Motor!$E$363+Motor!$E$364+Motor!$E$365+Motor!$E$366+Motor!$E$367+Motor!$E$368+Motor!$E$369)</f>
        <v>-0.706264280821918</v>
      </c>
    </row>
    <row r="58" customFormat="false" ht="15" hidden="false" customHeight="false" outlineLevel="0" collapsed="false">
      <c r="A58" s="2" t="s">
        <v>965</v>
      </c>
    </row>
    <row r="60" customFormat="false" ht="15" hidden="false" customHeight="false" outlineLevel="0" collapsed="false">
      <c r="A60" s="3" t="s">
        <v>966</v>
      </c>
      <c r="B60" s="4"/>
      <c r="C60" s="4"/>
      <c r="D60" s="4"/>
      <c r="E60" s="4"/>
      <c r="F60" s="4"/>
      <c r="G60" s="4"/>
      <c r="H60" s="4"/>
      <c r="I60" s="4"/>
    </row>
    <row r="61" customFormat="false" ht="35.05" hidden="false" customHeight="false" outlineLevel="0" collapsed="false">
      <c r="A61" s="5" t="s">
        <v>833</v>
      </c>
      <c r="B61" s="5" t="s">
        <v>967</v>
      </c>
      <c r="C61" s="6" t="s">
        <v>968</v>
      </c>
      <c r="D61" s="6" t="s">
        <v>969</v>
      </c>
      <c r="E61" s="6" t="s">
        <v>970</v>
      </c>
    </row>
    <row r="62" customFormat="false" ht="15" hidden="false" customHeight="false" outlineLevel="0" collapsed="false">
      <c r="A62" s="7" t="s">
        <v>5</v>
      </c>
      <c r="B62" s="66" t="n">
        <f aca="false">Motor!$G$239</f>
        <v>266508.219178082</v>
      </c>
      <c r="C62" s="33" t="n">
        <f aca="false">Pressupostos!$C$197*B62</f>
        <v>-79952.4657534247</v>
      </c>
      <c r="D62" s="33" t="n">
        <f aca="false">Pressupostos!$C$188*C62</f>
        <v>-11992.8698630137</v>
      </c>
      <c r="E62" s="59" t="str">
        <f aca="false">IF(Motor!$G$123&gt;0,-C62/Motor!$G$123,"n/a")</f>
        <v>n/a</v>
      </c>
    </row>
    <row r="63" customFormat="false" ht="15" hidden="false" customHeight="false" outlineLevel="0" collapsed="false">
      <c r="A63" s="7" t="s">
        <v>6</v>
      </c>
      <c r="B63" s="66" t="n">
        <f aca="false">Motor!$G$563</f>
        <v>805623.287671233</v>
      </c>
      <c r="C63" s="33" t="n">
        <f aca="false">Pressupostos!$C$197*B63</f>
        <v>-241686.98630137</v>
      </c>
      <c r="D63" s="33" t="n">
        <f aca="false">Pressupostos!$C$188*C63</f>
        <v>-36253.0479452055</v>
      </c>
      <c r="E63" s="59" t="n">
        <f aca="false">IF(Motor!$G$447&gt;0,-C63/Motor!$G$447,"n/a")</f>
        <v>0.902715637885488</v>
      </c>
    </row>
    <row r="64" customFormat="false" ht="15" hidden="false" customHeight="false" outlineLevel="0" collapsed="false">
      <c r="A64" s="7" t="s">
        <v>7</v>
      </c>
      <c r="B64" s="66" t="n">
        <f aca="false">Motor!$G$887</f>
        <v>1046486.30136986</v>
      </c>
      <c r="C64" s="33" t="n">
        <f aca="false">Pressupostos!$C$197*B64</f>
        <v>-313945.890410959</v>
      </c>
      <c r="D64" s="33" t="n">
        <f aca="false">Pressupostos!$C$188*C64</f>
        <v>-47091.8835616438</v>
      </c>
      <c r="E64" s="59" t="n">
        <f aca="false">IF(Motor!$G$771&gt;0,-C64/Motor!$G$771,"n/a")</f>
        <v>0.251506915259395</v>
      </c>
    </row>
    <row r="65" customFormat="false" ht="15" hidden="false" customHeight="false" outlineLevel="0" collapsed="false">
      <c r="A65" s="7" t="s">
        <v>971</v>
      </c>
      <c r="B65" s="66" t="n">
        <f aca="false">Motor!$G$1211</f>
        <v>702000</v>
      </c>
      <c r="C65" s="33" t="n">
        <f aca="false">Pressupostos!$C$197*B65</f>
        <v>-210600</v>
      </c>
      <c r="D65" s="33" t="n">
        <f aca="false">Pressupostos!$C$188*C65</f>
        <v>-31590</v>
      </c>
      <c r="E65" s="59" t="n">
        <f aca="false">IF(Motor!$G$1095&gt;0,-C65/Motor!$G$1095,"n/a")</f>
        <v>0.466217301593033</v>
      </c>
    </row>
    <row r="67" customFormat="false" ht="15" hidden="false" customHeight="false" outlineLevel="0" collapsed="false">
      <c r="A67" s="3" t="s">
        <v>972</v>
      </c>
      <c r="B67" s="4"/>
      <c r="C67" s="4"/>
      <c r="D67" s="4"/>
      <c r="E67" s="4"/>
      <c r="F67" s="4"/>
      <c r="G67" s="4"/>
      <c r="H67" s="4"/>
      <c r="I6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973</v>
      </c>
    </row>
    <row r="2" customFormat="false" ht="15" hidden="false" customHeight="false" outlineLevel="0" collapsed="false">
      <c r="A2" s="2" t="s">
        <v>974</v>
      </c>
    </row>
    <row r="4" customFormat="false" ht="15" hidden="false" customHeight="false" outlineLevel="0" collapsed="false">
      <c r="A4" s="3" t="s">
        <v>975</v>
      </c>
      <c r="B4" s="4"/>
    </row>
    <row r="5" customFormat="false" ht="15" hidden="false" customHeight="false" outlineLevel="0" collapsed="false">
      <c r="A5" s="7" t="s">
        <v>976</v>
      </c>
      <c r="B5" s="8" t="s">
        <v>977</v>
      </c>
    </row>
    <row r="6" customFormat="false" ht="15" hidden="false" customHeight="false" outlineLevel="0" collapsed="false">
      <c r="A6" s="7" t="s">
        <v>978</v>
      </c>
      <c r="B6" s="8" t="s">
        <v>979</v>
      </c>
    </row>
    <row r="7" customFormat="false" ht="15" hidden="false" customHeight="false" outlineLevel="0" collapsed="false">
      <c r="A7" s="7" t="s">
        <v>980</v>
      </c>
      <c r="B7" s="8" t="s">
        <v>981</v>
      </c>
    </row>
    <row r="8" customFormat="false" ht="15" hidden="false" customHeight="false" outlineLevel="0" collapsed="false">
      <c r="A8" s="7" t="s">
        <v>982</v>
      </c>
      <c r="B8" s="8" t="s">
        <v>983</v>
      </c>
    </row>
    <row r="9" customFormat="false" ht="15" hidden="false" customHeight="false" outlineLevel="0" collapsed="false">
      <c r="A9" s="7" t="s">
        <v>984</v>
      </c>
      <c r="B9" s="8" t="s">
        <v>985</v>
      </c>
    </row>
    <row r="10" customFormat="false" ht="15" hidden="false" customHeight="false" outlineLevel="0" collapsed="false">
      <c r="A10" s="7" t="s">
        <v>986</v>
      </c>
      <c r="B10" s="8" t="s">
        <v>987</v>
      </c>
    </row>
    <row r="11" customFormat="false" ht="15" hidden="false" customHeight="false" outlineLevel="0" collapsed="false">
      <c r="A11" s="7" t="s">
        <v>988</v>
      </c>
      <c r="B11" s="8" t="s">
        <v>989</v>
      </c>
    </row>
    <row r="12" customFormat="false" ht="15" hidden="false" customHeight="false" outlineLevel="0" collapsed="false">
      <c r="A12" s="7" t="s">
        <v>990</v>
      </c>
      <c r="B12" s="8" t="s">
        <v>991</v>
      </c>
    </row>
    <row r="13" customFormat="false" ht="15" hidden="false" customHeight="false" outlineLevel="0" collapsed="false">
      <c r="A13" s="7" t="s">
        <v>992</v>
      </c>
      <c r="B13" s="8" t="s">
        <v>993</v>
      </c>
    </row>
    <row r="14" customFormat="false" ht="15" hidden="false" customHeight="false" outlineLevel="0" collapsed="false">
      <c r="A14" s="7" t="s">
        <v>994</v>
      </c>
      <c r="B14" s="8" t="s">
        <v>995</v>
      </c>
    </row>
    <row r="15" customFormat="false" ht="15" hidden="false" customHeight="false" outlineLevel="0" collapsed="false">
      <c r="A15" s="7" t="s">
        <v>996</v>
      </c>
      <c r="B15" s="8" t="s">
        <v>997</v>
      </c>
    </row>
    <row r="17" customFormat="false" ht="15" hidden="false" customHeight="false" outlineLevel="0" collapsed="false">
      <c r="A17" s="3" t="s">
        <v>998</v>
      </c>
      <c r="B17" s="4"/>
    </row>
    <row r="18" customFormat="false" ht="90" hidden="false" customHeight="true" outlineLevel="0" collapsed="false">
      <c r="B18" s="97" t="s">
        <v>999</v>
      </c>
    </row>
    <row r="19" customFormat="false" ht="45" hidden="false" customHeight="true" outlineLevel="0" collapsed="false">
      <c r="B19" s="97" t="s">
        <v>1000</v>
      </c>
    </row>
    <row r="20" customFormat="false" ht="45" hidden="false" customHeight="true" outlineLevel="0" collapsed="false">
      <c r="B20" s="97" t="s">
        <v>1001</v>
      </c>
    </row>
    <row r="21" customFormat="false" ht="30" hidden="false" customHeight="true" outlineLevel="0" collapsed="false">
      <c r="B21" s="97" t="s">
        <v>1002</v>
      </c>
    </row>
    <row r="22" customFormat="false" ht="30" hidden="false" customHeight="true" outlineLevel="0" collapsed="false">
      <c r="B22" s="97" t="s">
        <v>1003</v>
      </c>
    </row>
    <row r="23" customFormat="false" ht="15" hidden="false" customHeight="true" outlineLevel="0" collapsed="false">
      <c r="B23" s="97" t="s">
        <v>1004</v>
      </c>
    </row>
    <row r="24" customFormat="false" ht="60" hidden="false" customHeight="true" outlineLevel="0" collapsed="false">
      <c r="B24" s="97" t="s">
        <v>1005</v>
      </c>
    </row>
    <row r="26" customFormat="false" ht="30" hidden="false" customHeight="true" outlineLevel="0" collapsed="false">
      <c r="A26" s="11" t="s">
        <v>1006</v>
      </c>
      <c r="B26" s="97" t="s">
        <v>1007</v>
      </c>
    </row>
    <row r="28" customFormat="false" ht="15" hidden="false" customHeight="false" outlineLevel="0" collapsed="false">
      <c r="A28" s="3" t="s">
        <v>1008</v>
      </c>
      <c r="B28" s="4"/>
    </row>
    <row r="29" customFormat="false" ht="15" hidden="false" customHeight="false" outlineLevel="0" collapsed="false">
      <c r="A29" s="5" t="s">
        <v>59</v>
      </c>
      <c r="B29" s="5" t="s">
        <v>1009</v>
      </c>
    </row>
    <row r="30" customFormat="false" ht="90" hidden="false" customHeight="true" outlineLevel="0" collapsed="false">
      <c r="A30" s="97" t="s">
        <v>1010</v>
      </c>
      <c r="B30" s="98" t="s">
        <v>1011</v>
      </c>
    </row>
    <row r="31" customFormat="false" ht="45" hidden="false" customHeight="true" outlineLevel="0" collapsed="false">
      <c r="A31" s="97" t="s">
        <v>1012</v>
      </c>
      <c r="B31" s="98" t="s">
        <v>1013</v>
      </c>
    </row>
    <row r="32" customFormat="false" ht="75" hidden="false" customHeight="true" outlineLevel="0" collapsed="false">
      <c r="A32" s="97" t="s">
        <v>1014</v>
      </c>
      <c r="B32" s="98" t="s">
        <v>1015</v>
      </c>
    </row>
    <row r="33" customFormat="false" ht="45" hidden="false" customHeight="true" outlineLevel="0" collapsed="false">
      <c r="A33" s="97" t="s">
        <v>1016</v>
      </c>
      <c r="B33" s="98" t="s">
        <v>1017</v>
      </c>
    </row>
    <row r="34" customFormat="false" ht="75" hidden="false" customHeight="true" outlineLevel="0" collapsed="false">
      <c r="A34" s="97" t="s">
        <v>868</v>
      </c>
      <c r="B34" s="98" t="s">
        <v>1018</v>
      </c>
    </row>
    <row r="35" customFormat="false" ht="30" hidden="false" customHeight="true" outlineLevel="0" collapsed="false">
      <c r="A35" s="97" t="s">
        <v>1019</v>
      </c>
      <c r="B35" s="98" t="s">
        <v>1020</v>
      </c>
    </row>
    <row r="36" customFormat="false" ht="60" hidden="false" customHeight="true" outlineLevel="0" collapsed="false">
      <c r="A36" s="97" t="s">
        <v>1021</v>
      </c>
      <c r="B36" s="98" t="s">
        <v>1022</v>
      </c>
    </row>
    <row r="37" customFormat="false" ht="30" hidden="false" customHeight="true" outlineLevel="0" collapsed="false">
      <c r="A37" s="97" t="s">
        <v>1023</v>
      </c>
      <c r="B37" s="98" t="s">
        <v>1024</v>
      </c>
    </row>
    <row r="38" customFormat="false" ht="30" hidden="false" customHeight="true" outlineLevel="0" collapsed="false">
      <c r="A38" s="97" t="s">
        <v>1025</v>
      </c>
      <c r="B38" s="98" t="s">
        <v>1026</v>
      </c>
    </row>
    <row r="39" customFormat="false" ht="45" hidden="false" customHeight="true" outlineLevel="0" collapsed="false">
      <c r="A39" s="97" t="s">
        <v>1027</v>
      </c>
      <c r="B39" s="98" t="s">
        <v>1028</v>
      </c>
    </row>
    <row r="40" customFormat="false" ht="75" hidden="false" customHeight="true" outlineLevel="0" collapsed="false">
      <c r="A40" s="97" t="s">
        <v>1029</v>
      </c>
      <c r="B40" s="98" t="s">
        <v>1030</v>
      </c>
    </row>
    <row r="41" customFormat="false" ht="15" hidden="false" customHeight="true" outlineLevel="0" collapsed="false">
      <c r="A41" s="97" t="s">
        <v>1031</v>
      </c>
      <c r="B41" s="98" t="s">
        <v>1032</v>
      </c>
    </row>
    <row r="42" customFormat="false" ht="30" hidden="false" customHeight="true" outlineLevel="0" collapsed="false">
      <c r="A42" s="97" t="s">
        <v>1033</v>
      </c>
      <c r="B42" s="98" t="s">
        <v>1034</v>
      </c>
    </row>
    <row r="43" customFormat="false" ht="15" hidden="false" customHeight="true" outlineLevel="0" collapsed="false">
      <c r="A43" s="97" t="s">
        <v>1035</v>
      </c>
      <c r="B43" s="98" t="s">
        <v>1036</v>
      </c>
    </row>
    <row r="44" customFormat="false" ht="15" hidden="false" customHeight="true" outlineLevel="0" collapsed="false">
      <c r="A44" s="97" t="s">
        <v>1037</v>
      </c>
      <c r="B44" s="98" t="s">
        <v>1038</v>
      </c>
    </row>
    <row r="45" customFormat="false" ht="15" hidden="false" customHeight="true" outlineLevel="0" collapsed="false">
      <c r="A45" s="97" t="s">
        <v>1039</v>
      </c>
      <c r="B45" s="98" t="s">
        <v>1040</v>
      </c>
    </row>
    <row r="46" customFormat="false" ht="30" hidden="false" customHeight="true" outlineLevel="0" collapsed="false">
      <c r="A46" s="97" t="s">
        <v>1041</v>
      </c>
      <c r="B46" s="98" t="s">
        <v>1042</v>
      </c>
    </row>
    <row r="47" customFormat="false" ht="15" hidden="false" customHeight="true" outlineLevel="0" collapsed="false">
      <c r="A47" s="97" t="s">
        <v>1043</v>
      </c>
      <c r="B47" s="98" t="s">
        <v>1044</v>
      </c>
    </row>
    <row r="48" customFormat="false" ht="30" hidden="false" customHeight="true" outlineLevel="0" collapsed="false">
      <c r="A48" s="97" t="s">
        <v>1045</v>
      </c>
      <c r="B48" s="98" t="s">
        <v>1046</v>
      </c>
    </row>
    <row r="49" customFormat="false" ht="15" hidden="false" customHeight="true" outlineLevel="0" collapsed="false">
      <c r="A49" s="97" t="s">
        <v>1047</v>
      </c>
      <c r="B49" s="98" t="s">
        <v>1048</v>
      </c>
    </row>
    <row r="50" customFormat="false" ht="30" hidden="false" customHeight="true" outlineLevel="0" collapsed="false">
      <c r="A50" s="97" t="s">
        <v>1049</v>
      </c>
      <c r="B50" s="98" t="s">
        <v>1050</v>
      </c>
    </row>
    <row r="51" customFormat="false" ht="30" hidden="false" customHeight="true" outlineLevel="0" collapsed="false">
      <c r="A51" s="97" t="s">
        <v>1051</v>
      </c>
      <c r="B51" s="98" t="s">
        <v>1052</v>
      </c>
    </row>
    <row r="52" customFormat="false" ht="45" hidden="false" customHeight="true" outlineLevel="0" collapsed="false">
      <c r="A52" s="97" t="s">
        <v>895</v>
      </c>
      <c r="B52" s="98" t="s">
        <v>1053</v>
      </c>
    </row>
    <row r="53" customFormat="false" ht="30" hidden="false" customHeight="true" outlineLevel="0" collapsed="false">
      <c r="A53" s="97" t="s">
        <v>1054</v>
      </c>
      <c r="B53" s="98" t="s">
        <v>1055</v>
      </c>
    </row>
    <row r="54" customFormat="false" ht="30" hidden="false" customHeight="true" outlineLevel="0" collapsed="false">
      <c r="A54" s="97" t="s">
        <v>1056</v>
      </c>
      <c r="B54" s="98" t="s">
        <v>1057</v>
      </c>
    </row>
    <row r="55" customFormat="false" ht="30" hidden="false" customHeight="true" outlineLevel="0" collapsed="false">
      <c r="A55" s="97" t="s">
        <v>1058</v>
      </c>
      <c r="B55" s="98" t="s">
        <v>1059</v>
      </c>
    </row>
    <row r="56" customFormat="false" ht="30" hidden="false" customHeight="true" outlineLevel="0" collapsed="false">
      <c r="A56" s="97" t="s">
        <v>1060</v>
      </c>
      <c r="B56" s="98" t="s">
        <v>1061</v>
      </c>
    </row>
    <row r="57" customFormat="false" ht="30" hidden="false" customHeight="true" outlineLevel="0" collapsed="false">
      <c r="A57" s="97" t="s">
        <v>1062</v>
      </c>
      <c r="B57" s="98" t="s">
        <v>1063</v>
      </c>
    </row>
    <row r="58" customFormat="false" ht="60" hidden="false" customHeight="true" outlineLevel="0" collapsed="false">
      <c r="A58" s="97" t="s">
        <v>1064</v>
      </c>
      <c r="B58" s="98" t="s">
        <v>1065</v>
      </c>
    </row>
    <row r="59" customFormat="false" ht="15" hidden="false" customHeight="true" outlineLevel="0" collapsed="false">
      <c r="A59" s="97" t="s">
        <v>1066</v>
      </c>
      <c r="B59" s="98" t="s">
        <v>1067</v>
      </c>
    </row>
    <row r="60" customFormat="false" ht="30" hidden="false" customHeight="true" outlineLevel="0" collapsed="false">
      <c r="A60" s="97" t="s">
        <v>1068</v>
      </c>
      <c r="B60" s="98" t="s">
        <v>1069</v>
      </c>
    </row>
    <row r="61" customFormat="false" ht="30" hidden="false" customHeight="true" outlineLevel="0" collapsed="false">
      <c r="A61" s="97" t="s">
        <v>1070</v>
      </c>
      <c r="B61" s="98" t="s">
        <v>1071</v>
      </c>
    </row>
    <row r="62" customFormat="false" ht="60" hidden="false" customHeight="true" outlineLevel="0" collapsed="false">
      <c r="A62" s="97" t="s">
        <v>1072</v>
      </c>
      <c r="B62" s="98" t="s">
        <v>1073</v>
      </c>
    </row>
    <row r="63" customFormat="false" ht="15" hidden="false" customHeight="true" outlineLevel="0" collapsed="false">
      <c r="A63" s="97" t="s">
        <v>1074</v>
      </c>
      <c r="B63" s="98" t="s">
        <v>1075</v>
      </c>
    </row>
    <row r="64" customFormat="false" ht="15" hidden="false" customHeight="true" outlineLevel="0" collapsed="false">
      <c r="A64" s="97" t="s">
        <v>1076</v>
      </c>
      <c r="B64" s="98" t="s">
        <v>1077</v>
      </c>
    </row>
    <row r="65" customFormat="false" ht="15" hidden="false" customHeight="true" outlineLevel="0" collapsed="false">
      <c r="A65" s="97" t="s">
        <v>1078</v>
      </c>
      <c r="B65" s="98" t="s">
        <v>1079</v>
      </c>
    </row>
    <row r="66" customFormat="false" ht="30" hidden="false" customHeight="true" outlineLevel="0" collapsed="false">
      <c r="A66" s="97" t="s">
        <v>1080</v>
      </c>
      <c r="B66" s="98" t="s">
        <v>1081</v>
      </c>
    </row>
    <row r="67" customFormat="false" ht="30" hidden="false" customHeight="true" outlineLevel="0" collapsed="false">
      <c r="A67" s="97" t="s">
        <v>1082</v>
      </c>
      <c r="B67" s="98" t="s">
        <v>1083</v>
      </c>
    </row>
    <row r="68" customFormat="false" ht="30" hidden="false" customHeight="true" outlineLevel="0" collapsed="false">
      <c r="A68" s="97" t="s">
        <v>1084</v>
      </c>
      <c r="B68" s="98" t="s">
        <v>1085</v>
      </c>
    </row>
    <row r="69" customFormat="false" ht="30" hidden="false" customHeight="true" outlineLevel="0" collapsed="false">
      <c r="A69" s="97" t="s">
        <v>1086</v>
      </c>
      <c r="B69" s="98" t="s">
        <v>1087</v>
      </c>
    </row>
    <row r="70" customFormat="false" ht="45" hidden="false" customHeight="true" outlineLevel="0" collapsed="false">
      <c r="A70" s="97" t="s">
        <v>1088</v>
      </c>
      <c r="B70" s="98" t="s">
        <v>1089</v>
      </c>
    </row>
    <row r="71" customFormat="false" ht="30" hidden="false" customHeight="true" outlineLevel="0" collapsed="false">
      <c r="A71" s="97" t="s">
        <v>1090</v>
      </c>
      <c r="B71" s="98" t="s">
        <v>1091</v>
      </c>
    </row>
    <row r="72" customFormat="false" ht="30" hidden="false" customHeight="true" outlineLevel="0" collapsed="false">
      <c r="A72" s="97" t="s">
        <v>1092</v>
      </c>
      <c r="B72" s="98" t="s">
        <v>1093</v>
      </c>
    </row>
    <row r="73" customFormat="false" ht="30" hidden="false" customHeight="true" outlineLevel="0" collapsed="false">
      <c r="A73" s="97" t="s">
        <v>1094</v>
      </c>
      <c r="B73" s="98" t="s">
        <v>1095</v>
      </c>
    </row>
    <row r="74" customFormat="false" ht="30" hidden="false" customHeight="true" outlineLevel="0" collapsed="false">
      <c r="A74" s="97" t="s">
        <v>1096</v>
      </c>
      <c r="B74" s="98" t="s">
        <v>1097</v>
      </c>
    </row>
    <row r="75" customFormat="false" ht="30" hidden="false" customHeight="true" outlineLevel="0" collapsed="false">
      <c r="A75" s="97" t="s">
        <v>1098</v>
      </c>
      <c r="B75" s="98" t="s">
        <v>1099</v>
      </c>
    </row>
    <row r="76" customFormat="false" ht="15" hidden="false" customHeight="true" outlineLevel="0" collapsed="false">
      <c r="A76" s="97" t="s">
        <v>1100</v>
      </c>
      <c r="B76" s="98" t="s">
        <v>1101</v>
      </c>
    </row>
    <row r="77" customFormat="false" ht="15" hidden="false" customHeight="true" outlineLevel="0" collapsed="false">
      <c r="A77" s="97" t="s">
        <v>1102</v>
      </c>
      <c r="B77" s="98" t="s">
        <v>1103</v>
      </c>
    </row>
    <row r="78" customFormat="false" ht="15" hidden="false" customHeight="true" outlineLevel="0" collapsed="false">
      <c r="A78" s="97" t="s">
        <v>1104</v>
      </c>
      <c r="B78" s="98" t="s">
        <v>1105</v>
      </c>
    </row>
    <row r="79" customFormat="false" ht="45" hidden="false" customHeight="true" outlineLevel="0" collapsed="false">
      <c r="A79" s="97" t="s">
        <v>1106</v>
      </c>
      <c r="B79" s="98" t="s">
        <v>1107</v>
      </c>
    </row>
    <row r="80" customFormat="false" ht="15" hidden="false" customHeight="true" outlineLevel="0" collapsed="false">
      <c r="A80" s="97" t="s">
        <v>1108</v>
      </c>
      <c r="B80" s="98" t="s">
        <v>1109</v>
      </c>
    </row>
    <row r="81" customFormat="false" ht="15" hidden="false" customHeight="true" outlineLevel="0" collapsed="false">
      <c r="A81" s="97" t="s">
        <v>1110</v>
      </c>
      <c r="B81" s="98" t="s">
        <v>1111</v>
      </c>
    </row>
    <row r="82" customFormat="false" ht="15" hidden="false" customHeight="true" outlineLevel="0" collapsed="false">
      <c r="A82" s="97" t="s">
        <v>1112</v>
      </c>
      <c r="B82" s="98" t="s">
        <v>1113</v>
      </c>
    </row>
    <row r="83" customFormat="false" ht="15" hidden="false" customHeight="true" outlineLevel="0" collapsed="false">
      <c r="A83" s="97" t="s">
        <v>1114</v>
      </c>
      <c r="B83" s="98" t="s">
        <v>1115</v>
      </c>
    </row>
    <row r="84" customFormat="false" ht="15" hidden="false" customHeight="true" outlineLevel="0" collapsed="false">
      <c r="A84" s="97" t="s">
        <v>1116</v>
      </c>
      <c r="B84" s="98" t="s">
        <v>1117</v>
      </c>
    </row>
    <row r="85" customFormat="false" ht="30" hidden="false" customHeight="true" outlineLevel="0" collapsed="false">
      <c r="A85" s="97" t="s">
        <v>1118</v>
      </c>
      <c r="B85" s="98" t="s">
        <v>1119</v>
      </c>
    </row>
    <row r="86" customFormat="false" ht="45" hidden="false" customHeight="true" outlineLevel="0" collapsed="false">
      <c r="A86" s="97" t="s">
        <v>1120</v>
      </c>
      <c r="B86" s="98" t="s">
        <v>1121</v>
      </c>
    </row>
    <row r="87" customFormat="false" ht="60" hidden="false" customHeight="true" outlineLevel="0" collapsed="false">
      <c r="A87" s="97" t="s">
        <v>1122</v>
      </c>
      <c r="B87" s="98" t="s">
        <v>1123</v>
      </c>
    </row>
    <row r="88" customFormat="false" ht="30" hidden="false" customHeight="true" outlineLevel="0" collapsed="false">
      <c r="A88" s="97" t="s">
        <v>876</v>
      </c>
      <c r="B88" s="98" t="s">
        <v>1124</v>
      </c>
    </row>
    <row r="89" customFormat="false" ht="30" hidden="false" customHeight="true" outlineLevel="0" collapsed="false">
      <c r="A89" s="97" t="s">
        <v>1125</v>
      </c>
      <c r="B89" s="98" t="s">
        <v>1126</v>
      </c>
    </row>
    <row r="90" customFormat="false" ht="30" hidden="false" customHeight="true" outlineLevel="0" collapsed="false">
      <c r="A90" s="97" t="s">
        <v>1127</v>
      </c>
      <c r="B90" s="98" t="s">
        <v>1128</v>
      </c>
    </row>
    <row r="91" customFormat="false" ht="30" hidden="false" customHeight="true" outlineLevel="0" collapsed="false">
      <c r="A91" s="97" t="s">
        <v>1129</v>
      </c>
      <c r="B91" s="98" t="s">
        <v>1130</v>
      </c>
    </row>
    <row r="92" customFormat="false" ht="15" hidden="false" customHeight="true" outlineLevel="0" collapsed="false">
      <c r="A92" s="97" t="s">
        <v>1131</v>
      </c>
      <c r="B92" s="98" t="s">
        <v>1132</v>
      </c>
    </row>
    <row r="93" customFormat="false" ht="30" hidden="false" customHeight="true" outlineLevel="0" collapsed="false">
      <c r="A93" s="97" t="s">
        <v>1133</v>
      </c>
      <c r="B93" s="98" t="s">
        <v>1134</v>
      </c>
    </row>
    <row r="94" customFormat="false" ht="90" hidden="false" customHeight="true" outlineLevel="0" collapsed="false">
      <c r="A94" s="97" t="s">
        <v>919</v>
      </c>
      <c r="B94" s="98" t="s">
        <v>1135</v>
      </c>
    </row>
    <row r="95" customFormat="false" ht="90" hidden="false" customHeight="true" outlineLevel="0" collapsed="false">
      <c r="A95" s="97" t="s">
        <v>1136</v>
      </c>
      <c r="B95" s="98" t="s">
        <v>1137</v>
      </c>
    </row>
    <row r="96" customFormat="false" ht="120" hidden="false" customHeight="true" outlineLevel="0" collapsed="false">
      <c r="A96" s="97" t="s">
        <v>1138</v>
      </c>
      <c r="B96" s="98" t="s">
        <v>1139</v>
      </c>
    </row>
    <row r="97" customFormat="false" ht="15" hidden="false" customHeight="true" outlineLevel="0" collapsed="false">
      <c r="A97" s="97" t="s">
        <v>880</v>
      </c>
      <c r="B97" s="98" t="s">
        <v>1140</v>
      </c>
    </row>
    <row r="98" customFormat="false" ht="15" hidden="false" customHeight="true" outlineLevel="0" collapsed="false">
      <c r="A98" s="97" t="s">
        <v>872</v>
      </c>
      <c r="B98" s="98" t="s">
        <v>1141</v>
      </c>
    </row>
    <row r="99" customFormat="false" ht="30" hidden="false" customHeight="true" outlineLevel="0" collapsed="false">
      <c r="A99" s="97" t="s">
        <v>1142</v>
      </c>
      <c r="B99" s="98" t="s">
        <v>1143</v>
      </c>
    </row>
    <row r="100" customFormat="false" ht="30" hidden="false" customHeight="true" outlineLevel="0" collapsed="false">
      <c r="A100" s="97" t="s">
        <v>1144</v>
      </c>
      <c r="B100" s="98" t="s">
        <v>1145</v>
      </c>
    </row>
    <row r="101" customFormat="false" ht="45" hidden="false" customHeight="true" outlineLevel="0" collapsed="false">
      <c r="A101" s="97" t="s">
        <v>1146</v>
      </c>
      <c r="B101" s="98" t="s">
        <v>1147</v>
      </c>
    </row>
    <row r="102" customFormat="false" ht="30" hidden="false" customHeight="true" outlineLevel="0" collapsed="false">
      <c r="A102" s="97" t="s">
        <v>1148</v>
      </c>
      <c r="B102" s="98" t="s">
        <v>1149</v>
      </c>
    </row>
    <row r="103" customFormat="false" ht="30" hidden="false" customHeight="true" outlineLevel="0" collapsed="false">
      <c r="A103" s="97" t="s">
        <v>903</v>
      </c>
      <c r="B103" s="98" t="s">
        <v>1150</v>
      </c>
    </row>
    <row r="104" customFormat="false" ht="30" hidden="false" customHeight="true" outlineLevel="0" collapsed="false">
      <c r="A104" s="97" t="s">
        <v>1151</v>
      </c>
      <c r="B104" s="98" t="s">
        <v>1152</v>
      </c>
    </row>
    <row r="105" customFormat="false" ht="15" hidden="false" customHeight="true" outlineLevel="0" collapsed="false">
      <c r="A105" s="97" t="s">
        <v>1153</v>
      </c>
      <c r="B105" s="98" t="s">
        <v>1154</v>
      </c>
    </row>
    <row r="106" customFormat="false" ht="30" hidden="false" customHeight="true" outlineLevel="0" collapsed="false">
      <c r="A106" s="97" t="s">
        <v>891</v>
      </c>
      <c r="B106" s="98" t="s">
        <v>1155</v>
      </c>
    </row>
    <row r="107" customFormat="false" ht="30" hidden="false" customHeight="true" outlineLevel="0" collapsed="false">
      <c r="A107" s="97" t="s">
        <v>1156</v>
      </c>
      <c r="B107" s="98" t="s">
        <v>1157</v>
      </c>
    </row>
    <row r="108" customFormat="false" ht="45" hidden="false" customHeight="true" outlineLevel="0" collapsed="false">
      <c r="A108" s="97" t="s">
        <v>1158</v>
      </c>
      <c r="B108" s="98" t="s">
        <v>1159</v>
      </c>
    </row>
    <row r="109" customFormat="false" ht="30" hidden="false" customHeight="true" outlineLevel="0" collapsed="false">
      <c r="A109" s="97" t="s">
        <v>1160</v>
      </c>
      <c r="B109" s="98" t="s">
        <v>1161</v>
      </c>
    </row>
    <row r="110" customFormat="false" ht="15" hidden="false" customHeight="true" outlineLevel="0" collapsed="false">
      <c r="A110" s="97" t="s">
        <v>1162</v>
      </c>
      <c r="B110" s="98" t="s">
        <v>1163</v>
      </c>
    </row>
    <row r="111" customFormat="false" ht="45" hidden="false" customHeight="true" outlineLevel="0" collapsed="false">
      <c r="A111" s="97" t="s">
        <v>1164</v>
      </c>
      <c r="B111" s="98" t="s">
        <v>1165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4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1166</v>
      </c>
    </row>
    <row r="2" customFormat="false" ht="15" hidden="false" customHeight="false" outlineLevel="0" collapsed="false">
      <c r="A2" s="2" t="s">
        <v>1167</v>
      </c>
    </row>
    <row r="4" customFormat="false" ht="15" hidden="false" customHeight="false" outlineLevel="0" collapsed="false">
      <c r="A4" s="5" t="s">
        <v>475</v>
      </c>
      <c r="B4" s="5" t="s">
        <v>4</v>
      </c>
      <c r="C4" s="6" t="s">
        <v>381</v>
      </c>
      <c r="D4" s="6" t="s">
        <v>382</v>
      </c>
      <c r="E4" s="6" t="s">
        <v>383</v>
      </c>
      <c r="F4" s="6" t="s">
        <v>384</v>
      </c>
      <c r="G4" s="6" t="s">
        <v>385</v>
      </c>
      <c r="H4" s="6" t="s">
        <v>1168</v>
      </c>
    </row>
    <row r="6" customFormat="false" ht="15" hidden="false" customHeight="false" outlineLevel="0" collapsed="false">
      <c r="A6" s="111" t="s">
        <v>1169</v>
      </c>
      <c r="B6" s="112"/>
      <c r="C6" s="112"/>
      <c r="D6" s="112"/>
      <c r="E6" s="112"/>
      <c r="F6" s="112"/>
      <c r="G6" s="112"/>
      <c r="H6" s="112"/>
    </row>
    <row r="7" customFormat="false" ht="15" hidden="false" customHeight="false" outlineLevel="0" collapsed="false">
      <c r="A7" s="3" t="s">
        <v>1170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1" collapsed="false">
      <c r="A8" s="7" t="s">
        <v>588</v>
      </c>
      <c r="B8" s="8"/>
      <c r="C8" s="52" t="n">
        <v>2027</v>
      </c>
      <c r="D8" s="52" t="n">
        <v>2028</v>
      </c>
      <c r="E8" s="52" t="n">
        <v>2029</v>
      </c>
      <c r="F8" s="52" t="n">
        <v>2030</v>
      </c>
      <c r="G8" s="52" t="n">
        <v>2031</v>
      </c>
      <c r="H8" s="2" t="s">
        <v>20</v>
      </c>
    </row>
    <row r="9" customFormat="false" ht="15" hidden="false" customHeight="false" outlineLevel="0" collapsed="false">
      <c r="A9" s="3" t="s">
        <v>1171</v>
      </c>
      <c r="B9" s="4"/>
      <c r="C9" s="4"/>
      <c r="D9" s="4"/>
      <c r="E9" s="4"/>
      <c r="F9" s="4"/>
      <c r="G9" s="4"/>
      <c r="H9" s="4"/>
    </row>
    <row r="10" customFormat="false" ht="15" hidden="false" customHeight="false" outlineLevel="1" collapsed="false">
      <c r="A10" s="7" t="s">
        <v>387</v>
      </c>
      <c r="B10" s="8" t="s">
        <v>123</v>
      </c>
      <c r="C10" s="53" t="n">
        <f aca="false">Pressupostos!$C$212</f>
        <v>30</v>
      </c>
      <c r="D10" s="53" t="n">
        <f aca="false">Pressupostos!$D$212</f>
        <v>100</v>
      </c>
      <c r="E10" s="53" t="n">
        <f aca="false">Pressupostos!$E$212</f>
        <v>250</v>
      </c>
      <c r="F10" s="53" t="n">
        <f aca="false">Pressupostos!$F$212</f>
        <v>400</v>
      </c>
      <c r="G10" s="53" t="n">
        <f aca="false">Pressupostos!$G$212</f>
        <v>500</v>
      </c>
      <c r="H10" s="2" t="s">
        <v>1172</v>
      </c>
    </row>
    <row r="11" customFormat="false" ht="15" hidden="false" customHeight="false" outlineLevel="1" collapsed="false">
      <c r="A11" s="7" t="s">
        <v>590</v>
      </c>
      <c r="B11" s="8" t="s">
        <v>120</v>
      </c>
      <c r="C11" s="54" t="n">
        <f aca="false">Pressupostos!$C$218</f>
        <v>6</v>
      </c>
      <c r="D11" s="54" t="n">
        <f aca="false">Pressupostos!$D$218</f>
        <v>21</v>
      </c>
      <c r="E11" s="54" t="n">
        <f aca="false">Pressupostos!$E$218</f>
        <v>51</v>
      </c>
      <c r="F11" s="54" t="n">
        <f aca="false">Pressupostos!$F$218</f>
        <v>82</v>
      </c>
      <c r="G11" s="54" t="n">
        <f aca="false">Pressupostos!$G$218</f>
        <v>103</v>
      </c>
      <c r="H11" s="2" t="s">
        <v>1173</v>
      </c>
    </row>
    <row r="12" customFormat="false" ht="15" hidden="false" customHeight="false" outlineLevel="1" collapsed="false">
      <c r="A12" s="7" t="s">
        <v>591</v>
      </c>
      <c r="B12" s="8" t="s">
        <v>120</v>
      </c>
      <c r="C12" s="54" t="n">
        <f aca="false">Pressupostos!$C$224</f>
        <v>34</v>
      </c>
      <c r="D12" s="54" t="n">
        <f aca="false">Pressupostos!$D$224</f>
        <v>129</v>
      </c>
      <c r="E12" s="54" t="n">
        <f aca="false">Pressupostos!$E$224</f>
        <v>249</v>
      </c>
      <c r="F12" s="54" t="n">
        <f aca="false">Pressupostos!$F$224</f>
        <v>368</v>
      </c>
      <c r="G12" s="54" t="n">
        <f aca="false">Pressupostos!$G$224</f>
        <v>497</v>
      </c>
      <c r="H12" s="2" t="s">
        <v>1174</v>
      </c>
    </row>
    <row r="13" customFormat="false" ht="15" hidden="false" customHeight="false" outlineLevel="1" collapsed="false">
      <c r="A13" s="7" t="s">
        <v>398</v>
      </c>
      <c r="B13" s="8" t="s">
        <v>120</v>
      </c>
      <c r="C13" s="54" t="n">
        <f aca="false">Pressupostos!$C$230</f>
        <v>0</v>
      </c>
      <c r="D13" s="54" t="n">
        <f aca="false">Pressupostos!$D$230</f>
        <v>0</v>
      </c>
      <c r="E13" s="54" t="n">
        <f aca="false">Pressupostos!$E$230</f>
        <v>0</v>
      </c>
      <c r="F13" s="54" t="n">
        <f aca="false">Pressupostos!$F$230</f>
        <v>0</v>
      </c>
      <c r="G13" s="54" t="n">
        <f aca="false">Pressupostos!$G$230</f>
        <v>0</v>
      </c>
      <c r="H13" s="2" t="s">
        <v>1175</v>
      </c>
    </row>
    <row r="14" customFormat="false" ht="15" hidden="false" customHeight="false" outlineLevel="1" collapsed="false">
      <c r="A14" s="7" t="s">
        <v>592</v>
      </c>
      <c r="B14" s="8" t="s">
        <v>120</v>
      </c>
      <c r="C14" s="55" t="n">
        <f aca="false">C13*Pressupostos!$C$33</f>
        <v>0</v>
      </c>
      <c r="D14" s="55" t="n">
        <f aca="false">D13*Pressupostos!$C$33</f>
        <v>0</v>
      </c>
      <c r="E14" s="55" t="n">
        <f aca="false">E13*Pressupostos!$C$33</f>
        <v>0</v>
      </c>
      <c r="F14" s="55" t="n">
        <f aca="false">F13*Pressupostos!$C$33</f>
        <v>0</v>
      </c>
      <c r="G14" s="55" t="n">
        <f aca="false">G13*Pressupostos!$C$33</f>
        <v>0</v>
      </c>
      <c r="H14" s="2" t="s">
        <v>1176</v>
      </c>
    </row>
    <row r="15" customFormat="false" ht="15" hidden="false" customHeight="false" outlineLevel="1" collapsed="false">
      <c r="A15" s="7" t="s">
        <v>593</v>
      </c>
      <c r="B15" s="8" t="s">
        <v>120</v>
      </c>
      <c r="C15" s="55" t="n">
        <f aca="false">C13-C14</f>
        <v>0</v>
      </c>
      <c r="D15" s="55" t="n">
        <f aca="false">D13-D14</f>
        <v>0</v>
      </c>
      <c r="E15" s="55" t="n">
        <f aca="false">E13-E14</f>
        <v>0</v>
      </c>
      <c r="F15" s="55" t="n">
        <f aca="false">F13-F14</f>
        <v>0</v>
      </c>
      <c r="G15" s="55" t="n">
        <f aca="false">G13-G14</f>
        <v>0</v>
      </c>
      <c r="H15" s="2" t="s">
        <v>1177</v>
      </c>
    </row>
    <row r="16" customFormat="false" ht="15" hidden="false" customHeight="false" outlineLevel="1" collapsed="false">
      <c r="A16" s="56" t="s">
        <v>594</v>
      </c>
      <c r="B16" s="57" t="s">
        <v>120</v>
      </c>
      <c r="C16" s="58" t="n">
        <f aca="false">C11+C12+C13</f>
        <v>40</v>
      </c>
      <c r="D16" s="58" t="n">
        <f aca="false">D11+D12+D13</f>
        <v>150</v>
      </c>
      <c r="E16" s="58" t="n">
        <f aca="false">E11+E12+E13</f>
        <v>300</v>
      </c>
      <c r="F16" s="58" t="n">
        <f aca="false">F11+F12+F13</f>
        <v>450</v>
      </c>
      <c r="G16" s="58" t="n">
        <f aca="false">G11+G12+G13</f>
        <v>600</v>
      </c>
      <c r="H16" s="2" t="s">
        <v>1178</v>
      </c>
    </row>
    <row r="17" customFormat="false" ht="15" hidden="false" customHeight="false" outlineLevel="1" collapsed="false">
      <c r="A17" s="7" t="s">
        <v>595</v>
      </c>
      <c r="B17" s="8" t="s">
        <v>76</v>
      </c>
      <c r="C17" s="59" t="n">
        <f aca="false">IF(C16&gt;0,C11/C16,0)</f>
        <v>0.15</v>
      </c>
      <c r="D17" s="59" t="n">
        <f aca="false">IF(D16&gt;0,D11/D16,0)</f>
        <v>0.14</v>
      </c>
      <c r="E17" s="59" t="n">
        <f aca="false">IF(E16&gt;0,E11/E16,0)</f>
        <v>0.17</v>
      </c>
      <c r="F17" s="59" t="n">
        <f aca="false">IF(F16&gt;0,F11/F16,0)</f>
        <v>0.182222222222222</v>
      </c>
      <c r="G17" s="59" t="n">
        <f aca="false">IF(G16&gt;0,G11/G16,0)</f>
        <v>0.171666666666667</v>
      </c>
      <c r="H17" s="2" t="s">
        <v>1179</v>
      </c>
    </row>
    <row r="18" customFormat="false" ht="15" hidden="false" customHeight="false" outlineLevel="1" collapsed="false">
      <c r="A18" s="7" t="s">
        <v>596</v>
      </c>
      <c r="B18" s="8" t="s">
        <v>76</v>
      </c>
      <c r="C18" s="60" t="n">
        <f aca="false">C16/(Pressupostos!$C$76*1000)</f>
        <v>0.000235988200589971</v>
      </c>
      <c r="D18" s="60" t="n">
        <f aca="false">D16/(Pressupostos!$C$76*1000)</f>
        <v>0.000884955752212389</v>
      </c>
      <c r="E18" s="60" t="n">
        <f aca="false">E16/(Pressupostos!$C$76*1000)</f>
        <v>0.00176991150442478</v>
      </c>
      <c r="F18" s="60" t="n">
        <f aca="false">F16/(Pressupostos!$C$76*1000)</f>
        <v>0.00265486725663717</v>
      </c>
      <c r="G18" s="60" t="n">
        <f aca="false">G16/(Pressupostos!$C$76*1000)</f>
        <v>0.00353982300884956</v>
      </c>
      <c r="H18" s="2" t="s">
        <v>1180</v>
      </c>
    </row>
    <row r="19" customFormat="false" ht="15" hidden="false" customHeight="false" outlineLevel="1" collapsed="false">
      <c r="A19" s="7" t="s">
        <v>597</v>
      </c>
      <c r="B19" s="8" t="s">
        <v>123</v>
      </c>
      <c r="C19" s="55" t="n">
        <f aca="false">C11/Pressupostos!$C$40+C12/Pressupostos!$C$47+C13/Pressupostos!$C$59</f>
        <v>1.43333333333333</v>
      </c>
      <c r="D19" s="55" t="n">
        <f aca="false">D11/Pressupostos!$C$40+D12/Pressupostos!$C$47+D13/Pressupostos!$C$59</f>
        <v>5.35</v>
      </c>
      <c r="E19" s="55" t="n">
        <f aca="false">E11/Pressupostos!$C$40+E12/Pressupostos!$C$47+E13/Pressupostos!$C$59</f>
        <v>10.85</v>
      </c>
      <c r="F19" s="55" t="n">
        <f aca="false">F11/Pressupostos!$C$40+F12/Pressupostos!$C$47+F13/Pressupostos!$C$59</f>
        <v>16.3666666666667</v>
      </c>
      <c r="G19" s="55" t="n">
        <f aca="false">G11/Pressupostos!$C$40+G12/Pressupostos!$C$47+G13/Pressupostos!$C$59</f>
        <v>21.7166666666667</v>
      </c>
      <c r="H19" s="2" t="s">
        <v>1181</v>
      </c>
    </row>
    <row r="20" customFormat="false" ht="15" hidden="false" customHeight="false" outlineLevel="0" collapsed="false">
      <c r="A20" s="3" t="s">
        <v>1182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1" collapsed="false">
      <c r="A21" s="7" t="s">
        <v>599</v>
      </c>
      <c r="B21" s="8" t="s">
        <v>202</v>
      </c>
      <c r="C21" s="53" t="n">
        <f aca="false">Pressupostos!$C$256</f>
        <v>60</v>
      </c>
      <c r="D21" s="53" t="n">
        <f aca="false">Pressupostos!$D$256</f>
        <v>0</v>
      </c>
      <c r="E21" s="53" t="n">
        <f aca="false">Pressupostos!$E$256</f>
        <v>0</v>
      </c>
      <c r="F21" s="53" t="n">
        <f aca="false">Pressupostos!$F$256</f>
        <v>0</v>
      </c>
      <c r="G21" s="53" t="n">
        <f aca="false">Pressupostos!$G$256</f>
        <v>0</v>
      </c>
      <c r="H21" s="2" t="s">
        <v>1183</v>
      </c>
    </row>
    <row r="22" customFormat="false" ht="15" hidden="false" customHeight="false" outlineLevel="1" collapsed="false">
      <c r="A22" s="7" t="s">
        <v>599</v>
      </c>
      <c r="B22" s="8" t="s">
        <v>189</v>
      </c>
      <c r="C22" s="61" t="n">
        <f aca="false">C21*Pressupostos!$C$78</f>
        <v>45000</v>
      </c>
      <c r="D22" s="61" t="n">
        <f aca="false">D21*Pressupostos!$C$78</f>
        <v>0</v>
      </c>
      <c r="E22" s="61" t="n">
        <f aca="false">E21*Pressupostos!$C$78</f>
        <v>0</v>
      </c>
      <c r="F22" s="61" t="n">
        <f aca="false">F21*Pressupostos!$C$78</f>
        <v>0</v>
      </c>
      <c r="G22" s="61" t="n">
        <f aca="false">G21*Pressupostos!$C$78</f>
        <v>0</v>
      </c>
      <c r="H22" s="2" t="s">
        <v>1184</v>
      </c>
    </row>
    <row r="23" customFormat="false" ht="15" hidden="false" customHeight="false" outlineLevel="0" collapsed="false">
      <c r="A23" s="3" t="s">
        <v>1185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1" collapsed="false">
      <c r="A24" s="7" t="s">
        <v>601</v>
      </c>
      <c r="B24" s="8" t="s">
        <v>120</v>
      </c>
      <c r="C24" s="55" t="n">
        <f aca="false">IF(C8&lt;Pressupostos!$C$28,0,Pressupostos!$C$262)</f>
        <v>0</v>
      </c>
      <c r="D24" s="55" t="n">
        <f aca="false">IF(D8&lt;Pressupostos!$C$28,0,Pressupostos!$D$262)</f>
        <v>0</v>
      </c>
      <c r="E24" s="55" t="n">
        <f aca="false">IF(E8&lt;Pressupostos!$C$28,0,Pressupostos!$E$262)</f>
        <v>10</v>
      </c>
      <c r="F24" s="55" t="n">
        <f aca="false">IF(F8&lt;Pressupostos!$C$28,0,Pressupostos!$F$262)</f>
        <v>20</v>
      </c>
      <c r="G24" s="55" t="n">
        <f aca="false">IF(G8&lt;Pressupostos!$C$28,0,Pressupostos!$G$262)</f>
        <v>30</v>
      </c>
      <c r="H24" s="2" t="s">
        <v>1186</v>
      </c>
    </row>
    <row r="25" customFormat="false" ht="15" hidden="false" customHeight="false" outlineLevel="0" collapsed="false">
      <c r="A25" s="3" t="s">
        <v>1187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1" collapsed="false">
      <c r="A26" s="7" t="s">
        <v>603</v>
      </c>
      <c r="B26" s="8" t="s">
        <v>11</v>
      </c>
      <c r="C26" s="53" t="n">
        <f aca="false">Pressupostos!$C$268</f>
        <v>0</v>
      </c>
      <c r="D26" s="53" t="n">
        <f aca="false">Pressupostos!$D$268</f>
        <v>0</v>
      </c>
      <c r="E26" s="53" t="n">
        <f aca="false">Pressupostos!$E$268</f>
        <v>0</v>
      </c>
      <c r="F26" s="53" t="n">
        <f aca="false">Pressupostos!$F$268</f>
        <v>500000</v>
      </c>
      <c r="G26" s="53" t="n">
        <f aca="false">Pressupostos!$G$268</f>
        <v>1000000</v>
      </c>
      <c r="H26" s="2" t="s">
        <v>1188</v>
      </c>
    </row>
    <row r="27" customFormat="false" ht="15" hidden="false" customHeight="false" outlineLevel="1" collapsed="false">
      <c r="A27" s="7" t="s">
        <v>604</v>
      </c>
      <c r="B27" s="8" t="s">
        <v>120</v>
      </c>
      <c r="C27" s="55" t="n">
        <f aca="false">C26/(Pressupostos!$C$105*Pressupostos!$C$106)*Pressupostos!$C$102/1000</f>
        <v>0</v>
      </c>
      <c r="D27" s="55" t="n">
        <f aca="false">D26/(Pressupostos!$C$105*Pressupostos!$C$106)*Pressupostos!$C$102/1000</f>
        <v>0</v>
      </c>
      <c r="E27" s="55" t="n">
        <f aca="false">E26/(Pressupostos!$C$105*Pressupostos!$C$106)*Pressupostos!$C$102/1000</f>
        <v>0</v>
      </c>
      <c r="F27" s="55" t="n">
        <f aca="false">F26/(Pressupostos!$C$105*Pressupostos!$C$106)*Pressupostos!$C$102/1000</f>
        <v>457.142857142857</v>
      </c>
      <c r="G27" s="55" t="n">
        <f aca="false">G26/(Pressupostos!$C$105*Pressupostos!$C$106)*Pressupostos!$C$102/1000</f>
        <v>914.285714285714</v>
      </c>
      <c r="H27" s="2" t="s">
        <v>1189</v>
      </c>
    </row>
    <row r="28" customFormat="false" ht="15" hidden="false" customHeight="false" outlineLevel="0" collapsed="false">
      <c r="A28" s="3" t="s">
        <v>1190</v>
      </c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1" collapsed="false">
      <c r="A29" s="7" t="s">
        <v>669</v>
      </c>
      <c r="B29" s="8" t="s">
        <v>64</v>
      </c>
      <c r="C29" s="63" t="n">
        <f aca="false">Pressupostos!$C$10+Pressupostos!$C$11</f>
        <v>3.65</v>
      </c>
      <c r="D29" s="63" t="n">
        <f aca="false">Pressupostos!$C$10+Pressupostos!$C$11</f>
        <v>3.65</v>
      </c>
      <c r="E29" s="63" t="n">
        <f aca="false">Pressupostos!$C$10+Pressupostos!$C$11</f>
        <v>3.65</v>
      </c>
      <c r="F29" s="63" t="n">
        <f aca="false">Pressupostos!$C$10+Pressupostos!$C$11</f>
        <v>3.65</v>
      </c>
      <c r="G29" s="63" t="n">
        <f aca="false">Pressupostos!$C$10+Pressupostos!$C$11</f>
        <v>3.65</v>
      </c>
      <c r="H29" s="2" t="s">
        <v>1191</v>
      </c>
    </row>
    <row r="30" customFormat="false" ht="15" hidden="false" customHeight="false" outlineLevel="1" collapsed="false">
      <c r="A30" s="7" t="s">
        <v>670</v>
      </c>
      <c r="B30" s="8" t="s">
        <v>64</v>
      </c>
      <c r="C30" s="67" t="n">
        <f aca="false">Pressupostos!$C$15</f>
        <v>5.4</v>
      </c>
      <c r="D30" s="67" t="n">
        <f aca="false">Pressupostos!$C$15</f>
        <v>5.4</v>
      </c>
      <c r="E30" s="67" t="n">
        <f aca="false">Pressupostos!$C$15</f>
        <v>5.4</v>
      </c>
      <c r="F30" s="67" t="n">
        <f aca="false">Pressupostos!$C$15</f>
        <v>5.4</v>
      </c>
      <c r="G30" s="67" t="n">
        <f aca="false">Pressupostos!$C$15</f>
        <v>5.4</v>
      </c>
      <c r="H30" s="2" t="s">
        <v>1192</v>
      </c>
    </row>
    <row r="31" customFormat="false" ht="15" hidden="false" customHeight="false" outlineLevel="1" collapsed="false">
      <c r="A31" s="56" t="s">
        <v>671</v>
      </c>
      <c r="B31" s="57" t="s">
        <v>64</v>
      </c>
      <c r="C31" s="68" t="n">
        <f aca="false">C30*(1-Pressupostos!$C$16)</f>
        <v>4.86</v>
      </c>
      <c r="D31" s="68" t="n">
        <f aca="false">D30*(1-Pressupostos!$C$16)</f>
        <v>4.86</v>
      </c>
      <c r="E31" s="68" t="n">
        <f aca="false">E30*(1-Pressupostos!$C$16)</f>
        <v>4.86</v>
      </c>
      <c r="F31" s="68" t="n">
        <f aca="false">F30*(1-Pressupostos!$C$16)</f>
        <v>4.86</v>
      </c>
      <c r="G31" s="68" t="n">
        <f aca="false">G30*(1-Pressupostos!$C$16)</f>
        <v>4.86</v>
      </c>
      <c r="H31" s="2" t="s">
        <v>1193</v>
      </c>
    </row>
    <row r="32" customFormat="false" ht="15" hidden="false" customHeight="false" outlineLevel="1" collapsed="false">
      <c r="A32" s="7" t="s">
        <v>144</v>
      </c>
      <c r="B32" s="8" t="s">
        <v>64</v>
      </c>
      <c r="C32" s="67" t="n">
        <f aca="false">Pressupostos!$C$38</f>
        <v>0.55</v>
      </c>
      <c r="D32" s="67" t="n">
        <f aca="false">Pressupostos!$C$38</f>
        <v>0.55</v>
      </c>
      <c r="E32" s="67" t="n">
        <f aca="false">Pressupostos!$C$38</f>
        <v>0.55</v>
      </c>
      <c r="F32" s="67" t="n">
        <f aca="false">Pressupostos!$C$38</f>
        <v>0.55</v>
      </c>
      <c r="G32" s="67" t="n">
        <f aca="false">Pressupostos!$C$38</f>
        <v>0.55</v>
      </c>
      <c r="H32" s="2" t="s">
        <v>1194</v>
      </c>
    </row>
    <row r="33" customFormat="false" ht="15" hidden="false" customHeight="false" outlineLevel="1" collapsed="false">
      <c r="A33" s="7" t="s">
        <v>215</v>
      </c>
      <c r="B33" s="8" t="s">
        <v>64</v>
      </c>
      <c r="C33" s="67" t="n">
        <f aca="false">Pressupostos!$C$237</f>
        <v>0.32</v>
      </c>
      <c r="D33" s="67" t="n">
        <f aca="false">Pressupostos!$D$237</f>
        <v>0.32</v>
      </c>
      <c r="E33" s="67" t="n">
        <f aca="false">Pressupostos!$E$237</f>
        <v>0.31</v>
      </c>
      <c r="F33" s="67" t="n">
        <f aca="false">Pressupostos!$F$237</f>
        <v>0.31</v>
      </c>
      <c r="G33" s="67" t="n">
        <f aca="false">Pressupostos!$G$237</f>
        <v>0.3</v>
      </c>
      <c r="H33" s="2" t="s">
        <v>1195</v>
      </c>
    </row>
    <row r="34" customFormat="false" ht="15" hidden="false" customHeight="false" outlineLevel="1" collapsed="false">
      <c r="A34" s="7" t="s">
        <v>117</v>
      </c>
      <c r="B34" s="8" t="s">
        <v>64</v>
      </c>
      <c r="C34" s="67" t="n">
        <f aca="false">Pressupostos!$C$39</f>
        <v>0.06</v>
      </c>
      <c r="D34" s="67" t="n">
        <f aca="false">Pressupostos!$C$39</f>
        <v>0.06</v>
      </c>
      <c r="E34" s="67" t="n">
        <f aca="false">Pressupostos!$C$39</f>
        <v>0.06</v>
      </c>
      <c r="F34" s="67" t="n">
        <f aca="false">Pressupostos!$C$39</f>
        <v>0.06</v>
      </c>
      <c r="G34" s="67" t="n">
        <f aca="false">Pressupostos!$C$39</f>
        <v>0.06</v>
      </c>
      <c r="H34" s="2" t="s">
        <v>1196</v>
      </c>
    </row>
    <row r="35" customFormat="false" ht="15" hidden="false" customHeight="false" outlineLevel="1" collapsed="false">
      <c r="A35" s="7" t="s">
        <v>91</v>
      </c>
      <c r="B35" s="8" t="s">
        <v>79</v>
      </c>
      <c r="C35" s="69" t="n">
        <f aca="false">Pressupostos!$C$243</f>
        <v>180</v>
      </c>
      <c r="D35" s="69" t="n">
        <f aca="false">Pressupostos!$D$243</f>
        <v>180</v>
      </c>
      <c r="E35" s="69" t="n">
        <f aca="false">Pressupostos!$E$243</f>
        <v>180</v>
      </c>
      <c r="F35" s="69" t="n">
        <f aca="false">Pressupostos!$F$243</f>
        <v>90</v>
      </c>
      <c r="G35" s="69" t="n">
        <f aca="false">Pressupostos!$G$243</f>
        <v>60</v>
      </c>
      <c r="H35" s="2" t="s">
        <v>1197</v>
      </c>
    </row>
    <row r="36" customFormat="false" ht="15" hidden="false" customHeight="false" outlineLevel="1" collapsed="false">
      <c r="A36" s="7" t="s">
        <v>78</v>
      </c>
      <c r="B36" s="8" t="s">
        <v>79</v>
      </c>
      <c r="C36" s="69" t="n">
        <f aca="false">Pressupostos!$C$17</f>
        <v>45</v>
      </c>
      <c r="D36" s="69" t="n">
        <f aca="false">Pressupostos!$C$17</f>
        <v>45</v>
      </c>
      <c r="E36" s="69" t="n">
        <f aca="false">Pressupostos!$C$17</f>
        <v>45</v>
      </c>
      <c r="F36" s="69" t="n">
        <f aca="false">Pressupostos!$C$17</f>
        <v>45</v>
      </c>
      <c r="G36" s="69" t="n">
        <f aca="false">Pressupostos!$C$17</f>
        <v>45</v>
      </c>
      <c r="H36" s="2" t="s">
        <v>1198</v>
      </c>
    </row>
    <row r="37" customFormat="false" ht="15" hidden="false" customHeight="false" outlineLevel="1" collapsed="false">
      <c r="A37" s="7" t="s">
        <v>490</v>
      </c>
      <c r="B37" s="8" t="s">
        <v>64</v>
      </c>
      <c r="C37" s="63" t="n">
        <f aca="false">Pressupostos!$C$66*C35/30/1000</f>
        <v>0.024</v>
      </c>
      <c r="D37" s="63" t="n">
        <f aca="false">Pressupostos!$C$66*D35/30/1000</f>
        <v>0.024</v>
      </c>
      <c r="E37" s="63" t="n">
        <f aca="false">Pressupostos!$C$66*E35/30/1000</f>
        <v>0.024</v>
      </c>
      <c r="F37" s="63" t="n">
        <f aca="false">Pressupostos!$C$66*F35/30/1000</f>
        <v>0.012</v>
      </c>
      <c r="G37" s="63" t="n">
        <f aca="false">Pressupostos!$C$66*G35/30/1000</f>
        <v>0.008</v>
      </c>
      <c r="H37" s="2" t="s">
        <v>1199</v>
      </c>
    </row>
    <row r="38" customFormat="false" ht="15" hidden="false" customHeight="false" outlineLevel="1" collapsed="false">
      <c r="A38" s="7" t="s">
        <v>165</v>
      </c>
      <c r="B38" s="8" t="s">
        <v>64</v>
      </c>
      <c r="C38" s="63" t="n">
        <f aca="false">C29*Pressupostos!$C$67*C35/365</f>
        <v>0.0036</v>
      </c>
      <c r="D38" s="63" t="n">
        <f aca="false">D29*Pressupostos!$C$67*D35/365</f>
        <v>0.0036</v>
      </c>
      <c r="E38" s="63" t="n">
        <f aca="false">E29*Pressupostos!$C$67*E35/365</f>
        <v>0.0036</v>
      </c>
      <c r="F38" s="63" t="n">
        <f aca="false">F29*Pressupostos!$C$67*F35/365</f>
        <v>0.0018</v>
      </c>
      <c r="G38" s="63" t="n">
        <f aca="false">G29*Pressupostos!$C$67*G35/365</f>
        <v>0.0012</v>
      </c>
      <c r="H38" s="2" t="s">
        <v>1200</v>
      </c>
    </row>
    <row r="39" customFormat="false" ht="15" hidden="false" customHeight="false" outlineLevel="1" collapsed="false">
      <c r="A39" s="7" t="s">
        <v>672</v>
      </c>
      <c r="B39" s="8" t="s">
        <v>64</v>
      </c>
      <c r="C39" s="63" t="n">
        <f aca="false">Pressupostos!$C$41*Pressupostos!$C$68/(Pressupostos!$C$40*1000)</f>
        <v>0.03</v>
      </c>
      <c r="D39" s="63" t="n">
        <f aca="false">Pressupostos!$C$41*Pressupostos!$C$68/(Pressupostos!$C$40*1000)</f>
        <v>0.03</v>
      </c>
      <c r="E39" s="63" t="n">
        <f aca="false">Pressupostos!$C$41*Pressupostos!$C$68/(Pressupostos!$C$40*1000)</f>
        <v>0.03</v>
      </c>
      <c r="F39" s="63" t="n">
        <f aca="false">Pressupostos!$C$41*Pressupostos!$C$68/(Pressupostos!$C$40*1000)</f>
        <v>0.03</v>
      </c>
      <c r="G39" s="63" t="n">
        <f aca="false">Pressupostos!$C$41*Pressupostos!$C$68/(Pressupostos!$C$40*1000)</f>
        <v>0.03</v>
      </c>
      <c r="H39" s="2" t="s">
        <v>1201</v>
      </c>
    </row>
    <row r="40" customFormat="false" ht="15" hidden="false" customHeight="false" outlineLevel="1" collapsed="false">
      <c r="A40" s="7" t="s">
        <v>492</v>
      </c>
      <c r="B40" s="8" t="s">
        <v>64</v>
      </c>
      <c r="C40" s="63" t="n">
        <f aca="false">Pressupostos!$C$69*C29</f>
        <v>0.01825</v>
      </c>
      <c r="D40" s="63" t="n">
        <f aca="false">Pressupostos!$C$69*D29</f>
        <v>0.01825</v>
      </c>
      <c r="E40" s="63" t="n">
        <f aca="false">Pressupostos!$C$69*E29</f>
        <v>0.01825</v>
      </c>
      <c r="F40" s="63" t="n">
        <f aca="false">Pressupostos!$C$69*F29</f>
        <v>0.01825</v>
      </c>
      <c r="G40" s="63" t="n">
        <f aca="false">Pressupostos!$C$69*G29</f>
        <v>0.01825</v>
      </c>
      <c r="H40" s="2" t="s">
        <v>1202</v>
      </c>
    </row>
    <row r="41" customFormat="false" ht="15" hidden="false" customHeight="false" outlineLevel="1" collapsed="false">
      <c r="A41" s="7" t="s">
        <v>493</v>
      </c>
      <c r="B41" s="8" t="s">
        <v>64</v>
      </c>
      <c r="C41" s="63" t="n">
        <f aca="false">Pressupostos!$C$70*Pressupostos!$C$71*C35/90</f>
        <v>0.018</v>
      </c>
      <c r="D41" s="63" t="n">
        <f aca="false">Pressupostos!$C$70*Pressupostos!$C$71*D35/90</f>
        <v>0.018</v>
      </c>
      <c r="E41" s="63" t="n">
        <f aca="false">Pressupostos!$C$70*Pressupostos!$C$71*E35/90</f>
        <v>0.018</v>
      </c>
      <c r="F41" s="63" t="n">
        <f aca="false">Pressupostos!$C$70*Pressupostos!$C$71*F35/90</f>
        <v>0.009</v>
      </c>
      <c r="G41" s="63" t="n">
        <f aca="false">Pressupostos!$C$70*Pressupostos!$C$71*G35/90</f>
        <v>0.006</v>
      </c>
      <c r="H41" s="2" t="s">
        <v>1203</v>
      </c>
    </row>
    <row r="42" customFormat="false" ht="15" hidden="false" customHeight="false" outlineLevel="1" collapsed="false">
      <c r="A42" s="7" t="s">
        <v>673</v>
      </c>
      <c r="B42" s="8" t="s">
        <v>64</v>
      </c>
      <c r="C42" s="63" t="n">
        <f aca="false">Pressupostos!$C$42/(Pressupostos!$C$40*1000)</f>
        <v>0.1</v>
      </c>
      <c r="D42" s="63" t="n">
        <f aca="false">Pressupostos!$C$42/(Pressupostos!$C$40*1000)</f>
        <v>0.1</v>
      </c>
      <c r="E42" s="63" t="n">
        <f aca="false">Pressupostos!$C$42/(Pressupostos!$C$40*1000)</f>
        <v>0.1</v>
      </c>
      <c r="F42" s="63" t="n">
        <f aca="false">Pressupostos!$C$42/(Pressupostos!$C$40*1000)</f>
        <v>0.1</v>
      </c>
      <c r="G42" s="63" t="n">
        <f aca="false">Pressupostos!$C$42/(Pressupostos!$C$40*1000)</f>
        <v>0.1</v>
      </c>
      <c r="H42" s="2" t="s">
        <v>1204</v>
      </c>
    </row>
    <row r="43" customFormat="false" ht="15" hidden="false" customHeight="false" outlineLevel="1" collapsed="false">
      <c r="A43" s="7" t="s">
        <v>139</v>
      </c>
      <c r="B43" s="8" t="s">
        <v>64</v>
      </c>
      <c r="C43" s="67" t="n">
        <f aca="false">Pressupostos!$C$43</f>
        <v>0.01</v>
      </c>
      <c r="D43" s="67" t="n">
        <f aca="false">Pressupostos!$C$43</f>
        <v>0.01</v>
      </c>
      <c r="E43" s="67" t="n">
        <f aca="false">Pressupostos!$C$43</f>
        <v>0.01</v>
      </c>
      <c r="F43" s="67" t="n">
        <f aca="false">Pressupostos!$C$43</f>
        <v>0.01</v>
      </c>
      <c r="G43" s="67" t="n">
        <f aca="false">Pressupostos!$C$43</f>
        <v>0.01</v>
      </c>
      <c r="H43" s="2" t="s">
        <v>1205</v>
      </c>
    </row>
    <row r="44" customFormat="false" ht="15" hidden="false" customHeight="false" outlineLevel="1" collapsed="false">
      <c r="A44" s="7" t="s">
        <v>81</v>
      </c>
      <c r="B44" s="8" t="s">
        <v>64</v>
      </c>
      <c r="C44" s="63" t="n">
        <f aca="false">Pressupostos!$C$18*C31</f>
        <v>0.03888</v>
      </c>
      <c r="D44" s="63" t="n">
        <f aca="false">Pressupostos!$C$18*D31</f>
        <v>0.03888</v>
      </c>
      <c r="E44" s="63" t="n">
        <f aca="false">Pressupostos!$C$18*E31</f>
        <v>0.03888</v>
      </c>
      <c r="F44" s="63" t="n">
        <f aca="false">Pressupostos!$C$18*F31</f>
        <v>0.03888</v>
      </c>
      <c r="G44" s="63" t="n">
        <f aca="false">Pressupostos!$C$18*G31</f>
        <v>0.03888</v>
      </c>
      <c r="H44" s="2" t="s">
        <v>1206</v>
      </c>
    </row>
    <row r="45" customFormat="false" ht="15" hidden="false" customHeight="false" outlineLevel="1" collapsed="false">
      <c r="A45" s="7" t="s">
        <v>674</v>
      </c>
      <c r="B45" s="8" t="s">
        <v>64</v>
      </c>
      <c r="C45" s="63" t="n">
        <f aca="false">Pressupostos!$C$73*C31</f>
        <v>0</v>
      </c>
      <c r="D45" s="63" t="n">
        <f aca="false">Pressupostos!$C$73*D31</f>
        <v>0</v>
      </c>
      <c r="E45" s="63" t="n">
        <f aca="false">Pressupostos!$C$73*E31</f>
        <v>0</v>
      </c>
      <c r="F45" s="63" t="n">
        <f aca="false">Pressupostos!$C$73*F31</f>
        <v>0</v>
      </c>
      <c r="G45" s="63" t="n">
        <f aca="false">Pressupostos!$C$73*G31</f>
        <v>0</v>
      </c>
      <c r="H45" s="2" t="s">
        <v>1207</v>
      </c>
    </row>
    <row r="46" customFormat="false" ht="15" hidden="false" customHeight="false" outlineLevel="1" collapsed="false">
      <c r="A46" s="7" t="s">
        <v>675</v>
      </c>
      <c r="B46" s="8" t="s">
        <v>64</v>
      </c>
      <c r="C46" s="63" t="n">
        <f aca="false">Pressupostos!$C$287*(C29+C32)*(C35+C36-Pressupostos!$C$72)/365*Pressupostos!$C$281/Pressupostos!$C$31</f>
        <v>0</v>
      </c>
      <c r="D46" s="63" t="n">
        <f aca="false">Pressupostos!$D$287*(D29+D32)*(D35+D36-Pressupostos!$C$72)/365*Pressupostos!$D$281/Pressupostos!$C$31</f>
        <v>0.245219178082192</v>
      </c>
      <c r="E46" s="63" t="n">
        <f aca="false">Pressupostos!$E$287*(E29+E32)*(E35+E36-Pressupostos!$C$72)/365*Pressupostos!$E$281/Pressupostos!$C$31</f>
        <v>0.245219178082192</v>
      </c>
      <c r="F46" s="63" t="n">
        <f aca="false">Pressupostos!$F$287*(F29+F32)*(F35+F36-Pressupostos!$C$72)/365*Pressupostos!$F$281/Pressupostos!$C$31</f>
        <v>0.132041095890411</v>
      </c>
      <c r="G46" s="63" t="n">
        <f aca="false">Pressupostos!$G$287*(G29+G32)*(G35+G36-Pressupostos!$C$72)/365*Pressupostos!$G$281/Pressupostos!$C$31</f>
        <v>0.0943150684931507</v>
      </c>
      <c r="H46" s="2" t="s">
        <v>1208</v>
      </c>
    </row>
    <row r="47" customFormat="false" ht="15" hidden="false" customHeight="false" outlineLevel="1" collapsed="false">
      <c r="A47" s="7" t="s">
        <v>676</v>
      </c>
      <c r="B47" s="8" t="s">
        <v>64</v>
      </c>
      <c r="C47" s="63" t="n">
        <f aca="false">C29+C32+C33+C34+C37+C38+C39+C40+C41+C42+C43+C44+C45+C46</f>
        <v>4.82273</v>
      </c>
      <c r="D47" s="63" t="n">
        <f aca="false">D29+D32+D33+D34+D37+D38+D39+D40+D41+D42+D43+D44+D45+D46</f>
        <v>5.06794917808219</v>
      </c>
      <c r="E47" s="63" t="n">
        <f aca="false">E29+E32+E33+E34+E37+E38+E39+E40+E41+E42+E43+E44+E45+E46</f>
        <v>5.05794917808219</v>
      </c>
      <c r="F47" s="63" t="n">
        <f aca="false">F29+F32+F33+F34+F37+F38+F39+F40+F41+F42+F43+F44+F45+F46</f>
        <v>4.92197109589041</v>
      </c>
      <c r="G47" s="63" t="n">
        <f aca="false">G29+G32+G33+G34+G37+G38+G39+G40+G41+G42+G43+G44+G45+G46</f>
        <v>4.86664506849315</v>
      </c>
      <c r="H47" s="2" t="s">
        <v>1209</v>
      </c>
    </row>
    <row r="48" customFormat="false" ht="15" hidden="false" customHeight="false" outlineLevel="1" collapsed="false">
      <c r="A48" s="56" t="s">
        <v>677</v>
      </c>
      <c r="B48" s="57" t="s">
        <v>64</v>
      </c>
      <c r="C48" s="68" t="n">
        <f aca="false">C31-C47</f>
        <v>0.0372700000000013</v>
      </c>
      <c r="D48" s="68" t="n">
        <f aca="false">D31-D47</f>
        <v>-0.207949178082191</v>
      </c>
      <c r="E48" s="68" t="n">
        <f aca="false">E31-E47</f>
        <v>-0.19794917808219</v>
      </c>
      <c r="F48" s="68" t="n">
        <f aca="false">F31-F47</f>
        <v>-0.0619710958904101</v>
      </c>
      <c r="G48" s="68" t="n">
        <f aca="false">G31-G47</f>
        <v>-0.00664506849314961</v>
      </c>
      <c r="H48" s="2" t="s">
        <v>1210</v>
      </c>
    </row>
    <row r="49" customFormat="false" ht="15" hidden="false" customHeight="false" outlineLevel="1" collapsed="false">
      <c r="A49" s="7" t="s">
        <v>678</v>
      </c>
      <c r="B49" s="8" t="s">
        <v>76</v>
      </c>
      <c r="C49" s="59" t="n">
        <f aca="false">IF(C31&gt;0,C48/C31,0)</f>
        <v>0.00766872427983565</v>
      </c>
      <c r="D49" s="59" t="n">
        <f aca="false">IF(D31&gt;0,D48/D31,0)</f>
        <v>-0.0427878967247306</v>
      </c>
      <c r="E49" s="59" t="n">
        <f aca="false">IF(E31&gt;0,E48/E31,0)</f>
        <v>-0.0407302835560062</v>
      </c>
      <c r="F49" s="59" t="n">
        <f aca="false">IF(F31&gt;0,F48/F31,0)</f>
        <v>-0.0127512542984383</v>
      </c>
      <c r="G49" s="59" t="n">
        <f aca="false">IF(G31&gt;0,G48/G31,0)</f>
        <v>-0.00136729804385794</v>
      </c>
      <c r="H49" s="2" t="s">
        <v>1211</v>
      </c>
    </row>
    <row r="50" customFormat="false" ht="15" hidden="false" customHeight="false" outlineLevel="1" collapsed="false">
      <c r="A50" s="7" t="s">
        <v>679</v>
      </c>
      <c r="B50" s="8" t="s">
        <v>64</v>
      </c>
      <c r="C50" s="63" t="n">
        <f aca="false">(C29+C32)*(C35-Pressupostos!$C$72)/365+C31*C36/365</f>
        <v>2.32520547945206</v>
      </c>
      <c r="D50" s="63" t="n">
        <f aca="false">(D29+D32)*(D35-Pressupostos!$C$72)/365+D31*D36/365</f>
        <v>2.32520547945206</v>
      </c>
      <c r="E50" s="63" t="n">
        <f aca="false">(E29+E32)*(E35-Pressupostos!$C$72)/365+E31*E36/365</f>
        <v>2.32520547945206</v>
      </c>
      <c r="F50" s="63" t="n">
        <f aca="false">(F29+F32)*(F35-Pressupostos!$C$72)/365+F31*F36/365</f>
        <v>1.28958904109589</v>
      </c>
      <c r="G50" s="63" t="n">
        <f aca="false">(G29+G32)*(G35-Pressupostos!$C$72)/365+G31*G36/365</f>
        <v>0.944383561643836</v>
      </c>
      <c r="H50" s="2" t="s">
        <v>1212</v>
      </c>
    </row>
    <row r="51" customFormat="false" ht="15" hidden="false" customHeight="false" outlineLevel="0" collapsed="false">
      <c r="A51" s="3" t="s">
        <v>1213</v>
      </c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1" collapsed="false">
      <c r="A52" s="7" t="s">
        <v>669</v>
      </c>
      <c r="B52" s="8" t="s">
        <v>64</v>
      </c>
      <c r="C52" s="63" t="n">
        <f aca="false">Pressupostos!$C$10+Pressupostos!$C$12</f>
        <v>3.65</v>
      </c>
      <c r="D52" s="63" t="n">
        <f aca="false">Pressupostos!$C$10+Pressupostos!$C$12</f>
        <v>3.65</v>
      </c>
      <c r="E52" s="63" t="n">
        <f aca="false">Pressupostos!$C$10+Pressupostos!$C$12</f>
        <v>3.65</v>
      </c>
      <c r="F52" s="63" t="n">
        <f aca="false">Pressupostos!$C$10+Pressupostos!$C$12</f>
        <v>3.65</v>
      </c>
      <c r="G52" s="63" t="n">
        <f aca="false">Pressupostos!$C$10+Pressupostos!$C$12</f>
        <v>3.65</v>
      </c>
      <c r="H52" s="2" t="s">
        <v>1214</v>
      </c>
    </row>
    <row r="53" customFormat="false" ht="15" hidden="false" customHeight="false" outlineLevel="1" collapsed="false">
      <c r="A53" s="7" t="s">
        <v>670</v>
      </c>
      <c r="B53" s="8" t="s">
        <v>64</v>
      </c>
      <c r="C53" s="63" t="n">
        <f aca="false">Pressupostos!$C$20+Pressupostos!$C$21</f>
        <v>4.2</v>
      </c>
      <c r="D53" s="63" t="n">
        <f aca="false">Pressupostos!$C$20+Pressupostos!$C$21</f>
        <v>4.2</v>
      </c>
      <c r="E53" s="63" t="n">
        <f aca="false">Pressupostos!$C$20+Pressupostos!$C$21</f>
        <v>4.2</v>
      </c>
      <c r="F53" s="63" t="n">
        <f aca="false">Pressupostos!$C$20+Pressupostos!$C$21</f>
        <v>4.2</v>
      </c>
      <c r="G53" s="63" t="n">
        <f aca="false">Pressupostos!$C$20+Pressupostos!$C$21</f>
        <v>4.2</v>
      </c>
      <c r="H53" s="2" t="s">
        <v>1215</v>
      </c>
    </row>
    <row r="54" customFormat="false" ht="15" hidden="false" customHeight="false" outlineLevel="1" collapsed="false">
      <c r="A54" s="56" t="s">
        <v>671</v>
      </c>
      <c r="B54" s="57" t="s">
        <v>64</v>
      </c>
      <c r="C54" s="68" t="n">
        <f aca="false">C53*(1-Pressupostos!$C$22)</f>
        <v>4.2</v>
      </c>
      <c r="D54" s="68" t="n">
        <f aca="false">D53*(1-Pressupostos!$C$22)</f>
        <v>4.2</v>
      </c>
      <c r="E54" s="68" t="n">
        <f aca="false">E53*(1-Pressupostos!$C$22)</f>
        <v>4.2</v>
      </c>
      <c r="F54" s="68" t="n">
        <f aca="false">F53*(1-Pressupostos!$C$22)</f>
        <v>4.2</v>
      </c>
      <c r="G54" s="68" t="n">
        <f aca="false">G53*(1-Pressupostos!$C$22)</f>
        <v>4.2</v>
      </c>
      <c r="H54" s="2" t="s">
        <v>1216</v>
      </c>
    </row>
    <row r="55" customFormat="false" ht="15" hidden="false" customHeight="false" outlineLevel="1" collapsed="false">
      <c r="A55" s="7" t="s">
        <v>144</v>
      </c>
      <c r="B55" s="8" t="s">
        <v>64</v>
      </c>
      <c r="C55" s="67" t="n">
        <f aca="false">Pressupostos!$C$45</f>
        <v>0.45</v>
      </c>
      <c r="D55" s="67" t="n">
        <f aca="false">Pressupostos!$C$45</f>
        <v>0.45</v>
      </c>
      <c r="E55" s="67" t="n">
        <f aca="false">Pressupostos!$C$45</f>
        <v>0.45</v>
      </c>
      <c r="F55" s="67" t="n">
        <f aca="false">Pressupostos!$C$45</f>
        <v>0.45</v>
      </c>
      <c r="G55" s="67" t="n">
        <f aca="false">Pressupostos!$C$45</f>
        <v>0.45</v>
      </c>
      <c r="H55" s="2" t="s">
        <v>1217</v>
      </c>
    </row>
    <row r="56" customFormat="false" ht="15" hidden="false" customHeight="false" outlineLevel="1" collapsed="false">
      <c r="A56" s="7" t="s">
        <v>215</v>
      </c>
      <c r="B56" s="8" t="s">
        <v>64</v>
      </c>
      <c r="C56" s="67" t="n">
        <f aca="false">Pressupostos!$C$249</f>
        <v>0.11</v>
      </c>
      <c r="D56" s="67" t="n">
        <f aca="false">Pressupostos!$D$249</f>
        <v>0.11</v>
      </c>
      <c r="E56" s="67" t="n">
        <f aca="false">Pressupostos!$E$249</f>
        <v>0.11</v>
      </c>
      <c r="F56" s="67" t="n">
        <f aca="false">Pressupostos!$F$249</f>
        <v>0.11</v>
      </c>
      <c r="G56" s="67" t="n">
        <f aca="false">Pressupostos!$G$249</f>
        <v>0.11</v>
      </c>
      <c r="H56" s="2" t="s">
        <v>1218</v>
      </c>
    </row>
    <row r="57" customFormat="false" ht="15" hidden="false" customHeight="false" outlineLevel="1" collapsed="false">
      <c r="A57" s="7" t="s">
        <v>117</v>
      </c>
      <c r="B57" s="8" t="s">
        <v>64</v>
      </c>
      <c r="C57" s="67" t="n">
        <f aca="false">Pressupostos!$C$46</f>
        <v>0</v>
      </c>
      <c r="D57" s="67" t="n">
        <f aca="false">Pressupostos!$C$46</f>
        <v>0</v>
      </c>
      <c r="E57" s="67" t="n">
        <f aca="false">Pressupostos!$C$46</f>
        <v>0</v>
      </c>
      <c r="F57" s="67" t="n">
        <f aca="false">Pressupostos!$C$46</f>
        <v>0</v>
      </c>
      <c r="G57" s="67" t="n">
        <f aca="false">Pressupostos!$C$46</f>
        <v>0</v>
      </c>
      <c r="H57" s="2" t="s">
        <v>1219</v>
      </c>
    </row>
    <row r="58" customFormat="false" ht="15" hidden="false" customHeight="false" outlineLevel="1" collapsed="false">
      <c r="A58" s="7" t="s">
        <v>91</v>
      </c>
      <c r="B58" s="8" t="s">
        <v>79</v>
      </c>
      <c r="C58" s="69" t="n">
        <f aca="false">Pressupostos!$C$23</f>
        <v>35</v>
      </c>
      <c r="D58" s="69" t="n">
        <f aca="false">Pressupostos!$C$23</f>
        <v>35</v>
      </c>
      <c r="E58" s="69" t="n">
        <f aca="false">Pressupostos!$C$23</f>
        <v>35</v>
      </c>
      <c r="F58" s="69" t="n">
        <f aca="false">Pressupostos!$C$23</f>
        <v>35</v>
      </c>
      <c r="G58" s="69" t="n">
        <f aca="false">Pressupostos!$C$23</f>
        <v>35</v>
      </c>
      <c r="H58" s="2" t="s">
        <v>1220</v>
      </c>
    </row>
    <row r="59" customFormat="false" ht="15" hidden="false" customHeight="false" outlineLevel="1" collapsed="false">
      <c r="A59" s="7" t="s">
        <v>78</v>
      </c>
      <c r="B59" s="8" t="s">
        <v>79</v>
      </c>
      <c r="C59" s="69" t="n">
        <f aca="false">Pressupostos!$C$24</f>
        <v>55</v>
      </c>
      <c r="D59" s="69" t="n">
        <f aca="false">Pressupostos!$C$24</f>
        <v>55</v>
      </c>
      <c r="E59" s="69" t="n">
        <f aca="false">Pressupostos!$C$24</f>
        <v>55</v>
      </c>
      <c r="F59" s="69" t="n">
        <f aca="false">Pressupostos!$C$24</f>
        <v>55</v>
      </c>
      <c r="G59" s="69" t="n">
        <f aca="false">Pressupostos!$C$24</f>
        <v>55</v>
      </c>
      <c r="H59" s="2" t="s">
        <v>1221</v>
      </c>
    </row>
    <row r="60" customFormat="false" ht="15" hidden="false" customHeight="false" outlineLevel="1" collapsed="false">
      <c r="A60" s="7" t="s">
        <v>490</v>
      </c>
      <c r="B60" s="8" t="s">
        <v>64</v>
      </c>
      <c r="C60" s="63" t="n">
        <f aca="false">Pressupostos!$C$66*C58/30/1000</f>
        <v>0.00466666666666667</v>
      </c>
      <c r="D60" s="63" t="n">
        <f aca="false">Pressupostos!$C$66*D58/30/1000</f>
        <v>0.00466666666666667</v>
      </c>
      <c r="E60" s="63" t="n">
        <f aca="false">Pressupostos!$C$66*E58/30/1000</f>
        <v>0.00466666666666667</v>
      </c>
      <c r="F60" s="63" t="n">
        <f aca="false">Pressupostos!$C$66*F58/30/1000</f>
        <v>0.00466666666666667</v>
      </c>
      <c r="G60" s="63" t="n">
        <f aca="false">Pressupostos!$C$66*G58/30/1000</f>
        <v>0.00466666666666667</v>
      </c>
      <c r="H60" s="2" t="s">
        <v>1222</v>
      </c>
    </row>
    <row r="61" customFormat="false" ht="15" hidden="false" customHeight="false" outlineLevel="1" collapsed="false">
      <c r="A61" s="7" t="s">
        <v>165</v>
      </c>
      <c r="B61" s="8" t="s">
        <v>64</v>
      </c>
      <c r="C61" s="63" t="n">
        <f aca="false">C52*Pressupostos!$C$67*C58/365</f>
        <v>0.0007</v>
      </c>
      <c r="D61" s="63" t="n">
        <f aca="false">D52*Pressupostos!$C$67*D58/365</f>
        <v>0.0007</v>
      </c>
      <c r="E61" s="63" t="n">
        <f aca="false">E52*Pressupostos!$C$67*E58/365</f>
        <v>0.0007</v>
      </c>
      <c r="F61" s="63" t="n">
        <f aca="false">F52*Pressupostos!$C$67*F58/365</f>
        <v>0.0007</v>
      </c>
      <c r="G61" s="63" t="n">
        <f aca="false">G52*Pressupostos!$C$67*G58/365</f>
        <v>0.0007</v>
      </c>
      <c r="H61" s="2" t="s">
        <v>1223</v>
      </c>
    </row>
    <row r="62" customFormat="false" ht="15" hidden="false" customHeight="false" outlineLevel="1" collapsed="false">
      <c r="A62" s="7" t="s">
        <v>672</v>
      </c>
      <c r="B62" s="8" t="s">
        <v>64</v>
      </c>
      <c r="C62" s="63" t="n">
        <f aca="false">Pressupostos!$C$48*Pressupostos!$C$68/(Pressupostos!$C$47*1000)</f>
        <v>0.02</v>
      </c>
      <c r="D62" s="63" t="n">
        <f aca="false">Pressupostos!$C$48*Pressupostos!$C$68/(Pressupostos!$C$47*1000)</f>
        <v>0.02</v>
      </c>
      <c r="E62" s="63" t="n">
        <f aca="false">Pressupostos!$C$48*Pressupostos!$C$68/(Pressupostos!$C$47*1000)</f>
        <v>0.02</v>
      </c>
      <c r="F62" s="63" t="n">
        <f aca="false">Pressupostos!$C$48*Pressupostos!$C$68/(Pressupostos!$C$47*1000)</f>
        <v>0.02</v>
      </c>
      <c r="G62" s="63" t="n">
        <f aca="false">Pressupostos!$C$48*Pressupostos!$C$68/(Pressupostos!$C$47*1000)</f>
        <v>0.02</v>
      </c>
      <c r="H62" s="2" t="s">
        <v>1224</v>
      </c>
    </row>
    <row r="63" customFormat="false" ht="15" hidden="false" customHeight="false" outlineLevel="1" collapsed="false">
      <c r="A63" s="7" t="s">
        <v>492</v>
      </c>
      <c r="B63" s="8" t="s">
        <v>64</v>
      </c>
      <c r="C63" s="63" t="n">
        <f aca="false">Pressupostos!$C$69*C52</f>
        <v>0.01825</v>
      </c>
      <c r="D63" s="63" t="n">
        <f aca="false">Pressupostos!$C$69*D52</f>
        <v>0.01825</v>
      </c>
      <c r="E63" s="63" t="n">
        <f aca="false">Pressupostos!$C$69*E52</f>
        <v>0.01825</v>
      </c>
      <c r="F63" s="63" t="n">
        <f aca="false">Pressupostos!$C$69*F52</f>
        <v>0.01825</v>
      </c>
      <c r="G63" s="63" t="n">
        <f aca="false">Pressupostos!$C$69*G52</f>
        <v>0.01825</v>
      </c>
      <c r="H63" s="2" t="s">
        <v>1225</v>
      </c>
    </row>
    <row r="64" customFormat="false" ht="15" hidden="false" customHeight="false" outlineLevel="1" collapsed="false">
      <c r="A64" s="7" t="s">
        <v>493</v>
      </c>
      <c r="B64" s="8" t="s">
        <v>64</v>
      </c>
      <c r="C64" s="63" t="n">
        <f aca="false">Pressupostos!$C$70*Pressupostos!$C$71*C58/90</f>
        <v>0.0035</v>
      </c>
      <c r="D64" s="63" t="n">
        <f aca="false">Pressupostos!$C$70*Pressupostos!$C$71*D58/90</f>
        <v>0.0035</v>
      </c>
      <c r="E64" s="63" t="n">
        <f aca="false">Pressupostos!$C$70*Pressupostos!$C$71*E58/90</f>
        <v>0.0035</v>
      </c>
      <c r="F64" s="63" t="n">
        <f aca="false">Pressupostos!$C$70*Pressupostos!$C$71*F58/90</f>
        <v>0.0035</v>
      </c>
      <c r="G64" s="63" t="n">
        <f aca="false">Pressupostos!$C$70*Pressupostos!$C$71*G58/90</f>
        <v>0.0035</v>
      </c>
      <c r="H64" s="2" t="s">
        <v>1226</v>
      </c>
    </row>
    <row r="65" customFormat="false" ht="15" hidden="false" customHeight="false" outlineLevel="1" collapsed="false">
      <c r="A65" s="7" t="s">
        <v>673</v>
      </c>
      <c r="B65" s="8" t="s">
        <v>64</v>
      </c>
      <c r="C65" s="63" t="n">
        <f aca="false">Pressupostos!$C$49/(Pressupostos!$C$47*1000)</f>
        <v>0.04</v>
      </c>
      <c r="D65" s="63" t="n">
        <f aca="false">Pressupostos!$C$49/(Pressupostos!$C$47*1000)</f>
        <v>0.04</v>
      </c>
      <c r="E65" s="63" t="n">
        <f aca="false">Pressupostos!$C$49/(Pressupostos!$C$47*1000)</f>
        <v>0.04</v>
      </c>
      <c r="F65" s="63" t="n">
        <f aca="false">Pressupostos!$C$49/(Pressupostos!$C$47*1000)</f>
        <v>0.04</v>
      </c>
      <c r="G65" s="63" t="n">
        <f aca="false">Pressupostos!$C$49/(Pressupostos!$C$47*1000)</f>
        <v>0.04</v>
      </c>
      <c r="H65" s="2" t="s">
        <v>1227</v>
      </c>
    </row>
    <row r="66" customFormat="false" ht="15" hidden="false" customHeight="false" outlineLevel="1" collapsed="false">
      <c r="A66" s="7" t="s">
        <v>139</v>
      </c>
      <c r="B66" s="8" t="s">
        <v>64</v>
      </c>
      <c r="C66" s="67" t="n">
        <f aca="false">Pressupostos!$C$50</f>
        <v>0.005</v>
      </c>
      <c r="D66" s="67" t="n">
        <f aca="false">Pressupostos!$C$50</f>
        <v>0.005</v>
      </c>
      <c r="E66" s="67" t="n">
        <f aca="false">Pressupostos!$C$50</f>
        <v>0.005</v>
      </c>
      <c r="F66" s="67" t="n">
        <f aca="false">Pressupostos!$C$50</f>
        <v>0.005</v>
      </c>
      <c r="G66" s="67" t="n">
        <f aca="false">Pressupostos!$C$50</f>
        <v>0.005</v>
      </c>
      <c r="H66" s="2" t="s">
        <v>1228</v>
      </c>
    </row>
    <row r="67" customFormat="false" ht="15" hidden="false" customHeight="false" outlineLevel="1" collapsed="false">
      <c r="A67" s="7" t="s">
        <v>81</v>
      </c>
      <c r="B67" s="8" t="s">
        <v>64</v>
      </c>
      <c r="C67" s="63" t="n">
        <f aca="false">Pressupostos!$C$25*C54</f>
        <v>0.021</v>
      </c>
      <c r="D67" s="63" t="n">
        <f aca="false">Pressupostos!$C$25*D54</f>
        <v>0.021</v>
      </c>
      <c r="E67" s="63" t="n">
        <f aca="false">Pressupostos!$C$25*E54</f>
        <v>0.021</v>
      </c>
      <c r="F67" s="63" t="n">
        <f aca="false">Pressupostos!$C$25*F54</f>
        <v>0.021</v>
      </c>
      <c r="G67" s="63" t="n">
        <f aca="false">Pressupostos!$C$25*G54</f>
        <v>0.021</v>
      </c>
      <c r="H67" s="2" t="s">
        <v>1229</v>
      </c>
    </row>
    <row r="68" customFormat="false" ht="15" hidden="false" customHeight="false" outlineLevel="1" collapsed="false">
      <c r="A68" s="7" t="s">
        <v>674</v>
      </c>
      <c r="B68" s="8" t="s">
        <v>64</v>
      </c>
      <c r="C68" s="63" t="n">
        <f aca="false">Pressupostos!$C$73*C54</f>
        <v>0</v>
      </c>
      <c r="D68" s="63" t="n">
        <f aca="false">Pressupostos!$C$73*D54</f>
        <v>0</v>
      </c>
      <c r="E68" s="63" t="n">
        <f aca="false">Pressupostos!$C$73*E54</f>
        <v>0</v>
      </c>
      <c r="F68" s="63" t="n">
        <f aca="false">Pressupostos!$C$73*F54</f>
        <v>0</v>
      </c>
      <c r="G68" s="63" t="n">
        <f aca="false">Pressupostos!$C$73*G54</f>
        <v>0</v>
      </c>
      <c r="H68" s="2" t="s">
        <v>1230</v>
      </c>
    </row>
    <row r="69" customFormat="false" ht="15" hidden="false" customHeight="false" outlineLevel="1" collapsed="false">
      <c r="A69" s="7" t="s">
        <v>675</v>
      </c>
      <c r="B69" s="8" t="s">
        <v>64</v>
      </c>
      <c r="C69" s="63" t="n">
        <f aca="false">Pressupostos!$C$287*(C52+C55)*(C58+C59-Pressupostos!$C$72)/365*Pressupostos!$C$281/Pressupostos!$C$31</f>
        <v>0</v>
      </c>
      <c r="D69" s="63" t="n">
        <f aca="false">Pressupostos!$D$287*(D52+D55)*(D58+D59-Pressupostos!$C$72)/365*Pressupostos!$D$281/Pressupostos!$C$31</f>
        <v>0.0736555772994129</v>
      </c>
      <c r="E69" s="63" t="n">
        <f aca="false">Pressupostos!$E$287*(E52+E55)*(E58+E59-Pressupostos!$C$72)/365*Pressupostos!$E$281/Pressupostos!$C$31</f>
        <v>0.0736555772994129</v>
      </c>
      <c r="F69" s="63" t="n">
        <f aca="false">Pressupostos!$F$287*(F52+F55)*(F58+F59-Pressupostos!$C$72)/365*Pressupostos!$F$281/Pressupostos!$C$31</f>
        <v>0.0736555772994129</v>
      </c>
      <c r="G69" s="63" t="n">
        <f aca="false">Pressupostos!$G$287*(G52+G55)*(G58+G59-Pressupostos!$C$72)/365*Pressupostos!$G$281/Pressupostos!$C$31</f>
        <v>0.0736555772994129</v>
      </c>
      <c r="H69" s="2" t="s">
        <v>1231</v>
      </c>
    </row>
    <row r="70" customFormat="false" ht="15" hidden="false" customHeight="false" outlineLevel="1" collapsed="false">
      <c r="A70" s="7" t="s">
        <v>676</v>
      </c>
      <c r="B70" s="8" t="s">
        <v>64</v>
      </c>
      <c r="C70" s="63" t="n">
        <f aca="false">C52+C55+C56+C57+C60+C61+C62+C63+C64+C65+C66+C67+C68+C69</f>
        <v>4.32311666666667</v>
      </c>
      <c r="D70" s="63" t="n">
        <f aca="false">D52+D55+D56+D57+D60+D61+D62+D63+D64+D65+D66+D67+D68+D69</f>
        <v>4.39677224396608</v>
      </c>
      <c r="E70" s="63" t="n">
        <f aca="false">E52+E55+E56+E57+E60+E61+E62+E63+E64+E65+E66+E67+E68+E69</f>
        <v>4.39677224396608</v>
      </c>
      <c r="F70" s="63" t="n">
        <f aca="false">F52+F55+F56+F57+F60+F61+F62+F63+F64+F65+F66+F67+F68+F69</f>
        <v>4.39677224396608</v>
      </c>
      <c r="G70" s="63" t="n">
        <f aca="false">G52+G55+G56+G57+G60+G61+G62+G63+G64+G65+G66+G67+G68+G69</f>
        <v>4.39677224396608</v>
      </c>
      <c r="H70" s="2" t="s">
        <v>1232</v>
      </c>
    </row>
    <row r="71" customFormat="false" ht="15" hidden="false" customHeight="false" outlineLevel="1" collapsed="false">
      <c r="A71" s="56" t="s">
        <v>677</v>
      </c>
      <c r="B71" s="57" t="s">
        <v>64</v>
      </c>
      <c r="C71" s="68" t="n">
        <f aca="false">C54-C70</f>
        <v>-0.123116666666666</v>
      </c>
      <c r="D71" s="68" t="n">
        <f aca="false">D54-D70</f>
        <v>-0.19677224396608</v>
      </c>
      <c r="E71" s="68" t="n">
        <f aca="false">E54-E70</f>
        <v>-0.19677224396608</v>
      </c>
      <c r="F71" s="68" t="n">
        <f aca="false">F54-F70</f>
        <v>-0.19677224396608</v>
      </c>
      <c r="G71" s="68" t="n">
        <f aca="false">G54-G70</f>
        <v>-0.19677224396608</v>
      </c>
      <c r="H71" s="2" t="s">
        <v>1233</v>
      </c>
    </row>
    <row r="72" customFormat="false" ht="15" hidden="false" customHeight="false" outlineLevel="1" collapsed="false">
      <c r="A72" s="7" t="s">
        <v>678</v>
      </c>
      <c r="B72" s="8" t="s">
        <v>76</v>
      </c>
      <c r="C72" s="59" t="n">
        <f aca="false">IF(C54&gt;0,C71/C54,0)</f>
        <v>-0.029313492063492</v>
      </c>
      <c r="D72" s="59" t="n">
        <f aca="false">IF(D54&gt;0,D71/D54,0)</f>
        <v>-0.046850534277638</v>
      </c>
      <c r="E72" s="59" t="n">
        <f aca="false">IF(E54&gt;0,E71/E54,0)</f>
        <v>-0.046850534277638</v>
      </c>
      <c r="F72" s="59" t="n">
        <f aca="false">IF(F54&gt;0,F71/F54,0)</f>
        <v>-0.046850534277638</v>
      </c>
      <c r="G72" s="59" t="n">
        <f aca="false">IF(G54&gt;0,G71/G54,0)</f>
        <v>-0.046850534277638</v>
      </c>
      <c r="H72" s="2" t="s">
        <v>1234</v>
      </c>
    </row>
    <row r="73" customFormat="false" ht="15" hidden="false" customHeight="false" outlineLevel="1" collapsed="false">
      <c r="A73" s="7" t="s">
        <v>679</v>
      </c>
      <c r="B73" s="8" t="s">
        <v>64</v>
      </c>
      <c r="C73" s="63" t="n">
        <f aca="false">(C52+C55)*(C58-Pressupostos!$C$72)/365+C54*C59/365</f>
        <v>0.689041095890411</v>
      </c>
      <c r="D73" s="63" t="n">
        <f aca="false">(D52+D55)*(D58-Pressupostos!$C$72)/365+D54*D59/365</f>
        <v>0.689041095890411</v>
      </c>
      <c r="E73" s="63" t="n">
        <f aca="false">(E52+E55)*(E58-Pressupostos!$C$72)/365+E54*E59/365</f>
        <v>0.689041095890411</v>
      </c>
      <c r="F73" s="63" t="n">
        <f aca="false">(F52+F55)*(F58-Pressupostos!$C$72)/365+F54*F59/365</f>
        <v>0.689041095890411</v>
      </c>
      <c r="G73" s="63" t="n">
        <f aca="false">(G52+G55)*(G58-Pressupostos!$C$72)/365+G54*G59/365</f>
        <v>0.689041095890411</v>
      </c>
      <c r="H73" s="2" t="s">
        <v>1235</v>
      </c>
    </row>
    <row r="74" customFormat="false" ht="15" hidden="false" customHeight="false" outlineLevel="0" collapsed="false">
      <c r="A74" s="3" t="s">
        <v>1236</v>
      </c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1" collapsed="false">
      <c r="A75" s="7" t="s">
        <v>669</v>
      </c>
      <c r="B75" s="8" t="s">
        <v>64</v>
      </c>
      <c r="C75" s="63" t="n">
        <f aca="false">Pressupostos!$C$10+Pressupostos!$C$13</f>
        <v>3.5</v>
      </c>
      <c r="D75" s="63" t="n">
        <f aca="false">Pressupostos!$C$10+Pressupostos!$C$13</f>
        <v>3.5</v>
      </c>
      <c r="E75" s="63" t="n">
        <f aca="false">Pressupostos!$C$10+Pressupostos!$C$13</f>
        <v>3.5</v>
      </c>
      <c r="F75" s="63" t="n">
        <f aca="false">Pressupostos!$C$10+Pressupostos!$C$13</f>
        <v>3.5</v>
      </c>
      <c r="G75" s="63" t="n">
        <f aca="false">Pressupostos!$C$10+Pressupostos!$C$13</f>
        <v>3.5</v>
      </c>
      <c r="H75" s="2" t="s">
        <v>1237</v>
      </c>
    </row>
    <row r="76" customFormat="false" ht="15" hidden="false" customHeight="false" outlineLevel="1" collapsed="false">
      <c r="A76" s="7" t="s">
        <v>670</v>
      </c>
      <c r="B76" s="8" t="s">
        <v>64</v>
      </c>
      <c r="C76" s="63" t="n">
        <f aca="false">Pressupostos!$C$10+Pressupostos!$C$52</f>
        <v>3.65</v>
      </c>
      <c r="D76" s="63" t="n">
        <f aca="false">Pressupostos!$C$10+Pressupostos!$C$52</f>
        <v>3.65</v>
      </c>
      <c r="E76" s="63" t="n">
        <f aca="false">Pressupostos!$C$10+Pressupostos!$C$52</f>
        <v>3.65</v>
      </c>
      <c r="F76" s="63" t="n">
        <f aca="false">Pressupostos!$C$10+Pressupostos!$C$52</f>
        <v>3.65</v>
      </c>
      <c r="G76" s="63" t="n">
        <f aca="false">Pressupostos!$C$10+Pressupostos!$C$52</f>
        <v>3.65</v>
      </c>
      <c r="H76" s="2" t="s">
        <v>1238</v>
      </c>
    </row>
    <row r="77" customFormat="false" ht="15" hidden="false" customHeight="false" outlineLevel="1" collapsed="false">
      <c r="A77" s="56" t="s">
        <v>671</v>
      </c>
      <c r="B77" s="57" t="s">
        <v>64</v>
      </c>
      <c r="C77" s="68" t="n">
        <f aca="false">C76*(1-Pressupostos!$C$53)</f>
        <v>3.65</v>
      </c>
      <c r="D77" s="68" t="n">
        <f aca="false">D76*(1-Pressupostos!$C$53)</f>
        <v>3.65</v>
      </c>
      <c r="E77" s="68" t="n">
        <f aca="false">E76*(1-Pressupostos!$C$53)</f>
        <v>3.65</v>
      </c>
      <c r="F77" s="68" t="n">
        <f aca="false">F76*(1-Pressupostos!$C$53)</f>
        <v>3.65</v>
      </c>
      <c r="G77" s="68" t="n">
        <f aca="false">G76*(1-Pressupostos!$C$53)</f>
        <v>3.65</v>
      </c>
      <c r="H77" s="2" t="s">
        <v>1239</v>
      </c>
    </row>
    <row r="78" customFormat="false" ht="15" hidden="false" customHeight="false" outlineLevel="1" collapsed="false">
      <c r="A78" s="7" t="s">
        <v>144</v>
      </c>
      <c r="B78" s="8" t="s">
        <v>64</v>
      </c>
      <c r="C78" s="67" t="n">
        <f aca="false">Pressupostos!$C$54</f>
        <v>0</v>
      </c>
      <c r="D78" s="67" t="n">
        <f aca="false">Pressupostos!$C$54</f>
        <v>0</v>
      </c>
      <c r="E78" s="67" t="n">
        <f aca="false">Pressupostos!$C$54</f>
        <v>0</v>
      </c>
      <c r="F78" s="67" t="n">
        <f aca="false">Pressupostos!$C$54</f>
        <v>0</v>
      </c>
      <c r="G78" s="67" t="n">
        <f aca="false">Pressupostos!$C$54</f>
        <v>0</v>
      </c>
      <c r="H78" s="2" t="s">
        <v>1240</v>
      </c>
    </row>
    <row r="79" customFormat="false" ht="15" hidden="false" customHeight="false" outlineLevel="1" collapsed="false">
      <c r="A79" s="7" t="s">
        <v>215</v>
      </c>
      <c r="B79" s="8" t="s">
        <v>64</v>
      </c>
      <c r="C79" s="67" t="n">
        <f aca="false">Pressupostos!$C$55</f>
        <v>0.04</v>
      </c>
      <c r="D79" s="67" t="n">
        <f aca="false">Pressupostos!$C$55</f>
        <v>0.04</v>
      </c>
      <c r="E79" s="67" t="n">
        <f aca="false">Pressupostos!$C$55</f>
        <v>0.04</v>
      </c>
      <c r="F79" s="67" t="n">
        <f aca="false">Pressupostos!$C$55</f>
        <v>0.04</v>
      </c>
      <c r="G79" s="67" t="n">
        <f aca="false">Pressupostos!$C$55</f>
        <v>0.04</v>
      </c>
      <c r="H79" s="2" t="s">
        <v>1241</v>
      </c>
    </row>
    <row r="80" customFormat="false" ht="15" hidden="false" customHeight="false" outlineLevel="1" collapsed="false">
      <c r="A80" s="7" t="s">
        <v>117</v>
      </c>
      <c r="B80" s="8" t="s">
        <v>64</v>
      </c>
      <c r="C80" s="67" t="n">
        <f aca="false">Pressupostos!$C$56</f>
        <v>0</v>
      </c>
      <c r="D80" s="67" t="n">
        <f aca="false">Pressupostos!$C$56</f>
        <v>0</v>
      </c>
      <c r="E80" s="67" t="n">
        <f aca="false">Pressupostos!$C$56</f>
        <v>0</v>
      </c>
      <c r="F80" s="67" t="n">
        <f aca="false">Pressupostos!$C$56</f>
        <v>0</v>
      </c>
      <c r="G80" s="67" t="n">
        <f aca="false">Pressupostos!$C$56</f>
        <v>0</v>
      </c>
      <c r="H80" s="2" t="s">
        <v>1242</v>
      </c>
    </row>
    <row r="81" customFormat="false" ht="15" hidden="false" customHeight="false" outlineLevel="1" collapsed="false">
      <c r="A81" s="7" t="s">
        <v>91</v>
      </c>
      <c r="B81" s="8" t="s">
        <v>79</v>
      </c>
      <c r="C81" s="69" t="n">
        <f aca="false">Pressupostos!$C$57</f>
        <v>15</v>
      </c>
      <c r="D81" s="69" t="n">
        <f aca="false">Pressupostos!$C$57</f>
        <v>15</v>
      </c>
      <c r="E81" s="69" t="n">
        <f aca="false">Pressupostos!$C$57</f>
        <v>15</v>
      </c>
      <c r="F81" s="69" t="n">
        <f aca="false">Pressupostos!$C$57</f>
        <v>15</v>
      </c>
      <c r="G81" s="69" t="n">
        <f aca="false">Pressupostos!$C$57</f>
        <v>15</v>
      </c>
      <c r="H81" s="2" t="s">
        <v>1243</v>
      </c>
    </row>
    <row r="82" customFormat="false" ht="15" hidden="false" customHeight="false" outlineLevel="1" collapsed="false">
      <c r="A82" s="7" t="s">
        <v>78</v>
      </c>
      <c r="B82" s="8" t="s">
        <v>79</v>
      </c>
      <c r="C82" s="69" t="n">
        <f aca="false">Pressupostos!$C$58</f>
        <v>45</v>
      </c>
      <c r="D82" s="69" t="n">
        <f aca="false">Pressupostos!$C$58</f>
        <v>45</v>
      </c>
      <c r="E82" s="69" t="n">
        <f aca="false">Pressupostos!$C$58</f>
        <v>45</v>
      </c>
      <c r="F82" s="69" t="n">
        <f aca="false">Pressupostos!$C$58</f>
        <v>45</v>
      </c>
      <c r="G82" s="69" t="n">
        <f aca="false">Pressupostos!$C$58</f>
        <v>45</v>
      </c>
      <c r="H82" s="2" t="s">
        <v>1244</v>
      </c>
    </row>
    <row r="83" customFormat="false" ht="15" hidden="false" customHeight="false" outlineLevel="1" collapsed="false">
      <c r="A83" s="7" t="s">
        <v>490</v>
      </c>
      <c r="B83" s="8" t="s">
        <v>64</v>
      </c>
      <c r="C83" s="63" t="n">
        <f aca="false">Pressupostos!$C$66*C81/30/1000</f>
        <v>0.002</v>
      </c>
      <c r="D83" s="63" t="n">
        <f aca="false">Pressupostos!$C$66*D81/30/1000</f>
        <v>0.002</v>
      </c>
      <c r="E83" s="63" t="n">
        <f aca="false">Pressupostos!$C$66*E81/30/1000</f>
        <v>0.002</v>
      </c>
      <c r="F83" s="63" t="n">
        <f aca="false">Pressupostos!$C$66*F81/30/1000</f>
        <v>0.002</v>
      </c>
      <c r="G83" s="63" t="n">
        <f aca="false">Pressupostos!$C$66*G81/30/1000</f>
        <v>0.002</v>
      </c>
      <c r="H83" s="2" t="s">
        <v>1245</v>
      </c>
    </row>
    <row r="84" customFormat="false" ht="15" hidden="false" customHeight="false" outlineLevel="1" collapsed="false">
      <c r="A84" s="7" t="s">
        <v>165</v>
      </c>
      <c r="B84" s="8" t="s">
        <v>64</v>
      </c>
      <c r="C84" s="63" t="n">
        <f aca="false">C75*Pressupostos!$C$67*C81/365</f>
        <v>0.000287671232876712</v>
      </c>
      <c r="D84" s="63" t="n">
        <f aca="false">D75*Pressupostos!$C$67*D81/365</f>
        <v>0.000287671232876712</v>
      </c>
      <c r="E84" s="63" t="n">
        <f aca="false">E75*Pressupostos!$C$67*E81/365</f>
        <v>0.000287671232876712</v>
      </c>
      <c r="F84" s="63" t="n">
        <f aca="false">F75*Pressupostos!$C$67*F81/365</f>
        <v>0.000287671232876712</v>
      </c>
      <c r="G84" s="63" t="n">
        <f aca="false">G75*Pressupostos!$C$67*G81/365</f>
        <v>0.000287671232876712</v>
      </c>
      <c r="H84" s="2" t="s">
        <v>1246</v>
      </c>
    </row>
    <row r="85" customFormat="false" ht="15" hidden="false" customHeight="false" outlineLevel="1" collapsed="false">
      <c r="A85" s="7" t="s">
        <v>672</v>
      </c>
      <c r="B85" s="8" t="s">
        <v>64</v>
      </c>
      <c r="C85" s="63" t="n">
        <f aca="false">Pressupostos!$C$60*Pressupostos!$C$68/(Pressupostos!$C$59*1000)</f>
        <v>0.006</v>
      </c>
      <c r="D85" s="63" t="n">
        <f aca="false">Pressupostos!$C$60*Pressupostos!$C$68/(Pressupostos!$C$59*1000)</f>
        <v>0.006</v>
      </c>
      <c r="E85" s="63" t="n">
        <f aca="false">Pressupostos!$C$60*Pressupostos!$C$68/(Pressupostos!$C$59*1000)</f>
        <v>0.006</v>
      </c>
      <c r="F85" s="63" t="n">
        <f aca="false">Pressupostos!$C$60*Pressupostos!$C$68/(Pressupostos!$C$59*1000)</f>
        <v>0.006</v>
      </c>
      <c r="G85" s="63" t="n">
        <f aca="false">Pressupostos!$C$60*Pressupostos!$C$68/(Pressupostos!$C$59*1000)</f>
        <v>0.006</v>
      </c>
      <c r="H85" s="2" t="s">
        <v>1247</v>
      </c>
    </row>
    <row r="86" customFormat="false" ht="15" hidden="false" customHeight="false" outlineLevel="1" collapsed="false">
      <c r="A86" s="7" t="s">
        <v>492</v>
      </c>
      <c r="B86" s="8" t="s">
        <v>64</v>
      </c>
      <c r="C86" s="63" t="n">
        <f aca="false">Pressupostos!$C$69*C75</f>
        <v>0.0175</v>
      </c>
      <c r="D86" s="63" t="n">
        <f aca="false">Pressupostos!$C$69*D75</f>
        <v>0.0175</v>
      </c>
      <c r="E86" s="63" t="n">
        <f aca="false">Pressupostos!$C$69*E75</f>
        <v>0.0175</v>
      </c>
      <c r="F86" s="63" t="n">
        <f aca="false">Pressupostos!$C$69*F75</f>
        <v>0.0175</v>
      </c>
      <c r="G86" s="63" t="n">
        <f aca="false">Pressupostos!$C$69*G75</f>
        <v>0.0175</v>
      </c>
      <c r="H86" s="2" t="s">
        <v>1248</v>
      </c>
    </row>
    <row r="87" customFormat="false" ht="15" hidden="false" customHeight="false" outlineLevel="1" collapsed="false">
      <c r="A87" s="7" t="s">
        <v>493</v>
      </c>
      <c r="B87" s="8" t="s">
        <v>64</v>
      </c>
      <c r="C87" s="63" t="n">
        <f aca="false">Pressupostos!$C$70*Pressupostos!$C$71*C81/90</f>
        <v>0.0015</v>
      </c>
      <c r="D87" s="63" t="n">
        <f aca="false">Pressupostos!$C$70*Pressupostos!$C$71*D81/90</f>
        <v>0.0015</v>
      </c>
      <c r="E87" s="63" t="n">
        <f aca="false">Pressupostos!$C$70*Pressupostos!$C$71*E81/90</f>
        <v>0.0015</v>
      </c>
      <c r="F87" s="63" t="n">
        <f aca="false">Pressupostos!$C$70*Pressupostos!$C$71*F81/90</f>
        <v>0.0015</v>
      </c>
      <c r="G87" s="63" t="n">
        <f aca="false">Pressupostos!$C$70*Pressupostos!$C$71*G81/90</f>
        <v>0.0015</v>
      </c>
      <c r="H87" s="2" t="s">
        <v>1249</v>
      </c>
    </row>
    <row r="88" customFormat="false" ht="15" hidden="false" customHeight="false" outlineLevel="1" collapsed="false">
      <c r="A88" s="7" t="s">
        <v>673</v>
      </c>
      <c r="B88" s="8" t="s">
        <v>64</v>
      </c>
      <c r="C88" s="63" t="n">
        <f aca="false">Pressupostos!$C$61/(Pressupostos!$C$59*1000)</f>
        <v>0.012</v>
      </c>
      <c r="D88" s="63" t="n">
        <f aca="false">Pressupostos!$C$61/(Pressupostos!$C$59*1000)</f>
        <v>0.012</v>
      </c>
      <c r="E88" s="63" t="n">
        <f aca="false">Pressupostos!$C$61/(Pressupostos!$C$59*1000)</f>
        <v>0.012</v>
      </c>
      <c r="F88" s="63" t="n">
        <f aca="false">Pressupostos!$C$61/(Pressupostos!$C$59*1000)</f>
        <v>0.012</v>
      </c>
      <c r="G88" s="63" t="n">
        <f aca="false">Pressupostos!$C$61/(Pressupostos!$C$59*1000)</f>
        <v>0.012</v>
      </c>
      <c r="H88" s="2" t="s">
        <v>1250</v>
      </c>
    </row>
    <row r="89" customFormat="false" ht="15" hidden="false" customHeight="false" outlineLevel="1" collapsed="false">
      <c r="A89" s="7" t="s">
        <v>139</v>
      </c>
      <c r="B89" s="8" t="s">
        <v>64</v>
      </c>
      <c r="C89" s="67" t="n">
        <f aca="false">Pressupostos!$C$62</f>
        <v>0.001</v>
      </c>
      <c r="D89" s="67" t="n">
        <f aca="false">Pressupostos!$C$62</f>
        <v>0.001</v>
      </c>
      <c r="E89" s="67" t="n">
        <f aca="false">Pressupostos!$C$62</f>
        <v>0.001</v>
      </c>
      <c r="F89" s="67" t="n">
        <f aca="false">Pressupostos!$C$62</f>
        <v>0.001</v>
      </c>
      <c r="G89" s="67" t="n">
        <f aca="false">Pressupostos!$C$62</f>
        <v>0.001</v>
      </c>
      <c r="H89" s="2" t="s">
        <v>1251</v>
      </c>
    </row>
    <row r="90" customFormat="false" ht="15" hidden="false" customHeight="false" outlineLevel="1" collapsed="false">
      <c r="A90" s="7" t="s">
        <v>81</v>
      </c>
      <c r="B90" s="8" t="s">
        <v>64</v>
      </c>
      <c r="C90" s="63" t="n">
        <f aca="false">Pressupostos!$C$63*C77</f>
        <v>0.01095</v>
      </c>
      <c r="D90" s="63" t="n">
        <f aca="false">Pressupostos!$C$63*D77</f>
        <v>0.01095</v>
      </c>
      <c r="E90" s="63" t="n">
        <f aca="false">Pressupostos!$C$63*E77</f>
        <v>0.01095</v>
      </c>
      <c r="F90" s="63" t="n">
        <f aca="false">Pressupostos!$C$63*F77</f>
        <v>0.01095</v>
      </c>
      <c r="G90" s="63" t="n">
        <f aca="false">Pressupostos!$C$63*G77</f>
        <v>0.01095</v>
      </c>
      <c r="H90" s="2" t="s">
        <v>1252</v>
      </c>
    </row>
    <row r="91" customFormat="false" ht="15" hidden="false" customHeight="false" outlineLevel="1" collapsed="false">
      <c r="A91" s="7" t="s">
        <v>674</v>
      </c>
      <c r="B91" s="8" t="s">
        <v>64</v>
      </c>
      <c r="C91" s="63" t="n">
        <f aca="false">Pressupostos!$C$73*C77</f>
        <v>0</v>
      </c>
      <c r="D91" s="63" t="n">
        <f aca="false">Pressupostos!$C$73*D77</f>
        <v>0</v>
      </c>
      <c r="E91" s="63" t="n">
        <f aca="false">Pressupostos!$C$73*E77</f>
        <v>0</v>
      </c>
      <c r="F91" s="63" t="n">
        <f aca="false">Pressupostos!$C$73*F77</f>
        <v>0</v>
      </c>
      <c r="G91" s="63" t="n">
        <f aca="false">Pressupostos!$C$73*G77</f>
        <v>0</v>
      </c>
      <c r="H91" s="2" t="s">
        <v>1253</v>
      </c>
    </row>
    <row r="92" customFormat="false" ht="15" hidden="false" customHeight="false" outlineLevel="1" collapsed="false">
      <c r="A92" s="7" t="s">
        <v>675</v>
      </c>
      <c r="B92" s="8" t="s">
        <v>64</v>
      </c>
      <c r="C92" s="63" t="n">
        <f aca="false">Pressupostos!$C$287*(C75+C78)*(C81+C82-Pressupostos!$C$72)/365*Pressupostos!$C$281/Pressupostos!$C$31</f>
        <v>0</v>
      </c>
      <c r="D92" s="63" t="n">
        <f aca="false">Pressupostos!$D$287*(D75+D78)*(D81+D82-Pressupostos!$C$72)/365*Pressupostos!$D$281/Pressupostos!$C$31</f>
        <v>0.0314383561643836</v>
      </c>
      <c r="E92" s="63" t="n">
        <f aca="false">Pressupostos!$E$287*(E75+E78)*(E81+E82-Pressupostos!$C$72)/365*Pressupostos!$E$281/Pressupostos!$C$31</f>
        <v>0.0314383561643836</v>
      </c>
      <c r="F92" s="63" t="n">
        <f aca="false">Pressupostos!$F$287*(F75+F78)*(F81+F82-Pressupostos!$C$72)/365*Pressupostos!$F$281/Pressupostos!$C$31</f>
        <v>0.0314383561643836</v>
      </c>
      <c r="G92" s="63" t="n">
        <f aca="false">Pressupostos!$G$287*(G75+G78)*(G81+G82-Pressupostos!$C$72)/365*Pressupostos!$G$281/Pressupostos!$C$31</f>
        <v>0.0314383561643836</v>
      </c>
      <c r="H92" s="2" t="s">
        <v>1254</v>
      </c>
    </row>
    <row r="93" customFormat="false" ht="15" hidden="false" customHeight="false" outlineLevel="1" collapsed="false">
      <c r="A93" s="7" t="s">
        <v>676</v>
      </c>
      <c r="B93" s="8" t="s">
        <v>64</v>
      </c>
      <c r="C93" s="63" t="n">
        <f aca="false">C75+C78+C79+C80+C83+C84+C85+C86+C87+C88+C89+C90+C91+C92</f>
        <v>3.59123767123288</v>
      </c>
      <c r="D93" s="63" t="n">
        <f aca="false">D75+D78+D79+D80+D83+D84+D85+D86+D87+D88+D89+D90+D91+D92</f>
        <v>3.62267602739726</v>
      </c>
      <c r="E93" s="63" t="n">
        <f aca="false">E75+E78+E79+E80+E83+E84+E85+E86+E87+E88+E89+E90+E91+E92</f>
        <v>3.62267602739726</v>
      </c>
      <c r="F93" s="63" t="n">
        <f aca="false">F75+F78+F79+F80+F83+F84+F85+F86+F87+F88+F89+F90+F91+F92</f>
        <v>3.62267602739726</v>
      </c>
      <c r="G93" s="63" t="n">
        <f aca="false">G75+G78+G79+G80+G83+G84+G85+G86+G87+G88+G89+G90+G91+G92</f>
        <v>3.62267602739726</v>
      </c>
      <c r="H93" s="2" t="s">
        <v>1255</v>
      </c>
    </row>
    <row r="94" customFormat="false" ht="15" hidden="false" customHeight="false" outlineLevel="1" collapsed="false">
      <c r="A94" s="56" t="s">
        <v>677</v>
      </c>
      <c r="B94" s="57" t="s">
        <v>64</v>
      </c>
      <c r="C94" s="68" t="n">
        <f aca="false">C77-C93</f>
        <v>0.058762328767124</v>
      </c>
      <c r="D94" s="68" t="n">
        <f aca="false">D77-D93</f>
        <v>0.0273239726027406</v>
      </c>
      <c r="E94" s="68" t="n">
        <f aca="false">E77-E93</f>
        <v>0.0273239726027406</v>
      </c>
      <c r="F94" s="68" t="n">
        <f aca="false">F77-F93</f>
        <v>0.0273239726027406</v>
      </c>
      <c r="G94" s="68" t="n">
        <f aca="false">G77-G93</f>
        <v>0.0273239726027406</v>
      </c>
      <c r="H94" s="2" t="s">
        <v>1256</v>
      </c>
    </row>
    <row r="95" customFormat="false" ht="15" hidden="false" customHeight="false" outlineLevel="1" collapsed="false">
      <c r="A95" s="7" t="s">
        <v>678</v>
      </c>
      <c r="B95" s="8" t="s">
        <v>76</v>
      </c>
      <c r="C95" s="59" t="n">
        <f aca="false">IF(C77&gt;0,C94/C77,0)</f>
        <v>0.0160992681553764</v>
      </c>
      <c r="D95" s="59" t="n">
        <f aca="false">IF(D77&gt;0,D94/D77,0)</f>
        <v>0.0074860198911618</v>
      </c>
      <c r="E95" s="59" t="n">
        <f aca="false">IF(E77&gt;0,E94/E77,0)</f>
        <v>0.0074860198911618</v>
      </c>
      <c r="F95" s="59" t="n">
        <f aca="false">IF(F77&gt;0,F94/F77,0)</f>
        <v>0.0074860198911618</v>
      </c>
      <c r="G95" s="59" t="n">
        <f aca="false">IF(G77&gt;0,G94/G77,0)</f>
        <v>0.0074860198911618</v>
      </c>
      <c r="H95" s="2" t="s">
        <v>1257</v>
      </c>
    </row>
    <row r="96" customFormat="false" ht="15" hidden="false" customHeight="false" outlineLevel="1" collapsed="false">
      <c r="A96" s="7" t="s">
        <v>679</v>
      </c>
      <c r="B96" s="8" t="s">
        <v>64</v>
      </c>
      <c r="C96" s="63" t="n">
        <f aca="false">(C75+C78)*(C81-Pressupostos!$C$72)/365+C77*C82/365</f>
        <v>0.306164383561644</v>
      </c>
      <c r="D96" s="63" t="n">
        <f aca="false">(D75+D78)*(D81-Pressupostos!$C$72)/365+D77*D82/365</f>
        <v>0.306164383561644</v>
      </c>
      <c r="E96" s="63" t="n">
        <f aca="false">(E75+E78)*(E81-Pressupostos!$C$72)/365+E77*E82/365</f>
        <v>0.306164383561644</v>
      </c>
      <c r="F96" s="63" t="n">
        <f aca="false">(F75+F78)*(F81-Pressupostos!$C$72)/365+F77*F82/365</f>
        <v>0.306164383561644</v>
      </c>
      <c r="G96" s="63" t="n">
        <f aca="false">(G75+G78)*(G81-Pressupostos!$C$72)/365+G77*G82/365</f>
        <v>0.306164383561644</v>
      </c>
      <c r="H96" s="2" t="s">
        <v>1258</v>
      </c>
    </row>
    <row r="97" customFormat="false" ht="15" hidden="false" customHeight="false" outlineLevel="0" collapsed="false">
      <c r="A97" s="3" t="s">
        <v>1259</v>
      </c>
      <c r="B97" s="4"/>
      <c r="C97" s="4"/>
      <c r="D97" s="4"/>
      <c r="E97" s="4"/>
      <c r="F97" s="4"/>
      <c r="G97" s="4"/>
      <c r="H97" s="4"/>
    </row>
    <row r="98" customFormat="false" ht="15" hidden="false" customHeight="false" outlineLevel="1" collapsed="false">
      <c r="A98" s="7" t="s">
        <v>683</v>
      </c>
      <c r="B98" s="8" t="s">
        <v>64</v>
      </c>
      <c r="C98" s="63" t="n">
        <f aca="false">Pressupostos!$C$64*Pressupostos!$C$10</f>
        <v>0.02625</v>
      </c>
      <c r="D98" s="63" t="n">
        <f aca="false">Pressupostos!$C$64*Pressupostos!$C$10</f>
        <v>0.02625</v>
      </c>
      <c r="E98" s="63" t="n">
        <f aca="false">Pressupostos!$C$64*Pressupostos!$C$10</f>
        <v>0.02625</v>
      </c>
      <c r="F98" s="63" t="n">
        <f aca="false">Pressupostos!$C$64*Pressupostos!$C$10</f>
        <v>0.02625</v>
      </c>
      <c r="G98" s="63" t="n">
        <f aca="false">Pressupostos!$C$64*Pressupostos!$C$10</f>
        <v>0.02625</v>
      </c>
      <c r="H98" s="2" t="s">
        <v>1260</v>
      </c>
    </row>
    <row r="99" customFormat="false" ht="15" hidden="false" customHeight="false" outlineLevel="1" collapsed="false">
      <c r="A99" s="7" t="s">
        <v>684</v>
      </c>
      <c r="B99" s="8" t="s">
        <v>64</v>
      </c>
      <c r="C99" s="63" t="n">
        <f aca="false">C88+C85+C89</f>
        <v>0.019</v>
      </c>
      <c r="D99" s="63" t="n">
        <f aca="false">D88+D85+D89</f>
        <v>0.019</v>
      </c>
      <c r="E99" s="63" t="n">
        <f aca="false">E88+E85+E89</f>
        <v>0.019</v>
      </c>
      <c r="F99" s="63" t="n">
        <f aca="false">F88+F85+F89</f>
        <v>0.019</v>
      </c>
      <c r="G99" s="63" t="n">
        <f aca="false">G88+G85+G89</f>
        <v>0.019</v>
      </c>
      <c r="H99" s="2" t="s">
        <v>1261</v>
      </c>
    </row>
    <row r="100" customFormat="false" ht="15" hidden="false" customHeight="false" outlineLevel="1" collapsed="false">
      <c r="A100" s="56" t="s">
        <v>561</v>
      </c>
      <c r="B100" s="57" t="s">
        <v>64</v>
      </c>
      <c r="C100" s="68" t="n">
        <f aca="false">C98-C99</f>
        <v>0.00725</v>
      </c>
      <c r="D100" s="68" t="n">
        <f aca="false">D98-D99</f>
        <v>0.00725</v>
      </c>
      <c r="E100" s="68" t="n">
        <f aca="false">E98-E99</f>
        <v>0.00725</v>
      </c>
      <c r="F100" s="68" t="n">
        <f aca="false">F98-F99</f>
        <v>0.00725</v>
      </c>
      <c r="G100" s="68" t="n">
        <f aca="false">G98-G99</f>
        <v>0.00725</v>
      </c>
      <c r="H100" s="2" t="s">
        <v>1262</v>
      </c>
    </row>
    <row r="101" customFormat="false" ht="15" hidden="false" customHeight="false" outlineLevel="0" collapsed="false">
      <c r="A101" s="3" t="s">
        <v>1263</v>
      </c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1" collapsed="false">
      <c r="A102" s="7" t="s">
        <v>608</v>
      </c>
      <c r="B102" s="8" t="s">
        <v>11</v>
      </c>
      <c r="C102" s="61" t="n">
        <f aca="false">C11*1000*C31</f>
        <v>29160</v>
      </c>
      <c r="D102" s="61" t="n">
        <f aca="false">D11*1000*D31</f>
        <v>102060</v>
      </c>
      <c r="E102" s="61" t="n">
        <f aca="false">E11*1000*E31</f>
        <v>247860</v>
      </c>
      <c r="F102" s="61" t="n">
        <f aca="false">F11*1000*F31</f>
        <v>398520</v>
      </c>
      <c r="G102" s="61" t="n">
        <f aca="false">G11*1000*G31</f>
        <v>500580</v>
      </c>
      <c r="H102" s="2" t="s">
        <v>1264</v>
      </c>
    </row>
    <row r="103" customFormat="false" ht="15" hidden="false" customHeight="false" outlineLevel="1" collapsed="false">
      <c r="A103" s="7" t="s">
        <v>609</v>
      </c>
      <c r="B103" s="8" t="s">
        <v>11</v>
      </c>
      <c r="C103" s="61" t="n">
        <f aca="false">C12*1000*C54</f>
        <v>142800</v>
      </c>
      <c r="D103" s="61" t="n">
        <f aca="false">D12*1000*D54</f>
        <v>541800</v>
      </c>
      <c r="E103" s="61" t="n">
        <f aca="false">E12*1000*E54</f>
        <v>1045800</v>
      </c>
      <c r="F103" s="61" t="n">
        <f aca="false">F12*1000*F54</f>
        <v>1545600</v>
      </c>
      <c r="G103" s="61" t="n">
        <f aca="false">G12*1000*G54</f>
        <v>2087400</v>
      </c>
      <c r="H103" s="2" t="s">
        <v>1265</v>
      </c>
    </row>
    <row r="104" customFormat="false" ht="15" hidden="false" customHeight="false" outlineLevel="1" collapsed="false">
      <c r="A104" s="7" t="s">
        <v>610</v>
      </c>
      <c r="B104" s="8" t="s">
        <v>11</v>
      </c>
      <c r="C104" s="61" t="n">
        <f aca="false">C14*1000*C77</f>
        <v>0</v>
      </c>
      <c r="D104" s="61" t="n">
        <f aca="false">D14*1000*D77</f>
        <v>0</v>
      </c>
      <c r="E104" s="61" t="n">
        <f aca="false">E14*1000*E77</f>
        <v>0</v>
      </c>
      <c r="F104" s="61" t="n">
        <f aca="false">F14*1000*F77</f>
        <v>0</v>
      </c>
      <c r="G104" s="61" t="n">
        <f aca="false">G14*1000*G77</f>
        <v>0</v>
      </c>
      <c r="H104" s="2" t="s">
        <v>1266</v>
      </c>
    </row>
    <row r="105" customFormat="false" ht="15" hidden="false" customHeight="false" outlineLevel="1" collapsed="false">
      <c r="A105" s="7" t="s">
        <v>611</v>
      </c>
      <c r="B105" s="8" t="s">
        <v>11</v>
      </c>
      <c r="C105" s="61" t="n">
        <f aca="false">C102+C103+C104</f>
        <v>171960</v>
      </c>
      <c r="D105" s="61" t="n">
        <f aca="false">D102+D103+D104</f>
        <v>643860</v>
      </c>
      <c r="E105" s="61" t="n">
        <f aca="false">E102+E103+E104</f>
        <v>1293660</v>
      </c>
      <c r="F105" s="61" t="n">
        <f aca="false">F102+F103+F104</f>
        <v>1944120</v>
      </c>
      <c r="G105" s="61" t="n">
        <f aca="false">G102+G103+G104</f>
        <v>2587980</v>
      </c>
      <c r="H105" s="2" t="s">
        <v>1267</v>
      </c>
    </row>
    <row r="106" customFormat="false" ht="15" hidden="false" customHeight="false" outlineLevel="1" collapsed="false">
      <c r="A106" s="7" t="s">
        <v>612</v>
      </c>
      <c r="B106" s="8" t="s">
        <v>11</v>
      </c>
      <c r="C106" s="61" t="n">
        <f aca="false">C24*1000*Pressupostos!$C$93</f>
        <v>0</v>
      </c>
      <c r="D106" s="61" t="n">
        <f aca="false">D24*1000*Pressupostos!$C$93</f>
        <v>0</v>
      </c>
      <c r="E106" s="61" t="n">
        <f aca="false">E24*1000*Pressupostos!$C$93</f>
        <v>78500</v>
      </c>
      <c r="F106" s="61" t="n">
        <f aca="false">F24*1000*Pressupostos!$C$93</f>
        <v>157000</v>
      </c>
      <c r="G106" s="61" t="n">
        <f aca="false">G24*1000*Pressupostos!$C$93</f>
        <v>235500</v>
      </c>
      <c r="H106" s="2" t="s">
        <v>1268</v>
      </c>
    </row>
    <row r="107" customFormat="false" ht="15" hidden="false" customHeight="false" outlineLevel="1" collapsed="false">
      <c r="A107" s="2" t="s">
        <v>613</v>
      </c>
      <c r="B107" s="8" t="s">
        <v>11</v>
      </c>
      <c r="C107" s="61" t="n">
        <f aca="false">C22*Pressupostos!$C$80*(1-Pressupostos!$C$81)</f>
        <v>16200</v>
      </c>
      <c r="D107" s="61" t="n">
        <f aca="false">D22*Pressupostos!$C$80*(1-Pressupostos!$C$81)</f>
        <v>0</v>
      </c>
      <c r="E107" s="61" t="n">
        <f aca="false">E22*Pressupostos!$C$80*(1-Pressupostos!$C$81)</f>
        <v>0</v>
      </c>
      <c r="F107" s="61" t="n">
        <f aca="false">F22*Pressupostos!$C$80*(1-Pressupostos!$C$81)</f>
        <v>0</v>
      </c>
      <c r="G107" s="61" t="n">
        <f aca="false">G22*Pressupostos!$C$80*(1-Pressupostos!$C$81)</f>
        <v>0</v>
      </c>
      <c r="H107" s="2" t="s">
        <v>1269</v>
      </c>
    </row>
    <row r="108" customFormat="false" ht="15" hidden="false" customHeight="false" outlineLevel="1" collapsed="false">
      <c r="A108" s="7" t="s">
        <v>614</v>
      </c>
      <c r="B108" s="8" t="s">
        <v>11</v>
      </c>
      <c r="C108" s="61" t="n">
        <f aca="false">C107*Pressupostos!$C$27</f>
        <v>162</v>
      </c>
      <c r="D108" s="61" t="n">
        <f aca="false">D107*Pressupostos!$C$27</f>
        <v>0</v>
      </c>
      <c r="E108" s="61" t="n">
        <f aca="false">E107*Pressupostos!$C$27</f>
        <v>0</v>
      </c>
      <c r="F108" s="61" t="n">
        <f aca="false">F107*Pressupostos!$C$27</f>
        <v>0</v>
      </c>
      <c r="G108" s="61" t="n">
        <f aca="false">G107*Pressupostos!$C$27</f>
        <v>0</v>
      </c>
      <c r="H108" s="2" t="s">
        <v>1270</v>
      </c>
    </row>
    <row r="109" customFormat="false" ht="15" hidden="false" customHeight="false" outlineLevel="1" collapsed="false">
      <c r="A109" s="7" t="s">
        <v>615</v>
      </c>
      <c r="B109" s="8" t="s">
        <v>11</v>
      </c>
      <c r="C109" s="61" t="n">
        <f aca="false">C15*1000*C98</f>
        <v>0</v>
      </c>
      <c r="D109" s="61" t="n">
        <f aca="false">D15*1000*D98</f>
        <v>0</v>
      </c>
      <c r="E109" s="61" t="n">
        <f aca="false">E15*1000*E98</f>
        <v>0</v>
      </c>
      <c r="F109" s="61" t="n">
        <f aca="false">F15*1000*F98</f>
        <v>0</v>
      </c>
      <c r="G109" s="61" t="n">
        <f aca="false">G15*1000*G98</f>
        <v>0</v>
      </c>
      <c r="H109" s="2" t="s">
        <v>1271</v>
      </c>
    </row>
    <row r="110" customFormat="false" ht="15" hidden="false" customHeight="false" outlineLevel="1" collapsed="false">
      <c r="A110" s="7" t="s">
        <v>616</v>
      </c>
      <c r="B110" s="8" t="s">
        <v>11</v>
      </c>
      <c r="C110" s="61" t="n">
        <f aca="false">C26*(Pressupostos!$C$101*Pressupostos!$C$102+Pressupostos!$C$103)</f>
        <v>0</v>
      </c>
      <c r="D110" s="61" t="n">
        <f aca="false">D26*(Pressupostos!$C$101*Pressupostos!$C$102+Pressupostos!$C$103)</f>
        <v>0</v>
      </c>
      <c r="E110" s="61" t="n">
        <f aca="false">E26*(Pressupostos!$C$101*Pressupostos!$C$102+Pressupostos!$C$103)</f>
        <v>0</v>
      </c>
      <c r="F110" s="61" t="n">
        <f aca="false">F26*(Pressupostos!$C$101*Pressupostos!$C$102+Pressupostos!$C$103)</f>
        <v>10000</v>
      </c>
      <c r="G110" s="61" t="n">
        <f aca="false">G26*(Pressupostos!$C$101*Pressupostos!$C$102+Pressupostos!$C$103)</f>
        <v>20000</v>
      </c>
      <c r="H110" s="2" t="s">
        <v>1272</v>
      </c>
    </row>
    <row r="111" customFormat="false" ht="15" hidden="false" customHeight="false" outlineLevel="1" collapsed="false">
      <c r="A111" s="7" t="s">
        <v>617</v>
      </c>
      <c r="B111" s="8" t="s">
        <v>11</v>
      </c>
      <c r="C111" s="53" t="n">
        <f aca="false">Pressupostos!$C$274</f>
        <v>0</v>
      </c>
      <c r="D111" s="53" t="n">
        <f aca="false">Pressupostos!$D$274</f>
        <v>0</v>
      </c>
      <c r="E111" s="53" t="n">
        <f aca="false">Pressupostos!$E$274</f>
        <v>0</v>
      </c>
      <c r="F111" s="53" t="n">
        <f aca="false">Pressupostos!$F$274</f>
        <v>0</v>
      </c>
      <c r="G111" s="53" t="n">
        <f aca="false">Pressupostos!$G$274</f>
        <v>0</v>
      </c>
      <c r="H111" s="2" t="s">
        <v>1273</v>
      </c>
    </row>
    <row r="112" customFormat="false" ht="15" hidden="false" customHeight="false" outlineLevel="1" collapsed="false">
      <c r="A112" s="56" t="s">
        <v>618</v>
      </c>
      <c r="B112" s="57" t="s">
        <v>11</v>
      </c>
      <c r="C112" s="62" t="n">
        <f aca="false">C105+C106+C108+C109+C110+C111</f>
        <v>172122</v>
      </c>
      <c r="D112" s="62" t="n">
        <f aca="false">D105+D106+D108+D109+D110+D111</f>
        <v>643860</v>
      </c>
      <c r="E112" s="62" t="n">
        <f aca="false">E105+E106+E108+E109+E110+E111</f>
        <v>1372160</v>
      </c>
      <c r="F112" s="62" t="n">
        <f aca="false">F105+F106+F108+F109+F110+F111</f>
        <v>2111120</v>
      </c>
      <c r="G112" s="62" t="n">
        <f aca="false">G105+G106+G108+G109+G110+G111</f>
        <v>2843480</v>
      </c>
      <c r="H112" s="2" t="s">
        <v>1274</v>
      </c>
    </row>
    <row r="113" customFormat="false" ht="15" hidden="false" customHeight="false" outlineLevel="0" collapsed="false">
      <c r="A113" s="3" t="s">
        <v>1275</v>
      </c>
      <c r="B113" s="4"/>
      <c r="C113" s="4"/>
      <c r="D113" s="4"/>
      <c r="E113" s="4"/>
      <c r="F113" s="4"/>
      <c r="G113" s="4"/>
      <c r="H113" s="4"/>
    </row>
    <row r="114" customFormat="false" ht="15" hidden="false" customHeight="false" outlineLevel="1" collapsed="false">
      <c r="A114" s="2" t="s">
        <v>620</v>
      </c>
      <c r="B114" s="8" t="s">
        <v>11</v>
      </c>
      <c r="C114" s="61" t="n">
        <f aca="false">C15*1000*Pressupostos!$C$10</f>
        <v>0</v>
      </c>
      <c r="D114" s="61" t="n">
        <f aca="false">D15*1000*Pressupostos!$C$10</f>
        <v>0</v>
      </c>
      <c r="E114" s="61" t="n">
        <f aca="false">E15*1000*Pressupostos!$C$10</f>
        <v>0</v>
      </c>
      <c r="F114" s="61" t="n">
        <f aca="false">F15*1000*Pressupostos!$C$10</f>
        <v>0</v>
      </c>
      <c r="G114" s="61" t="n">
        <f aca="false">G15*1000*Pressupostos!$C$10</f>
        <v>0</v>
      </c>
      <c r="H114" s="2" t="s">
        <v>1276</v>
      </c>
    </row>
    <row r="115" customFormat="false" ht="15" hidden="false" customHeight="false" outlineLevel="1" collapsed="false">
      <c r="A115" s="56" t="s">
        <v>621</v>
      </c>
      <c r="B115" s="57" t="s">
        <v>11</v>
      </c>
      <c r="C115" s="62" t="n">
        <f aca="false">C105+C106+C107+C114</f>
        <v>188160</v>
      </c>
      <c r="D115" s="62" t="n">
        <f aca="false">D105+D106+D107+D114</f>
        <v>643860</v>
      </c>
      <c r="E115" s="62" t="n">
        <f aca="false">E105+E106+E107+E114</f>
        <v>1372160</v>
      </c>
      <c r="F115" s="62" t="n">
        <f aca="false">F105+F106+F107+F114</f>
        <v>2101120</v>
      </c>
      <c r="G115" s="62" t="n">
        <f aca="false">G105+G106+G107+G114</f>
        <v>2823480</v>
      </c>
      <c r="H115" s="2" t="s">
        <v>1277</v>
      </c>
    </row>
    <row r="116" customFormat="false" ht="15" hidden="false" customHeight="false" outlineLevel="1" collapsed="false">
      <c r="A116" s="7" t="s">
        <v>622</v>
      </c>
      <c r="B116" s="8" t="s">
        <v>11</v>
      </c>
      <c r="C116" s="61" t="n">
        <f aca="false">C115-C114-C104</f>
        <v>188160</v>
      </c>
      <c r="D116" s="61" t="n">
        <f aca="false">D115-D114-D104</f>
        <v>643860</v>
      </c>
      <c r="E116" s="61" t="n">
        <f aca="false">E115-E114-E104</f>
        <v>1372160</v>
      </c>
      <c r="F116" s="61" t="n">
        <f aca="false">F115-F114-F104</f>
        <v>2101120</v>
      </c>
      <c r="G116" s="61" t="n">
        <f aca="false">G115-G114-G104</f>
        <v>2823480</v>
      </c>
      <c r="H116" s="2" t="s">
        <v>1278</v>
      </c>
    </row>
    <row r="117" customFormat="false" ht="15" hidden="false" customHeight="false" outlineLevel="1" collapsed="false">
      <c r="A117" s="7" t="s">
        <v>623</v>
      </c>
      <c r="B117" s="8" t="s">
        <v>11</v>
      </c>
      <c r="C117" s="61" t="n">
        <f aca="false">C11*1000*(C29+C32)+C12*1000*(C52+C55)+C14*1000*(C75+C78)+C24*1000*Pressupostos!$C$92</f>
        <v>164600</v>
      </c>
      <c r="D117" s="61" t="n">
        <f aca="false">D11*1000*(D29+D32)+D12*1000*(D52+D55)+D14*1000*(D75+D78)+D24*1000*Pressupostos!$C$92</f>
        <v>617100</v>
      </c>
      <c r="E117" s="61" t="n">
        <f aca="false">E11*1000*(E29+E32)+E12*1000*(E52+E55)+E14*1000*(E75+E78)+E24*1000*Pressupostos!$C$92</f>
        <v>1305100</v>
      </c>
      <c r="F117" s="61" t="n">
        <f aca="false">F11*1000*(F29+F32)+F12*1000*(F52+F55)+F14*1000*(F75+F78)+F24*1000*Pressupostos!$C$92</f>
        <v>1993200</v>
      </c>
      <c r="G117" s="61" t="n">
        <f aca="false">G11*1000*(G29+G32)+G12*1000*(G52+G55)+G14*1000*(G75+G78)+G24*1000*Pressupostos!$C$92</f>
        <v>2680300</v>
      </c>
      <c r="H117" s="2" t="s">
        <v>1279</v>
      </c>
    </row>
    <row r="118" customFormat="false" ht="15" hidden="false" customHeight="false" outlineLevel="1" collapsed="false">
      <c r="A118" s="7" t="s">
        <v>624</v>
      </c>
      <c r="B118" s="8" t="s">
        <v>11</v>
      </c>
      <c r="C118" s="61" t="n">
        <f aca="false">C117*Pressupostos!$C$281</f>
        <v>0</v>
      </c>
      <c r="D118" s="61" t="n">
        <f aca="false">D117*Pressupostos!$D$281</f>
        <v>524535</v>
      </c>
      <c r="E118" s="61" t="n">
        <f aca="false">E117*Pressupostos!$E$281</f>
        <v>1109335</v>
      </c>
      <c r="F118" s="61" t="n">
        <f aca="false">F117*Pressupostos!$F$281</f>
        <v>1694220</v>
      </c>
      <c r="G118" s="61" t="n">
        <f aca="false">G117*Pressupostos!$G$281</f>
        <v>2278255</v>
      </c>
      <c r="H118" s="2" t="s">
        <v>1280</v>
      </c>
    </row>
    <row r="119" customFormat="false" ht="15" hidden="false" customHeight="false" outlineLevel="0" collapsed="false">
      <c r="A119" s="3" t="s">
        <v>1281</v>
      </c>
      <c r="B119" s="4"/>
      <c r="C119" s="4"/>
      <c r="D119" s="4"/>
      <c r="E119" s="4"/>
      <c r="F119" s="4"/>
      <c r="G119" s="4"/>
      <c r="H119" s="4"/>
    </row>
    <row r="120" customFormat="false" ht="15" hidden="false" customHeight="false" outlineLevel="1" collapsed="false">
      <c r="A120" s="7" t="s">
        <v>626</v>
      </c>
      <c r="B120" s="8" t="s">
        <v>11</v>
      </c>
      <c r="C120" s="61" t="n">
        <f aca="false">C11*1000*C48</f>
        <v>223.620000000007</v>
      </c>
      <c r="D120" s="61" t="n">
        <f aca="false">D11*1000*D48</f>
        <v>-4366.93273972601</v>
      </c>
      <c r="E120" s="61" t="n">
        <f aca="false">E11*1000*E48</f>
        <v>-10095.4080821917</v>
      </c>
      <c r="F120" s="61" t="n">
        <f aca="false">F11*1000*F48</f>
        <v>-5081.62986301362</v>
      </c>
      <c r="G120" s="61" t="n">
        <f aca="false">G11*1000*G48</f>
        <v>-684.44205479441</v>
      </c>
      <c r="H120" s="2" t="s">
        <v>1282</v>
      </c>
    </row>
    <row r="121" customFormat="false" ht="15" hidden="false" customHeight="false" outlineLevel="1" collapsed="false">
      <c r="A121" s="7" t="s">
        <v>627</v>
      </c>
      <c r="B121" s="8" t="s">
        <v>11</v>
      </c>
      <c r="C121" s="61" t="n">
        <f aca="false">C12*1000*C71</f>
        <v>-4185.96666666665</v>
      </c>
      <c r="D121" s="61" t="n">
        <f aca="false">D12*1000*D71</f>
        <v>-25383.6194716243</v>
      </c>
      <c r="E121" s="61" t="n">
        <f aca="false">E12*1000*E71</f>
        <v>-48996.2887475538</v>
      </c>
      <c r="F121" s="61" t="n">
        <f aca="false">F12*1000*F71</f>
        <v>-72412.1857795173</v>
      </c>
      <c r="G121" s="61" t="n">
        <f aca="false">G12*1000*G71</f>
        <v>-97795.8052511415</v>
      </c>
      <c r="H121" s="2" t="s">
        <v>1283</v>
      </c>
    </row>
    <row r="122" customFormat="false" ht="15" hidden="false" customHeight="false" outlineLevel="1" collapsed="false">
      <c r="A122" s="7" t="s">
        <v>628</v>
      </c>
      <c r="B122" s="8" t="s">
        <v>11</v>
      </c>
      <c r="C122" s="61" t="n">
        <f aca="false">C14*1000*C94+C15*1000*C100</f>
        <v>0</v>
      </c>
      <c r="D122" s="61" t="n">
        <f aca="false">D14*1000*D94+D15*1000*D100</f>
        <v>0</v>
      </c>
      <c r="E122" s="61" t="n">
        <f aca="false">E14*1000*E94+E15*1000*E100</f>
        <v>0</v>
      </c>
      <c r="F122" s="61" t="n">
        <f aca="false">F14*1000*F94+F15*1000*F100</f>
        <v>0</v>
      </c>
      <c r="G122" s="61" t="n">
        <f aca="false">G14*1000*G94+G15*1000*G100</f>
        <v>0</v>
      </c>
      <c r="H122" s="2" t="s">
        <v>1284</v>
      </c>
    </row>
    <row r="123" customFormat="false" ht="15" hidden="false" customHeight="false" outlineLevel="1" collapsed="false">
      <c r="A123" s="7" t="s">
        <v>629</v>
      </c>
      <c r="B123" s="8" t="s">
        <v>11</v>
      </c>
      <c r="C123" s="61" t="n">
        <f aca="false">C120+C121+C122</f>
        <v>-3962.34666666665</v>
      </c>
      <c r="D123" s="61" t="n">
        <f aca="false">D120+D121+D122</f>
        <v>-29750.5522113503</v>
      </c>
      <c r="E123" s="61" t="n">
        <f aca="false">E120+E121+E122</f>
        <v>-59091.6968297455</v>
      </c>
      <c r="F123" s="61" t="n">
        <f aca="false">F120+F121+F122</f>
        <v>-77493.8156425309</v>
      </c>
      <c r="G123" s="61" t="n">
        <f aca="false">G120+G121+G122</f>
        <v>-98480.2473059359</v>
      </c>
      <c r="H123" s="2" t="s">
        <v>1285</v>
      </c>
    </row>
    <row r="124" customFormat="false" ht="15" hidden="false" customHeight="false" outlineLevel="1" collapsed="false">
      <c r="A124" s="7" t="s">
        <v>630</v>
      </c>
      <c r="B124" s="8" t="s">
        <v>64</v>
      </c>
      <c r="C124" s="63" t="n">
        <f aca="false">IF(C16&gt;0,C123/(C16*1000),0)</f>
        <v>-0.0990586666666662</v>
      </c>
      <c r="D124" s="63" t="n">
        <f aca="false">IF(D16&gt;0,D123/(D16*1000),0)</f>
        <v>-0.198337014742335</v>
      </c>
      <c r="E124" s="63" t="n">
        <f aca="false">IF(E16&gt;0,E123/(E16*1000),0)</f>
        <v>-0.196972322765818</v>
      </c>
      <c r="F124" s="63" t="n">
        <f aca="false">IF(F16&gt;0,F123/(F16*1000),0)</f>
        <v>-0.172208479205624</v>
      </c>
      <c r="G124" s="63" t="n">
        <f aca="false">IF(G16&gt;0,G123/(G16*1000),0)</f>
        <v>-0.164133745509893</v>
      </c>
      <c r="H124" s="2" t="s">
        <v>1286</v>
      </c>
    </row>
    <row r="125" customFormat="false" ht="15" hidden="false" customHeight="false" outlineLevel="1" collapsed="false">
      <c r="A125" s="7" t="s">
        <v>631</v>
      </c>
      <c r="B125" s="8" t="s">
        <v>76</v>
      </c>
      <c r="C125" s="59" t="n">
        <f aca="false">IF(C105&gt;0,C123/C105,0)</f>
        <v>-0.0230422578894315</v>
      </c>
      <c r="D125" s="59" t="n">
        <f aca="false">IF(D105&gt;0,D123/D105,0)</f>
        <v>-0.0462065545481165</v>
      </c>
      <c r="E125" s="59" t="n">
        <f aca="false">IF(E105&gt;0,E123/E105,0)</f>
        <v>-0.0456779191052869</v>
      </c>
      <c r="F125" s="59" t="n">
        <f aca="false">IF(F105&gt;0,F123/F105,0)</f>
        <v>-0.039860613358502</v>
      </c>
      <c r="G125" s="59" t="n">
        <f aca="false">IF(G105&gt;0,G123/G105,0)</f>
        <v>-0.0380529398627253</v>
      </c>
      <c r="H125" s="2" t="s">
        <v>1287</v>
      </c>
    </row>
    <row r="126" customFormat="false" ht="15" hidden="false" customHeight="false" outlineLevel="1" collapsed="false">
      <c r="A126" s="2" t="s">
        <v>632</v>
      </c>
      <c r="B126" s="8" t="s">
        <v>64</v>
      </c>
      <c r="C126" s="63" t="n">
        <f aca="false">Pressupostos!$C$287*Pressupostos!$C$92*(Pressupostos!$C$95+Pressupostos!$C$96-Pressupostos!$C$97)/365*Pressupostos!$C$281/Pressupostos!$C$31</f>
        <v>0</v>
      </c>
      <c r="D126" s="63" t="n">
        <f aca="false">Pressupostos!$D$287*Pressupostos!$C$92*(Pressupostos!$C$95+Pressupostos!$C$96-Pressupostos!$C$97)/365*Pressupostos!$D$281/Pressupostos!$C$31</f>
        <v>0.0943150684931507</v>
      </c>
      <c r="E126" s="63" t="n">
        <f aca="false">Pressupostos!$E$287*Pressupostos!$C$92*(Pressupostos!$C$95+Pressupostos!$C$96-Pressupostos!$C$97)/365*Pressupostos!$E$281/Pressupostos!$C$31</f>
        <v>0.0943150684931507</v>
      </c>
      <c r="F126" s="63" t="n">
        <f aca="false">Pressupostos!$F$287*Pressupostos!$C$92*(Pressupostos!$C$95+Pressupostos!$C$96-Pressupostos!$C$97)/365*Pressupostos!$F$281/Pressupostos!$C$31</f>
        <v>0.0943150684931507</v>
      </c>
      <c r="G126" s="63" t="n">
        <f aca="false">Pressupostos!$G$287*Pressupostos!$C$92*(Pressupostos!$C$95+Pressupostos!$C$96-Pressupostos!$C$97)/365*Pressupostos!$G$281/Pressupostos!$C$31</f>
        <v>0.0943150684931507</v>
      </c>
      <c r="H126" s="2" t="s">
        <v>1288</v>
      </c>
    </row>
    <row r="127" customFormat="false" ht="15" hidden="false" customHeight="false" outlineLevel="1" collapsed="false">
      <c r="A127" s="7" t="s">
        <v>600</v>
      </c>
      <c r="B127" s="8" t="s">
        <v>11</v>
      </c>
      <c r="C127" s="61" t="n">
        <f aca="false">C24*1000*(Pressupostos!$C$93-Pressupostos!$C$92-Pressupostos!$C$94-C126-Pressupostos!$C$98*Pressupostos!$C$93-Pressupostos!$C$99-Pressupostos!$C$29*Pressupostos!$C$92)</f>
        <v>0</v>
      </c>
      <c r="D127" s="61" t="n">
        <f aca="false">D24*1000*(Pressupostos!$C$93-Pressupostos!$C$92-Pressupostos!$C$94-D126-Pressupostos!$C$98*Pressupostos!$C$93-Pressupostos!$C$99-Pressupostos!$C$29*Pressupostos!$C$92)</f>
        <v>0</v>
      </c>
      <c r="E127" s="61" t="n">
        <f aca="false">E24*1000*(Pressupostos!$C$93-Pressupostos!$C$92-Pressupostos!$C$94-E126-Pressupostos!$C$98*Pressupostos!$C$93-Pressupostos!$C$99-Pressupostos!$C$29*Pressupostos!$C$92)</f>
        <v>5285.84931506849</v>
      </c>
      <c r="F127" s="61" t="n">
        <f aca="false">F24*1000*(Pressupostos!$C$93-Pressupostos!$C$92-Pressupostos!$C$94-F126-Pressupostos!$C$98*Pressupostos!$C$93-Pressupostos!$C$99-Pressupostos!$C$29*Pressupostos!$C$92)</f>
        <v>10571.698630137</v>
      </c>
      <c r="G127" s="61" t="n">
        <f aca="false">G24*1000*(Pressupostos!$C$93-Pressupostos!$C$92-Pressupostos!$C$94-G126-Pressupostos!$C$98*Pressupostos!$C$93-Pressupostos!$C$99-Pressupostos!$C$29*Pressupostos!$C$92)</f>
        <v>15857.5479452055</v>
      </c>
      <c r="H127" s="2" t="s">
        <v>1289</v>
      </c>
    </row>
    <row r="128" customFormat="false" ht="15" hidden="false" customHeight="false" outlineLevel="1" collapsed="false">
      <c r="A128" s="7" t="s">
        <v>633</v>
      </c>
      <c r="B128" s="8" t="s">
        <v>11</v>
      </c>
      <c r="C128" s="61" t="n">
        <f aca="false">C108</f>
        <v>162</v>
      </c>
      <c r="D128" s="61" t="n">
        <f aca="false">D108</f>
        <v>0</v>
      </c>
      <c r="E128" s="61" t="n">
        <f aca="false">E108</f>
        <v>0</v>
      </c>
      <c r="F128" s="61" t="n">
        <f aca="false">F108</f>
        <v>0</v>
      </c>
      <c r="G128" s="61" t="n">
        <f aca="false">G108</f>
        <v>0</v>
      </c>
      <c r="H128" s="2" t="s">
        <v>1290</v>
      </c>
    </row>
    <row r="129" customFormat="false" ht="15" hidden="false" customHeight="false" outlineLevel="1" collapsed="false">
      <c r="A129" s="7" t="s">
        <v>634</v>
      </c>
      <c r="B129" s="8" t="s">
        <v>11</v>
      </c>
      <c r="C129" s="61" t="n">
        <f aca="false">C110-C144</f>
        <v>0</v>
      </c>
      <c r="D129" s="61" t="n">
        <f aca="false">D110-D144</f>
        <v>0</v>
      </c>
      <c r="E129" s="61" t="n">
        <f aca="false">E110-E144</f>
        <v>0</v>
      </c>
      <c r="F129" s="61" t="n">
        <f aca="false">F110-F144</f>
        <v>1771.42857142857</v>
      </c>
      <c r="G129" s="61" t="n">
        <f aca="false">G110-G144</f>
        <v>3542.85714285715</v>
      </c>
      <c r="H129" s="2" t="s">
        <v>1291</v>
      </c>
    </row>
    <row r="130" customFormat="false" ht="15" hidden="false" customHeight="false" outlineLevel="1" collapsed="false">
      <c r="A130" s="7" t="s">
        <v>617</v>
      </c>
      <c r="B130" s="8" t="s">
        <v>11</v>
      </c>
      <c r="C130" s="61" t="n">
        <f aca="false">C111</f>
        <v>0</v>
      </c>
      <c r="D130" s="61" t="n">
        <f aca="false">D111</f>
        <v>0</v>
      </c>
      <c r="E130" s="61" t="n">
        <f aca="false">E111</f>
        <v>0</v>
      </c>
      <c r="F130" s="61" t="n">
        <f aca="false">F111</f>
        <v>0</v>
      </c>
      <c r="G130" s="61" t="n">
        <f aca="false">G111</f>
        <v>0</v>
      </c>
      <c r="H130" s="2" t="s">
        <v>1292</v>
      </c>
    </row>
    <row r="131" customFormat="false" ht="15" hidden="false" customHeight="false" outlineLevel="1" collapsed="false">
      <c r="A131" s="56" t="s">
        <v>635</v>
      </c>
      <c r="B131" s="57" t="s">
        <v>11</v>
      </c>
      <c r="C131" s="62" t="n">
        <f aca="false">C123+C127+C128+C129+C130</f>
        <v>-3800.34666666665</v>
      </c>
      <c r="D131" s="62" t="n">
        <f aca="false">D123+D127+D128+D129+D130</f>
        <v>-29750.5522113503</v>
      </c>
      <c r="E131" s="62" t="n">
        <f aca="false">E123+E127+E128+E129+E130</f>
        <v>-53805.847514677</v>
      </c>
      <c r="F131" s="62" t="n">
        <f aca="false">F123+F127+F128+F129+F130</f>
        <v>-65150.6884409653</v>
      </c>
      <c r="G131" s="62" t="n">
        <f aca="false">G123+G127+G128+G129+G130</f>
        <v>-79079.8422178733</v>
      </c>
      <c r="H131" s="2" t="s">
        <v>1293</v>
      </c>
    </row>
    <row r="132" customFormat="false" ht="15" hidden="false" customHeight="false" outlineLevel="0" collapsed="false">
      <c r="A132" s="3" t="s">
        <v>1294</v>
      </c>
      <c r="B132" s="4"/>
      <c r="C132" s="4"/>
      <c r="D132" s="4"/>
      <c r="E132" s="4"/>
      <c r="F132" s="4"/>
      <c r="G132" s="4"/>
      <c r="H132" s="4"/>
    </row>
    <row r="133" customFormat="false" ht="15" hidden="false" customHeight="false" outlineLevel="1" collapsed="false">
      <c r="A133" s="7" t="s">
        <v>686</v>
      </c>
      <c r="B133" s="8" t="s">
        <v>11</v>
      </c>
      <c r="C133" s="61" t="n">
        <f aca="false">C11*1000*(C29+C32)+C12*1000*(C52+C55)+C14*1000*(C75+C78)</f>
        <v>164600</v>
      </c>
      <c r="D133" s="61" t="n">
        <f aca="false">D11*1000*(D29+D32)+D12*1000*(D52+D55)+D14*1000*(D75+D78)</f>
        <v>617100</v>
      </c>
      <c r="E133" s="61" t="n">
        <f aca="false">E11*1000*(E29+E32)+E12*1000*(E52+E55)+E14*1000*(E75+E78)</f>
        <v>1235100</v>
      </c>
      <c r="F133" s="61" t="n">
        <f aca="false">F11*1000*(F29+F32)+F12*1000*(F52+F55)+F14*1000*(F75+F78)</f>
        <v>1853200</v>
      </c>
      <c r="G133" s="61" t="n">
        <f aca="false">G11*1000*(G29+G32)+G12*1000*(G52+G55)+G14*1000*(G75+G78)</f>
        <v>2470300</v>
      </c>
      <c r="H133" s="2" t="s">
        <v>1295</v>
      </c>
    </row>
    <row r="134" customFormat="false" ht="15" hidden="false" customHeight="false" outlineLevel="1" collapsed="false">
      <c r="A134" s="7" t="s">
        <v>687</v>
      </c>
      <c r="B134" s="8" t="s">
        <v>11</v>
      </c>
      <c r="C134" s="61" t="n">
        <f aca="false">C24*1000*Pressupostos!$C$92</f>
        <v>0</v>
      </c>
      <c r="D134" s="61" t="n">
        <f aca="false">D24*1000*Pressupostos!$C$92</f>
        <v>0</v>
      </c>
      <c r="E134" s="61" t="n">
        <f aca="false">E24*1000*Pressupostos!$C$92</f>
        <v>70000</v>
      </c>
      <c r="F134" s="61" t="n">
        <f aca="false">F24*1000*Pressupostos!$C$92</f>
        <v>140000</v>
      </c>
      <c r="G134" s="61" t="n">
        <f aca="false">G24*1000*Pressupostos!$C$92</f>
        <v>210000</v>
      </c>
      <c r="H134" s="2" t="s">
        <v>1296</v>
      </c>
    </row>
    <row r="135" customFormat="false" ht="15" hidden="false" customHeight="false" outlineLevel="1" collapsed="false">
      <c r="A135" s="7" t="s">
        <v>688</v>
      </c>
      <c r="B135" s="8" t="s">
        <v>11</v>
      </c>
      <c r="C135" s="61" t="n">
        <f aca="false">C133+C134</f>
        <v>164600</v>
      </c>
      <c r="D135" s="61" t="n">
        <f aca="false">D133+D134</f>
        <v>617100</v>
      </c>
      <c r="E135" s="61" t="n">
        <f aca="false">E133+E134</f>
        <v>1305100</v>
      </c>
      <c r="F135" s="61" t="n">
        <f aca="false">F133+F134</f>
        <v>1993200</v>
      </c>
      <c r="G135" s="61" t="n">
        <f aca="false">G133+G134</f>
        <v>2680300</v>
      </c>
      <c r="H135" s="2" t="s">
        <v>1297</v>
      </c>
    </row>
    <row r="136" customFormat="false" ht="15" hidden="false" customHeight="false" outlineLevel="1" collapsed="false">
      <c r="A136" s="7" t="s">
        <v>215</v>
      </c>
      <c r="B136" s="8" t="s">
        <v>11</v>
      </c>
      <c r="C136" s="61" t="n">
        <f aca="false">C11*1000*(C33)+C12*1000*(C56)+C14*1000*(C79)+C24*1000*Pressupostos!$C$94</f>
        <v>5660</v>
      </c>
      <c r="D136" s="61" t="n">
        <f aca="false">D11*1000*(D33)+D12*1000*(D56)+D14*1000*(D79)+D24*1000*Pressupostos!$C$94</f>
        <v>20910</v>
      </c>
      <c r="E136" s="61" t="n">
        <f aca="false">E11*1000*(E33)+E12*1000*(E56)+E14*1000*(E79)+E24*1000*Pressupostos!$C$94</f>
        <v>44700</v>
      </c>
      <c r="F136" s="61" t="n">
        <f aca="false">F11*1000*(F33)+F12*1000*(F56)+F14*1000*(F79)+F24*1000*Pressupostos!$C$94</f>
        <v>68900</v>
      </c>
      <c r="G136" s="61" t="n">
        <f aca="false">G11*1000*(G33)+G12*1000*(G56)+G14*1000*(G79)+G24*1000*Pressupostos!$C$94</f>
        <v>90070</v>
      </c>
      <c r="H136" s="2" t="s">
        <v>1298</v>
      </c>
    </row>
    <row r="137" customFormat="false" ht="15" hidden="false" customHeight="false" outlineLevel="1" collapsed="false">
      <c r="A137" s="7" t="s">
        <v>117</v>
      </c>
      <c r="B137" s="8" t="s">
        <v>11</v>
      </c>
      <c r="C137" s="61" t="n">
        <f aca="false">C11*1000*(C34)+C12*1000*(C57)+C14*1000*(C80)</f>
        <v>360</v>
      </c>
      <c r="D137" s="61" t="n">
        <f aca="false">D11*1000*(D34)+D12*1000*(D57)+D14*1000*(D80)</f>
        <v>1260</v>
      </c>
      <c r="E137" s="61" t="n">
        <f aca="false">E11*1000*(E34)+E12*1000*(E57)+E14*1000*(E80)</f>
        <v>3060</v>
      </c>
      <c r="F137" s="61" t="n">
        <f aca="false">F11*1000*(F34)+F12*1000*(F57)+F14*1000*(F80)</f>
        <v>4920</v>
      </c>
      <c r="G137" s="61" t="n">
        <f aca="false">G11*1000*(G34)+G12*1000*(G57)+G14*1000*(G80)</f>
        <v>6180</v>
      </c>
      <c r="H137" s="2" t="s">
        <v>1299</v>
      </c>
    </row>
    <row r="138" customFormat="false" ht="15" hidden="false" customHeight="false" outlineLevel="1" collapsed="false">
      <c r="A138" s="7" t="s">
        <v>689</v>
      </c>
      <c r="B138" s="8" t="s">
        <v>11</v>
      </c>
      <c r="C138" s="61" t="n">
        <f aca="false">C11*1000*(C37+C38)+C12*1000*(C60+C61)+C14*1000*(C83+C84)</f>
        <v>348.066666666667</v>
      </c>
      <c r="D138" s="61" t="n">
        <f aca="false">D11*1000*(D37+D38)+D12*1000*(D60+D61)+D14*1000*(D83+D84)</f>
        <v>1271.9</v>
      </c>
      <c r="E138" s="61" t="n">
        <f aca="false">E11*1000*(E37+E38)+E12*1000*(E60+E61)+E14*1000*(E83+E84)</f>
        <v>2743.9</v>
      </c>
      <c r="F138" s="61" t="n">
        <f aca="false">F11*1000*(F37+F38)+F12*1000*(F60+F61)+F14*1000*(F83+F84)</f>
        <v>3106.53333333333</v>
      </c>
      <c r="G138" s="61" t="n">
        <f aca="false">G11*1000*(G37+G38)+G12*1000*(G60+G61)+G14*1000*(G83+G84)</f>
        <v>3614.83333333333</v>
      </c>
      <c r="H138" s="2" t="s">
        <v>1300</v>
      </c>
    </row>
    <row r="139" customFormat="false" ht="15" hidden="false" customHeight="false" outlineLevel="1" collapsed="false">
      <c r="A139" s="7" t="s">
        <v>690</v>
      </c>
      <c r="B139" s="8" t="s">
        <v>11</v>
      </c>
      <c r="C139" s="61" t="n">
        <f aca="false">C11*1000*(C39+C40+C41)+C12*1000*(C62+C63+C64)+C14*1000*(C85+C86+C87)</f>
        <v>1817</v>
      </c>
      <c r="D139" s="61" t="n">
        <f aca="false">D11*1000*(D39+D40+D41)+D12*1000*(D62+D63+D64)+D14*1000*(D85+D86+D87)</f>
        <v>6777</v>
      </c>
      <c r="E139" s="61" t="n">
        <f aca="false">E11*1000*(E39+E40+E41)+E12*1000*(E62+E63+E64)+E14*1000*(E85+E86+E87)</f>
        <v>13774.5</v>
      </c>
      <c r="F139" s="61" t="n">
        <f aca="false">F11*1000*(F39+F40+F41)+F12*1000*(F62+F63+F64)+F14*1000*(F85+F86+F87)</f>
        <v>20058.5</v>
      </c>
      <c r="G139" s="61" t="n">
        <f aca="false">G11*1000*(G39+G40+G41)+G12*1000*(G62+G63+G64)+G14*1000*(G85+G86+G87)</f>
        <v>26337.5</v>
      </c>
      <c r="H139" s="2" t="s">
        <v>1301</v>
      </c>
    </row>
    <row r="140" customFormat="false" ht="15" hidden="false" customHeight="false" outlineLevel="1" collapsed="false">
      <c r="A140" s="7" t="s">
        <v>673</v>
      </c>
      <c r="B140" s="8" t="s">
        <v>11</v>
      </c>
      <c r="C140" s="61" t="n">
        <f aca="false">C11*1000*(C42)+C12*1000*(C65)+C14*1000*(C88)</f>
        <v>1960</v>
      </c>
      <c r="D140" s="61" t="n">
        <f aca="false">D11*1000*(D42)+D12*1000*(D65)+D14*1000*(D88)</f>
        <v>7260</v>
      </c>
      <c r="E140" s="61" t="n">
        <f aca="false">E11*1000*(E42)+E12*1000*(E65)+E14*1000*(E88)</f>
        <v>15060</v>
      </c>
      <c r="F140" s="61" t="n">
        <f aca="false">F11*1000*(F42)+F12*1000*(F65)+F14*1000*(F88)</f>
        <v>22920</v>
      </c>
      <c r="G140" s="61" t="n">
        <f aca="false">G11*1000*(G42)+G12*1000*(G65)+G14*1000*(G88)</f>
        <v>30180</v>
      </c>
      <c r="H140" s="2" t="s">
        <v>1302</v>
      </c>
    </row>
    <row r="141" customFormat="false" ht="15" hidden="false" customHeight="false" outlineLevel="1" collapsed="false">
      <c r="A141" s="7" t="s">
        <v>691</v>
      </c>
      <c r="B141" s="8" t="s">
        <v>11</v>
      </c>
      <c r="C141" s="61" t="n">
        <f aca="false">C11*1000*(C43)+C12*1000*(C66)+C14*1000*(C89)+C24*1000*Pressupostos!$C$99</f>
        <v>230</v>
      </c>
      <c r="D141" s="61" t="n">
        <f aca="false">D11*1000*(D43)+D12*1000*(D66)+D14*1000*(D89)+D24*1000*Pressupostos!$C$99</f>
        <v>855</v>
      </c>
      <c r="E141" s="61" t="n">
        <f aca="false">E11*1000*(E43)+E12*1000*(E66)+E14*1000*(E89)+E24*1000*Pressupostos!$C$99</f>
        <v>2055</v>
      </c>
      <c r="F141" s="61" t="n">
        <f aca="false">F11*1000*(F43)+F12*1000*(F66)+F14*1000*(F89)+F24*1000*Pressupostos!$C$99</f>
        <v>3260</v>
      </c>
      <c r="G141" s="61" t="n">
        <f aca="false">G11*1000*(G43)+G12*1000*(G66)+G14*1000*(G89)+G24*1000*Pressupostos!$C$99</f>
        <v>4415</v>
      </c>
      <c r="H141" s="2" t="s">
        <v>1303</v>
      </c>
    </row>
    <row r="142" customFormat="false" ht="15" hidden="false" customHeight="false" outlineLevel="1" collapsed="false">
      <c r="A142" s="7" t="s">
        <v>81</v>
      </c>
      <c r="B142" s="8" t="s">
        <v>11</v>
      </c>
      <c r="C142" s="61" t="n">
        <f aca="false">C11*1000*(C44)+C12*1000*(C67)+C14*1000*(C90)+C24*1000*Pressupostos!$C$98*Pressupostos!$C$93</f>
        <v>947.28</v>
      </c>
      <c r="D142" s="61" t="n">
        <f aca="false">D11*1000*(D44)+D12*1000*(D67)+D14*1000*(D90)+D24*1000*Pressupostos!$C$98*Pressupostos!$C$93</f>
        <v>3525.48</v>
      </c>
      <c r="E142" s="61" t="n">
        <f aca="false">E11*1000*(E44)+E12*1000*(E67)+E14*1000*(E90)+E24*1000*Pressupostos!$C$98*Pressupostos!$C$93</f>
        <v>7682.88</v>
      </c>
      <c r="F142" s="61" t="n">
        <f aca="false">F11*1000*(F44)+F12*1000*(F67)+F14*1000*(F90)+F24*1000*Pressupostos!$C$98*Pressupostos!$C$93</f>
        <v>11858.16</v>
      </c>
      <c r="G142" s="61" t="n">
        <f aca="false">G11*1000*(G44)+G12*1000*(G67)+G14*1000*(G90)+G24*1000*Pressupostos!$C$98*Pressupostos!$C$93</f>
        <v>15854.64</v>
      </c>
      <c r="H142" s="2" t="s">
        <v>1304</v>
      </c>
    </row>
    <row r="143" customFormat="false" ht="15" hidden="false" customHeight="false" outlineLevel="1" collapsed="false">
      <c r="A143" s="7" t="s">
        <v>692</v>
      </c>
      <c r="B143" s="8" t="s">
        <v>11</v>
      </c>
      <c r="C143" s="61" t="n">
        <f aca="false">C11*1000*(C45)+C12*1000*(C68)+C14*1000*(C91)+C24*1000*Pressupostos!$C$29*Pressupostos!$C$92</f>
        <v>0</v>
      </c>
      <c r="D143" s="61" t="n">
        <f aca="false">D11*1000*(D45)+D12*1000*(D68)+D14*1000*(D91)+D24*1000*Pressupostos!$C$29*Pressupostos!$C$92</f>
        <v>0</v>
      </c>
      <c r="E143" s="61" t="n">
        <f aca="false">E11*1000*(E45)+E12*1000*(E68)+E14*1000*(E91)+E24*1000*Pressupostos!$C$29*Pressupostos!$C$92</f>
        <v>0</v>
      </c>
      <c r="F143" s="61" t="n">
        <f aca="false">F11*1000*(F45)+F12*1000*(F68)+F14*1000*(F91)+F24*1000*Pressupostos!$C$29*Pressupostos!$C$92</f>
        <v>0</v>
      </c>
      <c r="G143" s="61" t="n">
        <f aca="false">G11*1000*(G45)+G12*1000*(G68)+G14*1000*(G91)+G24*1000*Pressupostos!$C$29*Pressupostos!$C$92</f>
        <v>0</v>
      </c>
      <c r="H143" s="2" t="s">
        <v>1305</v>
      </c>
    </row>
    <row r="144" customFormat="false" ht="15" hidden="false" customHeight="false" outlineLevel="1" collapsed="false">
      <c r="A144" s="7" t="s">
        <v>693</v>
      </c>
      <c r="B144" s="8" t="s">
        <v>11</v>
      </c>
      <c r="C144" s="61" t="n">
        <f aca="false">C27*1000*Pressupostos!$C$104*Pressupostos!$C$30</f>
        <v>0</v>
      </c>
      <c r="D144" s="61" t="n">
        <f aca="false">D27*1000*Pressupostos!$C$104*Pressupostos!$C$30</f>
        <v>0</v>
      </c>
      <c r="E144" s="61" t="n">
        <f aca="false">E27*1000*Pressupostos!$C$104*Pressupostos!$C$30</f>
        <v>0</v>
      </c>
      <c r="F144" s="61" t="n">
        <f aca="false">F27*1000*Pressupostos!$C$104*Pressupostos!$C$30</f>
        <v>8228.57142857143</v>
      </c>
      <c r="G144" s="61" t="n">
        <f aca="false">G27*1000*Pressupostos!$C$104*Pressupostos!$C$30</f>
        <v>16457.1428571429</v>
      </c>
      <c r="H144" s="2" t="s">
        <v>1306</v>
      </c>
    </row>
    <row r="145" customFormat="false" ht="15" hidden="false" customHeight="false" outlineLevel="1" collapsed="false">
      <c r="A145" s="7" t="s">
        <v>694</v>
      </c>
      <c r="B145" s="8" t="s">
        <v>11</v>
      </c>
      <c r="C145" s="61" t="n">
        <f aca="false">C15*1000*C99</f>
        <v>0</v>
      </c>
      <c r="D145" s="61" t="n">
        <f aca="false">D15*1000*D99</f>
        <v>0</v>
      </c>
      <c r="E145" s="61" t="n">
        <f aca="false">E15*1000*E99</f>
        <v>0</v>
      </c>
      <c r="F145" s="61" t="n">
        <f aca="false">F15*1000*F99</f>
        <v>0</v>
      </c>
      <c r="G145" s="61" t="n">
        <f aca="false">G15*1000*G99</f>
        <v>0</v>
      </c>
      <c r="H145" s="2" t="s">
        <v>1307</v>
      </c>
    </row>
    <row r="146" customFormat="false" ht="15" hidden="false" customHeight="false" outlineLevel="1" collapsed="false">
      <c r="A146" s="7" t="s">
        <v>695</v>
      </c>
      <c r="B146" s="8" t="s">
        <v>11</v>
      </c>
      <c r="C146" s="61" t="n">
        <f aca="false">C136+C137+C138+C139+C140+C141+C142+C143+C144+C145</f>
        <v>11322.3466666667</v>
      </c>
      <c r="D146" s="61" t="n">
        <f aca="false">D136+D137+D138+D139+D140+D141+D142+D143+D144+D145</f>
        <v>41859.38</v>
      </c>
      <c r="E146" s="61" t="n">
        <f aca="false">E136+E137+E138+E139+E140+E141+E142+E143+E144+E145</f>
        <v>89076.28</v>
      </c>
      <c r="F146" s="61" t="n">
        <f aca="false">F136+F137+F138+F139+F140+F141+F142+F143+F144+F145</f>
        <v>143251.764761905</v>
      </c>
      <c r="G146" s="61" t="n">
        <f aca="false">G136+G137+G138+G139+G140+G141+G142+G143+G144+G145</f>
        <v>193109.116190476</v>
      </c>
      <c r="H146" s="2" t="s">
        <v>1308</v>
      </c>
    </row>
    <row r="147" customFormat="false" ht="15" hidden="false" customHeight="false" outlineLevel="1" collapsed="false">
      <c r="A147" s="7" t="s">
        <v>696</v>
      </c>
      <c r="B147" s="8" t="s">
        <v>11</v>
      </c>
      <c r="C147" s="61" t="n">
        <f aca="false">C11*1000*(C46)+C12*1000*(C69)+C14*1000*(C92)</f>
        <v>0</v>
      </c>
      <c r="D147" s="61" t="n">
        <f aca="false">D11*1000*(D46)+D12*1000*(D69)+D14*1000*(D92)</f>
        <v>14651.1722113503</v>
      </c>
      <c r="E147" s="61" t="n">
        <f aca="false">E11*1000*(E46)+E12*1000*(E69)+E14*1000*(E92)</f>
        <v>30846.4168297456</v>
      </c>
      <c r="F147" s="61" t="n">
        <f aca="false">F11*1000*(F46)+F12*1000*(F69)+F14*1000*(F92)</f>
        <v>37932.6223091977</v>
      </c>
      <c r="G147" s="61" t="n">
        <f aca="false">G11*1000*(G46)+G12*1000*(G69)+G14*1000*(G92)</f>
        <v>46321.2739726027</v>
      </c>
      <c r="H147" s="2" t="s">
        <v>1309</v>
      </c>
    </row>
    <row r="148" customFormat="false" ht="15" hidden="false" customHeight="false" outlineLevel="1" collapsed="false">
      <c r="A148" s="7" t="s">
        <v>697</v>
      </c>
      <c r="B148" s="8" t="s">
        <v>11</v>
      </c>
      <c r="C148" s="61" t="n">
        <f aca="false">C24*1000*C126</f>
        <v>0</v>
      </c>
      <c r="D148" s="61" t="n">
        <f aca="false">D24*1000*D126</f>
        <v>0</v>
      </c>
      <c r="E148" s="61" t="n">
        <f aca="false">E24*1000*E126</f>
        <v>943.150684931507</v>
      </c>
      <c r="F148" s="61" t="n">
        <f aca="false">F24*1000*F126</f>
        <v>1886.30136986301</v>
      </c>
      <c r="G148" s="61" t="n">
        <f aca="false">G24*1000*G126</f>
        <v>2829.45205479452</v>
      </c>
      <c r="H148" s="2" t="s">
        <v>1310</v>
      </c>
    </row>
    <row r="149" customFormat="false" ht="15" hidden="false" customHeight="false" outlineLevel="1" collapsed="false">
      <c r="A149" s="7" t="s">
        <v>698</v>
      </c>
      <c r="B149" s="8" t="s">
        <v>11</v>
      </c>
      <c r="C149" s="61" t="n">
        <f aca="false">C147+C148</f>
        <v>0</v>
      </c>
      <c r="D149" s="61" t="n">
        <f aca="false">D147+D148</f>
        <v>14651.1722113503</v>
      </c>
      <c r="E149" s="61" t="n">
        <f aca="false">E147+E148</f>
        <v>31789.5675146771</v>
      </c>
      <c r="F149" s="61" t="n">
        <f aca="false">F147+F148</f>
        <v>39818.9236790607</v>
      </c>
      <c r="G149" s="61" t="n">
        <f aca="false">G147+G148</f>
        <v>49150.7260273973</v>
      </c>
      <c r="H149" s="2" t="s">
        <v>1311</v>
      </c>
    </row>
    <row r="150" customFormat="false" ht="15" hidden="false" customHeight="false" outlineLevel="1" collapsed="false">
      <c r="A150" s="8" t="s">
        <v>699</v>
      </c>
      <c r="B150" s="8" t="s">
        <v>11</v>
      </c>
      <c r="C150" s="70" t="n">
        <f aca="false">ROUND(C112-C135-C146-C149-C131,6)</f>
        <v>-0</v>
      </c>
      <c r="D150" s="70" t="n">
        <f aca="false">ROUND(D112-D135-D146-D149-D131,6)</f>
        <v>0</v>
      </c>
      <c r="E150" s="70" t="n">
        <f aca="false">ROUND(E112-E135-E146-E149-E131,6)</f>
        <v>0</v>
      </c>
      <c r="F150" s="70" t="n">
        <f aca="false">ROUND(F112-F135-F146-F149-F131,6)</f>
        <v>0</v>
      </c>
      <c r="G150" s="70" t="n">
        <f aca="false">ROUND(G112-G135-G146-G149-G131,6)</f>
        <v>0</v>
      </c>
      <c r="H150" s="2" t="s">
        <v>1312</v>
      </c>
    </row>
    <row r="151" customFormat="false" ht="15" hidden="false" customHeight="false" outlineLevel="0" collapsed="false">
      <c r="A151" s="3" t="s">
        <v>1313</v>
      </c>
      <c r="B151" s="4"/>
      <c r="C151" s="4"/>
      <c r="D151" s="4"/>
      <c r="E151" s="4"/>
      <c r="F151" s="4"/>
      <c r="G151" s="4"/>
      <c r="H151" s="4"/>
    </row>
    <row r="152" customFormat="false" ht="15" hidden="false" customHeight="false" outlineLevel="1" collapsed="false">
      <c r="A152" s="7" t="s">
        <v>638</v>
      </c>
      <c r="B152" s="8" t="s">
        <v>432</v>
      </c>
      <c r="C152" s="64" t="n">
        <f aca="false">Pressupostos!$C$331</f>
        <v>1</v>
      </c>
      <c r="D152" s="64" t="n">
        <f aca="false">Pressupostos!$D$331</f>
        <v>1</v>
      </c>
      <c r="E152" s="64" t="n">
        <f aca="false">Pressupostos!$E$331</f>
        <v>1</v>
      </c>
      <c r="F152" s="64" t="n">
        <f aca="false">Pressupostos!$F$331</f>
        <v>1</v>
      </c>
      <c r="G152" s="64" t="n">
        <f aca="false">Pressupostos!$G$331</f>
        <v>1</v>
      </c>
      <c r="H152" s="2" t="s">
        <v>1314</v>
      </c>
    </row>
    <row r="153" customFormat="false" ht="15" hidden="false" customHeight="false" outlineLevel="1" collapsed="false">
      <c r="A153" s="7" t="s">
        <v>639</v>
      </c>
      <c r="B153" s="8" t="s">
        <v>432</v>
      </c>
      <c r="C153" s="64" t="n">
        <f aca="false">Pressupostos!$C$337</f>
        <v>1</v>
      </c>
      <c r="D153" s="64" t="n">
        <f aca="false">Pressupostos!$D$337</f>
        <v>1</v>
      </c>
      <c r="E153" s="64" t="n">
        <f aca="false">Pressupostos!$E$337</f>
        <v>1</v>
      </c>
      <c r="F153" s="64" t="n">
        <f aca="false">Pressupostos!$F$337</f>
        <v>1</v>
      </c>
      <c r="G153" s="64" t="n">
        <f aca="false">Pressupostos!$G$337</f>
        <v>1</v>
      </c>
      <c r="H153" s="2" t="s">
        <v>1315</v>
      </c>
    </row>
    <row r="154" customFormat="false" ht="15" hidden="false" customHeight="false" outlineLevel="1" collapsed="false">
      <c r="A154" s="7" t="s">
        <v>640</v>
      </c>
      <c r="B154" s="8" t="s">
        <v>432</v>
      </c>
      <c r="C154" s="64" t="n">
        <f aca="false">Pressupostos!$C$343</f>
        <v>1</v>
      </c>
      <c r="D154" s="64" t="n">
        <f aca="false">Pressupostos!$D$343</f>
        <v>1</v>
      </c>
      <c r="E154" s="64" t="n">
        <f aca="false">Pressupostos!$E$343</f>
        <v>1</v>
      </c>
      <c r="F154" s="64" t="n">
        <f aca="false">Pressupostos!$F$343</f>
        <v>1</v>
      </c>
      <c r="G154" s="64" t="n">
        <f aca="false">Pressupostos!$G$343</f>
        <v>1</v>
      </c>
      <c r="H154" s="2" t="s">
        <v>1316</v>
      </c>
    </row>
    <row r="155" customFormat="false" ht="15" hidden="false" customHeight="false" outlineLevel="1" collapsed="false">
      <c r="A155" s="7" t="s">
        <v>641</v>
      </c>
      <c r="B155" s="8" t="s">
        <v>432</v>
      </c>
      <c r="C155" s="64" t="n">
        <f aca="false">Pressupostos!$C$349</f>
        <v>1</v>
      </c>
      <c r="D155" s="64" t="n">
        <f aca="false">Pressupostos!$D$349</f>
        <v>1</v>
      </c>
      <c r="E155" s="64" t="n">
        <f aca="false">Pressupostos!$E$349</f>
        <v>1</v>
      </c>
      <c r="F155" s="64" t="n">
        <f aca="false">Pressupostos!$F$349</f>
        <v>1</v>
      </c>
      <c r="G155" s="64" t="n">
        <f aca="false">Pressupostos!$G$349</f>
        <v>1</v>
      </c>
      <c r="H155" s="2" t="s">
        <v>1317</v>
      </c>
    </row>
    <row r="156" customFormat="false" ht="15" hidden="false" customHeight="false" outlineLevel="1" collapsed="false">
      <c r="A156" s="7" t="s">
        <v>642</v>
      </c>
      <c r="B156" s="8" t="s">
        <v>432</v>
      </c>
      <c r="C156" s="64" t="n">
        <f aca="false">Pressupostos!$C$355</f>
        <v>0.5</v>
      </c>
      <c r="D156" s="64" t="n">
        <f aca="false">Pressupostos!$D$355</f>
        <v>0.5</v>
      </c>
      <c r="E156" s="64" t="n">
        <f aca="false">Pressupostos!$E$355</f>
        <v>0.5</v>
      </c>
      <c r="F156" s="64" t="n">
        <f aca="false">Pressupostos!$F$355</f>
        <v>1</v>
      </c>
      <c r="G156" s="64" t="n">
        <f aca="false">Pressupostos!$G$355</f>
        <v>1</v>
      </c>
      <c r="H156" s="2" t="s">
        <v>1318</v>
      </c>
    </row>
    <row r="157" customFormat="false" ht="15" hidden="false" customHeight="false" outlineLevel="1" collapsed="false">
      <c r="A157" s="7" t="s">
        <v>643</v>
      </c>
      <c r="B157" s="8" t="s">
        <v>432</v>
      </c>
      <c r="C157" s="64" t="n">
        <f aca="false">Pressupostos!$C$361</f>
        <v>1</v>
      </c>
      <c r="D157" s="64" t="n">
        <f aca="false">Pressupostos!$D$361</f>
        <v>1</v>
      </c>
      <c r="E157" s="64" t="n">
        <f aca="false">Pressupostos!$E$361</f>
        <v>1</v>
      </c>
      <c r="F157" s="64" t="n">
        <f aca="false">Pressupostos!$F$361</f>
        <v>1</v>
      </c>
      <c r="G157" s="64" t="n">
        <f aca="false">Pressupostos!$G$361</f>
        <v>1</v>
      </c>
      <c r="H157" s="2" t="s">
        <v>1319</v>
      </c>
    </row>
    <row r="158" customFormat="false" ht="15" hidden="false" customHeight="false" outlineLevel="1" collapsed="false">
      <c r="A158" s="7" t="s">
        <v>644</v>
      </c>
      <c r="B158" s="8" t="s">
        <v>432</v>
      </c>
      <c r="C158" s="64" t="n">
        <f aca="false">Pressupostos!$C$367</f>
        <v>0.5</v>
      </c>
      <c r="D158" s="64" t="n">
        <f aca="false">Pressupostos!$D$367</f>
        <v>0.5</v>
      </c>
      <c r="E158" s="64" t="n">
        <f aca="false">Pressupostos!$E$367</f>
        <v>0.5</v>
      </c>
      <c r="F158" s="64" t="n">
        <f aca="false">Pressupostos!$F$367</f>
        <v>0.5</v>
      </c>
      <c r="G158" s="64" t="n">
        <f aca="false">Pressupostos!$G$367</f>
        <v>0.5</v>
      </c>
      <c r="H158" s="2" t="s">
        <v>1320</v>
      </c>
    </row>
    <row r="159" customFormat="false" ht="15" hidden="false" customHeight="false" outlineLevel="1" collapsed="false">
      <c r="A159" s="7" t="s">
        <v>645</v>
      </c>
      <c r="B159" s="8" t="s">
        <v>432</v>
      </c>
      <c r="C159" s="64" t="n">
        <f aca="false">Pressupostos!$C$373</f>
        <v>1</v>
      </c>
      <c r="D159" s="64" t="n">
        <f aca="false">Pressupostos!$D$373</f>
        <v>1</v>
      </c>
      <c r="E159" s="64" t="n">
        <f aca="false">Pressupostos!$E$373</f>
        <v>1</v>
      </c>
      <c r="F159" s="64" t="n">
        <f aca="false">Pressupostos!$F$373</f>
        <v>1</v>
      </c>
      <c r="G159" s="64" t="n">
        <f aca="false">Pressupostos!$G$373</f>
        <v>1</v>
      </c>
      <c r="H159" s="2" t="s">
        <v>1321</v>
      </c>
    </row>
    <row r="160" customFormat="false" ht="15" hidden="false" customHeight="false" outlineLevel="1" collapsed="false">
      <c r="A160" s="7" t="s">
        <v>646</v>
      </c>
      <c r="B160" s="8" t="s">
        <v>432</v>
      </c>
      <c r="C160" s="64" t="n">
        <f aca="false">Pressupostos!$C$379</f>
        <v>0</v>
      </c>
      <c r="D160" s="64" t="n">
        <f aca="false">Pressupostos!$D$379</f>
        <v>0</v>
      </c>
      <c r="E160" s="64" t="n">
        <f aca="false">Pressupostos!$E$379</f>
        <v>0</v>
      </c>
      <c r="F160" s="64" t="n">
        <f aca="false">Pressupostos!$F$379</f>
        <v>0</v>
      </c>
      <c r="G160" s="64" t="n">
        <f aca="false">Pressupostos!$G$379</f>
        <v>0</v>
      </c>
      <c r="H160" s="2" t="s">
        <v>1322</v>
      </c>
    </row>
    <row r="161" customFormat="false" ht="15" hidden="false" customHeight="false" outlineLevel="1" collapsed="false">
      <c r="A161" s="7" t="s">
        <v>647</v>
      </c>
      <c r="B161" s="8" t="s">
        <v>432</v>
      </c>
      <c r="C161" s="64" t="n">
        <f aca="false">Pressupostos!$C$385</f>
        <v>0</v>
      </c>
      <c r="D161" s="64" t="n">
        <f aca="false">Pressupostos!$D$385</f>
        <v>0</v>
      </c>
      <c r="E161" s="64" t="n">
        <f aca="false">Pressupostos!$E$385</f>
        <v>0</v>
      </c>
      <c r="F161" s="64" t="n">
        <f aca="false">Pressupostos!$F$385</f>
        <v>0</v>
      </c>
      <c r="G161" s="64" t="n">
        <f aca="false">Pressupostos!$G$385</f>
        <v>0</v>
      </c>
      <c r="H161" s="2" t="s">
        <v>1323</v>
      </c>
    </row>
    <row r="162" customFormat="false" ht="15" hidden="false" customHeight="false" outlineLevel="1" collapsed="false">
      <c r="A162" s="7" t="s">
        <v>648</v>
      </c>
      <c r="B162" s="8" t="s">
        <v>432</v>
      </c>
      <c r="C162" s="64" t="n">
        <f aca="false">Pressupostos!$C$391</f>
        <v>0</v>
      </c>
      <c r="D162" s="64" t="n">
        <f aca="false">Pressupostos!$D$391</f>
        <v>0</v>
      </c>
      <c r="E162" s="64" t="n">
        <f aca="false">Pressupostos!$E$391</f>
        <v>0</v>
      </c>
      <c r="F162" s="64" t="n">
        <f aca="false">Pressupostos!$F$391</f>
        <v>0</v>
      </c>
      <c r="G162" s="64" t="n">
        <f aca="false">Pressupostos!$G$391</f>
        <v>0</v>
      </c>
      <c r="H162" s="2" t="s">
        <v>1324</v>
      </c>
    </row>
    <row r="163" customFormat="false" ht="15" hidden="false" customHeight="false" outlineLevel="1" collapsed="false">
      <c r="A163" s="7" t="s">
        <v>649</v>
      </c>
      <c r="B163" s="8" t="s">
        <v>432</v>
      </c>
      <c r="C163" s="64" t="n">
        <f aca="false">Pressupostos!$C$397</f>
        <v>0</v>
      </c>
      <c r="D163" s="64" t="n">
        <f aca="false">Pressupostos!$D$397</f>
        <v>0</v>
      </c>
      <c r="E163" s="64" t="n">
        <f aca="false">Pressupostos!$E$397</f>
        <v>0</v>
      </c>
      <c r="F163" s="64" t="n">
        <f aca="false">Pressupostos!$F$397</f>
        <v>0</v>
      </c>
      <c r="G163" s="64" t="n">
        <f aca="false">Pressupostos!$G$397</f>
        <v>0</v>
      </c>
      <c r="H163" s="2" t="s">
        <v>1325</v>
      </c>
    </row>
    <row r="164" customFormat="false" ht="15" hidden="false" customHeight="false" outlineLevel="1" collapsed="false">
      <c r="A164" s="56" t="s">
        <v>650</v>
      </c>
      <c r="B164" s="57" t="s">
        <v>432</v>
      </c>
      <c r="C164" s="65" t="n">
        <f aca="false">C152+C153+C154+C155+C156+C157+C158+C159+C160+C161+C162+C163</f>
        <v>7</v>
      </c>
      <c r="D164" s="65" t="n">
        <f aca="false">D152+D153+D154+D155+D156+D157+D158+D159+D160+D161+D162+D163</f>
        <v>7</v>
      </c>
      <c r="E164" s="65" t="n">
        <f aca="false">E152+E153+E154+E155+E156+E157+E158+E159+E160+E161+E162+E163</f>
        <v>7</v>
      </c>
      <c r="F164" s="65" t="n">
        <f aca="false">F152+F153+F154+F155+F156+F157+F158+F159+F160+F161+F162+F163</f>
        <v>7.5</v>
      </c>
      <c r="G164" s="65" t="n">
        <f aca="false">G152+G153+G154+G155+G156+G157+G158+G159+G160+G161+G162+G163</f>
        <v>7.5</v>
      </c>
      <c r="H164" s="2" t="s">
        <v>1326</v>
      </c>
    </row>
    <row r="165" customFormat="false" ht="15" hidden="false" customHeight="false" outlineLevel="0" collapsed="false">
      <c r="A165" s="3" t="s">
        <v>1327</v>
      </c>
      <c r="B165" s="4"/>
      <c r="C165" s="4"/>
      <c r="D165" s="4"/>
      <c r="E165" s="4"/>
      <c r="F165" s="4"/>
      <c r="G165" s="4"/>
      <c r="H165" s="4"/>
    </row>
    <row r="166" customFormat="false" ht="15" hidden="false" customHeight="false" outlineLevel="1" collapsed="false">
      <c r="A166" s="7" t="s">
        <v>638</v>
      </c>
      <c r="B166" s="8" t="s">
        <v>11</v>
      </c>
      <c r="C166" s="61" t="n">
        <f aca="false">C152*Pressupostos!$C$131*(1+Pressupostos!$C$127)^0*(1+Pressupostos!$C$132)*Pressupostos!$C$128</f>
        <v>43998</v>
      </c>
      <c r="D166" s="61" t="n">
        <f aca="false">D152*Pressupostos!$C$131*(1+Pressupostos!$C$127)^1*(1+Pressupostos!$C$132)</f>
        <v>61800</v>
      </c>
      <c r="E166" s="61" t="n">
        <f aca="false">E152*Pressupostos!$C$131*(1+Pressupostos!$C$127)^2*(1+Pressupostos!$C$132)</f>
        <v>63654</v>
      </c>
      <c r="F166" s="61" t="n">
        <f aca="false">F152*Pressupostos!$C$131*(1+Pressupostos!$C$127)^3*(1+Pressupostos!$C$132)</f>
        <v>65563.62</v>
      </c>
      <c r="G166" s="61" t="n">
        <f aca="false">G152*Pressupostos!$C$131*(1+Pressupostos!$C$127)^4*(1+Pressupostos!$C$132)</f>
        <v>67530.5286</v>
      </c>
      <c r="H166" s="2" t="s">
        <v>1328</v>
      </c>
    </row>
    <row r="167" customFormat="false" ht="15" hidden="false" customHeight="false" outlineLevel="1" collapsed="false">
      <c r="A167" s="7" t="s">
        <v>639</v>
      </c>
      <c r="B167" s="8" t="s">
        <v>11</v>
      </c>
      <c r="C167" s="61" t="n">
        <f aca="false">C153*Pressupostos!$C$133*(1+Pressupostos!$C$127)^0*(1+Pressupostos!$C$134)*Pressupostos!$C$128</f>
        <v>47664.5</v>
      </c>
      <c r="D167" s="61" t="n">
        <f aca="false">D153*Pressupostos!$C$133*(1+Pressupostos!$C$127)^1*(1+Pressupostos!$C$134)</f>
        <v>66950</v>
      </c>
      <c r="E167" s="61" t="n">
        <f aca="false">E153*Pressupostos!$C$133*(1+Pressupostos!$C$127)^2*(1+Pressupostos!$C$134)</f>
        <v>68958.5</v>
      </c>
      <c r="F167" s="61" t="n">
        <f aca="false">F153*Pressupostos!$C$133*(1+Pressupostos!$C$127)^3*(1+Pressupostos!$C$134)</f>
        <v>71027.255</v>
      </c>
      <c r="G167" s="61" t="n">
        <f aca="false">G153*Pressupostos!$C$133*(1+Pressupostos!$C$127)^4*(1+Pressupostos!$C$134)</f>
        <v>73158.07265</v>
      </c>
      <c r="H167" s="2" t="s">
        <v>1329</v>
      </c>
    </row>
    <row r="168" customFormat="false" ht="15" hidden="false" customHeight="false" outlineLevel="1" collapsed="false">
      <c r="A168" s="7" t="s">
        <v>640</v>
      </c>
      <c r="B168" s="8" t="s">
        <v>11</v>
      </c>
      <c r="C168" s="61" t="n">
        <f aca="false">C154*Pressupostos!$C$135*(1+Pressupostos!$C$127)^0*(1+Pressupostos!$C$136)</f>
        <v>45000</v>
      </c>
      <c r="D168" s="61" t="n">
        <f aca="false">D154*Pressupostos!$C$135*(1+Pressupostos!$C$127)^1*(1+Pressupostos!$C$136)</f>
        <v>46350</v>
      </c>
      <c r="E168" s="61" t="n">
        <f aca="false">E154*Pressupostos!$C$135*(1+Pressupostos!$C$127)^2*(1+Pressupostos!$C$136)</f>
        <v>47740.5</v>
      </c>
      <c r="F168" s="61" t="n">
        <f aca="false">F154*Pressupostos!$C$135*(1+Pressupostos!$C$127)^3*(1+Pressupostos!$C$136)</f>
        <v>49172.715</v>
      </c>
      <c r="G168" s="61" t="n">
        <f aca="false">G154*Pressupostos!$C$135*(1+Pressupostos!$C$127)^4*(1+Pressupostos!$C$136)</f>
        <v>50647.89645</v>
      </c>
      <c r="H168" s="2" t="s">
        <v>1330</v>
      </c>
    </row>
    <row r="169" customFormat="false" ht="15" hidden="false" customHeight="false" outlineLevel="1" collapsed="false">
      <c r="A169" s="7" t="s">
        <v>641</v>
      </c>
      <c r="B169" s="8" t="s">
        <v>11</v>
      </c>
      <c r="C169" s="61" t="n">
        <f aca="false">C155*Pressupostos!$C$137*(1+Pressupostos!$C$127)^0*(1+Pressupostos!$C$138)</f>
        <v>60000</v>
      </c>
      <c r="D169" s="61" t="n">
        <f aca="false">D155*Pressupostos!$C$137*(1+Pressupostos!$C$127)^1*(1+Pressupostos!$C$138)</f>
        <v>61800</v>
      </c>
      <c r="E169" s="61" t="n">
        <f aca="false">E155*Pressupostos!$C$137*(1+Pressupostos!$C$127)^2*(1+Pressupostos!$C$138)</f>
        <v>63654</v>
      </c>
      <c r="F169" s="61" t="n">
        <f aca="false">F155*Pressupostos!$C$137*(1+Pressupostos!$C$127)^3*(1+Pressupostos!$C$138)</f>
        <v>65563.62</v>
      </c>
      <c r="G169" s="61" t="n">
        <f aca="false">G155*Pressupostos!$C$137*(1+Pressupostos!$C$127)^4*(1+Pressupostos!$C$138)</f>
        <v>67530.5286</v>
      </c>
      <c r="H169" s="2" t="s">
        <v>1331</v>
      </c>
    </row>
    <row r="170" customFormat="false" ht="15" hidden="false" customHeight="false" outlineLevel="1" collapsed="false">
      <c r="A170" s="7" t="s">
        <v>642</v>
      </c>
      <c r="B170" s="8" t="s">
        <v>11</v>
      </c>
      <c r="C170" s="61" t="n">
        <f aca="false">C156*Pressupostos!$C$139*(1+Pressupostos!$C$127)^0*(1+Pressupostos!$C$140)</f>
        <v>22500</v>
      </c>
      <c r="D170" s="61" t="n">
        <f aca="false">D156*Pressupostos!$C$139*(1+Pressupostos!$C$127)^1*(1+Pressupostos!$C$140)</f>
        <v>23175</v>
      </c>
      <c r="E170" s="61" t="n">
        <f aca="false">E156*Pressupostos!$C$139*(1+Pressupostos!$C$127)^2*(1+Pressupostos!$C$140)</f>
        <v>23870.25</v>
      </c>
      <c r="F170" s="61" t="n">
        <f aca="false">F156*Pressupostos!$C$139*(1+Pressupostos!$C$127)^3*(1+Pressupostos!$C$140)</f>
        <v>49172.715</v>
      </c>
      <c r="G170" s="61" t="n">
        <f aca="false">G156*Pressupostos!$C$139*(1+Pressupostos!$C$127)^4*(1+Pressupostos!$C$140)</f>
        <v>50647.89645</v>
      </c>
      <c r="H170" s="2" t="s">
        <v>1332</v>
      </c>
    </row>
    <row r="171" customFormat="false" ht="15" hidden="false" customHeight="false" outlineLevel="1" collapsed="false">
      <c r="A171" s="7" t="s">
        <v>643</v>
      </c>
      <c r="B171" s="8" t="s">
        <v>11</v>
      </c>
      <c r="C171" s="61" t="n">
        <f aca="false">C157*Pressupostos!$C$141*(1+Pressupostos!$C$127)^0*(1+Pressupostos!$C$142)</f>
        <v>38000</v>
      </c>
      <c r="D171" s="61" t="n">
        <f aca="false">D157*Pressupostos!$C$141*(1+Pressupostos!$C$127)^1*(1+Pressupostos!$C$142)</f>
        <v>39140</v>
      </c>
      <c r="E171" s="61" t="n">
        <f aca="false">E157*Pressupostos!$C$141*(1+Pressupostos!$C$127)^2*(1+Pressupostos!$C$142)</f>
        <v>40314.2</v>
      </c>
      <c r="F171" s="61" t="n">
        <f aca="false">F157*Pressupostos!$C$141*(1+Pressupostos!$C$127)^3*(1+Pressupostos!$C$142)</f>
        <v>41523.626</v>
      </c>
      <c r="G171" s="61" t="n">
        <f aca="false">G157*Pressupostos!$C$141*(1+Pressupostos!$C$127)^4*(1+Pressupostos!$C$142)</f>
        <v>42769.33478</v>
      </c>
      <c r="H171" s="2" t="s">
        <v>1333</v>
      </c>
    </row>
    <row r="172" customFormat="false" ht="15" hidden="false" customHeight="false" outlineLevel="1" collapsed="false">
      <c r="A172" s="7" t="s">
        <v>644</v>
      </c>
      <c r="B172" s="8" t="s">
        <v>11</v>
      </c>
      <c r="C172" s="61" t="n">
        <f aca="false">C158*Pressupostos!$C$143*(1+Pressupostos!$C$127)^0*(1+Pressupostos!$C$144)</f>
        <v>16000</v>
      </c>
      <c r="D172" s="61" t="n">
        <f aca="false">D158*Pressupostos!$C$143*(1+Pressupostos!$C$127)^1*(1+Pressupostos!$C$144)</f>
        <v>16480</v>
      </c>
      <c r="E172" s="61" t="n">
        <f aca="false">E158*Pressupostos!$C$143*(1+Pressupostos!$C$127)^2*(1+Pressupostos!$C$144)</f>
        <v>16974.4</v>
      </c>
      <c r="F172" s="61" t="n">
        <f aca="false">F158*Pressupostos!$C$143*(1+Pressupostos!$C$127)^3*(1+Pressupostos!$C$144)</f>
        <v>17483.632</v>
      </c>
      <c r="G172" s="61" t="n">
        <f aca="false">G158*Pressupostos!$C$143*(1+Pressupostos!$C$127)^4*(1+Pressupostos!$C$144)</f>
        <v>18008.14096</v>
      </c>
      <c r="H172" s="2" t="s">
        <v>1334</v>
      </c>
    </row>
    <row r="173" customFormat="false" ht="15" hidden="false" customHeight="false" outlineLevel="1" collapsed="false">
      <c r="A173" s="7" t="s">
        <v>645</v>
      </c>
      <c r="B173" s="8" t="s">
        <v>11</v>
      </c>
      <c r="C173" s="61" t="n">
        <f aca="false">C159*Pressupostos!$C$145*(1+Pressupostos!$C$127)^0*(1+Pressupostos!$C$146)</f>
        <v>34500</v>
      </c>
      <c r="D173" s="61" t="n">
        <f aca="false">D159*Pressupostos!$C$145*(1+Pressupostos!$C$127)^1*(1+Pressupostos!$C$146)</f>
        <v>35535</v>
      </c>
      <c r="E173" s="61" t="n">
        <f aca="false">E159*Pressupostos!$C$145*(1+Pressupostos!$C$127)^2*(1+Pressupostos!$C$146)</f>
        <v>36601.05</v>
      </c>
      <c r="F173" s="61" t="n">
        <f aca="false">F159*Pressupostos!$C$145*(1+Pressupostos!$C$127)^3*(1+Pressupostos!$C$146)</f>
        <v>37699.0815</v>
      </c>
      <c r="G173" s="61" t="n">
        <f aca="false">G159*Pressupostos!$C$145*(1+Pressupostos!$C$127)^4*(1+Pressupostos!$C$146)</f>
        <v>38830.053945</v>
      </c>
      <c r="H173" s="2" t="s">
        <v>1335</v>
      </c>
    </row>
    <row r="174" customFormat="false" ht="15" hidden="false" customHeight="false" outlineLevel="1" collapsed="false">
      <c r="A174" s="7" t="s">
        <v>646</v>
      </c>
      <c r="B174" s="8" t="s">
        <v>11</v>
      </c>
      <c r="C174" s="61" t="n">
        <f aca="false">C160*Pressupostos!$C$147*(1+Pressupostos!$C$127)^0*(1+Pressupostos!$C$148)</f>
        <v>0</v>
      </c>
      <c r="D174" s="61" t="n">
        <f aca="false">D160*Pressupostos!$C$147*(1+Pressupostos!$C$127)^1*(1+Pressupostos!$C$148)</f>
        <v>0</v>
      </c>
      <c r="E174" s="61" t="n">
        <f aca="false">E160*Pressupostos!$C$147*(1+Pressupostos!$C$127)^2*(1+Pressupostos!$C$148)</f>
        <v>0</v>
      </c>
      <c r="F174" s="61" t="n">
        <f aca="false">F160*Pressupostos!$C$147*(1+Pressupostos!$C$127)^3*(1+Pressupostos!$C$148)</f>
        <v>0</v>
      </c>
      <c r="G174" s="61" t="n">
        <f aca="false">G160*Pressupostos!$C$147*(1+Pressupostos!$C$127)^4*(1+Pressupostos!$C$148)</f>
        <v>0</v>
      </c>
      <c r="H174" s="2" t="s">
        <v>1336</v>
      </c>
    </row>
    <row r="175" customFormat="false" ht="15" hidden="false" customHeight="false" outlineLevel="1" collapsed="false">
      <c r="A175" s="7" t="s">
        <v>647</v>
      </c>
      <c r="B175" s="8" t="s">
        <v>11</v>
      </c>
      <c r="C175" s="61" t="n">
        <f aca="false">C161*Pressupostos!$C$149*(1+Pressupostos!$C$127)^0*(1+Pressupostos!$C$150)</f>
        <v>0</v>
      </c>
      <c r="D175" s="61" t="n">
        <f aca="false">D161*Pressupostos!$C$149*(1+Pressupostos!$C$127)^1*(1+Pressupostos!$C$150)</f>
        <v>0</v>
      </c>
      <c r="E175" s="61" t="n">
        <f aca="false">E161*Pressupostos!$C$149*(1+Pressupostos!$C$127)^2*(1+Pressupostos!$C$150)</f>
        <v>0</v>
      </c>
      <c r="F175" s="61" t="n">
        <f aca="false">F161*Pressupostos!$C$149*(1+Pressupostos!$C$127)^3*(1+Pressupostos!$C$150)</f>
        <v>0</v>
      </c>
      <c r="G175" s="61" t="n">
        <f aca="false">G161*Pressupostos!$C$149*(1+Pressupostos!$C$127)^4*(1+Pressupostos!$C$150)</f>
        <v>0</v>
      </c>
      <c r="H175" s="2" t="s">
        <v>1337</v>
      </c>
    </row>
    <row r="176" customFormat="false" ht="15" hidden="false" customHeight="false" outlineLevel="1" collapsed="false">
      <c r="A176" s="7" t="s">
        <v>648</v>
      </c>
      <c r="B176" s="8" t="s">
        <v>11</v>
      </c>
      <c r="C176" s="61" t="n">
        <f aca="false">C162*Pressupostos!$C$151*(1+Pressupostos!$C$127)^0*(1+Pressupostos!$C$152)</f>
        <v>0</v>
      </c>
      <c r="D176" s="61" t="n">
        <f aca="false">D162*Pressupostos!$C$151*(1+Pressupostos!$C$127)^1*(1+Pressupostos!$C$152)</f>
        <v>0</v>
      </c>
      <c r="E176" s="61" t="n">
        <f aca="false">E162*Pressupostos!$C$151*(1+Pressupostos!$C$127)^2*(1+Pressupostos!$C$152)</f>
        <v>0</v>
      </c>
      <c r="F176" s="61" t="n">
        <f aca="false">F162*Pressupostos!$C$151*(1+Pressupostos!$C$127)^3*(1+Pressupostos!$C$152)</f>
        <v>0</v>
      </c>
      <c r="G176" s="61" t="n">
        <f aca="false">G162*Pressupostos!$C$151*(1+Pressupostos!$C$127)^4*(1+Pressupostos!$C$152)</f>
        <v>0</v>
      </c>
      <c r="H176" s="2" t="s">
        <v>1338</v>
      </c>
    </row>
    <row r="177" customFormat="false" ht="15" hidden="false" customHeight="false" outlineLevel="1" collapsed="false">
      <c r="A177" s="7" t="s">
        <v>649</v>
      </c>
      <c r="B177" s="8" t="s">
        <v>11</v>
      </c>
      <c r="C177" s="61" t="n">
        <f aca="false">C163*Pressupostos!$C$153*(1+Pressupostos!$C$127)^0*(1+Pressupostos!$C$154)</f>
        <v>0</v>
      </c>
      <c r="D177" s="61" t="n">
        <f aca="false">D163*Pressupostos!$C$153*(1+Pressupostos!$C$127)^1*(1+Pressupostos!$C$154)</f>
        <v>0</v>
      </c>
      <c r="E177" s="61" t="n">
        <f aca="false">E163*Pressupostos!$C$153*(1+Pressupostos!$C$127)^2*(1+Pressupostos!$C$154)</f>
        <v>0</v>
      </c>
      <c r="F177" s="61" t="n">
        <f aca="false">F163*Pressupostos!$C$153*(1+Pressupostos!$C$127)^3*(1+Pressupostos!$C$154)</f>
        <v>0</v>
      </c>
      <c r="G177" s="61" t="n">
        <f aca="false">G163*Pressupostos!$C$153*(1+Pressupostos!$C$127)^4*(1+Pressupostos!$C$154)</f>
        <v>0</v>
      </c>
      <c r="H177" s="2" t="s">
        <v>1339</v>
      </c>
    </row>
    <row r="178" customFormat="false" ht="15" hidden="false" customHeight="false" outlineLevel="1" collapsed="false">
      <c r="A178" s="7" t="s">
        <v>652</v>
      </c>
      <c r="B178" s="8" t="s">
        <v>11</v>
      </c>
      <c r="C178" s="61" t="n">
        <f aca="false">C166+C167+C168+C169+C170+C171+C172+C173+C174+C175+C176+C177</f>
        <v>307662.5</v>
      </c>
      <c r="D178" s="61" t="n">
        <f aca="false">D166+D167+D168+D169+D170+D171+D172+D173+D174+D175+D176+D177</f>
        <v>351230</v>
      </c>
      <c r="E178" s="61" t="n">
        <f aca="false">E166+E167+E168+E169+E170+E171+E172+E173+E174+E175+E176+E177</f>
        <v>361766.9</v>
      </c>
      <c r="F178" s="61" t="n">
        <f aca="false">F166+F167+F168+F169+F170+F171+F172+F173+F174+F175+F176+F177</f>
        <v>397206.2645</v>
      </c>
      <c r="G178" s="61" t="n">
        <f aca="false">G166+G167+G168+G169+G170+G171+G172+G173+G174+G175+G176+G177</f>
        <v>409122.452435</v>
      </c>
      <c r="H178" s="2" t="s">
        <v>1340</v>
      </c>
    </row>
    <row r="179" customFormat="false" ht="15" hidden="false" customHeight="false" outlineLevel="1" collapsed="false">
      <c r="A179" s="7" t="s">
        <v>653</v>
      </c>
      <c r="B179" s="8" t="s">
        <v>11</v>
      </c>
      <c r="C179" s="61" t="n">
        <f aca="false">C178*(Pressupostos!$C$124+Pressupostos!$C$125)</f>
        <v>79223.09375</v>
      </c>
      <c r="D179" s="61" t="n">
        <f aca="false">D178*(Pressupostos!$C$124+Pressupostos!$C$125)</f>
        <v>90441.725</v>
      </c>
      <c r="E179" s="61" t="n">
        <f aca="false">E178*(Pressupostos!$C$124+Pressupostos!$C$125)</f>
        <v>93154.97675</v>
      </c>
      <c r="F179" s="61" t="n">
        <f aca="false">F178*(Pressupostos!$C$124+Pressupostos!$C$125)</f>
        <v>102280.61310875</v>
      </c>
      <c r="G179" s="61" t="n">
        <f aca="false">G178*(Pressupostos!$C$124+Pressupostos!$C$125)</f>
        <v>105349.031502013</v>
      </c>
      <c r="H179" s="2" t="s">
        <v>1341</v>
      </c>
    </row>
    <row r="180" customFormat="false" ht="15" hidden="false" customHeight="false" outlineLevel="1" collapsed="false">
      <c r="A180" s="7" t="s">
        <v>654</v>
      </c>
      <c r="B180" s="8" t="s">
        <v>11</v>
      </c>
      <c r="C180" s="61" t="n">
        <f aca="false">C164*Pressupostos!$C$126*(1+Pressupostos!$C$127)^0</f>
        <v>14000</v>
      </c>
      <c r="D180" s="61" t="n">
        <f aca="false">D164*Pressupostos!$C$126*(1+Pressupostos!$C$127)^1</f>
        <v>14420</v>
      </c>
      <c r="E180" s="61" t="n">
        <f aca="false">E164*Pressupostos!$C$126*(1+Pressupostos!$C$127)^2</f>
        <v>14852.6</v>
      </c>
      <c r="F180" s="61" t="n">
        <f aca="false">F164*Pressupostos!$C$126*(1+Pressupostos!$C$127)^3</f>
        <v>16390.905</v>
      </c>
      <c r="G180" s="61" t="n">
        <f aca="false">G164*Pressupostos!$C$126*(1+Pressupostos!$C$127)^4</f>
        <v>16882.63215</v>
      </c>
      <c r="H180" s="2" t="s">
        <v>1342</v>
      </c>
    </row>
    <row r="181" customFormat="false" ht="15" hidden="false" customHeight="false" outlineLevel="1" collapsed="false">
      <c r="A181" s="56" t="s">
        <v>655</v>
      </c>
      <c r="B181" s="57" t="s">
        <v>11</v>
      </c>
      <c r="C181" s="62" t="n">
        <f aca="false">C178+C179+C180</f>
        <v>400885.59375</v>
      </c>
      <c r="D181" s="62" t="n">
        <f aca="false">D178+D179+D180</f>
        <v>456091.725</v>
      </c>
      <c r="E181" s="62" t="n">
        <f aca="false">E178+E179+E180</f>
        <v>469774.47675</v>
      </c>
      <c r="F181" s="62" t="n">
        <f aca="false">F178+F179+F180</f>
        <v>515877.78260875</v>
      </c>
      <c r="G181" s="62" t="n">
        <f aca="false">G178+G179+G180</f>
        <v>531354.116087013</v>
      </c>
      <c r="H181" s="2" t="s">
        <v>1343</v>
      </c>
    </row>
    <row r="182" customFormat="false" ht="15" hidden="false" customHeight="false" outlineLevel="1" collapsed="false">
      <c r="A182" s="2" t="s">
        <v>656</v>
      </c>
      <c r="B182" s="8" t="s">
        <v>11</v>
      </c>
      <c r="C182" s="61" t="n">
        <f aca="false">IF(C164&gt;0,C181/C164,0)</f>
        <v>57269.3705357143</v>
      </c>
      <c r="D182" s="61" t="n">
        <f aca="false">IF(D164&gt;0,D181/D164,0)</f>
        <v>65155.9607142857</v>
      </c>
      <c r="E182" s="61" t="n">
        <f aca="false">IF(E164&gt;0,E181/E164,0)</f>
        <v>67110.6395357143</v>
      </c>
      <c r="F182" s="61" t="n">
        <f aca="false">IF(F164&gt;0,F181/F164,0)</f>
        <v>68783.7043478333</v>
      </c>
      <c r="G182" s="61" t="n">
        <f aca="false">IF(G164&gt;0,G181/G164,0)</f>
        <v>70847.2154782684</v>
      </c>
      <c r="H182" s="2" t="s">
        <v>1344</v>
      </c>
    </row>
    <row r="183" customFormat="false" ht="15" hidden="false" customHeight="false" outlineLevel="0" collapsed="false">
      <c r="A183" s="3" t="s">
        <v>1345</v>
      </c>
      <c r="B183" s="4"/>
      <c r="C183" s="4"/>
      <c r="D183" s="4"/>
      <c r="E183" s="4"/>
      <c r="F183" s="4"/>
      <c r="G183" s="4"/>
      <c r="H183" s="4"/>
    </row>
    <row r="184" customFormat="false" ht="15" hidden="false" customHeight="false" outlineLevel="1" collapsed="false">
      <c r="A184" s="7" t="s">
        <v>449</v>
      </c>
      <c r="B184" s="8" t="s">
        <v>11</v>
      </c>
      <c r="C184" s="61" t="n">
        <f aca="false">Pressupostos!$C$404*(1+Pressupostos!$C$156)*(1+Pressupostos!$C$157)^0</f>
        <v>94500</v>
      </c>
      <c r="D184" s="61" t="n">
        <f aca="false">Pressupostos!$D$404*(1+Pressupostos!$C$156)*(1+Pressupostos!$C$157)^1</f>
        <v>42840</v>
      </c>
      <c r="E184" s="61" t="n">
        <f aca="false">Pressupostos!$E$404*(1+Pressupostos!$C$156)*(1+Pressupostos!$C$157)^2</f>
        <v>38234.7</v>
      </c>
      <c r="F184" s="61" t="n">
        <f aca="false">Pressupostos!$F$404*(1+Pressupostos!$C$156)*(1+Pressupostos!$C$157)^3</f>
        <v>38999.394</v>
      </c>
      <c r="G184" s="61" t="n">
        <f aca="false">Pressupostos!$G$404*(1+Pressupostos!$C$156)*(1+Pressupostos!$C$157)^4</f>
        <v>39779.38188</v>
      </c>
      <c r="H184" s="2" t="s">
        <v>1346</v>
      </c>
    </row>
    <row r="185" customFormat="false" ht="15" hidden="false" customHeight="false" outlineLevel="1" collapsed="false">
      <c r="A185" s="7" t="s">
        <v>451</v>
      </c>
      <c r="B185" s="8" t="s">
        <v>11</v>
      </c>
      <c r="C185" s="61" t="n">
        <f aca="false">Pressupostos!$C$410*(1+Pressupostos!$C$156)*(1+Pressupostos!$C$157)^0</f>
        <v>10500</v>
      </c>
      <c r="D185" s="61" t="n">
        <f aca="false">Pressupostos!$D$410*(1+Pressupostos!$C$156)*(1+Pressupostos!$C$157)^1</f>
        <v>10710</v>
      </c>
      <c r="E185" s="61" t="n">
        <f aca="false">Pressupostos!$E$410*(1+Pressupostos!$C$156)*(1+Pressupostos!$C$157)^2</f>
        <v>10924.2</v>
      </c>
      <c r="F185" s="61" t="n">
        <f aca="false">Pressupostos!$F$410*(1+Pressupostos!$C$156)*(1+Pressupostos!$C$157)^3</f>
        <v>11142.684</v>
      </c>
      <c r="G185" s="61" t="n">
        <f aca="false">Pressupostos!$G$410*(1+Pressupostos!$C$156)*(1+Pressupostos!$C$157)^4</f>
        <v>11365.53768</v>
      </c>
      <c r="H185" s="2" t="s">
        <v>1347</v>
      </c>
    </row>
    <row r="186" customFormat="false" ht="15" hidden="false" customHeight="false" outlineLevel="1" collapsed="false">
      <c r="A186" s="7" t="s">
        <v>452</v>
      </c>
      <c r="B186" s="8" t="s">
        <v>11</v>
      </c>
      <c r="C186" s="61" t="n">
        <f aca="false">Pressupostos!$C$416*(1+Pressupostos!$C$156)*(1+Pressupostos!$C$157)^0</f>
        <v>12600</v>
      </c>
      <c r="D186" s="61" t="n">
        <f aca="false">Pressupostos!$D$416*(1+Pressupostos!$C$156)*(1+Pressupostos!$C$157)^1</f>
        <v>12852</v>
      </c>
      <c r="E186" s="61" t="n">
        <f aca="false">Pressupostos!$E$416*(1+Pressupostos!$C$156)*(1+Pressupostos!$C$157)^2</f>
        <v>13109.04</v>
      </c>
      <c r="F186" s="61" t="n">
        <f aca="false">Pressupostos!$F$416*(1+Pressupostos!$C$156)*(1+Pressupostos!$C$157)^3</f>
        <v>13371.2208</v>
      </c>
      <c r="G186" s="61" t="n">
        <f aca="false">Pressupostos!$G$416*(1+Pressupostos!$C$156)*(1+Pressupostos!$C$157)^4</f>
        <v>13638.645216</v>
      </c>
      <c r="H186" s="2" t="s">
        <v>1348</v>
      </c>
    </row>
    <row r="187" customFormat="false" ht="15" hidden="false" customHeight="false" outlineLevel="1" collapsed="false">
      <c r="A187" s="7" t="s">
        <v>454</v>
      </c>
      <c r="B187" s="8" t="s">
        <v>11</v>
      </c>
      <c r="C187" s="61" t="n">
        <f aca="false">Pressupostos!$C$422*(1+Pressupostos!$C$156)*(1+Pressupostos!$C$157)^0</f>
        <v>31500</v>
      </c>
      <c r="D187" s="61" t="n">
        <f aca="false">Pressupostos!$D$422*(1+Pressupostos!$C$156)*(1+Pressupostos!$C$157)^1</f>
        <v>34272</v>
      </c>
      <c r="E187" s="61" t="n">
        <f aca="false">Pressupostos!$E$422*(1+Pressupostos!$C$156)*(1+Pressupostos!$C$157)^2</f>
        <v>39327.12</v>
      </c>
      <c r="F187" s="61" t="n">
        <f aca="false">Pressupostos!$F$422*(1+Pressupostos!$C$156)*(1+Pressupostos!$C$157)^3</f>
        <v>44570.736</v>
      </c>
      <c r="G187" s="61" t="n">
        <f aca="false">Pressupostos!$G$422*(1+Pressupostos!$C$156)*(1+Pressupostos!$C$157)^4</f>
        <v>50008.365792</v>
      </c>
      <c r="H187" s="2" t="s">
        <v>1349</v>
      </c>
    </row>
    <row r="188" customFormat="false" ht="15" hidden="false" customHeight="false" outlineLevel="1" collapsed="false">
      <c r="A188" s="7" t="s">
        <v>456</v>
      </c>
      <c r="B188" s="8" t="s">
        <v>11</v>
      </c>
      <c r="C188" s="61" t="n">
        <f aca="false">Pressupostos!$C$428*(1+Pressupostos!$C$156)*(1+Pressupostos!$C$157)^0</f>
        <v>15750</v>
      </c>
      <c r="D188" s="61" t="n">
        <f aca="false">Pressupostos!$D$428*(1+Pressupostos!$C$156)*(1+Pressupostos!$C$157)^1</f>
        <v>12852</v>
      </c>
      <c r="E188" s="61" t="n">
        <f aca="false">Pressupostos!$E$428*(1+Pressupostos!$C$156)*(1+Pressupostos!$C$157)^2</f>
        <v>13109.04</v>
      </c>
      <c r="F188" s="61" t="n">
        <f aca="false">Pressupostos!$F$428*(1+Pressupostos!$C$156)*(1+Pressupostos!$C$157)^3</f>
        <v>16714.026</v>
      </c>
      <c r="G188" s="61" t="n">
        <f aca="false">Pressupostos!$G$428*(1+Pressupostos!$C$156)*(1+Pressupostos!$C$157)^4</f>
        <v>17048.30652</v>
      </c>
      <c r="H188" s="2" t="s">
        <v>1350</v>
      </c>
    </row>
    <row r="189" customFormat="false" ht="15" hidden="false" customHeight="false" outlineLevel="1" collapsed="false">
      <c r="A189" s="7" t="s">
        <v>458</v>
      </c>
      <c r="B189" s="8" t="s">
        <v>11</v>
      </c>
      <c r="C189" s="61" t="n">
        <f aca="false">Pressupostos!$C$434*(1+Pressupostos!$C$156)*(1+Pressupostos!$C$157)^0</f>
        <v>10500</v>
      </c>
      <c r="D189" s="61" t="n">
        <f aca="false">Pressupostos!$D$434*(1+Pressupostos!$C$156)*(1+Pressupostos!$C$157)^1</f>
        <v>10710</v>
      </c>
      <c r="E189" s="61" t="n">
        <f aca="false">Pressupostos!$E$434*(1+Pressupostos!$C$156)*(1+Pressupostos!$C$157)^2</f>
        <v>12016.62</v>
      </c>
      <c r="F189" s="61" t="n">
        <f aca="false">Pressupostos!$F$434*(1+Pressupostos!$C$156)*(1+Pressupostos!$C$157)^3</f>
        <v>13371.2208</v>
      </c>
      <c r="G189" s="61" t="n">
        <f aca="false">Pressupostos!$G$434*(1+Pressupostos!$C$156)*(1+Pressupostos!$C$157)^4</f>
        <v>13638.645216</v>
      </c>
      <c r="H189" s="2" t="s">
        <v>1351</v>
      </c>
    </row>
    <row r="190" customFormat="false" ht="15" hidden="false" customHeight="false" outlineLevel="1" collapsed="false">
      <c r="A190" s="7" t="s">
        <v>459</v>
      </c>
      <c r="B190" s="8" t="s">
        <v>11</v>
      </c>
      <c r="C190" s="61" t="n">
        <f aca="false">Pressupostos!$C$440*(1+Pressupostos!$C$156)*(1+Pressupostos!$C$157)^0</f>
        <v>31500</v>
      </c>
      <c r="D190" s="61" t="n">
        <f aca="false">Pressupostos!$D$440*(1+Pressupostos!$C$156)*(1+Pressupostos!$C$157)^1</f>
        <v>32130</v>
      </c>
      <c r="E190" s="61" t="n">
        <f aca="false">Pressupostos!$E$440*(1+Pressupostos!$C$156)*(1+Pressupostos!$C$157)^2</f>
        <v>38234.7</v>
      </c>
      <c r="F190" s="61" t="n">
        <f aca="false">Pressupostos!$F$440*(1+Pressupostos!$C$156)*(1+Pressupostos!$C$157)^3</f>
        <v>44570.736</v>
      </c>
      <c r="G190" s="61" t="n">
        <f aca="false">Pressupostos!$G$440*(1+Pressupostos!$C$156)*(1+Pressupostos!$C$157)^4</f>
        <v>51144.91956</v>
      </c>
      <c r="H190" s="2" t="s">
        <v>1352</v>
      </c>
    </row>
    <row r="191" customFormat="false" ht="15" hidden="false" customHeight="false" outlineLevel="1" collapsed="false">
      <c r="A191" s="7" t="s">
        <v>461</v>
      </c>
      <c r="B191" s="8" t="s">
        <v>11</v>
      </c>
      <c r="C191" s="61" t="n">
        <f aca="false">Pressupostos!$C$446*(1+Pressupostos!$C$156)*(1+Pressupostos!$C$157)^0</f>
        <v>12600</v>
      </c>
      <c r="D191" s="61" t="n">
        <f aca="false">Pressupostos!$D$446*(1+Pressupostos!$C$156)*(1+Pressupostos!$C$157)^1</f>
        <v>12852</v>
      </c>
      <c r="E191" s="61" t="n">
        <f aca="false">Pressupostos!$E$446*(1+Pressupostos!$C$156)*(1+Pressupostos!$C$157)^2</f>
        <v>13109.04</v>
      </c>
      <c r="F191" s="61" t="n">
        <f aca="false">Pressupostos!$F$446*(1+Pressupostos!$C$156)*(1+Pressupostos!$C$157)^3</f>
        <v>16714.026</v>
      </c>
      <c r="G191" s="61" t="n">
        <f aca="false">Pressupostos!$G$446*(1+Pressupostos!$C$156)*(1+Pressupostos!$C$157)^4</f>
        <v>17048.30652</v>
      </c>
      <c r="H191" s="2" t="s">
        <v>1353</v>
      </c>
    </row>
    <row r="192" customFormat="false" ht="15" hidden="false" customHeight="false" outlineLevel="1" collapsed="false">
      <c r="A192" s="7" t="s">
        <v>463</v>
      </c>
      <c r="B192" s="8" t="s">
        <v>11</v>
      </c>
      <c r="C192" s="61" t="n">
        <f aca="false">Pressupostos!$C$452*(1+Pressupostos!$C$156)*(1+Pressupostos!$C$157)^0</f>
        <v>15750</v>
      </c>
      <c r="D192" s="61" t="n">
        <f aca="false">Pressupostos!$D$452*(1+Pressupostos!$C$156)*(1+Pressupostos!$C$157)^1</f>
        <v>16065</v>
      </c>
      <c r="E192" s="61" t="n">
        <f aca="false">Pressupostos!$E$452*(1+Pressupostos!$C$156)*(1+Pressupostos!$C$157)^2</f>
        <v>19663.56</v>
      </c>
      <c r="F192" s="61" t="n">
        <f aca="false">Pressupostos!$F$452*(1+Pressupostos!$C$156)*(1+Pressupostos!$C$157)^3</f>
        <v>22285.368</v>
      </c>
      <c r="G192" s="61" t="n">
        <f aca="false">Pressupostos!$G$452*(1+Pressupostos!$C$156)*(1+Pressupostos!$C$157)^4</f>
        <v>25004.182896</v>
      </c>
      <c r="H192" s="2" t="s">
        <v>1354</v>
      </c>
    </row>
    <row r="193" customFormat="false" ht="15" hidden="false" customHeight="false" outlineLevel="1" collapsed="false">
      <c r="A193" s="7" t="s">
        <v>464</v>
      </c>
      <c r="B193" s="8" t="s">
        <v>11</v>
      </c>
      <c r="C193" s="61" t="n">
        <f aca="false">Pressupostos!$C$458*(1+Pressupostos!$C$156)*(1+Pressupostos!$C$157)^0</f>
        <v>4200</v>
      </c>
      <c r="D193" s="61" t="n">
        <f aca="false">Pressupostos!$D$458*(1+Pressupostos!$C$156)*(1+Pressupostos!$C$157)^1</f>
        <v>4284</v>
      </c>
      <c r="E193" s="61" t="n">
        <f aca="false">Pressupostos!$E$458*(1+Pressupostos!$C$156)*(1+Pressupostos!$C$157)^2</f>
        <v>5462.1</v>
      </c>
      <c r="F193" s="61" t="n">
        <f aca="false">Pressupostos!$F$458*(1+Pressupostos!$C$156)*(1+Pressupostos!$C$157)^3</f>
        <v>6685.6104</v>
      </c>
      <c r="G193" s="61" t="n">
        <f aca="false">Pressupostos!$G$458*(1+Pressupostos!$C$156)*(1+Pressupostos!$C$157)^4</f>
        <v>6819.322608</v>
      </c>
      <c r="H193" s="2" t="s">
        <v>1355</v>
      </c>
    </row>
    <row r="194" customFormat="false" ht="15" hidden="false" customHeight="false" outlineLevel="1" collapsed="false">
      <c r="A194" s="7" t="s">
        <v>701</v>
      </c>
      <c r="B194" s="8" t="s">
        <v>11</v>
      </c>
      <c r="C194" s="61" t="n">
        <f aca="false">C184+C185+C186+C187+C188+C189+C190+C191+C192+C193</f>
        <v>239400</v>
      </c>
      <c r="D194" s="61" t="n">
        <f aca="false">D184+D185+D186+D187+D188+D189+D190+D191+D192+D193</f>
        <v>189567</v>
      </c>
      <c r="E194" s="61" t="n">
        <f aca="false">E184+E185+E186+E187+E188+E189+E190+E191+E192+E193</f>
        <v>203190.12</v>
      </c>
      <c r="F194" s="61" t="n">
        <f aca="false">F184+F185+F186+F187+F188+F189+F190+F191+F192+F193</f>
        <v>228425.022</v>
      </c>
      <c r="G194" s="61" t="n">
        <f aca="false">G184+G185+G186+G187+G188+G189+G190+G191+G192+G193</f>
        <v>245495.613888</v>
      </c>
      <c r="H194" s="2" t="s">
        <v>1356</v>
      </c>
    </row>
    <row r="195" customFormat="false" ht="15" hidden="false" customHeight="false" outlineLevel="1" collapsed="false">
      <c r="A195" s="7" t="s">
        <v>702</v>
      </c>
      <c r="B195" s="8" t="s">
        <v>11</v>
      </c>
      <c r="C195" s="61" t="n">
        <f aca="false">Pressupostos!$C$114+Pressupostos!$C$115+Pressupostos!$C$116*Pressupostos!$C$293+Pressupostos!$C$466+Pressupostos!$C$305</f>
        <v>65000</v>
      </c>
      <c r="D195" s="61" t="n">
        <f aca="false">Pressupostos!$C$115+Pressupostos!$C$116*Pressupostos!$D$293+Pressupostos!$D$466+Pressupostos!$D$305</f>
        <v>60000</v>
      </c>
      <c r="E195" s="61" t="n">
        <f aca="false">Pressupostos!$C$115+Pressupostos!$C$116*Pressupostos!$E$293+Pressupostos!$E$466+Pressupostos!$E$305</f>
        <v>65000</v>
      </c>
      <c r="F195" s="61" t="n">
        <f aca="false">Pressupostos!$C$115+Pressupostos!$C$116*Pressupostos!$F$293+Pressupostos!$F$466+Pressupostos!$F$305</f>
        <v>65000</v>
      </c>
      <c r="G195" s="61" t="n">
        <f aca="false">Pressupostos!$C$115+Pressupostos!$C$116*Pressupostos!$G$293+Pressupostos!$G$466+Pressupostos!$G$305</f>
        <v>65000</v>
      </c>
      <c r="H195" s="2" t="s">
        <v>1357</v>
      </c>
    </row>
    <row r="196" customFormat="false" ht="15" hidden="false" customHeight="false" outlineLevel="1" collapsed="false">
      <c r="A196" s="7" t="s">
        <v>703</v>
      </c>
      <c r="B196" s="8" t="s">
        <v>11</v>
      </c>
      <c r="C196" s="61" t="n">
        <f aca="false">IF(C8&lt;Pressupostos!$C$120,0,MAX(Pressupostos!$C$299,Pressupostos!$C$118*(C102+C103)+Pressupostos!$C$119*C104))</f>
        <v>0</v>
      </c>
      <c r="D196" s="61" t="n">
        <f aca="false">IF(D8&lt;Pressupostos!$C$120,0,MAX(Pressupostos!$D$299,Pressupostos!$C$118*(D102+D103)+Pressupostos!$C$119*D104))</f>
        <v>2575.44</v>
      </c>
      <c r="E196" s="61" t="n">
        <f aca="false">IF(E8&lt;Pressupostos!$C$120,0,MAX(Pressupostos!$E$299,Pressupostos!$C$118*(E102+E103)+Pressupostos!$C$119*E104))</f>
        <v>5174.64</v>
      </c>
      <c r="F196" s="61" t="n">
        <f aca="false">IF(F8&lt;Pressupostos!$C$120,0,MAX(Pressupostos!$F$299,Pressupostos!$C$118*(F102+F103)+Pressupostos!$C$119*F104))</f>
        <v>7776.48</v>
      </c>
      <c r="G196" s="61" t="n">
        <f aca="false">IF(G8&lt;Pressupostos!$C$120,0,MAX(Pressupostos!$G$299,Pressupostos!$C$118*(G102+G103)+Pressupostos!$C$119*G104))</f>
        <v>10351.92</v>
      </c>
      <c r="H196" s="2" t="s">
        <v>1358</v>
      </c>
    </row>
    <row r="197" customFormat="false" ht="15" hidden="false" customHeight="false" outlineLevel="1" collapsed="false">
      <c r="A197" s="56" t="s">
        <v>704</v>
      </c>
      <c r="B197" s="57" t="s">
        <v>11</v>
      </c>
      <c r="C197" s="62" t="n">
        <f aca="false">C194+C195+C196</f>
        <v>304400</v>
      </c>
      <c r="D197" s="62" t="n">
        <f aca="false">D194+D195+D196</f>
        <v>252142.44</v>
      </c>
      <c r="E197" s="62" t="n">
        <f aca="false">E194+E195+E196</f>
        <v>273364.76</v>
      </c>
      <c r="F197" s="62" t="n">
        <f aca="false">F194+F195+F196</f>
        <v>301201.502</v>
      </c>
      <c r="G197" s="62" t="n">
        <f aca="false">G194+G195+G196</f>
        <v>320847.533888</v>
      </c>
      <c r="H197" s="2" t="s">
        <v>1359</v>
      </c>
    </row>
    <row r="198" customFormat="false" ht="15" hidden="false" customHeight="false" outlineLevel="0" collapsed="false">
      <c r="A198" s="3" t="s">
        <v>1360</v>
      </c>
      <c r="B198" s="4"/>
      <c r="C198" s="4"/>
      <c r="D198" s="4"/>
      <c r="E198" s="4"/>
      <c r="F198" s="4"/>
      <c r="G198" s="4"/>
      <c r="H198" s="4"/>
    </row>
    <row r="199" customFormat="false" ht="15" hidden="false" customHeight="false" outlineLevel="1" collapsed="false">
      <c r="A199" s="7" t="s">
        <v>706</v>
      </c>
      <c r="B199" s="8" t="s">
        <v>11</v>
      </c>
      <c r="C199" s="61" t="n">
        <f aca="false">Pressupostos!$C$165*Pressupostos!$C$312</f>
        <v>18000</v>
      </c>
      <c r="D199" s="61" t="n">
        <f aca="false">Pressupostos!$C$165*Pressupostos!$D$312</f>
        <v>0</v>
      </c>
      <c r="E199" s="61" t="n">
        <f aca="false">Pressupostos!$C$165*Pressupostos!$E$312</f>
        <v>6000</v>
      </c>
      <c r="F199" s="61" t="n">
        <f aca="false">Pressupostos!$C$165*Pressupostos!$F$312</f>
        <v>6000</v>
      </c>
      <c r="G199" s="61" t="n">
        <f aca="false">Pressupostos!$C$165*Pressupostos!$G$312</f>
        <v>6000</v>
      </c>
      <c r="H199" s="2" t="s">
        <v>1361</v>
      </c>
    </row>
    <row r="200" customFormat="false" ht="15" hidden="false" customHeight="false" outlineLevel="1" collapsed="false">
      <c r="A200" s="7" t="s">
        <v>707</v>
      </c>
      <c r="B200" s="8" t="s">
        <v>11</v>
      </c>
      <c r="C200" s="53" t="n">
        <f aca="false">Pressupostos!$C$318</f>
        <v>60000</v>
      </c>
      <c r="D200" s="53" t="n">
        <f aca="false">Pressupostos!$D$318</f>
        <v>10000</v>
      </c>
      <c r="E200" s="53" t="n">
        <f aca="false">Pressupostos!$E$318</f>
        <v>10000</v>
      </c>
      <c r="F200" s="53" t="n">
        <f aca="false">Pressupostos!$F$318</f>
        <v>10000</v>
      </c>
      <c r="G200" s="53" t="n">
        <f aca="false">Pressupostos!$G$318</f>
        <v>10000</v>
      </c>
      <c r="H200" s="2" t="s">
        <v>1362</v>
      </c>
    </row>
    <row r="201" customFormat="false" ht="15" hidden="false" customHeight="false" outlineLevel="1" collapsed="false">
      <c r="A201" s="7" t="s">
        <v>708</v>
      </c>
      <c r="B201" s="8" t="s">
        <v>11</v>
      </c>
      <c r="C201" s="53" t="n">
        <f aca="false">Pressupostos!$C$324</f>
        <v>0</v>
      </c>
      <c r="D201" s="53" t="n">
        <f aca="false">Pressupostos!$D$324</f>
        <v>5000</v>
      </c>
      <c r="E201" s="53" t="n">
        <f aca="false">Pressupostos!$E$324</f>
        <v>5000</v>
      </c>
      <c r="F201" s="53" t="n">
        <f aca="false">Pressupostos!$F$324</f>
        <v>5000</v>
      </c>
      <c r="G201" s="53" t="n">
        <f aca="false">Pressupostos!$G$324</f>
        <v>5000</v>
      </c>
      <c r="H201" s="2" t="s">
        <v>1363</v>
      </c>
    </row>
    <row r="202" customFormat="false" ht="15" hidden="false" customHeight="false" outlineLevel="1" collapsed="false">
      <c r="A202" s="7" t="s">
        <v>709</v>
      </c>
      <c r="B202" s="8" t="s">
        <v>11</v>
      </c>
      <c r="C202" s="61" t="n">
        <f aca="false">Pressupostos!$C$166*MAX(0,C164)</f>
        <v>14000</v>
      </c>
      <c r="D202" s="61" t="n">
        <f aca="false">Pressupostos!$C$166*MAX(0,D164-C164)</f>
        <v>0</v>
      </c>
      <c r="E202" s="61" t="n">
        <f aca="false">Pressupostos!$C$166*MAX(0,E164-D164)</f>
        <v>0</v>
      </c>
      <c r="F202" s="61" t="n">
        <f aca="false">Pressupostos!$C$166*MAX(0,F164-E164)</f>
        <v>1000</v>
      </c>
      <c r="G202" s="61" t="n">
        <f aca="false">Pressupostos!$C$166*MAX(0,G164-F164)</f>
        <v>0</v>
      </c>
      <c r="H202" s="2" t="s">
        <v>1364</v>
      </c>
    </row>
    <row r="203" customFormat="false" ht="15" hidden="false" customHeight="false" outlineLevel="1" collapsed="false">
      <c r="A203" s="7" t="s">
        <v>424</v>
      </c>
      <c r="B203" s="8" t="s">
        <v>11</v>
      </c>
      <c r="C203" s="61" t="n">
        <f aca="false">C199+C200+C201+C202</f>
        <v>92000</v>
      </c>
      <c r="D203" s="61" t="n">
        <f aca="false">D199+D200+D201+D202</f>
        <v>15000</v>
      </c>
      <c r="E203" s="61" t="n">
        <f aca="false">E199+E200+E201+E202</f>
        <v>21000</v>
      </c>
      <c r="F203" s="61" t="n">
        <f aca="false">F199+F200+F201+F202</f>
        <v>22000</v>
      </c>
      <c r="G203" s="61" t="n">
        <f aca="false">G199+G200+G201+G202</f>
        <v>21000</v>
      </c>
      <c r="H203" s="2" t="s">
        <v>1365</v>
      </c>
    </row>
    <row r="204" customFormat="false" ht="15" hidden="false" customHeight="false" outlineLevel="1" collapsed="false">
      <c r="A204" s="7" t="s">
        <v>710</v>
      </c>
      <c r="B204" s="8" t="s">
        <v>11</v>
      </c>
      <c r="C204" s="61" t="n">
        <f aca="false">(C200*((0)&lt;Pressupostos!$C$167))/Pressupostos!$C$167</f>
        <v>20000</v>
      </c>
      <c r="D204" s="61" t="n">
        <f aca="false">(C200*((1)&lt;Pressupostos!$C$167)+D200*((0)&lt;Pressupostos!$C$167))/Pressupostos!$C$167</f>
        <v>23333.3333333333</v>
      </c>
      <c r="E204" s="61" t="n">
        <f aca="false">(C200*((2)&lt;Pressupostos!$C$167)+D200*((1)&lt;Pressupostos!$C$167)+E200*((0)&lt;Pressupostos!$C$167))/Pressupostos!$C$167</f>
        <v>26666.6666666667</v>
      </c>
      <c r="F204" s="61" t="n">
        <f aca="false">(C200*((3)&lt;Pressupostos!$C$167)+D200*((2)&lt;Pressupostos!$C$167)+E200*((1)&lt;Pressupostos!$C$167)+F200*((0)&lt;Pressupostos!$C$167))/Pressupostos!$C$167</f>
        <v>10000</v>
      </c>
      <c r="G204" s="61" t="n">
        <f aca="false">(C200*((4)&lt;Pressupostos!$C$167)+D200*((3)&lt;Pressupostos!$C$167)+E200*((2)&lt;Pressupostos!$C$167)+F200*((1)&lt;Pressupostos!$C$167)+G200*((0)&lt;Pressupostos!$C$167))/Pressupostos!$C$167</f>
        <v>10000</v>
      </c>
      <c r="H204" s="2" t="s">
        <v>1366</v>
      </c>
    </row>
    <row r="205" customFormat="false" ht="15" hidden="false" customHeight="false" outlineLevel="1" collapsed="false">
      <c r="A205" s="7" t="s">
        <v>711</v>
      </c>
      <c r="B205" s="8" t="s">
        <v>11</v>
      </c>
      <c r="C205" s="61" t="n">
        <f aca="false">(C201*((0)&lt;Pressupostos!$C$167))/Pressupostos!$C$167</f>
        <v>0</v>
      </c>
      <c r="D205" s="61" t="n">
        <f aca="false">(C201*((1)&lt;Pressupostos!$C$167)+D201*((0)&lt;Pressupostos!$C$167))/Pressupostos!$C$167</f>
        <v>1666.66666666667</v>
      </c>
      <c r="E205" s="61" t="n">
        <f aca="false">(C201*((2)&lt;Pressupostos!$C$167)+D201*((1)&lt;Pressupostos!$C$167)+E201*((0)&lt;Pressupostos!$C$167))/Pressupostos!$C$167</f>
        <v>3333.33333333333</v>
      </c>
      <c r="F205" s="61" t="n">
        <f aca="false">(C201*((3)&lt;Pressupostos!$C$167)+D201*((2)&lt;Pressupostos!$C$167)+E201*((1)&lt;Pressupostos!$C$167)+F201*((0)&lt;Pressupostos!$C$167))/Pressupostos!$C$167</f>
        <v>5000</v>
      </c>
      <c r="G205" s="61" t="n">
        <f aca="false">(C201*((4)&lt;Pressupostos!$C$167)+D201*((3)&lt;Pressupostos!$C$167)+E201*((2)&lt;Pressupostos!$C$167)+F201*((1)&lt;Pressupostos!$C$167)+G201*((0)&lt;Pressupostos!$C$167))/Pressupostos!$C$167</f>
        <v>5000</v>
      </c>
      <c r="H205" s="2" t="s">
        <v>1367</v>
      </c>
    </row>
    <row r="206" customFormat="false" ht="15" hidden="false" customHeight="false" outlineLevel="1" collapsed="false">
      <c r="A206" s="7" t="s">
        <v>712</v>
      </c>
      <c r="B206" s="8" t="s">
        <v>11</v>
      </c>
      <c r="C206" s="61" t="n">
        <f aca="false">(C199*((0)&lt;Pressupostos!$C$169))/Pressupostos!$C$169</f>
        <v>3600</v>
      </c>
      <c r="D206" s="61" t="n">
        <f aca="false">(C199*((1)&lt;Pressupostos!$C$169)+D199*((0)&lt;Pressupostos!$C$169))/Pressupostos!$C$169</f>
        <v>3600</v>
      </c>
      <c r="E206" s="61" t="n">
        <f aca="false">(C199*((2)&lt;Pressupostos!$C$169)+D199*((1)&lt;Pressupostos!$C$169)+E199*((0)&lt;Pressupostos!$C$169))/Pressupostos!$C$169</f>
        <v>4800</v>
      </c>
      <c r="F206" s="61" t="n">
        <f aca="false">(C199*((3)&lt;Pressupostos!$C$169)+D199*((2)&lt;Pressupostos!$C$169)+E199*((1)&lt;Pressupostos!$C$169)+F199*((0)&lt;Pressupostos!$C$169))/Pressupostos!$C$169</f>
        <v>6000</v>
      </c>
      <c r="G206" s="61" t="n">
        <f aca="false">(C199*((4)&lt;Pressupostos!$C$169)+D199*((3)&lt;Pressupostos!$C$169)+E199*((2)&lt;Pressupostos!$C$169)+F199*((1)&lt;Pressupostos!$C$169)+G199*((0)&lt;Pressupostos!$C$169))/Pressupostos!$C$169</f>
        <v>7200</v>
      </c>
      <c r="H206" s="2" t="s">
        <v>1368</v>
      </c>
    </row>
    <row r="207" customFormat="false" ht="15" hidden="false" customHeight="false" outlineLevel="1" collapsed="false">
      <c r="A207" s="7" t="s">
        <v>713</v>
      </c>
      <c r="B207" s="8" t="s">
        <v>11</v>
      </c>
      <c r="C207" s="61" t="n">
        <f aca="false">(C202*((0)&lt;Pressupostos!$C$168))/Pressupostos!$C$168</f>
        <v>3500</v>
      </c>
      <c r="D207" s="61" t="n">
        <f aca="false">(C202*((1)&lt;Pressupostos!$C$168)+D202*((0)&lt;Pressupostos!$C$168))/Pressupostos!$C$168</f>
        <v>3500</v>
      </c>
      <c r="E207" s="61" t="n">
        <f aca="false">(C202*((2)&lt;Pressupostos!$C$168)+D202*((1)&lt;Pressupostos!$C$168)+E202*((0)&lt;Pressupostos!$C$168))/Pressupostos!$C$168</f>
        <v>3500</v>
      </c>
      <c r="F207" s="61" t="n">
        <f aca="false">(C202*((3)&lt;Pressupostos!$C$168)+D202*((2)&lt;Pressupostos!$C$168)+E202*((1)&lt;Pressupostos!$C$168)+F202*((0)&lt;Pressupostos!$C$168))/Pressupostos!$C$168</f>
        <v>3750</v>
      </c>
      <c r="G207" s="61" t="n">
        <f aca="false">(C202*((4)&lt;Pressupostos!$C$168)+D202*((3)&lt;Pressupostos!$C$168)+E202*((2)&lt;Pressupostos!$C$168)+F202*((1)&lt;Pressupostos!$C$168)+G202*((0)&lt;Pressupostos!$C$168))/Pressupostos!$C$168</f>
        <v>250</v>
      </c>
      <c r="H207" s="2" t="s">
        <v>1369</v>
      </c>
    </row>
    <row r="208" customFormat="false" ht="15" hidden="false" customHeight="false" outlineLevel="1" collapsed="false">
      <c r="A208" s="7" t="s">
        <v>714</v>
      </c>
      <c r="B208" s="8" t="s">
        <v>11</v>
      </c>
      <c r="C208" s="61" t="n">
        <f aca="false">C204+C205+C206+C207</f>
        <v>27100</v>
      </c>
      <c r="D208" s="61" t="n">
        <f aca="false">D204+D205+D206+D207</f>
        <v>32100</v>
      </c>
      <c r="E208" s="61" t="n">
        <f aca="false">E204+E205+E206+E207</f>
        <v>38300</v>
      </c>
      <c r="F208" s="61" t="n">
        <f aca="false">F204+F205+F206+F207</f>
        <v>24750</v>
      </c>
      <c r="G208" s="61" t="n">
        <f aca="false">G204+G205+G206+G207</f>
        <v>22450</v>
      </c>
      <c r="H208" s="2" t="s">
        <v>1370</v>
      </c>
    </row>
    <row r="209" customFormat="false" ht="15" hidden="false" customHeight="false" outlineLevel="0" collapsed="false">
      <c r="A209" s="3" t="s">
        <v>1371</v>
      </c>
      <c r="B209" s="4"/>
      <c r="C209" s="4"/>
      <c r="D209" s="4"/>
      <c r="E209" s="4"/>
      <c r="F209" s="4"/>
      <c r="G209" s="4"/>
      <c r="H209" s="4"/>
    </row>
    <row r="210" customFormat="false" ht="15" hidden="false" customHeight="false" outlineLevel="1" collapsed="false">
      <c r="A210" s="56" t="s">
        <v>718</v>
      </c>
      <c r="B210" s="57" t="s">
        <v>11</v>
      </c>
      <c r="C210" s="62" t="n">
        <f aca="false">C112</f>
        <v>172122</v>
      </c>
      <c r="D210" s="62" t="n">
        <f aca="false">D112</f>
        <v>643860</v>
      </c>
      <c r="E210" s="62" t="n">
        <f aca="false">E112</f>
        <v>1372160</v>
      </c>
      <c r="F210" s="62" t="n">
        <f aca="false">F112</f>
        <v>2111120</v>
      </c>
      <c r="G210" s="62" t="n">
        <f aca="false">G112</f>
        <v>2843480</v>
      </c>
      <c r="H210" s="2" t="s">
        <v>1372</v>
      </c>
    </row>
    <row r="211" customFormat="false" ht="15" hidden="false" customHeight="false" outlineLevel="1" collapsed="false">
      <c r="A211" s="7" t="s">
        <v>688</v>
      </c>
      <c r="B211" s="8" t="s">
        <v>11</v>
      </c>
      <c r="C211" s="61" t="n">
        <f aca="false">-C135</f>
        <v>-164600</v>
      </c>
      <c r="D211" s="61" t="n">
        <f aca="false">-D135</f>
        <v>-617100</v>
      </c>
      <c r="E211" s="61" t="n">
        <f aca="false">-E135</f>
        <v>-1305100</v>
      </c>
      <c r="F211" s="61" t="n">
        <f aca="false">-F135</f>
        <v>-1993200</v>
      </c>
      <c r="G211" s="61" t="n">
        <f aca="false">-G135</f>
        <v>-2680300</v>
      </c>
      <c r="H211" s="2" t="s">
        <v>1373</v>
      </c>
    </row>
    <row r="212" customFormat="false" ht="15" hidden="false" customHeight="false" outlineLevel="1" collapsed="false">
      <c r="A212" s="56" t="s">
        <v>719</v>
      </c>
      <c r="B212" s="57" t="s">
        <v>11</v>
      </c>
      <c r="C212" s="62" t="n">
        <f aca="false">C210+C211</f>
        <v>7522</v>
      </c>
      <c r="D212" s="62" t="n">
        <f aca="false">D210+D211</f>
        <v>26760</v>
      </c>
      <c r="E212" s="62" t="n">
        <f aca="false">E210+E211</f>
        <v>67060</v>
      </c>
      <c r="F212" s="62" t="n">
        <f aca="false">F210+F211</f>
        <v>117920</v>
      </c>
      <c r="G212" s="62" t="n">
        <f aca="false">G210+G211</f>
        <v>163180</v>
      </c>
      <c r="H212" s="2" t="s">
        <v>1374</v>
      </c>
    </row>
    <row r="213" customFormat="false" ht="15" hidden="false" customHeight="false" outlineLevel="1" collapsed="false">
      <c r="A213" s="2" t="s">
        <v>720</v>
      </c>
      <c r="B213" s="8" t="s">
        <v>76</v>
      </c>
      <c r="C213" s="59" t="n">
        <f aca="false">IF(C210&gt;0,C212/C210,0)</f>
        <v>0.0437015605210258</v>
      </c>
      <c r="D213" s="59" t="n">
        <f aca="false">IF(D210&gt;0,D212/D210,0)</f>
        <v>0.0415618302115367</v>
      </c>
      <c r="E213" s="59" t="n">
        <f aca="false">IF(E210&gt;0,E212/E210,0)</f>
        <v>0.0488718516791045</v>
      </c>
      <c r="F213" s="59" t="n">
        <f aca="false">IF(F210&gt;0,F212/F210,0)</f>
        <v>0.0558566069195499</v>
      </c>
      <c r="G213" s="59" t="n">
        <f aca="false">IF(G210&gt;0,G212/G210,0)</f>
        <v>0.0573874266743568</v>
      </c>
      <c r="H213" s="2" t="s">
        <v>1375</v>
      </c>
    </row>
    <row r="214" customFormat="false" ht="15" hidden="false" customHeight="false" outlineLevel="1" collapsed="false">
      <c r="A214" s="7" t="s">
        <v>721</v>
      </c>
      <c r="B214" s="8" t="s">
        <v>11</v>
      </c>
      <c r="C214" s="61" t="n">
        <f aca="false">-C146</f>
        <v>-11322.3466666667</v>
      </c>
      <c r="D214" s="61" t="n">
        <f aca="false">-D146</f>
        <v>-41859.38</v>
      </c>
      <c r="E214" s="61" t="n">
        <f aca="false">-E146</f>
        <v>-89076.28</v>
      </c>
      <c r="F214" s="61" t="n">
        <f aca="false">-F146</f>
        <v>-143251.764761905</v>
      </c>
      <c r="G214" s="61" t="n">
        <f aca="false">-G146</f>
        <v>-193109.116190476</v>
      </c>
      <c r="H214" s="2" t="s">
        <v>1376</v>
      </c>
    </row>
    <row r="215" customFormat="false" ht="15" hidden="false" customHeight="false" outlineLevel="1" collapsed="false">
      <c r="A215" s="7" t="s">
        <v>698</v>
      </c>
      <c r="B215" s="8" t="s">
        <v>11</v>
      </c>
      <c r="C215" s="61" t="n">
        <f aca="false">-C149</f>
        <v>-0</v>
      </c>
      <c r="D215" s="61" t="n">
        <f aca="false">-D149</f>
        <v>-14651.1722113503</v>
      </c>
      <c r="E215" s="61" t="n">
        <f aca="false">-E149</f>
        <v>-31789.5675146771</v>
      </c>
      <c r="F215" s="61" t="n">
        <f aca="false">-F149</f>
        <v>-39818.9236790607</v>
      </c>
      <c r="G215" s="61" t="n">
        <f aca="false">-G149</f>
        <v>-49150.7260273973</v>
      </c>
      <c r="H215" s="2" t="s">
        <v>1377</v>
      </c>
    </row>
    <row r="216" customFormat="false" ht="15" hidden="false" customHeight="false" outlineLevel="1" collapsed="false">
      <c r="A216" s="56" t="s">
        <v>677</v>
      </c>
      <c r="B216" s="57" t="s">
        <v>11</v>
      </c>
      <c r="C216" s="62" t="n">
        <f aca="false">C212+C214+C215</f>
        <v>-3800.34666666667</v>
      </c>
      <c r="D216" s="62" t="n">
        <f aca="false">D212+D214+D215</f>
        <v>-29750.5522113503</v>
      </c>
      <c r="E216" s="62" t="n">
        <f aca="false">E212+E214+E215</f>
        <v>-53805.8475146771</v>
      </c>
      <c r="F216" s="62" t="n">
        <f aca="false">F212+F214+F215</f>
        <v>-65150.6884409652</v>
      </c>
      <c r="G216" s="62" t="n">
        <f aca="false">G212+G214+G215</f>
        <v>-79079.8422178734</v>
      </c>
      <c r="H216" s="2" t="s">
        <v>1378</v>
      </c>
    </row>
    <row r="217" customFormat="false" ht="15" hidden="false" customHeight="false" outlineLevel="1" collapsed="false">
      <c r="A217" s="7" t="s">
        <v>261</v>
      </c>
      <c r="B217" s="8" t="s">
        <v>11</v>
      </c>
      <c r="C217" s="61" t="n">
        <f aca="false">-C181</f>
        <v>-400885.59375</v>
      </c>
      <c r="D217" s="61" t="n">
        <f aca="false">-D181</f>
        <v>-456091.725</v>
      </c>
      <c r="E217" s="61" t="n">
        <f aca="false">-E181</f>
        <v>-469774.47675</v>
      </c>
      <c r="F217" s="61" t="n">
        <f aca="false">-F181</f>
        <v>-515877.78260875</v>
      </c>
      <c r="G217" s="61" t="n">
        <f aca="false">-G181</f>
        <v>-531354.116087013</v>
      </c>
      <c r="H217" s="2" t="s">
        <v>1379</v>
      </c>
    </row>
    <row r="218" customFormat="false" ht="15" hidden="false" customHeight="false" outlineLevel="1" collapsed="false">
      <c r="A218" s="7" t="s">
        <v>722</v>
      </c>
      <c r="B218" s="8" t="s">
        <v>11</v>
      </c>
      <c r="C218" s="61" t="n">
        <f aca="false">-C197</f>
        <v>-304400</v>
      </c>
      <c r="D218" s="61" t="n">
        <f aca="false">-D197</f>
        <v>-252142.44</v>
      </c>
      <c r="E218" s="61" t="n">
        <f aca="false">-E197</f>
        <v>-273364.76</v>
      </c>
      <c r="F218" s="61" t="n">
        <f aca="false">-F197</f>
        <v>-301201.502</v>
      </c>
      <c r="G218" s="61" t="n">
        <f aca="false">-G197</f>
        <v>-320847.533888</v>
      </c>
      <c r="H218" s="2" t="s">
        <v>1380</v>
      </c>
    </row>
    <row r="219" customFormat="false" ht="15" hidden="false" customHeight="false" outlineLevel="1" collapsed="false">
      <c r="A219" s="56" t="s">
        <v>723</v>
      </c>
      <c r="B219" s="57" t="s">
        <v>11</v>
      </c>
      <c r="C219" s="62" t="n">
        <f aca="false">C216+C217+C218</f>
        <v>-709085.940416667</v>
      </c>
      <c r="D219" s="62" t="n">
        <f aca="false">D216+D217+D218</f>
        <v>-737984.71721135</v>
      </c>
      <c r="E219" s="62" t="n">
        <f aca="false">E216+E217+E218</f>
        <v>-796945.084264677</v>
      </c>
      <c r="F219" s="62" t="n">
        <f aca="false">F216+F217+F218</f>
        <v>-882229.973049715</v>
      </c>
      <c r="G219" s="62" t="n">
        <f aca="false">G216+G217+G218</f>
        <v>-931281.492192886</v>
      </c>
      <c r="H219" s="2" t="s">
        <v>1381</v>
      </c>
    </row>
    <row r="220" customFormat="false" ht="15" hidden="false" customHeight="false" outlineLevel="1" collapsed="false">
      <c r="A220" s="2" t="s">
        <v>725</v>
      </c>
      <c r="B220" s="8" t="s">
        <v>76</v>
      </c>
      <c r="C220" s="59" t="n">
        <f aca="false">IF(C210&gt;0,C219/C210,0)</f>
        <v>-4.11967058491458</v>
      </c>
      <c r="D220" s="59" t="n">
        <f aca="false">IF(D210&gt;0,D219/D210,0)</f>
        <v>-1.14618817322298</v>
      </c>
      <c r="E220" s="59" t="n">
        <f aca="false">IF(E210&gt;0,E219/E210,0)</f>
        <v>-0.58079603272554</v>
      </c>
      <c r="F220" s="59" t="n">
        <f aca="false">IF(F210&gt;0,F219/F210,0)</f>
        <v>-0.41789664872187</v>
      </c>
      <c r="G220" s="59" t="n">
        <f aca="false">IF(G210&gt;0,G219/G210,0)</f>
        <v>-0.3275146975512</v>
      </c>
      <c r="H220" s="2" t="s">
        <v>1382</v>
      </c>
    </row>
    <row r="221" customFormat="false" ht="15" hidden="false" customHeight="false" outlineLevel="1" collapsed="false">
      <c r="A221" s="2" t="s">
        <v>726</v>
      </c>
      <c r="B221" s="8" t="s">
        <v>11</v>
      </c>
      <c r="C221" s="61" t="n">
        <f aca="false">C219+C149</f>
        <v>-709085.940416667</v>
      </c>
      <c r="D221" s="61" t="n">
        <f aca="false">D219+D149</f>
        <v>-723333.545</v>
      </c>
      <c r="E221" s="61" t="n">
        <f aca="false">E219+E149</f>
        <v>-765155.51675</v>
      </c>
      <c r="F221" s="61" t="n">
        <f aca="false">F219+F149</f>
        <v>-842411.049370655</v>
      </c>
      <c r="G221" s="61" t="n">
        <f aca="false">G219+G149</f>
        <v>-882130.766165489</v>
      </c>
      <c r="H221" s="2" t="s">
        <v>1383</v>
      </c>
    </row>
    <row r="222" customFormat="false" ht="15" hidden="false" customHeight="false" outlineLevel="1" collapsed="false">
      <c r="A222" s="7" t="s">
        <v>714</v>
      </c>
      <c r="B222" s="8" t="s">
        <v>11</v>
      </c>
      <c r="C222" s="61" t="n">
        <f aca="false">-C208</f>
        <v>-27100</v>
      </c>
      <c r="D222" s="61" t="n">
        <f aca="false">-D208</f>
        <v>-32100</v>
      </c>
      <c r="E222" s="61" t="n">
        <f aca="false">-E208</f>
        <v>-38300</v>
      </c>
      <c r="F222" s="61" t="n">
        <f aca="false">-F208</f>
        <v>-24750</v>
      </c>
      <c r="G222" s="61" t="n">
        <f aca="false">-G208</f>
        <v>-22450</v>
      </c>
      <c r="H222" s="2" t="s">
        <v>1384</v>
      </c>
    </row>
    <row r="223" customFormat="false" ht="15" hidden="false" customHeight="false" outlineLevel="1" collapsed="false">
      <c r="A223" s="56" t="s">
        <v>727</v>
      </c>
      <c r="B223" s="57" t="s">
        <v>11</v>
      </c>
      <c r="C223" s="62" t="n">
        <f aca="false">C219+C222</f>
        <v>-736185.940416667</v>
      </c>
      <c r="D223" s="62" t="n">
        <f aca="false">D219+D222</f>
        <v>-770084.71721135</v>
      </c>
      <c r="E223" s="62" t="n">
        <f aca="false">E219+E222</f>
        <v>-835245.084264677</v>
      </c>
      <c r="F223" s="62" t="n">
        <f aca="false">F219+F222</f>
        <v>-906979.973049715</v>
      </c>
      <c r="G223" s="62" t="n">
        <f aca="false">G219+G222</f>
        <v>-953731.492192886</v>
      </c>
      <c r="H223" s="2" t="s">
        <v>1385</v>
      </c>
    </row>
    <row r="224" customFormat="false" ht="15" hidden="false" customHeight="false" outlineLevel="0" collapsed="false">
      <c r="A224" s="3" t="s">
        <v>1386</v>
      </c>
      <c r="B224" s="4"/>
      <c r="C224" s="4"/>
      <c r="D224" s="4"/>
      <c r="E224" s="4"/>
      <c r="F224" s="4"/>
      <c r="G224" s="4"/>
      <c r="H224" s="4"/>
    </row>
    <row r="225" customFormat="false" ht="15" hidden="false" customHeight="false" outlineLevel="1" collapsed="false">
      <c r="A225" s="7" t="s">
        <v>729</v>
      </c>
      <c r="B225" s="8" t="s">
        <v>11</v>
      </c>
      <c r="C225" s="61" t="n">
        <f aca="false">C223</f>
        <v>-736185.940416667</v>
      </c>
      <c r="D225" s="61" t="n">
        <f aca="false">D223</f>
        <v>-770084.71721135</v>
      </c>
      <c r="E225" s="61" t="n">
        <f aca="false">E223</f>
        <v>-835245.084264677</v>
      </c>
      <c r="F225" s="61" t="n">
        <f aca="false">F223</f>
        <v>-906979.973049715</v>
      </c>
      <c r="G225" s="61" t="n">
        <f aca="false">G223</f>
        <v>-953731.492192886</v>
      </c>
      <c r="H225" s="2" t="s">
        <v>1387</v>
      </c>
    </row>
    <row r="226" customFormat="false" ht="15" hidden="false" customHeight="false" outlineLevel="1" collapsed="false">
      <c r="A226" s="7" t="s">
        <v>730</v>
      </c>
      <c r="B226" s="8" t="s">
        <v>11</v>
      </c>
      <c r="C226" s="61" t="n">
        <f aca="false">0</f>
        <v>0</v>
      </c>
      <c r="D226" s="61" t="n">
        <f aca="false">C229</f>
        <v>736185.940416667</v>
      </c>
      <c r="E226" s="61" t="n">
        <f aca="false">D229</f>
        <v>1506270.65762802</v>
      </c>
      <c r="F226" s="61" t="n">
        <f aca="false">E229</f>
        <v>2341515.74189269</v>
      </c>
      <c r="G226" s="61" t="n">
        <f aca="false">F229</f>
        <v>3248495.71494241</v>
      </c>
      <c r="H226" s="2" t="s">
        <v>1388</v>
      </c>
    </row>
    <row r="227" customFormat="false" ht="15" hidden="false" customHeight="false" outlineLevel="1" collapsed="false">
      <c r="A227" s="7" t="s">
        <v>731</v>
      </c>
      <c r="B227" s="8" t="s">
        <v>11</v>
      </c>
      <c r="C227" s="61" t="n">
        <f aca="false">MAX(0,-C225)</f>
        <v>736185.940416667</v>
      </c>
      <c r="D227" s="61" t="n">
        <f aca="false">MAX(0,-D225)</f>
        <v>770084.71721135</v>
      </c>
      <c r="E227" s="61" t="n">
        <f aca="false">MAX(0,-E225)</f>
        <v>835245.084264677</v>
      </c>
      <c r="F227" s="61" t="n">
        <f aca="false">MAX(0,-F225)</f>
        <v>906979.973049715</v>
      </c>
      <c r="G227" s="61" t="n">
        <f aca="false">MAX(0,-G225)</f>
        <v>953731.492192886</v>
      </c>
      <c r="H227" s="2" t="s">
        <v>1389</v>
      </c>
    </row>
    <row r="228" customFormat="false" ht="15" hidden="false" customHeight="false" outlineLevel="1" collapsed="false">
      <c r="A228" s="7" t="s">
        <v>732</v>
      </c>
      <c r="B228" s="8" t="s">
        <v>11</v>
      </c>
      <c r="C228" s="61" t="n">
        <f aca="false">MIN(C226,Pressupostos!$C$181*MAX(0,C225))</f>
        <v>0</v>
      </c>
      <c r="D228" s="61" t="n">
        <f aca="false">MIN(D226,Pressupostos!$C$181*MAX(0,D225))</f>
        <v>0</v>
      </c>
      <c r="E228" s="61" t="n">
        <f aca="false">MIN(E226,Pressupostos!$C$181*MAX(0,E225))</f>
        <v>0</v>
      </c>
      <c r="F228" s="61" t="n">
        <f aca="false">MIN(F226,Pressupostos!$C$181*MAX(0,F225))</f>
        <v>0</v>
      </c>
      <c r="G228" s="61" t="n">
        <f aca="false">MIN(G226,Pressupostos!$C$181*MAX(0,G225))</f>
        <v>0</v>
      </c>
      <c r="H228" s="2" t="s">
        <v>1390</v>
      </c>
    </row>
    <row r="229" customFormat="false" ht="15" hidden="false" customHeight="false" outlineLevel="1" collapsed="false">
      <c r="A229" s="7" t="s">
        <v>733</v>
      </c>
      <c r="B229" s="8" t="s">
        <v>11</v>
      </c>
      <c r="C229" s="61" t="n">
        <f aca="false">C226+C227-C228</f>
        <v>736185.940416667</v>
      </c>
      <c r="D229" s="61" t="n">
        <f aca="false">D226+D227-D228</f>
        <v>1506270.65762802</v>
      </c>
      <c r="E229" s="61" t="n">
        <f aca="false">E226+E227-E228</f>
        <v>2341515.74189269</v>
      </c>
      <c r="F229" s="61" t="n">
        <f aca="false">F226+F227-F228</f>
        <v>3248495.71494241</v>
      </c>
      <c r="G229" s="61" t="n">
        <f aca="false">G226+G227-G228</f>
        <v>4202227.2071353</v>
      </c>
      <c r="H229" s="2" t="s">
        <v>1391</v>
      </c>
    </row>
    <row r="230" customFormat="false" ht="15" hidden="false" customHeight="false" outlineLevel="1" collapsed="false">
      <c r="A230" s="7" t="s">
        <v>734</v>
      </c>
      <c r="B230" s="8" t="s">
        <v>11</v>
      </c>
      <c r="C230" s="61" t="n">
        <f aca="false">MAX(0,C225)-C228</f>
        <v>0</v>
      </c>
      <c r="D230" s="61" t="n">
        <f aca="false">MAX(0,D225)-D228</f>
        <v>0</v>
      </c>
      <c r="E230" s="61" t="n">
        <f aca="false">MAX(0,E225)-E228</f>
        <v>0</v>
      </c>
      <c r="F230" s="61" t="n">
        <f aca="false">MAX(0,F225)-F228</f>
        <v>0</v>
      </c>
      <c r="G230" s="61" t="n">
        <f aca="false">MAX(0,G225)-G228</f>
        <v>0</v>
      </c>
      <c r="H230" s="2" t="s">
        <v>1392</v>
      </c>
    </row>
    <row r="231" customFormat="false" ht="15" hidden="false" customHeight="false" outlineLevel="1" collapsed="false">
      <c r="A231" s="7" t="s">
        <v>735</v>
      </c>
      <c r="B231" s="8" t="s">
        <v>11</v>
      </c>
      <c r="C231" s="61" t="n">
        <f aca="false">Pressupostos!$C$172*MIN(C230,Pressupostos!$C$173)+Pressupostos!$C$467*MAX(0,C230-Pressupostos!$C$173)</f>
        <v>0</v>
      </c>
      <c r="D231" s="61" t="n">
        <f aca="false">Pressupostos!$C$172*MIN(D230,Pressupostos!$C$173)+Pressupostos!$D$467*MAX(0,D230-Pressupostos!$C$173)</f>
        <v>0</v>
      </c>
      <c r="E231" s="61" t="n">
        <f aca="false">Pressupostos!$C$172*MIN(E230,Pressupostos!$C$173)+Pressupostos!$E$467*MAX(0,E230-Pressupostos!$C$173)</f>
        <v>0</v>
      </c>
      <c r="F231" s="61" t="n">
        <f aca="false">Pressupostos!$C$172*MIN(F230,Pressupostos!$C$173)+Pressupostos!$F$467*MAX(0,F230-Pressupostos!$C$173)</f>
        <v>0</v>
      </c>
      <c r="G231" s="61" t="n">
        <f aca="false">Pressupostos!$C$172*MIN(G230,Pressupostos!$C$173)+Pressupostos!$G$467*MAX(0,G230-Pressupostos!$C$173)</f>
        <v>0</v>
      </c>
      <c r="H231" s="2" t="s">
        <v>1393</v>
      </c>
    </row>
    <row r="232" customFormat="false" ht="15" hidden="false" customHeight="false" outlineLevel="1" collapsed="false">
      <c r="A232" s="7" t="s">
        <v>736</v>
      </c>
      <c r="B232" s="8" t="s">
        <v>11</v>
      </c>
      <c r="C232" s="61" t="n">
        <f aca="false">Pressupostos!$C$174*MAX(0,C225)</f>
        <v>0</v>
      </c>
      <c r="D232" s="61" t="n">
        <f aca="false">Pressupostos!$C$174*MAX(0,D225)</f>
        <v>0</v>
      </c>
      <c r="E232" s="61" t="n">
        <f aca="false">Pressupostos!$C$174*MAX(0,E225)</f>
        <v>0</v>
      </c>
      <c r="F232" s="61" t="n">
        <f aca="false">Pressupostos!$C$174*MAX(0,F225)</f>
        <v>0</v>
      </c>
      <c r="G232" s="61" t="n">
        <f aca="false">Pressupostos!$C$174*MAX(0,G225)</f>
        <v>0</v>
      </c>
      <c r="H232" s="2" t="s">
        <v>1394</v>
      </c>
    </row>
    <row r="233" customFormat="false" ht="15" hidden="false" customHeight="false" outlineLevel="1" collapsed="false">
      <c r="A233" s="7" t="s">
        <v>737</v>
      </c>
      <c r="B233" s="8" t="s">
        <v>11</v>
      </c>
      <c r="C233" s="61" t="n">
        <f aca="false">Pressupostos!$C$176*MAX(0,MIN(C225,Pressupostos!$C$177)-Pressupostos!$C$175)+Pressupostos!$C$178*MAX(0,MIN(C225,Pressupostos!$C$179)-Pressupostos!$C$177)+Pressupostos!$C$180*MAX(0,C225-Pressupostos!$C$179)</f>
        <v>0</v>
      </c>
      <c r="D233" s="61" t="n">
        <f aca="false">Pressupostos!$C$176*MAX(0,MIN(D225,Pressupostos!$C$177)-Pressupostos!$C$175)+Pressupostos!$C$178*MAX(0,MIN(D225,Pressupostos!$C$179)-Pressupostos!$C$177)+Pressupostos!$C$180*MAX(0,D225-Pressupostos!$C$179)</f>
        <v>0</v>
      </c>
      <c r="E233" s="61" t="n">
        <f aca="false">Pressupostos!$C$176*MAX(0,MIN(E225,Pressupostos!$C$177)-Pressupostos!$C$175)+Pressupostos!$C$178*MAX(0,MIN(E225,Pressupostos!$C$179)-Pressupostos!$C$177)+Pressupostos!$C$180*MAX(0,E225-Pressupostos!$C$179)</f>
        <v>0</v>
      </c>
      <c r="F233" s="61" t="n">
        <f aca="false">Pressupostos!$C$176*MAX(0,MIN(F225,Pressupostos!$C$177)-Pressupostos!$C$175)+Pressupostos!$C$178*MAX(0,MIN(F225,Pressupostos!$C$179)-Pressupostos!$C$177)+Pressupostos!$C$180*MAX(0,F225-Pressupostos!$C$179)</f>
        <v>0</v>
      </c>
      <c r="G233" s="61" t="n">
        <f aca="false">Pressupostos!$C$176*MAX(0,MIN(G225,Pressupostos!$C$177)-Pressupostos!$C$175)+Pressupostos!$C$178*MAX(0,MIN(G225,Pressupostos!$C$179)-Pressupostos!$C$177)+Pressupostos!$C$180*MAX(0,G225-Pressupostos!$C$179)</f>
        <v>0</v>
      </c>
      <c r="H233" s="2" t="s">
        <v>1395</v>
      </c>
    </row>
    <row r="234" customFormat="false" ht="15" hidden="false" customHeight="false" outlineLevel="1" collapsed="false">
      <c r="A234" s="7" t="s">
        <v>738</v>
      </c>
      <c r="B234" s="8" t="s">
        <v>11</v>
      </c>
      <c r="C234" s="61" t="n">
        <f aca="false">C231+C232+C233</f>
        <v>0</v>
      </c>
      <c r="D234" s="61" t="n">
        <f aca="false">D231+D232+D233</f>
        <v>0</v>
      </c>
      <c r="E234" s="61" t="n">
        <f aca="false">E231+E232+E233</f>
        <v>0</v>
      </c>
      <c r="F234" s="61" t="n">
        <f aca="false">F231+F232+F233</f>
        <v>0</v>
      </c>
      <c r="G234" s="61" t="n">
        <f aca="false">G231+G232+G233</f>
        <v>0</v>
      </c>
      <c r="H234" s="2" t="s">
        <v>1396</v>
      </c>
    </row>
    <row r="235" customFormat="false" ht="15" hidden="false" customHeight="false" outlineLevel="0" collapsed="false">
      <c r="A235" s="3" t="s">
        <v>1397</v>
      </c>
      <c r="B235" s="4"/>
      <c r="C235" s="4"/>
      <c r="D235" s="4"/>
      <c r="E235" s="4"/>
      <c r="F235" s="4"/>
      <c r="G235" s="4"/>
      <c r="H235" s="4"/>
    </row>
    <row r="236" customFormat="false" ht="15" hidden="false" customHeight="false" outlineLevel="1" collapsed="false">
      <c r="A236" s="7" t="s">
        <v>738</v>
      </c>
      <c r="B236" s="8" t="s">
        <v>11</v>
      </c>
      <c r="C236" s="61" t="n">
        <f aca="false">-C234</f>
        <v>-0</v>
      </c>
      <c r="D236" s="61" t="n">
        <f aca="false">-D234</f>
        <v>-0</v>
      </c>
      <c r="E236" s="61" t="n">
        <f aca="false">-E234</f>
        <v>-0</v>
      </c>
      <c r="F236" s="61" t="n">
        <f aca="false">-F234</f>
        <v>-0</v>
      </c>
      <c r="G236" s="61" t="n">
        <f aca="false">-G234</f>
        <v>-0</v>
      </c>
      <c r="H236" s="2" t="s">
        <v>1398</v>
      </c>
    </row>
    <row r="237" customFormat="false" ht="15" hidden="false" customHeight="false" outlineLevel="1" collapsed="false">
      <c r="A237" s="56" t="s">
        <v>740</v>
      </c>
      <c r="B237" s="57" t="s">
        <v>11</v>
      </c>
      <c r="C237" s="62" t="n">
        <f aca="false">C223+C236</f>
        <v>-736185.940416667</v>
      </c>
      <c r="D237" s="62" t="n">
        <f aca="false">D223+D236</f>
        <v>-770084.71721135</v>
      </c>
      <c r="E237" s="62" t="n">
        <f aca="false">E223+E236</f>
        <v>-835245.084264677</v>
      </c>
      <c r="F237" s="62" t="n">
        <f aca="false">F223+F236</f>
        <v>-906979.973049715</v>
      </c>
      <c r="G237" s="62" t="n">
        <f aca="false">G223+G236</f>
        <v>-953731.492192886</v>
      </c>
      <c r="H237" s="2" t="s">
        <v>1399</v>
      </c>
    </row>
    <row r="238" customFormat="false" ht="15" hidden="false" customHeight="false" outlineLevel="0" collapsed="false">
      <c r="A238" s="3" t="s">
        <v>1400</v>
      </c>
      <c r="B238" s="4"/>
      <c r="C238" s="4"/>
      <c r="D238" s="4"/>
      <c r="E238" s="4"/>
      <c r="F238" s="4"/>
      <c r="G238" s="4"/>
      <c r="H238" s="4"/>
    </row>
    <row r="239" customFormat="false" ht="15" hidden="false" customHeight="false" outlineLevel="1" collapsed="false">
      <c r="A239" s="7" t="s">
        <v>744</v>
      </c>
      <c r="B239" s="8" t="s">
        <v>11</v>
      </c>
      <c r="C239" s="61" t="n">
        <f aca="false">C11*1000*((C29+C32)*C35/365)+C12*1000*((C52+C55)*C58/365)+C14*1000*((C75+C78)*C81/365)</f>
        <v>25794.5205479452</v>
      </c>
      <c r="D239" s="61" t="n">
        <f aca="false">D11*1000*((D29+D32)*D35/365)+D12*1000*((D52+D55)*D58/365)+D14*1000*((D75+D78)*D81/365)</f>
        <v>94212.3287671233</v>
      </c>
      <c r="E239" s="61" t="n">
        <f aca="false">E11*1000*((E29+E32)*E35/365)+E12*1000*((E52+E55)*E58/365)+E14*1000*((E75+E78)*E81/365)</f>
        <v>203527.397260274</v>
      </c>
      <c r="F239" s="61" t="n">
        <f aca="false">F11*1000*((F29+F32)*F35/365)+F12*1000*((F52+F55)*F58/365)+F14*1000*((F75+F78)*F81/365)</f>
        <v>229600</v>
      </c>
      <c r="G239" s="61" t="n">
        <f aca="false">G11*1000*((G29+G32)*G35/365)+G12*1000*((G52+G55)*G58/365)+G14*1000*((G75+G78)*G81/365)</f>
        <v>266508.219178082</v>
      </c>
      <c r="H239" s="2" t="s">
        <v>1401</v>
      </c>
    </row>
    <row r="240" customFormat="false" ht="15" hidden="false" customHeight="false" outlineLevel="1" collapsed="false">
      <c r="A240" s="7" t="s">
        <v>745</v>
      </c>
      <c r="B240" s="8" t="s">
        <v>11</v>
      </c>
      <c r="C240" s="61" t="n">
        <f aca="false">C239+C24*1000*Pressupostos!$C$92*Pressupostos!$C$95/365</f>
        <v>25794.5205479452</v>
      </c>
      <c r="D240" s="61" t="n">
        <f aca="false">D239+D24*1000*Pressupostos!$C$92*Pressupostos!$C$95/365</f>
        <v>94212.3287671233</v>
      </c>
      <c r="E240" s="61" t="n">
        <f aca="false">E239+E24*1000*Pressupostos!$C$92*Pressupostos!$C$95/365</f>
        <v>212157.534246575</v>
      </c>
      <c r="F240" s="61" t="n">
        <f aca="false">F239+F24*1000*Pressupostos!$C$92*Pressupostos!$C$95/365</f>
        <v>246860.273972603</v>
      </c>
      <c r="G240" s="61" t="n">
        <f aca="false">G239+G24*1000*Pressupostos!$C$92*Pressupostos!$C$95/365</f>
        <v>292398.630136986</v>
      </c>
      <c r="H240" s="2" t="s">
        <v>1402</v>
      </c>
    </row>
    <row r="241" customFormat="false" ht="15" hidden="false" customHeight="false" outlineLevel="1" collapsed="false">
      <c r="A241" s="7" t="s">
        <v>746</v>
      </c>
      <c r="B241" s="8" t="s">
        <v>11</v>
      </c>
      <c r="C241" s="61" t="n">
        <f aca="false">C11*1000*(C31*C36/365)+C12*1000*(C54*C59/365)+C14*1000*(C77*C82/365)+C106*Pressupostos!$C$96/365+(C108+C109)*Pressupostos!$C$82/365</f>
        <v>25126.1917808219</v>
      </c>
      <c r="D241" s="61" t="n">
        <f aca="false">D11*1000*(D31*D36/365)+D12*1000*(D54*D59/365)+D14*1000*(D77*D82/365)+D106*Pressupostos!$C$96/365+(D108+D109)*Pressupostos!$C$82/365</f>
        <v>94223.8356164384</v>
      </c>
      <c r="E241" s="61" t="n">
        <f aca="false">E11*1000*(E31*E36/365)+E12*1000*(E54*E59/365)+E14*1000*(E77*E82/365)+E106*Pressupostos!$C$96/365+(E108+E109)*Pressupostos!$C$82/365</f>
        <v>194596.438356164</v>
      </c>
      <c r="F241" s="61" t="n">
        <f aca="false">F11*1000*(F31*F36/365)+F12*1000*(F54*F59/365)+F14*1000*(F77*F82/365)+F106*Pressupostos!$C$96/365+(F108+F109)*Pressupostos!$C$82/365</f>
        <v>294935.342465753</v>
      </c>
      <c r="G241" s="61" t="n">
        <f aca="false">G11*1000*(G31*G36/365)+G12*1000*(G54*G59/365)+G14*1000*(G77*G82/365)+G106*Pressupostos!$C$96/365+(G108+G109)*Pressupostos!$C$82/365</f>
        <v>395611.232876712</v>
      </c>
      <c r="H241" s="2" t="s">
        <v>1403</v>
      </c>
    </row>
    <row r="242" customFormat="false" ht="15" hidden="false" customHeight="false" outlineLevel="1" collapsed="false">
      <c r="A242" s="7" t="s">
        <v>747</v>
      </c>
      <c r="B242" s="8" t="s">
        <v>11</v>
      </c>
      <c r="C242" s="61" t="n">
        <f aca="false">C11*1000*((C29+C32)*Pressupostos!$C$72/365)+C12*1000*((C52+C55)*Pressupostos!$C$72/365)+C14*1000*((C75+C78)*Pressupostos!$C$72/365)+C24*1000*Pressupostos!$C$92*Pressupostos!$C$97/365</f>
        <v>13528.7671232877</v>
      </c>
      <c r="D242" s="61" t="n">
        <f aca="false">D11*1000*((D29+D32)*Pressupostos!$C$72/365)+D12*1000*((D52+D55)*Pressupostos!$C$72/365)+D14*1000*((D75+D78)*Pressupostos!$C$72/365)+D24*1000*Pressupostos!$C$92*Pressupostos!$C$97/365</f>
        <v>50720.5479452055</v>
      </c>
      <c r="E242" s="61" t="n">
        <f aca="false">E11*1000*((E29+E32)*Pressupostos!$C$72/365)+E12*1000*((E52+E55)*Pressupostos!$C$72/365)+E14*1000*((E75+E78)*Pressupostos!$C$72/365)+E24*1000*Pressupostos!$C$92*Pressupostos!$C$97/365</f>
        <v>107268.493150685</v>
      </c>
      <c r="F242" s="61" t="n">
        <f aca="false">F11*1000*((F29+F32)*Pressupostos!$C$72/365)+F12*1000*((F52+F55)*Pressupostos!$C$72/365)+F14*1000*((F75+F78)*Pressupostos!$C$72/365)+F24*1000*Pressupostos!$C$92*Pressupostos!$C$97/365</f>
        <v>163824.657534247</v>
      </c>
      <c r="G242" s="61" t="n">
        <f aca="false">G11*1000*((G29+G32)*Pressupostos!$C$72/365)+G12*1000*((G52+G55)*Pressupostos!$C$72/365)+G14*1000*((G75+G78)*Pressupostos!$C$72/365)+G24*1000*Pressupostos!$C$92*Pressupostos!$C$97/365</f>
        <v>220298.630136986</v>
      </c>
      <c r="H242" s="2" t="s">
        <v>1404</v>
      </c>
    </row>
    <row r="243" customFormat="false" ht="15" hidden="false" customHeight="false" outlineLevel="1" collapsed="false">
      <c r="A243" s="56" t="s">
        <v>748</v>
      </c>
      <c r="B243" s="57" t="s">
        <v>11</v>
      </c>
      <c r="C243" s="62" t="n">
        <f aca="false">C240+C241-C242</f>
        <v>37391.9452054795</v>
      </c>
      <c r="D243" s="62" t="n">
        <f aca="false">D240+D241-D242</f>
        <v>137715.616438356</v>
      </c>
      <c r="E243" s="62" t="n">
        <f aca="false">E240+E241-E242</f>
        <v>299485.479452055</v>
      </c>
      <c r="F243" s="62" t="n">
        <f aca="false">F240+F241-F242</f>
        <v>377970.95890411</v>
      </c>
      <c r="G243" s="62" t="n">
        <f aca="false">G240+G241-G242</f>
        <v>467711.232876712</v>
      </c>
      <c r="H243" s="2" t="s">
        <v>1405</v>
      </c>
    </row>
    <row r="244" customFormat="false" ht="15" hidden="false" customHeight="false" outlineLevel="0" collapsed="false">
      <c r="A244" s="3" t="s">
        <v>1406</v>
      </c>
      <c r="B244" s="4"/>
      <c r="C244" s="4"/>
      <c r="D244" s="4"/>
      <c r="E244" s="4"/>
      <c r="F244" s="4"/>
      <c r="G244" s="4"/>
      <c r="H244" s="4"/>
    </row>
    <row r="245" customFormat="false" ht="15" hidden="false" customHeight="false" outlineLevel="1" collapsed="false">
      <c r="A245" s="56" t="s">
        <v>750</v>
      </c>
      <c r="B245" s="57" t="s">
        <v>11</v>
      </c>
      <c r="C245" s="62" t="n">
        <f aca="false">Pressupostos!$C$281*C243/Pressupostos!$C$31</f>
        <v>0</v>
      </c>
      <c r="D245" s="62" t="n">
        <f aca="false">Pressupostos!$D$281*D243/Pressupostos!$C$31</f>
        <v>167226.105675147</v>
      </c>
      <c r="E245" s="62" t="n">
        <f aca="false">Pressupostos!$E$281*E243/Pressupostos!$C$31</f>
        <v>363660.939334638</v>
      </c>
      <c r="F245" s="62" t="n">
        <f aca="false">Pressupostos!$F$281*F243/Pressupostos!$C$31</f>
        <v>458964.735812133</v>
      </c>
      <c r="G245" s="62" t="n">
        <f aca="false">Pressupostos!$G$281*G243/Pressupostos!$C$31</f>
        <v>567935.068493151</v>
      </c>
      <c r="H245" s="2" t="s">
        <v>1407</v>
      </c>
    </row>
    <row r="246" customFormat="false" ht="15" hidden="false" customHeight="false" outlineLevel="1" collapsed="false">
      <c r="A246" s="7" t="s">
        <v>751</v>
      </c>
      <c r="B246" s="8" t="s">
        <v>11</v>
      </c>
      <c r="C246" s="61" t="n">
        <f aca="false">Pressupostos!$C$281*C243</f>
        <v>0</v>
      </c>
      <c r="D246" s="61" t="n">
        <f aca="false">Pressupostos!$D$281*D243</f>
        <v>117058.273972603</v>
      </c>
      <c r="E246" s="61" t="n">
        <f aca="false">Pressupostos!$E$281*E243</f>
        <v>254562.657534247</v>
      </c>
      <c r="F246" s="61" t="n">
        <f aca="false">Pressupostos!$F$281*F243</f>
        <v>321275.315068493</v>
      </c>
      <c r="G246" s="61" t="n">
        <f aca="false">Pressupostos!$G$281*G243</f>
        <v>397554.547945206</v>
      </c>
      <c r="H246" s="2" t="s">
        <v>1408</v>
      </c>
    </row>
    <row r="247" customFormat="false" ht="15" hidden="false" customHeight="false" outlineLevel="1" collapsed="false">
      <c r="A247" s="7" t="s">
        <v>752</v>
      </c>
      <c r="B247" s="8" t="s">
        <v>11</v>
      </c>
      <c r="C247" s="61" t="n">
        <f aca="false">C245-C246</f>
        <v>0</v>
      </c>
      <c r="D247" s="61" t="n">
        <f aca="false">D245-D246</f>
        <v>50167.831702544</v>
      </c>
      <c r="E247" s="61" t="n">
        <f aca="false">E245-E246</f>
        <v>109098.281800391</v>
      </c>
      <c r="F247" s="61" t="n">
        <f aca="false">F245-F246</f>
        <v>137689.42074364</v>
      </c>
      <c r="G247" s="61" t="n">
        <f aca="false">G245-G246</f>
        <v>170380.520547945</v>
      </c>
      <c r="H247" s="2" t="s">
        <v>1409</v>
      </c>
    </row>
    <row r="248" customFormat="false" ht="15" hidden="false" customHeight="false" outlineLevel="1" collapsed="false">
      <c r="A248" s="7" t="s">
        <v>753</v>
      </c>
      <c r="B248" s="8" t="s">
        <v>11</v>
      </c>
      <c r="C248" s="61" t="n">
        <f aca="false">C243-C246</f>
        <v>37391.9452054795</v>
      </c>
      <c r="D248" s="61" t="n">
        <f aca="false">D243-D246</f>
        <v>20657.3424657534</v>
      </c>
      <c r="E248" s="61" t="n">
        <f aca="false">E243-E246</f>
        <v>44922.8219178082</v>
      </c>
      <c r="F248" s="61" t="n">
        <f aca="false">F243-F246</f>
        <v>56695.6438356165</v>
      </c>
      <c r="G248" s="61" t="n">
        <f aca="false">G243-G246</f>
        <v>70156.6849315069</v>
      </c>
      <c r="H248" s="2" t="s">
        <v>1410</v>
      </c>
    </row>
    <row r="249" customFormat="false" ht="15" hidden="false" customHeight="false" outlineLevel="1" collapsed="false">
      <c r="A249" s="7" t="s">
        <v>754</v>
      </c>
      <c r="B249" s="8" t="s">
        <v>11</v>
      </c>
      <c r="C249" s="61" t="n">
        <f aca="false">MAX(0,Pressupostos!$C$108-C248)</f>
        <v>12608.0547945205</v>
      </c>
      <c r="D249" s="61" t="n">
        <f aca="false">MAX(0,Pressupostos!$C$108-D248)</f>
        <v>29342.6575342466</v>
      </c>
      <c r="E249" s="61" t="n">
        <f aca="false">MAX(0,Pressupostos!$C$108-E248)</f>
        <v>5077.17808219176</v>
      </c>
      <c r="F249" s="61" t="n">
        <f aca="false">MAX(0,Pressupostos!$C$108-F248)</f>
        <v>0</v>
      </c>
      <c r="G249" s="61" t="n">
        <f aca="false">MAX(0,Pressupostos!$C$108-G248)</f>
        <v>0</v>
      </c>
      <c r="H249" s="2" t="s">
        <v>1411</v>
      </c>
    </row>
    <row r="250" customFormat="false" ht="15" hidden="false" customHeight="false" outlineLevel="1" collapsed="false">
      <c r="A250" s="7" t="s">
        <v>755</v>
      </c>
      <c r="B250" s="8" t="s">
        <v>11</v>
      </c>
      <c r="C250" s="61" t="n">
        <f aca="false">Pressupostos!$C$109*C245</f>
        <v>0</v>
      </c>
      <c r="D250" s="61" t="n">
        <f aca="false">Pressupostos!$C$109*D245</f>
        <v>8361.30528375734</v>
      </c>
      <c r="E250" s="61" t="n">
        <f aca="false">Pressupostos!$C$109*E245</f>
        <v>18183.0469667319</v>
      </c>
      <c r="F250" s="61" t="n">
        <f aca="false">Pressupostos!$C$109*F245</f>
        <v>22948.2367906067</v>
      </c>
      <c r="G250" s="61" t="n">
        <f aca="false">Pressupostos!$C$109*G245</f>
        <v>28396.7534246575</v>
      </c>
      <c r="H250" s="2" t="s">
        <v>1412</v>
      </c>
    </row>
    <row r="251" customFormat="false" ht="15" hidden="false" customHeight="false" outlineLevel="1" collapsed="false">
      <c r="A251" s="2" t="s">
        <v>756</v>
      </c>
      <c r="B251" s="8" t="s">
        <v>123</v>
      </c>
      <c r="C251" s="61" t="n">
        <f aca="false">C245/Pressupostos!$C$112</f>
        <v>0</v>
      </c>
      <c r="D251" s="61" t="n">
        <f aca="false">D245/Pressupostos!$C$112</f>
        <v>3.34452211350294</v>
      </c>
      <c r="E251" s="61" t="n">
        <f aca="false">E245/Pressupostos!$C$112</f>
        <v>7.27321878669276</v>
      </c>
      <c r="F251" s="61" t="n">
        <f aca="false">F245/Pressupostos!$C$112</f>
        <v>9.17929471624266</v>
      </c>
      <c r="G251" s="61" t="n">
        <f aca="false">G245/Pressupostos!$C$112</f>
        <v>11.358701369863</v>
      </c>
      <c r="H251" s="2" t="s">
        <v>1413</v>
      </c>
    </row>
    <row r="252" customFormat="false" ht="15" hidden="false" customHeight="false" outlineLevel="0" collapsed="false">
      <c r="A252" s="3" t="s">
        <v>1414</v>
      </c>
      <c r="B252" s="4"/>
      <c r="C252" s="4"/>
      <c r="D252" s="4"/>
      <c r="E252" s="4"/>
      <c r="F252" s="4"/>
      <c r="G252" s="4"/>
      <c r="H252" s="4"/>
    </row>
    <row r="253" customFormat="false" ht="15" hidden="false" customHeight="false" outlineLevel="1" collapsed="false">
      <c r="A253" s="7" t="s">
        <v>758</v>
      </c>
      <c r="B253" s="8" t="s">
        <v>11</v>
      </c>
      <c r="C253" s="61" t="n">
        <f aca="false">C219</f>
        <v>-709085.940416667</v>
      </c>
      <c r="D253" s="61" t="n">
        <f aca="false">D219</f>
        <v>-737984.71721135</v>
      </c>
      <c r="E253" s="61" t="n">
        <f aca="false">E219</f>
        <v>-796945.084264677</v>
      </c>
      <c r="F253" s="61" t="n">
        <f aca="false">F219</f>
        <v>-882229.973049715</v>
      </c>
      <c r="G253" s="61" t="n">
        <f aca="false">G219</f>
        <v>-931281.492192886</v>
      </c>
      <c r="H253" s="2" t="s">
        <v>1415</v>
      </c>
    </row>
    <row r="254" customFormat="false" ht="15" hidden="false" customHeight="false" outlineLevel="1" collapsed="false">
      <c r="A254" s="7" t="s">
        <v>759</v>
      </c>
      <c r="B254" s="8" t="s">
        <v>11</v>
      </c>
      <c r="C254" s="61" t="n">
        <f aca="false">-C234</f>
        <v>-0</v>
      </c>
      <c r="D254" s="61" t="n">
        <f aca="false">-D234</f>
        <v>-0</v>
      </c>
      <c r="E254" s="61" t="n">
        <f aca="false">-E234</f>
        <v>-0</v>
      </c>
      <c r="F254" s="61" t="n">
        <f aca="false">-F234</f>
        <v>-0</v>
      </c>
      <c r="G254" s="61" t="n">
        <f aca="false">-G234</f>
        <v>-0</v>
      </c>
      <c r="H254" s="2" t="s">
        <v>1416</v>
      </c>
    </row>
    <row r="255" customFormat="false" ht="15" hidden="false" customHeight="false" outlineLevel="1" collapsed="false">
      <c r="A255" s="7" t="s">
        <v>760</v>
      </c>
      <c r="B255" s="8" t="s">
        <v>11</v>
      </c>
      <c r="C255" s="61" t="n">
        <f aca="false">-C243</f>
        <v>-37391.9452054795</v>
      </c>
      <c r="D255" s="61" t="n">
        <f aca="false">-(D243-C243)</f>
        <v>-100323.671232877</v>
      </c>
      <c r="E255" s="61" t="n">
        <f aca="false">-(E243-D243)</f>
        <v>-161769.863013699</v>
      </c>
      <c r="F255" s="61" t="n">
        <f aca="false">-(F243-E243)</f>
        <v>-78485.4794520549</v>
      </c>
      <c r="G255" s="61" t="n">
        <f aca="false">-(G243-F243)</f>
        <v>-89740.2739726028</v>
      </c>
      <c r="H255" s="2" t="s">
        <v>1417</v>
      </c>
    </row>
    <row r="256" customFormat="false" ht="15" hidden="false" customHeight="false" outlineLevel="1" collapsed="false">
      <c r="A256" s="7" t="s">
        <v>424</v>
      </c>
      <c r="B256" s="8" t="s">
        <v>11</v>
      </c>
      <c r="C256" s="61" t="n">
        <f aca="false">-C203</f>
        <v>-92000</v>
      </c>
      <c r="D256" s="61" t="n">
        <f aca="false">-D203</f>
        <v>-15000</v>
      </c>
      <c r="E256" s="61" t="n">
        <f aca="false">-E203</f>
        <v>-21000</v>
      </c>
      <c r="F256" s="61" t="n">
        <f aca="false">-F203</f>
        <v>-22000</v>
      </c>
      <c r="G256" s="61" t="n">
        <f aca="false">-G203</f>
        <v>-21000</v>
      </c>
      <c r="H256" s="2" t="s">
        <v>1418</v>
      </c>
    </row>
    <row r="257" customFormat="false" ht="15" hidden="false" customHeight="false" outlineLevel="1" collapsed="false">
      <c r="A257" s="7" t="s">
        <v>761</v>
      </c>
      <c r="B257" s="8" t="s">
        <v>11</v>
      </c>
      <c r="C257" s="61" t="n">
        <f aca="false">C253+C254+C255+C256</f>
        <v>-838477.885622146</v>
      </c>
      <c r="D257" s="61" t="n">
        <f aca="false">D253+D254+D255+D256</f>
        <v>-853308.388444227</v>
      </c>
      <c r="E257" s="61" t="n">
        <f aca="false">E253+E254+E255+E256</f>
        <v>-979714.947278376</v>
      </c>
      <c r="F257" s="61" t="n">
        <f aca="false">F253+F254+F255+F256</f>
        <v>-982715.45250177</v>
      </c>
      <c r="G257" s="61" t="n">
        <f aca="false">G253+G254+G255+G256</f>
        <v>-1042021.76616549</v>
      </c>
      <c r="H257" s="2" t="s">
        <v>1419</v>
      </c>
    </row>
    <row r="258" customFormat="false" ht="15" hidden="false" customHeight="false" outlineLevel="1" collapsed="false">
      <c r="A258" s="7" t="s">
        <v>762</v>
      </c>
      <c r="B258" s="8" t="s">
        <v>11</v>
      </c>
      <c r="C258" s="61" t="n">
        <f aca="false">C245</f>
        <v>0</v>
      </c>
      <c r="D258" s="61" t="n">
        <f aca="false">D245-C245</f>
        <v>167226.105675147</v>
      </c>
      <c r="E258" s="61" t="n">
        <f aca="false">E245-D245</f>
        <v>196434.833659491</v>
      </c>
      <c r="F258" s="61" t="n">
        <f aca="false">F245-E245</f>
        <v>95303.7964774952</v>
      </c>
      <c r="G258" s="61" t="n">
        <f aca="false">G245-F245</f>
        <v>108970.332681018</v>
      </c>
      <c r="H258" s="2" t="s">
        <v>1420</v>
      </c>
    </row>
    <row r="259" customFormat="false" ht="15" hidden="false" customHeight="false" outlineLevel="1" collapsed="false">
      <c r="A259" s="7" t="s">
        <v>763</v>
      </c>
      <c r="B259" s="8" t="s">
        <v>11</v>
      </c>
      <c r="C259" s="61" t="n">
        <f aca="false">-C247</f>
        <v>-0</v>
      </c>
      <c r="D259" s="61" t="n">
        <f aca="false">-(D247-C247)</f>
        <v>-50167.831702544</v>
      </c>
      <c r="E259" s="61" t="n">
        <f aca="false">-(E247-D247)</f>
        <v>-58930.4500978474</v>
      </c>
      <c r="F259" s="61" t="n">
        <f aca="false">-(F247-E247)</f>
        <v>-28591.1389432486</v>
      </c>
      <c r="G259" s="61" t="n">
        <f aca="false">-(G247-F247)</f>
        <v>-32691.0998043053</v>
      </c>
      <c r="H259" s="2" t="s">
        <v>1421</v>
      </c>
    </row>
    <row r="260" customFormat="false" ht="15" hidden="false" customHeight="false" outlineLevel="1" collapsed="false">
      <c r="A260" s="7" t="s">
        <v>764</v>
      </c>
      <c r="B260" s="8" t="s">
        <v>11</v>
      </c>
      <c r="C260" s="61" t="n">
        <f aca="false">-C250</f>
        <v>-0</v>
      </c>
      <c r="D260" s="61" t="n">
        <f aca="false">-(D250-C250)</f>
        <v>-8361.30528375734</v>
      </c>
      <c r="E260" s="61" t="n">
        <f aca="false">-(E250-D250)</f>
        <v>-9821.74168297456</v>
      </c>
      <c r="F260" s="61" t="n">
        <f aca="false">-(F250-E250)</f>
        <v>-4765.18982387476</v>
      </c>
      <c r="G260" s="61" t="n">
        <f aca="false">-(G250-F250)</f>
        <v>-5448.51663405088</v>
      </c>
      <c r="H260" s="2" t="s">
        <v>1422</v>
      </c>
    </row>
    <row r="261" customFormat="false" ht="15" hidden="false" customHeight="false" outlineLevel="1" collapsed="false">
      <c r="A261" s="7" t="s">
        <v>765</v>
      </c>
      <c r="B261" s="8" t="s">
        <v>11</v>
      </c>
      <c r="C261" s="61" t="n">
        <f aca="false">-(C249-Pressupostos!$C$108)</f>
        <v>37391.9452054795</v>
      </c>
      <c r="D261" s="61" t="n">
        <f aca="false">-(D249-C249)</f>
        <v>-16734.602739726</v>
      </c>
      <c r="E261" s="61" t="n">
        <f aca="false">-(E249-D249)</f>
        <v>24265.4794520548</v>
      </c>
      <c r="F261" s="61" t="n">
        <f aca="false">-(F249-E249)</f>
        <v>5077.17808219176</v>
      </c>
      <c r="G261" s="61" t="n">
        <f aca="false">-(G249-F249)</f>
        <v>-0</v>
      </c>
      <c r="H261" s="2" t="s">
        <v>1423</v>
      </c>
    </row>
    <row r="262" customFormat="false" ht="15" hidden="false" customHeight="false" outlineLevel="1" collapsed="false">
      <c r="A262" s="56" t="s">
        <v>766</v>
      </c>
      <c r="B262" s="57" t="s">
        <v>11</v>
      </c>
      <c r="C262" s="62" t="n">
        <f aca="false">C257+C258+C259+C260+C261</f>
        <v>-801085.940416667</v>
      </c>
      <c r="D262" s="62" t="n">
        <f aca="false">D257+D258+D259+D260+D261</f>
        <v>-761346.022495108</v>
      </c>
      <c r="E262" s="62" t="n">
        <f aca="false">E257+E258+E259+E260+E261</f>
        <v>-827766.825947652</v>
      </c>
      <c r="F262" s="62" t="n">
        <f aca="false">F257+F258+F259+F260+F261</f>
        <v>-915690.806709206</v>
      </c>
      <c r="G262" s="62" t="n">
        <f aca="false">G257+G258+G259+G260+G261</f>
        <v>-971191.049922827</v>
      </c>
      <c r="H262" s="2" t="s">
        <v>1424</v>
      </c>
    </row>
    <row r="263" customFormat="false" ht="15" hidden="false" customHeight="false" outlineLevel="1" collapsed="false">
      <c r="A263" s="56" t="s">
        <v>767</v>
      </c>
      <c r="B263" s="57" t="s">
        <v>11</v>
      </c>
      <c r="C263" s="62" t="n">
        <f aca="false">C262</f>
        <v>-801085.940416667</v>
      </c>
      <c r="D263" s="62" t="n">
        <f aca="false">C263+D262</f>
        <v>-1562431.96291177</v>
      </c>
      <c r="E263" s="62" t="n">
        <f aca="false">D263+E262</f>
        <v>-2390198.78885943</v>
      </c>
      <c r="F263" s="62" t="n">
        <f aca="false">E263+F262</f>
        <v>-3305889.59556863</v>
      </c>
      <c r="G263" s="62" t="n">
        <f aca="false">F263+G262</f>
        <v>-4277080.64549146</v>
      </c>
      <c r="H263" s="2" t="s">
        <v>1425</v>
      </c>
    </row>
    <row r="264" customFormat="false" ht="15" hidden="false" customHeight="false" outlineLevel="1" collapsed="false">
      <c r="A264" s="8" t="s">
        <v>768</v>
      </c>
      <c r="B264" s="8" t="s">
        <v>11</v>
      </c>
      <c r="C264" s="70" t="n">
        <f aca="false">ROUND(C219-C203-C234-(MAX(C248,Pressupostos!$C$108)-Pressupostos!$C$108)-(C250)-C262,6)</f>
        <v>0</v>
      </c>
      <c r="D264" s="70" t="n">
        <f aca="false">ROUND(D219-D203-D234-(MAX(D248,Pressupostos!$C$108)-MAX(C248,Pressupostos!$C$108))-(D250-C250)-D262,6)</f>
        <v>0</v>
      </c>
      <c r="E264" s="70" t="n">
        <f aca="false">ROUND(E219-E203-E234-(MAX(E248,Pressupostos!$C$108)-MAX(D248,Pressupostos!$C$108))-(E250-D250)-E262,6)</f>
        <v>0</v>
      </c>
      <c r="F264" s="70" t="n">
        <f aca="false">ROUND(F219-F203-F234-(MAX(F248,Pressupostos!$C$108)-MAX(E248,Pressupostos!$C$108))-(F250-E250)-F262,6)</f>
        <v>0</v>
      </c>
      <c r="G264" s="70" t="n">
        <f aca="false">ROUND(G219-G203-G234-(MAX(G248,Pressupostos!$C$108)-MAX(F248,Pressupostos!$C$108))-(G250-F250)-G262,6)</f>
        <v>0</v>
      </c>
      <c r="H264" s="2" t="s">
        <v>1426</v>
      </c>
    </row>
    <row r="265" customFormat="false" ht="15" hidden="false" customHeight="false" outlineLevel="0" collapsed="false">
      <c r="A265" s="3" t="s">
        <v>1427</v>
      </c>
      <c r="B265" s="4"/>
      <c r="C265" s="4"/>
      <c r="D265" s="4"/>
      <c r="E265" s="4"/>
      <c r="F265" s="4"/>
      <c r="G265" s="4"/>
      <c r="H265" s="4"/>
    </row>
    <row r="266" customFormat="false" ht="15" hidden="false" customHeight="false" outlineLevel="1" collapsed="false">
      <c r="A266" s="7" t="s">
        <v>770</v>
      </c>
      <c r="B266" s="8" t="s">
        <v>11</v>
      </c>
      <c r="C266" s="61" t="n">
        <f aca="false">0</f>
        <v>0</v>
      </c>
      <c r="D266" s="61" t="n">
        <f aca="false">C271</f>
        <v>153914.059583333</v>
      </c>
      <c r="E266" s="61" t="n">
        <f aca="false">D271</f>
        <v>150000</v>
      </c>
      <c r="F266" s="61" t="n">
        <f aca="false">E271</f>
        <v>150000</v>
      </c>
      <c r="G266" s="61" t="n">
        <f aca="false">F271</f>
        <v>150000</v>
      </c>
      <c r="H266" s="2" t="s">
        <v>1428</v>
      </c>
    </row>
    <row r="267" customFormat="false" ht="15" hidden="false" customHeight="false" outlineLevel="1" collapsed="false">
      <c r="A267" s="7" t="s">
        <v>771</v>
      </c>
      <c r="B267" s="8" t="s">
        <v>11</v>
      </c>
      <c r="C267" s="61" t="n">
        <f aca="false">-(Pressupostos!$C$159+Pressupostos!$C$160+Pressupostos!$C$161+Pressupostos!$C$162+Pressupostos!$C$163+Pressupostos!$C$108)</f>
        <v>-145000</v>
      </c>
      <c r="D267" s="61" t="n">
        <f aca="false">0</f>
        <v>0</v>
      </c>
      <c r="E267" s="61" t="n">
        <f aca="false">0</f>
        <v>0</v>
      </c>
      <c r="F267" s="61" t="n">
        <f aca="false">0</f>
        <v>0</v>
      </c>
      <c r="G267" s="61" t="n">
        <f aca="false">0</f>
        <v>0</v>
      </c>
      <c r="H267" s="2" t="s">
        <v>1429</v>
      </c>
    </row>
    <row r="268" customFormat="false" ht="15" hidden="false" customHeight="false" outlineLevel="1" collapsed="false">
      <c r="A268" s="7" t="s">
        <v>772</v>
      </c>
      <c r="B268" s="8" t="s">
        <v>11</v>
      </c>
      <c r="C268" s="53" t="n">
        <f aca="false">Pressupostos!$C$32</f>
        <v>1100000</v>
      </c>
      <c r="D268" s="61" t="n">
        <f aca="false">0</f>
        <v>0</v>
      </c>
      <c r="E268" s="61" t="n">
        <f aca="false">0</f>
        <v>0</v>
      </c>
      <c r="F268" s="61" t="n">
        <f aca="false">0</f>
        <v>0</v>
      </c>
      <c r="G268" s="61" t="n">
        <f aca="false">0</f>
        <v>0</v>
      </c>
      <c r="H268" s="2" t="s">
        <v>1430</v>
      </c>
    </row>
    <row r="269" customFormat="false" ht="15" hidden="false" customHeight="false" outlineLevel="1" collapsed="false">
      <c r="A269" s="7" t="s">
        <v>773</v>
      </c>
      <c r="B269" s="8" t="s">
        <v>11</v>
      </c>
      <c r="C269" s="61" t="n">
        <f aca="false">C266+C267+C268+C262</f>
        <v>153914.059583333</v>
      </c>
      <c r="D269" s="61" t="n">
        <f aca="false">D266+D267+D268+D262</f>
        <v>-607431.962911774</v>
      </c>
      <c r="E269" s="61" t="n">
        <f aca="false">E266+E267+E268+E262</f>
        <v>-677766.825947652</v>
      </c>
      <c r="F269" s="61" t="n">
        <f aca="false">F266+F267+F268+F262</f>
        <v>-765690.806709206</v>
      </c>
      <c r="G269" s="61" t="n">
        <f aca="false">G266+G267+G268+G262</f>
        <v>-821191.049922827</v>
      </c>
      <c r="H269" s="2" t="s">
        <v>1431</v>
      </c>
    </row>
    <row r="270" customFormat="false" ht="15" hidden="false" customHeight="false" outlineLevel="1" collapsed="false">
      <c r="A270" s="56" t="s">
        <v>774</v>
      </c>
      <c r="B270" s="57" t="s">
        <v>11</v>
      </c>
      <c r="C270" s="62" t="n">
        <f aca="false">MAX(0,Pressupostos!$C$170-C269)</f>
        <v>0</v>
      </c>
      <c r="D270" s="62" t="n">
        <f aca="false">MAX(0,Pressupostos!$C$170-D269)</f>
        <v>757431.962911774</v>
      </c>
      <c r="E270" s="62" t="n">
        <f aca="false">MAX(0,Pressupostos!$C$170-E269)</f>
        <v>827766.825947652</v>
      </c>
      <c r="F270" s="62" t="n">
        <f aca="false">MAX(0,Pressupostos!$C$170-F269)</f>
        <v>915690.806709206</v>
      </c>
      <c r="G270" s="62" t="n">
        <f aca="false">MAX(0,Pressupostos!$C$170-G269)</f>
        <v>971191.049922827</v>
      </c>
      <c r="H270" s="2" t="s">
        <v>1432</v>
      </c>
    </row>
    <row r="271" customFormat="false" ht="15" hidden="false" customHeight="false" outlineLevel="1" collapsed="false">
      <c r="A271" s="56" t="s">
        <v>775</v>
      </c>
      <c r="B271" s="57" t="s">
        <v>11</v>
      </c>
      <c r="C271" s="62" t="n">
        <f aca="false">C269+C270</f>
        <v>153914.059583333</v>
      </c>
      <c r="D271" s="62" t="n">
        <f aca="false">D269+D270</f>
        <v>150000</v>
      </c>
      <c r="E271" s="62" t="n">
        <f aca="false">E269+E270</f>
        <v>150000</v>
      </c>
      <c r="F271" s="62" t="n">
        <f aca="false">F269+F270</f>
        <v>150000</v>
      </c>
      <c r="G271" s="62" t="n">
        <f aca="false">G269+G270</f>
        <v>150000</v>
      </c>
      <c r="H271" s="2" t="s">
        <v>1433</v>
      </c>
    </row>
    <row r="272" customFormat="false" ht="15" hidden="false" customHeight="false" outlineLevel="1" collapsed="false">
      <c r="A272" s="7" t="s">
        <v>776</v>
      </c>
      <c r="B272" s="8" t="s">
        <v>11</v>
      </c>
      <c r="C272" s="61" t="n">
        <f aca="false">C247+C250+C249</f>
        <v>12608.0547945205</v>
      </c>
      <c r="D272" s="61" t="n">
        <f aca="false">D247+D250+D249</f>
        <v>87871.7945205479</v>
      </c>
      <c r="E272" s="61" t="n">
        <f aca="false">E247+E250+E249</f>
        <v>132358.506849315</v>
      </c>
      <c r="F272" s="61" t="n">
        <f aca="false">F247+F250+F249</f>
        <v>160637.657534247</v>
      </c>
      <c r="G272" s="61" t="n">
        <f aca="false">G247+G250+G249</f>
        <v>198777.273972603</v>
      </c>
      <c r="H272" s="2" t="s">
        <v>1434</v>
      </c>
    </row>
    <row r="273" customFormat="false" ht="15" hidden="false" customHeight="false" outlineLevel="1" collapsed="false">
      <c r="A273" s="7" t="s">
        <v>777</v>
      </c>
      <c r="B273" s="8" t="s">
        <v>11</v>
      </c>
      <c r="C273" s="61" t="n">
        <f aca="false">C271+C272</f>
        <v>166522.114377854</v>
      </c>
      <c r="D273" s="61" t="n">
        <f aca="false">D271+D272</f>
        <v>237871.794520548</v>
      </c>
      <c r="E273" s="61" t="n">
        <f aca="false">E271+E272</f>
        <v>282358.506849315</v>
      </c>
      <c r="F273" s="61" t="n">
        <f aca="false">F271+F272</f>
        <v>310637.657534247</v>
      </c>
      <c r="G273" s="61" t="n">
        <f aca="false">G271+G272</f>
        <v>348777.273972603</v>
      </c>
      <c r="H273" s="2" t="s">
        <v>1435</v>
      </c>
    </row>
    <row r="274" customFormat="false" ht="15" hidden="false" customHeight="false" outlineLevel="1" collapsed="false">
      <c r="A274" s="7" t="s">
        <v>778</v>
      </c>
      <c r="B274" s="8" t="s">
        <v>11</v>
      </c>
      <c r="C274" s="61" t="n">
        <f aca="false">C268+C270</f>
        <v>1100000</v>
      </c>
      <c r="D274" s="61" t="n">
        <f aca="false">C274+D268+D270</f>
        <v>1857431.96291177</v>
      </c>
      <c r="E274" s="61" t="n">
        <f aca="false">D274+E268+E270</f>
        <v>2685198.78885943</v>
      </c>
      <c r="F274" s="61" t="n">
        <f aca="false">E274+F268+F270</f>
        <v>3600889.59556863</v>
      </c>
      <c r="G274" s="61" t="n">
        <f aca="false">F274+G268+G270</f>
        <v>4572080.64549146</v>
      </c>
      <c r="H274" s="2" t="s">
        <v>1436</v>
      </c>
    </row>
    <row r="275" customFormat="false" ht="15" hidden="false" customHeight="false" outlineLevel="0" collapsed="false">
      <c r="A275" s="3" t="s">
        <v>1437</v>
      </c>
      <c r="B275" s="4"/>
      <c r="C275" s="4"/>
      <c r="D275" s="4"/>
      <c r="E275" s="4"/>
      <c r="F275" s="4"/>
      <c r="G275" s="4"/>
      <c r="H275" s="4"/>
    </row>
    <row r="276" customFormat="false" ht="15" hidden="false" customHeight="false" outlineLevel="1" collapsed="false">
      <c r="A276" s="7" t="s">
        <v>782</v>
      </c>
      <c r="B276" s="8" t="s">
        <v>11</v>
      </c>
      <c r="C276" s="72" t="n">
        <f aca="false">Pressupostos!$C$159+Pressupostos!$C$160+Pressupostos!$C$161+Pressupostos!$C$162+Pressupostos!$C$163</f>
        <v>95000</v>
      </c>
      <c r="H276" s="2" t="s">
        <v>1438</v>
      </c>
    </row>
    <row r="277" customFormat="false" ht="15" hidden="false" customHeight="false" outlineLevel="1" collapsed="false">
      <c r="A277" s="7" t="s">
        <v>783</v>
      </c>
      <c r="B277" s="8" t="s">
        <v>11</v>
      </c>
      <c r="C277" s="73" t="n">
        <f aca="false">Pressupostos!$C$108</f>
        <v>50000</v>
      </c>
      <c r="H277" s="2" t="s">
        <v>1439</v>
      </c>
    </row>
    <row r="278" customFormat="false" ht="15" hidden="false" customHeight="false" outlineLevel="1" collapsed="false">
      <c r="A278" s="7" t="s">
        <v>322</v>
      </c>
      <c r="B278" s="8" t="s">
        <v>11</v>
      </c>
      <c r="C278" s="73" t="n">
        <f aca="false">Pressupostos!$C$170</f>
        <v>150000</v>
      </c>
      <c r="H278" s="2" t="s">
        <v>1440</v>
      </c>
    </row>
    <row r="279" customFormat="false" ht="15" hidden="false" customHeight="false" outlineLevel="1" collapsed="false">
      <c r="A279" s="7" t="s">
        <v>784</v>
      </c>
      <c r="B279" s="8" t="s">
        <v>11</v>
      </c>
      <c r="C279" s="72" t="n">
        <f aca="false">MAX(0,-MIN($C$263:$G$263))</f>
        <v>4277080.64549146</v>
      </c>
      <c r="H279" s="2" t="s">
        <v>1441</v>
      </c>
    </row>
    <row r="280" customFormat="false" ht="15" hidden="false" customHeight="false" outlineLevel="1" collapsed="false">
      <c r="A280" s="56" t="s">
        <v>785</v>
      </c>
      <c r="B280" s="57" t="s">
        <v>11</v>
      </c>
      <c r="C280" s="74" t="n">
        <f aca="false">C276+C277+C278+C279</f>
        <v>4572080.64549146</v>
      </c>
      <c r="H280" s="2" t="s">
        <v>1442</v>
      </c>
    </row>
    <row r="281" customFormat="false" ht="15" hidden="false" customHeight="false" outlineLevel="1" collapsed="false">
      <c r="A281" s="7" t="s">
        <v>786</v>
      </c>
      <c r="B281" s="8" t="s">
        <v>20</v>
      </c>
      <c r="C281" s="75" t="n">
        <f aca="false">INDEX($C$8:$G$8,1,MATCH(MIN($C$263:$G$263),$C$263:$G$263,0))</f>
        <v>2031</v>
      </c>
      <c r="H281" s="2" t="s">
        <v>1443</v>
      </c>
    </row>
    <row r="282" customFormat="false" ht="15" hidden="false" customHeight="false" outlineLevel="1" collapsed="false">
      <c r="A282" s="7" t="s">
        <v>787</v>
      </c>
      <c r="B282" s="8"/>
      <c r="C282" s="76" t="str">
        <f aca="false">IF(G262&lt;0,"sim","não")</f>
        <v>sim</v>
      </c>
      <c r="H282" s="2" t="s">
        <v>1444</v>
      </c>
    </row>
    <row r="283" customFormat="false" ht="15" hidden="false" customHeight="false" outlineLevel="1" collapsed="false">
      <c r="A283" s="7" t="s">
        <v>788</v>
      </c>
      <c r="B283" s="8" t="s">
        <v>11</v>
      </c>
      <c r="C283" s="72" t="n">
        <f aca="false">G274</f>
        <v>4572080.64549146</v>
      </c>
      <c r="H283" s="2" t="s">
        <v>1445</v>
      </c>
    </row>
    <row r="284" customFormat="false" ht="15" hidden="false" customHeight="false" outlineLevel="0" collapsed="false">
      <c r="A284" s="3" t="s">
        <v>1446</v>
      </c>
      <c r="B284" s="4"/>
      <c r="C284" s="4"/>
      <c r="D284" s="4"/>
      <c r="E284" s="4"/>
      <c r="F284" s="4"/>
      <c r="G284" s="4"/>
      <c r="H284" s="4"/>
    </row>
    <row r="285" customFormat="false" ht="15" hidden="false" customHeight="false" outlineLevel="1" collapsed="false">
      <c r="A285" s="7" t="s">
        <v>790</v>
      </c>
      <c r="B285" s="8" t="s">
        <v>11</v>
      </c>
      <c r="C285" s="72" t="n">
        <f aca="false">C276+C277</f>
        <v>145000</v>
      </c>
      <c r="H285" s="2" t="s">
        <v>1447</v>
      </c>
    </row>
    <row r="286" customFormat="false" ht="15" hidden="false" customHeight="false" outlineLevel="1" collapsed="false">
      <c r="A286" s="7" t="s">
        <v>791</v>
      </c>
      <c r="B286" s="8" t="s">
        <v>11</v>
      </c>
      <c r="C286" s="72" t="n">
        <f aca="false">-SUMPRODUCT(($C$8:$G$8&lt;=C281)*$C$219:$G$219)</f>
        <v>4057527.2071353</v>
      </c>
      <c r="H286" s="2" t="s">
        <v>1448</v>
      </c>
    </row>
    <row r="287" customFormat="false" ht="15" hidden="false" customHeight="false" outlineLevel="1" collapsed="false">
      <c r="A287" s="7" t="s">
        <v>424</v>
      </c>
      <c r="B287" s="8" t="s">
        <v>11</v>
      </c>
      <c r="C287" s="72" t="n">
        <f aca="false">SUMPRODUCT(($C$8:$G$8&lt;=C281)*$C$203:$G$203)</f>
        <v>171000</v>
      </c>
      <c r="H287" s="2" t="s">
        <v>1449</v>
      </c>
    </row>
    <row r="288" customFormat="false" ht="15" hidden="false" customHeight="false" outlineLevel="1" collapsed="false">
      <c r="A288" s="7" t="s">
        <v>792</v>
      </c>
      <c r="B288" s="8" t="s">
        <v>11</v>
      </c>
      <c r="C288" s="72" t="n">
        <f aca="false">SUMPRODUCT(($C$8:$G$8&lt;=C281)*$C$234:$G$234)</f>
        <v>0</v>
      </c>
      <c r="H288" s="2" t="s">
        <v>1450</v>
      </c>
    </row>
    <row r="289" customFormat="false" ht="15" hidden="false" customHeight="false" outlineLevel="1" collapsed="false">
      <c r="A289" s="7" t="s">
        <v>793</v>
      </c>
      <c r="B289" s="8" t="s">
        <v>11</v>
      </c>
      <c r="C289" s="72" t="n">
        <f aca="false">C279-C286-C287-C288</f>
        <v>48553.4383561648</v>
      </c>
      <c r="H289" s="2" t="s">
        <v>1451</v>
      </c>
    </row>
    <row r="290" customFormat="false" ht="15" hidden="false" customHeight="false" outlineLevel="1" collapsed="false">
      <c r="A290" s="7" t="s">
        <v>322</v>
      </c>
      <c r="B290" s="8" t="s">
        <v>11</v>
      </c>
      <c r="C290" s="72" t="n">
        <f aca="false">C278</f>
        <v>150000</v>
      </c>
      <c r="H290" s="2" t="s">
        <v>1452</v>
      </c>
    </row>
    <row r="291" customFormat="false" ht="15" hidden="false" customHeight="false" outlineLevel="1" collapsed="false">
      <c r="A291" s="56" t="s">
        <v>794</v>
      </c>
      <c r="B291" s="57" t="s">
        <v>11</v>
      </c>
      <c r="C291" s="74" t="n">
        <f aca="false">C285+C286+C287+C288+C289+C290</f>
        <v>4572080.64549146</v>
      </c>
      <c r="H291" s="2" t="s">
        <v>1453</v>
      </c>
    </row>
    <row r="292" customFormat="false" ht="15" hidden="false" customHeight="false" outlineLevel="0" collapsed="false">
      <c r="A292" s="3" t="s">
        <v>1454</v>
      </c>
      <c r="B292" s="4"/>
      <c r="C292" s="4"/>
      <c r="D292" s="4"/>
      <c r="E292" s="4"/>
      <c r="F292" s="4"/>
      <c r="G292" s="4"/>
      <c r="H292" s="4"/>
    </row>
    <row r="293" customFormat="false" ht="15" hidden="false" customHeight="false" outlineLevel="1" collapsed="false">
      <c r="A293" s="7" t="s">
        <v>772</v>
      </c>
      <c r="B293" s="8" t="s">
        <v>11</v>
      </c>
      <c r="C293" s="73" t="n">
        <f aca="false">Pressupostos!$C$32</f>
        <v>1100000</v>
      </c>
      <c r="H293" s="2" t="s">
        <v>1455</v>
      </c>
    </row>
    <row r="294" customFormat="false" ht="15" hidden="false" customHeight="false" outlineLevel="1" collapsed="false">
      <c r="A294" s="7" t="s">
        <v>796</v>
      </c>
      <c r="B294" s="8" t="s">
        <v>11</v>
      </c>
      <c r="C294" s="72" t="n">
        <f aca="false">C276+Pressupostos!$C$108+Pressupostos!$C$130/12*((C178-C166-C167+(C166+C167)/Pressupostos!$C$128*Pressupostos!$C$129)*(1+Pressupostos!$C$124+Pressupostos!$C$125)+C164*Pressupostos!$C$126+C197)+C203+MAX(0,Pressupostos!$C$183*1000*(C29+C32)+Pressupostos!$C$184*1000*(C52+C55)-Pressupostos!$C$108)</f>
        <v>725521.666666667</v>
      </c>
      <c r="H294" s="2" t="s">
        <v>1456</v>
      </c>
    </row>
    <row r="295" customFormat="false" ht="15" hidden="false" customHeight="false" outlineLevel="1" collapsed="false">
      <c r="A295" s="7" t="s">
        <v>798</v>
      </c>
      <c r="B295" s="8" t="s">
        <v>11</v>
      </c>
      <c r="C295" s="72" t="n">
        <f aca="false">C276+Pressupostos!$C$108-C262</f>
        <v>946085.940416667</v>
      </c>
      <c r="H295" s="2" t="s">
        <v>1457</v>
      </c>
    </row>
    <row r="296" customFormat="false" ht="15" hidden="false" customHeight="false" outlineLevel="1" collapsed="false">
      <c r="A296" s="7" t="s">
        <v>799</v>
      </c>
      <c r="B296" s="8" t="s">
        <v>11</v>
      </c>
      <c r="C296" s="61" t="n">
        <f aca="false">Pressupostos!$C$32-C276-Pressupostos!$C$108+C263</f>
        <v>153914.059583333</v>
      </c>
      <c r="D296" s="61" t="n">
        <f aca="false">Pressupostos!$C$32-C276-Pressupostos!$C$108+D263</f>
        <v>-607431.962911774</v>
      </c>
      <c r="E296" s="61" t="n">
        <f aca="false">Pressupostos!$C$32-C276-Pressupostos!$C$108+E263</f>
        <v>-1435198.78885943</v>
      </c>
      <c r="F296" s="61" t="n">
        <f aca="false">Pressupostos!$C$32-C276-Pressupostos!$C$108+F263</f>
        <v>-2350889.59556863</v>
      </c>
      <c r="G296" s="61" t="n">
        <f aca="false">Pressupostos!$C$32-C276-Pressupostos!$C$108+G263</f>
        <v>-3322080.64549146</v>
      </c>
      <c r="H296" s="2" t="s">
        <v>1458</v>
      </c>
    </row>
    <row r="297" customFormat="false" ht="15" hidden="false" customHeight="false" outlineLevel="1" collapsed="false">
      <c r="A297" s="7" t="s">
        <v>800</v>
      </c>
      <c r="B297" s="8" t="s">
        <v>18</v>
      </c>
      <c r="C297" s="77" t="str">
        <f aca="false">IF(AND(Pressupostos!$C$32-C276-Pressupostos!$C$108&gt;0,C296&lt;=0),12*(Pressupostos!$C$32-C276-Pressupostos!$C$108)/(Pressupostos!$C$32-C276-Pressupostos!$C$108-C296),"")</f>
        <v/>
      </c>
      <c r="D297" s="77" t="n">
        <f aca="false">IF(AND(C296&gt;0,D296&lt;=0),12+12*C296/(C296-D296),"")</f>
        <v>14.4259254799113</v>
      </c>
      <c r="E297" s="77" t="str">
        <f aca="false">IF(AND(D296&gt;0,E296&lt;=0),24+12*D296/(D296-E296),"")</f>
        <v/>
      </c>
      <c r="F297" s="77" t="str">
        <f aca="false">IF(AND(E296&gt;0,F296&lt;=0),36+12*E296/(E296-F296),"")</f>
        <v/>
      </c>
      <c r="G297" s="77" t="str">
        <f aca="false">IF(AND(F296&gt;0,G296&lt;=0),48+12*F296/(F296-G296),"")</f>
        <v/>
      </c>
      <c r="H297" s="2" t="s">
        <v>1459</v>
      </c>
    </row>
    <row r="298" customFormat="false" ht="15" hidden="false" customHeight="false" outlineLevel="1" collapsed="false">
      <c r="A298" s="56" t="s">
        <v>801</v>
      </c>
      <c r="B298" s="57" t="s">
        <v>274</v>
      </c>
      <c r="C298" s="78" t="n">
        <f aca="false">IF(COUNT($C$297:$G$297)=0,"&gt; 60",MIN($C$297:$G$297))</f>
        <v>14.4259254799113</v>
      </c>
      <c r="H298" s="2" t="s">
        <v>1460</v>
      </c>
    </row>
    <row r="299" customFormat="false" ht="15" hidden="false" customHeight="false" outlineLevel="0" collapsed="false">
      <c r="A299" s="3" t="s">
        <v>1461</v>
      </c>
      <c r="B299" s="4"/>
      <c r="C299" s="4"/>
      <c r="D299" s="4"/>
      <c r="E299" s="4"/>
      <c r="F299" s="4"/>
      <c r="G299" s="4"/>
      <c r="H299" s="4"/>
    </row>
    <row r="300" customFormat="false" ht="15" hidden="false" customHeight="false" outlineLevel="1" collapsed="false">
      <c r="A300" s="7" t="s">
        <v>803</v>
      </c>
      <c r="B300" s="8" t="s">
        <v>18</v>
      </c>
      <c r="C300" s="77" t="str">
        <f aca="false">IF(C219&gt;=0,1,"")</f>
        <v/>
      </c>
      <c r="D300" s="77" t="str">
        <f aca="false">IF(AND(C219&lt;0,D219&gt;=0),6.5+12*(-C219)/(D219-C219),"")</f>
        <v/>
      </c>
      <c r="E300" s="77" t="str">
        <f aca="false">IF(AND(D219&lt;0,E219&gt;=0),18.5+12*(-D219)/(E219-D219),"")</f>
        <v/>
      </c>
      <c r="F300" s="77" t="str">
        <f aca="false">IF(AND(E219&lt;0,F219&gt;=0),30.5+12*(-E219)/(F219-E219),"")</f>
        <v/>
      </c>
      <c r="G300" s="77" t="str">
        <f aca="false">IF(AND(F219&lt;0,G219&gt;=0),42.5+12*(-F219)/(G219-F219),"")</f>
        <v/>
      </c>
      <c r="H300" s="2" t="s">
        <v>1462</v>
      </c>
    </row>
    <row r="301" customFormat="false" ht="15" hidden="false" customHeight="false" outlineLevel="1" collapsed="false">
      <c r="A301" s="7" t="s">
        <v>804</v>
      </c>
      <c r="B301" s="8" t="s">
        <v>18</v>
      </c>
      <c r="C301" s="79" t="str">
        <f aca="false">IF(COUNT($C$300:$G$300)=0,"não atinge até 2031",ROUNDUP(MIN($C$300:$G$300),0))</f>
        <v>não atinge até 2031</v>
      </c>
      <c r="H301" s="2" t="s">
        <v>1463</v>
      </c>
    </row>
    <row r="302" customFormat="false" ht="15" hidden="false" customHeight="false" outlineLevel="1" collapsed="false">
      <c r="A302" s="56" t="s">
        <v>805</v>
      </c>
      <c r="B302" s="57" t="s">
        <v>806</v>
      </c>
      <c r="C302" s="80" t="str">
        <f aca="false">IF(ISNUMBER(C301),DATE(2027,C301,1),"não atinge até 2031")</f>
        <v>não atinge até 2031</v>
      </c>
      <c r="H302" s="2" t="s">
        <v>1464</v>
      </c>
    </row>
    <row r="303" customFormat="false" ht="15" hidden="false" customHeight="false" outlineLevel="1" collapsed="false">
      <c r="A303" s="7" t="s">
        <v>807</v>
      </c>
      <c r="B303" s="8" t="s">
        <v>20</v>
      </c>
      <c r="C303" s="81" t="str">
        <f aca="false">IF(C219&gt;=0,C8,"")</f>
        <v/>
      </c>
      <c r="D303" s="81" t="str">
        <f aca="false">IF(D219&gt;=0,D8,"")</f>
        <v/>
      </c>
      <c r="E303" s="81" t="str">
        <f aca="false">IF(E219&gt;=0,E8,"")</f>
        <v/>
      </c>
      <c r="F303" s="81" t="str">
        <f aca="false">IF(F219&gt;=0,F8,"")</f>
        <v/>
      </c>
      <c r="G303" s="81" t="str">
        <f aca="false">IF(G219&gt;=0,G8,"")</f>
        <v/>
      </c>
      <c r="H303" s="2" t="s">
        <v>1465</v>
      </c>
    </row>
    <row r="304" customFormat="false" ht="15" hidden="false" customHeight="false" outlineLevel="1" collapsed="false">
      <c r="A304" s="7" t="s">
        <v>808</v>
      </c>
      <c r="B304" s="8" t="s">
        <v>20</v>
      </c>
      <c r="C304" s="75" t="str">
        <f aca="false">IF(COUNT($C$303:$G$303)=0,"não atinge até 2031",MIN($C$303:$G$303))</f>
        <v>não atinge até 2031</v>
      </c>
      <c r="H304" s="2" t="s">
        <v>1466</v>
      </c>
    </row>
    <row r="305" customFormat="false" ht="15" hidden="false" customHeight="false" outlineLevel="1" collapsed="false">
      <c r="A305" s="7" t="s">
        <v>809</v>
      </c>
      <c r="B305" s="8" t="s">
        <v>20</v>
      </c>
      <c r="C305" s="81" t="str">
        <f aca="false">IF(C237&gt;=0,C8,"")</f>
        <v/>
      </c>
      <c r="D305" s="81" t="str">
        <f aca="false">IF(D237&gt;=0,D8,"")</f>
        <v/>
      </c>
      <c r="E305" s="81" t="str">
        <f aca="false">IF(E237&gt;=0,E8,"")</f>
        <v/>
      </c>
      <c r="F305" s="81" t="str">
        <f aca="false">IF(F237&gt;=0,F8,"")</f>
        <v/>
      </c>
      <c r="G305" s="81" t="str">
        <f aca="false">IF(G237&gt;=0,G8,"")</f>
        <v/>
      </c>
      <c r="H305" s="2" t="s">
        <v>1467</v>
      </c>
    </row>
    <row r="306" customFormat="false" ht="15" hidden="false" customHeight="false" outlineLevel="1" collapsed="false">
      <c r="A306" s="7" t="s">
        <v>810</v>
      </c>
      <c r="B306" s="8" t="s">
        <v>20</v>
      </c>
      <c r="C306" s="75" t="str">
        <f aca="false">IF(COUNT($C$305:$G$305)=0,"não atinge até 2031",MIN($C$305:$G$305))</f>
        <v>não atinge até 2031</v>
      </c>
      <c r="H306" s="2" t="s">
        <v>1468</v>
      </c>
    </row>
    <row r="307" customFormat="false" ht="15" hidden="false" customHeight="false" outlineLevel="1" collapsed="false">
      <c r="A307" s="7" t="s">
        <v>811</v>
      </c>
      <c r="B307" s="8" t="s">
        <v>20</v>
      </c>
      <c r="C307" s="81" t="str">
        <f aca="false">IF(C262&gt;=0,C8,"")</f>
        <v/>
      </c>
      <c r="D307" s="81" t="str">
        <f aca="false">IF(D262&gt;=0,D8,"")</f>
        <v/>
      </c>
      <c r="E307" s="81" t="str">
        <f aca="false">IF(E262&gt;=0,E8,"")</f>
        <v/>
      </c>
      <c r="F307" s="81" t="str">
        <f aca="false">IF(F262&gt;=0,F8,"")</f>
        <v/>
      </c>
      <c r="G307" s="81" t="str">
        <f aca="false">IF(G262&gt;=0,G8,"")</f>
        <v/>
      </c>
      <c r="H307" s="2" t="s">
        <v>1469</v>
      </c>
    </row>
    <row r="308" customFormat="false" ht="15" hidden="false" customHeight="false" outlineLevel="1" collapsed="false">
      <c r="A308" s="7" t="s">
        <v>19</v>
      </c>
      <c r="B308" s="8" t="s">
        <v>20</v>
      </c>
      <c r="C308" s="75" t="str">
        <f aca="false">IF(COUNT($C$307:$G$307)=0,"não atinge até 2031",MIN($C$307:$G$307))</f>
        <v>não atinge até 2031</v>
      </c>
      <c r="H308" s="2" t="s">
        <v>1470</v>
      </c>
    </row>
    <row r="309" customFormat="false" ht="15" hidden="false" customHeight="false" outlineLevel="0" collapsed="false">
      <c r="A309" s="3" t="s">
        <v>1471</v>
      </c>
      <c r="B309" s="4"/>
      <c r="C309" s="4"/>
      <c r="D309" s="4"/>
      <c r="E309" s="4"/>
      <c r="F309" s="4"/>
      <c r="G309" s="4"/>
      <c r="H309" s="4"/>
    </row>
    <row r="310" customFormat="false" ht="15" hidden="false" customHeight="false" outlineLevel="1" collapsed="false">
      <c r="A310" s="7" t="s">
        <v>813</v>
      </c>
      <c r="B310" s="8" t="s">
        <v>11</v>
      </c>
      <c r="C310" s="61" t="n">
        <f aca="false">C245</f>
        <v>0</v>
      </c>
      <c r="D310" s="61" t="n">
        <f aca="false">D245</f>
        <v>167226.105675147</v>
      </c>
      <c r="E310" s="61" t="n">
        <f aca="false">E245</f>
        <v>363660.939334638</v>
      </c>
      <c r="F310" s="61" t="n">
        <f aca="false">F245</f>
        <v>458964.735812133</v>
      </c>
      <c r="G310" s="61" t="n">
        <f aca="false">G245</f>
        <v>567935.068493151</v>
      </c>
      <c r="H310" s="2" t="s">
        <v>1472</v>
      </c>
    </row>
    <row r="311" customFormat="false" ht="15" hidden="false" customHeight="false" outlineLevel="1" collapsed="false">
      <c r="A311" s="7" t="s">
        <v>509</v>
      </c>
      <c r="B311" s="8" t="s">
        <v>76</v>
      </c>
      <c r="C311" s="82" t="n">
        <f aca="false">Pressupostos!$C$287</f>
        <v>0.09</v>
      </c>
      <c r="D311" s="82" t="n">
        <f aca="false">Pressupostos!$D$287</f>
        <v>0.09</v>
      </c>
      <c r="E311" s="82" t="n">
        <f aca="false">Pressupostos!$E$287</f>
        <v>0.09</v>
      </c>
      <c r="F311" s="82" t="n">
        <f aca="false">Pressupostos!$F$287</f>
        <v>0.09</v>
      </c>
      <c r="G311" s="82" t="n">
        <f aca="false">Pressupostos!$G$287</f>
        <v>0.09</v>
      </c>
      <c r="H311" s="2" t="s">
        <v>1473</v>
      </c>
    </row>
    <row r="312" customFormat="false" ht="15" hidden="false" customHeight="false" outlineLevel="1" collapsed="false">
      <c r="A312" s="7" t="s">
        <v>814</v>
      </c>
      <c r="B312" s="8" t="s">
        <v>76</v>
      </c>
      <c r="C312" s="60" t="n">
        <f aca="false">Pressupostos!$C$287*(1-Pressupostos!$C$111)</f>
        <v>0.0648</v>
      </c>
      <c r="D312" s="60" t="n">
        <f aca="false">Pressupostos!$D$287*(1-Pressupostos!$C$111)</f>
        <v>0.0648</v>
      </c>
      <c r="E312" s="60" t="n">
        <f aca="false">Pressupostos!$E$287*(1-Pressupostos!$C$111)</f>
        <v>0.0648</v>
      </c>
      <c r="F312" s="60" t="n">
        <f aca="false">Pressupostos!$F$287*(1-Pressupostos!$C$111)</f>
        <v>0.0648</v>
      </c>
      <c r="G312" s="60" t="n">
        <f aca="false">Pressupostos!$G$287*(1-Pressupostos!$C$111)</f>
        <v>0.0648</v>
      </c>
      <c r="H312" s="2" t="s">
        <v>1474</v>
      </c>
    </row>
    <row r="313" customFormat="false" ht="15" hidden="false" customHeight="false" outlineLevel="1" collapsed="false">
      <c r="A313" s="7" t="s">
        <v>815</v>
      </c>
      <c r="B313" s="8" t="s">
        <v>11</v>
      </c>
      <c r="C313" s="61" t="n">
        <f aca="false">C149</f>
        <v>0</v>
      </c>
      <c r="D313" s="61" t="n">
        <f aca="false">D149</f>
        <v>14651.1722113503</v>
      </c>
      <c r="E313" s="61" t="n">
        <f aca="false">E149</f>
        <v>31789.5675146771</v>
      </c>
      <c r="F313" s="61" t="n">
        <f aca="false">F149</f>
        <v>39818.9236790607</v>
      </c>
      <c r="G313" s="61" t="n">
        <f aca="false">G149</f>
        <v>49150.7260273973</v>
      </c>
      <c r="H313" s="2" t="s">
        <v>1475</v>
      </c>
    </row>
    <row r="314" customFormat="false" ht="15" hidden="false" customHeight="false" outlineLevel="1" collapsed="false">
      <c r="A314" s="7" t="s">
        <v>816</v>
      </c>
      <c r="B314" s="8" t="s">
        <v>76</v>
      </c>
      <c r="C314" s="59" t="n">
        <f aca="false">IF(C245&gt;0,(C248+C250)/C245,0)</f>
        <v>0</v>
      </c>
      <c r="D314" s="59" t="n">
        <f aca="false">IF(D245&gt;0,(D248+D250)/D245,0)</f>
        <v>0.173529411764706</v>
      </c>
      <c r="E314" s="59" t="n">
        <f aca="false">IF(E245&gt;0,(E248+E250)/E245,0)</f>
        <v>0.173529411764706</v>
      </c>
      <c r="F314" s="59" t="n">
        <f aca="false">IF(F245&gt;0,(F248+F250)/F245,0)</f>
        <v>0.173529411764706</v>
      </c>
      <c r="G314" s="59" t="n">
        <f aca="false">IF(G245&gt;0,(G248+G250)/G245,0)</f>
        <v>0.173529411764706</v>
      </c>
      <c r="H314" s="2" t="s">
        <v>1476</v>
      </c>
    </row>
    <row r="315" customFormat="false" ht="15" hidden="false" customHeight="false" outlineLevel="1" collapsed="false">
      <c r="A315" s="7" t="s">
        <v>817</v>
      </c>
      <c r="B315" s="8" t="s">
        <v>123</v>
      </c>
      <c r="C315" s="61" t="n">
        <f aca="false">C251</f>
        <v>0</v>
      </c>
      <c r="D315" s="61" t="n">
        <f aca="false">D251</f>
        <v>3.34452211350294</v>
      </c>
      <c r="E315" s="61" t="n">
        <f aca="false">E251</f>
        <v>7.27321878669276</v>
      </c>
      <c r="F315" s="61" t="n">
        <f aca="false">F251</f>
        <v>9.17929471624266</v>
      </c>
      <c r="G315" s="61" t="n">
        <f aca="false">G251</f>
        <v>11.358701369863</v>
      </c>
      <c r="H315" s="2" t="s">
        <v>1477</v>
      </c>
    </row>
    <row r="316" customFormat="false" ht="15" hidden="false" customHeight="false" outlineLevel="1" collapsed="false">
      <c r="A316" s="7" t="s">
        <v>818</v>
      </c>
      <c r="B316" s="8" t="s">
        <v>11</v>
      </c>
      <c r="C316" s="61" t="n">
        <f aca="false">C149+C195</f>
        <v>65000</v>
      </c>
      <c r="D316" s="61" t="n">
        <f aca="false">D149+D195</f>
        <v>74651.1722113503</v>
      </c>
      <c r="E316" s="61" t="n">
        <f aca="false">E149+E195</f>
        <v>96789.5675146771</v>
      </c>
      <c r="F316" s="61" t="n">
        <f aca="false">F149+F195</f>
        <v>104818.923679061</v>
      </c>
      <c r="G316" s="61" t="n">
        <f aca="false">G149+G195</f>
        <v>114150.726027397</v>
      </c>
      <c r="H316" s="2" t="s">
        <v>1478</v>
      </c>
    </row>
    <row r="317" customFormat="false" ht="15" hidden="false" customHeight="false" outlineLevel="1" collapsed="false">
      <c r="A317" s="7" t="s">
        <v>819</v>
      </c>
      <c r="B317" s="8" t="s">
        <v>76</v>
      </c>
      <c r="C317" s="59" t="str">
        <f aca="false">IF(C245&gt;0,C316/C245,"")</f>
        <v/>
      </c>
      <c r="D317" s="59" t="n">
        <f aca="false">IF(D245&gt;0,D316/D245,"")</f>
        <v>0.446408602950831</v>
      </c>
      <c r="E317" s="59" t="n">
        <f aca="false">IF(E245&gt;0,E316/E245,"")</f>
        <v>0.266153323180008</v>
      </c>
      <c r="F317" s="59" t="n">
        <f aca="false">IF(F245&gt;0,F316/F245,"")</f>
        <v>0.228381214285635</v>
      </c>
      <c r="G317" s="59" t="n">
        <f aca="false">IF(G245&gt;0,G316/G245,"")</f>
        <v>0.200992564749105</v>
      </c>
      <c r="H317" s="2" t="s">
        <v>1479</v>
      </c>
    </row>
    <row r="318" customFormat="false" ht="15" hidden="false" customHeight="false" outlineLevel="0" collapsed="false">
      <c r="A318" s="3" t="s">
        <v>1480</v>
      </c>
      <c r="B318" s="4"/>
      <c r="C318" s="4"/>
      <c r="D318" s="4"/>
      <c r="E318" s="4"/>
      <c r="F318" s="4"/>
      <c r="G318" s="4"/>
      <c r="H318" s="4"/>
    </row>
    <row r="319" customFormat="false" ht="15" hidden="false" customHeight="false" outlineLevel="1" collapsed="false">
      <c r="A319" s="7" t="s">
        <v>821</v>
      </c>
      <c r="B319" s="8" t="s">
        <v>11</v>
      </c>
      <c r="C319" s="61" t="n">
        <f aca="false">MAX(0,-C219)</f>
        <v>709085.940416667</v>
      </c>
      <c r="D319" s="61" t="n">
        <f aca="false">MAX(0,-D219)</f>
        <v>737984.71721135</v>
      </c>
      <c r="E319" s="61" t="n">
        <f aca="false">MAX(0,-E219)</f>
        <v>796945.084264677</v>
      </c>
      <c r="F319" s="61" t="n">
        <f aca="false">MAX(0,-F219)</f>
        <v>882229.973049715</v>
      </c>
      <c r="G319" s="61" t="n">
        <f aca="false">MAX(0,-G219)</f>
        <v>931281.492192886</v>
      </c>
      <c r="H319" s="2" t="s">
        <v>1481</v>
      </c>
    </row>
    <row r="320" customFormat="false" ht="15" hidden="false" customHeight="false" outlineLevel="1" collapsed="false">
      <c r="A320" s="2" t="s">
        <v>822</v>
      </c>
      <c r="B320" s="8"/>
      <c r="C320" s="61" t="n">
        <f aca="false">IF(AND(C8&gt;=Pressupostos!$C$120,Pressupostos!$C$118*(C102+C103)+Pressupostos!$C$119*C104&gt;Pressupostos!$C$299),1,0)</f>
        <v>0</v>
      </c>
      <c r="D320" s="61" t="n">
        <f aca="false">IF(AND(D8&gt;=Pressupostos!$C$120,Pressupostos!$C$118*(D102+D103)+Pressupostos!$C$119*D104&gt;Pressupostos!$D$299),1,0)</f>
        <v>1</v>
      </c>
      <c r="E320" s="61" t="n">
        <f aca="false">IF(AND(E8&gt;=Pressupostos!$C$120,Pressupostos!$C$118*(E102+E103)+Pressupostos!$C$119*E104&gt;Pressupostos!$E$299),1,0)</f>
        <v>1</v>
      </c>
      <c r="F320" s="61" t="n">
        <f aca="false">IF(AND(F8&gt;=Pressupostos!$C$120,Pressupostos!$C$118*(F102+F103)+Pressupostos!$C$119*F104&gt;Pressupostos!$F$299),1,0)</f>
        <v>1</v>
      </c>
      <c r="G320" s="61" t="n">
        <f aca="false">IF(AND(G8&gt;=Pressupostos!$C$120,Pressupostos!$C$118*(G102+G103)+Pressupostos!$C$119*G104&gt;Pressupostos!$G$299),1,0)</f>
        <v>1</v>
      </c>
      <c r="H320" s="2" t="s">
        <v>1482</v>
      </c>
    </row>
    <row r="321" customFormat="false" ht="15" hidden="false" customHeight="false" outlineLevel="1" collapsed="false">
      <c r="A321" s="7" t="s">
        <v>823</v>
      </c>
      <c r="B321" s="8" t="s">
        <v>64</v>
      </c>
      <c r="C321" s="63" t="n">
        <f aca="false">IF(C12&gt;0,C319/(C12*1000*(1-Pressupostos!$C$22)*(1-Pressupostos!$C$25-C320*Pressupostos!$C$118)),"n/a")</f>
        <v>20.9602701867179</v>
      </c>
      <c r="D321" s="63" t="n">
        <f aca="false">IF(D12&gt;0,D319/(D12*1000*(1-Pressupostos!$C$22)*(1-Pressupostos!$C$25-D320*Pressupostos!$C$118)),"n/a")</f>
        <v>5.77276666127982</v>
      </c>
      <c r="E321" s="63" t="n">
        <f aca="false">IF(E12&gt;0,E319/(E12*1000*(1-Pressupostos!$C$22)*(1-Pressupostos!$C$25-E320*Pressupostos!$C$118)),"n/a")</f>
        <v>3.22964951334978</v>
      </c>
      <c r="F321" s="63" t="n">
        <f aca="false">IF(F12&gt;0,F319/(F12*1000*(1-Pressupostos!$C$22)*(1-Pressupostos!$C$25-F320*Pressupostos!$C$118)),"n/a")</f>
        <v>2.4191362837541</v>
      </c>
      <c r="G321" s="63" t="n">
        <f aca="false">IF(G12&gt;0,G319/(G12*1000*(1-Pressupostos!$C$22)*(1-Pressupostos!$C$25-G320*Pressupostos!$C$118)),"n/a")</f>
        <v>1.89082322835679</v>
      </c>
      <c r="H321" s="2" t="s">
        <v>1483</v>
      </c>
    </row>
    <row r="322" customFormat="false" ht="15" hidden="false" customHeight="false" outlineLevel="1" collapsed="false">
      <c r="A322" s="7" t="s">
        <v>824</v>
      </c>
      <c r="B322" s="8" t="s">
        <v>64</v>
      </c>
      <c r="C322" s="63" t="n">
        <f aca="false">IF(C11&gt;0,Pressupostos!$C$15+C319/(C11*1000*(1-Pressupostos!$C$16)*(1-Pressupostos!$C$18-C320*Pressupostos!$C$118)),"n/a")</f>
        <v>137.771180633338</v>
      </c>
      <c r="D322" s="63" t="n">
        <f aca="false">IF(D11&gt;0,Pressupostos!$C$15+D319/(D11*1000*(1-Pressupostos!$C$16)*(1-Pressupostos!$C$18-D320*Pressupostos!$C$118)),"n/a")</f>
        <v>44.9210631927763</v>
      </c>
      <c r="E322" s="63" t="n">
        <f aca="false">IF(E11&gt;0,Pressupostos!$C$15+E319/(E11*1000*(1-Pressupostos!$C$16)*(1-Pressupostos!$C$18-E320*Pressupostos!$C$118)),"n/a")</f>
        <v>22.9735202443412</v>
      </c>
      <c r="F322" s="63" t="n">
        <f aca="false">IF(F11&gt;0,Pressupostos!$C$15+F319/(F11*1000*(1-Pressupostos!$C$16)*(1-Pressupostos!$C$18-F320*Pressupostos!$C$118)),"n/a")</f>
        <v>17.4995300386442</v>
      </c>
      <c r="G322" s="63" t="n">
        <f aca="false">IF(G11&gt;0,Pressupostos!$C$15+G319/(G11*1000*(1-Pressupostos!$C$16)*(1-Pressupostos!$C$18-G320*Pressupostos!$C$118)),"n/a")</f>
        <v>15.5682049992891</v>
      </c>
      <c r="H322" s="2" t="s">
        <v>1484</v>
      </c>
    </row>
    <row r="323" customFormat="false" ht="15" hidden="false" customHeight="false" outlineLevel="1" collapsed="false">
      <c r="A323" s="7" t="s">
        <v>825</v>
      </c>
      <c r="B323" s="8" t="s">
        <v>64</v>
      </c>
      <c r="C323" s="63" t="n">
        <f aca="false">IF(Pressupostos!$C$33=1,C94-C320*Pressupostos!$C$119*C77,C100)</f>
        <v>0.00725</v>
      </c>
      <c r="D323" s="63" t="n">
        <f aca="false">IF(Pressupostos!$C$33=1,D94-D320*Pressupostos!$C$119*D77,D100)</f>
        <v>0.00725</v>
      </c>
      <c r="E323" s="63" t="n">
        <f aca="false">IF(Pressupostos!$C$33=1,E94-E320*Pressupostos!$C$119*E77,E100)</f>
        <v>0.00725</v>
      </c>
      <c r="F323" s="63" t="n">
        <f aca="false">IF(Pressupostos!$C$33=1,F94-F320*Pressupostos!$C$119*F77,F100)</f>
        <v>0.00725</v>
      </c>
      <c r="G323" s="63" t="n">
        <f aca="false">IF(Pressupostos!$C$33=1,G94-G320*Pressupostos!$C$119*G77,G100)</f>
        <v>0.00725</v>
      </c>
      <c r="H323" s="2" t="s">
        <v>1485</v>
      </c>
    </row>
    <row r="324" customFormat="false" ht="15" hidden="false" customHeight="false" outlineLevel="1" collapsed="false">
      <c r="A324" s="7" t="s">
        <v>826</v>
      </c>
      <c r="B324" s="8" t="s">
        <v>120</v>
      </c>
      <c r="C324" s="55" t="n">
        <f aca="false">IF(C323&gt;0,C13+C319/(C323*1000),"n/a")</f>
        <v>97804.9572988506</v>
      </c>
      <c r="D324" s="55" t="n">
        <f aca="false">IF(D323&gt;0,D13+D319/(D323*1000),"n/a")</f>
        <v>101790.995477428</v>
      </c>
      <c r="E324" s="55" t="n">
        <f aca="false">IF(E323&gt;0,E13+E319/(E323*1000),"n/a")</f>
        <v>109923.459898576</v>
      </c>
      <c r="F324" s="55" t="n">
        <f aca="false">IF(F323&gt;0,F13+F319/(F323*1000),"n/a")</f>
        <v>121686.892834444</v>
      </c>
      <c r="G324" s="55" t="n">
        <f aca="false">IF(G323&gt;0,G13+G319/(G323*1000),"n/a")</f>
        <v>128452.619612812</v>
      </c>
      <c r="H324" s="2" t="s">
        <v>1486</v>
      </c>
    </row>
    <row r="325" customFormat="false" ht="15" hidden="false" customHeight="false" outlineLevel="1" collapsed="false">
      <c r="A325" s="7" t="s">
        <v>827</v>
      </c>
      <c r="B325" s="8" t="s">
        <v>76</v>
      </c>
      <c r="C325" s="59" t="n">
        <f aca="false">C319/(C181+C194+C195)</f>
        <v>1.00538837982846</v>
      </c>
      <c r="D325" s="59" t="n">
        <f aca="false">D319/(D181+D194+D195)</f>
        <v>1.04580966842201</v>
      </c>
      <c r="E325" s="59" t="n">
        <f aca="false">E319/(E181+E194+E195)</f>
        <v>1.07992319384213</v>
      </c>
      <c r="F325" s="59" t="n">
        <f aca="false">F319/(F181+F194+F195)</f>
        <v>1.09011110307003</v>
      </c>
      <c r="G325" s="59" t="n">
        <f aca="false">G319/(G181+G194+G195)</f>
        <v>1.1062324534101</v>
      </c>
      <c r="H325" s="2" t="s">
        <v>1487</v>
      </c>
    </row>
    <row r="326" customFormat="false" ht="15" hidden="false" customHeight="false" outlineLevel="1" collapsed="false">
      <c r="A326" s="2" t="s">
        <v>828</v>
      </c>
      <c r="B326" s="8" t="s">
        <v>76</v>
      </c>
      <c r="C326" s="60" t="n">
        <f aca="false">Pressupostos!$C$101*Pressupostos!$C$102+Pressupostos!$C$103-Pressupostos!$C$30*Pressupostos!$C$104*Pressupostos!$C$102/(Pressupostos!$C$105*Pressupostos!$C$106)</f>
        <v>0.00354285714285715</v>
      </c>
      <c r="D326" s="60" t="n">
        <f aca="false">Pressupostos!$C$101*Pressupostos!$C$102+Pressupostos!$C$103-Pressupostos!$C$30*Pressupostos!$C$104*Pressupostos!$C$102/(Pressupostos!$C$105*Pressupostos!$C$106)</f>
        <v>0.00354285714285715</v>
      </c>
      <c r="E326" s="60" t="n">
        <f aca="false">Pressupostos!$C$101*Pressupostos!$C$102+Pressupostos!$C$103-Pressupostos!$C$30*Pressupostos!$C$104*Pressupostos!$C$102/(Pressupostos!$C$105*Pressupostos!$C$106)</f>
        <v>0.00354285714285715</v>
      </c>
      <c r="F326" s="60" t="n">
        <f aca="false">Pressupostos!$C$101*Pressupostos!$C$102+Pressupostos!$C$103-Pressupostos!$C$30*Pressupostos!$C$104*Pressupostos!$C$102/(Pressupostos!$C$105*Pressupostos!$C$106)</f>
        <v>0.00354285714285715</v>
      </c>
      <c r="G326" s="60" t="n">
        <f aca="false">Pressupostos!$C$101*Pressupostos!$C$102+Pressupostos!$C$103-Pressupostos!$C$30*Pressupostos!$C$104*Pressupostos!$C$102/(Pressupostos!$C$105*Pressupostos!$C$106)</f>
        <v>0.00354285714285715</v>
      </c>
      <c r="H326" s="2" t="s">
        <v>1488</v>
      </c>
    </row>
    <row r="327" customFormat="false" ht="15" hidden="false" customHeight="false" outlineLevel="1" collapsed="false">
      <c r="A327" s="7" t="s">
        <v>829</v>
      </c>
      <c r="B327" s="8" t="s">
        <v>11</v>
      </c>
      <c r="C327" s="61" t="n">
        <f aca="false">IF(C326&gt;0,C26+C319/C326,"n/a")</f>
        <v>200145225.117607</v>
      </c>
      <c r="D327" s="61" t="n">
        <f aca="false">IF(D326&gt;0,D26+D319/D326,"n/a")</f>
        <v>208302137.922558</v>
      </c>
      <c r="E327" s="61" t="n">
        <f aca="false">IF(E326&gt;0,E26+E319/E326,"n/a")</f>
        <v>224944177.010191</v>
      </c>
      <c r="F327" s="61" t="n">
        <f aca="false">IF(F326&gt;0,F26+F319/F326,"n/a")</f>
        <v>249516524.651129</v>
      </c>
      <c r="G327" s="61" t="n">
        <f aca="false">IF(G326&gt;0,G26+G319/G326,"n/a")</f>
        <v>263861711.506056</v>
      </c>
      <c r="H327" s="2" t="s">
        <v>1489</v>
      </c>
    </row>
    <row r="330" customFormat="false" ht="15" hidden="false" customHeight="false" outlineLevel="0" collapsed="false">
      <c r="A330" s="111" t="s">
        <v>1490</v>
      </c>
      <c r="B330" s="112"/>
      <c r="C330" s="112"/>
      <c r="D330" s="112"/>
      <c r="E330" s="112"/>
      <c r="F330" s="112"/>
      <c r="G330" s="112"/>
      <c r="H330" s="112"/>
    </row>
    <row r="331" customFormat="false" ht="15" hidden="false" customHeight="false" outlineLevel="0" collapsed="false">
      <c r="A331" s="3" t="s">
        <v>1170</v>
      </c>
      <c r="B331" s="4"/>
      <c r="C331" s="4"/>
      <c r="D331" s="4"/>
      <c r="E331" s="4"/>
      <c r="F331" s="4"/>
      <c r="G331" s="4"/>
      <c r="H331" s="4"/>
    </row>
    <row r="332" customFormat="false" ht="15" hidden="false" customHeight="false" outlineLevel="1" collapsed="false">
      <c r="A332" s="7" t="s">
        <v>588</v>
      </c>
      <c r="B332" s="8"/>
      <c r="C332" s="52" t="n">
        <v>2027</v>
      </c>
      <c r="D332" s="52" t="n">
        <v>2028</v>
      </c>
      <c r="E332" s="52" t="n">
        <v>2029</v>
      </c>
      <c r="F332" s="52" t="n">
        <v>2030</v>
      </c>
      <c r="G332" s="52" t="n">
        <v>2031</v>
      </c>
      <c r="H332" s="2" t="s">
        <v>20</v>
      </c>
    </row>
    <row r="333" customFormat="false" ht="15" hidden="false" customHeight="false" outlineLevel="0" collapsed="false">
      <c r="A333" s="3" t="s">
        <v>1171</v>
      </c>
      <c r="B333" s="4"/>
      <c r="C333" s="4"/>
      <c r="D333" s="4"/>
      <c r="E333" s="4"/>
      <c r="F333" s="4"/>
      <c r="G333" s="4"/>
      <c r="H333" s="4"/>
    </row>
    <row r="334" customFormat="false" ht="15" hidden="false" customHeight="false" outlineLevel="1" collapsed="false">
      <c r="A334" s="7" t="s">
        <v>387</v>
      </c>
      <c r="B334" s="8" t="s">
        <v>123</v>
      </c>
      <c r="C334" s="53" t="n">
        <f aca="false">Pressupostos!$C$213</f>
        <v>40</v>
      </c>
      <c r="D334" s="53" t="n">
        <f aca="false">Pressupostos!$D$213</f>
        <v>180</v>
      </c>
      <c r="E334" s="53" t="n">
        <f aca="false">Pressupostos!$E$213</f>
        <v>650</v>
      </c>
      <c r="F334" s="53" t="n">
        <f aca="false">Pressupostos!$F$213</f>
        <v>1300</v>
      </c>
      <c r="G334" s="53" t="n">
        <f aca="false">Pressupostos!$G$213</f>
        <v>2000</v>
      </c>
      <c r="H334" s="2" t="s">
        <v>1172</v>
      </c>
    </row>
    <row r="335" customFormat="false" ht="15" hidden="false" customHeight="false" outlineLevel="1" collapsed="false">
      <c r="A335" s="7" t="s">
        <v>590</v>
      </c>
      <c r="B335" s="8" t="s">
        <v>120</v>
      </c>
      <c r="C335" s="54" t="n">
        <f aca="false">Pressupostos!$C$219</f>
        <v>8</v>
      </c>
      <c r="D335" s="54" t="n">
        <f aca="false">Pressupostos!$D$219</f>
        <v>37</v>
      </c>
      <c r="E335" s="54" t="n">
        <f aca="false">Pressupostos!$E$219</f>
        <v>133</v>
      </c>
      <c r="F335" s="54" t="n">
        <f aca="false">Pressupostos!$F$219</f>
        <v>267</v>
      </c>
      <c r="G335" s="54" t="n">
        <f aca="false">Pressupostos!$G$219</f>
        <v>410</v>
      </c>
      <c r="H335" s="2" t="s">
        <v>1173</v>
      </c>
    </row>
    <row r="336" customFormat="false" ht="15" hidden="false" customHeight="false" outlineLevel="1" collapsed="false">
      <c r="A336" s="7" t="s">
        <v>591</v>
      </c>
      <c r="B336" s="8" t="s">
        <v>120</v>
      </c>
      <c r="C336" s="54" t="n">
        <f aca="false">Pressupostos!$C$225</f>
        <v>52</v>
      </c>
      <c r="D336" s="54" t="n">
        <f aca="false">Pressupostos!$D$225</f>
        <v>363</v>
      </c>
      <c r="E336" s="54" t="n">
        <f aca="false">Pressupostos!$E$225</f>
        <v>717</v>
      </c>
      <c r="F336" s="54" t="n">
        <f aca="false">Pressupostos!$F$225</f>
        <v>1183</v>
      </c>
      <c r="G336" s="54" t="n">
        <f aca="false">Pressupostos!$G$225</f>
        <v>1790</v>
      </c>
      <c r="H336" s="2" t="s">
        <v>1174</v>
      </c>
    </row>
    <row r="337" customFormat="false" ht="15" hidden="false" customHeight="false" outlineLevel="1" collapsed="false">
      <c r="A337" s="7" t="s">
        <v>398</v>
      </c>
      <c r="B337" s="8" t="s">
        <v>120</v>
      </c>
      <c r="C337" s="54" t="n">
        <f aca="false">Pressupostos!$C$231</f>
        <v>0</v>
      </c>
      <c r="D337" s="54" t="n">
        <f aca="false">Pressupostos!$D$231</f>
        <v>0</v>
      </c>
      <c r="E337" s="54" t="n">
        <f aca="false">Pressupostos!$E$231</f>
        <v>0</v>
      </c>
      <c r="F337" s="54" t="n">
        <f aca="false">Pressupostos!$F$231</f>
        <v>0</v>
      </c>
      <c r="G337" s="54" t="n">
        <f aca="false">Pressupostos!$G$231</f>
        <v>0</v>
      </c>
      <c r="H337" s="2" t="s">
        <v>1175</v>
      </c>
    </row>
    <row r="338" customFormat="false" ht="15" hidden="false" customHeight="false" outlineLevel="1" collapsed="false">
      <c r="A338" s="7" t="s">
        <v>592</v>
      </c>
      <c r="B338" s="8" t="s">
        <v>120</v>
      </c>
      <c r="C338" s="55" t="n">
        <f aca="false">C337*Pressupostos!$D$33</f>
        <v>0</v>
      </c>
      <c r="D338" s="55" t="n">
        <f aca="false">D337*Pressupostos!$D$33</f>
        <v>0</v>
      </c>
      <c r="E338" s="55" t="n">
        <f aca="false">E337*Pressupostos!$D$33</f>
        <v>0</v>
      </c>
      <c r="F338" s="55" t="n">
        <f aca="false">F337*Pressupostos!$D$33</f>
        <v>0</v>
      </c>
      <c r="G338" s="55" t="n">
        <f aca="false">G337*Pressupostos!$D$33</f>
        <v>0</v>
      </c>
      <c r="H338" s="2" t="s">
        <v>1176</v>
      </c>
    </row>
    <row r="339" customFormat="false" ht="15" hidden="false" customHeight="false" outlineLevel="1" collapsed="false">
      <c r="A339" s="7" t="s">
        <v>593</v>
      </c>
      <c r="B339" s="8" t="s">
        <v>120</v>
      </c>
      <c r="C339" s="55" t="n">
        <f aca="false">C337-C338</f>
        <v>0</v>
      </c>
      <c r="D339" s="55" t="n">
        <f aca="false">D337-D338</f>
        <v>0</v>
      </c>
      <c r="E339" s="55" t="n">
        <f aca="false">E337-E338</f>
        <v>0</v>
      </c>
      <c r="F339" s="55" t="n">
        <f aca="false">F337-F338</f>
        <v>0</v>
      </c>
      <c r="G339" s="55" t="n">
        <f aca="false">G337-G338</f>
        <v>0</v>
      </c>
      <c r="H339" s="2" t="s">
        <v>1177</v>
      </c>
    </row>
    <row r="340" customFormat="false" ht="15" hidden="false" customHeight="false" outlineLevel="1" collapsed="false">
      <c r="A340" s="56" t="s">
        <v>594</v>
      </c>
      <c r="B340" s="57" t="s">
        <v>120</v>
      </c>
      <c r="C340" s="58" t="n">
        <f aca="false">C335+C336+C337</f>
        <v>60</v>
      </c>
      <c r="D340" s="58" t="n">
        <f aca="false">D335+D336+D337</f>
        <v>400</v>
      </c>
      <c r="E340" s="58" t="n">
        <f aca="false">E335+E336+E337</f>
        <v>850</v>
      </c>
      <c r="F340" s="58" t="n">
        <f aca="false">F335+F336+F337</f>
        <v>1450</v>
      </c>
      <c r="G340" s="58" t="n">
        <f aca="false">G335+G336+G337</f>
        <v>2200</v>
      </c>
      <c r="H340" s="2" t="s">
        <v>1178</v>
      </c>
    </row>
    <row r="341" customFormat="false" ht="15" hidden="false" customHeight="false" outlineLevel="1" collapsed="false">
      <c r="A341" s="7" t="s">
        <v>595</v>
      </c>
      <c r="B341" s="8" t="s">
        <v>76</v>
      </c>
      <c r="C341" s="59" t="n">
        <f aca="false">IF(C340&gt;0,C335/C340,0)</f>
        <v>0.133333333333333</v>
      </c>
      <c r="D341" s="59" t="n">
        <f aca="false">IF(D340&gt;0,D335/D340,0)</f>
        <v>0.0925</v>
      </c>
      <c r="E341" s="59" t="n">
        <f aca="false">IF(E340&gt;0,E335/E340,0)</f>
        <v>0.156470588235294</v>
      </c>
      <c r="F341" s="59" t="n">
        <f aca="false">IF(F340&gt;0,F335/F340,0)</f>
        <v>0.184137931034483</v>
      </c>
      <c r="G341" s="59" t="n">
        <f aca="false">IF(G340&gt;0,G335/G340,0)</f>
        <v>0.186363636363636</v>
      </c>
      <c r="H341" s="2" t="s">
        <v>1179</v>
      </c>
    </row>
    <row r="342" customFormat="false" ht="15" hidden="false" customHeight="false" outlineLevel="1" collapsed="false">
      <c r="A342" s="7" t="s">
        <v>596</v>
      </c>
      <c r="B342" s="8" t="s">
        <v>76</v>
      </c>
      <c r="C342" s="60" t="n">
        <f aca="false">C340/(Pressupostos!$C$76*1000)</f>
        <v>0.000353982300884956</v>
      </c>
      <c r="D342" s="60" t="n">
        <f aca="false">D340/(Pressupostos!$C$76*1000)</f>
        <v>0.00235988200589971</v>
      </c>
      <c r="E342" s="60" t="n">
        <f aca="false">E340/(Pressupostos!$C$76*1000)</f>
        <v>0.00501474926253687</v>
      </c>
      <c r="F342" s="60" t="n">
        <f aca="false">F340/(Pressupostos!$C$76*1000)</f>
        <v>0.00855457227138643</v>
      </c>
      <c r="G342" s="60" t="n">
        <f aca="false">G340/(Pressupostos!$C$76*1000)</f>
        <v>0.0129793510324484</v>
      </c>
      <c r="H342" s="2" t="s">
        <v>1180</v>
      </c>
    </row>
    <row r="343" customFormat="false" ht="15" hidden="false" customHeight="false" outlineLevel="1" collapsed="false">
      <c r="A343" s="7" t="s">
        <v>597</v>
      </c>
      <c r="B343" s="8" t="s">
        <v>123</v>
      </c>
      <c r="C343" s="55" t="n">
        <f aca="false">C335/Pressupostos!$C$40+C336/Pressupostos!$C$47+C337/Pressupostos!$C$59</f>
        <v>2.13333333333333</v>
      </c>
      <c r="D343" s="55" t="n">
        <f aca="false">D335/Pressupostos!$C$40+D336/Pressupostos!$C$47+D337/Pressupostos!$C$59</f>
        <v>13.95</v>
      </c>
      <c r="E343" s="55" t="n">
        <f aca="false">E335/Pressupostos!$C$40+E336/Pressupostos!$C$47+E337/Pressupostos!$C$59</f>
        <v>30.55</v>
      </c>
      <c r="F343" s="55" t="n">
        <f aca="false">F335/Pressupostos!$C$40+F336/Pressupostos!$C$47+F337/Pressupostos!$C$59</f>
        <v>52.7833333333333</v>
      </c>
      <c r="G343" s="55" t="n">
        <f aca="false">G335/Pressupostos!$C$40+G336/Pressupostos!$C$47+G337/Pressupostos!$C$59</f>
        <v>80.1666666666667</v>
      </c>
      <c r="H343" s="2" t="s">
        <v>1181</v>
      </c>
    </row>
    <row r="344" customFormat="false" ht="15" hidden="false" customHeight="false" outlineLevel="0" collapsed="false">
      <c r="A344" s="3" t="s">
        <v>1182</v>
      </c>
      <c r="B344" s="4"/>
      <c r="C344" s="4"/>
      <c r="D344" s="4"/>
      <c r="E344" s="4"/>
      <c r="F344" s="4"/>
      <c r="G344" s="4"/>
      <c r="H344" s="4"/>
    </row>
    <row r="345" customFormat="false" ht="15" hidden="false" customHeight="false" outlineLevel="1" collapsed="false">
      <c r="A345" s="7" t="s">
        <v>599</v>
      </c>
      <c r="B345" s="8" t="s">
        <v>202</v>
      </c>
      <c r="C345" s="53" t="n">
        <f aca="false">Pressupostos!$C$257</f>
        <v>150</v>
      </c>
      <c r="D345" s="53" t="n">
        <f aca="false">Pressupostos!$D$257</f>
        <v>600</v>
      </c>
      <c r="E345" s="53" t="n">
        <f aca="false">Pressupostos!$E$257</f>
        <v>1000</v>
      </c>
      <c r="F345" s="53" t="n">
        <f aca="false">Pressupostos!$F$257</f>
        <v>1400</v>
      </c>
      <c r="G345" s="53" t="n">
        <f aca="false">Pressupostos!$G$257</f>
        <v>1800</v>
      </c>
      <c r="H345" s="2" t="s">
        <v>1183</v>
      </c>
    </row>
    <row r="346" customFormat="false" ht="15" hidden="false" customHeight="false" outlineLevel="1" collapsed="false">
      <c r="A346" s="7" t="s">
        <v>599</v>
      </c>
      <c r="B346" s="8" t="s">
        <v>189</v>
      </c>
      <c r="C346" s="61" t="n">
        <f aca="false">C345*Pressupostos!$C$78</f>
        <v>112500</v>
      </c>
      <c r="D346" s="61" t="n">
        <f aca="false">D345*Pressupostos!$C$78</f>
        <v>450000</v>
      </c>
      <c r="E346" s="61" t="n">
        <f aca="false">E345*Pressupostos!$C$78</f>
        <v>750000</v>
      </c>
      <c r="F346" s="61" t="n">
        <f aca="false">F345*Pressupostos!$C$78</f>
        <v>1050000</v>
      </c>
      <c r="G346" s="61" t="n">
        <f aca="false">G345*Pressupostos!$C$78</f>
        <v>1350000</v>
      </c>
      <c r="H346" s="2" t="s">
        <v>1184</v>
      </c>
    </row>
    <row r="347" customFormat="false" ht="15" hidden="false" customHeight="false" outlineLevel="0" collapsed="false">
      <c r="A347" s="3" t="s">
        <v>1185</v>
      </c>
      <c r="B347" s="4"/>
      <c r="C347" s="4"/>
      <c r="D347" s="4"/>
      <c r="E347" s="4"/>
      <c r="F347" s="4"/>
      <c r="G347" s="4"/>
      <c r="H347" s="4"/>
    </row>
    <row r="348" customFormat="false" ht="15" hidden="false" customHeight="false" outlineLevel="1" collapsed="false">
      <c r="A348" s="7" t="s">
        <v>601</v>
      </c>
      <c r="B348" s="8" t="s">
        <v>120</v>
      </c>
      <c r="C348" s="55" t="n">
        <f aca="false">IF(C332&lt;Pressupostos!$D$28,0,Pressupostos!$C$263)</f>
        <v>0</v>
      </c>
      <c r="D348" s="55" t="n">
        <f aca="false">IF(D332&lt;Pressupostos!$D$28,0,Pressupostos!$D$263)</f>
        <v>0</v>
      </c>
      <c r="E348" s="55" t="n">
        <f aca="false">IF(E332&lt;Pressupostos!$D$28,0,Pressupostos!$E$263)</f>
        <v>30</v>
      </c>
      <c r="F348" s="55" t="n">
        <f aca="false">IF(F332&lt;Pressupostos!$D$28,0,Pressupostos!$F$263)</f>
        <v>60</v>
      </c>
      <c r="G348" s="55" t="n">
        <f aca="false">IF(G332&lt;Pressupostos!$D$28,0,Pressupostos!$G$263)</f>
        <v>100</v>
      </c>
      <c r="H348" s="2" t="s">
        <v>1186</v>
      </c>
    </row>
    <row r="349" customFormat="false" ht="15" hidden="false" customHeight="false" outlineLevel="0" collapsed="false">
      <c r="A349" s="3" t="s">
        <v>1187</v>
      </c>
      <c r="B349" s="4"/>
      <c r="C349" s="4"/>
      <c r="D349" s="4"/>
      <c r="E349" s="4"/>
      <c r="F349" s="4"/>
      <c r="G349" s="4"/>
      <c r="H349" s="4"/>
    </row>
    <row r="350" customFormat="false" ht="15" hidden="false" customHeight="false" outlineLevel="1" collapsed="false">
      <c r="A350" s="7" t="s">
        <v>603</v>
      </c>
      <c r="B350" s="8" t="s">
        <v>11</v>
      </c>
      <c r="C350" s="53" t="n">
        <f aca="false">Pressupostos!$C$269</f>
        <v>0</v>
      </c>
      <c r="D350" s="53" t="n">
        <f aca="false">Pressupostos!$D$269</f>
        <v>500000</v>
      </c>
      <c r="E350" s="53" t="n">
        <f aca="false">Pressupostos!$E$269</f>
        <v>1500000</v>
      </c>
      <c r="F350" s="53" t="n">
        <f aca="false">Pressupostos!$F$269</f>
        <v>3000000</v>
      </c>
      <c r="G350" s="53" t="n">
        <f aca="false">Pressupostos!$G$269</f>
        <v>5000000</v>
      </c>
      <c r="H350" s="2" t="s">
        <v>1188</v>
      </c>
    </row>
    <row r="351" customFormat="false" ht="15" hidden="false" customHeight="false" outlineLevel="1" collapsed="false">
      <c r="A351" s="7" t="s">
        <v>604</v>
      </c>
      <c r="B351" s="8" t="s">
        <v>120</v>
      </c>
      <c r="C351" s="55" t="n">
        <f aca="false">C350/(Pressupostos!$C$105*Pressupostos!$C$106)*Pressupostos!$C$102/1000</f>
        <v>0</v>
      </c>
      <c r="D351" s="55" t="n">
        <f aca="false">D350/(Pressupostos!$C$105*Pressupostos!$C$106)*Pressupostos!$C$102/1000</f>
        <v>457.142857142857</v>
      </c>
      <c r="E351" s="55" t="n">
        <f aca="false">E350/(Pressupostos!$C$105*Pressupostos!$C$106)*Pressupostos!$C$102/1000</f>
        <v>1371.42857142857</v>
      </c>
      <c r="F351" s="55" t="n">
        <f aca="false">F350/(Pressupostos!$C$105*Pressupostos!$C$106)*Pressupostos!$C$102/1000</f>
        <v>2742.85714285714</v>
      </c>
      <c r="G351" s="55" t="n">
        <f aca="false">G350/(Pressupostos!$C$105*Pressupostos!$C$106)*Pressupostos!$C$102/1000</f>
        <v>4571.42857142857</v>
      </c>
      <c r="H351" s="2" t="s">
        <v>1189</v>
      </c>
    </row>
    <row r="352" customFormat="false" ht="15" hidden="false" customHeight="false" outlineLevel="0" collapsed="false">
      <c r="A352" s="3" t="s">
        <v>1190</v>
      </c>
      <c r="B352" s="4"/>
      <c r="C352" s="4"/>
      <c r="D352" s="4"/>
      <c r="E352" s="4"/>
      <c r="F352" s="4"/>
      <c r="G352" s="4"/>
      <c r="H352" s="4"/>
    </row>
    <row r="353" customFormat="false" ht="15" hidden="false" customHeight="false" outlineLevel="1" collapsed="false">
      <c r="A353" s="7" t="s">
        <v>669</v>
      </c>
      <c r="B353" s="8" t="s">
        <v>64</v>
      </c>
      <c r="C353" s="63" t="n">
        <f aca="false">Pressupostos!$D$10+Pressupostos!$D$11</f>
        <v>3.6</v>
      </c>
      <c r="D353" s="63" t="n">
        <f aca="false">Pressupostos!$D$10+Pressupostos!$D$11</f>
        <v>3.6</v>
      </c>
      <c r="E353" s="63" t="n">
        <f aca="false">Pressupostos!$D$10+Pressupostos!$D$11</f>
        <v>3.6</v>
      </c>
      <c r="F353" s="63" t="n">
        <f aca="false">Pressupostos!$D$10+Pressupostos!$D$11</f>
        <v>3.6</v>
      </c>
      <c r="G353" s="63" t="n">
        <f aca="false">Pressupostos!$D$10+Pressupostos!$D$11</f>
        <v>3.6</v>
      </c>
      <c r="H353" s="2" t="s">
        <v>1191</v>
      </c>
    </row>
    <row r="354" customFormat="false" ht="15" hidden="false" customHeight="false" outlineLevel="1" collapsed="false">
      <c r="A354" s="7" t="s">
        <v>670</v>
      </c>
      <c r="B354" s="8" t="s">
        <v>64</v>
      </c>
      <c r="C354" s="67" t="n">
        <f aca="false">Pressupostos!$D$15</f>
        <v>5.65</v>
      </c>
      <c r="D354" s="67" t="n">
        <f aca="false">Pressupostos!$D$15</f>
        <v>5.65</v>
      </c>
      <c r="E354" s="67" t="n">
        <f aca="false">Pressupostos!$D$15</f>
        <v>5.65</v>
      </c>
      <c r="F354" s="67" t="n">
        <f aca="false">Pressupostos!$D$15</f>
        <v>5.65</v>
      </c>
      <c r="G354" s="67" t="n">
        <f aca="false">Pressupostos!$D$15</f>
        <v>5.65</v>
      </c>
      <c r="H354" s="2" t="s">
        <v>1192</v>
      </c>
    </row>
    <row r="355" customFormat="false" ht="15" hidden="false" customHeight="false" outlineLevel="1" collapsed="false">
      <c r="A355" s="56" t="s">
        <v>671</v>
      </c>
      <c r="B355" s="57" t="s">
        <v>64</v>
      </c>
      <c r="C355" s="68" t="n">
        <f aca="false">C354*(1-Pressupostos!$D$16)</f>
        <v>5.085</v>
      </c>
      <c r="D355" s="68" t="n">
        <f aca="false">D354*(1-Pressupostos!$D$16)</f>
        <v>5.085</v>
      </c>
      <c r="E355" s="68" t="n">
        <f aca="false">E354*(1-Pressupostos!$D$16)</f>
        <v>5.085</v>
      </c>
      <c r="F355" s="68" t="n">
        <f aca="false">F354*(1-Pressupostos!$D$16)</f>
        <v>5.085</v>
      </c>
      <c r="G355" s="68" t="n">
        <f aca="false">G354*(1-Pressupostos!$D$16)</f>
        <v>5.085</v>
      </c>
      <c r="H355" s="2" t="s">
        <v>1193</v>
      </c>
    </row>
    <row r="356" customFormat="false" ht="15" hidden="false" customHeight="false" outlineLevel="1" collapsed="false">
      <c r="A356" s="7" t="s">
        <v>144</v>
      </c>
      <c r="B356" s="8" t="s">
        <v>64</v>
      </c>
      <c r="C356" s="67" t="n">
        <f aca="false">Pressupostos!$C$38</f>
        <v>0.55</v>
      </c>
      <c r="D356" s="67" t="n">
        <f aca="false">Pressupostos!$C$38</f>
        <v>0.55</v>
      </c>
      <c r="E356" s="67" t="n">
        <f aca="false">Pressupostos!$C$38</f>
        <v>0.55</v>
      </c>
      <c r="F356" s="67" t="n">
        <f aca="false">Pressupostos!$C$38</f>
        <v>0.55</v>
      </c>
      <c r="G356" s="67" t="n">
        <f aca="false">Pressupostos!$C$38</f>
        <v>0.55</v>
      </c>
      <c r="H356" s="2" t="s">
        <v>1194</v>
      </c>
    </row>
    <row r="357" customFormat="false" ht="15" hidden="false" customHeight="false" outlineLevel="1" collapsed="false">
      <c r="A357" s="7" t="s">
        <v>215</v>
      </c>
      <c r="B357" s="8" t="s">
        <v>64</v>
      </c>
      <c r="C357" s="67" t="n">
        <f aca="false">Pressupostos!$C$238</f>
        <v>0.3</v>
      </c>
      <c r="D357" s="67" t="n">
        <f aca="false">Pressupostos!$D$238</f>
        <v>0.3</v>
      </c>
      <c r="E357" s="67" t="n">
        <f aca="false">Pressupostos!$E$238</f>
        <v>0.28</v>
      </c>
      <c r="F357" s="67" t="n">
        <f aca="false">Pressupostos!$F$238</f>
        <v>0.27</v>
      </c>
      <c r="G357" s="67" t="n">
        <f aca="false">Pressupostos!$G$238</f>
        <v>0.27</v>
      </c>
      <c r="H357" s="2" t="s">
        <v>1195</v>
      </c>
    </row>
    <row r="358" customFormat="false" ht="15" hidden="false" customHeight="false" outlineLevel="1" collapsed="false">
      <c r="A358" s="7" t="s">
        <v>117</v>
      </c>
      <c r="B358" s="8" t="s">
        <v>64</v>
      </c>
      <c r="C358" s="67" t="n">
        <f aca="false">Pressupostos!$C$39</f>
        <v>0.06</v>
      </c>
      <c r="D358" s="67" t="n">
        <f aca="false">Pressupostos!$C$39</f>
        <v>0.06</v>
      </c>
      <c r="E358" s="67" t="n">
        <f aca="false">Pressupostos!$C$39</f>
        <v>0.06</v>
      </c>
      <c r="F358" s="67" t="n">
        <f aca="false">Pressupostos!$C$39</f>
        <v>0.06</v>
      </c>
      <c r="G358" s="67" t="n">
        <f aca="false">Pressupostos!$C$39</f>
        <v>0.06</v>
      </c>
      <c r="H358" s="2" t="s">
        <v>1196</v>
      </c>
    </row>
    <row r="359" customFormat="false" ht="15" hidden="false" customHeight="false" outlineLevel="1" collapsed="false">
      <c r="A359" s="7" t="s">
        <v>91</v>
      </c>
      <c r="B359" s="8" t="s">
        <v>79</v>
      </c>
      <c r="C359" s="69" t="n">
        <f aca="false">Pressupostos!$C$244</f>
        <v>180</v>
      </c>
      <c r="D359" s="69" t="n">
        <f aca="false">Pressupostos!$D$244</f>
        <v>180</v>
      </c>
      <c r="E359" s="69" t="n">
        <f aca="false">Pressupostos!$E$244</f>
        <v>45</v>
      </c>
      <c r="F359" s="69" t="n">
        <f aca="false">Pressupostos!$F$244</f>
        <v>45</v>
      </c>
      <c r="G359" s="69" t="n">
        <f aca="false">Pressupostos!$G$244</f>
        <v>45</v>
      </c>
      <c r="H359" s="2" t="s">
        <v>1197</v>
      </c>
    </row>
    <row r="360" customFormat="false" ht="15" hidden="false" customHeight="false" outlineLevel="1" collapsed="false">
      <c r="A360" s="7" t="s">
        <v>78</v>
      </c>
      <c r="B360" s="8" t="s">
        <v>79</v>
      </c>
      <c r="C360" s="69" t="n">
        <f aca="false">Pressupostos!$D$17</f>
        <v>35</v>
      </c>
      <c r="D360" s="69" t="n">
        <f aca="false">Pressupostos!$D$17</f>
        <v>35</v>
      </c>
      <c r="E360" s="69" t="n">
        <f aca="false">Pressupostos!$D$17</f>
        <v>35</v>
      </c>
      <c r="F360" s="69" t="n">
        <f aca="false">Pressupostos!$D$17</f>
        <v>35</v>
      </c>
      <c r="G360" s="69" t="n">
        <f aca="false">Pressupostos!$D$17</f>
        <v>35</v>
      </c>
      <c r="H360" s="2" t="s">
        <v>1198</v>
      </c>
    </row>
    <row r="361" customFormat="false" ht="15" hidden="false" customHeight="false" outlineLevel="1" collapsed="false">
      <c r="A361" s="7" t="s">
        <v>490</v>
      </c>
      <c r="B361" s="8" t="s">
        <v>64</v>
      </c>
      <c r="C361" s="63" t="n">
        <f aca="false">Pressupostos!$C$66*C359/30/1000</f>
        <v>0.024</v>
      </c>
      <c r="D361" s="63" t="n">
        <f aca="false">Pressupostos!$C$66*D359/30/1000</f>
        <v>0.024</v>
      </c>
      <c r="E361" s="63" t="n">
        <f aca="false">Pressupostos!$C$66*E359/30/1000</f>
        <v>0.006</v>
      </c>
      <c r="F361" s="63" t="n">
        <f aca="false">Pressupostos!$C$66*F359/30/1000</f>
        <v>0.006</v>
      </c>
      <c r="G361" s="63" t="n">
        <f aca="false">Pressupostos!$C$66*G359/30/1000</f>
        <v>0.006</v>
      </c>
      <c r="H361" s="2" t="s">
        <v>1199</v>
      </c>
    </row>
    <row r="362" customFormat="false" ht="15" hidden="false" customHeight="false" outlineLevel="1" collapsed="false">
      <c r="A362" s="7" t="s">
        <v>165</v>
      </c>
      <c r="B362" s="8" t="s">
        <v>64</v>
      </c>
      <c r="C362" s="63" t="n">
        <f aca="false">C353*Pressupostos!$C$67*C359/365</f>
        <v>0.00355068493150685</v>
      </c>
      <c r="D362" s="63" t="n">
        <f aca="false">D353*Pressupostos!$C$67*D359/365</f>
        <v>0.00355068493150685</v>
      </c>
      <c r="E362" s="63" t="n">
        <f aca="false">E353*Pressupostos!$C$67*E359/365</f>
        <v>0.000887671232876712</v>
      </c>
      <c r="F362" s="63" t="n">
        <f aca="false">F353*Pressupostos!$C$67*F359/365</f>
        <v>0.000887671232876712</v>
      </c>
      <c r="G362" s="63" t="n">
        <f aca="false">G353*Pressupostos!$C$67*G359/365</f>
        <v>0.000887671232876712</v>
      </c>
      <c r="H362" s="2" t="s">
        <v>1200</v>
      </c>
    </row>
    <row r="363" customFormat="false" ht="15" hidden="false" customHeight="false" outlineLevel="1" collapsed="false">
      <c r="A363" s="7" t="s">
        <v>672</v>
      </c>
      <c r="B363" s="8" t="s">
        <v>64</v>
      </c>
      <c r="C363" s="63" t="n">
        <f aca="false">Pressupostos!$C$41*Pressupostos!$C$68/(Pressupostos!$C$40*1000)</f>
        <v>0.03</v>
      </c>
      <c r="D363" s="63" t="n">
        <f aca="false">Pressupostos!$C$41*Pressupostos!$C$68/(Pressupostos!$C$40*1000)</f>
        <v>0.03</v>
      </c>
      <c r="E363" s="63" t="n">
        <f aca="false">Pressupostos!$C$41*Pressupostos!$C$68/(Pressupostos!$C$40*1000)</f>
        <v>0.03</v>
      </c>
      <c r="F363" s="63" t="n">
        <f aca="false">Pressupostos!$C$41*Pressupostos!$C$68/(Pressupostos!$C$40*1000)</f>
        <v>0.03</v>
      </c>
      <c r="G363" s="63" t="n">
        <f aca="false">Pressupostos!$C$41*Pressupostos!$C$68/(Pressupostos!$C$40*1000)</f>
        <v>0.03</v>
      </c>
      <c r="H363" s="2" t="s">
        <v>1201</v>
      </c>
    </row>
    <row r="364" customFormat="false" ht="15" hidden="false" customHeight="false" outlineLevel="1" collapsed="false">
      <c r="A364" s="7" t="s">
        <v>492</v>
      </c>
      <c r="B364" s="8" t="s">
        <v>64</v>
      </c>
      <c r="C364" s="63" t="n">
        <f aca="false">Pressupostos!$C$69*C353</f>
        <v>0.018</v>
      </c>
      <c r="D364" s="63" t="n">
        <f aca="false">Pressupostos!$C$69*D353</f>
        <v>0.018</v>
      </c>
      <c r="E364" s="63" t="n">
        <f aca="false">Pressupostos!$C$69*E353</f>
        <v>0.018</v>
      </c>
      <c r="F364" s="63" t="n">
        <f aca="false">Pressupostos!$C$69*F353</f>
        <v>0.018</v>
      </c>
      <c r="G364" s="63" t="n">
        <f aca="false">Pressupostos!$C$69*G353</f>
        <v>0.018</v>
      </c>
      <c r="H364" s="2" t="s">
        <v>1202</v>
      </c>
    </row>
    <row r="365" customFormat="false" ht="15" hidden="false" customHeight="false" outlineLevel="1" collapsed="false">
      <c r="A365" s="7" t="s">
        <v>493</v>
      </c>
      <c r="B365" s="8" t="s">
        <v>64</v>
      </c>
      <c r="C365" s="63" t="n">
        <f aca="false">Pressupostos!$C$70*Pressupostos!$C$71*C359/90</f>
        <v>0.018</v>
      </c>
      <c r="D365" s="63" t="n">
        <f aca="false">Pressupostos!$C$70*Pressupostos!$C$71*D359/90</f>
        <v>0.018</v>
      </c>
      <c r="E365" s="63" t="n">
        <f aca="false">Pressupostos!$C$70*Pressupostos!$C$71*E359/90</f>
        <v>0.0045</v>
      </c>
      <c r="F365" s="63" t="n">
        <f aca="false">Pressupostos!$C$70*Pressupostos!$C$71*F359/90</f>
        <v>0.0045</v>
      </c>
      <c r="G365" s="63" t="n">
        <f aca="false">Pressupostos!$C$70*Pressupostos!$C$71*G359/90</f>
        <v>0.0045</v>
      </c>
      <c r="H365" s="2" t="s">
        <v>1203</v>
      </c>
    </row>
    <row r="366" customFormat="false" ht="15" hidden="false" customHeight="false" outlineLevel="1" collapsed="false">
      <c r="A366" s="7" t="s">
        <v>673</v>
      </c>
      <c r="B366" s="8" t="s">
        <v>64</v>
      </c>
      <c r="C366" s="63" t="n">
        <f aca="false">Pressupostos!$C$42/(Pressupostos!$C$40*1000)</f>
        <v>0.1</v>
      </c>
      <c r="D366" s="63" t="n">
        <f aca="false">Pressupostos!$C$42/(Pressupostos!$C$40*1000)</f>
        <v>0.1</v>
      </c>
      <c r="E366" s="63" t="n">
        <f aca="false">Pressupostos!$C$42/(Pressupostos!$C$40*1000)</f>
        <v>0.1</v>
      </c>
      <c r="F366" s="63" t="n">
        <f aca="false">Pressupostos!$C$42/(Pressupostos!$C$40*1000)</f>
        <v>0.1</v>
      </c>
      <c r="G366" s="63" t="n">
        <f aca="false">Pressupostos!$C$42/(Pressupostos!$C$40*1000)</f>
        <v>0.1</v>
      </c>
      <c r="H366" s="2" t="s">
        <v>1204</v>
      </c>
    </row>
    <row r="367" customFormat="false" ht="15" hidden="false" customHeight="false" outlineLevel="1" collapsed="false">
      <c r="A367" s="7" t="s">
        <v>139</v>
      </c>
      <c r="B367" s="8" t="s">
        <v>64</v>
      </c>
      <c r="C367" s="67" t="n">
        <f aca="false">Pressupostos!$C$43</f>
        <v>0.01</v>
      </c>
      <c r="D367" s="67" t="n">
        <f aca="false">Pressupostos!$C$43</f>
        <v>0.01</v>
      </c>
      <c r="E367" s="67" t="n">
        <f aca="false">Pressupostos!$C$43</f>
        <v>0.01</v>
      </c>
      <c r="F367" s="67" t="n">
        <f aca="false">Pressupostos!$C$43</f>
        <v>0.01</v>
      </c>
      <c r="G367" s="67" t="n">
        <f aca="false">Pressupostos!$C$43</f>
        <v>0.01</v>
      </c>
      <c r="H367" s="2" t="s">
        <v>1205</v>
      </c>
    </row>
    <row r="368" customFormat="false" ht="15" hidden="false" customHeight="false" outlineLevel="1" collapsed="false">
      <c r="A368" s="7" t="s">
        <v>81</v>
      </c>
      <c r="B368" s="8" t="s">
        <v>64</v>
      </c>
      <c r="C368" s="63" t="n">
        <f aca="false">Pressupostos!$D$18*C355</f>
        <v>0.03051</v>
      </c>
      <c r="D368" s="63" t="n">
        <f aca="false">Pressupostos!$D$18*D355</f>
        <v>0.03051</v>
      </c>
      <c r="E368" s="63" t="n">
        <f aca="false">Pressupostos!$D$18*E355</f>
        <v>0.03051</v>
      </c>
      <c r="F368" s="63" t="n">
        <f aca="false">Pressupostos!$D$18*F355</f>
        <v>0.03051</v>
      </c>
      <c r="G368" s="63" t="n">
        <f aca="false">Pressupostos!$D$18*G355</f>
        <v>0.03051</v>
      </c>
      <c r="H368" s="2" t="s">
        <v>1206</v>
      </c>
    </row>
    <row r="369" customFormat="false" ht="15" hidden="false" customHeight="false" outlineLevel="1" collapsed="false">
      <c r="A369" s="7" t="s">
        <v>674</v>
      </c>
      <c r="B369" s="8" t="s">
        <v>64</v>
      </c>
      <c r="C369" s="63" t="n">
        <f aca="false">Pressupostos!$C$73*C355</f>
        <v>0</v>
      </c>
      <c r="D369" s="63" t="n">
        <f aca="false">Pressupostos!$C$73*D355</f>
        <v>0</v>
      </c>
      <c r="E369" s="63" t="n">
        <f aca="false">Pressupostos!$C$73*E355</f>
        <v>0</v>
      </c>
      <c r="F369" s="63" t="n">
        <f aca="false">Pressupostos!$C$73*F355</f>
        <v>0</v>
      </c>
      <c r="G369" s="63" t="n">
        <f aca="false">Pressupostos!$C$73*G355</f>
        <v>0</v>
      </c>
      <c r="H369" s="2" t="s">
        <v>1207</v>
      </c>
    </row>
    <row r="370" customFormat="false" ht="15" hidden="false" customHeight="false" outlineLevel="1" collapsed="false">
      <c r="A370" s="7" t="s">
        <v>675</v>
      </c>
      <c r="B370" s="8" t="s">
        <v>64</v>
      </c>
      <c r="C370" s="63" t="n">
        <f aca="false">Pressupostos!$C$288*(C353+C356)*(C359+C360-Pressupostos!$C$72)/365*Pressupostos!$C$282/Pressupostos!$D$31</f>
        <v>0</v>
      </c>
      <c r="D370" s="63" t="n">
        <f aca="false">Pressupostos!$D$288*(D353+D356)*(D359+D360-Pressupostos!$C$72)/365*Pressupostos!$D$282/Pressupostos!$D$31</f>
        <v>0.189308219178082</v>
      </c>
      <c r="E370" s="63" t="n">
        <f aca="false">Pressupostos!$E$288*(E353+E356)*(E359+E360-Pressupostos!$C$72)/365*Pressupostos!$E$282/Pressupostos!$D$31</f>
        <v>0.0479666095890411</v>
      </c>
      <c r="F370" s="63" t="n">
        <f aca="false">Pressupostos!$F$288*(F353+F356)*(F359+F360-Pressupostos!$C$72)/365*Pressupostos!$F$282/Pressupostos!$D$31</f>
        <v>0.0447688356164384</v>
      </c>
      <c r="G370" s="63" t="n">
        <f aca="false">Pressupostos!$G$288*(G353+G356)*(G359+G360-Pressupostos!$C$72)/365*Pressupostos!$G$282/Pressupostos!$D$31</f>
        <v>0.0447688356164384</v>
      </c>
      <c r="H370" s="2" t="s">
        <v>1208</v>
      </c>
    </row>
    <row r="371" customFormat="false" ht="15" hidden="false" customHeight="false" outlineLevel="1" collapsed="false">
      <c r="A371" s="7" t="s">
        <v>676</v>
      </c>
      <c r="B371" s="8" t="s">
        <v>64</v>
      </c>
      <c r="C371" s="63" t="n">
        <f aca="false">C353+C356+C357+C358+C361+C362+C363+C364+C365+C366+C367+C368+C369+C370</f>
        <v>4.74406068493151</v>
      </c>
      <c r="D371" s="63" t="n">
        <f aca="false">D353+D356+D357+D358+D361+D362+D363+D364+D365+D366+D367+D368+D369+D370</f>
        <v>4.93336890410959</v>
      </c>
      <c r="E371" s="63" t="n">
        <f aca="false">E353+E356+E357+E358+E361+E362+E363+E364+E365+E366+E367+E368+E369+E370</f>
        <v>4.73786428082192</v>
      </c>
      <c r="F371" s="63" t="n">
        <f aca="false">F353+F356+F357+F358+F361+F362+F363+F364+F365+F366+F367+F368+F369+F370</f>
        <v>4.72466650684931</v>
      </c>
      <c r="G371" s="63" t="n">
        <f aca="false">G353+G356+G357+G358+G361+G362+G363+G364+G365+G366+G367+G368+G369+G370</f>
        <v>4.72466650684931</v>
      </c>
      <c r="H371" s="2" t="s">
        <v>1209</v>
      </c>
    </row>
    <row r="372" customFormat="false" ht="15" hidden="false" customHeight="false" outlineLevel="1" collapsed="false">
      <c r="A372" s="56" t="s">
        <v>677</v>
      </c>
      <c r="B372" s="57" t="s">
        <v>64</v>
      </c>
      <c r="C372" s="68" t="n">
        <f aca="false">C355-C371</f>
        <v>0.340939315068495</v>
      </c>
      <c r="D372" s="68" t="n">
        <f aca="false">D355-D371</f>
        <v>0.151631095890413</v>
      </c>
      <c r="E372" s="68" t="n">
        <f aca="false">E355-E371</f>
        <v>0.347135719178083</v>
      </c>
      <c r="F372" s="68" t="n">
        <f aca="false">F355-F371</f>
        <v>0.360333493150686</v>
      </c>
      <c r="G372" s="68" t="n">
        <f aca="false">G355-G371</f>
        <v>0.360333493150686</v>
      </c>
      <c r="H372" s="2" t="s">
        <v>1210</v>
      </c>
    </row>
    <row r="373" customFormat="false" ht="15" hidden="false" customHeight="false" outlineLevel="1" collapsed="false">
      <c r="A373" s="7" t="s">
        <v>678</v>
      </c>
      <c r="B373" s="8" t="s">
        <v>76</v>
      </c>
      <c r="C373" s="59" t="n">
        <f aca="false">IF(C355&gt;0,C372/C355,0)</f>
        <v>0.067048046227826</v>
      </c>
      <c r="D373" s="59" t="n">
        <f aca="false">IF(D355&gt;0,D372/D355,0)</f>
        <v>0.0298192912272199</v>
      </c>
      <c r="E373" s="59" t="n">
        <f aca="false">IF(E355&gt;0,E372/E355,0)</f>
        <v>0.0682666114411176</v>
      </c>
      <c r="F373" s="59" t="n">
        <f aca="false">IF(F355&gt;0,F372/F355,0)</f>
        <v>0.0708620438841074</v>
      </c>
      <c r="G373" s="59" t="n">
        <f aca="false">IF(G355&gt;0,G372/G355,0)</f>
        <v>0.0708620438841074</v>
      </c>
      <c r="H373" s="2" t="s">
        <v>1211</v>
      </c>
    </row>
    <row r="374" customFormat="false" ht="15" hidden="false" customHeight="false" outlineLevel="1" collapsed="false">
      <c r="A374" s="7" t="s">
        <v>679</v>
      </c>
      <c r="B374" s="8" t="s">
        <v>64</v>
      </c>
      <c r="C374" s="63" t="n">
        <f aca="false">(C353+C356)*(C359-Pressupostos!$C$72)/365+C355*C360/365</f>
        <v>2.19308219178082</v>
      </c>
      <c r="D374" s="63" t="n">
        <f aca="false">(D353+D356)*(D359-Pressupostos!$C$72)/365+D355*D360/365</f>
        <v>2.19308219178082</v>
      </c>
      <c r="E374" s="63" t="n">
        <f aca="false">(E353+E356)*(E359-Pressupostos!$C$72)/365+E355*E360/365</f>
        <v>0.658150684931507</v>
      </c>
      <c r="F374" s="63" t="n">
        <f aca="false">(F353+F356)*(F359-Pressupostos!$C$72)/365+F355*F360/365</f>
        <v>0.658150684931507</v>
      </c>
      <c r="G374" s="63" t="n">
        <f aca="false">(G353+G356)*(G359-Pressupostos!$C$72)/365+G355*G360/365</f>
        <v>0.658150684931507</v>
      </c>
      <c r="H374" s="2" t="s">
        <v>1212</v>
      </c>
    </row>
    <row r="375" customFormat="false" ht="15" hidden="false" customHeight="false" outlineLevel="0" collapsed="false">
      <c r="A375" s="3" t="s">
        <v>1213</v>
      </c>
      <c r="B375" s="4"/>
      <c r="C375" s="4"/>
      <c r="D375" s="4"/>
      <c r="E375" s="4"/>
      <c r="F375" s="4"/>
      <c r="G375" s="4"/>
      <c r="H375" s="4"/>
    </row>
    <row r="376" customFormat="false" ht="15" hidden="false" customHeight="false" outlineLevel="1" collapsed="false">
      <c r="A376" s="7" t="s">
        <v>669</v>
      </c>
      <c r="B376" s="8" t="s">
        <v>64</v>
      </c>
      <c r="C376" s="63" t="n">
        <f aca="false">Pressupostos!$D$10+Pressupostos!$D$12</f>
        <v>3.6</v>
      </c>
      <c r="D376" s="63" t="n">
        <f aca="false">Pressupostos!$D$10+Pressupostos!$D$12</f>
        <v>3.6</v>
      </c>
      <c r="E376" s="63" t="n">
        <f aca="false">Pressupostos!$D$10+Pressupostos!$D$12</f>
        <v>3.6</v>
      </c>
      <c r="F376" s="63" t="n">
        <f aca="false">Pressupostos!$D$10+Pressupostos!$D$12</f>
        <v>3.6</v>
      </c>
      <c r="G376" s="63" t="n">
        <f aca="false">Pressupostos!$D$10+Pressupostos!$D$12</f>
        <v>3.6</v>
      </c>
      <c r="H376" s="2" t="s">
        <v>1214</v>
      </c>
    </row>
    <row r="377" customFormat="false" ht="15" hidden="false" customHeight="false" outlineLevel="1" collapsed="false">
      <c r="A377" s="7" t="s">
        <v>670</v>
      </c>
      <c r="B377" s="8" t="s">
        <v>64</v>
      </c>
      <c r="C377" s="63" t="n">
        <f aca="false">Pressupostos!$D$20+Pressupostos!$D$21</f>
        <v>4.35</v>
      </c>
      <c r="D377" s="63" t="n">
        <f aca="false">Pressupostos!$D$20+Pressupostos!$D$21</f>
        <v>4.35</v>
      </c>
      <c r="E377" s="63" t="n">
        <f aca="false">Pressupostos!$D$20+Pressupostos!$D$21</f>
        <v>4.35</v>
      </c>
      <c r="F377" s="63" t="n">
        <f aca="false">Pressupostos!$D$20+Pressupostos!$D$21</f>
        <v>4.35</v>
      </c>
      <c r="G377" s="63" t="n">
        <f aca="false">Pressupostos!$D$20+Pressupostos!$D$21</f>
        <v>4.35</v>
      </c>
      <c r="H377" s="2" t="s">
        <v>1215</v>
      </c>
    </row>
    <row r="378" customFormat="false" ht="15" hidden="false" customHeight="false" outlineLevel="1" collapsed="false">
      <c r="A378" s="56" t="s">
        <v>671</v>
      </c>
      <c r="B378" s="57" t="s">
        <v>64</v>
      </c>
      <c r="C378" s="68" t="n">
        <f aca="false">C377*(1-Pressupostos!$D$22)</f>
        <v>4.35</v>
      </c>
      <c r="D378" s="68" t="n">
        <f aca="false">D377*(1-Pressupostos!$D$22)</f>
        <v>4.35</v>
      </c>
      <c r="E378" s="68" t="n">
        <f aca="false">E377*(1-Pressupostos!$D$22)</f>
        <v>4.35</v>
      </c>
      <c r="F378" s="68" t="n">
        <f aca="false">F377*(1-Pressupostos!$D$22)</f>
        <v>4.35</v>
      </c>
      <c r="G378" s="68" t="n">
        <f aca="false">G377*(1-Pressupostos!$D$22)</f>
        <v>4.35</v>
      </c>
      <c r="H378" s="2" t="s">
        <v>1216</v>
      </c>
    </row>
    <row r="379" customFormat="false" ht="15" hidden="false" customHeight="false" outlineLevel="1" collapsed="false">
      <c r="A379" s="7" t="s">
        <v>144</v>
      </c>
      <c r="B379" s="8" t="s">
        <v>64</v>
      </c>
      <c r="C379" s="67" t="n">
        <f aca="false">Pressupostos!$C$45</f>
        <v>0.45</v>
      </c>
      <c r="D379" s="67" t="n">
        <f aca="false">Pressupostos!$C$45</f>
        <v>0.45</v>
      </c>
      <c r="E379" s="67" t="n">
        <f aca="false">Pressupostos!$C$45</f>
        <v>0.45</v>
      </c>
      <c r="F379" s="67" t="n">
        <f aca="false">Pressupostos!$C$45</f>
        <v>0.45</v>
      </c>
      <c r="G379" s="67" t="n">
        <f aca="false">Pressupostos!$C$45</f>
        <v>0.45</v>
      </c>
      <c r="H379" s="2" t="s">
        <v>1217</v>
      </c>
    </row>
    <row r="380" customFormat="false" ht="15" hidden="false" customHeight="false" outlineLevel="1" collapsed="false">
      <c r="A380" s="7" t="s">
        <v>215</v>
      </c>
      <c r="B380" s="8" t="s">
        <v>64</v>
      </c>
      <c r="C380" s="67" t="n">
        <f aca="false">Pressupostos!$C$250</f>
        <v>0.1</v>
      </c>
      <c r="D380" s="67" t="n">
        <f aca="false">Pressupostos!$D$250</f>
        <v>0.1</v>
      </c>
      <c r="E380" s="67" t="n">
        <f aca="false">Pressupostos!$E$250</f>
        <v>0.09</v>
      </c>
      <c r="F380" s="67" t="n">
        <f aca="false">Pressupostos!$F$250</f>
        <v>0.09</v>
      </c>
      <c r="G380" s="67" t="n">
        <f aca="false">Pressupostos!$G$250</f>
        <v>0.09</v>
      </c>
      <c r="H380" s="2" t="s">
        <v>1218</v>
      </c>
    </row>
    <row r="381" customFormat="false" ht="15" hidden="false" customHeight="false" outlineLevel="1" collapsed="false">
      <c r="A381" s="7" t="s">
        <v>117</v>
      </c>
      <c r="B381" s="8" t="s">
        <v>64</v>
      </c>
      <c r="C381" s="67" t="n">
        <f aca="false">Pressupostos!$C$46</f>
        <v>0</v>
      </c>
      <c r="D381" s="67" t="n">
        <f aca="false">Pressupostos!$C$46</f>
        <v>0</v>
      </c>
      <c r="E381" s="67" t="n">
        <f aca="false">Pressupostos!$C$46</f>
        <v>0</v>
      </c>
      <c r="F381" s="67" t="n">
        <f aca="false">Pressupostos!$C$46</f>
        <v>0</v>
      </c>
      <c r="G381" s="67" t="n">
        <f aca="false">Pressupostos!$C$46</f>
        <v>0</v>
      </c>
      <c r="H381" s="2" t="s">
        <v>1219</v>
      </c>
    </row>
    <row r="382" customFormat="false" ht="15" hidden="false" customHeight="false" outlineLevel="1" collapsed="false">
      <c r="A382" s="7" t="s">
        <v>91</v>
      </c>
      <c r="B382" s="8" t="s">
        <v>79</v>
      </c>
      <c r="C382" s="69" t="n">
        <f aca="false">Pressupostos!$D$23</f>
        <v>30</v>
      </c>
      <c r="D382" s="69" t="n">
        <f aca="false">Pressupostos!$D$23</f>
        <v>30</v>
      </c>
      <c r="E382" s="69" t="n">
        <f aca="false">Pressupostos!$D$23</f>
        <v>30</v>
      </c>
      <c r="F382" s="69" t="n">
        <f aca="false">Pressupostos!$D$23</f>
        <v>30</v>
      </c>
      <c r="G382" s="69" t="n">
        <f aca="false">Pressupostos!$D$23</f>
        <v>30</v>
      </c>
      <c r="H382" s="2" t="s">
        <v>1220</v>
      </c>
    </row>
    <row r="383" customFormat="false" ht="15" hidden="false" customHeight="false" outlineLevel="1" collapsed="false">
      <c r="A383" s="7" t="s">
        <v>78</v>
      </c>
      <c r="B383" s="8" t="s">
        <v>79</v>
      </c>
      <c r="C383" s="69" t="n">
        <f aca="false">Pressupostos!$D$24</f>
        <v>45</v>
      </c>
      <c r="D383" s="69" t="n">
        <f aca="false">Pressupostos!$D$24</f>
        <v>45</v>
      </c>
      <c r="E383" s="69" t="n">
        <f aca="false">Pressupostos!$D$24</f>
        <v>45</v>
      </c>
      <c r="F383" s="69" t="n">
        <f aca="false">Pressupostos!$D$24</f>
        <v>45</v>
      </c>
      <c r="G383" s="69" t="n">
        <f aca="false">Pressupostos!$D$24</f>
        <v>45</v>
      </c>
      <c r="H383" s="2" t="s">
        <v>1221</v>
      </c>
    </row>
    <row r="384" customFormat="false" ht="15" hidden="false" customHeight="false" outlineLevel="1" collapsed="false">
      <c r="A384" s="7" t="s">
        <v>490</v>
      </c>
      <c r="B384" s="8" t="s">
        <v>64</v>
      </c>
      <c r="C384" s="63" t="n">
        <f aca="false">Pressupostos!$C$66*C382/30/1000</f>
        <v>0.004</v>
      </c>
      <c r="D384" s="63" t="n">
        <f aca="false">Pressupostos!$C$66*D382/30/1000</f>
        <v>0.004</v>
      </c>
      <c r="E384" s="63" t="n">
        <f aca="false">Pressupostos!$C$66*E382/30/1000</f>
        <v>0.004</v>
      </c>
      <c r="F384" s="63" t="n">
        <f aca="false">Pressupostos!$C$66*F382/30/1000</f>
        <v>0.004</v>
      </c>
      <c r="G384" s="63" t="n">
        <f aca="false">Pressupostos!$C$66*G382/30/1000</f>
        <v>0.004</v>
      </c>
      <c r="H384" s="2" t="s">
        <v>1222</v>
      </c>
    </row>
    <row r="385" customFormat="false" ht="15" hidden="false" customHeight="false" outlineLevel="1" collapsed="false">
      <c r="A385" s="7" t="s">
        <v>165</v>
      </c>
      <c r="B385" s="8" t="s">
        <v>64</v>
      </c>
      <c r="C385" s="63" t="n">
        <f aca="false">C376*Pressupostos!$C$67*C382/365</f>
        <v>0.000591780821917808</v>
      </c>
      <c r="D385" s="63" t="n">
        <f aca="false">D376*Pressupostos!$C$67*D382/365</f>
        <v>0.000591780821917808</v>
      </c>
      <c r="E385" s="63" t="n">
        <f aca="false">E376*Pressupostos!$C$67*E382/365</f>
        <v>0.000591780821917808</v>
      </c>
      <c r="F385" s="63" t="n">
        <f aca="false">F376*Pressupostos!$C$67*F382/365</f>
        <v>0.000591780821917808</v>
      </c>
      <c r="G385" s="63" t="n">
        <f aca="false">G376*Pressupostos!$C$67*G382/365</f>
        <v>0.000591780821917808</v>
      </c>
      <c r="H385" s="2" t="s">
        <v>1223</v>
      </c>
    </row>
    <row r="386" customFormat="false" ht="15" hidden="false" customHeight="false" outlineLevel="1" collapsed="false">
      <c r="A386" s="7" t="s">
        <v>672</v>
      </c>
      <c r="B386" s="8" t="s">
        <v>64</v>
      </c>
      <c r="C386" s="63" t="n">
        <f aca="false">Pressupostos!$C$48*Pressupostos!$C$68/(Pressupostos!$C$47*1000)</f>
        <v>0.02</v>
      </c>
      <c r="D386" s="63" t="n">
        <f aca="false">Pressupostos!$C$48*Pressupostos!$C$68/(Pressupostos!$C$47*1000)</f>
        <v>0.02</v>
      </c>
      <c r="E386" s="63" t="n">
        <f aca="false">Pressupostos!$C$48*Pressupostos!$C$68/(Pressupostos!$C$47*1000)</f>
        <v>0.02</v>
      </c>
      <c r="F386" s="63" t="n">
        <f aca="false">Pressupostos!$C$48*Pressupostos!$C$68/(Pressupostos!$C$47*1000)</f>
        <v>0.02</v>
      </c>
      <c r="G386" s="63" t="n">
        <f aca="false">Pressupostos!$C$48*Pressupostos!$C$68/(Pressupostos!$C$47*1000)</f>
        <v>0.02</v>
      </c>
      <c r="H386" s="2" t="s">
        <v>1224</v>
      </c>
    </row>
    <row r="387" customFormat="false" ht="15" hidden="false" customHeight="false" outlineLevel="1" collapsed="false">
      <c r="A387" s="7" t="s">
        <v>492</v>
      </c>
      <c r="B387" s="8" t="s">
        <v>64</v>
      </c>
      <c r="C387" s="63" t="n">
        <f aca="false">Pressupostos!$C$69*C376</f>
        <v>0.018</v>
      </c>
      <c r="D387" s="63" t="n">
        <f aca="false">Pressupostos!$C$69*D376</f>
        <v>0.018</v>
      </c>
      <c r="E387" s="63" t="n">
        <f aca="false">Pressupostos!$C$69*E376</f>
        <v>0.018</v>
      </c>
      <c r="F387" s="63" t="n">
        <f aca="false">Pressupostos!$C$69*F376</f>
        <v>0.018</v>
      </c>
      <c r="G387" s="63" t="n">
        <f aca="false">Pressupostos!$C$69*G376</f>
        <v>0.018</v>
      </c>
      <c r="H387" s="2" t="s">
        <v>1225</v>
      </c>
    </row>
    <row r="388" customFormat="false" ht="15" hidden="false" customHeight="false" outlineLevel="1" collapsed="false">
      <c r="A388" s="7" t="s">
        <v>493</v>
      </c>
      <c r="B388" s="8" t="s">
        <v>64</v>
      </c>
      <c r="C388" s="63" t="n">
        <f aca="false">Pressupostos!$C$70*Pressupostos!$C$71*C382/90</f>
        <v>0.003</v>
      </c>
      <c r="D388" s="63" t="n">
        <f aca="false">Pressupostos!$C$70*Pressupostos!$C$71*D382/90</f>
        <v>0.003</v>
      </c>
      <c r="E388" s="63" t="n">
        <f aca="false">Pressupostos!$C$70*Pressupostos!$C$71*E382/90</f>
        <v>0.003</v>
      </c>
      <c r="F388" s="63" t="n">
        <f aca="false">Pressupostos!$C$70*Pressupostos!$C$71*F382/90</f>
        <v>0.003</v>
      </c>
      <c r="G388" s="63" t="n">
        <f aca="false">Pressupostos!$C$70*Pressupostos!$C$71*G382/90</f>
        <v>0.003</v>
      </c>
      <c r="H388" s="2" t="s">
        <v>1226</v>
      </c>
    </row>
    <row r="389" customFormat="false" ht="15" hidden="false" customHeight="false" outlineLevel="1" collapsed="false">
      <c r="A389" s="7" t="s">
        <v>673</v>
      </c>
      <c r="B389" s="8" t="s">
        <v>64</v>
      </c>
      <c r="C389" s="63" t="n">
        <f aca="false">Pressupostos!$C$49/(Pressupostos!$C$47*1000)</f>
        <v>0.04</v>
      </c>
      <c r="D389" s="63" t="n">
        <f aca="false">Pressupostos!$C$49/(Pressupostos!$C$47*1000)</f>
        <v>0.04</v>
      </c>
      <c r="E389" s="63" t="n">
        <f aca="false">Pressupostos!$C$49/(Pressupostos!$C$47*1000)</f>
        <v>0.04</v>
      </c>
      <c r="F389" s="63" t="n">
        <f aca="false">Pressupostos!$C$49/(Pressupostos!$C$47*1000)</f>
        <v>0.04</v>
      </c>
      <c r="G389" s="63" t="n">
        <f aca="false">Pressupostos!$C$49/(Pressupostos!$C$47*1000)</f>
        <v>0.04</v>
      </c>
      <c r="H389" s="2" t="s">
        <v>1227</v>
      </c>
    </row>
    <row r="390" customFormat="false" ht="15" hidden="false" customHeight="false" outlineLevel="1" collapsed="false">
      <c r="A390" s="7" t="s">
        <v>139</v>
      </c>
      <c r="B390" s="8" t="s">
        <v>64</v>
      </c>
      <c r="C390" s="67" t="n">
        <f aca="false">Pressupostos!$C$50</f>
        <v>0.005</v>
      </c>
      <c r="D390" s="67" t="n">
        <f aca="false">Pressupostos!$C$50</f>
        <v>0.005</v>
      </c>
      <c r="E390" s="67" t="n">
        <f aca="false">Pressupostos!$C$50</f>
        <v>0.005</v>
      </c>
      <c r="F390" s="67" t="n">
        <f aca="false">Pressupostos!$C$50</f>
        <v>0.005</v>
      </c>
      <c r="G390" s="67" t="n">
        <f aca="false">Pressupostos!$C$50</f>
        <v>0.005</v>
      </c>
      <c r="H390" s="2" t="s">
        <v>1228</v>
      </c>
    </row>
    <row r="391" customFormat="false" ht="15" hidden="false" customHeight="false" outlineLevel="1" collapsed="false">
      <c r="A391" s="7" t="s">
        <v>81</v>
      </c>
      <c r="B391" s="8" t="s">
        <v>64</v>
      </c>
      <c r="C391" s="63" t="n">
        <f aca="false">Pressupostos!$D$25*C378</f>
        <v>0.01305</v>
      </c>
      <c r="D391" s="63" t="n">
        <f aca="false">Pressupostos!$D$25*D378</f>
        <v>0.01305</v>
      </c>
      <c r="E391" s="63" t="n">
        <f aca="false">Pressupostos!$D$25*E378</f>
        <v>0.01305</v>
      </c>
      <c r="F391" s="63" t="n">
        <f aca="false">Pressupostos!$D$25*F378</f>
        <v>0.01305</v>
      </c>
      <c r="G391" s="63" t="n">
        <f aca="false">Pressupostos!$D$25*G378</f>
        <v>0.01305</v>
      </c>
      <c r="H391" s="2" t="s">
        <v>1229</v>
      </c>
    </row>
    <row r="392" customFormat="false" ht="15" hidden="false" customHeight="false" outlineLevel="1" collapsed="false">
      <c r="A392" s="7" t="s">
        <v>674</v>
      </c>
      <c r="B392" s="8" t="s">
        <v>64</v>
      </c>
      <c r="C392" s="63" t="n">
        <f aca="false">Pressupostos!$C$73*C378</f>
        <v>0</v>
      </c>
      <c r="D392" s="63" t="n">
        <f aca="false">Pressupostos!$C$73*D378</f>
        <v>0</v>
      </c>
      <c r="E392" s="63" t="n">
        <f aca="false">Pressupostos!$C$73*E378</f>
        <v>0</v>
      </c>
      <c r="F392" s="63" t="n">
        <f aca="false">Pressupostos!$C$73*F378</f>
        <v>0</v>
      </c>
      <c r="G392" s="63" t="n">
        <f aca="false">Pressupostos!$C$73*G378</f>
        <v>0</v>
      </c>
      <c r="H392" s="2" t="s">
        <v>1230</v>
      </c>
    </row>
    <row r="393" customFormat="false" ht="15" hidden="false" customHeight="false" outlineLevel="1" collapsed="false">
      <c r="A393" s="7" t="s">
        <v>675</v>
      </c>
      <c r="B393" s="8" t="s">
        <v>64</v>
      </c>
      <c r="C393" s="63" t="n">
        <f aca="false">Pressupostos!$C$288*(C376+C379)*(C382+C383-Pressupostos!$C$72)/365*Pressupostos!$C$282/Pressupostos!$D$31</f>
        <v>0</v>
      </c>
      <c r="D393" s="63" t="n">
        <f aca="false">Pressupostos!$D$288*(D376+D379)*(D382+D383-Pressupostos!$C$72)/365*Pressupostos!$D$282/Pressupostos!$D$31</f>
        <v>0.0449383561643836</v>
      </c>
      <c r="E393" s="63" t="n">
        <f aca="false">Pressupostos!$E$288*(E376+E379)*(E382+E383-Pressupostos!$C$72)/365*Pressupostos!$E$282/Pressupostos!$D$31</f>
        <v>0.0421297089041096</v>
      </c>
      <c r="F393" s="63" t="n">
        <f aca="false">Pressupostos!$F$288*(F376+F379)*(F382+F383-Pressupostos!$C$72)/365*Pressupostos!$F$282/Pressupostos!$D$31</f>
        <v>0.0393210616438356</v>
      </c>
      <c r="G393" s="63" t="n">
        <f aca="false">Pressupostos!$G$288*(G376+G379)*(G382+G383-Pressupostos!$C$72)/365*Pressupostos!$G$282/Pressupostos!$D$31</f>
        <v>0.0393210616438356</v>
      </c>
      <c r="H393" s="2" t="s">
        <v>1231</v>
      </c>
    </row>
    <row r="394" customFormat="false" ht="15" hidden="false" customHeight="false" outlineLevel="1" collapsed="false">
      <c r="A394" s="7" t="s">
        <v>676</v>
      </c>
      <c r="B394" s="8" t="s">
        <v>64</v>
      </c>
      <c r="C394" s="63" t="n">
        <f aca="false">C376+C379+C380+C381+C384+C385+C386+C387+C388+C389+C390+C391+C392+C393</f>
        <v>4.25364178082192</v>
      </c>
      <c r="D394" s="63" t="n">
        <f aca="false">D376+D379+D380+D381+D384+D385+D386+D387+D388+D389+D390+D391+D392+D393</f>
        <v>4.2985801369863</v>
      </c>
      <c r="E394" s="63" t="n">
        <f aca="false">E376+E379+E380+E381+E384+E385+E386+E387+E388+E389+E390+E391+E392+E393</f>
        <v>4.28577148972603</v>
      </c>
      <c r="F394" s="63" t="n">
        <f aca="false">F376+F379+F380+F381+F384+F385+F386+F387+F388+F389+F390+F391+F392+F393</f>
        <v>4.28296284246575</v>
      </c>
      <c r="G394" s="63" t="n">
        <f aca="false">G376+G379+G380+G381+G384+G385+G386+G387+G388+G389+G390+G391+G392+G393</f>
        <v>4.28296284246575</v>
      </c>
      <c r="H394" s="2" t="s">
        <v>1232</v>
      </c>
    </row>
    <row r="395" customFormat="false" ht="15" hidden="false" customHeight="false" outlineLevel="1" collapsed="false">
      <c r="A395" s="56" t="s">
        <v>677</v>
      </c>
      <c r="B395" s="57" t="s">
        <v>64</v>
      </c>
      <c r="C395" s="68" t="n">
        <f aca="false">C378-C394</f>
        <v>0.0963582191780832</v>
      </c>
      <c r="D395" s="68" t="n">
        <f aca="false">D378-D394</f>
        <v>0.0514198630136997</v>
      </c>
      <c r="E395" s="68" t="n">
        <f aca="false">E378-E394</f>
        <v>0.0642285102739733</v>
      </c>
      <c r="F395" s="68" t="n">
        <f aca="false">F378-F394</f>
        <v>0.067037157534247</v>
      </c>
      <c r="G395" s="68" t="n">
        <f aca="false">G378-G394</f>
        <v>0.067037157534247</v>
      </c>
      <c r="H395" s="2" t="s">
        <v>1233</v>
      </c>
    </row>
    <row r="396" customFormat="false" ht="15" hidden="false" customHeight="false" outlineLevel="1" collapsed="false">
      <c r="A396" s="7" t="s">
        <v>678</v>
      </c>
      <c r="B396" s="8" t="s">
        <v>76</v>
      </c>
      <c r="C396" s="59" t="n">
        <f aca="false">IF(C378&gt;0,C395/C378,0)</f>
        <v>0.0221513147535823</v>
      </c>
      <c r="D396" s="59" t="n">
        <f aca="false">IF(D378&gt;0,D395/D378,0)</f>
        <v>0.0118206581640689</v>
      </c>
      <c r="E396" s="59" t="n">
        <f aca="false">IF(E378&gt;0,E395/E378,0)</f>
        <v>0.014765174775626</v>
      </c>
      <c r="F396" s="59" t="n">
        <f aca="false">IF(F378&gt;0,F395/F378,0)</f>
        <v>0.0154108408124706</v>
      </c>
      <c r="G396" s="59" t="n">
        <f aca="false">IF(G378&gt;0,G395/G378,0)</f>
        <v>0.0154108408124706</v>
      </c>
      <c r="H396" s="2" t="s">
        <v>1234</v>
      </c>
    </row>
    <row r="397" customFormat="false" ht="15" hidden="false" customHeight="false" outlineLevel="1" collapsed="false">
      <c r="A397" s="7" t="s">
        <v>679</v>
      </c>
      <c r="B397" s="8" t="s">
        <v>64</v>
      </c>
      <c r="C397" s="63" t="n">
        <f aca="false">(C376+C379)*(C382-Pressupostos!$C$72)/365+C378*C383/365</f>
        <v>0.536301369863014</v>
      </c>
      <c r="D397" s="63" t="n">
        <f aca="false">(D376+D379)*(D382-Pressupostos!$C$72)/365+D378*D383/365</f>
        <v>0.536301369863014</v>
      </c>
      <c r="E397" s="63" t="n">
        <f aca="false">(E376+E379)*(E382-Pressupostos!$C$72)/365+E378*E383/365</f>
        <v>0.536301369863014</v>
      </c>
      <c r="F397" s="63" t="n">
        <f aca="false">(F376+F379)*(F382-Pressupostos!$C$72)/365+F378*F383/365</f>
        <v>0.536301369863014</v>
      </c>
      <c r="G397" s="63" t="n">
        <f aca="false">(G376+G379)*(G382-Pressupostos!$C$72)/365+G378*G383/365</f>
        <v>0.536301369863014</v>
      </c>
      <c r="H397" s="2" t="s">
        <v>1235</v>
      </c>
    </row>
    <row r="398" customFormat="false" ht="15" hidden="false" customHeight="false" outlineLevel="0" collapsed="false">
      <c r="A398" s="3" t="s">
        <v>1236</v>
      </c>
      <c r="B398" s="4"/>
      <c r="C398" s="4"/>
      <c r="D398" s="4"/>
      <c r="E398" s="4"/>
      <c r="F398" s="4"/>
      <c r="G398" s="4"/>
      <c r="H398" s="4"/>
    </row>
    <row r="399" customFormat="false" ht="15" hidden="false" customHeight="false" outlineLevel="1" collapsed="false">
      <c r="A399" s="7" t="s">
        <v>669</v>
      </c>
      <c r="B399" s="8" t="s">
        <v>64</v>
      </c>
      <c r="C399" s="63" t="n">
        <f aca="false">Pressupostos!$D$10+Pressupostos!$D$13</f>
        <v>3.5</v>
      </c>
      <c r="D399" s="63" t="n">
        <f aca="false">Pressupostos!$D$10+Pressupostos!$D$13</f>
        <v>3.5</v>
      </c>
      <c r="E399" s="63" t="n">
        <f aca="false">Pressupostos!$D$10+Pressupostos!$D$13</f>
        <v>3.5</v>
      </c>
      <c r="F399" s="63" t="n">
        <f aca="false">Pressupostos!$D$10+Pressupostos!$D$13</f>
        <v>3.5</v>
      </c>
      <c r="G399" s="63" t="n">
        <f aca="false">Pressupostos!$D$10+Pressupostos!$D$13</f>
        <v>3.5</v>
      </c>
      <c r="H399" s="2" t="s">
        <v>1237</v>
      </c>
    </row>
    <row r="400" customFormat="false" ht="15" hidden="false" customHeight="false" outlineLevel="1" collapsed="false">
      <c r="A400" s="7" t="s">
        <v>670</v>
      </c>
      <c r="B400" s="8" t="s">
        <v>64</v>
      </c>
      <c r="C400" s="63" t="n">
        <f aca="false">Pressupostos!$D$10+Pressupostos!$C$52</f>
        <v>3.65</v>
      </c>
      <c r="D400" s="63" t="n">
        <f aca="false">Pressupostos!$D$10+Pressupostos!$C$52</f>
        <v>3.65</v>
      </c>
      <c r="E400" s="63" t="n">
        <f aca="false">Pressupostos!$D$10+Pressupostos!$C$52</f>
        <v>3.65</v>
      </c>
      <c r="F400" s="63" t="n">
        <f aca="false">Pressupostos!$D$10+Pressupostos!$C$52</f>
        <v>3.65</v>
      </c>
      <c r="G400" s="63" t="n">
        <f aca="false">Pressupostos!$D$10+Pressupostos!$C$52</f>
        <v>3.65</v>
      </c>
      <c r="H400" s="2" t="s">
        <v>1238</v>
      </c>
    </row>
    <row r="401" customFormat="false" ht="15" hidden="false" customHeight="false" outlineLevel="1" collapsed="false">
      <c r="A401" s="56" t="s">
        <v>671</v>
      </c>
      <c r="B401" s="57" t="s">
        <v>64</v>
      </c>
      <c r="C401" s="68" t="n">
        <f aca="false">C400*(1-Pressupostos!$C$53)</f>
        <v>3.65</v>
      </c>
      <c r="D401" s="68" t="n">
        <f aca="false">D400*(1-Pressupostos!$C$53)</f>
        <v>3.65</v>
      </c>
      <c r="E401" s="68" t="n">
        <f aca="false">E400*(1-Pressupostos!$C$53)</f>
        <v>3.65</v>
      </c>
      <c r="F401" s="68" t="n">
        <f aca="false">F400*(1-Pressupostos!$C$53)</f>
        <v>3.65</v>
      </c>
      <c r="G401" s="68" t="n">
        <f aca="false">G400*(1-Pressupostos!$C$53)</f>
        <v>3.65</v>
      </c>
      <c r="H401" s="2" t="s">
        <v>1239</v>
      </c>
    </row>
    <row r="402" customFormat="false" ht="15" hidden="false" customHeight="false" outlineLevel="1" collapsed="false">
      <c r="A402" s="7" t="s">
        <v>144</v>
      </c>
      <c r="B402" s="8" t="s">
        <v>64</v>
      </c>
      <c r="C402" s="67" t="n">
        <f aca="false">Pressupostos!$C$54</f>
        <v>0</v>
      </c>
      <c r="D402" s="67" t="n">
        <f aca="false">Pressupostos!$C$54</f>
        <v>0</v>
      </c>
      <c r="E402" s="67" t="n">
        <f aca="false">Pressupostos!$C$54</f>
        <v>0</v>
      </c>
      <c r="F402" s="67" t="n">
        <f aca="false">Pressupostos!$C$54</f>
        <v>0</v>
      </c>
      <c r="G402" s="67" t="n">
        <f aca="false">Pressupostos!$C$54</f>
        <v>0</v>
      </c>
      <c r="H402" s="2" t="s">
        <v>1240</v>
      </c>
    </row>
    <row r="403" customFormat="false" ht="15" hidden="false" customHeight="false" outlineLevel="1" collapsed="false">
      <c r="A403" s="7" t="s">
        <v>215</v>
      </c>
      <c r="B403" s="8" t="s">
        <v>64</v>
      </c>
      <c r="C403" s="67" t="n">
        <f aca="false">Pressupostos!$C$55</f>
        <v>0.04</v>
      </c>
      <c r="D403" s="67" t="n">
        <f aca="false">Pressupostos!$C$55</f>
        <v>0.04</v>
      </c>
      <c r="E403" s="67" t="n">
        <f aca="false">Pressupostos!$C$55</f>
        <v>0.04</v>
      </c>
      <c r="F403" s="67" t="n">
        <f aca="false">Pressupostos!$C$55</f>
        <v>0.04</v>
      </c>
      <c r="G403" s="67" t="n">
        <f aca="false">Pressupostos!$C$55</f>
        <v>0.04</v>
      </c>
      <c r="H403" s="2" t="s">
        <v>1241</v>
      </c>
    </row>
    <row r="404" customFormat="false" ht="15" hidden="false" customHeight="false" outlineLevel="1" collapsed="false">
      <c r="A404" s="7" t="s">
        <v>117</v>
      </c>
      <c r="B404" s="8" t="s">
        <v>64</v>
      </c>
      <c r="C404" s="67" t="n">
        <f aca="false">Pressupostos!$C$56</f>
        <v>0</v>
      </c>
      <c r="D404" s="67" t="n">
        <f aca="false">Pressupostos!$C$56</f>
        <v>0</v>
      </c>
      <c r="E404" s="67" t="n">
        <f aca="false">Pressupostos!$C$56</f>
        <v>0</v>
      </c>
      <c r="F404" s="67" t="n">
        <f aca="false">Pressupostos!$C$56</f>
        <v>0</v>
      </c>
      <c r="G404" s="67" t="n">
        <f aca="false">Pressupostos!$C$56</f>
        <v>0</v>
      </c>
      <c r="H404" s="2" t="s">
        <v>1242</v>
      </c>
    </row>
    <row r="405" customFormat="false" ht="15" hidden="false" customHeight="false" outlineLevel="1" collapsed="false">
      <c r="A405" s="7" t="s">
        <v>91</v>
      </c>
      <c r="B405" s="8" t="s">
        <v>79</v>
      </c>
      <c r="C405" s="69" t="n">
        <f aca="false">Pressupostos!$C$57</f>
        <v>15</v>
      </c>
      <c r="D405" s="69" t="n">
        <f aca="false">Pressupostos!$C$57</f>
        <v>15</v>
      </c>
      <c r="E405" s="69" t="n">
        <f aca="false">Pressupostos!$C$57</f>
        <v>15</v>
      </c>
      <c r="F405" s="69" t="n">
        <f aca="false">Pressupostos!$C$57</f>
        <v>15</v>
      </c>
      <c r="G405" s="69" t="n">
        <f aca="false">Pressupostos!$C$57</f>
        <v>15</v>
      </c>
      <c r="H405" s="2" t="s">
        <v>1243</v>
      </c>
    </row>
    <row r="406" customFormat="false" ht="15" hidden="false" customHeight="false" outlineLevel="1" collapsed="false">
      <c r="A406" s="7" t="s">
        <v>78</v>
      </c>
      <c r="B406" s="8" t="s">
        <v>79</v>
      </c>
      <c r="C406" s="69" t="n">
        <f aca="false">Pressupostos!$C$58</f>
        <v>45</v>
      </c>
      <c r="D406" s="69" t="n">
        <f aca="false">Pressupostos!$C$58</f>
        <v>45</v>
      </c>
      <c r="E406" s="69" t="n">
        <f aca="false">Pressupostos!$C$58</f>
        <v>45</v>
      </c>
      <c r="F406" s="69" t="n">
        <f aca="false">Pressupostos!$C$58</f>
        <v>45</v>
      </c>
      <c r="G406" s="69" t="n">
        <f aca="false">Pressupostos!$C$58</f>
        <v>45</v>
      </c>
      <c r="H406" s="2" t="s">
        <v>1244</v>
      </c>
    </row>
    <row r="407" customFormat="false" ht="15" hidden="false" customHeight="false" outlineLevel="1" collapsed="false">
      <c r="A407" s="7" t="s">
        <v>490</v>
      </c>
      <c r="B407" s="8" t="s">
        <v>64</v>
      </c>
      <c r="C407" s="63" t="n">
        <f aca="false">Pressupostos!$C$66*C405/30/1000</f>
        <v>0.002</v>
      </c>
      <c r="D407" s="63" t="n">
        <f aca="false">Pressupostos!$C$66*D405/30/1000</f>
        <v>0.002</v>
      </c>
      <c r="E407" s="63" t="n">
        <f aca="false">Pressupostos!$C$66*E405/30/1000</f>
        <v>0.002</v>
      </c>
      <c r="F407" s="63" t="n">
        <f aca="false">Pressupostos!$C$66*F405/30/1000</f>
        <v>0.002</v>
      </c>
      <c r="G407" s="63" t="n">
        <f aca="false">Pressupostos!$C$66*G405/30/1000</f>
        <v>0.002</v>
      </c>
      <c r="H407" s="2" t="s">
        <v>1245</v>
      </c>
    </row>
    <row r="408" customFormat="false" ht="15" hidden="false" customHeight="false" outlineLevel="1" collapsed="false">
      <c r="A408" s="7" t="s">
        <v>165</v>
      </c>
      <c r="B408" s="8" t="s">
        <v>64</v>
      </c>
      <c r="C408" s="63" t="n">
        <f aca="false">C399*Pressupostos!$C$67*C405/365</f>
        <v>0.000287671232876712</v>
      </c>
      <c r="D408" s="63" t="n">
        <f aca="false">D399*Pressupostos!$C$67*D405/365</f>
        <v>0.000287671232876712</v>
      </c>
      <c r="E408" s="63" t="n">
        <f aca="false">E399*Pressupostos!$C$67*E405/365</f>
        <v>0.000287671232876712</v>
      </c>
      <c r="F408" s="63" t="n">
        <f aca="false">F399*Pressupostos!$C$67*F405/365</f>
        <v>0.000287671232876712</v>
      </c>
      <c r="G408" s="63" t="n">
        <f aca="false">G399*Pressupostos!$C$67*G405/365</f>
        <v>0.000287671232876712</v>
      </c>
      <c r="H408" s="2" t="s">
        <v>1246</v>
      </c>
    </row>
    <row r="409" customFormat="false" ht="15" hidden="false" customHeight="false" outlineLevel="1" collapsed="false">
      <c r="A409" s="7" t="s">
        <v>672</v>
      </c>
      <c r="B409" s="8" t="s">
        <v>64</v>
      </c>
      <c r="C409" s="63" t="n">
        <f aca="false">Pressupostos!$C$60*Pressupostos!$C$68/(Pressupostos!$C$59*1000)</f>
        <v>0.006</v>
      </c>
      <c r="D409" s="63" t="n">
        <f aca="false">Pressupostos!$C$60*Pressupostos!$C$68/(Pressupostos!$C$59*1000)</f>
        <v>0.006</v>
      </c>
      <c r="E409" s="63" t="n">
        <f aca="false">Pressupostos!$C$60*Pressupostos!$C$68/(Pressupostos!$C$59*1000)</f>
        <v>0.006</v>
      </c>
      <c r="F409" s="63" t="n">
        <f aca="false">Pressupostos!$C$60*Pressupostos!$C$68/(Pressupostos!$C$59*1000)</f>
        <v>0.006</v>
      </c>
      <c r="G409" s="63" t="n">
        <f aca="false">Pressupostos!$C$60*Pressupostos!$C$68/(Pressupostos!$C$59*1000)</f>
        <v>0.006</v>
      </c>
      <c r="H409" s="2" t="s">
        <v>1247</v>
      </c>
    </row>
    <row r="410" customFormat="false" ht="15" hidden="false" customHeight="false" outlineLevel="1" collapsed="false">
      <c r="A410" s="7" t="s">
        <v>492</v>
      </c>
      <c r="B410" s="8" t="s">
        <v>64</v>
      </c>
      <c r="C410" s="63" t="n">
        <f aca="false">Pressupostos!$C$69*C399</f>
        <v>0.0175</v>
      </c>
      <c r="D410" s="63" t="n">
        <f aca="false">Pressupostos!$C$69*D399</f>
        <v>0.0175</v>
      </c>
      <c r="E410" s="63" t="n">
        <f aca="false">Pressupostos!$C$69*E399</f>
        <v>0.0175</v>
      </c>
      <c r="F410" s="63" t="n">
        <f aca="false">Pressupostos!$C$69*F399</f>
        <v>0.0175</v>
      </c>
      <c r="G410" s="63" t="n">
        <f aca="false">Pressupostos!$C$69*G399</f>
        <v>0.0175</v>
      </c>
      <c r="H410" s="2" t="s">
        <v>1248</v>
      </c>
    </row>
    <row r="411" customFormat="false" ht="15" hidden="false" customHeight="false" outlineLevel="1" collapsed="false">
      <c r="A411" s="7" t="s">
        <v>493</v>
      </c>
      <c r="B411" s="8" t="s">
        <v>64</v>
      </c>
      <c r="C411" s="63" t="n">
        <f aca="false">Pressupostos!$C$70*Pressupostos!$C$71*C405/90</f>
        <v>0.0015</v>
      </c>
      <c r="D411" s="63" t="n">
        <f aca="false">Pressupostos!$C$70*Pressupostos!$C$71*D405/90</f>
        <v>0.0015</v>
      </c>
      <c r="E411" s="63" t="n">
        <f aca="false">Pressupostos!$C$70*Pressupostos!$C$71*E405/90</f>
        <v>0.0015</v>
      </c>
      <c r="F411" s="63" t="n">
        <f aca="false">Pressupostos!$C$70*Pressupostos!$C$71*F405/90</f>
        <v>0.0015</v>
      </c>
      <c r="G411" s="63" t="n">
        <f aca="false">Pressupostos!$C$70*Pressupostos!$C$71*G405/90</f>
        <v>0.0015</v>
      </c>
      <c r="H411" s="2" t="s">
        <v>1249</v>
      </c>
    </row>
    <row r="412" customFormat="false" ht="15" hidden="false" customHeight="false" outlineLevel="1" collapsed="false">
      <c r="A412" s="7" t="s">
        <v>673</v>
      </c>
      <c r="B412" s="8" t="s">
        <v>64</v>
      </c>
      <c r="C412" s="63" t="n">
        <f aca="false">Pressupostos!$C$61/(Pressupostos!$C$59*1000)</f>
        <v>0.012</v>
      </c>
      <c r="D412" s="63" t="n">
        <f aca="false">Pressupostos!$C$61/(Pressupostos!$C$59*1000)</f>
        <v>0.012</v>
      </c>
      <c r="E412" s="63" t="n">
        <f aca="false">Pressupostos!$C$61/(Pressupostos!$C$59*1000)</f>
        <v>0.012</v>
      </c>
      <c r="F412" s="63" t="n">
        <f aca="false">Pressupostos!$C$61/(Pressupostos!$C$59*1000)</f>
        <v>0.012</v>
      </c>
      <c r="G412" s="63" t="n">
        <f aca="false">Pressupostos!$C$61/(Pressupostos!$C$59*1000)</f>
        <v>0.012</v>
      </c>
      <c r="H412" s="2" t="s">
        <v>1250</v>
      </c>
    </row>
    <row r="413" customFormat="false" ht="15" hidden="false" customHeight="false" outlineLevel="1" collapsed="false">
      <c r="A413" s="7" t="s">
        <v>139</v>
      </c>
      <c r="B413" s="8" t="s">
        <v>64</v>
      </c>
      <c r="C413" s="67" t="n">
        <f aca="false">Pressupostos!$C$62</f>
        <v>0.001</v>
      </c>
      <c r="D413" s="67" t="n">
        <f aca="false">Pressupostos!$C$62</f>
        <v>0.001</v>
      </c>
      <c r="E413" s="67" t="n">
        <f aca="false">Pressupostos!$C$62</f>
        <v>0.001</v>
      </c>
      <c r="F413" s="67" t="n">
        <f aca="false">Pressupostos!$C$62</f>
        <v>0.001</v>
      </c>
      <c r="G413" s="67" t="n">
        <f aca="false">Pressupostos!$C$62</f>
        <v>0.001</v>
      </c>
      <c r="H413" s="2" t="s">
        <v>1251</v>
      </c>
    </row>
    <row r="414" customFormat="false" ht="15" hidden="false" customHeight="false" outlineLevel="1" collapsed="false">
      <c r="A414" s="7" t="s">
        <v>81</v>
      </c>
      <c r="B414" s="8" t="s">
        <v>64</v>
      </c>
      <c r="C414" s="63" t="n">
        <f aca="false">Pressupostos!$C$63*C401</f>
        <v>0.01095</v>
      </c>
      <c r="D414" s="63" t="n">
        <f aca="false">Pressupostos!$C$63*D401</f>
        <v>0.01095</v>
      </c>
      <c r="E414" s="63" t="n">
        <f aca="false">Pressupostos!$C$63*E401</f>
        <v>0.01095</v>
      </c>
      <c r="F414" s="63" t="n">
        <f aca="false">Pressupostos!$C$63*F401</f>
        <v>0.01095</v>
      </c>
      <c r="G414" s="63" t="n">
        <f aca="false">Pressupostos!$C$63*G401</f>
        <v>0.01095</v>
      </c>
      <c r="H414" s="2" t="s">
        <v>1252</v>
      </c>
    </row>
    <row r="415" customFormat="false" ht="15" hidden="false" customHeight="false" outlineLevel="1" collapsed="false">
      <c r="A415" s="7" t="s">
        <v>674</v>
      </c>
      <c r="B415" s="8" t="s">
        <v>64</v>
      </c>
      <c r="C415" s="63" t="n">
        <f aca="false">Pressupostos!$C$73*C401</f>
        <v>0</v>
      </c>
      <c r="D415" s="63" t="n">
        <f aca="false">Pressupostos!$C$73*D401</f>
        <v>0</v>
      </c>
      <c r="E415" s="63" t="n">
        <f aca="false">Pressupostos!$C$73*E401</f>
        <v>0</v>
      </c>
      <c r="F415" s="63" t="n">
        <f aca="false">Pressupostos!$C$73*F401</f>
        <v>0</v>
      </c>
      <c r="G415" s="63" t="n">
        <f aca="false">Pressupostos!$C$73*G401</f>
        <v>0</v>
      </c>
      <c r="H415" s="2" t="s">
        <v>1253</v>
      </c>
    </row>
    <row r="416" customFormat="false" ht="15" hidden="false" customHeight="false" outlineLevel="1" collapsed="false">
      <c r="A416" s="7" t="s">
        <v>675</v>
      </c>
      <c r="B416" s="8" t="s">
        <v>64</v>
      </c>
      <c r="C416" s="63" t="n">
        <f aca="false">Pressupostos!$C$288*(C399+C402)*(C405+C406-Pressupostos!$C$72)/365*Pressupostos!$C$282/Pressupostos!$D$31</f>
        <v>0</v>
      </c>
      <c r="D416" s="63" t="n">
        <f aca="false">Pressupostos!$D$288*(D399+D402)*(D405+D406-Pressupostos!$C$72)/365*Pressupostos!$D$282/Pressupostos!$D$31</f>
        <v>0.0258904109589041</v>
      </c>
      <c r="E416" s="63" t="n">
        <f aca="false">Pressupostos!$E$288*(E399+E402)*(E405+E406-Pressupostos!$C$72)/365*Pressupostos!$E$282/Pressupostos!$D$31</f>
        <v>0.0242722602739726</v>
      </c>
      <c r="F416" s="63" t="n">
        <f aca="false">Pressupostos!$F$288*(F399+F402)*(F405+F406-Pressupostos!$C$72)/365*Pressupostos!$F$282/Pressupostos!$D$31</f>
        <v>0.0226541095890411</v>
      </c>
      <c r="G416" s="63" t="n">
        <f aca="false">Pressupostos!$G$288*(G399+G402)*(G405+G406-Pressupostos!$C$72)/365*Pressupostos!$G$282/Pressupostos!$D$31</f>
        <v>0.0226541095890411</v>
      </c>
      <c r="H416" s="2" t="s">
        <v>1254</v>
      </c>
    </row>
    <row r="417" customFormat="false" ht="15" hidden="false" customHeight="false" outlineLevel="1" collapsed="false">
      <c r="A417" s="7" t="s">
        <v>676</v>
      </c>
      <c r="B417" s="8" t="s">
        <v>64</v>
      </c>
      <c r="C417" s="63" t="n">
        <f aca="false">C399+C402+C403+C404+C407+C408+C409+C410+C411+C412+C413+C414+C415+C416</f>
        <v>3.59123767123288</v>
      </c>
      <c r="D417" s="63" t="n">
        <f aca="false">D399+D402+D403+D404+D407+D408+D409+D410+D411+D412+D413+D414+D415+D416</f>
        <v>3.61712808219178</v>
      </c>
      <c r="E417" s="63" t="n">
        <f aca="false">E399+E402+E403+E404+E407+E408+E409+E410+E411+E412+E413+E414+E415+E416</f>
        <v>3.61550993150685</v>
      </c>
      <c r="F417" s="63" t="n">
        <f aca="false">F399+F402+F403+F404+F407+F408+F409+F410+F411+F412+F413+F414+F415+F416</f>
        <v>3.61389178082192</v>
      </c>
      <c r="G417" s="63" t="n">
        <f aca="false">G399+G402+G403+G404+G407+G408+G409+G410+G411+G412+G413+G414+G415+G416</f>
        <v>3.61389178082192</v>
      </c>
      <c r="H417" s="2" t="s">
        <v>1255</v>
      </c>
    </row>
    <row r="418" customFormat="false" ht="15" hidden="false" customHeight="false" outlineLevel="1" collapsed="false">
      <c r="A418" s="56" t="s">
        <v>677</v>
      </c>
      <c r="B418" s="57" t="s">
        <v>64</v>
      </c>
      <c r="C418" s="68" t="n">
        <f aca="false">C401-C417</f>
        <v>0.058762328767124</v>
      </c>
      <c r="D418" s="68" t="n">
        <f aca="false">D401-D417</f>
        <v>0.0328719178082197</v>
      </c>
      <c r="E418" s="68" t="n">
        <f aca="false">E401-E417</f>
        <v>0.0344900684931515</v>
      </c>
      <c r="F418" s="68" t="n">
        <f aca="false">F401-F417</f>
        <v>0.0361082191780828</v>
      </c>
      <c r="G418" s="68" t="n">
        <f aca="false">G401-G417</f>
        <v>0.0361082191780828</v>
      </c>
      <c r="H418" s="2" t="s">
        <v>1256</v>
      </c>
    </row>
    <row r="419" customFormat="false" ht="15" hidden="false" customHeight="false" outlineLevel="1" collapsed="false">
      <c r="A419" s="7" t="s">
        <v>678</v>
      </c>
      <c r="B419" s="8" t="s">
        <v>76</v>
      </c>
      <c r="C419" s="59" t="n">
        <f aca="false">IF(C401&gt;0,C418/C401,0)</f>
        <v>0.0160992681553764</v>
      </c>
      <c r="D419" s="59" t="n">
        <f aca="false">IF(D401&gt;0,D418/D401,0)</f>
        <v>0.00900600487896431</v>
      </c>
      <c r="E419" s="59" t="n">
        <f aca="false">IF(E401&gt;0,E418/E401,0)</f>
        <v>0.00944933383374014</v>
      </c>
      <c r="F419" s="59" t="n">
        <f aca="false">IF(F401&gt;0,F418/F401,0)</f>
        <v>0.00989266278851584</v>
      </c>
      <c r="G419" s="59" t="n">
        <f aca="false">IF(G401&gt;0,G418/G401,0)</f>
        <v>0.00989266278851584</v>
      </c>
      <c r="H419" s="2" t="s">
        <v>1257</v>
      </c>
    </row>
    <row r="420" customFormat="false" ht="15" hidden="false" customHeight="false" outlineLevel="1" collapsed="false">
      <c r="A420" s="7" t="s">
        <v>679</v>
      </c>
      <c r="B420" s="8" t="s">
        <v>64</v>
      </c>
      <c r="C420" s="63" t="n">
        <f aca="false">(C399+C402)*(C405-Pressupostos!$C$72)/365+C401*C406/365</f>
        <v>0.306164383561644</v>
      </c>
      <c r="D420" s="63" t="n">
        <f aca="false">(D399+D402)*(D405-Pressupostos!$C$72)/365+D401*D406/365</f>
        <v>0.306164383561644</v>
      </c>
      <c r="E420" s="63" t="n">
        <f aca="false">(E399+E402)*(E405-Pressupostos!$C$72)/365+E401*E406/365</f>
        <v>0.306164383561644</v>
      </c>
      <c r="F420" s="63" t="n">
        <f aca="false">(F399+F402)*(F405-Pressupostos!$C$72)/365+F401*F406/365</f>
        <v>0.306164383561644</v>
      </c>
      <c r="G420" s="63" t="n">
        <f aca="false">(G399+G402)*(G405-Pressupostos!$C$72)/365+G401*G406/365</f>
        <v>0.306164383561644</v>
      </c>
      <c r="H420" s="2" t="s">
        <v>1258</v>
      </c>
    </row>
    <row r="421" customFormat="false" ht="15" hidden="false" customHeight="false" outlineLevel="0" collapsed="false">
      <c r="A421" s="3" t="s">
        <v>1259</v>
      </c>
      <c r="B421" s="4"/>
      <c r="C421" s="4"/>
      <c r="D421" s="4"/>
      <c r="E421" s="4"/>
      <c r="F421" s="4"/>
      <c r="G421" s="4"/>
      <c r="H421" s="4"/>
    </row>
    <row r="422" customFormat="false" ht="15" hidden="false" customHeight="false" outlineLevel="1" collapsed="false">
      <c r="A422" s="7" t="s">
        <v>683</v>
      </c>
      <c r="B422" s="8" t="s">
        <v>64</v>
      </c>
      <c r="C422" s="63" t="n">
        <f aca="false">Pressupostos!$C$64*Pressupostos!$D$10</f>
        <v>0.02625</v>
      </c>
      <c r="D422" s="63" t="n">
        <f aca="false">Pressupostos!$C$64*Pressupostos!$D$10</f>
        <v>0.02625</v>
      </c>
      <c r="E422" s="63" t="n">
        <f aca="false">Pressupostos!$C$64*Pressupostos!$D$10</f>
        <v>0.02625</v>
      </c>
      <c r="F422" s="63" t="n">
        <f aca="false">Pressupostos!$C$64*Pressupostos!$D$10</f>
        <v>0.02625</v>
      </c>
      <c r="G422" s="63" t="n">
        <f aca="false">Pressupostos!$C$64*Pressupostos!$D$10</f>
        <v>0.02625</v>
      </c>
      <c r="H422" s="2" t="s">
        <v>1260</v>
      </c>
    </row>
    <row r="423" customFormat="false" ht="15" hidden="false" customHeight="false" outlineLevel="1" collapsed="false">
      <c r="A423" s="7" t="s">
        <v>684</v>
      </c>
      <c r="B423" s="8" t="s">
        <v>64</v>
      </c>
      <c r="C423" s="63" t="n">
        <f aca="false">C412+C409+C413</f>
        <v>0.019</v>
      </c>
      <c r="D423" s="63" t="n">
        <f aca="false">D412+D409+D413</f>
        <v>0.019</v>
      </c>
      <c r="E423" s="63" t="n">
        <f aca="false">E412+E409+E413</f>
        <v>0.019</v>
      </c>
      <c r="F423" s="63" t="n">
        <f aca="false">F412+F409+F413</f>
        <v>0.019</v>
      </c>
      <c r="G423" s="63" t="n">
        <f aca="false">G412+G409+G413</f>
        <v>0.019</v>
      </c>
      <c r="H423" s="2" t="s">
        <v>1261</v>
      </c>
    </row>
    <row r="424" customFormat="false" ht="15" hidden="false" customHeight="false" outlineLevel="1" collapsed="false">
      <c r="A424" s="56" t="s">
        <v>561</v>
      </c>
      <c r="B424" s="57" t="s">
        <v>64</v>
      </c>
      <c r="C424" s="68" t="n">
        <f aca="false">C422-C423</f>
        <v>0.00725</v>
      </c>
      <c r="D424" s="68" t="n">
        <f aca="false">D422-D423</f>
        <v>0.00725</v>
      </c>
      <c r="E424" s="68" t="n">
        <f aca="false">E422-E423</f>
        <v>0.00725</v>
      </c>
      <c r="F424" s="68" t="n">
        <f aca="false">F422-F423</f>
        <v>0.00725</v>
      </c>
      <c r="G424" s="68" t="n">
        <f aca="false">G422-G423</f>
        <v>0.00725</v>
      </c>
      <c r="H424" s="2" t="s">
        <v>1262</v>
      </c>
    </row>
    <row r="425" customFormat="false" ht="15" hidden="false" customHeight="false" outlineLevel="0" collapsed="false">
      <c r="A425" s="3" t="s">
        <v>1263</v>
      </c>
      <c r="B425" s="4"/>
      <c r="C425" s="4"/>
      <c r="D425" s="4"/>
      <c r="E425" s="4"/>
      <c r="F425" s="4"/>
      <c r="G425" s="4"/>
      <c r="H425" s="4"/>
    </row>
    <row r="426" customFormat="false" ht="15" hidden="false" customHeight="false" outlineLevel="1" collapsed="false">
      <c r="A426" s="7" t="s">
        <v>608</v>
      </c>
      <c r="B426" s="8" t="s">
        <v>11</v>
      </c>
      <c r="C426" s="61" t="n">
        <f aca="false">C335*1000*C355</f>
        <v>40680</v>
      </c>
      <c r="D426" s="61" t="n">
        <f aca="false">D335*1000*D355</f>
        <v>188145</v>
      </c>
      <c r="E426" s="61" t="n">
        <f aca="false">E335*1000*E355</f>
        <v>676305</v>
      </c>
      <c r="F426" s="61" t="n">
        <f aca="false">F335*1000*F355</f>
        <v>1357695</v>
      </c>
      <c r="G426" s="61" t="n">
        <f aca="false">G335*1000*G355</f>
        <v>2084850</v>
      </c>
      <c r="H426" s="2" t="s">
        <v>1264</v>
      </c>
    </row>
    <row r="427" customFormat="false" ht="15" hidden="false" customHeight="false" outlineLevel="1" collapsed="false">
      <c r="A427" s="7" t="s">
        <v>609</v>
      </c>
      <c r="B427" s="8" t="s">
        <v>11</v>
      </c>
      <c r="C427" s="61" t="n">
        <f aca="false">C336*1000*C378</f>
        <v>226200</v>
      </c>
      <c r="D427" s="61" t="n">
        <f aca="false">D336*1000*D378</f>
        <v>1579050</v>
      </c>
      <c r="E427" s="61" t="n">
        <f aca="false">E336*1000*E378</f>
        <v>3118950</v>
      </c>
      <c r="F427" s="61" t="n">
        <f aca="false">F336*1000*F378</f>
        <v>5146050</v>
      </c>
      <c r="G427" s="61" t="n">
        <f aca="false">G336*1000*G378</f>
        <v>7786500</v>
      </c>
      <c r="H427" s="2" t="s">
        <v>1265</v>
      </c>
    </row>
    <row r="428" customFormat="false" ht="15" hidden="false" customHeight="false" outlineLevel="1" collapsed="false">
      <c r="A428" s="7" t="s">
        <v>610</v>
      </c>
      <c r="B428" s="8" t="s">
        <v>11</v>
      </c>
      <c r="C428" s="61" t="n">
        <f aca="false">C338*1000*C401</f>
        <v>0</v>
      </c>
      <c r="D428" s="61" t="n">
        <f aca="false">D338*1000*D401</f>
        <v>0</v>
      </c>
      <c r="E428" s="61" t="n">
        <f aca="false">E338*1000*E401</f>
        <v>0</v>
      </c>
      <c r="F428" s="61" t="n">
        <f aca="false">F338*1000*F401</f>
        <v>0</v>
      </c>
      <c r="G428" s="61" t="n">
        <f aca="false">G338*1000*G401</f>
        <v>0</v>
      </c>
      <c r="H428" s="2" t="s">
        <v>1266</v>
      </c>
    </row>
    <row r="429" customFormat="false" ht="15" hidden="false" customHeight="false" outlineLevel="1" collapsed="false">
      <c r="A429" s="7" t="s">
        <v>611</v>
      </c>
      <c r="B429" s="8" t="s">
        <v>11</v>
      </c>
      <c r="C429" s="61" t="n">
        <f aca="false">C426+C427+C428</f>
        <v>266880</v>
      </c>
      <c r="D429" s="61" t="n">
        <f aca="false">D426+D427+D428</f>
        <v>1767195</v>
      </c>
      <c r="E429" s="61" t="n">
        <f aca="false">E426+E427+E428</f>
        <v>3795255</v>
      </c>
      <c r="F429" s="61" t="n">
        <f aca="false">F426+F427+F428</f>
        <v>6503745</v>
      </c>
      <c r="G429" s="61" t="n">
        <f aca="false">G426+G427+G428</f>
        <v>9871350</v>
      </c>
      <c r="H429" s="2" t="s">
        <v>1267</v>
      </c>
    </row>
    <row r="430" customFormat="false" ht="15" hidden="false" customHeight="false" outlineLevel="1" collapsed="false">
      <c r="A430" s="7" t="s">
        <v>612</v>
      </c>
      <c r="B430" s="8" t="s">
        <v>11</v>
      </c>
      <c r="C430" s="61" t="n">
        <f aca="false">C348*1000*Pressupostos!$C$93</f>
        <v>0</v>
      </c>
      <c r="D430" s="61" t="n">
        <f aca="false">D348*1000*Pressupostos!$C$93</f>
        <v>0</v>
      </c>
      <c r="E430" s="61" t="n">
        <f aca="false">E348*1000*Pressupostos!$C$93</f>
        <v>235500</v>
      </c>
      <c r="F430" s="61" t="n">
        <f aca="false">F348*1000*Pressupostos!$C$93</f>
        <v>471000</v>
      </c>
      <c r="G430" s="61" t="n">
        <f aca="false">G348*1000*Pressupostos!$C$93</f>
        <v>785000</v>
      </c>
      <c r="H430" s="2" t="s">
        <v>1268</v>
      </c>
    </row>
    <row r="431" customFormat="false" ht="15" hidden="false" customHeight="false" outlineLevel="1" collapsed="false">
      <c r="A431" s="2" t="s">
        <v>613</v>
      </c>
      <c r="B431" s="8" t="s">
        <v>11</v>
      </c>
      <c r="C431" s="61" t="n">
        <f aca="false">C346*Pressupostos!$C$80*(1-Pressupostos!$C$81)</f>
        <v>40500</v>
      </c>
      <c r="D431" s="61" t="n">
        <f aca="false">D346*Pressupostos!$C$80*(1-Pressupostos!$C$81)</f>
        <v>162000</v>
      </c>
      <c r="E431" s="61" t="n">
        <f aca="false">E346*Pressupostos!$C$80*(1-Pressupostos!$C$81)</f>
        <v>270000</v>
      </c>
      <c r="F431" s="61" t="n">
        <f aca="false">F346*Pressupostos!$C$80*(1-Pressupostos!$C$81)</f>
        <v>378000</v>
      </c>
      <c r="G431" s="61" t="n">
        <f aca="false">G346*Pressupostos!$C$80*(1-Pressupostos!$C$81)</f>
        <v>486000</v>
      </c>
      <c r="H431" s="2" t="s">
        <v>1269</v>
      </c>
    </row>
    <row r="432" customFormat="false" ht="15" hidden="false" customHeight="false" outlineLevel="1" collapsed="false">
      <c r="A432" s="7" t="s">
        <v>614</v>
      </c>
      <c r="B432" s="8" t="s">
        <v>11</v>
      </c>
      <c r="C432" s="61" t="n">
        <f aca="false">C431*Pressupostos!$D$27</f>
        <v>810</v>
      </c>
      <c r="D432" s="61" t="n">
        <f aca="false">D431*Pressupostos!$D$27</f>
        <v>3240</v>
      </c>
      <c r="E432" s="61" t="n">
        <f aca="false">E431*Pressupostos!$D$27</f>
        <v>5400</v>
      </c>
      <c r="F432" s="61" t="n">
        <f aca="false">F431*Pressupostos!$D$27</f>
        <v>7560</v>
      </c>
      <c r="G432" s="61" t="n">
        <f aca="false">G431*Pressupostos!$D$27</f>
        <v>9720</v>
      </c>
      <c r="H432" s="2" t="s">
        <v>1270</v>
      </c>
    </row>
    <row r="433" customFormat="false" ht="15" hidden="false" customHeight="false" outlineLevel="1" collapsed="false">
      <c r="A433" s="7" t="s">
        <v>615</v>
      </c>
      <c r="B433" s="8" t="s">
        <v>11</v>
      </c>
      <c r="C433" s="61" t="n">
        <f aca="false">C339*1000*C422</f>
        <v>0</v>
      </c>
      <c r="D433" s="61" t="n">
        <f aca="false">D339*1000*D422</f>
        <v>0</v>
      </c>
      <c r="E433" s="61" t="n">
        <f aca="false">E339*1000*E422</f>
        <v>0</v>
      </c>
      <c r="F433" s="61" t="n">
        <f aca="false">F339*1000*F422</f>
        <v>0</v>
      </c>
      <c r="G433" s="61" t="n">
        <f aca="false">G339*1000*G422</f>
        <v>0</v>
      </c>
      <c r="H433" s="2" t="s">
        <v>1271</v>
      </c>
    </row>
    <row r="434" customFormat="false" ht="15" hidden="false" customHeight="false" outlineLevel="1" collapsed="false">
      <c r="A434" s="7" t="s">
        <v>616</v>
      </c>
      <c r="B434" s="8" t="s">
        <v>11</v>
      </c>
      <c r="C434" s="61" t="n">
        <f aca="false">C350*(Pressupostos!$C$101*Pressupostos!$C$102+Pressupostos!$C$103)</f>
        <v>0</v>
      </c>
      <c r="D434" s="61" t="n">
        <f aca="false">D350*(Pressupostos!$C$101*Pressupostos!$C$102+Pressupostos!$C$103)</f>
        <v>10000</v>
      </c>
      <c r="E434" s="61" t="n">
        <f aca="false">E350*(Pressupostos!$C$101*Pressupostos!$C$102+Pressupostos!$C$103)</f>
        <v>30000</v>
      </c>
      <c r="F434" s="61" t="n">
        <f aca="false">F350*(Pressupostos!$C$101*Pressupostos!$C$102+Pressupostos!$C$103)</f>
        <v>60000</v>
      </c>
      <c r="G434" s="61" t="n">
        <f aca="false">G350*(Pressupostos!$C$101*Pressupostos!$C$102+Pressupostos!$C$103)</f>
        <v>100000</v>
      </c>
      <c r="H434" s="2" t="s">
        <v>1272</v>
      </c>
    </row>
    <row r="435" customFormat="false" ht="15" hidden="false" customHeight="false" outlineLevel="1" collapsed="false">
      <c r="A435" s="7" t="s">
        <v>617</v>
      </c>
      <c r="B435" s="8" t="s">
        <v>11</v>
      </c>
      <c r="C435" s="53" t="n">
        <f aca="false">Pressupostos!$C$275</f>
        <v>0</v>
      </c>
      <c r="D435" s="53" t="n">
        <f aca="false">Pressupostos!$D$275</f>
        <v>0</v>
      </c>
      <c r="E435" s="53" t="n">
        <f aca="false">Pressupostos!$E$275</f>
        <v>0</v>
      </c>
      <c r="F435" s="53" t="n">
        <f aca="false">Pressupostos!$F$275</f>
        <v>10000</v>
      </c>
      <c r="G435" s="53" t="n">
        <f aca="false">Pressupostos!$G$275</f>
        <v>30000</v>
      </c>
      <c r="H435" s="2" t="s">
        <v>1273</v>
      </c>
    </row>
    <row r="436" customFormat="false" ht="15" hidden="false" customHeight="false" outlineLevel="1" collapsed="false">
      <c r="A436" s="56" t="s">
        <v>618</v>
      </c>
      <c r="B436" s="57" t="s">
        <v>11</v>
      </c>
      <c r="C436" s="62" t="n">
        <f aca="false">C429+C430+C432+C433+C434+C435</f>
        <v>267690</v>
      </c>
      <c r="D436" s="62" t="n">
        <f aca="false">D429+D430+D432+D433+D434+D435</f>
        <v>1780435</v>
      </c>
      <c r="E436" s="62" t="n">
        <f aca="false">E429+E430+E432+E433+E434+E435</f>
        <v>4066155</v>
      </c>
      <c r="F436" s="62" t="n">
        <f aca="false">F429+F430+F432+F433+F434+F435</f>
        <v>7052305</v>
      </c>
      <c r="G436" s="62" t="n">
        <f aca="false">G429+G430+G432+G433+G434+G435</f>
        <v>10796070</v>
      </c>
      <c r="H436" s="2" t="s">
        <v>1274</v>
      </c>
    </row>
    <row r="437" customFormat="false" ht="15" hidden="false" customHeight="false" outlineLevel="0" collapsed="false">
      <c r="A437" s="3" t="s">
        <v>1275</v>
      </c>
      <c r="B437" s="4"/>
      <c r="C437" s="4"/>
      <c r="D437" s="4"/>
      <c r="E437" s="4"/>
      <c r="F437" s="4"/>
      <c r="G437" s="4"/>
      <c r="H437" s="4"/>
    </row>
    <row r="438" customFormat="false" ht="15" hidden="false" customHeight="false" outlineLevel="1" collapsed="false">
      <c r="A438" s="2" t="s">
        <v>620</v>
      </c>
      <c r="B438" s="8" t="s">
        <v>11</v>
      </c>
      <c r="C438" s="61" t="n">
        <f aca="false">C339*1000*Pressupostos!$D$10</f>
        <v>0</v>
      </c>
      <c r="D438" s="61" t="n">
        <f aca="false">D339*1000*Pressupostos!$D$10</f>
        <v>0</v>
      </c>
      <c r="E438" s="61" t="n">
        <f aca="false">E339*1000*Pressupostos!$D$10</f>
        <v>0</v>
      </c>
      <c r="F438" s="61" t="n">
        <f aca="false">F339*1000*Pressupostos!$D$10</f>
        <v>0</v>
      </c>
      <c r="G438" s="61" t="n">
        <f aca="false">G339*1000*Pressupostos!$D$10</f>
        <v>0</v>
      </c>
      <c r="H438" s="2" t="s">
        <v>1276</v>
      </c>
    </row>
    <row r="439" customFormat="false" ht="15" hidden="false" customHeight="false" outlineLevel="1" collapsed="false">
      <c r="A439" s="56" t="s">
        <v>621</v>
      </c>
      <c r="B439" s="57" t="s">
        <v>11</v>
      </c>
      <c r="C439" s="62" t="n">
        <f aca="false">C429+C430+C431+C438</f>
        <v>307380</v>
      </c>
      <c r="D439" s="62" t="n">
        <f aca="false">D429+D430+D431+D438</f>
        <v>1929195</v>
      </c>
      <c r="E439" s="62" t="n">
        <f aca="false">E429+E430+E431+E438</f>
        <v>4300755</v>
      </c>
      <c r="F439" s="62" t="n">
        <f aca="false">F429+F430+F431+F438</f>
        <v>7352745</v>
      </c>
      <c r="G439" s="62" t="n">
        <f aca="false">G429+G430+G431+G438</f>
        <v>11142350</v>
      </c>
      <c r="H439" s="2" t="s">
        <v>1277</v>
      </c>
    </row>
    <row r="440" customFormat="false" ht="15" hidden="false" customHeight="false" outlineLevel="1" collapsed="false">
      <c r="A440" s="7" t="s">
        <v>622</v>
      </c>
      <c r="B440" s="8" t="s">
        <v>11</v>
      </c>
      <c r="C440" s="61" t="n">
        <f aca="false">C439-C438-C428</f>
        <v>307380</v>
      </c>
      <c r="D440" s="61" t="n">
        <f aca="false">D439-D438-D428</f>
        <v>1929195</v>
      </c>
      <c r="E440" s="61" t="n">
        <f aca="false">E439-E438-E428</f>
        <v>4300755</v>
      </c>
      <c r="F440" s="61" t="n">
        <f aca="false">F439-F438-F428</f>
        <v>7352745</v>
      </c>
      <c r="G440" s="61" t="n">
        <f aca="false">G439-G438-G428</f>
        <v>11142350</v>
      </c>
      <c r="H440" s="2" t="s">
        <v>1278</v>
      </c>
    </row>
    <row r="441" customFormat="false" ht="15" hidden="false" customHeight="false" outlineLevel="1" collapsed="false">
      <c r="A441" s="7" t="s">
        <v>623</v>
      </c>
      <c r="B441" s="8" t="s">
        <v>11</v>
      </c>
      <c r="C441" s="61" t="n">
        <f aca="false">C335*1000*(C353+C356)+C336*1000*(C376+C379)+C338*1000*(C399+C402)+C348*1000*Pressupostos!$C$92</f>
        <v>243800</v>
      </c>
      <c r="D441" s="61" t="n">
        <f aca="false">D335*1000*(D353+D356)+D336*1000*(D376+D379)+D338*1000*(D399+D402)+D348*1000*Pressupostos!$C$92</f>
        <v>1623700</v>
      </c>
      <c r="E441" s="61" t="n">
        <f aca="false">E335*1000*(E353+E356)+E336*1000*(E376+E379)+E338*1000*(E399+E402)+E348*1000*Pressupostos!$C$92</f>
        <v>3665800</v>
      </c>
      <c r="F441" s="61" t="n">
        <f aca="false">F335*1000*(F353+F356)+F336*1000*(F376+F379)+F338*1000*(F399+F402)+F348*1000*Pressupostos!$C$92</f>
        <v>6319200</v>
      </c>
      <c r="G441" s="61" t="n">
        <f aca="false">G335*1000*(G353+G356)+G336*1000*(G376+G379)+G338*1000*(G399+G402)+G348*1000*Pressupostos!$C$92</f>
        <v>9651000</v>
      </c>
      <c r="H441" s="2" t="s">
        <v>1279</v>
      </c>
    </row>
    <row r="442" customFormat="false" ht="15" hidden="false" customHeight="false" outlineLevel="1" collapsed="false">
      <c r="A442" s="7" t="s">
        <v>624</v>
      </c>
      <c r="B442" s="8" t="s">
        <v>11</v>
      </c>
      <c r="C442" s="61" t="n">
        <f aca="false">C441*Pressupostos!$C$282</f>
        <v>0</v>
      </c>
      <c r="D442" s="61" t="n">
        <f aca="false">D441*Pressupostos!$D$282</f>
        <v>1461330</v>
      </c>
      <c r="E442" s="61" t="n">
        <f aca="false">E441*Pressupostos!$E$282</f>
        <v>3299220</v>
      </c>
      <c r="F442" s="61" t="n">
        <f aca="false">F441*Pressupostos!$F$282</f>
        <v>5687280</v>
      </c>
      <c r="G442" s="61" t="n">
        <f aca="false">G441*Pressupostos!$G$282</f>
        <v>8685900</v>
      </c>
      <c r="H442" s="2" t="s">
        <v>1280</v>
      </c>
    </row>
    <row r="443" customFormat="false" ht="15" hidden="false" customHeight="false" outlineLevel="0" collapsed="false">
      <c r="A443" s="3" t="s">
        <v>1281</v>
      </c>
      <c r="B443" s="4"/>
      <c r="C443" s="4"/>
      <c r="D443" s="4"/>
      <c r="E443" s="4"/>
      <c r="F443" s="4"/>
      <c r="G443" s="4"/>
      <c r="H443" s="4"/>
    </row>
    <row r="444" customFormat="false" ht="15" hidden="false" customHeight="false" outlineLevel="1" collapsed="false">
      <c r="A444" s="7" t="s">
        <v>626</v>
      </c>
      <c r="B444" s="8" t="s">
        <v>11</v>
      </c>
      <c r="C444" s="61" t="n">
        <f aca="false">C335*1000*C372</f>
        <v>2727.51452054796</v>
      </c>
      <c r="D444" s="61" t="n">
        <f aca="false">D335*1000*D372</f>
        <v>5610.35054794528</v>
      </c>
      <c r="E444" s="61" t="n">
        <f aca="false">E335*1000*E372</f>
        <v>46169.050650685</v>
      </c>
      <c r="F444" s="61" t="n">
        <f aca="false">F335*1000*F372</f>
        <v>96209.0426712332</v>
      </c>
      <c r="G444" s="61" t="n">
        <f aca="false">G335*1000*G372</f>
        <v>147736.732191781</v>
      </c>
      <c r="H444" s="2" t="s">
        <v>1282</v>
      </c>
    </row>
    <row r="445" customFormat="false" ht="15" hidden="false" customHeight="false" outlineLevel="1" collapsed="false">
      <c r="A445" s="7" t="s">
        <v>627</v>
      </c>
      <c r="B445" s="8" t="s">
        <v>11</v>
      </c>
      <c r="C445" s="61" t="n">
        <f aca="false">C336*1000*C395</f>
        <v>5010.62739726033</v>
      </c>
      <c r="D445" s="61" t="n">
        <f aca="false">D336*1000*D395</f>
        <v>18665.410273973</v>
      </c>
      <c r="E445" s="61" t="n">
        <f aca="false">E336*1000*E395</f>
        <v>46051.8418664388</v>
      </c>
      <c r="F445" s="61" t="n">
        <f aca="false">F336*1000*F395</f>
        <v>79304.9573630142</v>
      </c>
      <c r="G445" s="61" t="n">
        <f aca="false">G336*1000*G395</f>
        <v>119996.511986302</v>
      </c>
      <c r="H445" s="2" t="s">
        <v>1283</v>
      </c>
    </row>
    <row r="446" customFormat="false" ht="15" hidden="false" customHeight="false" outlineLevel="1" collapsed="false">
      <c r="A446" s="7" t="s">
        <v>628</v>
      </c>
      <c r="B446" s="8" t="s">
        <v>11</v>
      </c>
      <c r="C446" s="61" t="n">
        <f aca="false">C338*1000*C418+C339*1000*C424</f>
        <v>0</v>
      </c>
      <c r="D446" s="61" t="n">
        <f aca="false">D338*1000*D418+D339*1000*D424</f>
        <v>0</v>
      </c>
      <c r="E446" s="61" t="n">
        <f aca="false">E338*1000*E418+E339*1000*E424</f>
        <v>0</v>
      </c>
      <c r="F446" s="61" t="n">
        <f aca="false">F338*1000*F418+F339*1000*F424</f>
        <v>0</v>
      </c>
      <c r="G446" s="61" t="n">
        <f aca="false">G338*1000*G418+G339*1000*G424</f>
        <v>0</v>
      </c>
      <c r="H446" s="2" t="s">
        <v>1284</v>
      </c>
    </row>
    <row r="447" customFormat="false" ht="15" hidden="false" customHeight="false" outlineLevel="1" collapsed="false">
      <c r="A447" s="7" t="s">
        <v>629</v>
      </c>
      <c r="B447" s="8" t="s">
        <v>11</v>
      </c>
      <c r="C447" s="61" t="n">
        <f aca="false">C444+C445+C446</f>
        <v>7738.14191780829</v>
      </c>
      <c r="D447" s="61" t="n">
        <f aca="false">D444+D445+D446</f>
        <v>24275.7608219183</v>
      </c>
      <c r="E447" s="61" t="n">
        <f aca="false">E444+E445+E446</f>
        <v>92220.8925171239</v>
      </c>
      <c r="F447" s="61" t="n">
        <f aca="false">F444+F445+F446</f>
        <v>175514.000034247</v>
      </c>
      <c r="G447" s="61" t="n">
        <f aca="false">G444+G445+G446</f>
        <v>267733.244178084</v>
      </c>
      <c r="H447" s="2" t="s">
        <v>1285</v>
      </c>
    </row>
    <row r="448" customFormat="false" ht="15" hidden="false" customHeight="false" outlineLevel="1" collapsed="false">
      <c r="A448" s="7" t="s">
        <v>630</v>
      </c>
      <c r="B448" s="8" t="s">
        <v>64</v>
      </c>
      <c r="C448" s="63" t="n">
        <f aca="false">IF(C340&gt;0,C447/(C340*1000),0)</f>
        <v>0.128969031963471</v>
      </c>
      <c r="D448" s="63" t="n">
        <f aca="false">IF(D340&gt;0,D447/(D340*1000),0)</f>
        <v>0.0606894020547957</v>
      </c>
      <c r="E448" s="63" t="n">
        <f aca="false">IF(E340&gt;0,E447/(E340*1000),0)</f>
        <v>0.108495167667205</v>
      </c>
      <c r="F448" s="63" t="n">
        <f aca="false">IF(F340&gt;0,F447/(F340*1000),0)</f>
        <v>0.121044137954653</v>
      </c>
      <c r="G448" s="63" t="n">
        <f aca="false">IF(G340&gt;0,G447/(G340*1000),0)</f>
        <v>0.121696929171856</v>
      </c>
      <c r="H448" s="2" t="s">
        <v>1286</v>
      </c>
    </row>
    <row r="449" customFormat="false" ht="15" hidden="false" customHeight="false" outlineLevel="1" collapsed="false">
      <c r="A449" s="7" t="s">
        <v>631</v>
      </c>
      <c r="B449" s="8" t="s">
        <v>76</v>
      </c>
      <c r="C449" s="59" t="n">
        <f aca="false">IF(C429&gt;0,C447/C429,0)</f>
        <v>0.0289948363227229</v>
      </c>
      <c r="D449" s="59" t="n">
        <f aca="false">IF(D429&gt;0,D447/D429,0)</f>
        <v>0.0137368885844054</v>
      </c>
      <c r="E449" s="59" t="n">
        <f aca="false">IF(E429&gt;0,E447/E429,0)</f>
        <v>0.0242989977003189</v>
      </c>
      <c r="F449" s="59" t="n">
        <f aca="false">IF(F429&gt;0,F447/F429,0)</f>
        <v>0.0269866054149182</v>
      </c>
      <c r="G449" s="59" t="n">
        <f aca="false">IF(G429&gt;0,G447/G429,0)</f>
        <v>0.0271222521922618</v>
      </c>
      <c r="H449" s="2" t="s">
        <v>1287</v>
      </c>
    </row>
    <row r="450" customFormat="false" ht="15" hidden="false" customHeight="false" outlineLevel="1" collapsed="false">
      <c r="A450" s="2" t="s">
        <v>632</v>
      </c>
      <c r="B450" s="8" t="s">
        <v>64</v>
      </c>
      <c r="C450" s="63" t="n">
        <f aca="false">Pressupostos!$C$288*Pressupostos!$C$92*(Pressupostos!$C$95+Pressupostos!$C$96-Pressupostos!$C$97)/365*Pressupostos!$C$282/Pressupostos!$D$31</f>
        <v>0</v>
      </c>
      <c r="D450" s="63" t="n">
        <f aca="false">Pressupostos!$D$288*Pressupostos!$C$92*(Pressupostos!$C$95+Pressupostos!$C$96-Pressupostos!$C$97)/365*Pressupostos!$D$282/Pressupostos!$D$31</f>
        <v>0.0776712328767123</v>
      </c>
      <c r="E450" s="63" t="n">
        <f aca="false">Pressupostos!$E$288*Pressupostos!$C$92*(Pressupostos!$C$95+Pressupostos!$C$96-Pressupostos!$C$97)/365*Pressupostos!$E$282/Pressupostos!$D$31</f>
        <v>0.0728167808219178</v>
      </c>
      <c r="F450" s="63" t="n">
        <f aca="false">Pressupostos!$F$288*Pressupostos!$C$92*(Pressupostos!$C$95+Pressupostos!$C$96-Pressupostos!$C$97)/365*Pressupostos!$F$282/Pressupostos!$D$31</f>
        <v>0.0679623287671233</v>
      </c>
      <c r="G450" s="63" t="n">
        <f aca="false">Pressupostos!$G$288*Pressupostos!$C$92*(Pressupostos!$C$95+Pressupostos!$C$96-Pressupostos!$C$97)/365*Pressupostos!$G$282/Pressupostos!$D$31</f>
        <v>0.0679623287671233</v>
      </c>
      <c r="H450" s="2" t="s">
        <v>1288</v>
      </c>
    </row>
    <row r="451" customFormat="false" ht="15" hidden="false" customHeight="false" outlineLevel="1" collapsed="false">
      <c r="A451" s="7" t="s">
        <v>600</v>
      </c>
      <c r="B451" s="8" t="s">
        <v>11</v>
      </c>
      <c r="C451" s="61" t="n">
        <f aca="false">C348*1000*(Pressupostos!$C$93-Pressupostos!$C$92-Pressupostos!$C$94-C450-Pressupostos!$C$98*Pressupostos!$C$93-Pressupostos!$C$99-Pressupostos!$D$29*Pressupostos!$C$92)</f>
        <v>0</v>
      </c>
      <c r="D451" s="61" t="n">
        <f aca="false">D348*1000*(Pressupostos!$C$93-Pressupostos!$C$92-Pressupostos!$C$94-D450-Pressupostos!$C$98*Pressupostos!$C$93-Pressupostos!$C$99-Pressupostos!$D$29*Pressupostos!$C$92)</f>
        <v>0</v>
      </c>
      <c r="E451" s="61" t="n">
        <f aca="false">E348*1000*(Pressupostos!$C$93-Pressupostos!$C$92-Pressupostos!$C$94-E450-Pressupostos!$C$98*Pressupostos!$C$93-Pressupostos!$C$99-Pressupostos!$D$29*Pressupostos!$C$92)</f>
        <v>16502.4965753425</v>
      </c>
      <c r="F451" s="61" t="n">
        <f aca="false">F348*1000*(Pressupostos!$C$93-Pressupostos!$C$92-Pressupostos!$C$94-F450-Pressupostos!$C$98*Pressupostos!$C$93-Pressupostos!$C$99-Pressupostos!$D$29*Pressupostos!$C$92)</f>
        <v>33296.2602739726</v>
      </c>
      <c r="G451" s="61" t="n">
        <f aca="false">G348*1000*(Pressupostos!$C$93-Pressupostos!$C$92-Pressupostos!$C$94-G450-Pressupostos!$C$98*Pressupostos!$C$93-Pressupostos!$C$99-Pressupostos!$D$29*Pressupostos!$C$92)</f>
        <v>55493.7671232876</v>
      </c>
      <c r="H451" s="2" t="s">
        <v>1289</v>
      </c>
    </row>
    <row r="452" customFormat="false" ht="15" hidden="false" customHeight="false" outlineLevel="1" collapsed="false">
      <c r="A452" s="7" t="s">
        <v>633</v>
      </c>
      <c r="B452" s="8" t="s">
        <v>11</v>
      </c>
      <c r="C452" s="61" t="n">
        <f aca="false">C432</f>
        <v>810</v>
      </c>
      <c r="D452" s="61" t="n">
        <f aca="false">D432</f>
        <v>3240</v>
      </c>
      <c r="E452" s="61" t="n">
        <f aca="false">E432</f>
        <v>5400</v>
      </c>
      <c r="F452" s="61" t="n">
        <f aca="false">F432</f>
        <v>7560</v>
      </c>
      <c r="G452" s="61" t="n">
        <f aca="false">G432</f>
        <v>9720</v>
      </c>
      <c r="H452" s="2" t="s">
        <v>1290</v>
      </c>
    </row>
    <row r="453" customFormat="false" ht="15" hidden="false" customHeight="false" outlineLevel="1" collapsed="false">
      <c r="A453" s="7" t="s">
        <v>634</v>
      </c>
      <c r="B453" s="8" t="s">
        <v>11</v>
      </c>
      <c r="C453" s="61" t="n">
        <f aca="false">C434-C468</f>
        <v>0</v>
      </c>
      <c r="D453" s="61" t="n">
        <f aca="false">D434-D468</f>
        <v>1771.42857142857</v>
      </c>
      <c r="E453" s="61" t="n">
        <f aca="false">E434-E468</f>
        <v>5314.28571428572</v>
      </c>
      <c r="F453" s="61" t="n">
        <f aca="false">F434-F468</f>
        <v>10628.5714285714</v>
      </c>
      <c r="G453" s="61" t="n">
        <f aca="false">G434-G468</f>
        <v>17714.2857142857</v>
      </c>
      <c r="H453" s="2" t="s">
        <v>1291</v>
      </c>
    </row>
    <row r="454" customFormat="false" ht="15" hidden="false" customHeight="false" outlineLevel="1" collapsed="false">
      <c r="A454" s="7" t="s">
        <v>617</v>
      </c>
      <c r="B454" s="8" t="s">
        <v>11</v>
      </c>
      <c r="C454" s="61" t="n">
        <f aca="false">C435</f>
        <v>0</v>
      </c>
      <c r="D454" s="61" t="n">
        <f aca="false">D435</f>
        <v>0</v>
      </c>
      <c r="E454" s="61" t="n">
        <f aca="false">E435</f>
        <v>0</v>
      </c>
      <c r="F454" s="61" t="n">
        <f aca="false">F435</f>
        <v>10000</v>
      </c>
      <c r="G454" s="61" t="n">
        <f aca="false">G435</f>
        <v>30000</v>
      </c>
      <c r="H454" s="2" t="s">
        <v>1292</v>
      </c>
    </row>
    <row r="455" customFormat="false" ht="15" hidden="false" customHeight="false" outlineLevel="1" collapsed="false">
      <c r="A455" s="56" t="s">
        <v>635</v>
      </c>
      <c r="B455" s="57" t="s">
        <v>11</v>
      </c>
      <c r="C455" s="62" t="n">
        <f aca="false">C447+C451+C452+C453+C454</f>
        <v>8548.14191780829</v>
      </c>
      <c r="D455" s="62" t="n">
        <f aca="false">D447+D451+D452+D453+D454</f>
        <v>29287.1893933469</v>
      </c>
      <c r="E455" s="62" t="n">
        <f aca="false">E447+E451+E452+E453+E454</f>
        <v>119437.674806752</v>
      </c>
      <c r="F455" s="62" t="n">
        <f aca="false">F447+F451+F452+F453+F454</f>
        <v>236998.831736791</v>
      </c>
      <c r="G455" s="62" t="n">
        <f aca="false">G447+G451+G452+G453+G454</f>
        <v>380661.297015657</v>
      </c>
      <c r="H455" s="2" t="s">
        <v>1293</v>
      </c>
    </row>
    <row r="456" customFormat="false" ht="15" hidden="false" customHeight="false" outlineLevel="0" collapsed="false">
      <c r="A456" s="3" t="s">
        <v>1294</v>
      </c>
      <c r="B456" s="4"/>
      <c r="C456" s="4"/>
      <c r="D456" s="4"/>
      <c r="E456" s="4"/>
      <c r="F456" s="4"/>
      <c r="G456" s="4"/>
      <c r="H456" s="4"/>
    </row>
    <row r="457" customFormat="false" ht="15" hidden="false" customHeight="false" outlineLevel="1" collapsed="false">
      <c r="A457" s="7" t="s">
        <v>686</v>
      </c>
      <c r="B457" s="8" t="s">
        <v>11</v>
      </c>
      <c r="C457" s="61" t="n">
        <f aca="false">C335*1000*(C353+C356)+C336*1000*(C376+C379)+C338*1000*(C399+C402)</f>
        <v>243800</v>
      </c>
      <c r="D457" s="61" t="n">
        <f aca="false">D335*1000*(D353+D356)+D336*1000*(D376+D379)+D338*1000*(D399+D402)</f>
        <v>1623700</v>
      </c>
      <c r="E457" s="61" t="n">
        <f aca="false">E335*1000*(E353+E356)+E336*1000*(E376+E379)+E338*1000*(E399+E402)</f>
        <v>3455800</v>
      </c>
      <c r="F457" s="61" t="n">
        <f aca="false">F335*1000*(F353+F356)+F336*1000*(F376+F379)+F338*1000*(F399+F402)</f>
        <v>5899200</v>
      </c>
      <c r="G457" s="61" t="n">
        <f aca="false">G335*1000*(G353+G356)+G336*1000*(G376+G379)+G338*1000*(G399+G402)</f>
        <v>8951000</v>
      </c>
      <c r="H457" s="2" t="s">
        <v>1295</v>
      </c>
    </row>
    <row r="458" customFormat="false" ht="15" hidden="false" customHeight="false" outlineLevel="1" collapsed="false">
      <c r="A458" s="7" t="s">
        <v>687</v>
      </c>
      <c r="B458" s="8" t="s">
        <v>11</v>
      </c>
      <c r="C458" s="61" t="n">
        <f aca="false">C348*1000*Pressupostos!$C$92</f>
        <v>0</v>
      </c>
      <c r="D458" s="61" t="n">
        <f aca="false">D348*1000*Pressupostos!$C$92</f>
        <v>0</v>
      </c>
      <c r="E458" s="61" t="n">
        <f aca="false">E348*1000*Pressupostos!$C$92</f>
        <v>210000</v>
      </c>
      <c r="F458" s="61" t="n">
        <f aca="false">F348*1000*Pressupostos!$C$92</f>
        <v>420000</v>
      </c>
      <c r="G458" s="61" t="n">
        <f aca="false">G348*1000*Pressupostos!$C$92</f>
        <v>700000</v>
      </c>
      <c r="H458" s="2" t="s">
        <v>1296</v>
      </c>
    </row>
    <row r="459" customFormat="false" ht="15" hidden="false" customHeight="false" outlineLevel="1" collapsed="false">
      <c r="A459" s="7" t="s">
        <v>688</v>
      </c>
      <c r="B459" s="8" t="s">
        <v>11</v>
      </c>
      <c r="C459" s="61" t="n">
        <f aca="false">C457+C458</f>
        <v>243800</v>
      </c>
      <c r="D459" s="61" t="n">
        <f aca="false">D457+D458</f>
        <v>1623700</v>
      </c>
      <c r="E459" s="61" t="n">
        <f aca="false">E457+E458</f>
        <v>3665800</v>
      </c>
      <c r="F459" s="61" t="n">
        <f aca="false">F457+F458</f>
        <v>6319200</v>
      </c>
      <c r="G459" s="61" t="n">
        <f aca="false">G457+G458</f>
        <v>9651000</v>
      </c>
      <c r="H459" s="2" t="s">
        <v>1297</v>
      </c>
    </row>
    <row r="460" customFormat="false" ht="15" hidden="false" customHeight="false" outlineLevel="1" collapsed="false">
      <c r="A460" s="7" t="s">
        <v>215</v>
      </c>
      <c r="B460" s="8" t="s">
        <v>11</v>
      </c>
      <c r="C460" s="61" t="n">
        <f aca="false">C335*1000*(C357)+C336*1000*(C380)+C338*1000*(C403)+C348*1000*Pressupostos!$C$94</f>
        <v>7600</v>
      </c>
      <c r="D460" s="61" t="n">
        <f aca="false">D335*1000*(D357)+D336*1000*(D380)+D338*1000*(D403)+D348*1000*Pressupostos!$C$94</f>
        <v>47400</v>
      </c>
      <c r="E460" s="61" t="n">
        <f aca="false">E335*1000*(E357)+E336*1000*(E380)+E338*1000*(E403)+E348*1000*Pressupostos!$C$94</f>
        <v>106270</v>
      </c>
      <c r="F460" s="61" t="n">
        <f aca="false">F335*1000*(F357)+F336*1000*(F380)+F338*1000*(F403)+F348*1000*Pressupostos!$C$94</f>
        <v>187560</v>
      </c>
      <c r="G460" s="61" t="n">
        <f aca="false">G335*1000*(G357)+G336*1000*(G380)+G338*1000*(G403)+G348*1000*Pressupostos!$C$94</f>
        <v>286800</v>
      </c>
      <c r="H460" s="2" t="s">
        <v>1298</v>
      </c>
    </row>
    <row r="461" customFormat="false" ht="15" hidden="false" customHeight="false" outlineLevel="1" collapsed="false">
      <c r="A461" s="7" t="s">
        <v>117</v>
      </c>
      <c r="B461" s="8" t="s">
        <v>11</v>
      </c>
      <c r="C461" s="61" t="n">
        <f aca="false">C335*1000*(C358)+C336*1000*(C381)+C338*1000*(C404)</f>
        <v>480</v>
      </c>
      <c r="D461" s="61" t="n">
        <f aca="false">D335*1000*(D358)+D336*1000*(D381)+D338*1000*(D404)</f>
        <v>2220</v>
      </c>
      <c r="E461" s="61" t="n">
        <f aca="false">E335*1000*(E358)+E336*1000*(E381)+E338*1000*(E404)</f>
        <v>7980</v>
      </c>
      <c r="F461" s="61" t="n">
        <f aca="false">F335*1000*(F358)+F336*1000*(F381)+F338*1000*(F404)</f>
        <v>16020</v>
      </c>
      <c r="G461" s="61" t="n">
        <f aca="false">G335*1000*(G358)+G336*1000*(G381)+G338*1000*(G404)</f>
        <v>24600</v>
      </c>
      <c r="H461" s="2" t="s">
        <v>1299</v>
      </c>
    </row>
    <row r="462" customFormat="false" ht="15" hidden="false" customHeight="false" outlineLevel="1" collapsed="false">
      <c r="A462" s="7" t="s">
        <v>689</v>
      </c>
      <c r="B462" s="8" t="s">
        <v>11</v>
      </c>
      <c r="C462" s="61" t="n">
        <f aca="false">C335*1000*(C361+C362)+C336*1000*(C384+C385)+C338*1000*(C407+C408)</f>
        <v>459.178082191781</v>
      </c>
      <c r="D462" s="61" t="n">
        <f aca="false">D335*1000*(D361+D362)+D336*1000*(D384+D385)+D338*1000*(D407+D408)</f>
        <v>2686.19178082192</v>
      </c>
      <c r="E462" s="61" t="n">
        <f aca="false">E335*1000*(E361+E362)+E336*1000*(E384+E385)+E338*1000*(E407+E408)</f>
        <v>4208.36712328767</v>
      </c>
      <c r="F462" s="61" t="n">
        <f aca="false">F335*1000*(F361+F362)+F336*1000*(F384+F385)+F338*1000*(F407+F408)</f>
        <v>7271.08493150685</v>
      </c>
      <c r="G462" s="61" t="n">
        <f aca="false">G335*1000*(G361+G362)+G336*1000*(G384+G385)+G338*1000*(G407+G408)</f>
        <v>11043.2328767123</v>
      </c>
      <c r="H462" s="2" t="s">
        <v>1300</v>
      </c>
    </row>
    <row r="463" customFormat="false" ht="15" hidden="false" customHeight="false" outlineLevel="1" collapsed="false">
      <c r="A463" s="7" t="s">
        <v>690</v>
      </c>
      <c r="B463" s="8" t="s">
        <v>11</v>
      </c>
      <c r="C463" s="61" t="n">
        <f aca="false">C335*1000*(C363+C364+C365)+C336*1000*(C386+C387+C388)+C338*1000*(C409+C410+C411)</f>
        <v>2660</v>
      </c>
      <c r="D463" s="61" t="n">
        <f aca="false">D335*1000*(D363+D364+D365)+D336*1000*(D386+D387+D388)+D338*1000*(D409+D410+D411)</f>
        <v>17325</v>
      </c>
      <c r="E463" s="61" t="n">
        <f aca="false">E335*1000*(E363+E364+E365)+E336*1000*(E386+E387+E388)+E338*1000*(E409+E410+E411)</f>
        <v>36379.5</v>
      </c>
      <c r="F463" s="61" t="n">
        <f aca="false">F335*1000*(F363+F364+F365)+F336*1000*(F386+F387+F388)+F338*1000*(F409+F410+F411)</f>
        <v>62520.5</v>
      </c>
      <c r="G463" s="61" t="n">
        <f aca="false">G335*1000*(G363+G364+G365)+G336*1000*(G386+G387+G388)+G338*1000*(G409+G410+G411)</f>
        <v>94915</v>
      </c>
      <c r="H463" s="2" t="s">
        <v>1301</v>
      </c>
    </row>
    <row r="464" customFormat="false" ht="15" hidden="false" customHeight="false" outlineLevel="1" collapsed="false">
      <c r="A464" s="7" t="s">
        <v>673</v>
      </c>
      <c r="B464" s="8" t="s">
        <v>11</v>
      </c>
      <c r="C464" s="61" t="n">
        <f aca="false">C335*1000*(C366)+C336*1000*(C389)+C338*1000*(C412)</f>
        <v>2880</v>
      </c>
      <c r="D464" s="61" t="n">
        <f aca="false">D335*1000*(D366)+D336*1000*(D389)+D338*1000*(D412)</f>
        <v>18220</v>
      </c>
      <c r="E464" s="61" t="n">
        <f aca="false">E335*1000*(E366)+E336*1000*(E389)+E338*1000*(E412)</f>
        <v>41980</v>
      </c>
      <c r="F464" s="61" t="n">
        <f aca="false">F335*1000*(F366)+F336*1000*(F389)+F338*1000*(F412)</f>
        <v>74020</v>
      </c>
      <c r="G464" s="61" t="n">
        <f aca="false">G335*1000*(G366)+G336*1000*(G389)+G338*1000*(G412)</f>
        <v>112600</v>
      </c>
      <c r="H464" s="2" t="s">
        <v>1302</v>
      </c>
    </row>
    <row r="465" customFormat="false" ht="15" hidden="false" customHeight="false" outlineLevel="1" collapsed="false">
      <c r="A465" s="7" t="s">
        <v>691</v>
      </c>
      <c r="B465" s="8" t="s">
        <v>11</v>
      </c>
      <c r="C465" s="61" t="n">
        <f aca="false">C335*1000*(C367)+C336*1000*(C390)+C338*1000*(C413)+C348*1000*Pressupostos!$C$99</f>
        <v>340</v>
      </c>
      <c r="D465" s="61" t="n">
        <f aca="false">D335*1000*(D367)+D336*1000*(D390)+D338*1000*(D413)+D348*1000*Pressupostos!$C$99</f>
        <v>2185</v>
      </c>
      <c r="E465" s="61" t="n">
        <f aca="false">E335*1000*(E367)+E336*1000*(E390)+E338*1000*(E413)+E348*1000*Pressupostos!$C$99</f>
        <v>5815</v>
      </c>
      <c r="F465" s="61" t="n">
        <f aca="false">F335*1000*(F367)+F336*1000*(F390)+F338*1000*(F413)+F348*1000*Pressupostos!$C$99</f>
        <v>10385</v>
      </c>
      <c r="G465" s="61" t="n">
        <f aca="false">G335*1000*(G367)+G336*1000*(G390)+G338*1000*(G413)+G348*1000*Pressupostos!$C$99</f>
        <v>16050</v>
      </c>
      <c r="H465" s="2" t="s">
        <v>1303</v>
      </c>
    </row>
    <row r="466" customFormat="false" ht="15" hidden="false" customHeight="false" outlineLevel="1" collapsed="false">
      <c r="A466" s="7" t="s">
        <v>81</v>
      </c>
      <c r="B466" s="8" t="s">
        <v>11</v>
      </c>
      <c r="C466" s="61" t="n">
        <f aca="false">C335*1000*(C368)+C336*1000*(C391)+C338*1000*(C414)+C348*1000*Pressupostos!$C$98*Pressupostos!$C$93</f>
        <v>922.68</v>
      </c>
      <c r="D466" s="61" t="n">
        <f aca="false">D335*1000*(D368)+D336*1000*(D391)+D338*1000*(D414)+D348*1000*Pressupostos!$C$98*Pressupostos!$C$93</f>
        <v>5866.02</v>
      </c>
      <c r="E466" s="61" t="n">
        <f aca="false">E335*1000*(E368)+E336*1000*(E391)+E338*1000*(E414)+E348*1000*Pressupostos!$C$98*Pressupostos!$C$93</f>
        <v>14827.68</v>
      </c>
      <c r="F466" s="61" t="n">
        <f aca="false">F335*1000*(F368)+F336*1000*(F391)+F338*1000*(F414)+F348*1000*Pressupostos!$C$98*Pressupostos!$C$93</f>
        <v>26410.32</v>
      </c>
      <c r="G466" s="61" t="n">
        <f aca="false">G335*1000*(G368)+G336*1000*(G391)+G338*1000*(G414)+G348*1000*Pressupostos!$C$98*Pressupostos!$C$93</f>
        <v>40578.6</v>
      </c>
      <c r="H466" s="2" t="s">
        <v>1304</v>
      </c>
    </row>
    <row r="467" customFormat="false" ht="15" hidden="false" customHeight="false" outlineLevel="1" collapsed="false">
      <c r="A467" s="7" t="s">
        <v>692</v>
      </c>
      <c r="B467" s="8" t="s">
        <v>11</v>
      </c>
      <c r="C467" s="61" t="n">
        <f aca="false">C335*1000*(C369)+C336*1000*(C392)+C338*1000*(C415)+C348*1000*Pressupostos!$D$29*Pressupostos!$C$92</f>
        <v>0</v>
      </c>
      <c r="D467" s="61" t="n">
        <f aca="false">D335*1000*(D369)+D336*1000*(D392)+D338*1000*(D415)+D348*1000*Pressupostos!$D$29*Pressupostos!$C$92</f>
        <v>0</v>
      </c>
      <c r="E467" s="61" t="n">
        <f aca="false">E335*1000*(E369)+E336*1000*(E392)+E338*1000*(E415)+E348*1000*Pressupostos!$D$29*Pressupostos!$C$92</f>
        <v>0</v>
      </c>
      <c r="F467" s="61" t="n">
        <f aca="false">F335*1000*(F369)+F336*1000*(F392)+F338*1000*(F415)+F348*1000*Pressupostos!$D$29*Pressupostos!$C$92</f>
        <v>0</v>
      </c>
      <c r="G467" s="61" t="n">
        <f aca="false">G335*1000*(G369)+G336*1000*(G392)+G338*1000*(G415)+G348*1000*Pressupostos!$D$29*Pressupostos!$C$92</f>
        <v>0</v>
      </c>
      <c r="H467" s="2" t="s">
        <v>1305</v>
      </c>
    </row>
    <row r="468" customFormat="false" ht="15" hidden="false" customHeight="false" outlineLevel="1" collapsed="false">
      <c r="A468" s="7" t="s">
        <v>693</v>
      </c>
      <c r="B468" s="8" t="s">
        <v>11</v>
      </c>
      <c r="C468" s="61" t="n">
        <f aca="false">C351*1000*Pressupostos!$C$104*Pressupostos!$D$30</f>
        <v>0</v>
      </c>
      <c r="D468" s="61" t="n">
        <f aca="false">D351*1000*Pressupostos!$C$104*Pressupostos!$D$30</f>
        <v>8228.57142857143</v>
      </c>
      <c r="E468" s="61" t="n">
        <f aca="false">E351*1000*Pressupostos!$C$104*Pressupostos!$D$30</f>
        <v>24685.7142857143</v>
      </c>
      <c r="F468" s="61" t="n">
        <f aca="false">F351*1000*Pressupostos!$C$104*Pressupostos!$D$30</f>
        <v>49371.4285714286</v>
      </c>
      <c r="G468" s="61" t="n">
        <f aca="false">G351*1000*Pressupostos!$C$104*Pressupostos!$D$30</f>
        <v>82285.7142857143</v>
      </c>
      <c r="H468" s="2" t="s">
        <v>1306</v>
      </c>
    </row>
    <row r="469" customFormat="false" ht="15" hidden="false" customHeight="false" outlineLevel="1" collapsed="false">
      <c r="A469" s="7" t="s">
        <v>694</v>
      </c>
      <c r="B469" s="8" t="s">
        <v>11</v>
      </c>
      <c r="C469" s="61" t="n">
        <f aca="false">C339*1000*C423</f>
        <v>0</v>
      </c>
      <c r="D469" s="61" t="n">
        <f aca="false">D339*1000*D423</f>
        <v>0</v>
      </c>
      <c r="E469" s="61" t="n">
        <f aca="false">E339*1000*E423</f>
        <v>0</v>
      </c>
      <c r="F469" s="61" t="n">
        <f aca="false">F339*1000*F423</f>
        <v>0</v>
      </c>
      <c r="G469" s="61" t="n">
        <f aca="false">G339*1000*G423</f>
        <v>0</v>
      </c>
      <c r="H469" s="2" t="s">
        <v>1307</v>
      </c>
    </row>
    <row r="470" customFormat="false" ht="15" hidden="false" customHeight="false" outlineLevel="1" collapsed="false">
      <c r="A470" s="7" t="s">
        <v>695</v>
      </c>
      <c r="B470" s="8" t="s">
        <v>11</v>
      </c>
      <c r="C470" s="61" t="n">
        <f aca="false">C460+C461+C462+C463+C464+C465+C466+C467+C468+C469</f>
        <v>15341.8580821918</v>
      </c>
      <c r="D470" s="61" t="n">
        <f aca="false">D460+D461+D462+D463+D464+D465+D466+D467+D468+D469</f>
        <v>104130.783209393</v>
      </c>
      <c r="E470" s="61" t="n">
        <f aca="false">E460+E461+E462+E463+E464+E465+E466+E467+E468+E469</f>
        <v>242146.261409002</v>
      </c>
      <c r="F470" s="61" t="n">
        <f aca="false">F460+F461+F462+F463+F464+F465+F466+F467+F468+F469</f>
        <v>433558.333502936</v>
      </c>
      <c r="G470" s="61" t="n">
        <f aca="false">G460+G461+G462+G463+G464+G465+G466+G467+G468+G469</f>
        <v>668872.547162427</v>
      </c>
      <c r="H470" s="2" t="s">
        <v>1308</v>
      </c>
    </row>
    <row r="471" customFormat="false" ht="15" hidden="false" customHeight="false" outlineLevel="1" collapsed="false">
      <c r="A471" s="7" t="s">
        <v>696</v>
      </c>
      <c r="B471" s="8" t="s">
        <v>11</v>
      </c>
      <c r="C471" s="61" t="n">
        <f aca="false">C335*1000*(C370)+C336*1000*(C393)+C338*1000*(C416)</f>
        <v>0</v>
      </c>
      <c r="D471" s="61" t="n">
        <f aca="false">D335*1000*(D370)+D336*1000*(D393)+D338*1000*(D416)</f>
        <v>23317.0273972603</v>
      </c>
      <c r="E471" s="61" t="n">
        <f aca="false">E335*1000*(E370)+E336*1000*(E393)+E338*1000*(E416)</f>
        <v>36586.560359589</v>
      </c>
      <c r="F471" s="61" t="n">
        <f aca="false">F335*1000*(F370)+F336*1000*(F393)+F338*1000*(F416)</f>
        <v>58470.0950342466</v>
      </c>
      <c r="G471" s="61" t="n">
        <f aca="false">G335*1000*(G370)+G336*1000*(G393)+G338*1000*(G416)</f>
        <v>88739.9229452055</v>
      </c>
      <c r="H471" s="2" t="s">
        <v>1309</v>
      </c>
    </row>
    <row r="472" customFormat="false" ht="15" hidden="false" customHeight="false" outlineLevel="1" collapsed="false">
      <c r="A472" s="7" t="s">
        <v>697</v>
      </c>
      <c r="B472" s="8" t="s">
        <v>11</v>
      </c>
      <c r="C472" s="61" t="n">
        <f aca="false">C348*1000*C450</f>
        <v>0</v>
      </c>
      <c r="D472" s="61" t="n">
        <f aca="false">D348*1000*D450</f>
        <v>0</v>
      </c>
      <c r="E472" s="61" t="n">
        <f aca="false">E348*1000*E450</f>
        <v>2184.50342465753</v>
      </c>
      <c r="F472" s="61" t="n">
        <f aca="false">F348*1000*F450</f>
        <v>4077.7397260274</v>
      </c>
      <c r="G472" s="61" t="n">
        <f aca="false">G348*1000*G450</f>
        <v>6796.23287671233</v>
      </c>
      <c r="H472" s="2" t="s">
        <v>1310</v>
      </c>
    </row>
    <row r="473" customFormat="false" ht="15" hidden="false" customHeight="false" outlineLevel="1" collapsed="false">
      <c r="A473" s="7" t="s">
        <v>698</v>
      </c>
      <c r="B473" s="8" t="s">
        <v>11</v>
      </c>
      <c r="C473" s="61" t="n">
        <f aca="false">C471+C472</f>
        <v>0</v>
      </c>
      <c r="D473" s="61" t="n">
        <f aca="false">D471+D472</f>
        <v>23317.0273972603</v>
      </c>
      <c r="E473" s="61" t="n">
        <f aca="false">E471+E472</f>
        <v>38771.0637842466</v>
      </c>
      <c r="F473" s="61" t="n">
        <f aca="false">F471+F472</f>
        <v>62547.834760274</v>
      </c>
      <c r="G473" s="61" t="n">
        <f aca="false">G471+G472</f>
        <v>95536.1558219178</v>
      </c>
      <c r="H473" s="2" t="s">
        <v>1311</v>
      </c>
    </row>
    <row r="474" customFormat="false" ht="15" hidden="false" customHeight="false" outlineLevel="1" collapsed="false">
      <c r="A474" s="8" t="s">
        <v>699</v>
      </c>
      <c r="B474" s="8" t="s">
        <v>11</v>
      </c>
      <c r="C474" s="70" t="n">
        <f aca="false">ROUND(C436-C459-C470-C473-C455,6)</f>
        <v>-0</v>
      </c>
      <c r="D474" s="70" t="n">
        <f aca="false">ROUND(D436-D459-D470-D473-D455,6)</f>
        <v>-0</v>
      </c>
      <c r="E474" s="70" t="n">
        <f aca="false">ROUND(E436-E459-E470-E473-E455,6)</f>
        <v>-0</v>
      </c>
      <c r="F474" s="70" t="n">
        <f aca="false">ROUND(F436-F459-F470-F473-F455,6)</f>
        <v>-0</v>
      </c>
      <c r="G474" s="70" t="n">
        <f aca="false">ROUND(G436-G459-G470-G473-G455,6)</f>
        <v>0</v>
      </c>
      <c r="H474" s="2" t="s">
        <v>1312</v>
      </c>
    </row>
    <row r="475" customFormat="false" ht="15" hidden="false" customHeight="false" outlineLevel="0" collapsed="false">
      <c r="A475" s="3" t="s">
        <v>1313</v>
      </c>
      <c r="B475" s="4"/>
      <c r="C475" s="4"/>
      <c r="D475" s="4"/>
      <c r="E475" s="4"/>
      <c r="F475" s="4"/>
      <c r="G475" s="4"/>
      <c r="H475" s="4"/>
    </row>
    <row r="476" customFormat="false" ht="15" hidden="false" customHeight="false" outlineLevel="1" collapsed="false">
      <c r="A476" s="7" t="s">
        <v>638</v>
      </c>
      <c r="B476" s="8" t="s">
        <v>432</v>
      </c>
      <c r="C476" s="64" t="n">
        <f aca="false">Pressupostos!$C$332</f>
        <v>1</v>
      </c>
      <c r="D476" s="64" t="n">
        <f aca="false">Pressupostos!$D$332</f>
        <v>1</v>
      </c>
      <c r="E476" s="64" t="n">
        <f aca="false">Pressupostos!$E$332</f>
        <v>1</v>
      </c>
      <c r="F476" s="64" t="n">
        <f aca="false">Pressupostos!$F$332</f>
        <v>1</v>
      </c>
      <c r="G476" s="64" t="n">
        <f aca="false">Pressupostos!$G$332</f>
        <v>1</v>
      </c>
      <c r="H476" s="2" t="s">
        <v>1314</v>
      </c>
    </row>
    <row r="477" customFormat="false" ht="15" hidden="false" customHeight="false" outlineLevel="1" collapsed="false">
      <c r="A477" s="7" t="s">
        <v>639</v>
      </c>
      <c r="B477" s="8" t="s">
        <v>432</v>
      </c>
      <c r="C477" s="64" t="n">
        <f aca="false">Pressupostos!$C$338</f>
        <v>1</v>
      </c>
      <c r="D477" s="64" t="n">
        <f aca="false">Pressupostos!$D$338</f>
        <v>1</v>
      </c>
      <c r="E477" s="64" t="n">
        <f aca="false">Pressupostos!$E$338</f>
        <v>1</v>
      </c>
      <c r="F477" s="64" t="n">
        <f aca="false">Pressupostos!$F$338</f>
        <v>1</v>
      </c>
      <c r="G477" s="64" t="n">
        <f aca="false">Pressupostos!$G$338</f>
        <v>1</v>
      </c>
      <c r="H477" s="2" t="s">
        <v>1315</v>
      </c>
    </row>
    <row r="478" customFormat="false" ht="15" hidden="false" customHeight="false" outlineLevel="1" collapsed="false">
      <c r="A478" s="7" t="s">
        <v>640</v>
      </c>
      <c r="B478" s="8" t="s">
        <v>432</v>
      </c>
      <c r="C478" s="64" t="n">
        <f aca="false">Pressupostos!$C$344</f>
        <v>1</v>
      </c>
      <c r="D478" s="64" t="n">
        <f aca="false">Pressupostos!$D$344</f>
        <v>1</v>
      </c>
      <c r="E478" s="64" t="n">
        <f aca="false">Pressupostos!$E$344</f>
        <v>2</v>
      </c>
      <c r="F478" s="64" t="n">
        <f aca="false">Pressupostos!$F$344</f>
        <v>2</v>
      </c>
      <c r="G478" s="64" t="n">
        <f aca="false">Pressupostos!$G$344</f>
        <v>2</v>
      </c>
      <c r="H478" s="2" t="s">
        <v>1316</v>
      </c>
    </row>
    <row r="479" customFormat="false" ht="15" hidden="false" customHeight="false" outlineLevel="1" collapsed="false">
      <c r="A479" s="7" t="s">
        <v>641</v>
      </c>
      <c r="B479" s="8" t="s">
        <v>432</v>
      </c>
      <c r="C479" s="64" t="n">
        <f aca="false">Pressupostos!$C$350</f>
        <v>1</v>
      </c>
      <c r="D479" s="64" t="n">
        <f aca="false">Pressupostos!$D$350</f>
        <v>1</v>
      </c>
      <c r="E479" s="64" t="n">
        <f aca="false">Pressupostos!$E$350</f>
        <v>1</v>
      </c>
      <c r="F479" s="64" t="n">
        <f aca="false">Pressupostos!$F$350</f>
        <v>1</v>
      </c>
      <c r="G479" s="64" t="n">
        <f aca="false">Pressupostos!$G$350</f>
        <v>1</v>
      </c>
      <c r="H479" s="2" t="s">
        <v>1317</v>
      </c>
    </row>
    <row r="480" customFormat="false" ht="15" hidden="false" customHeight="false" outlineLevel="1" collapsed="false">
      <c r="A480" s="7" t="s">
        <v>642</v>
      </c>
      <c r="B480" s="8" t="s">
        <v>432</v>
      </c>
      <c r="C480" s="64" t="n">
        <f aca="false">Pressupostos!$C$356</f>
        <v>0.5</v>
      </c>
      <c r="D480" s="64" t="n">
        <f aca="false">Pressupostos!$D$356</f>
        <v>1</v>
      </c>
      <c r="E480" s="64" t="n">
        <f aca="false">Pressupostos!$E$356</f>
        <v>1</v>
      </c>
      <c r="F480" s="64" t="n">
        <f aca="false">Pressupostos!$F$356</f>
        <v>1</v>
      </c>
      <c r="G480" s="64" t="n">
        <f aca="false">Pressupostos!$G$356</f>
        <v>1</v>
      </c>
      <c r="H480" s="2" t="s">
        <v>1318</v>
      </c>
    </row>
    <row r="481" customFormat="false" ht="15" hidden="false" customHeight="false" outlineLevel="1" collapsed="false">
      <c r="A481" s="7" t="s">
        <v>643</v>
      </c>
      <c r="B481" s="8" t="s">
        <v>432</v>
      </c>
      <c r="C481" s="64" t="n">
        <f aca="false">Pressupostos!$C$362</f>
        <v>1</v>
      </c>
      <c r="D481" s="64" t="n">
        <f aca="false">Pressupostos!$D$362</f>
        <v>1</v>
      </c>
      <c r="E481" s="64" t="n">
        <f aca="false">Pressupostos!$E$362</f>
        <v>1</v>
      </c>
      <c r="F481" s="64" t="n">
        <f aca="false">Pressupostos!$F$362</f>
        <v>2</v>
      </c>
      <c r="G481" s="64" t="n">
        <f aca="false">Pressupostos!$G$362</f>
        <v>2</v>
      </c>
      <c r="H481" s="2" t="s">
        <v>1319</v>
      </c>
    </row>
    <row r="482" customFormat="false" ht="15" hidden="false" customHeight="false" outlineLevel="1" collapsed="false">
      <c r="A482" s="7" t="s">
        <v>644</v>
      </c>
      <c r="B482" s="8" t="s">
        <v>432</v>
      </c>
      <c r="C482" s="64" t="n">
        <f aca="false">Pressupostos!$C$368</f>
        <v>0.5</v>
      </c>
      <c r="D482" s="64" t="n">
        <f aca="false">Pressupostos!$D$368</f>
        <v>1</v>
      </c>
      <c r="E482" s="64" t="n">
        <f aca="false">Pressupostos!$E$368</f>
        <v>1</v>
      </c>
      <c r="F482" s="64" t="n">
        <f aca="false">Pressupostos!$F$368</f>
        <v>1</v>
      </c>
      <c r="G482" s="64" t="n">
        <f aca="false">Pressupostos!$G$368</f>
        <v>1</v>
      </c>
      <c r="H482" s="2" t="s">
        <v>1320</v>
      </c>
    </row>
    <row r="483" customFormat="false" ht="15" hidden="false" customHeight="false" outlineLevel="1" collapsed="false">
      <c r="A483" s="7" t="s">
        <v>645</v>
      </c>
      <c r="B483" s="8" t="s">
        <v>432</v>
      </c>
      <c r="C483" s="64" t="n">
        <f aca="false">Pressupostos!$C$374</f>
        <v>1</v>
      </c>
      <c r="D483" s="64" t="n">
        <f aca="false">Pressupostos!$D$374</f>
        <v>1</v>
      </c>
      <c r="E483" s="64" t="n">
        <f aca="false">Pressupostos!$E$374</f>
        <v>2</v>
      </c>
      <c r="F483" s="64" t="n">
        <f aca="false">Pressupostos!$F$374</f>
        <v>3</v>
      </c>
      <c r="G483" s="64" t="n">
        <f aca="false">Pressupostos!$G$374</f>
        <v>5</v>
      </c>
      <c r="H483" s="2" t="s">
        <v>1321</v>
      </c>
    </row>
    <row r="484" customFormat="false" ht="15" hidden="false" customHeight="false" outlineLevel="1" collapsed="false">
      <c r="A484" s="7" t="s">
        <v>646</v>
      </c>
      <c r="B484" s="8" t="s">
        <v>432</v>
      </c>
      <c r="C484" s="64" t="n">
        <f aca="false">Pressupostos!$C$380</f>
        <v>0</v>
      </c>
      <c r="D484" s="64" t="n">
        <f aca="false">Pressupostos!$D$380</f>
        <v>0</v>
      </c>
      <c r="E484" s="64" t="n">
        <f aca="false">Pressupostos!$E$380</f>
        <v>0</v>
      </c>
      <c r="F484" s="64" t="n">
        <f aca="false">Pressupostos!$F$380</f>
        <v>1</v>
      </c>
      <c r="G484" s="64" t="n">
        <f aca="false">Pressupostos!$G$380</f>
        <v>1</v>
      </c>
      <c r="H484" s="2" t="s">
        <v>1322</v>
      </c>
    </row>
    <row r="485" customFormat="false" ht="15" hidden="false" customHeight="false" outlineLevel="1" collapsed="false">
      <c r="A485" s="7" t="s">
        <v>647</v>
      </c>
      <c r="B485" s="8" t="s">
        <v>432</v>
      </c>
      <c r="C485" s="64" t="n">
        <f aca="false">Pressupostos!$C$386</f>
        <v>0</v>
      </c>
      <c r="D485" s="64" t="n">
        <f aca="false">Pressupostos!$D$386</f>
        <v>0</v>
      </c>
      <c r="E485" s="64" t="n">
        <f aca="false">Pressupostos!$E$386</f>
        <v>0</v>
      </c>
      <c r="F485" s="64" t="n">
        <f aca="false">Pressupostos!$F$386</f>
        <v>0</v>
      </c>
      <c r="G485" s="64" t="n">
        <f aca="false">Pressupostos!$G$386</f>
        <v>1</v>
      </c>
      <c r="H485" s="2" t="s">
        <v>1323</v>
      </c>
    </row>
    <row r="486" customFormat="false" ht="15" hidden="false" customHeight="false" outlineLevel="1" collapsed="false">
      <c r="A486" s="7" t="s">
        <v>648</v>
      </c>
      <c r="B486" s="8" t="s">
        <v>432</v>
      </c>
      <c r="C486" s="64" t="n">
        <f aca="false">Pressupostos!$C$392</f>
        <v>0</v>
      </c>
      <c r="D486" s="64" t="n">
        <f aca="false">Pressupostos!$D$392</f>
        <v>0</v>
      </c>
      <c r="E486" s="64" t="n">
        <f aca="false">Pressupostos!$E$392</f>
        <v>1</v>
      </c>
      <c r="F486" s="64" t="n">
        <f aca="false">Pressupostos!$F$392</f>
        <v>1</v>
      </c>
      <c r="G486" s="64" t="n">
        <f aca="false">Pressupostos!$G$392</f>
        <v>1</v>
      </c>
      <c r="H486" s="2" t="s">
        <v>1324</v>
      </c>
    </row>
    <row r="487" customFormat="false" ht="15" hidden="false" customHeight="false" outlineLevel="1" collapsed="false">
      <c r="A487" s="7" t="s">
        <v>649</v>
      </c>
      <c r="B487" s="8" t="s">
        <v>432</v>
      </c>
      <c r="C487" s="64" t="n">
        <f aca="false">Pressupostos!$C$398</f>
        <v>0</v>
      </c>
      <c r="D487" s="64" t="n">
        <f aca="false">Pressupostos!$D$398</f>
        <v>0</v>
      </c>
      <c r="E487" s="64" t="n">
        <f aca="false">Pressupostos!$E$398</f>
        <v>0</v>
      </c>
      <c r="F487" s="64" t="n">
        <f aca="false">Pressupostos!$F$398</f>
        <v>0</v>
      </c>
      <c r="G487" s="64" t="n">
        <f aca="false">Pressupostos!$G$398</f>
        <v>0</v>
      </c>
      <c r="H487" s="2" t="s">
        <v>1325</v>
      </c>
    </row>
    <row r="488" customFormat="false" ht="15" hidden="false" customHeight="false" outlineLevel="1" collapsed="false">
      <c r="A488" s="56" t="s">
        <v>650</v>
      </c>
      <c r="B488" s="57" t="s">
        <v>432</v>
      </c>
      <c r="C488" s="65" t="n">
        <f aca="false">C476+C477+C478+C479+C480+C481+C482+C483+C484+C485+C486+C487</f>
        <v>7</v>
      </c>
      <c r="D488" s="65" t="n">
        <f aca="false">D476+D477+D478+D479+D480+D481+D482+D483+D484+D485+D486+D487</f>
        <v>8</v>
      </c>
      <c r="E488" s="65" t="n">
        <f aca="false">E476+E477+E478+E479+E480+E481+E482+E483+E484+E485+E486+E487</f>
        <v>11</v>
      </c>
      <c r="F488" s="65" t="n">
        <f aca="false">F476+F477+F478+F479+F480+F481+F482+F483+F484+F485+F486+F487</f>
        <v>14</v>
      </c>
      <c r="G488" s="65" t="n">
        <f aca="false">G476+G477+G478+G479+G480+G481+G482+G483+G484+G485+G486+G487</f>
        <v>17</v>
      </c>
      <c r="H488" s="2" t="s">
        <v>1326</v>
      </c>
    </row>
    <row r="489" customFormat="false" ht="15" hidden="false" customHeight="false" outlineLevel="0" collapsed="false">
      <c r="A489" s="3" t="s">
        <v>1327</v>
      </c>
      <c r="B489" s="4"/>
      <c r="C489" s="4"/>
      <c r="D489" s="4"/>
      <c r="E489" s="4"/>
      <c r="F489" s="4"/>
      <c r="G489" s="4"/>
      <c r="H489" s="4"/>
    </row>
    <row r="490" customFormat="false" ht="15" hidden="false" customHeight="false" outlineLevel="1" collapsed="false">
      <c r="A490" s="7" t="s">
        <v>638</v>
      </c>
      <c r="B490" s="8" t="s">
        <v>11</v>
      </c>
      <c r="C490" s="61" t="n">
        <f aca="false">C476*Pressupostos!$C$131*(1+Pressupostos!$C$127)^0*(1+Pressupostos!$C$132)*Pressupostos!$C$128</f>
        <v>43998</v>
      </c>
      <c r="D490" s="61" t="n">
        <f aca="false">D476*Pressupostos!$C$131*(1+Pressupostos!$C$127)^1*(1+Pressupostos!$C$132)</f>
        <v>61800</v>
      </c>
      <c r="E490" s="61" t="n">
        <f aca="false">E476*Pressupostos!$C$131*(1+Pressupostos!$C$127)^2*(1+Pressupostos!$C$132)</f>
        <v>63654</v>
      </c>
      <c r="F490" s="61" t="n">
        <f aca="false">F476*Pressupostos!$C$131*(1+Pressupostos!$C$127)^3*(1+Pressupostos!$C$132)</f>
        <v>65563.62</v>
      </c>
      <c r="G490" s="61" t="n">
        <f aca="false">G476*Pressupostos!$C$131*(1+Pressupostos!$C$127)^4*(1+Pressupostos!$C$132)</f>
        <v>67530.5286</v>
      </c>
      <c r="H490" s="2" t="s">
        <v>1328</v>
      </c>
    </row>
    <row r="491" customFormat="false" ht="15" hidden="false" customHeight="false" outlineLevel="1" collapsed="false">
      <c r="A491" s="7" t="s">
        <v>639</v>
      </c>
      <c r="B491" s="8" t="s">
        <v>11</v>
      </c>
      <c r="C491" s="61" t="n">
        <f aca="false">C477*Pressupostos!$C$133*(1+Pressupostos!$C$127)^0*(1+Pressupostos!$C$134)*Pressupostos!$C$128</f>
        <v>47664.5</v>
      </c>
      <c r="D491" s="61" t="n">
        <f aca="false">D477*Pressupostos!$C$133*(1+Pressupostos!$C$127)^1*(1+Pressupostos!$C$134)</f>
        <v>66950</v>
      </c>
      <c r="E491" s="61" t="n">
        <f aca="false">E477*Pressupostos!$C$133*(1+Pressupostos!$C$127)^2*(1+Pressupostos!$C$134)</f>
        <v>68958.5</v>
      </c>
      <c r="F491" s="61" t="n">
        <f aca="false">F477*Pressupostos!$C$133*(1+Pressupostos!$C$127)^3*(1+Pressupostos!$C$134)</f>
        <v>71027.255</v>
      </c>
      <c r="G491" s="61" t="n">
        <f aca="false">G477*Pressupostos!$C$133*(1+Pressupostos!$C$127)^4*(1+Pressupostos!$C$134)</f>
        <v>73158.07265</v>
      </c>
      <c r="H491" s="2" t="s">
        <v>1329</v>
      </c>
    </row>
    <row r="492" customFormat="false" ht="15" hidden="false" customHeight="false" outlineLevel="1" collapsed="false">
      <c r="A492" s="7" t="s">
        <v>640</v>
      </c>
      <c r="B492" s="8" t="s">
        <v>11</v>
      </c>
      <c r="C492" s="61" t="n">
        <f aca="false">C478*Pressupostos!$C$135*(1+Pressupostos!$C$127)^0*(1+Pressupostos!$C$136)</f>
        <v>45000</v>
      </c>
      <c r="D492" s="61" t="n">
        <f aca="false">D478*Pressupostos!$C$135*(1+Pressupostos!$C$127)^1*(1+Pressupostos!$C$136)</f>
        <v>46350</v>
      </c>
      <c r="E492" s="61" t="n">
        <f aca="false">E478*Pressupostos!$C$135*(1+Pressupostos!$C$127)^2*(1+Pressupostos!$C$136)</f>
        <v>95481</v>
      </c>
      <c r="F492" s="61" t="n">
        <f aca="false">F478*Pressupostos!$C$135*(1+Pressupostos!$C$127)^3*(1+Pressupostos!$C$136)</f>
        <v>98345.43</v>
      </c>
      <c r="G492" s="61" t="n">
        <f aca="false">G478*Pressupostos!$C$135*(1+Pressupostos!$C$127)^4*(1+Pressupostos!$C$136)</f>
        <v>101295.7929</v>
      </c>
      <c r="H492" s="2" t="s">
        <v>1330</v>
      </c>
    </row>
    <row r="493" customFormat="false" ht="15" hidden="false" customHeight="false" outlineLevel="1" collapsed="false">
      <c r="A493" s="7" t="s">
        <v>641</v>
      </c>
      <c r="B493" s="8" t="s">
        <v>11</v>
      </c>
      <c r="C493" s="61" t="n">
        <f aca="false">C479*Pressupostos!$C$137*(1+Pressupostos!$C$127)^0*(1+Pressupostos!$C$138)</f>
        <v>60000</v>
      </c>
      <c r="D493" s="61" t="n">
        <f aca="false">D479*Pressupostos!$C$137*(1+Pressupostos!$C$127)^1*(1+Pressupostos!$C$138)</f>
        <v>61800</v>
      </c>
      <c r="E493" s="61" t="n">
        <f aca="false">E479*Pressupostos!$C$137*(1+Pressupostos!$C$127)^2*(1+Pressupostos!$C$138)</f>
        <v>63654</v>
      </c>
      <c r="F493" s="61" t="n">
        <f aca="false">F479*Pressupostos!$C$137*(1+Pressupostos!$C$127)^3*(1+Pressupostos!$C$138)</f>
        <v>65563.62</v>
      </c>
      <c r="G493" s="61" t="n">
        <f aca="false">G479*Pressupostos!$C$137*(1+Pressupostos!$C$127)^4*(1+Pressupostos!$C$138)</f>
        <v>67530.5286</v>
      </c>
      <c r="H493" s="2" t="s">
        <v>1331</v>
      </c>
    </row>
    <row r="494" customFormat="false" ht="15" hidden="false" customHeight="false" outlineLevel="1" collapsed="false">
      <c r="A494" s="7" t="s">
        <v>642</v>
      </c>
      <c r="B494" s="8" t="s">
        <v>11</v>
      </c>
      <c r="C494" s="61" t="n">
        <f aca="false">C480*Pressupostos!$C$139*(1+Pressupostos!$C$127)^0*(1+Pressupostos!$C$140)</f>
        <v>22500</v>
      </c>
      <c r="D494" s="61" t="n">
        <f aca="false">D480*Pressupostos!$C$139*(1+Pressupostos!$C$127)^1*(1+Pressupostos!$C$140)</f>
        <v>46350</v>
      </c>
      <c r="E494" s="61" t="n">
        <f aca="false">E480*Pressupostos!$C$139*(1+Pressupostos!$C$127)^2*(1+Pressupostos!$C$140)</f>
        <v>47740.5</v>
      </c>
      <c r="F494" s="61" t="n">
        <f aca="false">F480*Pressupostos!$C$139*(1+Pressupostos!$C$127)^3*(1+Pressupostos!$C$140)</f>
        <v>49172.715</v>
      </c>
      <c r="G494" s="61" t="n">
        <f aca="false">G480*Pressupostos!$C$139*(1+Pressupostos!$C$127)^4*(1+Pressupostos!$C$140)</f>
        <v>50647.89645</v>
      </c>
      <c r="H494" s="2" t="s">
        <v>1332</v>
      </c>
    </row>
    <row r="495" customFormat="false" ht="15" hidden="false" customHeight="false" outlineLevel="1" collapsed="false">
      <c r="A495" s="7" t="s">
        <v>643</v>
      </c>
      <c r="B495" s="8" t="s">
        <v>11</v>
      </c>
      <c r="C495" s="61" t="n">
        <f aca="false">C481*Pressupostos!$C$141*(1+Pressupostos!$C$127)^0*(1+Pressupostos!$C$142)</f>
        <v>38000</v>
      </c>
      <c r="D495" s="61" t="n">
        <f aca="false">D481*Pressupostos!$C$141*(1+Pressupostos!$C$127)^1*(1+Pressupostos!$C$142)</f>
        <v>39140</v>
      </c>
      <c r="E495" s="61" t="n">
        <f aca="false">E481*Pressupostos!$C$141*(1+Pressupostos!$C$127)^2*(1+Pressupostos!$C$142)</f>
        <v>40314.2</v>
      </c>
      <c r="F495" s="61" t="n">
        <f aca="false">F481*Pressupostos!$C$141*(1+Pressupostos!$C$127)^3*(1+Pressupostos!$C$142)</f>
        <v>83047.252</v>
      </c>
      <c r="G495" s="61" t="n">
        <f aca="false">G481*Pressupostos!$C$141*(1+Pressupostos!$C$127)^4*(1+Pressupostos!$C$142)</f>
        <v>85538.66956</v>
      </c>
      <c r="H495" s="2" t="s">
        <v>1333</v>
      </c>
    </row>
    <row r="496" customFormat="false" ht="15" hidden="false" customHeight="false" outlineLevel="1" collapsed="false">
      <c r="A496" s="7" t="s">
        <v>644</v>
      </c>
      <c r="B496" s="8" t="s">
        <v>11</v>
      </c>
      <c r="C496" s="61" t="n">
        <f aca="false">C482*Pressupostos!$C$143*(1+Pressupostos!$C$127)^0*(1+Pressupostos!$C$144)</f>
        <v>16000</v>
      </c>
      <c r="D496" s="61" t="n">
        <f aca="false">D482*Pressupostos!$C$143*(1+Pressupostos!$C$127)^1*(1+Pressupostos!$C$144)</f>
        <v>32960</v>
      </c>
      <c r="E496" s="61" t="n">
        <f aca="false">E482*Pressupostos!$C$143*(1+Pressupostos!$C$127)^2*(1+Pressupostos!$C$144)</f>
        <v>33948.8</v>
      </c>
      <c r="F496" s="61" t="n">
        <f aca="false">F482*Pressupostos!$C$143*(1+Pressupostos!$C$127)^3*(1+Pressupostos!$C$144)</f>
        <v>34967.264</v>
      </c>
      <c r="G496" s="61" t="n">
        <f aca="false">G482*Pressupostos!$C$143*(1+Pressupostos!$C$127)^4*(1+Pressupostos!$C$144)</f>
        <v>36016.28192</v>
      </c>
      <c r="H496" s="2" t="s">
        <v>1334</v>
      </c>
    </row>
    <row r="497" customFormat="false" ht="15" hidden="false" customHeight="false" outlineLevel="1" collapsed="false">
      <c r="A497" s="7" t="s">
        <v>645</v>
      </c>
      <c r="B497" s="8" t="s">
        <v>11</v>
      </c>
      <c r="C497" s="61" t="n">
        <f aca="false">C483*Pressupostos!$C$145*(1+Pressupostos!$C$127)^0*(1+Pressupostos!$C$146)</f>
        <v>34500</v>
      </c>
      <c r="D497" s="61" t="n">
        <f aca="false">D483*Pressupostos!$C$145*(1+Pressupostos!$C$127)^1*(1+Pressupostos!$C$146)</f>
        <v>35535</v>
      </c>
      <c r="E497" s="61" t="n">
        <f aca="false">E483*Pressupostos!$C$145*(1+Pressupostos!$C$127)^2*(1+Pressupostos!$C$146)</f>
        <v>73202.1</v>
      </c>
      <c r="F497" s="61" t="n">
        <f aca="false">F483*Pressupostos!$C$145*(1+Pressupostos!$C$127)^3*(1+Pressupostos!$C$146)</f>
        <v>113097.2445</v>
      </c>
      <c r="G497" s="61" t="n">
        <f aca="false">G483*Pressupostos!$C$145*(1+Pressupostos!$C$127)^4*(1+Pressupostos!$C$146)</f>
        <v>194150.269725</v>
      </c>
      <c r="H497" s="2" t="s">
        <v>1335</v>
      </c>
    </row>
    <row r="498" customFormat="false" ht="15" hidden="false" customHeight="false" outlineLevel="1" collapsed="false">
      <c r="A498" s="7" t="s">
        <v>646</v>
      </c>
      <c r="B498" s="8" t="s">
        <v>11</v>
      </c>
      <c r="C498" s="61" t="n">
        <f aca="false">C484*Pressupostos!$C$147*(1+Pressupostos!$C$127)^0*(1+Pressupostos!$C$148)</f>
        <v>0</v>
      </c>
      <c r="D498" s="61" t="n">
        <f aca="false">D484*Pressupostos!$C$147*(1+Pressupostos!$C$127)^1*(1+Pressupostos!$C$148)</f>
        <v>0</v>
      </c>
      <c r="E498" s="61" t="n">
        <f aca="false">E484*Pressupostos!$C$147*(1+Pressupostos!$C$127)^2*(1+Pressupostos!$C$148)</f>
        <v>0</v>
      </c>
      <c r="F498" s="61" t="n">
        <f aca="false">F484*Pressupostos!$C$147*(1+Pressupostos!$C$127)^3*(1+Pressupostos!$C$148)</f>
        <v>49172.715</v>
      </c>
      <c r="G498" s="61" t="n">
        <f aca="false">G484*Pressupostos!$C$147*(1+Pressupostos!$C$127)^4*(1+Pressupostos!$C$148)</f>
        <v>50647.89645</v>
      </c>
      <c r="H498" s="2" t="s">
        <v>1336</v>
      </c>
    </row>
    <row r="499" customFormat="false" ht="15" hidden="false" customHeight="false" outlineLevel="1" collapsed="false">
      <c r="A499" s="7" t="s">
        <v>647</v>
      </c>
      <c r="B499" s="8" t="s">
        <v>11</v>
      </c>
      <c r="C499" s="61" t="n">
        <f aca="false">C485*Pressupostos!$C$149*(1+Pressupostos!$C$127)^0*(1+Pressupostos!$C$150)</f>
        <v>0</v>
      </c>
      <c r="D499" s="61" t="n">
        <f aca="false">D485*Pressupostos!$C$149*(1+Pressupostos!$C$127)^1*(1+Pressupostos!$C$150)</f>
        <v>0</v>
      </c>
      <c r="E499" s="61" t="n">
        <f aca="false">E485*Pressupostos!$C$149*(1+Pressupostos!$C$127)^2*(1+Pressupostos!$C$150)</f>
        <v>0</v>
      </c>
      <c r="F499" s="61" t="n">
        <f aca="false">F485*Pressupostos!$C$149*(1+Pressupostos!$C$127)^3*(1+Pressupostos!$C$150)</f>
        <v>0</v>
      </c>
      <c r="G499" s="61" t="n">
        <f aca="false">G485*Pressupostos!$C$149*(1+Pressupostos!$C$127)^4*(1+Pressupostos!$C$150)</f>
        <v>45020.3524</v>
      </c>
      <c r="H499" s="2" t="s">
        <v>1337</v>
      </c>
    </row>
    <row r="500" customFormat="false" ht="15" hidden="false" customHeight="false" outlineLevel="1" collapsed="false">
      <c r="A500" s="7" t="s">
        <v>648</v>
      </c>
      <c r="B500" s="8" t="s">
        <v>11</v>
      </c>
      <c r="C500" s="61" t="n">
        <f aca="false">C486*Pressupostos!$C$151*(1+Pressupostos!$C$127)^0*(1+Pressupostos!$C$152)</f>
        <v>0</v>
      </c>
      <c r="D500" s="61" t="n">
        <f aca="false">D486*Pressupostos!$C$151*(1+Pressupostos!$C$127)^1*(1+Pressupostos!$C$152)</f>
        <v>0</v>
      </c>
      <c r="E500" s="61" t="n">
        <f aca="false">E486*Pressupostos!$C$151*(1+Pressupostos!$C$127)^2*(1+Pressupostos!$C$152)</f>
        <v>25461.6</v>
      </c>
      <c r="F500" s="61" t="n">
        <f aca="false">F486*Pressupostos!$C$151*(1+Pressupostos!$C$127)^3*(1+Pressupostos!$C$152)</f>
        <v>26225.448</v>
      </c>
      <c r="G500" s="61" t="n">
        <f aca="false">G486*Pressupostos!$C$151*(1+Pressupostos!$C$127)^4*(1+Pressupostos!$C$152)</f>
        <v>27012.21144</v>
      </c>
      <c r="H500" s="2" t="s">
        <v>1338</v>
      </c>
    </row>
    <row r="501" customFormat="false" ht="15" hidden="false" customHeight="false" outlineLevel="1" collapsed="false">
      <c r="A501" s="7" t="s">
        <v>649</v>
      </c>
      <c r="B501" s="8" t="s">
        <v>11</v>
      </c>
      <c r="C501" s="61" t="n">
        <f aca="false">C487*Pressupostos!$C$153*(1+Pressupostos!$C$127)^0*(1+Pressupostos!$C$154)</f>
        <v>0</v>
      </c>
      <c r="D501" s="61" t="n">
        <f aca="false">D487*Pressupostos!$C$153*(1+Pressupostos!$C$127)^1*(1+Pressupostos!$C$154)</f>
        <v>0</v>
      </c>
      <c r="E501" s="61" t="n">
        <f aca="false">E487*Pressupostos!$C$153*(1+Pressupostos!$C$127)^2*(1+Pressupostos!$C$154)</f>
        <v>0</v>
      </c>
      <c r="F501" s="61" t="n">
        <f aca="false">F487*Pressupostos!$C$153*(1+Pressupostos!$C$127)^3*(1+Pressupostos!$C$154)</f>
        <v>0</v>
      </c>
      <c r="G501" s="61" t="n">
        <f aca="false">G487*Pressupostos!$C$153*(1+Pressupostos!$C$127)^4*(1+Pressupostos!$C$154)</f>
        <v>0</v>
      </c>
      <c r="H501" s="2" t="s">
        <v>1339</v>
      </c>
    </row>
    <row r="502" customFormat="false" ht="15" hidden="false" customHeight="false" outlineLevel="1" collapsed="false">
      <c r="A502" s="7" t="s">
        <v>652</v>
      </c>
      <c r="B502" s="8" t="s">
        <v>11</v>
      </c>
      <c r="C502" s="61" t="n">
        <f aca="false">C490+C491+C492+C493+C494+C495+C496+C497+C498+C499+C500+C501</f>
        <v>307662.5</v>
      </c>
      <c r="D502" s="61" t="n">
        <f aca="false">D490+D491+D492+D493+D494+D495+D496+D497+D498+D499+D500+D501</f>
        <v>390885</v>
      </c>
      <c r="E502" s="61" t="n">
        <f aca="false">E490+E491+E492+E493+E494+E495+E496+E497+E498+E499+E500+E501</f>
        <v>512414.7</v>
      </c>
      <c r="F502" s="61" t="n">
        <f aca="false">F490+F491+F492+F493+F494+F495+F496+F497+F498+F499+F500+F501</f>
        <v>656182.5635</v>
      </c>
      <c r="G502" s="61" t="n">
        <f aca="false">G490+G491+G492+G493+G494+G495+G496+G497+G498+G499+G500+G501</f>
        <v>798548.500695</v>
      </c>
      <c r="H502" s="2" t="s">
        <v>1340</v>
      </c>
    </row>
    <row r="503" customFormat="false" ht="15" hidden="false" customHeight="false" outlineLevel="1" collapsed="false">
      <c r="A503" s="7" t="s">
        <v>653</v>
      </c>
      <c r="B503" s="8" t="s">
        <v>11</v>
      </c>
      <c r="C503" s="61" t="n">
        <f aca="false">C502*(Pressupostos!$C$124+Pressupostos!$C$125)</f>
        <v>79223.09375</v>
      </c>
      <c r="D503" s="61" t="n">
        <f aca="false">D502*(Pressupostos!$C$124+Pressupostos!$C$125)</f>
        <v>100652.8875</v>
      </c>
      <c r="E503" s="61" t="n">
        <f aca="false">E502*(Pressupostos!$C$124+Pressupostos!$C$125)</f>
        <v>131946.78525</v>
      </c>
      <c r="F503" s="61" t="n">
        <f aca="false">F502*(Pressupostos!$C$124+Pressupostos!$C$125)</f>
        <v>168967.01010125</v>
      </c>
      <c r="G503" s="61" t="n">
        <f aca="false">G502*(Pressupostos!$C$124+Pressupostos!$C$125)</f>
        <v>205626.238928963</v>
      </c>
      <c r="H503" s="2" t="s">
        <v>1341</v>
      </c>
    </row>
    <row r="504" customFormat="false" ht="15" hidden="false" customHeight="false" outlineLevel="1" collapsed="false">
      <c r="A504" s="7" t="s">
        <v>654</v>
      </c>
      <c r="B504" s="8" t="s">
        <v>11</v>
      </c>
      <c r="C504" s="61" t="n">
        <f aca="false">C488*Pressupostos!$C$126*(1+Pressupostos!$C$127)^0</f>
        <v>14000</v>
      </c>
      <c r="D504" s="61" t="n">
        <f aca="false">D488*Pressupostos!$C$126*(1+Pressupostos!$C$127)^1</f>
        <v>16480</v>
      </c>
      <c r="E504" s="61" t="n">
        <f aca="false">E488*Pressupostos!$C$126*(1+Pressupostos!$C$127)^2</f>
        <v>23339.8</v>
      </c>
      <c r="F504" s="61" t="n">
        <f aca="false">F488*Pressupostos!$C$126*(1+Pressupostos!$C$127)^3</f>
        <v>30596.356</v>
      </c>
      <c r="G504" s="61" t="n">
        <f aca="false">G488*Pressupostos!$C$126*(1+Pressupostos!$C$127)^4</f>
        <v>38267.29954</v>
      </c>
      <c r="H504" s="2" t="s">
        <v>1342</v>
      </c>
    </row>
    <row r="505" customFormat="false" ht="15" hidden="false" customHeight="false" outlineLevel="1" collapsed="false">
      <c r="A505" s="56" t="s">
        <v>655</v>
      </c>
      <c r="B505" s="57" t="s">
        <v>11</v>
      </c>
      <c r="C505" s="62" t="n">
        <f aca="false">C502+C503+C504</f>
        <v>400885.59375</v>
      </c>
      <c r="D505" s="62" t="n">
        <f aca="false">D502+D503+D504</f>
        <v>508017.8875</v>
      </c>
      <c r="E505" s="62" t="n">
        <f aca="false">E502+E503+E504</f>
        <v>667701.28525</v>
      </c>
      <c r="F505" s="62" t="n">
        <f aca="false">F502+F503+F504</f>
        <v>855745.92960125</v>
      </c>
      <c r="G505" s="62" t="n">
        <f aca="false">G502+G503+G504</f>
        <v>1042442.03916396</v>
      </c>
      <c r="H505" s="2" t="s">
        <v>1343</v>
      </c>
    </row>
    <row r="506" customFormat="false" ht="15" hidden="false" customHeight="false" outlineLevel="1" collapsed="false">
      <c r="A506" s="2" t="s">
        <v>656</v>
      </c>
      <c r="B506" s="8" t="s">
        <v>11</v>
      </c>
      <c r="C506" s="61" t="n">
        <f aca="false">IF(C488&gt;0,C505/C488,0)</f>
        <v>57269.3705357143</v>
      </c>
      <c r="D506" s="61" t="n">
        <f aca="false">IF(D488&gt;0,D505/D488,0)</f>
        <v>63502.2359375</v>
      </c>
      <c r="E506" s="61" t="n">
        <f aca="false">IF(E488&gt;0,E505/E488,0)</f>
        <v>60700.1168409091</v>
      </c>
      <c r="F506" s="61" t="n">
        <f aca="false">IF(F488&gt;0,F505/F488,0)</f>
        <v>61124.7092572321</v>
      </c>
      <c r="G506" s="61" t="n">
        <f aca="false">IF(G488&gt;0,G505/G488,0)</f>
        <v>61320.1199508213</v>
      </c>
      <c r="H506" s="2" t="s">
        <v>1344</v>
      </c>
    </row>
    <row r="507" customFormat="false" ht="15" hidden="false" customHeight="false" outlineLevel="0" collapsed="false">
      <c r="A507" s="3" t="s">
        <v>1345</v>
      </c>
      <c r="B507" s="4"/>
      <c r="C507" s="4"/>
      <c r="D507" s="4"/>
      <c r="E507" s="4"/>
      <c r="F507" s="4"/>
      <c r="G507" s="4"/>
      <c r="H507" s="4"/>
    </row>
    <row r="508" customFormat="false" ht="15" hidden="false" customHeight="false" outlineLevel="1" collapsed="false">
      <c r="A508" s="7" t="s">
        <v>449</v>
      </c>
      <c r="B508" s="8" t="s">
        <v>11</v>
      </c>
      <c r="C508" s="61" t="n">
        <f aca="false">Pressupostos!$C$405*(1+Pressupostos!$C$156)*(1+Pressupostos!$C$157)^0</f>
        <v>94500</v>
      </c>
      <c r="D508" s="61" t="n">
        <f aca="false">Pressupostos!$D$405*(1+Pressupostos!$C$156)*(1+Pressupostos!$C$157)^1</f>
        <v>53550</v>
      </c>
      <c r="E508" s="61" t="n">
        <f aca="false">Pressupostos!$E$405*(1+Pressupostos!$C$156)*(1+Pressupostos!$C$157)^2</f>
        <v>49158.9</v>
      </c>
      <c r="F508" s="61" t="n">
        <f aca="false">Pressupostos!$F$405*(1+Pressupostos!$C$156)*(1+Pressupostos!$C$157)^3</f>
        <v>50142.078</v>
      </c>
      <c r="G508" s="61" t="n">
        <f aca="false">Pressupostos!$G$405*(1+Pressupostos!$C$156)*(1+Pressupostos!$C$157)^4</f>
        <v>51144.91956</v>
      </c>
      <c r="H508" s="2" t="s">
        <v>1346</v>
      </c>
    </row>
    <row r="509" customFormat="false" ht="15" hidden="false" customHeight="false" outlineLevel="1" collapsed="false">
      <c r="A509" s="7" t="s">
        <v>451</v>
      </c>
      <c r="B509" s="8" t="s">
        <v>11</v>
      </c>
      <c r="C509" s="61" t="n">
        <f aca="false">Pressupostos!$C$411*(1+Pressupostos!$C$156)*(1+Pressupostos!$C$157)^0</f>
        <v>10500</v>
      </c>
      <c r="D509" s="61" t="n">
        <f aca="false">Pressupostos!$D$411*(1+Pressupostos!$C$156)*(1+Pressupostos!$C$157)^1</f>
        <v>10710</v>
      </c>
      <c r="E509" s="61" t="n">
        <f aca="false">Pressupostos!$E$411*(1+Pressupostos!$C$156)*(1+Pressupostos!$C$157)^2</f>
        <v>10924.2</v>
      </c>
      <c r="F509" s="61" t="n">
        <f aca="false">Pressupostos!$F$411*(1+Pressupostos!$C$156)*(1+Pressupostos!$C$157)^3</f>
        <v>11142.684</v>
      </c>
      <c r="G509" s="61" t="n">
        <f aca="false">Pressupostos!$G$411*(1+Pressupostos!$C$156)*(1+Pressupostos!$C$157)^4</f>
        <v>11365.53768</v>
      </c>
      <c r="H509" s="2" t="s">
        <v>1347</v>
      </c>
    </row>
    <row r="510" customFormat="false" ht="15" hidden="false" customHeight="false" outlineLevel="1" collapsed="false">
      <c r="A510" s="7" t="s">
        <v>452</v>
      </c>
      <c r="B510" s="8" t="s">
        <v>11</v>
      </c>
      <c r="C510" s="61" t="n">
        <f aca="false">Pressupostos!$C$417*(1+Pressupostos!$C$156)*(1+Pressupostos!$C$157)^0</f>
        <v>12600</v>
      </c>
      <c r="D510" s="61" t="n">
        <f aca="false">Pressupostos!$D$417*(1+Pressupostos!$C$156)*(1+Pressupostos!$C$157)^1</f>
        <v>12852</v>
      </c>
      <c r="E510" s="61" t="n">
        <f aca="false">Pressupostos!$E$417*(1+Pressupostos!$C$156)*(1+Pressupostos!$C$157)^2</f>
        <v>13109.04</v>
      </c>
      <c r="F510" s="61" t="n">
        <f aca="false">Pressupostos!$F$417*(1+Pressupostos!$C$156)*(1+Pressupostos!$C$157)^3</f>
        <v>0</v>
      </c>
      <c r="G510" s="61" t="n">
        <f aca="false">Pressupostos!$G$417*(1+Pressupostos!$C$156)*(1+Pressupostos!$C$157)^4</f>
        <v>0</v>
      </c>
      <c r="H510" s="2" t="s">
        <v>1348</v>
      </c>
    </row>
    <row r="511" customFormat="false" ht="15" hidden="false" customHeight="false" outlineLevel="1" collapsed="false">
      <c r="A511" s="7" t="s">
        <v>454</v>
      </c>
      <c r="B511" s="8" t="s">
        <v>11</v>
      </c>
      <c r="C511" s="61" t="n">
        <f aca="false">Pressupostos!$C$423*(1+Pressupostos!$C$156)*(1+Pressupostos!$C$157)^0</f>
        <v>31500</v>
      </c>
      <c r="D511" s="61" t="n">
        <f aca="false">Pressupostos!$D$423*(1+Pressupostos!$C$156)*(1+Pressupostos!$C$157)^1</f>
        <v>42840</v>
      </c>
      <c r="E511" s="61" t="n">
        <f aca="false">Pressupostos!$E$423*(1+Pressupostos!$C$156)*(1+Pressupostos!$C$157)^2</f>
        <v>60083.1</v>
      </c>
      <c r="F511" s="61" t="n">
        <f aca="false">Pressupostos!$F$423*(1+Pressupostos!$C$156)*(1+Pressupostos!$C$157)^3</f>
        <v>77998.788</v>
      </c>
      <c r="G511" s="61" t="n">
        <f aca="false">Pressupostos!$G$423*(1+Pressupostos!$C$156)*(1+Pressupostos!$C$157)^4</f>
        <v>96607.07028</v>
      </c>
      <c r="H511" s="2" t="s">
        <v>1349</v>
      </c>
    </row>
    <row r="512" customFormat="false" ht="15" hidden="false" customHeight="false" outlineLevel="1" collapsed="false">
      <c r="A512" s="7" t="s">
        <v>456</v>
      </c>
      <c r="B512" s="8" t="s">
        <v>11</v>
      </c>
      <c r="C512" s="61" t="n">
        <f aca="false">Pressupostos!$C$429*(1+Pressupostos!$C$156)*(1+Pressupostos!$C$157)^0</f>
        <v>15750</v>
      </c>
      <c r="D512" s="61" t="n">
        <f aca="false">Pressupostos!$D$429*(1+Pressupostos!$C$156)*(1+Pressupostos!$C$157)^1</f>
        <v>16065</v>
      </c>
      <c r="E512" s="61" t="n">
        <f aca="false">Pressupostos!$E$429*(1+Pressupostos!$C$156)*(1+Pressupostos!$C$157)^2</f>
        <v>38234.7</v>
      </c>
      <c r="F512" s="61" t="n">
        <f aca="false">Pressupostos!$F$429*(1+Pressupostos!$C$156)*(1+Pressupostos!$C$157)^3</f>
        <v>22285.368</v>
      </c>
      <c r="G512" s="61" t="n">
        <f aca="false">Pressupostos!$G$429*(1+Pressupostos!$C$156)*(1+Pressupostos!$C$157)^4</f>
        <v>22731.07536</v>
      </c>
      <c r="H512" s="2" t="s">
        <v>1350</v>
      </c>
    </row>
    <row r="513" customFormat="false" ht="15" hidden="false" customHeight="false" outlineLevel="1" collapsed="false">
      <c r="A513" s="7" t="s">
        <v>458</v>
      </c>
      <c r="B513" s="8" t="s">
        <v>11</v>
      </c>
      <c r="C513" s="61" t="n">
        <f aca="false">Pressupostos!$C$435*(1+Pressupostos!$C$156)*(1+Pressupostos!$C$157)^0</f>
        <v>10500</v>
      </c>
      <c r="D513" s="61" t="n">
        <f aca="false">Pressupostos!$D$435*(1+Pressupostos!$C$156)*(1+Pressupostos!$C$157)^1</f>
        <v>12852</v>
      </c>
      <c r="E513" s="61" t="n">
        <f aca="false">Pressupostos!$E$435*(1+Pressupostos!$C$156)*(1+Pressupostos!$C$157)^2</f>
        <v>16386.3</v>
      </c>
      <c r="F513" s="61" t="n">
        <f aca="false">Pressupostos!$F$435*(1+Pressupostos!$C$156)*(1+Pressupostos!$C$157)^3</f>
        <v>20056.8312</v>
      </c>
      <c r="G513" s="61" t="n">
        <f aca="false">Pressupostos!$G$435*(1+Pressupostos!$C$156)*(1+Pressupostos!$C$157)^4</f>
        <v>22731.07536</v>
      </c>
      <c r="H513" s="2" t="s">
        <v>1351</v>
      </c>
    </row>
    <row r="514" customFormat="false" ht="15" hidden="false" customHeight="false" outlineLevel="1" collapsed="false">
      <c r="A514" s="7" t="s">
        <v>459</v>
      </c>
      <c r="B514" s="8" t="s">
        <v>11</v>
      </c>
      <c r="C514" s="61" t="n">
        <f aca="false">Pressupostos!$C$441*(1+Pressupostos!$C$156)*(1+Pressupostos!$C$157)^0</f>
        <v>42000</v>
      </c>
      <c r="D514" s="61" t="n">
        <f aca="false">Pressupostos!$D$441*(1+Pressupostos!$C$156)*(1+Pressupostos!$C$157)^1</f>
        <v>53550</v>
      </c>
      <c r="E514" s="61" t="n">
        <f aca="false">Pressupostos!$E$441*(1+Pressupostos!$C$156)*(1+Pressupostos!$C$157)^2</f>
        <v>76469.4</v>
      </c>
      <c r="F514" s="61" t="n">
        <f aca="false">Pressupostos!$F$441*(1+Pressupostos!$C$156)*(1+Pressupostos!$C$157)^3</f>
        <v>100284.156</v>
      </c>
      <c r="G514" s="61" t="n">
        <f aca="false">Pressupostos!$G$441*(1+Pressupostos!$C$156)*(1+Pressupostos!$C$157)^4</f>
        <v>125020.91448</v>
      </c>
      <c r="H514" s="2" t="s">
        <v>1352</v>
      </c>
    </row>
    <row r="515" customFormat="false" ht="15" hidden="false" customHeight="false" outlineLevel="1" collapsed="false">
      <c r="A515" s="7" t="s">
        <v>461</v>
      </c>
      <c r="B515" s="8" t="s">
        <v>11</v>
      </c>
      <c r="C515" s="61" t="n">
        <f aca="false">Pressupostos!$C$447*(1+Pressupostos!$C$156)*(1+Pressupostos!$C$157)^0</f>
        <v>12600</v>
      </c>
      <c r="D515" s="61" t="n">
        <f aca="false">Pressupostos!$D$447*(1+Pressupostos!$C$156)*(1+Pressupostos!$C$157)^1</f>
        <v>16065</v>
      </c>
      <c r="E515" s="61" t="n">
        <f aca="false">Pressupostos!$E$447*(1+Pressupostos!$C$156)*(1+Pressupostos!$C$157)^2</f>
        <v>26218.08</v>
      </c>
      <c r="F515" s="61" t="n">
        <f aca="false">Pressupostos!$F$447*(1+Pressupostos!$C$156)*(1+Pressupostos!$C$157)^3</f>
        <v>33428.052</v>
      </c>
      <c r="G515" s="61" t="n">
        <f aca="false">Pressupostos!$G$447*(1+Pressupostos!$C$156)*(1+Pressupostos!$C$157)^4</f>
        <v>40915.935648</v>
      </c>
      <c r="H515" s="2" t="s">
        <v>1353</v>
      </c>
    </row>
    <row r="516" customFormat="false" ht="15" hidden="false" customHeight="false" outlineLevel="1" collapsed="false">
      <c r="A516" s="7" t="s">
        <v>463</v>
      </c>
      <c r="B516" s="8" t="s">
        <v>11</v>
      </c>
      <c r="C516" s="61" t="n">
        <f aca="false">Pressupostos!$C$453*(1+Pressupostos!$C$156)*(1+Pressupostos!$C$157)^0</f>
        <v>18900</v>
      </c>
      <c r="D516" s="61" t="n">
        <f aca="false">Pressupostos!$D$453*(1+Pressupostos!$C$156)*(1+Pressupostos!$C$157)^1</f>
        <v>23562</v>
      </c>
      <c r="E516" s="61" t="n">
        <f aca="false">Pressupostos!$E$453*(1+Pressupostos!$C$156)*(1+Pressupostos!$C$157)^2</f>
        <v>32772.6</v>
      </c>
      <c r="F516" s="61" t="n">
        <f aca="false">Pressupostos!$F$453*(1+Pressupostos!$C$156)*(1+Pressupostos!$C$157)^3</f>
        <v>42342.1992</v>
      </c>
      <c r="G516" s="61" t="n">
        <f aca="false">Pressupostos!$G$453*(1+Pressupostos!$C$156)*(1+Pressupostos!$C$157)^4</f>
        <v>51144.91956</v>
      </c>
      <c r="H516" s="2" t="s">
        <v>1354</v>
      </c>
    </row>
    <row r="517" customFormat="false" ht="15" hidden="false" customHeight="false" outlineLevel="1" collapsed="false">
      <c r="A517" s="7" t="s">
        <v>464</v>
      </c>
      <c r="B517" s="8" t="s">
        <v>11</v>
      </c>
      <c r="C517" s="61" t="n">
        <f aca="false">Pressupostos!$C$459*(1+Pressupostos!$C$156)*(1+Pressupostos!$C$157)^0</f>
        <v>5250</v>
      </c>
      <c r="D517" s="61" t="n">
        <f aca="false">Pressupostos!$D$459*(1+Pressupostos!$C$156)*(1+Pressupostos!$C$157)^1</f>
        <v>8568</v>
      </c>
      <c r="E517" s="61" t="n">
        <f aca="false">Pressupostos!$E$459*(1+Pressupostos!$C$156)*(1+Pressupostos!$C$157)^2</f>
        <v>13109.04</v>
      </c>
      <c r="F517" s="61" t="n">
        <f aca="false">Pressupostos!$F$459*(1+Pressupostos!$C$156)*(1+Pressupostos!$C$157)^3</f>
        <v>16714.026</v>
      </c>
      <c r="G517" s="61" t="n">
        <f aca="false">Pressupostos!$G$459*(1+Pressupostos!$C$156)*(1+Pressupostos!$C$157)^4</f>
        <v>17048.30652</v>
      </c>
      <c r="H517" s="2" t="s">
        <v>1355</v>
      </c>
    </row>
    <row r="518" customFormat="false" ht="15" hidden="false" customHeight="false" outlineLevel="1" collapsed="false">
      <c r="A518" s="7" t="s">
        <v>701</v>
      </c>
      <c r="B518" s="8" t="s">
        <v>11</v>
      </c>
      <c r="C518" s="61" t="n">
        <f aca="false">C508+C509+C510+C511+C512+C513+C514+C515+C516+C517</f>
        <v>254100</v>
      </c>
      <c r="D518" s="61" t="n">
        <f aca="false">D508+D509+D510+D511+D512+D513+D514+D515+D516+D517</f>
        <v>250614</v>
      </c>
      <c r="E518" s="61" t="n">
        <f aca="false">E508+E509+E510+E511+E512+E513+E514+E515+E516+E517</f>
        <v>336465.36</v>
      </c>
      <c r="F518" s="61" t="n">
        <f aca="false">F508+F509+F510+F511+F512+F513+F514+F515+F516+F517</f>
        <v>374394.1824</v>
      </c>
      <c r="G518" s="61" t="n">
        <f aca="false">G508+G509+G510+G511+G512+G513+G514+G515+G516+G517</f>
        <v>438709.754448</v>
      </c>
      <c r="H518" s="2" t="s">
        <v>1356</v>
      </c>
    </row>
    <row r="519" customFormat="false" ht="15" hidden="false" customHeight="false" outlineLevel="1" collapsed="false">
      <c r="A519" s="7" t="s">
        <v>702</v>
      </c>
      <c r="B519" s="8" t="s">
        <v>11</v>
      </c>
      <c r="C519" s="61" t="n">
        <f aca="false">Pressupostos!$C$114+Pressupostos!$C$115+Pressupostos!$C$116*Pressupostos!$C$294+Pressupostos!$C$466+Pressupostos!$C$306</f>
        <v>65000</v>
      </c>
      <c r="D519" s="61" t="n">
        <f aca="false">Pressupostos!$C$115+Pressupostos!$C$116*Pressupostos!$D$294+Pressupostos!$D$466+Pressupostos!$D$306</f>
        <v>65000</v>
      </c>
      <c r="E519" s="61" t="n">
        <f aca="false">Pressupostos!$C$115+Pressupostos!$C$116*Pressupostos!$E$294+Pressupostos!$E$466+Pressupostos!$E$306</f>
        <v>70000</v>
      </c>
      <c r="F519" s="61" t="n">
        <f aca="false">Pressupostos!$C$115+Pressupostos!$C$116*Pressupostos!$F$294+Pressupostos!$F$466+Pressupostos!$F$306</f>
        <v>75000</v>
      </c>
      <c r="G519" s="61" t="n">
        <f aca="false">Pressupostos!$C$115+Pressupostos!$C$116*Pressupostos!$G$294+Pressupostos!$G$466+Pressupostos!$G$306</f>
        <v>80000</v>
      </c>
      <c r="H519" s="2" t="s">
        <v>1357</v>
      </c>
    </row>
    <row r="520" customFormat="false" ht="15" hidden="false" customHeight="false" outlineLevel="1" collapsed="false">
      <c r="A520" s="7" t="s">
        <v>703</v>
      </c>
      <c r="B520" s="8" t="s">
        <v>11</v>
      </c>
      <c r="C520" s="61" t="n">
        <f aca="false">IF(C332&lt;Pressupostos!$C$120,0,MAX(Pressupostos!$C$300,Pressupostos!$C$118*(C426+C427)+Pressupostos!$C$119*C428))</f>
        <v>0</v>
      </c>
      <c r="D520" s="61" t="n">
        <f aca="false">IF(D332&lt;Pressupostos!$C$120,0,MAX(Pressupostos!$D$300,Pressupostos!$C$118*(D426+D427)+Pressupostos!$C$119*D428))</f>
        <v>7068.78</v>
      </c>
      <c r="E520" s="61" t="n">
        <f aca="false">IF(E332&lt;Pressupostos!$C$120,0,MAX(Pressupostos!$E$300,Pressupostos!$C$118*(E426+E427)+Pressupostos!$C$119*E428))</f>
        <v>15181.02</v>
      </c>
      <c r="F520" s="61" t="n">
        <f aca="false">IF(F332&lt;Pressupostos!$C$120,0,MAX(Pressupostos!$F$300,Pressupostos!$C$118*(F426+F427)+Pressupostos!$C$119*F428))</f>
        <v>26014.98</v>
      </c>
      <c r="G520" s="61" t="n">
        <f aca="false">IF(G332&lt;Pressupostos!$C$120,0,MAX(Pressupostos!$G$300,Pressupostos!$C$118*(G426+G427)+Pressupostos!$C$119*G428))</f>
        <v>39485.4</v>
      </c>
      <c r="H520" s="2" t="s">
        <v>1358</v>
      </c>
    </row>
    <row r="521" customFormat="false" ht="15" hidden="false" customHeight="false" outlineLevel="1" collapsed="false">
      <c r="A521" s="56" t="s">
        <v>704</v>
      </c>
      <c r="B521" s="57" t="s">
        <v>11</v>
      </c>
      <c r="C521" s="62" t="n">
        <f aca="false">C518+C519+C520</f>
        <v>319100</v>
      </c>
      <c r="D521" s="62" t="n">
        <f aca="false">D518+D519+D520</f>
        <v>322682.78</v>
      </c>
      <c r="E521" s="62" t="n">
        <f aca="false">E518+E519+E520</f>
        <v>421646.38</v>
      </c>
      <c r="F521" s="62" t="n">
        <f aca="false">F518+F519+F520</f>
        <v>475409.1624</v>
      </c>
      <c r="G521" s="62" t="n">
        <f aca="false">G518+G519+G520</f>
        <v>558195.154448</v>
      </c>
      <c r="H521" s="2" t="s">
        <v>1359</v>
      </c>
    </row>
    <row r="522" customFormat="false" ht="15" hidden="false" customHeight="false" outlineLevel="0" collapsed="false">
      <c r="A522" s="3" t="s">
        <v>1360</v>
      </c>
      <c r="B522" s="4"/>
      <c r="C522" s="4"/>
      <c r="D522" s="4"/>
      <c r="E522" s="4"/>
      <c r="F522" s="4"/>
      <c r="G522" s="4"/>
      <c r="H522" s="4"/>
    </row>
    <row r="523" customFormat="false" ht="15" hidden="false" customHeight="false" outlineLevel="1" collapsed="false">
      <c r="A523" s="7" t="s">
        <v>706</v>
      </c>
      <c r="B523" s="8" t="s">
        <v>11</v>
      </c>
      <c r="C523" s="61" t="n">
        <f aca="false">Pressupostos!$C$165*Pressupostos!$C$313</f>
        <v>18000</v>
      </c>
      <c r="D523" s="61" t="n">
        <f aca="false">Pressupostos!$C$165*Pressupostos!$D$313</f>
        <v>12000</v>
      </c>
      <c r="E523" s="61" t="n">
        <f aca="false">Pressupostos!$C$165*Pressupostos!$E$313</f>
        <v>12000</v>
      </c>
      <c r="F523" s="61" t="n">
        <f aca="false">Pressupostos!$C$165*Pressupostos!$F$313</f>
        <v>12000</v>
      </c>
      <c r="G523" s="61" t="n">
        <f aca="false">Pressupostos!$C$165*Pressupostos!$G$313</f>
        <v>12000</v>
      </c>
      <c r="H523" s="2" t="s">
        <v>1361</v>
      </c>
    </row>
    <row r="524" customFormat="false" ht="15" hidden="false" customHeight="false" outlineLevel="1" collapsed="false">
      <c r="A524" s="7" t="s">
        <v>707</v>
      </c>
      <c r="B524" s="8" t="s">
        <v>11</v>
      </c>
      <c r="C524" s="53" t="n">
        <f aca="false">Pressupostos!$C$319</f>
        <v>60000</v>
      </c>
      <c r="D524" s="53" t="n">
        <f aca="false">Pressupostos!$D$319</f>
        <v>15000</v>
      </c>
      <c r="E524" s="53" t="n">
        <f aca="false">Pressupostos!$E$319</f>
        <v>15000</v>
      </c>
      <c r="F524" s="53" t="n">
        <f aca="false">Pressupostos!$F$319</f>
        <v>10000</v>
      </c>
      <c r="G524" s="53" t="n">
        <f aca="false">Pressupostos!$G$319</f>
        <v>10000</v>
      </c>
      <c r="H524" s="2" t="s">
        <v>1362</v>
      </c>
    </row>
    <row r="525" customFormat="false" ht="15" hidden="false" customHeight="false" outlineLevel="1" collapsed="false">
      <c r="A525" s="7" t="s">
        <v>708</v>
      </c>
      <c r="B525" s="8" t="s">
        <v>11</v>
      </c>
      <c r="C525" s="53" t="n">
        <f aca="false">Pressupostos!$C$325</f>
        <v>0</v>
      </c>
      <c r="D525" s="53" t="n">
        <f aca="false">Pressupostos!$D$325</f>
        <v>15000</v>
      </c>
      <c r="E525" s="53" t="n">
        <f aca="false">Pressupostos!$E$325</f>
        <v>15000</v>
      </c>
      <c r="F525" s="53" t="n">
        <f aca="false">Pressupostos!$F$325</f>
        <v>10000</v>
      </c>
      <c r="G525" s="53" t="n">
        <f aca="false">Pressupostos!$G$325</f>
        <v>10000</v>
      </c>
      <c r="H525" s="2" t="s">
        <v>1363</v>
      </c>
    </row>
    <row r="526" customFormat="false" ht="15" hidden="false" customHeight="false" outlineLevel="1" collapsed="false">
      <c r="A526" s="7" t="s">
        <v>709</v>
      </c>
      <c r="B526" s="8" t="s">
        <v>11</v>
      </c>
      <c r="C526" s="61" t="n">
        <f aca="false">Pressupostos!$C$166*MAX(0,C488)</f>
        <v>14000</v>
      </c>
      <c r="D526" s="61" t="n">
        <f aca="false">Pressupostos!$C$166*MAX(0,D488-C488)</f>
        <v>2000</v>
      </c>
      <c r="E526" s="61" t="n">
        <f aca="false">Pressupostos!$C$166*MAX(0,E488-D488)</f>
        <v>6000</v>
      </c>
      <c r="F526" s="61" t="n">
        <f aca="false">Pressupostos!$C$166*MAX(0,F488-E488)</f>
        <v>6000</v>
      </c>
      <c r="G526" s="61" t="n">
        <f aca="false">Pressupostos!$C$166*MAX(0,G488-F488)</f>
        <v>6000</v>
      </c>
      <c r="H526" s="2" t="s">
        <v>1364</v>
      </c>
    </row>
    <row r="527" customFormat="false" ht="15" hidden="false" customHeight="false" outlineLevel="1" collapsed="false">
      <c r="A527" s="7" t="s">
        <v>424</v>
      </c>
      <c r="B527" s="8" t="s">
        <v>11</v>
      </c>
      <c r="C527" s="61" t="n">
        <f aca="false">C523+C524+C525+C526</f>
        <v>92000</v>
      </c>
      <c r="D527" s="61" t="n">
        <f aca="false">D523+D524+D525+D526</f>
        <v>44000</v>
      </c>
      <c r="E527" s="61" t="n">
        <f aca="false">E523+E524+E525+E526</f>
        <v>48000</v>
      </c>
      <c r="F527" s="61" t="n">
        <f aca="false">F523+F524+F525+F526</f>
        <v>38000</v>
      </c>
      <c r="G527" s="61" t="n">
        <f aca="false">G523+G524+G525+G526</f>
        <v>38000</v>
      </c>
      <c r="H527" s="2" t="s">
        <v>1365</v>
      </c>
    </row>
    <row r="528" customFormat="false" ht="15" hidden="false" customHeight="false" outlineLevel="1" collapsed="false">
      <c r="A528" s="7" t="s">
        <v>710</v>
      </c>
      <c r="B528" s="8" t="s">
        <v>11</v>
      </c>
      <c r="C528" s="61" t="n">
        <f aca="false">(C524*((0)&lt;Pressupostos!$C$167))/Pressupostos!$C$167</f>
        <v>20000</v>
      </c>
      <c r="D528" s="61" t="n">
        <f aca="false">(C524*((1)&lt;Pressupostos!$C$167)+D524*((0)&lt;Pressupostos!$C$167))/Pressupostos!$C$167</f>
        <v>25000</v>
      </c>
      <c r="E528" s="61" t="n">
        <f aca="false">(C524*((2)&lt;Pressupostos!$C$167)+D524*((1)&lt;Pressupostos!$C$167)+E524*((0)&lt;Pressupostos!$C$167))/Pressupostos!$C$167</f>
        <v>30000</v>
      </c>
      <c r="F528" s="61" t="n">
        <f aca="false">(C524*((3)&lt;Pressupostos!$C$167)+D524*((2)&lt;Pressupostos!$C$167)+E524*((1)&lt;Pressupostos!$C$167)+F524*((0)&lt;Pressupostos!$C$167))/Pressupostos!$C$167</f>
        <v>13333.3333333333</v>
      </c>
      <c r="G528" s="61" t="n">
        <f aca="false">(C524*((4)&lt;Pressupostos!$C$167)+D524*((3)&lt;Pressupostos!$C$167)+E524*((2)&lt;Pressupostos!$C$167)+F524*((1)&lt;Pressupostos!$C$167)+G524*((0)&lt;Pressupostos!$C$167))/Pressupostos!$C$167</f>
        <v>11666.6666666667</v>
      </c>
      <c r="H528" s="2" t="s">
        <v>1366</v>
      </c>
    </row>
    <row r="529" customFormat="false" ht="15" hidden="false" customHeight="false" outlineLevel="1" collapsed="false">
      <c r="A529" s="7" t="s">
        <v>711</v>
      </c>
      <c r="B529" s="8" t="s">
        <v>11</v>
      </c>
      <c r="C529" s="61" t="n">
        <f aca="false">(C525*((0)&lt;Pressupostos!$C$167))/Pressupostos!$C$167</f>
        <v>0</v>
      </c>
      <c r="D529" s="61" t="n">
        <f aca="false">(C525*((1)&lt;Pressupostos!$C$167)+D525*((0)&lt;Pressupostos!$C$167))/Pressupostos!$C$167</f>
        <v>5000</v>
      </c>
      <c r="E529" s="61" t="n">
        <f aca="false">(C525*((2)&lt;Pressupostos!$C$167)+D525*((1)&lt;Pressupostos!$C$167)+E525*((0)&lt;Pressupostos!$C$167))/Pressupostos!$C$167</f>
        <v>10000</v>
      </c>
      <c r="F529" s="61" t="n">
        <f aca="false">(C525*((3)&lt;Pressupostos!$C$167)+D525*((2)&lt;Pressupostos!$C$167)+E525*((1)&lt;Pressupostos!$C$167)+F525*((0)&lt;Pressupostos!$C$167))/Pressupostos!$C$167</f>
        <v>13333.3333333333</v>
      </c>
      <c r="G529" s="61" t="n">
        <f aca="false">(C525*((4)&lt;Pressupostos!$C$167)+D525*((3)&lt;Pressupostos!$C$167)+E525*((2)&lt;Pressupostos!$C$167)+F525*((1)&lt;Pressupostos!$C$167)+G525*((0)&lt;Pressupostos!$C$167))/Pressupostos!$C$167</f>
        <v>11666.6666666667</v>
      </c>
      <c r="H529" s="2" t="s">
        <v>1367</v>
      </c>
    </row>
    <row r="530" customFormat="false" ht="15" hidden="false" customHeight="false" outlineLevel="1" collapsed="false">
      <c r="A530" s="7" t="s">
        <v>712</v>
      </c>
      <c r="B530" s="8" t="s">
        <v>11</v>
      </c>
      <c r="C530" s="61" t="n">
        <f aca="false">(C523*((0)&lt;Pressupostos!$C$169))/Pressupostos!$C$169</f>
        <v>3600</v>
      </c>
      <c r="D530" s="61" t="n">
        <f aca="false">(C523*((1)&lt;Pressupostos!$C$169)+D523*((0)&lt;Pressupostos!$C$169))/Pressupostos!$C$169</f>
        <v>6000</v>
      </c>
      <c r="E530" s="61" t="n">
        <f aca="false">(C523*((2)&lt;Pressupostos!$C$169)+D523*((1)&lt;Pressupostos!$C$169)+E523*((0)&lt;Pressupostos!$C$169))/Pressupostos!$C$169</f>
        <v>8400</v>
      </c>
      <c r="F530" s="61" t="n">
        <f aca="false">(C523*((3)&lt;Pressupostos!$C$169)+D523*((2)&lt;Pressupostos!$C$169)+E523*((1)&lt;Pressupostos!$C$169)+F523*((0)&lt;Pressupostos!$C$169))/Pressupostos!$C$169</f>
        <v>10800</v>
      </c>
      <c r="G530" s="61" t="n">
        <f aca="false">(C523*((4)&lt;Pressupostos!$C$169)+D523*((3)&lt;Pressupostos!$C$169)+E523*((2)&lt;Pressupostos!$C$169)+F523*((1)&lt;Pressupostos!$C$169)+G523*((0)&lt;Pressupostos!$C$169))/Pressupostos!$C$169</f>
        <v>13200</v>
      </c>
      <c r="H530" s="2" t="s">
        <v>1368</v>
      </c>
    </row>
    <row r="531" customFormat="false" ht="15" hidden="false" customHeight="false" outlineLevel="1" collapsed="false">
      <c r="A531" s="7" t="s">
        <v>713</v>
      </c>
      <c r="B531" s="8" t="s">
        <v>11</v>
      </c>
      <c r="C531" s="61" t="n">
        <f aca="false">(C526*((0)&lt;Pressupostos!$C$168))/Pressupostos!$C$168</f>
        <v>3500</v>
      </c>
      <c r="D531" s="61" t="n">
        <f aca="false">(C526*((1)&lt;Pressupostos!$C$168)+D526*((0)&lt;Pressupostos!$C$168))/Pressupostos!$C$168</f>
        <v>4000</v>
      </c>
      <c r="E531" s="61" t="n">
        <f aca="false">(C526*((2)&lt;Pressupostos!$C$168)+D526*((1)&lt;Pressupostos!$C$168)+E526*((0)&lt;Pressupostos!$C$168))/Pressupostos!$C$168</f>
        <v>5500</v>
      </c>
      <c r="F531" s="61" t="n">
        <f aca="false">(C526*((3)&lt;Pressupostos!$C$168)+D526*((2)&lt;Pressupostos!$C$168)+E526*((1)&lt;Pressupostos!$C$168)+F526*((0)&lt;Pressupostos!$C$168))/Pressupostos!$C$168</f>
        <v>7000</v>
      </c>
      <c r="G531" s="61" t="n">
        <f aca="false">(C526*((4)&lt;Pressupostos!$C$168)+D526*((3)&lt;Pressupostos!$C$168)+E526*((2)&lt;Pressupostos!$C$168)+F526*((1)&lt;Pressupostos!$C$168)+G526*((0)&lt;Pressupostos!$C$168))/Pressupostos!$C$168</f>
        <v>5000</v>
      </c>
      <c r="H531" s="2" t="s">
        <v>1369</v>
      </c>
    </row>
    <row r="532" customFormat="false" ht="15" hidden="false" customHeight="false" outlineLevel="1" collapsed="false">
      <c r="A532" s="7" t="s">
        <v>714</v>
      </c>
      <c r="B532" s="8" t="s">
        <v>11</v>
      </c>
      <c r="C532" s="61" t="n">
        <f aca="false">C528+C529+C530+C531</f>
        <v>27100</v>
      </c>
      <c r="D532" s="61" t="n">
        <f aca="false">D528+D529+D530+D531</f>
        <v>40000</v>
      </c>
      <c r="E532" s="61" t="n">
        <f aca="false">E528+E529+E530+E531</f>
        <v>53900</v>
      </c>
      <c r="F532" s="61" t="n">
        <f aca="false">F528+F529+F530+F531</f>
        <v>44466.6666666667</v>
      </c>
      <c r="G532" s="61" t="n">
        <f aca="false">G528+G529+G530+G531</f>
        <v>41533.3333333333</v>
      </c>
      <c r="H532" s="2" t="s">
        <v>1370</v>
      </c>
    </row>
    <row r="533" customFormat="false" ht="15" hidden="false" customHeight="false" outlineLevel="0" collapsed="false">
      <c r="A533" s="3" t="s">
        <v>1371</v>
      </c>
      <c r="B533" s="4"/>
      <c r="C533" s="4"/>
      <c r="D533" s="4"/>
      <c r="E533" s="4"/>
      <c r="F533" s="4"/>
      <c r="G533" s="4"/>
      <c r="H533" s="4"/>
    </row>
    <row r="534" customFormat="false" ht="15" hidden="false" customHeight="false" outlineLevel="1" collapsed="false">
      <c r="A534" s="56" t="s">
        <v>718</v>
      </c>
      <c r="B534" s="57" t="s">
        <v>11</v>
      </c>
      <c r="C534" s="62" t="n">
        <f aca="false">C436</f>
        <v>267690</v>
      </c>
      <c r="D534" s="62" t="n">
        <f aca="false">D436</f>
        <v>1780435</v>
      </c>
      <c r="E534" s="62" t="n">
        <f aca="false">E436</f>
        <v>4066155</v>
      </c>
      <c r="F534" s="62" t="n">
        <f aca="false">F436</f>
        <v>7052305</v>
      </c>
      <c r="G534" s="62" t="n">
        <f aca="false">G436</f>
        <v>10796070</v>
      </c>
      <c r="H534" s="2" t="s">
        <v>1372</v>
      </c>
    </row>
    <row r="535" customFormat="false" ht="15" hidden="false" customHeight="false" outlineLevel="1" collapsed="false">
      <c r="A535" s="7" t="s">
        <v>688</v>
      </c>
      <c r="B535" s="8" t="s">
        <v>11</v>
      </c>
      <c r="C535" s="61" t="n">
        <f aca="false">-C459</f>
        <v>-243800</v>
      </c>
      <c r="D535" s="61" t="n">
        <f aca="false">-D459</f>
        <v>-1623700</v>
      </c>
      <c r="E535" s="61" t="n">
        <f aca="false">-E459</f>
        <v>-3665800</v>
      </c>
      <c r="F535" s="61" t="n">
        <f aca="false">-F459</f>
        <v>-6319200</v>
      </c>
      <c r="G535" s="61" t="n">
        <f aca="false">-G459</f>
        <v>-9651000</v>
      </c>
      <c r="H535" s="2" t="s">
        <v>1373</v>
      </c>
    </row>
    <row r="536" customFormat="false" ht="15" hidden="false" customHeight="false" outlineLevel="1" collapsed="false">
      <c r="A536" s="56" t="s">
        <v>719</v>
      </c>
      <c r="B536" s="57" t="s">
        <v>11</v>
      </c>
      <c r="C536" s="62" t="n">
        <f aca="false">C534+C535</f>
        <v>23890</v>
      </c>
      <c r="D536" s="62" t="n">
        <f aca="false">D534+D535</f>
        <v>156735</v>
      </c>
      <c r="E536" s="62" t="n">
        <f aca="false">E534+E535</f>
        <v>400355</v>
      </c>
      <c r="F536" s="62" t="n">
        <f aca="false">F534+F535</f>
        <v>733105</v>
      </c>
      <c r="G536" s="62" t="n">
        <f aca="false">G534+G535</f>
        <v>1145070</v>
      </c>
      <c r="H536" s="2" t="s">
        <v>1374</v>
      </c>
    </row>
    <row r="537" customFormat="false" ht="15" hidden="false" customHeight="false" outlineLevel="1" collapsed="false">
      <c r="A537" s="2" t="s">
        <v>720</v>
      </c>
      <c r="B537" s="8" t="s">
        <v>76</v>
      </c>
      <c r="C537" s="59" t="n">
        <f aca="false">IF(C534&gt;0,C536/C534,0)</f>
        <v>0.0892450222272031</v>
      </c>
      <c r="D537" s="59" t="n">
        <f aca="false">IF(D534&gt;0,D536/D534,0)</f>
        <v>0.0880318573831675</v>
      </c>
      <c r="E537" s="59" t="n">
        <f aca="false">IF(E534&gt;0,E536/E534,0)</f>
        <v>0.0984603390672514</v>
      </c>
      <c r="F537" s="59" t="n">
        <f aca="false">IF(F534&gt;0,F536/F534,0)</f>
        <v>0.103952537503696</v>
      </c>
      <c r="G537" s="59" t="n">
        <f aca="false">IF(G534&gt;0,G536/G534,0)</f>
        <v>0.106063595363869</v>
      </c>
      <c r="H537" s="2" t="s">
        <v>1375</v>
      </c>
    </row>
    <row r="538" customFormat="false" ht="15" hidden="false" customHeight="false" outlineLevel="1" collapsed="false">
      <c r="A538" s="7" t="s">
        <v>721</v>
      </c>
      <c r="B538" s="8" t="s">
        <v>11</v>
      </c>
      <c r="C538" s="61" t="n">
        <f aca="false">-C470</f>
        <v>-15341.8580821918</v>
      </c>
      <c r="D538" s="61" t="n">
        <f aca="false">-D470</f>
        <v>-104130.783209393</v>
      </c>
      <c r="E538" s="61" t="n">
        <f aca="false">-E470</f>
        <v>-242146.261409002</v>
      </c>
      <c r="F538" s="61" t="n">
        <f aca="false">-F470</f>
        <v>-433558.333502936</v>
      </c>
      <c r="G538" s="61" t="n">
        <f aca="false">-G470</f>
        <v>-668872.547162427</v>
      </c>
      <c r="H538" s="2" t="s">
        <v>1376</v>
      </c>
    </row>
    <row r="539" customFormat="false" ht="15" hidden="false" customHeight="false" outlineLevel="1" collapsed="false">
      <c r="A539" s="7" t="s">
        <v>698</v>
      </c>
      <c r="B539" s="8" t="s">
        <v>11</v>
      </c>
      <c r="C539" s="61" t="n">
        <f aca="false">-C473</f>
        <v>-0</v>
      </c>
      <c r="D539" s="61" t="n">
        <f aca="false">-D473</f>
        <v>-23317.0273972603</v>
      </c>
      <c r="E539" s="61" t="n">
        <f aca="false">-E473</f>
        <v>-38771.0637842466</v>
      </c>
      <c r="F539" s="61" t="n">
        <f aca="false">-F473</f>
        <v>-62547.834760274</v>
      </c>
      <c r="G539" s="61" t="n">
        <f aca="false">-G473</f>
        <v>-95536.1558219178</v>
      </c>
      <c r="H539" s="2" t="s">
        <v>1377</v>
      </c>
    </row>
    <row r="540" customFormat="false" ht="15" hidden="false" customHeight="false" outlineLevel="1" collapsed="false">
      <c r="A540" s="56" t="s">
        <v>677</v>
      </c>
      <c r="B540" s="57" t="s">
        <v>11</v>
      </c>
      <c r="C540" s="62" t="n">
        <f aca="false">C536+C538+C539</f>
        <v>8548.14191780822</v>
      </c>
      <c r="D540" s="62" t="n">
        <f aca="false">D536+D538+D539</f>
        <v>29287.1893933461</v>
      </c>
      <c r="E540" s="62" t="n">
        <f aca="false">E536+E538+E539</f>
        <v>119437.674806751</v>
      </c>
      <c r="F540" s="62" t="n">
        <f aca="false">F536+F538+F539</f>
        <v>236998.831736791</v>
      </c>
      <c r="G540" s="62" t="n">
        <f aca="false">G536+G538+G539</f>
        <v>380661.297015656</v>
      </c>
      <c r="H540" s="2" t="s">
        <v>1378</v>
      </c>
    </row>
    <row r="541" customFormat="false" ht="15" hidden="false" customHeight="false" outlineLevel="1" collapsed="false">
      <c r="A541" s="7" t="s">
        <v>261</v>
      </c>
      <c r="B541" s="8" t="s">
        <v>11</v>
      </c>
      <c r="C541" s="61" t="n">
        <f aca="false">-C505</f>
        <v>-400885.59375</v>
      </c>
      <c r="D541" s="61" t="n">
        <f aca="false">-D505</f>
        <v>-508017.8875</v>
      </c>
      <c r="E541" s="61" t="n">
        <f aca="false">-E505</f>
        <v>-667701.28525</v>
      </c>
      <c r="F541" s="61" t="n">
        <f aca="false">-F505</f>
        <v>-855745.92960125</v>
      </c>
      <c r="G541" s="61" t="n">
        <f aca="false">-G505</f>
        <v>-1042442.03916396</v>
      </c>
      <c r="H541" s="2" t="s">
        <v>1379</v>
      </c>
    </row>
    <row r="542" customFormat="false" ht="15" hidden="false" customHeight="false" outlineLevel="1" collapsed="false">
      <c r="A542" s="7" t="s">
        <v>722</v>
      </c>
      <c r="B542" s="8" t="s">
        <v>11</v>
      </c>
      <c r="C542" s="61" t="n">
        <f aca="false">-C521</f>
        <v>-319100</v>
      </c>
      <c r="D542" s="61" t="n">
        <f aca="false">-D521</f>
        <v>-322682.78</v>
      </c>
      <c r="E542" s="61" t="n">
        <f aca="false">-E521</f>
        <v>-421646.38</v>
      </c>
      <c r="F542" s="61" t="n">
        <f aca="false">-F521</f>
        <v>-475409.1624</v>
      </c>
      <c r="G542" s="61" t="n">
        <f aca="false">-G521</f>
        <v>-558195.154448</v>
      </c>
      <c r="H542" s="2" t="s">
        <v>1380</v>
      </c>
    </row>
    <row r="543" customFormat="false" ht="15" hidden="false" customHeight="false" outlineLevel="1" collapsed="false">
      <c r="A543" s="56" t="s">
        <v>723</v>
      </c>
      <c r="B543" s="57" t="s">
        <v>11</v>
      </c>
      <c r="C543" s="62" t="n">
        <f aca="false">C540+C541+C542</f>
        <v>-711437.451832192</v>
      </c>
      <c r="D543" s="62" t="n">
        <f aca="false">D540+D541+D542</f>
        <v>-801413.478106654</v>
      </c>
      <c r="E543" s="62" t="n">
        <f aca="false">E540+E541+E542</f>
        <v>-969909.990443249</v>
      </c>
      <c r="F543" s="62" t="n">
        <f aca="false">F540+F541+F542</f>
        <v>-1094156.26026446</v>
      </c>
      <c r="G543" s="62" t="n">
        <f aca="false">G540+G541+G542</f>
        <v>-1219975.89659631</v>
      </c>
      <c r="H543" s="2" t="s">
        <v>1381</v>
      </c>
    </row>
    <row r="544" customFormat="false" ht="15" hidden="false" customHeight="false" outlineLevel="1" collapsed="false">
      <c r="A544" s="2" t="s">
        <v>725</v>
      </c>
      <c r="B544" s="8" t="s">
        <v>76</v>
      </c>
      <c r="C544" s="59" t="n">
        <f aca="false">IF(C534&gt;0,C543/C534,0)</f>
        <v>-2.65769155303594</v>
      </c>
      <c r="D544" s="59" t="n">
        <f aca="false">IF(D534&gt;0,D543/D534,0)</f>
        <v>-0.450122289275741</v>
      </c>
      <c r="E544" s="59" t="n">
        <f aca="false">IF(E534&gt;0,E543/E534,0)</f>
        <v>-0.238532468743383</v>
      </c>
      <c r="F544" s="59" t="n">
        <f aca="false">IF(F534&gt;0,F543/F534,0)</f>
        <v>-0.155148743604319</v>
      </c>
      <c r="G544" s="59" t="n">
        <f aca="false">IF(G534&gt;0,G543/G534,0)</f>
        <v>-0.113001851284431</v>
      </c>
      <c r="H544" s="2" t="s">
        <v>1382</v>
      </c>
    </row>
    <row r="545" customFormat="false" ht="15" hidden="false" customHeight="false" outlineLevel="1" collapsed="false">
      <c r="A545" s="2" t="s">
        <v>726</v>
      </c>
      <c r="B545" s="8" t="s">
        <v>11</v>
      </c>
      <c r="C545" s="61" t="n">
        <f aca="false">C543+C473</f>
        <v>-711437.451832192</v>
      </c>
      <c r="D545" s="61" t="n">
        <f aca="false">D543+D473</f>
        <v>-778096.450709394</v>
      </c>
      <c r="E545" s="61" t="n">
        <f aca="false">E543+E473</f>
        <v>-931138.926659002</v>
      </c>
      <c r="F545" s="61" t="n">
        <f aca="false">F543+F473</f>
        <v>-1031608.42550419</v>
      </c>
      <c r="G545" s="61" t="n">
        <f aca="false">G543+G473</f>
        <v>-1124439.74077439</v>
      </c>
      <c r="H545" s="2" t="s">
        <v>1383</v>
      </c>
    </row>
    <row r="546" customFormat="false" ht="15" hidden="false" customHeight="false" outlineLevel="1" collapsed="false">
      <c r="A546" s="7" t="s">
        <v>714</v>
      </c>
      <c r="B546" s="8" t="s">
        <v>11</v>
      </c>
      <c r="C546" s="61" t="n">
        <f aca="false">-C532</f>
        <v>-27100</v>
      </c>
      <c r="D546" s="61" t="n">
        <f aca="false">-D532</f>
        <v>-40000</v>
      </c>
      <c r="E546" s="61" t="n">
        <f aca="false">-E532</f>
        <v>-53900</v>
      </c>
      <c r="F546" s="61" t="n">
        <f aca="false">-F532</f>
        <v>-44466.6666666667</v>
      </c>
      <c r="G546" s="61" t="n">
        <f aca="false">-G532</f>
        <v>-41533.3333333333</v>
      </c>
      <c r="H546" s="2" t="s">
        <v>1384</v>
      </c>
    </row>
    <row r="547" customFormat="false" ht="15" hidden="false" customHeight="false" outlineLevel="1" collapsed="false">
      <c r="A547" s="56" t="s">
        <v>727</v>
      </c>
      <c r="B547" s="57" t="s">
        <v>11</v>
      </c>
      <c r="C547" s="62" t="n">
        <f aca="false">C543+C546</f>
        <v>-738537.451832192</v>
      </c>
      <c r="D547" s="62" t="n">
        <f aca="false">D543+D546</f>
        <v>-841413.478106654</v>
      </c>
      <c r="E547" s="62" t="n">
        <f aca="false">E543+E546</f>
        <v>-1023809.99044325</v>
      </c>
      <c r="F547" s="62" t="n">
        <f aca="false">F543+F546</f>
        <v>-1138622.92693113</v>
      </c>
      <c r="G547" s="62" t="n">
        <f aca="false">G543+G546</f>
        <v>-1261509.22992964</v>
      </c>
      <c r="H547" s="2" t="s">
        <v>1385</v>
      </c>
    </row>
    <row r="548" customFormat="false" ht="15" hidden="false" customHeight="false" outlineLevel="0" collapsed="false">
      <c r="A548" s="3" t="s">
        <v>1386</v>
      </c>
      <c r="B548" s="4"/>
      <c r="C548" s="4"/>
      <c r="D548" s="4"/>
      <c r="E548" s="4"/>
      <c r="F548" s="4"/>
      <c r="G548" s="4"/>
      <c r="H548" s="4"/>
    </row>
    <row r="549" customFormat="false" ht="15" hidden="false" customHeight="false" outlineLevel="1" collapsed="false">
      <c r="A549" s="7" t="s">
        <v>729</v>
      </c>
      <c r="B549" s="8" t="s">
        <v>11</v>
      </c>
      <c r="C549" s="61" t="n">
        <f aca="false">C547</f>
        <v>-738537.451832192</v>
      </c>
      <c r="D549" s="61" t="n">
        <f aca="false">D547</f>
        <v>-841413.478106654</v>
      </c>
      <c r="E549" s="61" t="n">
        <f aca="false">E547</f>
        <v>-1023809.99044325</v>
      </c>
      <c r="F549" s="61" t="n">
        <f aca="false">F547</f>
        <v>-1138622.92693113</v>
      </c>
      <c r="G549" s="61" t="n">
        <f aca="false">G547</f>
        <v>-1261509.22992964</v>
      </c>
      <c r="H549" s="2" t="s">
        <v>1387</v>
      </c>
    </row>
    <row r="550" customFormat="false" ht="15" hidden="false" customHeight="false" outlineLevel="1" collapsed="false">
      <c r="A550" s="7" t="s">
        <v>730</v>
      </c>
      <c r="B550" s="8" t="s">
        <v>11</v>
      </c>
      <c r="C550" s="61" t="n">
        <f aca="false">0</f>
        <v>0</v>
      </c>
      <c r="D550" s="61" t="n">
        <f aca="false">C553</f>
        <v>738537.451832192</v>
      </c>
      <c r="E550" s="61" t="n">
        <f aca="false">D553</f>
        <v>1579950.92993885</v>
      </c>
      <c r="F550" s="61" t="n">
        <f aca="false">E553</f>
        <v>2603760.92038209</v>
      </c>
      <c r="G550" s="61" t="n">
        <f aca="false">F553</f>
        <v>3742383.84731322</v>
      </c>
      <c r="H550" s="2" t="s">
        <v>1388</v>
      </c>
    </row>
    <row r="551" customFormat="false" ht="15" hidden="false" customHeight="false" outlineLevel="1" collapsed="false">
      <c r="A551" s="7" t="s">
        <v>731</v>
      </c>
      <c r="B551" s="8" t="s">
        <v>11</v>
      </c>
      <c r="C551" s="61" t="n">
        <f aca="false">MAX(0,-C549)</f>
        <v>738537.451832192</v>
      </c>
      <c r="D551" s="61" t="n">
        <f aca="false">MAX(0,-D549)</f>
        <v>841413.478106654</v>
      </c>
      <c r="E551" s="61" t="n">
        <f aca="false">MAX(0,-E549)</f>
        <v>1023809.99044325</v>
      </c>
      <c r="F551" s="61" t="n">
        <f aca="false">MAX(0,-F549)</f>
        <v>1138622.92693113</v>
      </c>
      <c r="G551" s="61" t="n">
        <f aca="false">MAX(0,-G549)</f>
        <v>1261509.22992964</v>
      </c>
      <c r="H551" s="2" t="s">
        <v>1389</v>
      </c>
    </row>
    <row r="552" customFormat="false" ht="15" hidden="false" customHeight="false" outlineLevel="1" collapsed="false">
      <c r="A552" s="7" t="s">
        <v>732</v>
      </c>
      <c r="B552" s="8" t="s">
        <v>11</v>
      </c>
      <c r="C552" s="61" t="n">
        <f aca="false">MIN(C550,Pressupostos!$C$181*MAX(0,C549))</f>
        <v>0</v>
      </c>
      <c r="D552" s="61" t="n">
        <f aca="false">MIN(D550,Pressupostos!$C$181*MAX(0,D549))</f>
        <v>0</v>
      </c>
      <c r="E552" s="61" t="n">
        <f aca="false">MIN(E550,Pressupostos!$C$181*MAX(0,E549))</f>
        <v>0</v>
      </c>
      <c r="F552" s="61" t="n">
        <f aca="false">MIN(F550,Pressupostos!$C$181*MAX(0,F549))</f>
        <v>0</v>
      </c>
      <c r="G552" s="61" t="n">
        <f aca="false">MIN(G550,Pressupostos!$C$181*MAX(0,G549))</f>
        <v>0</v>
      </c>
      <c r="H552" s="2" t="s">
        <v>1390</v>
      </c>
    </row>
    <row r="553" customFormat="false" ht="15" hidden="false" customHeight="false" outlineLevel="1" collapsed="false">
      <c r="A553" s="7" t="s">
        <v>733</v>
      </c>
      <c r="B553" s="8" t="s">
        <v>11</v>
      </c>
      <c r="C553" s="61" t="n">
        <f aca="false">C550+C551-C552</f>
        <v>738537.451832192</v>
      </c>
      <c r="D553" s="61" t="n">
        <f aca="false">D550+D551-D552</f>
        <v>1579950.92993885</v>
      </c>
      <c r="E553" s="61" t="n">
        <f aca="false">E550+E551-E552</f>
        <v>2603760.92038209</v>
      </c>
      <c r="F553" s="61" t="n">
        <f aca="false">F550+F551-F552</f>
        <v>3742383.84731322</v>
      </c>
      <c r="G553" s="61" t="n">
        <f aca="false">G550+G551-G552</f>
        <v>5003893.07724286</v>
      </c>
      <c r="H553" s="2" t="s">
        <v>1391</v>
      </c>
    </row>
    <row r="554" customFormat="false" ht="15" hidden="false" customHeight="false" outlineLevel="1" collapsed="false">
      <c r="A554" s="7" t="s">
        <v>734</v>
      </c>
      <c r="B554" s="8" t="s">
        <v>11</v>
      </c>
      <c r="C554" s="61" t="n">
        <f aca="false">MAX(0,C549)-C552</f>
        <v>0</v>
      </c>
      <c r="D554" s="61" t="n">
        <f aca="false">MAX(0,D549)-D552</f>
        <v>0</v>
      </c>
      <c r="E554" s="61" t="n">
        <f aca="false">MAX(0,E549)-E552</f>
        <v>0</v>
      </c>
      <c r="F554" s="61" t="n">
        <f aca="false">MAX(0,F549)-F552</f>
        <v>0</v>
      </c>
      <c r="G554" s="61" t="n">
        <f aca="false">MAX(0,G549)-G552</f>
        <v>0</v>
      </c>
      <c r="H554" s="2" t="s">
        <v>1392</v>
      </c>
    </row>
    <row r="555" customFormat="false" ht="15" hidden="false" customHeight="false" outlineLevel="1" collapsed="false">
      <c r="A555" s="7" t="s">
        <v>735</v>
      </c>
      <c r="B555" s="8" t="s">
        <v>11</v>
      </c>
      <c r="C555" s="61" t="n">
        <f aca="false">Pressupostos!$C$172*MIN(C554,Pressupostos!$C$173)+Pressupostos!$C$467*MAX(0,C554-Pressupostos!$C$173)</f>
        <v>0</v>
      </c>
      <c r="D555" s="61" t="n">
        <f aca="false">Pressupostos!$C$172*MIN(D554,Pressupostos!$C$173)+Pressupostos!$D$467*MAX(0,D554-Pressupostos!$C$173)</f>
        <v>0</v>
      </c>
      <c r="E555" s="61" t="n">
        <f aca="false">Pressupostos!$C$172*MIN(E554,Pressupostos!$C$173)+Pressupostos!$E$467*MAX(0,E554-Pressupostos!$C$173)</f>
        <v>0</v>
      </c>
      <c r="F555" s="61" t="n">
        <f aca="false">Pressupostos!$C$172*MIN(F554,Pressupostos!$C$173)+Pressupostos!$F$467*MAX(0,F554-Pressupostos!$C$173)</f>
        <v>0</v>
      </c>
      <c r="G555" s="61" t="n">
        <f aca="false">Pressupostos!$C$172*MIN(G554,Pressupostos!$C$173)+Pressupostos!$G$467*MAX(0,G554-Pressupostos!$C$173)</f>
        <v>0</v>
      </c>
      <c r="H555" s="2" t="s">
        <v>1393</v>
      </c>
    </row>
    <row r="556" customFormat="false" ht="15" hidden="false" customHeight="false" outlineLevel="1" collapsed="false">
      <c r="A556" s="7" t="s">
        <v>736</v>
      </c>
      <c r="B556" s="8" t="s">
        <v>11</v>
      </c>
      <c r="C556" s="61" t="n">
        <f aca="false">Pressupostos!$C$174*MAX(0,C549)</f>
        <v>0</v>
      </c>
      <c r="D556" s="61" t="n">
        <f aca="false">Pressupostos!$C$174*MAX(0,D549)</f>
        <v>0</v>
      </c>
      <c r="E556" s="61" t="n">
        <f aca="false">Pressupostos!$C$174*MAX(0,E549)</f>
        <v>0</v>
      </c>
      <c r="F556" s="61" t="n">
        <f aca="false">Pressupostos!$C$174*MAX(0,F549)</f>
        <v>0</v>
      </c>
      <c r="G556" s="61" t="n">
        <f aca="false">Pressupostos!$C$174*MAX(0,G549)</f>
        <v>0</v>
      </c>
      <c r="H556" s="2" t="s">
        <v>1394</v>
      </c>
    </row>
    <row r="557" customFormat="false" ht="15" hidden="false" customHeight="false" outlineLevel="1" collapsed="false">
      <c r="A557" s="7" t="s">
        <v>737</v>
      </c>
      <c r="B557" s="8" t="s">
        <v>11</v>
      </c>
      <c r="C557" s="61" t="n">
        <f aca="false">Pressupostos!$C$176*MAX(0,MIN(C549,Pressupostos!$C$177)-Pressupostos!$C$175)+Pressupostos!$C$178*MAX(0,MIN(C549,Pressupostos!$C$179)-Pressupostos!$C$177)+Pressupostos!$C$180*MAX(0,C549-Pressupostos!$C$179)</f>
        <v>0</v>
      </c>
      <c r="D557" s="61" t="n">
        <f aca="false">Pressupostos!$C$176*MAX(0,MIN(D549,Pressupostos!$C$177)-Pressupostos!$C$175)+Pressupostos!$C$178*MAX(0,MIN(D549,Pressupostos!$C$179)-Pressupostos!$C$177)+Pressupostos!$C$180*MAX(0,D549-Pressupostos!$C$179)</f>
        <v>0</v>
      </c>
      <c r="E557" s="61" t="n">
        <f aca="false">Pressupostos!$C$176*MAX(0,MIN(E549,Pressupostos!$C$177)-Pressupostos!$C$175)+Pressupostos!$C$178*MAX(0,MIN(E549,Pressupostos!$C$179)-Pressupostos!$C$177)+Pressupostos!$C$180*MAX(0,E549-Pressupostos!$C$179)</f>
        <v>0</v>
      </c>
      <c r="F557" s="61" t="n">
        <f aca="false">Pressupostos!$C$176*MAX(0,MIN(F549,Pressupostos!$C$177)-Pressupostos!$C$175)+Pressupostos!$C$178*MAX(0,MIN(F549,Pressupostos!$C$179)-Pressupostos!$C$177)+Pressupostos!$C$180*MAX(0,F549-Pressupostos!$C$179)</f>
        <v>0</v>
      </c>
      <c r="G557" s="61" t="n">
        <f aca="false">Pressupostos!$C$176*MAX(0,MIN(G549,Pressupostos!$C$177)-Pressupostos!$C$175)+Pressupostos!$C$178*MAX(0,MIN(G549,Pressupostos!$C$179)-Pressupostos!$C$177)+Pressupostos!$C$180*MAX(0,G549-Pressupostos!$C$179)</f>
        <v>0</v>
      </c>
      <c r="H557" s="2" t="s">
        <v>1395</v>
      </c>
    </row>
    <row r="558" customFormat="false" ht="15" hidden="false" customHeight="false" outlineLevel="1" collapsed="false">
      <c r="A558" s="7" t="s">
        <v>738</v>
      </c>
      <c r="B558" s="8" t="s">
        <v>11</v>
      </c>
      <c r="C558" s="61" t="n">
        <f aca="false">C555+C556+C557</f>
        <v>0</v>
      </c>
      <c r="D558" s="61" t="n">
        <f aca="false">D555+D556+D557</f>
        <v>0</v>
      </c>
      <c r="E558" s="61" t="n">
        <f aca="false">E555+E556+E557</f>
        <v>0</v>
      </c>
      <c r="F558" s="61" t="n">
        <f aca="false">F555+F556+F557</f>
        <v>0</v>
      </c>
      <c r="G558" s="61" t="n">
        <f aca="false">G555+G556+G557</f>
        <v>0</v>
      </c>
      <c r="H558" s="2" t="s">
        <v>1396</v>
      </c>
    </row>
    <row r="559" customFormat="false" ht="15" hidden="false" customHeight="false" outlineLevel="0" collapsed="false">
      <c r="A559" s="3" t="s">
        <v>1397</v>
      </c>
      <c r="B559" s="4"/>
      <c r="C559" s="4"/>
      <c r="D559" s="4"/>
      <c r="E559" s="4"/>
      <c r="F559" s="4"/>
      <c r="G559" s="4"/>
      <c r="H559" s="4"/>
    </row>
    <row r="560" customFormat="false" ht="15" hidden="false" customHeight="false" outlineLevel="1" collapsed="false">
      <c r="A560" s="7" t="s">
        <v>738</v>
      </c>
      <c r="B560" s="8" t="s">
        <v>11</v>
      </c>
      <c r="C560" s="61" t="n">
        <f aca="false">-C558</f>
        <v>-0</v>
      </c>
      <c r="D560" s="61" t="n">
        <f aca="false">-D558</f>
        <v>-0</v>
      </c>
      <c r="E560" s="61" t="n">
        <f aca="false">-E558</f>
        <v>-0</v>
      </c>
      <c r="F560" s="61" t="n">
        <f aca="false">-F558</f>
        <v>-0</v>
      </c>
      <c r="G560" s="61" t="n">
        <f aca="false">-G558</f>
        <v>-0</v>
      </c>
      <c r="H560" s="2" t="s">
        <v>1398</v>
      </c>
    </row>
    <row r="561" customFormat="false" ht="15" hidden="false" customHeight="false" outlineLevel="1" collapsed="false">
      <c r="A561" s="56" t="s">
        <v>740</v>
      </c>
      <c r="B561" s="57" t="s">
        <v>11</v>
      </c>
      <c r="C561" s="62" t="n">
        <f aca="false">C547+C560</f>
        <v>-738537.451832192</v>
      </c>
      <c r="D561" s="62" t="n">
        <f aca="false">D547+D560</f>
        <v>-841413.478106654</v>
      </c>
      <c r="E561" s="62" t="n">
        <f aca="false">E547+E560</f>
        <v>-1023809.99044325</v>
      </c>
      <c r="F561" s="62" t="n">
        <f aca="false">F547+F560</f>
        <v>-1138622.92693113</v>
      </c>
      <c r="G561" s="62" t="n">
        <f aca="false">G547+G560</f>
        <v>-1261509.22992964</v>
      </c>
      <c r="H561" s="2" t="s">
        <v>1399</v>
      </c>
    </row>
    <row r="562" customFormat="false" ht="15" hidden="false" customHeight="false" outlineLevel="0" collapsed="false">
      <c r="A562" s="3" t="s">
        <v>1400</v>
      </c>
      <c r="B562" s="4"/>
      <c r="C562" s="4"/>
      <c r="D562" s="4"/>
      <c r="E562" s="4"/>
      <c r="F562" s="4"/>
      <c r="G562" s="4"/>
      <c r="H562" s="4"/>
    </row>
    <row r="563" customFormat="false" ht="15" hidden="false" customHeight="false" outlineLevel="1" collapsed="false">
      <c r="A563" s="7" t="s">
        <v>744</v>
      </c>
      <c r="B563" s="8" t="s">
        <v>11</v>
      </c>
      <c r="C563" s="61" t="n">
        <f aca="false">C335*1000*((C353+C356)*C359/365)+C336*1000*((C376+C379)*C382/365)+C338*1000*((C399+C402)*C405/365)</f>
        <v>33682.1917808219</v>
      </c>
      <c r="D563" s="61" t="n">
        <f aca="false">D335*1000*((D353+D356)*D359/365)+D336*1000*((D376+D379)*D382/365)+D338*1000*((D399+D402)*D405/365)</f>
        <v>196557.534246575</v>
      </c>
      <c r="E563" s="61" t="n">
        <f aca="false">E335*1000*((E353+E356)*E359/365)+E336*1000*((E376+E379)*E382/365)+E338*1000*((E399+E402)*E405/365)</f>
        <v>306721.232876712</v>
      </c>
      <c r="F563" s="61" t="n">
        <f aca="false">F335*1000*((F353+F356)*F359/365)+F336*1000*((F376+F379)*F382/365)+F338*1000*((F399+F402)*F405/365)</f>
        <v>530402.054794521</v>
      </c>
      <c r="G563" s="61" t="n">
        <f aca="false">G335*1000*((G353+G356)*G359/365)+G336*1000*((G376+G379)*G382/365)+G338*1000*((G399+G402)*G405/365)</f>
        <v>805623.287671233</v>
      </c>
      <c r="H563" s="2" t="s">
        <v>1401</v>
      </c>
    </row>
    <row r="564" customFormat="false" ht="15" hidden="false" customHeight="false" outlineLevel="1" collapsed="false">
      <c r="A564" s="7" t="s">
        <v>745</v>
      </c>
      <c r="B564" s="8" t="s">
        <v>11</v>
      </c>
      <c r="C564" s="61" t="n">
        <f aca="false">C563+C348*1000*Pressupostos!$C$92*Pressupostos!$C$95/365</f>
        <v>33682.1917808219</v>
      </c>
      <c r="D564" s="61" t="n">
        <f aca="false">D563+D348*1000*Pressupostos!$C$92*Pressupostos!$C$95/365</f>
        <v>196557.534246575</v>
      </c>
      <c r="E564" s="61" t="n">
        <f aca="false">E563+E348*1000*Pressupostos!$C$92*Pressupostos!$C$95/365</f>
        <v>332611.643835617</v>
      </c>
      <c r="F564" s="61" t="n">
        <f aca="false">F563+F348*1000*Pressupostos!$C$92*Pressupostos!$C$95/365</f>
        <v>582182.876712329</v>
      </c>
      <c r="G564" s="61" t="n">
        <f aca="false">G563+G348*1000*Pressupostos!$C$92*Pressupostos!$C$95/365</f>
        <v>891924.657534247</v>
      </c>
      <c r="H564" s="2" t="s">
        <v>1402</v>
      </c>
    </row>
    <row r="565" customFormat="false" ht="15" hidden="false" customHeight="false" outlineLevel="1" collapsed="false">
      <c r="A565" s="7" t="s">
        <v>746</v>
      </c>
      <c r="B565" s="8" t="s">
        <v>11</v>
      </c>
      <c r="C565" s="61" t="n">
        <f aca="false">C335*1000*(C355*C360/365)+C336*1000*(C378*C383/365)+C338*1000*(C401*C406/365)+C430*Pressupostos!$C$96/365+(C432+C433)*Pressupostos!$C$82/365</f>
        <v>31855.0684931507</v>
      </c>
      <c r="D565" s="61" t="n">
        <f aca="false">D335*1000*(D355*D360/365)+D336*1000*(D378*D383/365)+D338*1000*(D401*D406/365)+D430*Pressupostos!$C$96/365+(D432+D433)*Pressupostos!$C$82/365</f>
        <v>212985</v>
      </c>
      <c r="E565" s="61" t="n">
        <f aca="false">E335*1000*(E355*E360/365)+E336*1000*(E378*E383/365)+E338*1000*(E401*E406/365)+E430*Pressupostos!$C$96/365+(E432+E433)*Pressupostos!$C$82/365</f>
        <v>469179.246575342</v>
      </c>
      <c r="F565" s="61" t="n">
        <f aca="false">F335*1000*(F355*F360/365)+F336*1000*(F378*F383/365)+F338*1000*(F401*F406/365)+F430*Pressupostos!$C$96/365+(F432+F433)*Pressupostos!$C$82/365</f>
        <v>803968.150684931</v>
      </c>
      <c r="G565" s="61" t="n">
        <f aca="false">G335*1000*(G355*G360/365)+G336*1000*(G378*G383/365)+G338*1000*(G401*G406/365)+G430*Pressupostos!$C$96/365+(G432+G433)*Pressupostos!$C$82/365</f>
        <v>1225216.02739726</v>
      </c>
      <c r="H565" s="2" t="s">
        <v>1403</v>
      </c>
    </row>
    <row r="566" customFormat="false" ht="15" hidden="false" customHeight="false" outlineLevel="1" collapsed="false">
      <c r="A566" s="7" t="s">
        <v>747</v>
      </c>
      <c r="B566" s="8" t="s">
        <v>11</v>
      </c>
      <c r="C566" s="61" t="n">
        <f aca="false">C335*1000*((C353+C356)*Pressupostos!$C$72/365)+C336*1000*((C376+C379)*Pressupostos!$C$72/365)+C338*1000*((C399+C402)*Pressupostos!$C$72/365)+C348*1000*Pressupostos!$C$92*Pressupostos!$C$97/365</f>
        <v>20038.3561643836</v>
      </c>
      <c r="D566" s="61" t="n">
        <f aca="false">D335*1000*((D353+D356)*Pressupostos!$C$72/365)+D336*1000*((D376+D379)*Pressupostos!$C$72/365)+D338*1000*((D399+D402)*Pressupostos!$C$72/365)+D348*1000*Pressupostos!$C$92*Pressupostos!$C$97/365</f>
        <v>133454.794520548</v>
      </c>
      <c r="E566" s="61" t="n">
        <f aca="false">E335*1000*((E353+E356)*Pressupostos!$C$72/365)+E336*1000*((E376+E379)*Pressupostos!$C$72/365)+E338*1000*((E399+E402)*Pressupostos!$C$72/365)+E348*1000*Pressupostos!$C$92*Pressupostos!$C$97/365</f>
        <v>301298.630136986</v>
      </c>
      <c r="F566" s="61" t="n">
        <f aca="false">F335*1000*((F353+F356)*Pressupostos!$C$72/365)+F336*1000*((F376+F379)*Pressupostos!$C$72/365)+F338*1000*((F399+F402)*Pressupostos!$C$72/365)+F348*1000*Pressupostos!$C$92*Pressupostos!$C$97/365</f>
        <v>519386.301369863</v>
      </c>
      <c r="G566" s="61" t="n">
        <f aca="false">G335*1000*((G353+G356)*Pressupostos!$C$72/365)+G336*1000*((G376+G379)*Pressupostos!$C$72/365)+G338*1000*((G399+G402)*Pressupostos!$C$72/365)+G348*1000*Pressupostos!$C$92*Pressupostos!$C$97/365</f>
        <v>793232.876712329</v>
      </c>
      <c r="H566" s="2" t="s">
        <v>1404</v>
      </c>
    </row>
    <row r="567" customFormat="false" ht="15" hidden="false" customHeight="false" outlineLevel="1" collapsed="false">
      <c r="A567" s="56" t="s">
        <v>748</v>
      </c>
      <c r="B567" s="57" t="s">
        <v>11</v>
      </c>
      <c r="C567" s="62" t="n">
        <f aca="false">C564+C565-C566</f>
        <v>45498.904109589</v>
      </c>
      <c r="D567" s="62" t="n">
        <f aca="false">D564+D565-D566</f>
        <v>276087.739726027</v>
      </c>
      <c r="E567" s="62" t="n">
        <f aca="false">E564+E565-E566</f>
        <v>500492.260273972</v>
      </c>
      <c r="F567" s="62" t="n">
        <f aca="false">F564+F565-F566</f>
        <v>866764.726027397</v>
      </c>
      <c r="G567" s="62" t="n">
        <f aca="false">G564+G565-G566</f>
        <v>1323907.80821918</v>
      </c>
      <c r="H567" s="2" t="s">
        <v>1405</v>
      </c>
    </row>
    <row r="568" customFormat="false" ht="15" hidden="false" customHeight="false" outlineLevel="0" collapsed="false">
      <c r="A568" s="3" t="s">
        <v>1406</v>
      </c>
      <c r="B568" s="4"/>
      <c r="C568" s="4"/>
      <c r="D568" s="4"/>
      <c r="E568" s="4"/>
      <c r="F568" s="4"/>
      <c r="G568" s="4"/>
      <c r="H568" s="4"/>
    </row>
    <row r="569" customFormat="false" ht="15" hidden="false" customHeight="false" outlineLevel="1" collapsed="false">
      <c r="A569" s="56" t="s">
        <v>750</v>
      </c>
      <c r="B569" s="57" t="s">
        <v>11</v>
      </c>
      <c r="C569" s="62" t="n">
        <f aca="false">Pressupostos!$C$282*C567/Pressupostos!$D$31</f>
        <v>0</v>
      </c>
      <c r="D569" s="62" t="n">
        <f aca="false">Pressupostos!$D$282*D567/Pressupostos!$D$31</f>
        <v>310598.707191781</v>
      </c>
      <c r="E569" s="62" t="n">
        <f aca="false">Pressupostos!$E$282*E567/Pressupostos!$D$31</f>
        <v>563053.792808219</v>
      </c>
      <c r="F569" s="62" t="n">
        <f aca="false">Pressupostos!$F$282*F567/Pressupostos!$D$31</f>
        <v>975110.316780822</v>
      </c>
      <c r="G569" s="62" t="n">
        <f aca="false">Pressupostos!$G$282*G567/Pressupostos!$D$31</f>
        <v>1489396.28424658</v>
      </c>
      <c r="H569" s="2" t="s">
        <v>1407</v>
      </c>
    </row>
    <row r="570" customFormat="false" ht="15" hidden="false" customHeight="false" outlineLevel="1" collapsed="false">
      <c r="A570" s="7" t="s">
        <v>751</v>
      </c>
      <c r="B570" s="8" t="s">
        <v>11</v>
      </c>
      <c r="C570" s="61" t="n">
        <f aca="false">Pressupostos!$C$282*C567</f>
        <v>0</v>
      </c>
      <c r="D570" s="61" t="n">
        <f aca="false">Pressupostos!$D$282*D567</f>
        <v>248478.965753425</v>
      </c>
      <c r="E570" s="61" t="n">
        <f aca="false">Pressupostos!$E$282*E567</f>
        <v>450443.034246575</v>
      </c>
      <c r="F570" s="61" t="n">
        <f aca="false">Pressupostos!$F$282*F567</f>
        <v>780088.253424658</v>
      </c>
      <c r="G570" s="61" t="n">
        <f aca="false">Pressupostos!$G$282*G567</f>
        <v>1191517.02739726</v>
      </c>
      <c r="H570" s="2" t="s">
        <v>1408</v>
      </c>
    </row>
    <row r="571" customFormat="false" ht="15" hidden="false" customHeight="false" outlineLevel="1" collapsed="false">
      <c r="A571" s="7" t="s">
        <v>752</v>
      </c>
      <c r="B571" s="8" t="s">
        <v>11</v>
      </c>
      <c r="C571" s="61" t="n">
        <f aca="false">C569-C570</f>
        <v>0</v>
      </c>
      <c r="D571" s="61" t="n">
        <f aca="false">D569-D570</f>
        <v>62119.7414383561</v>
      </c>
      <c r="E571" s="61" t="n">
        <f aca="false">E569-E570</f>
        <v>112610.758561644</v>
      </c>
      <c r="F571" s="61" t="n">
        <f aca="false">F569-F570</f>
        <v>195022.063356164</v>
      </c>
      <c r="G571" s="61" t="n">
        <f aca="false">G569-G570</f>
        <v>297879.256849315</v>
      </c>
      <c r="H571" s="2" t="s">
        <v>1409</v>
      </c>
    </row>
    <row r="572" customFormat="false" ht="15" hidden="false" customHeight="false" outlineLevel="1" collapsed="false">
      <c r="A572" s="7" t="s">
        <v>753</v>
      </c>
      <c r="B572" s="8" t="s">
        <v>11</v>
      </c>
      <c r="C572" s="61" t="n">
        <f aca="false">C567-C570</f>
        <v>45498.904109589</v>
      </c>
      <c r="D572" s="61" t="n">
        <f aca="false">D567-D570</f>
        <v>27608.7739726027</v>
      </c>
      <c r="E572" s="61" t="n">
        <f aca="false">E567-E570</f>
        <v>50049.2260273973</v>
      </c>
      <c r="F572" s="61" t="n">
        <f aca="false">F567-F570</f>
        <v>86676.4726027397</v>
      </c>
      <c r="G572" s="61" t="n">
        <f aca="false">G567-G570</f>
        <v>132390.780821918</v>
      </c>
      <c r="H572" s="2" t="s">
        <v>1410</v>
      </c>
    </row>
    <row r="573" customFormat="false" ht="15" hidden="false" customHeight="false" outlineLevel="1" collapsed="false">
      <c r="A573" s="7" t="s">
        <v>754</v>
      </c>
      <c r="B573" s="8" t="s">
        <v>11</v>
      </c>
      <c r="C573" s="61" t="n">
        <f aca="false">MAX(0,Pressupostos!$C$108-C572)</f>
        <v>4501.09589041097</v>
      </c>
      <c r="D573" s="61" t="n">
        <f aca="false">MAX(0,Pressupostos!$C$108-D572)</f>
        <v>22391.2260273973</v>
      </c>
      <c r="E573" s="61" t="n">
        <f aca="false">MAX(0,Pressupostos!$C$108-E572)</f>
        <v>0</v>
      </c>
      <c r="F573" s="61" t="n">
        <f aca="false">MAX(0,Pressupostos!$C$108-F572)</f>
        <v>0</v>
      </c>
      <c r="G573" s="61" t="n">
        <f aca="false">MAX(0,Pressupostos!$C$108-G572)</f>
        <v>0</v>
      </c>
      <c r="H573" s="2" t="s">
        <v>1411</v>
      </c>
    </row>
    <row r="574" customFormat="false" ht="15" hidden="false" customHeight="false" outlineLevel="1" collapsed="false">
      <c r="A574" s="7" t="s">
        <v>755</v>
      </c>
      <c r="B574" s="8" t="s">
        <v>11</v>
      </c>
      <c r="C574" s="61" t="n">
        <f aca="false">Pressupostos!$C$109*C569</f>
        <v>0</v>
      </c>
      <c r="D574" s="61" t="n">
        <f aca="false">Pressupostos!$C$109*D569</f>
        <v>15529.935359589</v>
      </c>
      <c r="E574" s="61" t="n">
        <f aca="false">Pressupostos!$C$109*E569</f>
        <v>28152.689640411</v>
      </c>
      <c r="F574" s="61" t="n">
        <f aca="false">Pressupostos!$C$109*F569</f>
        <v>48755.5158390411</v>
      </c>
      <c r="G574" s="61" t="n">
        <f aca="false">Pressupostos!$C$109*G569</f>
        <v>74469.8142123288</v>
      </c>
      <c r="H574" s="2" t="s">
        <v>1412</v>
      </c>
    </row>
    <row r="575" customFormat="false" ht="15" hidden="false" customHeight="false" outlineLevel="1" collapsed="false">
      <c r="A575" s="2" t="s">
        <v>756</v>
      </c>
      <c r="B575" s="8" t="s">
        <v>123</v>
      </c>
      <c r="C575" s="61" t="n">
        <f aca="false">C569/Pressupostos!$C$112</f>
        <v>0</v>
      </c>
      <c r="D575" s="61" t="n">
        <f aca="false">D569/Pressupostos!$C$112</f>
        <v>6.21197414383562</v>
      </c>
      <c r="E575" s="61" t="n">
        <f aca="false">E569/Pressupostos!$C$112</f>
        <v>11.2610758561644</v>
      </c>
      <c r="F575" s="61" t="n">
        <f aca="false">F569/Pressupostos!$C$112</f>
        <v>19.5022063356164</v>
      </c>
      <c r="G575" s="61" t="n">
        <f aca="false">G569/Pressupostos!$C$112</f>
        <v>29.7879256849315</v>
      </c>
      <c r="H575" s="2" t="s">
        <v>1413</v>
      </c>
    </row>
    <row r="576" customFormat="false" ht="15" hidden="false" customHeight="false" outlineLevel="0" collapsed="false">
      <c r="A576" s="3" t="s">
        <v>1414</v>
      </c>
      <c r="B576" s="4"/>
      <c r="C576" s="4"/>
      <c r="D576" s="4"/>
      <c r="E576" s="4"/>
      <c r="F576" s="4"/>
      <c r="G576" s="4"/>
      <c r="H576" s="4"/>
    </row>
    <row r="577" customFormat="false" ht="15" hidden="false" customHeight="false" outlineLevel="1" collapsed="false">
      <c r="A577" s="7" t="s">
        <v>758</v>
      </c>
      <c r="B577" s="8" t="s">
        <v>11</v>
      </c>
      <c r="C577" s="61" t="n">
        <f aca="false">C543</f>
        <v>-711437.451832192</v>
      </c>
      <c r="D577" s="61" t="n">
        <f aca="false">D543</f>
        <v>-801413.478106654</v>
      </c>
      <c r="E577" s="61" t="n">
        <f aca="false">E543</f>
        <v>-969909.990443249</v>
      </c>
      <c r="F577" s="61" t="n">
        <f aca="false">F543</f>
        <v>-1094156.26026446</v>
      </c>
      <c r="G577" s="61" t="n">
        <f aca="false">G543</f>
        <v>-1219975.89659631</v>
      </c>
      <c r="H577" s="2" t="s">
        <v>1415</v>
      </c>
    </row>
    <row r="578" customFormat="false" ht="15" hidden="false" customHeight="false" outlineLevel="1" collapsed="false">
      <c r="A578" s="7" t="s">
        <v>759</v>
      </c>
      <c r="B578" s="8" t="s">
        <v>11</v>
      </c>
      <c r="C578" s="61" t="n">
        <f aca="false">-C558</f>
        <v>-0</v>
      </c>
      <c r="D578" s="61" t="n">
        <f aca="false">-D558</f>
        <v>-0</v>
      </c>
      <c r="E578" s="61" t="n">
        <f aca="false">-E558</f>
        <v>-0</v>
      </c>
      <c r="F578" s="61" t="n">
        <f aca="false">-F558</f>
        <v>-0</v>
      </c>
      <c r="G578" s="61" t="n">
        <f aca="false">-G558</f>
        <v>-0</v>
      </c>
      <c r="H578" s="2" t="s">
        <v>1416</v>
      </c>
    </row>
    <row r="579" customFormat="false" ht="15" hidden="false" customHeight="false" outlineLevel="1" collapsed="false">
      <c r="A579" s="7" t="s">
        <v>760</v>
      </c>
      <c r="B579" s="8" t="s">
        <v>11</v>
      </c>
      <c r="C579" s="61" t="n">
        <f aca="false">-C567</f>
        <v>-45498.904109589</v>
      </c>
      <c r="D579" s="61" t="n">
        <f aca="false">-(D567-C567)</f>
        <v>-230588.835616438</v>
      </c>
      <c r="E579" s="61" t="n">
        <f aca="false">-(E567-D567)</f>
        <v>-224404.520547945</v>
      </c>
      <c r="F579" s="61" t="n">
        <f aca="false">-(F567-E567)</f>
        <v>-366272.465753425</v>
      </c>
      <c r="G579" s="61" t="n">
        <f aca="false">-(G567-F567)</f>
        <v>-457143.082191781</v>
      </c>
      <c r="H579" s="2" t="s">
        <v>1417</v>
      </c>
    </row>
    <row r="580" customFormat="false" ht="15" hidden="false" customHeight="false" outlineLevel="1" collapsed="false">
      <c r="A580" s="7" t="s">
        <v>424</v>
      </c>
      <c r="B580" s="8" t="s">
        <v>11</v>
      </c>
      <c r="C580" s="61" t="n">
        <f aca="false">-C527</f>
        <v>-92000</v>
      </c>
      <c r="D580" s="61" t="n">
        <f aca="false">-D527</f>
        <v>-44000</v>
      </c>
      <c r="E580" s="61" t="n">
        <f aca="false">-E527</f>
        <v>-48000</v>
      </c>
      <c r="F580" s="61" t="n">
        <f aca="false">-F527</f>
        <v>-38000</v>
      </c>
      <c r="G580" s="61" t="n">
        <f aca="false">-G527</f>
        <v>-38000</v>
      </c>
      <c r="H580" s="2" t="s">
        <v>1418</v>
      </c>
    </row>
    <row r="581" customFormat="false" ht="15" hidden="false" customHeight="false" outlineLevel="1" collapsed="false">
      <c r="A581" s="7" t="s">
        <v>761</v>
      </c>
      <c r="B581" s="8" t="s">
        <v>11</v>
      </c>
      <c r="C581" s="61" t="n">
        <f aca="false">C577+C578+C579+C580</f>
        <v>-848936.355941781</v>
      </c>
      <c r="D581" s="61" t="n">
        <f aca="false">D577+D578+D579+D580</f>
        <v>-1076002.31372309</v>
      </c>
      <c r="E581" s="61" t="n">
        <f aca="false">E577+E578+E579+E580</f>
        <v>-1242314.51099119</v>
      </c>
      <c r="F581" s="61" t="n">
        <f aca="false">F577+F578+F579+F580</f>
        <v>-1498428.72601788</v>
      </c>
      <c r="G581" s="61" t="n">
        <f aca="false">G577+G578+G579+G580</f>
        <v>-1715118.97878809</v>
      </c>
      <c r="H581" s="2" t="s">
        <v>1419</v>
      </c>
    </row>
    <row r="582" customFormat="false" ht="15" hidden="false" customHeight="false" outlineLevel="1" collapsed="false">
      <c r="A582" s="7" t="s">
        <v>762</v>
      </c>
      <c r="B582" s="8" t="s">
        <v>11</v>
      </c>
      <c r="C582" s="61" t="n">
        <f aca="false">C569</f>
        <v>0</v>
      </c>
      <c r="D582" s="61" t="n">
        <f aca="false">D569-C569</f>
        <v>310598.707191781</v>
      </c>
      <c r="E582" s="61" t="n">
        <f aca="false">E569-D569</f>
        <v>252455.085616438</v>
      </c>
      <c r="F582" s="61" t="n">
        <f aca="false">F569-E569</f>
        <v>412056.523972603</v>
      </c>
      <c r="G582" s="61" t="n">
        <f aca="false">G569-F569</f>
        <v>514285.967465753</v>
      </c>
      <c r="H582" s="2" t="s">
        <v>1420</v>
      </c>
    </row>
    <row r="583" customFormat="false" ht="15" hidden="false" customHeight="false" outlineLevel="1" collapsed="false">
      <c r="A583" s="7" t="s">
        <v>763</v>
      </c>
      <c r="B583" s="8" t="s">
        <v>11</v>
      </c>
      <c r="C583" s="61" t="n">
        <f aca="false">-C571</f>
        <v>-0</v>
      </c>
      <c r="D583" s="61" t="n">
        <f aca="false">-(D571-C571)</f>
        <v>-62119.7414383561</v>
      </c>
      <c r="E583" s="61" t="n">
        <f aca="false">-(E571-D571)</f>
        <v>-50491.0171232877</v>
      </c>
      <c r="F583" s="61" t="n">
        <f aca="false">-(F571-E571)</f>
        <v>-82411.3047945206</v>
      </c>
      <c r="G583" s="61" t="n">
        <f aca="false">-(G571-F571)</f>
        <v>-102857.193493151</v>
      </c>
      <c r="H583" s="2" t="s">
        <v>1421</v>
      </c>
    </row>
    <row r="584" customFormat="false" ht="15" hidden="false" customHeight="false" outlineLevel="1" collapsed="false">
      <c r="A584" s="7" t="s">
        <v>764</v>
      </c>
      <c r="B584" s="8" t="s">
        <v>11</v>
      </c>
      <c r="C584" s="61" t="n">
        <f aca="false">-C574</f>
        <v>-0</v>
      </c>
      <c r="D584" s="61" t="n">
        <f aca="false">-(D574-C574)</f>
        <v>-15529.935359589</v>
      </c>
      <c r="E584" s="61" t="n">
        <f aca="false">-(E574-D574)</f>
        <v>-12622.7542808219</v>
      </c>
      <c r="F584" s="61" t="n">
        <f aca="false">-(F574-E574)</f>
        <v>-20602.8261986301</v>
      </c>
      <c r="G584" s="61" t="n">
        <f aca="false">-(G574-F574)</f>
        <v>-25714.2983732877</v>
      </c>
      <c r="H584" s="2" t="s">
        <v>1422</v>
      </c>
    </row>
    <row r="585" customFormat="false" ht="15" hidden="false" customHeight="false" outlineLevel="1" collapsed="false">
      <c r="A585" s="7" t="s">
        <v>765</v>
      </c>
      <c r="B585" s="8" t="s">
        <v>11</v>
      </c>
      <c r="C585" s="61" t="n">
        <f aca="false">-(C573-Pressupostos!$C$108)</f>
        <v>45498.904109589</v>
      </c>
      <c r="D585" s="61" t="n">
        <f aca="false">-(D573-C573)</f>
        <v>-17890.1301369863</v>
      </c>
      <c r="E585" s="61" t="n">
        <f aca="false">-(E573-D573)</f>
        <v>22391.2260273973</v>
      </c>
      <c r="F585" s="61" t="n">
        <f aca="false">-(F573-E573)</f>
        <v>-0</v>
      </c>
      <c r="G585" s="61" t="n">
        <f aca="false">-(G573-F573)</f>
        <v>-0</v>
      </c>
      <c r="H585" s="2" t="s">
        <v>1423</v>
      </c>
    </row>
    <row r="586" customFormat="false" ht="15" hidden="false" customHeight="false" outlineLevel="1" collapsed="false">
      <c r="A586" s="56" t="s">
        <v>766</v>
      </c>
      <c r="B586" s="57" t="s">
        <v>11</v>
      </c>
      <c r="C586" s="62" t="n">
        <f aca="false">C581+C582+C583+C584+C585</f>
        <v>-803437.451832192</v>
      </c>
      <c r="D586" s="62" t="n">
        <f aca="false">D581+D582+D583+D584+D585</f>
        <v>-860943.413466243</v>
      </c>
      <c r="E586" s="62" t="n">
        <f aca="false">E581+E582+E583+E584+E585</f>
        <v>-1030581.97075147</v>
      </c>
      <c r="F586" s="62" t="n">
        <f aca="false">F581+F582+F583+F584+F585</f>
        <v>-1189386.33303843</v>
      </c>
      <c r="G586" s="62" t="n">
        <f aca="false">G581+G582+G583+G584+G585</f>
        <v>-1329404.50318877</v>
      </c>
      <c r="H586" s="2" t="s">
        <v>1424</v>
      </c>
    </row>
    <row r="587" customFormat="false" ht="15" hidden="false" customHeight="false" outlineLevel="1" collapsed="false">
      <c r="A587" s="56" t="s">
        <v>767</v>
      </c>
      <c r="B587" s="57" t="s">
        <v>11</v>
      </c>
      <c r="C587" s="62" t="n">
        <f aca="false">C586</f>
        <v>-803437.451832192</v>
      </c>
      <c r="D587" s="62" t="n">
        <f aca="false">C587+D586</f>
        <v>-1664380.86529843</v>
      </c>
      <c r="E587" s="62" t="n">
        <f aca="false">D587+E586</f>
        <v>-2694962.8360499</v>
      </c>
      <c r="F587" s="62" t="n">
        <f aca="false">E587+F586</f>
        <v>-3884349.16908834</v>
      </c>
      <c r="G587" s="62" t="n">
        <f aca="false">F587+G586</f>
        <v>-5213753.67227711</v>
      </c>
      <c r="H587" s="2" t="s">
        <v>1425</v>
      </c>
    </row>
    <row r="588" customFormat="false" ht="15" hidden="false" customHeight="false" outlineLevel="1" collapsed="false">
      <c r="A588" s="8" t="s">
        <v>768</v>
      </c>
      <c r="B588" s="8" t="s">
        <v>11</v>
      </c>
      <c r="C588" s="70" t="n">
        <f aca="false">ROUND(C543-C527-C558-(MAX(C572,Pressupostos!$C$108)-Pressupostos!$C$108)-(C574)-C586,6)</f>
        <v>0</v>
      </c>
      <c r="D588" s="70" t="n">
        <f aca="false">ROUND(D543-D527-D558-(MAX(D572,Pressupostos!$C$108)-MAX(C572,Pressupostos!$C$108))-(D574-C574)-D586,6)</f>
        <v>0</v>
      </c>
      <c r="E588" s="70" t="n">
        <f aca="false">ROUND(E543-E527-E558-(MAX(E572,Pressupostos!$C$108)-MAX(D572,Pressupostos!$C$108))-(E574-D574)-E586,6)</f>
        <v>0</v>
      </c>
      <c r="F588" s="70" t="n">
        <f aca="false">ROUND(F543-F527-F558-(MAX(F572,Pressupostos!$C$108)-MAX(E572,Pressupostos!$C$108))-(F574-E574)-F586,6)</f>
        <v>0</v>
      </c>
      <c r="G588" s="70" t="n">
        <f aca="false">ROUND(G543-G527-G558-(MAX(G572,Pressupostos!$C$108)-MAX(F572,Pressupostos!$C$108))-(G574-F574)-G586,6)</f>
        <v>0</v>
      </c>
      <c r="H588" s="2" t="s">
        <v>1426</v>
      </c>
    </row>
    <row r="589" customFormat="false" ht="15" hidden="false" customHeight="false" outlineLevel="0" collapsed="false">
      <c r="A589" s="3" t="s">
        <v>1427</v>
      </c>
      <c r="B589" s="4"/>
      <c r="C589" s="4"/>
      <c r="D589" s="4"/>
      <c r="E589" s="4"/>
      <c r="F589" s="4"/>
      <c r="G589" s="4"/>
      <c r="H589" s="4"/>
    </row>
    <row r="590" customFormat="false" ht="15" hidden="false" customHeight="false" outlineLevel="1" collapsed="false">
      <c r="A590" s="7" t="s">
        <v>770</v>
      </c>
      <c r="B590" s="8" t="s">
        <v>11</v>
      </c>
      <c r="C590" s="61" t="n">
        <f aca="false">0</f>
        <v>0</v>
      </c>
      <c r="D590" s="61" t="n">
        <f aca="false">C595</f>
        <v>151562.548167808</v>
      </c>
      <c r="E590" s="61" t="n">
        <f aca="false">D595</f>
        <v>150000</v>
      </c>
      <c r="F590" s="61" t="n">
        <f aca="false">E595</f>
        <v>150000</v>
      </c>
      <c r="G590" s="61" t="n">
        <f aca="false">F595</f>
        <v>150000</v>
      </c>
      <c r="H590" s="2" t="s">
        <v>1428</v>
      </c>
    </row>
    <row r="591" customFormat="false" ht="15" hidden="false" customHeight="false" outlineLevel="1" collapsed="false">
      <c r="A591" s="7" t="s">
        <v>771</v>
      </c>
      <c r="B591" s="8" t="s">
        <v>11</v>
      </c>
      <c r="C591" s="61" t="n">
        <f aca="false">-(Pressupostos!$C$159+Pressupostos!$C$160+Pressupostos!$C$161+Pressupostos!$C$162+Pressupostos!$C$163+Pressupostos!$C$108)</f>
        <v>-145000</v>
      </c>
      <c r="D591" s="61" t="n">
        <f aca="false">0</f>
        <v>0</v>
      </c>
      <c r="E591" s="61" t="n">
        <f aca="false">0</f>
        <v>0</v>
      </c>
      <c r="F591" s="61" t="n">
        <f aca="false">0</f>
        <v>0</v>
      </c>
      <c r="G591" s="61" t="n">
        <f aca="false">0</f>
        <v>0</v>
      </c>
      <c r="H591" s="2" t="s">
        <v>1429</v>
      </c>
    </row>
    <row r="592" customFormat="false" ht="15" hidden="false" customHeight="false" outlineLevel="1" collapsed="false">
      <c r="A592" s="7" t="s">
        <v>772</v>
      </c>
      <c r="B592" s="8" t="s">
        <v>11</v>
      </c>
      <c r="C592" s="53" t="n">
        <f aca="false">Pressupostos!$D$32</f>
        <v>1100000</v>
      </c>
      <c r="D592" s="61" t="n">
        <f aca="false">0</f>
        <v>0</v>
      </c>
      <c r="E592" s="61" t="n">
        <f aca="false">0</f>
        <v>0</v>
      </c>
      <c r="F592" s="61" t="n">
        <f aca="false">0</f>
        <v>0</v>
      </c>
      <c r="G592" s="61" t="n">
        <f aca="false">0</f>
        <v>0</v>
      </c>
      <c r="H592" s="2" t="s">
        <v>1430</v>
      </c>
    </row>
    <row r="593" customFormat="false" ht="15" hidden="false" customHeight="false" outlineLevel="1" collapsed="false">
      <c r="A593" s="7" t="s">
        <v>773</v>
      </c>
      <c r="B593" s="8" t="s">
        <v>11</v>
      </c>
      <c r="C593" s="61" t="n">
        <f aca="false">C590+C591+C592+C586</f>
        <v>151562.548167808</v>
      </c>
      <c r="D593" s="61" t="n">
        <f aca="false">D590+D591+D592+D586</f>
        <v>-709380.865298435</v>
      </c>
      <c r="E593" s="61" t="n">
        <f aca="false">E590+E591+E592+E586</f>
        <v>-880581.970751468</v>
      </c>
      <c r="F593" s="61" t="n">
        <f aca="false">F590+F591+F592+F586</f>
        <v>-1039386.33303843</v>
      </c>
      <c r="G593" s="61" t="n">
        <f aca="false">G590+G591+G592+G586</f>
        <v>-1179404.50318877</v>
      </c>
      <c r="H593" s="2" t="s">
        <v>1431</v>
      </c>
    </row>
    <row r="594" customFormat="false" ht="15" hidden="false" customHeight="false" outlineLevel="1" collapsed="false">
      <c r="A594" s="56" t="s">
        <v>774</v>
      </c>
      <c r="B594" s="57" t="s">
        <v>11</v>
      </c>
      <c r="C594" s="62" t="n">
        <f aca="false">MAX(0,Pressupostos!$C$170-C593)</f>
        <v>0</v>
      </c>
      <c r="D594" s="62" t="n">
        <f aca="false">MAX(0,Pressupostos!$C$170-D593)</f>
        <v>859380.865298435</v>
      </c>
      <c r="E594" s="62" t="n">
        <f aca="false">MAX(0,Pressupostos!$C$170-E593)</f>
        <v>1030581.97075147</v>
      </c>
      <c r="F594" s="62" t="n">
        <f aca="false">MAX(0,Pressupostos!$C$170-F593)</f>
        <v>1189386.33303843</v>
      </c>
      <c r="G594" s="62" t="n">
        <f aca="false">MAX(0,Pressupostos!$C$170-G593)</f>
        <v>1329404.50318877</v>
      </c>
      <c r="H594" s="2" t="s">
        <v>1432</v>
      </c>
    </row>
    <row r="595" customFormat="false" ht="15" hidden="false" customHeight="false" outlineLevel="1" collapsed="false">
      <c r="A595" s="56" t="s">
        <v>775</v>
      </c>
      <c r="B595" s="57" t="s">
        <v>11</v>
      </c>
      <c r="C595" s="62" t="n">
        <f aca="false">C593+C594</f>
        <v>151562.548167808</v>
      </c>
      <c r="D595" s="62" t="n">
        <f aca="false">D593+D594</f>
        <v>150000</v>
      </c>
      <c r="E595" s="62" t="n">
        <f aca="false">E593+E594</f>
        <v>150000</v>
      </c>
      <c r="F595" s="62" t="n">
        <f aca="false">F593+F594</f>
        <v>150000</v>
      </c>
      <c r="G595" s="62" t="n">
        <f aca="false">G593+G594</f>
        <v>150000</v>
      </c>
      <c r="H595" s="2" t="s">
        <v>1433</v>
      </c>
    </row>
    <row r="596" customFormat="false" ht="15" hidden="false" customHeight="false" outlineLevel="1" collapsed="false">
      <c r="A596" s="7" t="s">
        <v>776</v>
      </c>
      <c r="B596" s="8" t="s">
        <v>11</v>
      </c>
      <c r="C596" s="61" t="n">
        <f aca="false">C571+C574+C573</f>
        <v>4501.09589041097</v>
      </c>
      <c r="D596" s="61" t="n">
        <f aca="false">D571+D574+D573</f>
        <v>100040.902825342</v>
      </c>
      <c r="E596" s="61" t="n">
        <f aca="false">E571+E574+E573</f>
        <v>140763.448202055</v>
      </c>
      <c r="F596" s="61" t="n">
        <f aca="false">F571+F574+F573</f>
        <v>243777.579195205</v>
      </c>
      <c r="G596" s="61" t="n">
        <f aca="false">G571+G574+G573</f>
        <v>372349.071061644</v>
      </c>
      <c r="H596" s="2" t="s">
        <v>1434</v>
      </c>
    </row>
    <row r="597" customFormat="false" ht="15" hidden="false" customHeight="false" outlineLevel="1" collapsed="false">
      <c r="A597" s="7" t="s">
        <v>777</v>
      </c>
      <c r="B597" s="8" t="s">
        <v>11</v>
      </c>
      <c r="C597" s="61" t="n">
        <f aca="false">C595+C596</f>
        <v>156063.644058219</v>
      </c>
      <c r="D597" s="61" t="n">
        <f aca="false">D595+D596</f>
        <v>250040.902825342</v>
      </c>
      <c r="E597" s="61" t="n">
        <f aca="false">E595+E596</f>
        <v>290763.448202055</v>
      </c>
      <c r="F597" s="61" t="n">
        <f aca="false">F595+F596</f>
        <v>393777.579195206</v>
      </c>
      <c r="G597" s="61" t="n">
        <f aca="false">G595+G596</f>
        <v>522349.071061644</v>
      </c>
      <c r="H597" s="2" t="s">
        <v>1435</v>
      </c>
    </row>
    <row r="598" customFormat="false" ht="15" hidden="false" customHeight="false" outlineLevel="1" collapsed="false">
      <c r="A598" s="7" t="s">
        <v>778</v>
      </c>
      <c r="B598" s="8" t="s">
        <v>11</v>
      </c>
      <c r="C598" s="61" t="n">
        <f aca="false">C592+C594</f>
        <v>1100000</v>
      </c>
      <c r="D598" s="61" t="n">
        <f aca="false">C598+D592+D594</f>
        <v>1959380.86529843</v>
      </c>
      <c r="E598" s="61" t="n">
        <f aca="false">D598+E592+E594</f>
        <v>2989962.8360499</v>
      </c>
      <c r="F598" s="61" t="n">
        <f aca="false">E598+F592+F594</f>
        <v>4179349.16908834</v>
      </c>
      <c r="G598" s="61" t="n">
        <f aca="false">F598+G592+G594</f>
        <v>5508753.67227711</v>
      </c>
      <c r="H598" s="2" t="s">
        <v>1436</v>
      </c>
    </row>
    <row r="599" customFormat="false" ht="15" hidden="false" customHeight="false" outlineLevel="0" collapsed="false">
      <c r="A599" s="3" t="s">
        <v>1437</v>
      </c>
      <c r="B599" s="4"/>
      <c r="C599" s="4"/>
      <c r="D599" s="4"/>
      <c r="E599" s="4"/>
      <c r="F599" s="4"/>
      <c r="G599" s="4"/>
      <c r="H599" s="4"/>
    </row>
    <row r="600" customFormat="false" ht="15" hidden="false" customHeight="false" outlineLevel="1" collapsed="false">
      <c r="A600" s="7" t="s">
        <v>782</v>
      </c>
      <c r="B600" s="8" t="s">
        <v>11</v>
      </c>
      <c r="C600" s="72" t="n">
        <f aca="false">Pressupostos!$C$159+Pressupostos!$C$160+Pressupostos!$C$161+Pressupostos!$C$162+Pressupostos!$C$163</f>
        <v>95000</v>
      </c>
      <c r="H600" s="2" t="s">
        <v>1438</v>
      </c>
    </row>
    <row r="601" customFormat="false" ht="15" hidden="false" customHeight="false" outlineLevel="1" collapsed="false">
      <c r="A601" s="7" t="s">
        <v>783</v>
      </c>
      <c r="B601" s="8" t="s">
        <v>11</v>
      </c>
      <c r="C601" s="73" t="n">
        <f aca="false">Pressupostos!$C$108</f>
        <v>50000</v>
      </c>
      <c r="H601" s="2" t="s">
        <v>1439</v>
      </c>
    </row>
    <row r="602" customFormat="false" ht="15" hidden="false" customHeight="false" outlineLevel="1" collapsed="false">
      <c r="A602" s="7" t="s">
        <v>322</v>
      </c>
      <c r="B602" s="8" t="s">
        <v>11</v>
      </c>
      <c r="C602" s="73" t="n">
        <f aca="false">Pressupostos!$C$170</f>
        <v>150000</v>
      </c>
      <c r="H602" s="2" t="s">
        <v>1440</v>
      </c>
    </row>
    <row r="603" customFormat="false" ht="15" hidden="false" customHeight="false" outlineLevel="1" collapsed="false">
      <c r="A603" s="7" t="s">
        <v>784</v>
      </c>
      <c r="B603" s="8" t="s">
        <v>11</v>
      </c>
      <c r="C603" s="72" t="n">
        <f aca="false">MAX(0,-MIN($C$587:$G$587))</f>
        <v>5213753.67227711</v>
      </c>
      <c r="H603" s="2" t="s">
        <v>1441</v>
      </c>
    </row>
    <row r="604" customFormat="false" ht="15" hidden="false" customHeight="false" outlineLevel="1" collapsed="false">
      <c r="A604" s="56" t="s">
        <v>785</v>
      </c>
      <c r="B604" s="57" t="s">
        <v>11</v>
      </c>
      <c r="C604" s="74" t="n">
        <f aca="false">C600+C601+C602+C603</f>
        <v>5508753.67227711</v>
      </c>
      <c r="H604" s="2" t="s">
        <v>1442</v>
      </c>
    </row>
    <row r="605" customFormat="false" ht="15" hidden="false" customHeight="false" outlineLevel="1" collapsed="false">
      <c r="A605" s="7" t="s">
        <v>786</v>
      </c>
      <c r="B605" s="8" t="s">
        <v>20</v>
      </c>
      <c r="C605" s="75" t="n">
        <f aca="false">INDEX($C$332:$G$332,1,MATCH(MIN($C$587:$G$587),$C$587:$G$587,0))</f>
        <v>2031</v>
      </c>
      <c r="H605" s="2" t="s">
        <v>1443</v>
      </c>
    </row>
    <row r="606" customFormat="false" ht="15" hidden="false" customHeight="false" outlineLevel="1" collapsed="false">
      <c r="A606" s="7" t="s">
        <v>787</v>
      </c>
      <c r="B606" s="8"/>
      <c r="C606" s="76" t="str">
        <f aca="false">IF(G586&lt;0,"sim","não")</f>
        <v>sim</v>
      </c>
      <c r="H606" s="2" t="s">
        <v>1444</v>
      </c>
    </row>
    <row r="607" customFormat="false" ht="15" hidden="false" customHeight="false" outlineLevel="1" collapsed="false">
      <c r="A607" s="7" t="s">
        <v>788</v>
      </c>
      <c r="B607" s="8" t="s">
        <v>11</v>
      </c>
      <c r="C607" s="72" t="n">
        <f aca="false">G598</f>
        <v>5508753.67227711</v>
      </c>
      <c r="H607" s="2" t="s">
        <v>1445</v>
      </c>
    </row>
    <row r="608" customFormat="false" ht="15" hidden="false" customHeight="false" outlineLevel="0" collapsed="false">
      <c r="A608" s="3" t="s">
        <v>1446</v>
      </c>
      <c r="B608" s="4"/>
      <c r="C608" s="4"/>
      <c r="D608" s="4"/>
      <c r="E608" s="4"/>
      <c r="F608" s="4"/>
      <c r="G608" s="4"/>
      <c r="H608" s="4"/>
    </row>
    <row r="609" customFormat="false" ht="15" hidden="false" customHeight="false" outlineLevel="1" collapsed="false">
      <c r="A609" s="7" t="s">
        <v>790</v>
      </c>
      <c r="B609" s="8" t="s">
        <v>11</v>
      </c>
      <c r="C609" s="72" t="n">
        <f aca="false">C600+C601</f>
        <v>145000</v>
      </c>
      <c r="H609" s="2" t="s">
        <v>1447</v>
      </c>
    </row>
    <row r="610" customFormat="false" ht="15" hidden="false" customHeight="false" outlineLevel="1" collapsed="false">
      <c r="A610" s="7" t="s">
        <v>791</v>
      </c>
      <c r="B610" s="8" t="s">
        <v>11</v>
      </c>
      <c r="C610" s="72" t="n">
        <f aca="false">-SUMPRODUCT(($C$332:$G$332&lt;=C605)*$C$543:$G$543)</f>
        <v>4796893.07724286</v>
      </c>
      <c r="H610" s="2" t="s">
        <v>1448</v>
      </c>
    </row>
    <row r="611" customFormat="false" ht="15" hidden="false" customHeight="false" outlineLevel="1" collapsed="false">
      <c r="A611" s="7" t="s">
        <v>424</v>
      </c>
      <c r="B611" s="8" t="s">
        <v>11</v>
      </c>
      <c r="C611" s="72" t="n">
        <f aca="false">SUMPRODUCT(($C$332:$G$332&lt;=C605)*$C$527:$G$527)</f>
        <v>260000</v>
      </c>
      <c r="H611" s="2" t="s">
        <v>1449</v>
      </c>
    </row>
    <row r="612" customFormat="false" ht="15" hidden="false" customHeight="false" outlineLevel="1" collapsed="false">
      <c r="A612" s="7" t="s">
        <v>792</v>
      </c>
      <c r="B612" s="8" t="s">
        <v>11</v>
      </c>
      <c r="C612" s="72" t="n">
        <f aca="false">SUMPRODUCT(($C$332:$G$332&lt;=C605)*$C$558:$G$558)</f>
        <v>0</v>
      </c>
      <c r="H612" s="2" t="s">
        <v>1450</v>
      </c>
    </row>
    <row r="613" customFormat="false" ht="15" hidden="false" customHeight="false" outlineLevel="1" collapsed="false">
      <c r="A613" s="7" t="s">
        <v>793</v>
      </c>
      <c r="B613" s="8" t="s">
        <v>11</v>
      </c>
      <c r="C613" s="72" t="n">
        <f aca="false">C603-C610-C611-C612</f>
        <v>156860.595034246</v>
      </c>
      <c r="H613" s="2" t="s">
        <v>1451</v>
      </c>
    </row>
    <row r="614" customFormat="false" ht="15" hidden="false" customHeight="false" outlineLevel="1" collapsed="false">
      <c r="A614" s="7" t="s">
        <v>322</v>
      </c>
      <c r="B614" s="8" t="s">
        <v>11</v>
      </c>
      <c r="C614" s="72" t="n">
        <f aca="false">C602</f>
        <v>150000</v>
      </c>
      <c r="H614" s="2" t="s">
        <v>1452</v>
      </c>
    </row>
    <row r="615" customFormat="false" ht="15" hidden="false" customHeight="false" outlineLevel="1" collapsed="false">
      <c r="A615" s="56" t="s">
        <v>794</v>
      </c>
      <c r="B615" s="57" t="s">
        <v>11</v>
      </c>
      <c r="C615" s="74" t="n">
        <f aca="false">C609+C610+C611+C612+C613+C614</f>
        <v>5508753.67227711</v>
      </c>
      <c r="H615" s="2" t="s">
        <v>1453</v>
      </c>
    </row>
    <row r="616" customFormat="false" ht="15" hidden="false" customHeight="false" outlineLevel="0" collapsed="false">
      <c r="A616" s="3" t="s">
        <v>1454</v>
      </c>
      <c r="B616" s="4"/>
      <c r="C616" s="4"/>
      <c r="D616" s="4"/>
      <c r="E616" s="4"/>
      <c r="F616" s="4"/>
      <c r="G616" s="4"/>
      <c r="H616" s="4"/>
    </row>
    <row r="617" customFormat="false" ht="15" hidden="false" customHeight="false" outlineLevel="1" collapsed="false">
      <c r="A617" s="7" t="s">
        <v>772</v>
      </c>
      <c r="B617" s="8" t="s">
        <v>11</v>
      </c>
      <c r="C617" s="73" t="n">
        <f aca="false">Pressupostos!$D$32</f>
        <v>1100000</v>
      </c>
      <c r="H617" s="2" t="s">
        <v>1455</v>
      </c>
    </row>
    <row r="618" customFormat="false" ht="15" hidden="false" customHeight="false" outlineLevel="1" collapsed="false">
      <c r="A618" s="7" t="s">
        <v>796</v>
      </c>
      <c r="B618" s="8" t="s">
        <v>11</v>
      </c>
      <c r="C618" s="72" t="n">
        <f aca="false">C600+Pressupostos!$C$108+Pressupostos!$C$130/12*((C502-C490-C491+(C490+C491)/Pressupostos!$C$128*Pressupostos!$C$129)*(1+Pressupostos!$C$124+Pressupostos!$C$125)+C488*Pressupostos!$C$126+C521)+C527+MAX(0,Pressupostos!$C$183*1000*(C353+C356)+Pressupostos!$C$184*1000*(C376+C379)-Pressupostos!$C$108)</f>
        <v>734321.666666667</v>
      </c>
      <c r="H618" s="2" t="s">
        <v>1456</v>
      </c>
    </row>
    <row r="619" customFormat="false" ht="15" hidden="false" customHeight="false" outlineLevel="1" collapsed="false">
      <c r="A619" s="7" t="s">
        <v>798</v>
      </c>
      <c r="B619" s="8" t="s">
        <v>11</v>
      </c>
      <c r="C619" s="72" t="n">
        <f aca="false">C600+Pressupostos!$C$108-C586</f>
        <v>948437.451832192</v>
      </c>
      <c r="H619" s="2" t="s">
        <v>1457</v>
      </c>
    </row>
    <row r="620" customFormat="false" ht="15" hidden="false" customHeight="false" outlineLevel="1" collapsed="false">
      <c r="A620" s="7" t="s">
        <v>799</v>
      </c>
      <c r="B620" s="8" t="s">
        <v>11</v>
      </c>
      <c r="C620" s="61" t="n">
        <f aca="false">Pressupostos!$D$32-C600-Pressupostos!$C$108+C587</f>
        <v>151562.548167808</v>
      </c>
      <c r="D620" s="61" t="n">
        <f aca="false">Pressupostos!$D$32-C600-Pressupostos!$C$108+D587</f>
        <v>-709380.865298435</v>
      </c>
      <c r="E620" s="61" t="n">
        <f aca="false">Pressupostos!$D$32-C600-Pressupostos!$C$108+E587</f>
        <v>-1739962.8360499</v>
      </c>
      <c r="F620" s="61" t="n">
        <f aca="false">Pressupostos!$D$32-C600-Pressupostos!$C$108+F587</f>
        <v>-2929349.16908834</v>
      </c>
      <c r="G620" s="61" t="n">
        <f aca="false">Pressupostos!$D$32-C600-Pressupostos!$C$108+G587</f>
        <v>-4258753.67227711</v>
      </c>
      <c r="H620" s="2" t="s">
        <v>1458</v>
      </c>
    </row>
    <row r="621" customFormat="false" ht="15" hidden="false" customHeight="false" outlineLevel="1" collapsed="false">
      <c r="A621" s="7" t="s">
        <v>800</v>
      </c>
      <c r="B621" s="8" t="s">
        <v>18</v>
      </c>
      <c r="C621" s="77" t="str">
        <f aca="false">IF(AND(Pressupostos!$D$32-C600-Pressupostos!$C$108&gt;0,C620&lt;=0),12*(Pressupostos!$D$32-C600-Pressupostos!$C$108)/(Pressupostos!$D$32-C600-Pressupostos!$C$108-C620),"")</f>
        <v/>
      </c>
      <c r="D621" s="77" t="n">
        <f aca="false">IF(AND(C620&gt;0,D620&lt;=0),12+12*C620/(C620-D620),"")</f>
        <v>14.1125088473483</v>
      </c>
      <c r="E621" s="77" t="str">
        <f aca="false">IF(AND(D620&gt;0,E620&lt;=0),24+12*D620/(D620-E620),"")</f>
        <v/>
      </c>
      <c r="F621" s="77" t="str">
        <f aca="false">IF(AND(E620&gt;0,F620&lt;=0),36+12*E620/(E620-F620),"")</f>
        <v/>
      </c>
      <c r="G621" s="77" t="str">
        <f aca="false">IF(AND(F620&gt;0,G620&lt;=0),48+12*F620/(F620-G620),"")</f>
        <v/>
      </c>
      <c r="H621" s="2" t="s">
        <v>1459</v>
      </c>
    </row>
    <row r="622" customFormat="false" ht="15" hidden="false" customHeight="false" outlineLevel="1" collapsed="false">
      <c r="A622" s="56" t="s">
        <v>801</v>
      </c>
      <c r="B622" s="57" t="s">
        <v>274</v>
      </c>
      <c r="C622" s="78" t="n">
        <f aca="false">IF(COUNT($C$621:$G$621)=0,"&gt; 60",MIN($C$621:$G$621))</f>
        <v>14.1125088473483</v>
      </c>
      <c r="H622" s="2" t="s">
        <v>1460</v>
      </c>
    </row>
    <row r="623" customFormat="false" ht="15" hidden="false" customHeight="false" outlineLevel="0" collapsed="false">
      <c r="A623" s="3" t="s">
        <v>1461</v>
      </c>
      <c r="B623" s="4"/>
      <c r="C623" s="4"/>
      <c r="D623" s="4"/>
      <c r="E623" s="4"/>
      <c r="F623" s="4"/>
      <c r="G623" s="4"/>
      <c r="H623" s="4"/>
    </row>
    <row r="624" customFormat="false" ht="15" hidden="false" customHeight="false" outlineLevel="1" collapsed="false">
      <c r="A624" s="7" t="s">
        <v>803</v>
      </c>
      <c r="B624" s="8" t="s">
        <v>18</v>
      </c>
      <c r="C624" s="77" t="str">
        <f aca="false">IF(C543&gt;=0,1,"")</f>
        <v/>
      </c>
      <c r="D624" s="77" t="str">
        <f aca="false">IF(AND(C543&lt;0,D543&gt;=0),6.5+12*(-C543)/(D543-C543),"")</f>
        <v/>
      </c>
      <c r="E624" s="77" t="str">
        <f aca="false">IF(AND(D543&lt;0,E543&gt;=0),18.5+12*(-D543)/(E543-D543),"")</f>
        <v/>
      </c>
      <c r="F624" s="77" t="str">
        <f aca="false">IF(AND(E543&lt;0,F543&gt;=0),30.5+12*(-E543)/(F543-E543),"")</f>
        <v/>
      </c>
      <c r="G624" s="77" t="str">
        <f aca="false">IF(AND(F543&lt;0,G543&gt;=0),42.5+12*(-F543)/(G543-F543),"")</f>
        <v/>
      </c>
      <c r="H624" s="2" t="s">
        <v>1462</v>
      </c>
    </row>
    <row r="625" customFormat="false" ht="15" hidden="false" customHeight="false" outlineLevel="1" collapsed="false">
      <c r="A625" s="7" t="s">
        <v>804</v>
      </c>
      <c r="B625" s="8" t="s">
        <v>18</v>
      </c>
      <c r="C625" s="79" t="str">
        <f aca="false">IF(COUNT($C$624:$G$624)=0,"não atinge até 2031",ROUNDUP(MIN($C$624:$G$624),0))</f>
        <v>não atinge até 2031</v>
      </c>
      <c r="H625" s="2" t="s">
        <v>1463</v>
      </c>
    </row>
    <row r="626" customFormat="false" ht="15" hidden="false" customHeight="false" outlineLevel="1" collapsed="false">
      <c r="A626" s="56" t="s">
        <v>805</v>
      </c>
      <c r="B626" s="57" t="s">
        <v>806</v>
      </c>
      <c r="C626" s="80" t="str">
        <f aca="false">IF(ISNUMBER(C625),DATE(2027,C625,1),"não atinge até 2031")</f>
        <v>não atinge até 2031</v>
      </c>
      <c r="H626" s="2" t="s">
        <v>1464</v>
      </c>
    </row>
    <row r="627" customFormat="false" ht="15" hidden="false" customHeight="false" outlineLevel="1" collapsed="false">
      <c r="A627" s="7" t="s">
        <v>807</v>
      </c>
      <c r="B627" s="8" t="s">
        <v>20</v>
      </c>
      <c r="C627" s="81" t="str">
        <f aca="false">IF(C543&gt;=0,C332,"")</f>
        <v/>
      </c>
      <c r="D627" s="81" t="str">
        <f aca="false">IF(D543&gt;=0,D332,"")</f>
        <v/>
      </c>
      <c r="E627" s="81" t="str">
        <f aca="false">IF(E543&gt;=0,E332,"")</f>
        <v/>
      </c>
      <c r="F627" s="81" t="str">
        <f aca="false">IF(F543&gt;=0,F332,"")</f>
        <v/>
      </c>
      <c r="G627" s="81" t="str">
        <f aca="false">IF(G543&gt;=0,G332,"")</f>
        <v/>
      </c>
      <c r="H627" s="2" t="s">
        <v>1465</v>
      </c>
    </row>
    <row r="628" customFormat="false" ht="15" hidden="false" customHeight="false" outlineLevel="1" collapsed="false">
      <c r="A628" s="7" t="s">
        <v>808</v>
      </c>
      <c r="B628" s="8" t="s">
        <v>20</v>
      </c>
      <c r="C628" s="75" t="str">
        <f aca="false">IF(COUNT($C$627:$G$627)=0,"não atinge até 2031",MIN($C$627:$G$627))</f>
        <v>não atinge até 2031</v>
      </c>
      <c r="H628" s="2" t="s">
        <v>1466</v>
      </c>
    </row>
    <row r="629" customFormat="false" ht="15" hidden="false" customHeight="false" outlineLevel="1" collapsed="false">
      <c r="A629" s="7" t="s">
        <v>809</v>
      </c>
      <c r="B629" s="8" t="s">
        <v>20</v>
      </c>
      <c r="C629" s="81" t="str">
        <f aca="false">IF(C561&gt;=0,C332,"")</f>
        <v/>
      </c>
      <c r="D629" s="81" t="str">
        <f aca="false">IF(D561&gt;=0,D332,"")</f>
        <v/>
      </c>
      <c r="E629" s="81" t="str">
        <f aca="false">IF(E561&gt;=0,E332,"")</f>
        <v/>
      </c>
      <c r="F629" s="81" t="str">
        <f aca="false">IF(F561&gt;=0,F332,"")</f>
        <v/>
      </c>
      <c r="G629" s="81" t="str">
        <f aca="false">IF(G561&gt;=0,G332,"")</f>
        <v/>
      </c>
      <c r="H629" s="2" t="s">
        <v>1467</v>
      </c>
    </row>
    <row r="630" customFormat="false" ht="15" hidden="false" customHeight="false" outlineLevel="1" collapsed="false">
      <c r="A630" s="7" t="s">
        <v>810</v>
      </c>
      <c r="B630" s="8" t="s">
        <v>20</v>
      </c>
      <c r="C630" s="75" t="str">
        <f aca="false">IF(COUNT($C$629:$G$629)=0,"não atinge até 2031",MIN($C$629:$G$629))</f>
        <v>não atinge até 2031</v>
      </c>
      <c r="H630" s="2" t="s">
        <v>1468</v>
      </c>
    </row>
    <row r="631" customFormat="false" ht="15" hidden="false" customHeight="false" outlineLevel="1" collapsed="false">
      <c r="A631" s="7" t="s">
        <v>811</v>
      </c>
      <c r="B631" s="8" t="s">
        <v>20</v>
      </c>
      <c r="C631" s="81" t="str">
        <f aca="false">IF(C586&gt;=0,C332,"")</f>
        <v/>
      </c>
      <c r="D631" s="81" t="str">
        <f aca="false">IF(D586&gt;=0,D332,"")</f>
        <v/>
      </c>
      <c r="E631" s="81" t="str">
        <f aca="false">IF(E586&gt;=0,E332,"")</f>
        <v/>
      </c>
      <c r="F631" s="81" t="str">
        <f aca="false">IF(F586&gt;=0,F332,"")</f>
        <v/>
      </c>
      <c r="G631" s="81" t="str">
        <f aca="false">IF(G586&gt;=0,G332,"")</f>
        <v/>
      </c>
      <c r="H631" s="2" t="s">
        <v>1469</v>
      </c>
    </row>
    <row r="632" customFormat="false" ht="15" hidden="false" customHeight="false" outlineLevel="1" collapsed="false">
      <c r="A632" s="7" t="s">
        <v>19</v>
      </c>
      <c r="B632" s="8" t="s">
        <v>20</v>
      </c>
      <c r="C632" s="75" t="str">
        <f aca="false">IF(COUNT($C$631:$G$631)=0,"não atinge até 2031",MIN($C$631:$G$631))</f>
        <v>não atinge até 2031</v>
      </c>
      <c r="H632" s="2" t="s">
        <v>1470</v>
      </c>
    </row>
    <row r="633" customFormat="false" ht="15" hidden="false" customHeight="false" outlineLevel="0" collapsed="false">
      <c r="A633" s="3" t="s">
        <v>1471</v>
      </c>
      <c r="B633" s="4"/>
      <c r="C633" s="4"/>
      <c r="D633" s="4"/>
      <c r="E633" s="4"/>
      <c r="F633" s="4"/>
      <c r="G633" s="4"/>
      <c r="H633" s="4"/>
    </row>
    <row r="634" customFormat="false" ht="15" hidden="false" customHeight="false" outlineLevel="1" collapsed="false">
      <c r="A634" s="7" t="s">
        <v>813</v>
      </c>
      <c r="B634" s="8" t="s">
        <v>11</v>
      </c>
      <c r="C634" s="61" t="n">
        <f aca="false">C569</f>
        <v>0</v>
      </c>
      <c r="D634" s="61" t="n">
        <f aca="false">D569</f>
        <v>310598.707191781</v>
      </c>
      <c r="E634" s="61" t="n">
        <f aca="false">E569</f>
        <v>563053.792808219</v>
      </c>
      <c r="F634" s="61" t="n">
        <f aca="false">F569</f>
        <v>975110.316780822</v>
      </c>
      <c r="G634" s="61" t="n">
        <f aca="false">G569</f>
        <v>1489396.28424658</v>
      </c>
      <c r="H634" s="2" t="s">
        <v>1472</v>
      </c>
    </row>
    <row r="635" customFormat="false" ht="15" hidden="false" customHeight="false" outlineLevel="1" collapsed="false">
      <c r="A635" s="7" t="s">
        <v>509</v>
      </c>
      <c r="B635" s="8" t="s">
        <v>76</v>
      </c>
      <c r="C635" s="82" t="n">
        <f aca="false">Pressupostos!$C$288</f>
        <v>0.08</v>
      </c>
      <c r="D635" s="82" t="n">
        <f aca="false">Pressupostos!$D$288</f>
        <v>0.08</v>
      </c>
      <c r="E635" s="82" t="n">
        <f aca="false">Pressupostos!$E$288</f>
        <v>0.075</v>
      </c>
      <c r="F635" s="82" t="n">
        <f aca="false">Pressupostos!$F$288</f>
        <v>0.07</v>
      </c>
      <c r="G635" s="82" t="n">
        <f aca="false">Pressupostos!$G$288</f>
        <v>0.07</v>
      </c>
      <c r="H635" s="2" t="s">
        <v>1473</v>
      </c>
    </row>
    <row r="636" customFormat="false" ht="15" hidden="false" customHeight="false" outlineLevel="1" collapsed="false">
      <c r="A636" s="7" t="s">
        <v>814</v>
      </c>
      <c r="B636" s="8" t="s">
        <v>76</v>
      </c>
      <c r="C636" s="60" t="n">
        <f aca="false">Pressupostos!$C$288*(1-Pressupostos!$C$111)</f>
        <v>0.0576</v>
      </c>
      <c r="D636" s="60" t="n">
        <f aca="false">Pressupostos!$D$288*(1-Pressupostos!$C$111)</f>
        <v>0.0576</v>
      </c>
      <c r="E636" s="60" t="n">
        <f aca="false">Pressupostos!$E$288*(1-Pressupostos!$C$111)</f>
        <v>0.054</v>
      </c>
      <c r="F636" s="60" t="n">
        <f aca="false">Pressupostos!$F$288*(1-Pressupostos!$C$111)</f>
        <v>0.0504</v>
      </c>
      <c r="G636" s="60" t="n">
        <f aca="false">Pressupostos!$G$288*(1-Pressupostos!$C$111)</f>
        <v>0.0504</v>
      </c>
      <c r="H636" s="2" t="s">
        <v>1474</v>
      </c>
    </row>
    <row r="637" customFormat="false" ht="15" hidden="false" customHeight="false" outlineLevel="1" collapsed="false">
      <c r="A637" s="7" t="s">
        <v>815</v>
      </c>
      <c r="B637" s="8" t="s">
        <v>11</v>
      </c>
      <c r="C637" s="61" t="n">
        <f aca="false">C473</f>
        <v>0</v>
      </c>
      <c r="D637" s="61" t="n">
        <f aca="false">D473</f>
        <v>23317.0273972603</v>
      </c>
      <c r="E637" s="61" t="n">
        <f aca="false">E473</f>
        <v>38771.0637842466</v>
      </c>
      <c r="F637" s="61" t="n">
        <f aca="false">F473</f>
        <v>62547.834760274</v>
      </c>
      <c r="G637" s="61" t="n">
        <f aca="false">G473</f>
        <v>95536.1558219178</v>
      </c>
      <c r="H637" s="2" t="s">
        <v>1475</v>
      </c>
    </row>
    <row r="638" customFormat="false" ht="15" hidden="false" customHeight="false" outlineLevel="1" collapsed="false">
      <c r="A638" s="7" t="s">
        <v>816</v>
      </c>
      <c r="B638" s="8" t="s">
        <v>76</v>
      </c>
      <c r="C638" s="59" t="n">
        <f aca="false">IF(C569&gt;0,(C572+C574)/C569,0)</f>
        <v>0</v>
      </c>
      <c r="D638" s="59" t="n">
        <f aca="false">IF(D569&gt;0,(D572+D574)/D569,0)</f>
        <v>0.138888888888889</v>
      </c>
      <c r="E638" s="59" t="n">
        <f aca="false">IF(E569&gt;0,(E572+E574)/E569,0)</f>
        <v>0.138888888888889</v>
      </c>
      <c r="F638" s="59" t="n">
        <f aca="false">IF(F569&gt;0,(F572+F574)/F569,0)</f>
        <v>0.138888888888889</v>
      </c>
      <c r="G638" s="59" t="n">
        <f aca="false">IF(G569&gt;0,(G572+G574)/G569,0)</f>
        <v>0.138888888888889</v>
      </c>
      <c r="H638" s="2" t="s">
        <v>1476</v>
      </c>
    </row>
    <row r="639" customFormat="false" ht="15" hidden="false" customHeight="false" outlineLevel="1" collapsed="false">
      <c r="A639" s="7" t="s">
        <v>817</v>
      </c>
      <c r="B639" s="8" t="s">
        <v>123</v>
      </c>
      <c r="C639" s="61" t="n">
        <f aca="false">C575</f>
        <v>0</v>
      </c>
      <c r="D639" s="61" t="n">
        <f aca="false">D575</f>
        <v>6.21197414383562</v>
      </c>
      <c r="E639" s="61" t="n">
        <f aca="false">E575</f>
        <v>11.2610758561644</v>
      </c>
      <c r="F639" s="61" t="n">
        <f aca="false">F575</f>
        <v>19.5022063356164</v>
      </c>
      <c r="G639" s="61" t="n">
        <f aca="false">G575</f>
        <v>29.7879256849315</v>
      </c>
      <c r="H639" s="2" t="s">
        <v>1477</v>
      </c>
    </row>
    <row r="640" customFormat="false" ht="15" hidden="false" customHeight="false" outlineLevel="1" collapsed="false">
      <c r="A640" s="7" t="s">
        <v>818</v>
      </c>
      <c r="B640" s="8" t="s">
        <v>11</v>
      </c>
      <c r="C640" s="61" t="n">
        <f aca="false">C473+C519</f>
        <v>65000</v>
      </c>
      <c r="D640" s="61" t="n">
        <f aca="false">D473+D519</f>
        <v>88317.0273972603</v>
      </c>
      <c r="E640" s="61" t="n">
        <f aca="false">E473+E519</f>
        <v>108771.063784247</v>
      </c>
      <c r="F640" s="61" t="n">
        <f aca="false">F473+F519</f>
        <v>137547.834760274</v>
      </c>
      <c r="G640" s="61" t="n">
        <f aca="false">G473+G519</f>
        <v>175536.155821918</v>
      </c>
      <c r="H640" s="2" t="s">
        <v>1478</v>
      </c>
    </row>
    <row r="641" customFormat="false" ht="15" hidden="false" customHeight="false" outlineLevel="1" collapsed="false">
      <c r="A641" s="7" t="s">
        <v>819</v>
      </c>
      <c r="B641" s="8" t="s">
        <v>76</v>
      </c>
      <c r="C641" s="59" t="str">
        <f aca="false">IF(C569&gt;0,C640/C569,"")</f>
        <v/>
      </c>
      <c r="D641" s="59" t="n">
        <f aca="false">IF(D569&gt;0,D640/D569,"")</f>
        <v>0.284344478429295</v>
      </c>
      <c r="E641" s="59" t="n">
        <f aca="false">IF(E569&gt;0,E640/E569,"")</f>
        <v>0.19318058980076</v>
      </c>
      <c r="F641" s="59" t="n">
        <f aca="false">IF(F569&gt;0,F640/F569,"")</f>
        <v>0.141058742168135</v>
      </c>
      <c r="G641" s="59" t="n">
        <f aca="false">IF(G569&gt;0,G640/G569,"")</f>
        <v>0.11785725376018</v>
      </c>
      <c r="H641" s="2" t="s">
        <v>1479</v>
      </c>
    </row>
    <row r="642" customFormat="false" ht="15" hidden="false" customHeight="false" outlineLevel="0" collapsed="false">
      <c r="A642" s="3" t="s">
        <v>1480</v>
      </c>
      <c r="B642" s="4"/>
      <c r="C642" s="4"/>
      <c r="D642" s="4"/>
      <c r="E642" s="4"/>
      <c r="F642" s="4"/>
      <c r="G642" s="4"/>
      <c r="H642" s="4"/>
    </row>
    <row r="643" customFormat="false" ht="15" hidden="false" customHeight="false" outlineLevel="1" collapsed="false">
      <c r="A643" s="7" t="s">
        <v>821</v>
      </c>
      <c r="B643" s="8" t="s">
        <v>11</v>
      </c>
      <c r="C643" s="61" t="n">
        <f aca="false">MAX(0,-C543)</f>
        <v>711437.451832192</v>
      </c>
      <c r="D643" s="61" t="n">
        <f aca="false">MAX(0,-D543)</f>
        <v>801413.478106654</v>
      </c>
      <c r="E643" s="61" t="n">
        <f aca="false">MAX(0,-E543)</f>
        <v>969909.990443249</v>
      </c>
      <c r="F643" s="61" t="n">
        <f aca="false">MAX(0,-F543)</f>
        <v>1094156.26026446</v>
      </c>
      <c r="G643" s="61" t="n">
        <f aca="false">MAX(0,-G543)</f>
        <v>1219975.89659631</v>
      </c>
      <c r="H643" s="2" t="s">
        <v>1481</v>
      </c>
    </row>
    <row r="644" customFormat="false" ht="15" hidden="false" customHeight="false" outlineLevel="1" collapsed="false">
      <c r="A644" s="2" t="s">
        <v>822</v>
      </c>
      <c r="B644" s="8"/>
      <c r="C644" s="61" t="n">
        <f aca="false">IF(AND(C332&gt;=Pressupostos!$C$120,Pressupostos!$C$118*(C426+C427)+Pressupostos!$C$119*C428&gt;Pressupostos!$C$300),1,0)</f>
        <v>0</v>
      </c>
      <c r="D644" s="61" t="n">
        <f aca="false">IF(AND(D332&gt;=Pressupostos!$C$120,Pressupostos!$C$118*(D426+D427)+Pressupostos!$C$119*D428&gt;Pressupostos!$D$300),1,0)</f>
        <v>1</v>
      </c>
      <c r="E644" s="61" t="n">
        <f aca="false">IF(AND(E332&gt;=Pressupostos!$C$120,Pressupostos!$C$118*(E426+E427)+Pressupostos!$C$119*E428&gt;Pressupostos!$E$300),1,0)</f>
        <v>1</v>
      </c>
      <c r="F644" s="61" t="n">
        <f aca="false">IF(AND(F332&gt;=Pressupostos!$C$120,Pressupostos!$C$118*(F426+F427)+Pressupostos!$C$119*F428&gt;Pressupostos!$F$300),1,0)</f>
        <v>1</v>
      </c>
      <c r="G644" s="61" t="n">
        <f aca="false">IF(AND(G332&gt;=Pressupostos!$C$120,Pressupostos!$C$118*(G426+G427)+Pressupostos!$C$119*G428&gt;Pressupostos!$G$300),1,0)</f>
        <v>1</v>
      </c>
      <c r="H644" s="2" t="s">
        <v>1482</v>
      </c>
    </row>
    <row r="645" customFormat="false" ht="15" hidden="false" customHeight="false" outlineLevel="1" collapsed="false">
      <c r="A645" s="7" t="s">
        <v>823</v>
      </c>
      <c r="B645" s="8" t="s">
        <v>64</v>
      </c>
      <c r="C645" s="63" t="n">
        <f aca="false">IF(C336&gt;0,C643/(C336*1000*(1-Pressupostos!$D$22)*(1-Pressupostos!$D$25-C644*Pressupostos!$C$118)),"n/a")</f>
        <v>13.7226574306032</v>
      </c>
      <c r="D645" s="63" t="n">
        <f aca="false">IF(D336&gt;0,D643/(D336*1000*(1-Pressupostos!$D$22)*(1-Pressupostos!$D$25-D644*Pressupostos!$C$118)),"n/a")</f>
        <v>2.22331382516917</v>
      </c>
      <c r="E645" s="63" t="n">
        <f aca="false">IF(E336&gt;0,E643/(E336*1000*(1-Pressupostos!$D$22)*(1-Pressupostos!$D$25-E644*Pressupostos!$C$118)),"n/a")</f>
        <v>1.36226948534195</v>
      </c>
      <c r="F645" s="63" t="n">
        <f aca="false">IF(F336&gt;0,F643/(F336*1000*(1-Pressupostos!$D$22)*(1-Pressupostos!$D$25-F644*Pressupostos!$C$118)),"n/a")</f>
        <v>0.931419565244505</v>
      </c>
      <c r="G645" s="63" t="n">
        <f aca="false">IF(G336&gt;0,G643/(G336*1000*(1-Pressupostos!$D$22)*(1-Pressupostos!$D$25-G644*Pressupostos!$C$118)),"n/a")</f>
        <v>0.686355267091038</v>
      </c>
      <c r="H645" s="2" t="s">
        <v>1483</v>
      </c>
    </row>
    <row r="646" customFormat="false" ht="15" hidden="false" customHeight="false" outlineLevel="1" collapsed="false">
      <c r="A646" s="7" t="s">
        <v>824</v>
      </c>
      <c r="B646" s="8" t="s">
        <v>64</v>
      </c>
      <c r="C646" s="63" t="n">
        <f aca="false">IF(C335&gt;0,Pressupostos!$D$15+C643/(C335*1000*(1-Pressupostos!$D$16)*(1-Pressupostos!$D$18-C644*Pressupostos!$C$118)),"n/a")</f>
        <v>105.057200401323</v>
      </c>
      <c r="D646" s="63" t="n">
        <f aca="false">IF(D335&gt;0,Pressupostos!$D$15+D643/(D335*1000*(1-Pressupostos!$D$16)*(1-Pressupostos!$D$18-D644*Pressupostos!$C$118)),"n/a")</f>
        <v>29.9595664788016</v>
      </c>
      <c r="E646" s="63" t="n">
        <f aca="false">IF(E335&gt;0,Pressupostos!$D$15+E643/(E335*1000*(1-Pressupostos!$D$16)*(1-Pressupostos!$D$18-E644*Pressupostos!$C$118)),"n/a")</f>
        <v>13.8346872268487</v>
      </c>
      <c r="F646" s="63" t="n">
        <f aca="false">IF(F335&gt;0,Pressupostos!$D$15+F643/(F335*1000*(1-Pressupostos!$D$16)*(1-Pressupostos!$D$18-F644*Pressupostos!$C$118)),"n/a")</f>
        <v>10.2492856583499</v>
      </c>
      <c r="G646" s="63" t="n">
        <f aca="false">IF(G335&gt;0,Pressupostos!$D$15+G643/(G335*1000*(1-Pressupostos!$D$16)*(1-Pressupostos!$D$18-G644*Pressupostos!$C$118)),"n/a")</f>
        <v>8.98956337520546</v>
      </c>
      <c r="H646" s="2" t="s">
        <v>1484</v>
      </c>
    </row>
    <row r="647" customFormat="false" ht="15" hidden="false" customHeight="false" outlineLevel="1" collapsed="false">
      <c r="A647" s="7" t="s">
        <v>825</v>
      </c>
      <c r="B647" s="8" t="s">
        <v>64</v>
      </c>
      <c r="C647" s="63" t="n">
        <f aca="false">IF(Pressupostos!$D$33=1,C418-C644*Pressupostos!$C$119*C401,C424)</f>
        <v>0.00725</v>
      </c>
      <c r="D647" s="63" t="n">
        <f aca="false">IF(Pressupostos!$D$33=1,D418-D644*Pressupostos!$C$119*D401,D424)</f>
        <v>0.00725</v>
      </c>
      <c r="E647" s="63" t="n">
        <f aca="false">IF(Pressupostos!$D$33=1,E418-E644*Pressupostos!$C$119*E401,E424)</f>
        <v>0.00725</v>
      </c>
      <c r="F647" s="63" t="n">
        <f aca="false">IF(Pressupostos!$D$33=1,F418-F644*Pressupostos!$C$119*F401,F424)</f>
        <v>0.00725</v>
      </c>
      <c r="G647" s="63" t="n">
        <f aca="false">IF(Pressupostos!$D$33=1,G418-G644*Pressupostos!$C$119*G401,G424)</f>
        <v>0.00725</v>
      </c>
      <c r="H647" s="2" t="s">
        <v>1485</v>
      </c>
    </row>
    <row r="648" customFormat="false" ht="15" hidden="false" customHeight="false" outlineLevel="1" collapsed="false">
      <c r="A648" s="7" t="s">
        <v>826</v>
      </c>
      <c r="B648" s="8" t="s">
        <v>120</v>
      </c>
      <c r="C648" s="55" t="n">
        <f aca="false">IF(C647&gt;0,C337+C643/(C647*1000),"n/a")</f>
        <v>98129.303700992</v>
      </c>
      <c r="D648" s="55" t="n">
        <f aca="false">IF(D647&gt;0,D337+D643/(D647*1000),"n/a")</f>
        <v>110539.790083676</v>
      </c>
      <c r="E648" s="55" t="n">
        <f aca="false">IF(E647&gt;0,E337+E643/(E647*1000),"n/a")</f>
        <v>133780.688337</v>
      </c>
      <c r="F648" s="55" t="n">
        <f aca="false">IF(F647&gt;0,F337+F643/(F647*1000),"n/a")</f>
        <v>150918.104864063</v>
      </c>
      <c r="G648" s="55" t="n">
        <f aca="false">IF(G647&gt;0,G337+G643/(G647*1000),"n/a")</f>
        <v>168272.53746156</v>
      </c>
      <c r="H648" s="2" t="s">
        <v>1486</v>
      </c>
    </row>
    <row r="649" customFormat="false" ht="15" hidden="false" customHeight="false" outlineLevel="1" collapsed="false">
      <c r="A649" s="7" t="s">
        <v>827</v>
      </c>
      <c r="B649" s="8" t="s">
        <v>76</v>
      </c>
      <c r="C649" s="59" t="n">
        <f aca="false">C643/(C505+C518+C519)</f>
        <v>0.988127343113512</v>
      </c>
      <c r="D649" s="59" t="n">
        <f aca="false">D643/(D505+D518+D519)</f>
        <v>0.973023859650716</v>
      </c>
      <c r="E649" s="59" t="n">
        <f aca="false">E643/(E505+E518+E519)</f>
        <v>0.902941824466644</v>
      </c>
      <c r="F649" s="59" t="n">
        <f aca="false">F643/(F505+F518+F519)</f>
        <v>0.838343906683493</v>
      </c>
      <c r="G649" s="59" t="n">
        <f aca="false">G643/(G505+G518+G519)</f>
        <v>0.781458857228551</v>
      </c>
      <c r="H649" s="2" t="s">
        <v>1487</v>
      </c>
    </row>
    <row r="650" customFormat="false" ht="15" hidden="false" customHeight="false" outlineLevel="1" collapsed="false">
      <c r="A650" s="2" t="s">
        <v>828</v>
      </c>
      <c r="B650" s="8" t="s">
        <v>76</v>
      </c>
      <c r="C650" s="60" t="n">
        <f aca="false">Pressupostos!$C$101*Pressupostos!$C$102+Pressupostos!$C$103-Pressupostos!$D$30*Pressupostos!$C$104*Pressupostos!$C$102/(Pressupostos!$C$105*Pressupostos!$C$106)</f>
        <v>0.00354285714285715</v>
      </c>
      <c r="D650" s="60" t="n">
        <f aca="false">Pressupostos!$C$101*Pressupostos!$C$102+Pressupostos!$C$103-Pressupostos!$D$30*Pressupostos!$C$104*Pressupostos!$C$102/(Pressupostos!$C$105*Pressupostos!$C$106)</f>
        <v>0.00354285714285715</v>
      </c>
      <c r="E650" s="60" t="n">
        <f aca="false">Pressupostos!$C$101*Pressupostos!$C$102+Pressupostos!$C$103-Pressupostos!$D$30*Pressupostos!$C$104*Pressupostos!$C$102/(Pressupostos!$C$105*Pressupostos!$C$106)</f>
        <v>0.00354285714285715</v>
      </c>
      <c r="F650" s="60" t="n">
        <f aca="false">Pressupostos!$C$101*Pressupostos!$C$102+Pressupostos!$C$103-Pressupostos!$D$30*Pressupostos!$C$104*Pressupostos!$C$102/(Pressupostos!$C$105*Pressupostos!$C$106)</f>
        <v>0.00354285714285715</v>
      </c>
      <c r="G650" s="60" t="n">
        <f aca="false">Pressupostos!$C$101*Pressupostos!$C$102+Pressupostos!$C$103-Pressupostos!$D$30*Pressupostos!$C$104*Pressupostos!$C$102/(Pressupostos!$C$105*Pressupostos!$C$106)</f>
        <v>0.00354285714285715</v>
      </c>
      <c r="H650" s="2" t="s">
        <v>1488</v>
      </c>
    </row>
    <row r="651" customFormat="false" ht="15" hidden="false" customHeight="false" outlineLevel="1" collapsed="false">
      <c r="A651" s="7" t="s">
        <v>829</v>
      </c>
      <c r="B651" s="8" t="s">
        <v>11</v>
      </c>
      <c r="C651" s="61" t="n">
        <f aca="false">IF(C650&gt;0,C350+C643/C650,"n/a")</f>
        <v>200808958.178441</v>
      </c>
      <c r="D651" s="61" t="n">
        <f aca="false">IF(D650&gt;0,D350+D643/D650,"n/a")</f>
        <v>226705417.207523</v>
      </c>
      <c r="E651" s="61" t="n">
        <f aca="false">IF(E650&gt;0,E350+E643/E650,"n/a")</f>
        <v>275264916.657368</v>
      </c>
      <c r="F651" s="61" t="n">
        <f aca="false">IF(F650&gt;0,F350+F643/F650,"n/a")</f>
        <v>311834428.300452</v>
      </c>
      <c r="G651" s="61" t="n">
        <f aca="false">IF(G650&gt;0,G350+G643/G650,"n/a")</f>
        <v>349348035.329602</v>
      </c>
      <c r="H651" s="2" t="s">
        <v>1489</v>
      </c>
    </row>
    <row r="654" customFormat="false" ht="15" hidden="false" customHeight="false" outlineLevel="0" collapsed="false">
      <c r="A654" s="111" t="s">
        <v>1491</v>
      </c>
      <c r="B654" s="112"/>
      <c r="C654" s="112"/>
      <c r="D654" s="112"/>
      <c r="E654" s="112"/>
      <c r="F654" s="112"/>
      <c r="G654" s="112"/>
      <c r="H654" s="112"/>
    </row>
    <row r="655" customFormat="false" ht="15" hidden="false" customHeight="false" outlineLevel="0" collapsed="false">
      <c r="A655" s="3" t="s">
        <v>1170</v>
      </c>
      <c r="B655" s="4"/>
      <c r="C655" s="4"/>
      <c r="D655" s="4"/>
      <c r="E655" s="4"/>
      <c r="F655" s="4"/>
      <c r="G655" s="4"/>
      <c r="H655" s="4"/>
    </row>
    <row r="656" customFormat="false" ht="15" hidden="false" customHeight="false" outlineLevel="1" collapsed="false">
      <c r="A656" s="7" t="s">
        <v>588</v>
      </c>
      <c r="B656" s="8"/>
      <c r="C656" s="52" t="n">
        <v>2027</v>
      </c>
      <c r="D656" s="52" t="n">
        <v>2028</v>
      </c>
      <c r="E656" s="52" t="n">
        <v>2029</v>
      </c>
      <c r="F656" s="52" t="n">
        <v>2030</v>
      </c>
      <c r="G656" s="52" t="n">
        <v>2031</v>
      </c>
      <c r="H656" s="2" t="s">
        <v>20</v>
      </c>
    </row>
    <row r="657" customFormat="false" ht="15" hidden="false" customHeight="false" outlineLevel="0" collapsed="false">
      <c r="A657" s="3" t="s">
        <v>1171</v>
      </c>
      <c r="B657" s="4"/>
      <c r="C657" s="4"/>
      <c r="D657" s="4"/>
      <c r="E657" s="4"/>
      <c r="F657" s="4"/>
      <c r="G657" s="4"/>
      <c r="H657" s="4"/>
    </row>
    <row r="658" customFormat="false" ht="15" hidden="false" customHeight="false" outlineLevel="1" collapsed="false">
      <c r="A658" s="7" t="s">
        <v>387</v>
      </c>
      <c r="B658" s="8" t="s">
        <v>123</v>
      </c>
      <c r="C658" s="53" t="n">
        <f aca="false">Pressupostos!$C$214</f>
        <v>50</v>
      </c>
      <c r="D658" s="53" t="n">
        <f aca="false">Pressupostos!$D$214</f>
        <v>300</v>
      </c>
      <c r="E658" s="53" t="n">
        <f aca="false">Pressupostos!$E$214</f>
        <v>1000</v>
      </c>
      <c r="F658" s="53" t="n">
        <f aca="false">Pressupostos!$F$214</f>
        <v>2000</v>
      </c>
      <c r="G658" s="53" t="n">
        <f aca="false">Pressupostos!$G$214</f>
        <v>3000</v>
      </c>
      <c r="H658" s="2" t="s">
        <v>1172</v>
      </c>
    </row>
    <row r="659" customFormat="false" ht="15" hidden="false" customHeight="false" outlineLevel="1" collapsed="false">
      <c r="A659" s="7" t="s">
        <v>590</v>
      </c>
      <c r="B659" s="8" t="s">
        <v>120</v>
      </c>
      <c r="C659" s="54" t="n">
        <f aca="false">Pressupostos!$C$220</f>
        <v>10</v>
      </c>
      <c r="D659" s="54" t="n">
        <f aca="false">Pressupostos!$D$220</f>
        <v>62</v>
      </c>
      <c r="E659" s="54" t="n">
        <f aca="false">Pressupostos!$E$220</f>
        <v>205</v>
      </c>
      <c r="F659" s="54" t="n">
        <f aca="false">Pressupostos!$F$220</f>
        <v>410</v>
      </c>
      <c r="G659" s="54" t="n">
        <f aca="false">Pressupostos!$G$220</f>
        <v>615</v>
      </c>
      <c r="H659" s="2" t="s">
        <v>1173</v>
      </c>
    </row>
    <row r="660" customFormat="false" ht="15" hidden="false" customHeight="false" outlineLevel="1" collapsed="false">
      <c r="A660" s="7" t="s">
        <v>591</v>
      </c>
      <c r="B660" s="8" t="s">
        <v>120</v>
      </c>
      <c r="C660" s="54" t="n">
        <f aca="false">Pressupostos!$C$226</f>
        <v>70</v>
      </c>
      <c r="D660" s="54" t="n">
        <f aca="false">Pressupostos!$D$226</f>
        <v>588</v>
      </c>
      <c r="E660" s="54" t="n">
        <f aca="false">Pressupostos!$E$226</f>
        <v>1095</v>
      </c>
      <c r="F660" s="54" t="n">
        <f aca="false">Pressupostos!$F$226</f>
        <v>1790</v>
      </c>
      <c r="G660" s="54" t="n">
        <f aca="false">Pressupostos!$G$226</f>
        <v>2685</v>
      </c>
      <c r="H660" s="2" t="s">
        <v>1174</v>
      </c>
    </row>
    <row r="661" customFormat="false" ht="15" hidden="false" customHeight="false" outlineLevel="1" collapsed="false">
      <c r="A661" s="7" t="s">
        <v>398</v>
      </c>
      <c r="B661" s="8" t="s">
        <v>120</v>
      </c>
      <c r="C661" s="54" t="n">
        <f aca="false">Pressupostos!$C$232</f>
        <v>0</v>
      </c>
      <c r="D661" s="54" t="n">
        <f aca="false">Pressupostos!$D$232</f>
        <v>0</v>
      </c>
      <c r="E661" s="54" t="n">
        <f aca="false">Pressupostos!$E$232</f>
        <v>0</v>
      </c>
      <c r="F661" s="54" t="n">
        <f aca="false">Pressupostos!$F$232</f>
        <v>0</v>
      </c>
      <c r="G661" s="54" t="n">
        <f aca="false">Pressupostos!$G$232</f>
        <v>0</v>
      </c>
      <c r="H661" s="2" t="s">
        <v>1175</v>
      </c>
    </row>
    <row r="662" customFormat="false" ht="15" hidden="false" customHeight="false" outlineLevel="1" collapsed="false">
      <c r="A662" s="7" t="s">
        <v>592</v>
      </c>
      <c r="B662" s="8" t="s">
        <v>120</v>
      </c>
      <c r="C662" s="55" t="n">
        <f aca="false">C661*Pressupostos!$E$33</f>
        <v>0</v>
      </c>
      <c r="D662" s="55" t="n">
        <f aca="false">D661*Pressupostos!$E$33</f>
        <v>0</v>
      </c>
      <c r="E662" s="55" t="n">
        <f aca="false">E661*Pressupostos!$E$33</f>
        <v>0</v>
      </c>
      <c r="F662" s="55" t="n">
        <f aca="false">F661*Pressupostos!$E$33</f>
        <v>0</v>
      </c>
      <c r="G662" s="55" t="n">
        <f aca="false">G661*Pressupostos!$E$33</f>
        <v>0</v>
      </c>
      <c r="H662" s="2" t="s">
        <v>1176</v>
      </c>
    </row>
    <row r="663" customFormat="false" ht="15" hidden="false" customHeight="false" outlineLevel="1" collapsed="false">
      <c r="A663" s="7" t="s">
        <v>593</v>
      </c>
      <c r="B663" s="8" t="s">
        <v>120</v>
      </c>
      <c r="C663" s="55" t="n">
        <f aca="false">C661-C662</f>
        <v>0</v>
      </c>
      <c r="D663" s="55" t="n">
        <f aca="false">D661-D662</f>
        <v>0</v>
      </c>
      <c r="E663" s="55" t="n">
        <f aca="false">E661-E662</f>
        <v>0</v>
      </c>
      <c r="F663" s="55" t="n">
        <f aca="false">F661-F662</f>
        <v>0</v>
      </c>
      <c r="G663" s="55" t="n">
        <f aca="false">G661-G662</f>
        <v>0</v>
      </c>
      <c r="H663" s="2" t="s">
        <v>1177</v>
      </c>
    </row>
    <row r="664" customFormat="false" ht="15" hidden="false" customHeight="false" outlineLevel="1" collapsed="false">
      <c r="A664" s="56" t="s">
        <v>594</v>
      </c>
      <c r="B664" s="57" t="s">
        <v>120</v>
      </c>
      <c r="C664" s="58" t="n">
        <f aca="false">C659+C660+C661</f>
        <v>80</v>
      </c>
      <c r="D664" s="58" t="n">
        <f aca="false">D659+D660+D661</f>
        <v>650</v>
      </c>
      <c r="E664" s="58" t="n">
        <f aca="false">E659+E660+E661</f>
        <v>1300</v>
      </c>
      <c r="F664" s="58" t="n">
        <f aca="false">F659+F660+F661</f>
        <v>2200</v>
      </c>
      <c r="G664" s="58" t="n">
        <f aca="false">G659+G660+G661</f>
        <v>3300</v>
      </c>
      <c r="H664" s="2" t="s">
        <v>1178</v>
      </c>
    </row>
    <row r="665" customFormat="false" ht="15" hidden="false" customHeight="false" outlineLevel="1" collapsed="false">
      <c r="A665" s="7" t="s">
        <v>595</v>
      </c>
      <c r="B665" s="8" t="s">
        <v>76</v>
      </c>
      <c r="C665" s="59" t="n">
        <f aca="false">IF(C664&gt;0,C659/C664,0)</f>
        <v>0.125</v>
      </c>
      <c r="D665" s="59" t="n">
        <f aca="false">IF(D664&gt;0,D659/D664,0)</f>
        <v>0.0953846153846154</v>
      </c>
      <c r="E665" s="59" t="n">
        <f aca="false">IF(E664&gt;0,E659/E664,0)</f>
        <v>0.157692307692308</v>
      </c>
      <c r="F665" s="59" t="n">
        <f aca="false">IF(F664&gt;0,F659/F664,0)</f>
        <v>0.186363636363636</v>
      </c>
      <c r="G665" s="59" t="n">
        <f aca="false">IF(G664&gt;0,G659/G664,0)</f>
        <v>0.186363636363636</v>
      </c>
      <c r="H665" s="2" t="s">
        <v>1179</v>
      </c>
    </row>
    <row r="666" customFormat="false" ht="15" hidden="false" customHeight="false" outlineLevel="1" collapsed="false">
      <c r="A666" s="7" t="s">
        <v>596</v>
      </c>
      <c r="B666" s="8" t="s">
        <v>76</v>
      </c>
      <c r="C666" s="60" t="n">
        <f aca="false">C664/(Pressupostos!$C$76*1000)</f>
        <v>0.000471976401179941</v>
      </c>
      <c r="D666" s="60" t="n">
        <f aca="false">D664/(Pressupostos!$C$76*1000)</f>
        <v>0.00383480825958702</v>
      </c>
      <c r="E666" s="60" t="n">
        <f aca="false">E664/(Pressupostos!$C$76*1000)</f>
        <v>0.00766961651917404</v>
      </c>
      <c r="F666" s="60" t="n">
        <f aca="false">F664/(Pressupostos!$C$76*1000)</f>
        <v>0.0129793510324484</v>
      </c>
      <c r="G666" s="60" t="n">
        <f aca="false">G664/(Pressupostos!$C$76*1000)</f>
        <v>0.0194690265486726</v>
      </c>
      <c r="H666" s="2" t="s">
        <v>1180</v>
      </c>
    </row>
    <row r="667" customFormat="false" ht="15" hidden="false" customHeight="false" outlineLevel="1" collapsed="false">
      <c r="A667" s="7" t="s">
        <v>597</v>
      </c>
      <c r="B667" s="8" t="s">
        <v>123</v>
      </c>
      <c r="C667" s="55" t="n">
        <f aca="false">C659/Pressupostos!$C$40+C660/Pressupostos!$C$47+C661/Pressupostos!$C$59</f>
        <v>2.83333333333333</v>
      </c>
      <c r="D667" s="55" t="n">
        <f aca="false">D659/Pressupostos!$C$40+D660/Pressupostos!$C$47+D661/Pressupostos!$C$59</f>
        <v>22.7</v>
      </c>
      <c r="E667" s="55" t="n">
        <f aca="false">E659/Pressupostos!$C$40+E660/Pressupostos!$C$47+E661/Pressupostos!$C$59</f>
        <v>46.75</v>
      </c>
      <c r="F667" s="55" t="n">
        <f aca="false">F659/Pressupostos!$C$40+F660/Pressupostos!$C$47+F661/Pressupostos!$C$59</f>
        <v>80.1666666666667</v>
      </c>
      <c r="G667" s="55" t="n">
        <f aca="false">G659/Pressupostos!$C$40+G660/Pressupostos!$C$47+G661/Pressupostos!$C$59</f>
        <v>120.25</v>
      </c>
      <c r="H667" s="2" t="s">
        <v>1181</v>
      </c>
    </row>
    <row r="668" customFormat="false" ht="15" hidden="false" customHeight="false" outlineLevel="0" collapsed="false">
      <c r="A668" s="3" t="s">
        <v>1182</v>
      </c>
      <c r="B668" s="4"/>
      <c r="C668" s="4"/>
      <c r="D668" s="4"/>
      <c r="E668" s="4"/>
      <c r="F668" s="4"/>
      <c r="G668" s="4"/>
      <c r="H668" s="4"/>
    </row>
    <row r="669" customFormat="false" ht="15" hidden="false" customHeight="false" outlineLevel="1" collapsed="false">
      <c r="A669" s="7" t="s">
        <v>599</v>
      </c>
      <c r="B669" s="8" t="s">
        <v>202</v>
      </c>
      <c r="C669" s="53" t="n">
        <f aca="false">Pressupostos!$C$258</f>
        <v>180</v>
      </c>
      <c r="D669" s="53" t="n">
        <f aca="false">Pressupostos!$D$258</f>
        <v>800</v>
      </c>
      <c r="E669" s="53" t="n">
        <f aca="false">Pressupostos!$E$258</f>
        <v>1500</v>
      </c>
      <c r="F669" s="53" t="n">
        <f aca="false">Pressupostos!$F$258</f>
        <v>2200</v>
      </c>
      <c r="G669" s="53" t="n">
        <f aca="false">Pressupostos!$G$258</f>
        <v>3000</v>
      </c>
      <c r="H669" s="2" t="s">
        <v>1183</v>
      </c>
    </row>
    <row r="670" customFormat="false" ht="15" hidden="false" customHeight="false" outlineLevel="1" collapsed="false">
      <c r="A670" s="7" t="s">
        <v>599</v>
      </c>
      <c r="B670" s="8" t="s">
        <v>189</v>
      </c>
      <c r="C670" s="61" t="n">
        <f aca="false">C669*Pressupostos!$C$78</f>
        <v>135000</v>
      </c>
      <c r="D670" s="61" t="n">
        <f aca="false">D669*Pressupostos!$C$78</f>
        <v>600000</v>
      </c>
      <c r="E670" s="61" t="n">
        <f aca="false">E669*Pressupostos!$C$78</f>
        <v>1125000</v>
      </c>
      <c r="F670" s="61" t="n">
        <f aca="false">F669*Pressupostos!$C$78</f>
        <v>1650000</v>
      </c>
      <c r="G670" s="61" t="n">
        <f aca="false">G669*Pressupostos!$C$78</f>
        <v>2250000</v>
      </c>
      <c r="H670" s="2" t="s">
        <v>1184</v>
      </c>
    </row>
    <row r="671" customFormat="false" ht="15" hidden="false" customHeight="false" outlineLevel="0" collapsed="false">
      <c r="A671" s="3" t="s">
        <v>1185</v>
      </c>
      <c r="B671" s="4"/>
      <c r="C671" s="4"/>
      <c r="D671" s="4"/>
      <c r="E671" s="4"/>
      <c r="F671" s="4"/>
      <c r="G671" s="4"/>
      <c r="H671" s="4"/>
    </row>
    <row r="672" customFormat="false" ht="15" hidden="false" customHeight="false" outlineLevel="1" collapsed="false">
      <c r="A672" s="7" t="s">
        <v>601</v>
      </c>
      <c r="B672" s="8" t="s">
        <v>120</v>
      </c>
      <c r="C672" s="55" t="n">
        <f aca="false">IF(C656&lt;Pressupostos!$E$28,0,Pressupostos!$C$264)</f>
        <v>0</v>
      </c>
      <c r="D672" s="55" t="n">
        <f aca="false">IF(D656&lt;Pressupostos!$E$28,0,Pressupostos!$D$264)</f>
        <v>20</v>
      </c>
      <c r="E672" s="55" t="n">
        <f aca="false">IF(E656&lt;Pressupostos!$E$28,0,Pressupostos!$E$264)</f>
        <v>50</v>
      </c>
      <c r="F672" s="55" t="n">
        <f aca="false">IF(F656&lt;Pressupostos!$E$28,0,Pressupostos!$F$264)</f>
        <v>100</v>
      </c>
      <c r="G672" s="55" t="n">
        <f aca="false">IF(G656&lt;Pressupostos!$E$28,0,Pressupostos!$G$264)</f>
        <v>160</v>
      </c>
      <c r="H672" s="2" t="s">
        <v>1186</v>
      </c>
    </row>
    <row r="673" customFormat="false" ht="15" hidden="false" customHeight="false" outlineLevel="0" collapsed="false">
      <c r="A673" s="3" t="s">
        <v>1187</v>
      </c>
      <c r="B673" s="4"/>
      <c r="C673" s="4"/>
      <c r="D673" s="4"/>
      <c r="E673" s="4"/>
      <c r="F673" s="4"/>
      <c r="G673" s="4"/>
      <c r="H673" s="4"/>
    </row>
    <row r="674" customFormat="false" ht="15" hidden="false" customHeight="false" outlineLevel="1" collapsed="false">
      <c r="A674" s="7" t="s">
        <v>603</v>
      </c>
      <c r="B674" s="8" t="s">
        <v>11</v>
      </c>
      <c r="C674" s="53" t="n">
        <f aca="false">Pressupostos!$C$270</f>
        <v>0</v>
      </c>
      <c r="D674" s="53" t="n">
        <f aca="false">Pressupostos!$D$270</f>
        <v>1000000</v>
      </c>
      <c r="E674" s="53" t="n">
        <f aca="false">Pressupostos!$E$270</f>
        <v>3000000</v>
      </c>
      <c r="F674" s="53" t="n">
        <f aca="false">Pressupostos!$F$270</f>
        <v>6000000</v>
      </c>
      <c r="G674" s="53" t="n">
        <f aca="false">Pressupostos!$G$270</f>
        <v>10000000</v>
      </c>
      <c r="H674" s="2" t="s">
        <v>1188</v>
      </c>
    </row>
    <row r="675" customFormat="false" ht="15" hidden="false" customHeight="false" outlineLevel="1" collapsed="false">
      <c r="A675" s="7" t="s">
        <v>604</v>
      </c>
      <c r="B675" s="8" t="s">
        <v>120</v>
      </c>
      <c r="C675" s="55" t="n">
        <f aca="false">C674/(Pressupostos!$C$105*Pressupostos!$C$106)*Pressupostos!$C$102/1000</f>
        <v>0</v>
      </c>
      <c r="D675" s="55" t="n">
        <f aca="false">D674/(Pressupostos!$C$105*Pressupostos!$C$106)*Pressupostos!$C$102/1000</f>
        <v>914.285714285714</v>
      </c>
      <c r="E675" s="55" t="n">
        <f aca="false">E674/(Pressupostos!$C$105*Pressupostos!$C$106)*Pressupostos!$C$102/1000</f>
        <v>2742.85714285714</v>
      </c>
      <c r="F675" s="55" t="n">
        <f aca="false">F674/(Pressupostos!$C$105*Pressupostos!$C$106)*Pressupostos!$C$102/1000</f>
        <v>5485.71428571429</v>
      </c>
      <c r="G675" s="55" t="n">
        <f aca="false">G674/(Pressupostos!$C$105*Pressupostos!$C$106)*Pressupostos!$C$102/1000</f>
        <v>9142.85714285714</v>
      </c>
      <c r="H675" s="2" t="s">
        <v>1189</v>
      </c>
    </row>
    <row r="676" customFormat="false" ht="15" hidden="false" customHeight="false" outlineLevel="0" collapsed="false">
      <c r="A676" s="3" t="s">
        <v>1190</v>
      </c>
      <c r="B676" s="4"/>
      <c r="C676" s="4"/>
      <c r="D676" s="4"/>
      <c r="E676" s="4"/>
      <c r="F676" s="4"/>
      <c r="G676" s="4"/>
      <c r="H676" s="4"/>
    </row>
    <row r="677" customFormat="false" ht="15" hidden="false" customHeight="false" outlineLevel="1" collapsed="false">
      <c r="A677" s="7" t="s">
        <v>669</v>
      </c>
      <c r="B677" s="8" t="s">
        <v>64</v>
      </c>
      <c r="C677" s="63" t="n">
        <f aca="false">Pressupostos!$E$10+Pressupostos!$E$11</f>
        <v>3.55</v>
      </c>
      <c r="D677" s="63" t="n">
        <f aca="false">Pressupostos!$E$10+Pressupostos!$E$11</f>
        <v>3.55</v>
      </c>
      <c r="E677" s="63" t="n">
        <f aca="false">Pressupostos!$E$10+Pressupostos!$E$11</f>
        <v>3.55</v>
      </c>
      <c r="F677" s="63" t="n">
        <f aca="false">Pressupostos!$E$10+Pressupostos!$E$11</f>
        <v>3.55</v>
      </c>
      <c r="G677" s="63" t="n">
        <f aca="false">Pressupostos!$E$10+Pressupostos!$E$11</f>
        <v>3.55</v>
      </c>
      <c r="H677" s="2" t="s">
        <v>1191</v>
      </c>
    </row>
    <row r="678" customFormat="false" ht="15" hidden="false" customHeight="false" outlineLevel="1" collapsed="false">
      <c r="A678" s="7" t="s">
        <v>670</v>
      </c>
      <c r="B678" s="8" t="s">
        <v>64</v>
      </c>
      <c r="C678" s="67" t="n">
        <f aca="false">Pressupostos!$E$15</f>
        <v>6</v>
      </c>
      <c r="D678" s="67" t="n">
        <f aca="false">Pressupostos!$E$15</f>
        <v>6</v>
      </c>
      <c r="E678" s="67" t="n">
        <f aca="false">Pressupostos!$E$15</f>
        <v>6</v>
      </c>
      <c r="F678" s="67" t="n">
        <f aca="false">Pressupostos!$E$15</f>
        <v>6</v>
      </c>
      <c r="G678" s="67" t="n">
        <f aca="false">Pressupostos!$E$15</f>
        <v>6</v>
      </c>
      <c r="H678" s="2" t="s">
        <v>1192</v>
      </c>
    </row>
    <row r="679" customFormat="false" ht="15" hidden="false" customHeight="false" outlineLevel="1" collapsed="false">
      <c r="A679" s="56" t="s">
        <v>671</v>
      </c>
      <c r="B679" s="57" t="s">
        <v>64</v>
      </c>
      <c r="C679" s="68" t="n">
        <f aca="false">C678*(1-Pressupostos!$E$16)</f>
        <v>5.4</v>
      </c>
      <c r="D679" s="68" t="n">
        <f aca="false">D678*(1-Pressupostos!$E$16)</f>
        <v>5.4</v>
      </c>
      <c r="E679" s="68" t="n">
        <f aca="false">E678*(1-Pressupostos!$E$16)</f>
        <v>5.4</v>
      </c>
      <c r="F679" s="68" t="n">
        <f aca="false">F678*(1-Pressupostos!$E$16)</f>
        <v>5.4</v>
      </c>
      <c r="G679" s="68" t="n">
        <f aca="false">G678*(1-Pressupostos!$E$16)</f>
        <v>5.4</v>
      </c>
      <c r="H679" s="2" t="s">
        <v>1193</v>
      </c>
    </row>
    <row r="680" customFormat="false" ht="15" hidden="false" customHeight="false" outlineLevel="1" collapsed="false">
      <c r="A680" s="7" t="s">
        <v>144</v>
      </c>
      <c r="B680" s="8" t="s">
        <v>64</v>
      </c>
      <c r="C680" s="67" t="n">
        <f aca="false">Pressupostos!$C$38</f>
        <v>0.55</v>
      </c>
      <c r="D680" s="67" t="n">
        <f aca="false">Pressupostos!$C$38</f>
        <v>0.55</v>
      </c>
      <c r="E680" s="67" t="n">
        <f aca="false">Pressupostos!$C$38</f>
        <v>0.55</v>
      </c>
      <c r="F680" s="67" t="n">
        <f aca="false">Pressupostos!$C$38</f>
        <v>0.55</v>
      </c>
      <c r="G680" s="67" t="n">
        <f aca="false">Pressupostos!$C$38</f>
        <v>0.55</v>
      </c>
      <c r="H680" s="2" t="s">
        <v>1194</v>
      </c>
    </row>
    <row r="681" customFormat="false" ht="15" hidden="false" customHeight="false" outlineLevel="1" collapsed="false">
      <c r="A681" s="7" t="s">
        <v>215</v>
      </c>
      <c r="B681" s="8" t="s">
        <v>64</v>
      </c>
      <c r="C681" s="67" t="n">
        <f aca="false">Pressupostos!$C$239</f>
        <v>0.3</v>
      </c>
      <c r="D681" s="67" t="n">
        <f aca="false">Pressupostos!$D$239</f>
        <v>0.28</v>
      </c>
      <c r="E681" s="67" t="n">
        <f aca="false">Pressupostos!$E$239</f>
        <v>0.26</v>
      </c>
      <c r="F681" s="67" t="n">
        <f aca="false">Pressupostos!$F$239</f>
        <v>0.25</v>
      </c>
      <c r="G681" s="67" t="n">
        <f aca="false">Pressupostos!$G$239</f>
        <v>0.25</v>
      </c>
      <c r="H681" s="2" t="s">
        <v>1195</v>
      </c>
    </row>
    <row r="682" customFormat="false" ht="15" hidden="false" customHeight="false" outlineLevel="1" collapsed="false">
      <c r="A682" s="7" t="s">
        <v>117</v>
      </c>
      <c r="B682" s="8" t="s">
        <v>64</v>
      </c>
      <c r="C682" s="67" t="n">
        <f aca="false">Pressupostos!$C$39</f>
        <v>0.06</v>
      </c>
      <c r="D682" s="67" t="n">
        <f aca="false">Pressupostos!$C$39</f>
        <v>0.06</v>
      </c>
      <c r="E682" s="67" t="n">
        <f aca="false">Pressupostos!$C$39</f>
        <v>0.06</v>
      </c>
      <c r="F682" s="67" t="n">
        <f aca="false">Pressupostos!$C$39</f>
        <v>0.06</v>
      </c>
      <c r="G682" s="67" t="n">
        <f aca="false">Pressupostos!$C$39</f>
        <v>0.06</v>
      </c>
      <c r="H682" s="2" t="s">
        <v>1196</v>
      </c>
    </row>
    <row r="683" customFormat="false" ht="15" hidden="false" customHeight="false" outlineLevel="1" collapsed="false">
      <c r="A683" s="7" t="s">
        <v>91</v>
      </c>
      <c r="B683" s="8" t="s">
        <v>79</v>
      </c>
      <c r="C683" s="69" t="n">
        <f aca="false">Pressupostos!$C$245</f>
        <v>180</v>
      </c>
      <c r="D683" s="69" t="n">
        <f aca="false">Pressupostos!$D$245</f>
        <v>90</v>
      </c>
      <c r="E683" s="69" t="n">
        <f aca="false">Pressupostos!$E$245</f>
        <v>45</v>
      </c>
      <c r="F683" s="69" t="n">
        <f aca="false">Pressupostos!$F$245</f>
        <v>45</v>
      </c>
      <c r="G683" s="69" t="n">
        <f aca="false">Pressupostos!$G$245</f>
        <v>45</v>
      </c>
      <c r="H683" s="2" t="s">
        <v>1197</v>
      </c>
    </row>
    <row r="684" customFormat="false" ht="15" hidden="false" customHeight="false" outlineLevel="1" collapsed="false">
      <c r="A684" s="7" t="s">
        <v>78</v>
      </c>
      <c r="B684" s="8" t="s">
        <v>79</v>
      </c>
      <c r="C684" s="69" t="n">
        <f aca="false">Pressupostos!$E$17</f>
        <v>30</v>
      </c>
      <c r="D684" s="69" t="n">
        <f aca="false">Pressupostos!$E$17</f>
        <v>30</v>
      </c>
      <c r="E684" s="69" t="n">
        <f aca="false">Pressupostos!$E$17</f>
        <v>30</v>
      </c>
      <c r="F684" s="69" t="n">
        <f aca="false">Pressupostos!$E$17</f>
        <v>30</v>
      </c>
      <c r="G684" s="69" t="n">
        <f aca="false">Pressupostos!$E$17</f>
        <v>30</v>
      </c>
      <c r="H684" s="2" t="s">
        <v>1198</v>
      </c>
    </row>
    <row r="685" customFormat="false" ht="15" hidden="false" customHeight="false" outlineLevel="1" collapsed="false">
      <c r="A685" s="7" t="s">
        <v>490</v>
      </c>
      <c r="B685" s="8" t="s">
        <v>64</v>
      </c>
      <c r="C685" s="63" t="n">
        <f aca="false">Pressupostos!$C$66*C683/30/1000</f>
        <v>0.024</v>
      </c>
      <c r="D685" s="63" t="n">
        <f aca="false">Pressupostos!$C$66*D683/30/1000</f>
        <v>0.012</v>
      </c>
      <c r="E685" s="63" t="n">
        <f aca="false">Pressupostos!$C$66*E683/30/1000</f>
        <v>0.006</v>
      </c>
      <c r="F685" s="63" t="n">
        <f aca="false">Pressupostos!$C$66*F683/30/1000</f>
        <v>0.006</v>
      </c>
      <c r="G685" s="63" t="n">
        <f aca="false">Pressupostos!$C$66*G683/30/1000</f>
        <v>0.006</v>
      </c>
      <c r="H685" s="2" t="s">
        <v>1199</v>
      </c>
    </row>
    <row r="686" customFormat="false" ht="15" hidden="false" customHeight="false" outlineLevel="1" collapsed="false">
      <c r="A686" s="7" t="s">
        <v>165</v>
      </c>
      <c r="B686" s="8" t="s">
        <v>64</v>
      </c>
      <c r="C686" s="63" t="n">
        <f aca="false">C677*Pressupostos!$C$67*C683/365</f>
        <v>0.0035013698630137</v>
      </c>
      <c r="D686" s="63" t="n">
        <f aca="false">D677*Pressupostos!$C$67*D683/365</f>
        <v>0.00175068493150685</v>
      </c>
      <c r="E686" s="63" t="n">
        <f aca="false">E677*Pressupostos!$C$67*E683/365</f>
        <v>0.000875342465753425</v>
      </c>
      <c r="F686" s="63" t="n">
        <f aca="false">F677*Pressupostos!$C$67*F683/365</f>
        <v>0.000875342465753425</v>
      </c>
      <c r="G686" s="63" t="n">
        <f aca="false">G677*Pressupostos!$C$67*G683/365</f>
        <v>0.000875342465753425</v>
      </c>
      <c r="H686" s="2" t="s">
        <v>1200</v>
      </c>
    </row>
    <row r="687" customFormat="false" ht="15" hidden="false" customHeight="false" outlineLevel="1" collapsed="false">
      <c r="A687" s="7" t="s">
        <v>672</v>
      </c>
      <c r="B687" s="8" t="s">
        <v>64</v>
      </c>
      <c r="C687" s="63" t="n">
        <f aca="false">Pressupostos!$C$41*Pressupostos!$C$68/(Pressupostos!$C$40*1000)</f>
        <v>0.03</v>
      </c>
      <c r="D687" s="63" t="n">
        <f aca="false">Pressupostos!$C$41*Pressupostos!$C$68/(Pressupostos!$C$40*1000)</f>
        <v>0.03</v>
      </c>
      <c r="E687" s="63" t="n">
        <f aca="false">Pressupostos!$C$41*Pressupostos!$C$68/(Pressupostos!$C$40*1000)</f>
        <v>0.03</v>
      </c>
      <c r="F687" s="63" t="n">
        <f aca="false">Pressupostos!$C$41*Pressupostos!$C$68/(Pressupostos!$C$40*1000)</f>
        <v>0.03</v>
      </c>
      <c r="G687" s="63" t="n">
        <f aca="false">Pressupostos!$C$41*Pressupostos!$C$68/(Pressupostos!$C$40*1000)</f>
        <v>0.03</v>
      </c>
      <c r="H687" s="2" t="s">
        <v>1201</v>
      </c>
    </row>
    <row r="688" customFormat="false" ht="15" hidden="false" customHeight="false" outlineLevel="1" collapsed="false">
      <c r="A688" s="7" t="s">
        <v>492</v>
      </c>
      <c r="B688" s="8" t="s">
        <v>64</v>
      </c>
      <c r="C688" s="63" t="n">
        <f aca="false">Pressupostos!$C$69*C677</f>
        <v>0.01775</v>
      </c>
      <c r="D688" s="63" t="n">
        <f aca="false">Pressupostos!$C$69*D677</f>
        <v>0.01775</v>
      </c>
      <c r="E688" s="63" t="n">
        <f aca="false">Pressupostos!$C$69*E677</f>
        <v>0.01775</v>
      </c>
      <c r="F688" s="63" t="n">
        <f aca="false">Pressupostos!$C$69*F677</f>
        <v>0.01775</v>
      </c>
      <c r="G688" s="63" t="n">
        <f aca="false">Pressupostos!$C$69*G677</f>
        <v>0.01775</v>
      </c>
      <c r="H688" s="2" t="s">
        <v>1202</v>
      </c>
    </row>
    <row r="689" customFormat="false" ht="15" hidden="false" customHeight="false" outlineLevel="1" collapsed="false">
      <c r="A689" s="7" t="s">
        <v>493</v>
      </c>
      <c r="B689" s="8" t="s">
        <v>64</v>
      </c>
      <c r="C689" s="63" t="n">
        <f aca="false">Pressupostos!$C$70*Pressupostos!$C$71*C683/90</f>
        <v>0.018</v>
      </c>
      <c r="D689" s="63" t="n">
        <f aca="false">Pressupostos!$C$70*Pressupostos!$C$71*D683/90</f>
        <v>0.009</v>
      </c>
      <c r="E689" s="63" t="n">
        <f aca="false">Pressupostos!$C$70*Pressupostos!$C$71*E683/90</f>
        <v>0.0045</v>
      </c>
      <c r="F689" s="63" t="n">
        <f aca="false">Pressupostos!$C$70*Pressupostos!$C$71*F683/90</f>
        <v>0.0045</v>
      </c>
      <c r="G689" s="63" t="n">
        <f aca="false">Pressupostos!$C$70*Pressupostos!$C$71*G683/90</f>
        <v>0.0045</v>
      </c>
      <c r="H689" s="2" t="s">
        <v>1203</v>
      </c>
    </row>
    <row r="690" customFormat="false" ht="15" hidden="false" customHeight="false" outlineLevel="1" collapsed="false">
      <c r="A690" s="7" t="s">
        <v>673</v>
      </c>
      <c r="B690" s="8" t="s">
        <v>64</v>
      </c>
      <c r="C690" s="63" t="n">
        <f aca="false">Pressupostos!$C$42/(Pressupostos!$C$40*1000)</f>
        <v>0.1</v>
      </c>
      <c r="D690" s="63" t="n">
        <f aca="false">Pressupostos!$C$42/(Pressupostos!$C$40*1000)</f>
        <v>0.1</v>
      </c>
      <c r="E690" s="63" t="n">
        <f aca="false">Pressupostos!$C$42/(Pressupostos!$C$40*1000)</f>
        <v>0.1</v>
      </c>
      <c r="F690" s="63" t="n">
        <f aca="false">Pressupostos!$C$42/(Pressupostos!$C$40*1000)</f>
        <v>0.1</v>
      </c>
      <c r="G690" s="63" t="n">
        <f aca="false">Pressupostos!$C$42/(Pressupostos!$C$40*1000)</f>
        <v>0.1</v>
      </c>
      <c r="H690" s="2" t="s">
        <v>1204</v>
      </c>
    </row>
    <row r="691" customFormat="false" ht="15" hidden="false" customHeight="false" outlineLevel="1" collapsed="false">
      <c r="A691" s="7" t="s">
        <v>139</v>
      </c>
      <c r="B691" s="8" t="s">
        <v>64</v>
      </c>
      <c r="C691" s="67" t="n">
        <f aca="false">Pressupostos!$C$43</f>
        <v>0.01</v>
      </c>
      <c r="D691" s="67" t="n">
        <f aca="false">Pressupostos!$C$43</f>
        <v>0.01</v>
      </c>
      <c r="E691" s="67" t="n">
        <f aca="false">Pressupostos!$C$43</f>
        <v>0.01</v>
      </c>
      <c r="F691" s="67" t="n">
        <f aca="false">Pressupostos!$C$43</f>
        <v>0.01</v>
      </c>
      <c r="G691" s="67" t="n">
        <f aca="false">Pressupostos!$C$43</f>
        <v>0.01</v>
      </c>
      <c r="H691" s="2" t="s">
        <v>1205</v>
      </c>
    </row>
    <row r="692" customFormat="false" ht="15" hidden="false" customHeight="false" outlineLevel="1" collapsed="false">
      <c r="A692" s="7" t="s">
        <v>81</v>
      </c>
      <c r="B692" s="8" t="s">
        <v>64</v>
      </c>
      <c r="C692" s="63" t="n">
        <f aca="false">Pressupostos!$E$18*C679</f>
        <v>0.027</v>
      </c>
      <c r="D692" s="63" t="n">
        <f aca="false">Pressupostos!$E$18*D679</f>
        <v>0.027</v>
      </c>
      <c r="E692" s="63" t="n">
        <f aca="false">Pressupostos!$E$18*E679</f>
        <v>0.027</v>
      </c>
      <c r="F692" s="63" t="n">
        <f aca="false">Pressupostos!$E$18*F679</f>
        <v>0.027</v>
      </c>
      <c r="G692" s="63" t="n">
        <f aca="false">Pressupostos!$E$18*G679</f>
        <v>0.027</v>
      </c>
      <c r="H692" s="2" t="s">
        <v>1206</v>
      </c>
    </row>
    <row r="693" customFormat="false" ht="15" hidden="false" customHeight="false" outlineLevel="1" collapsed="false">
      <c r="A693" s="7" t="s">
        <v>674</v>
      </c>
      <c r="B693" s="8" t="s">
        <v>64</v>
      </c>
      <c r="C693" s="63" t="n">
        <f aca="false">Pressupostos!$C$73*C679</f>
        <v>0</v>
      </c>
      <c r="D693" s="63" t="n">
        <f aca="false">Pressupostos!$C$73*D679</f>
        <v>0</v>
      </c>
      <c r="E693" s="63" t="n">
        <f aca="false">Pressupostos!$C$73*E679</f>
        <v>0</v>
      </c>
      <c r="F693" s="63" t="n">
        <f aca="false">Pressupostos!$C$73*F679</f>
        <v>0</v>
      </c>
      <c r="G693" s="63" t="n">
        <f aca="false">Pressupostos!$C$73*G679</f>
        <v>0</v>
      </c>
      <c r="H693" s="2" t="s">
        <v>1207</v>
      </c>
    </row>
    <row r="694" customFormat="false" ht="15" hidden="false" customHeight="false" outlineLevel="1" collapsed="false">
      <c r="A694" s="7" t="s">
        <v>675</v>
      </c>
      <c r="B694" s="8" t="s">
        <v>64</v>
      </c>
      <c r="C694" s="63" t="n">
        <f aca="false">Pressupostos!$C$289*(C677+C680)*(C683+C684-Pressupostos!$C$72)/365*Pressupostos!$C$283/Pressupostos!$E$31</f>
        <v>0</v>
      </c>
      <c r="D694" s="63" t="n">
        <f aca="false">Pressupostos!$D$289*(D677+D680)*(D683+D684-Pressupostos!$C$72)/365*Pressupostos!$D$283/Pressupostos!$E$31</f>
        <v>0.0802820306204674</v>
      </c>
      <c r="E694" s="63" t="n">
        <f aca="false">Pressupostos!$E$289*(E677+E680)*(E683+E684-Pressupostos!$C$72)/365*Pressupostos!$E$283/Pressupostos!$E$31</f>
        <v>0.0374649476228848</v>
      </c>
      <c r="F694" s="63" t="n">
        <f aca="false">Pressupostos!$F$289*(F677+F680)*(F683+F684-Pressupostos!$C$72)/365*Pressupostos!$F$283/Pressupostos!$E$31</f>
        <v>0.0347888799355359</v>
      </c>
      <c r="G694" s="63" t="n">
        <f aca="false">Pressupostos!$G$289*(G677+G680)*(G683+G684-Pressupostos!$C$72)/365*Pressupostos!$G$283/Pressupostos!$E$31</f>
        <v>0.0347888799355359</v>
      </c>
      <c r="H694" s="2" t="s">
        <v>1208</v>
      </c>
    </row>
    <row r="695" customFormat="false" ht="15" hidden="false" customHeight="false" outlineLevel="1" collapsed="false">
      <c r="A695" s="7" t="s">
        <v>676</v>
      </c>
      <c r="B695" s="8" t="s">
        <v>64</v>
      </c>
      <c r="C695" s="63" t="n">
        <f aca="false">C677+C680+C681+C682+C685+C686+C687+C688+C689+C690+C691+C692+C693+C694</f>
        <v>4.69025136986301</v>
      </c>
      <c r="D695" s="63" t="n">
        <f aca="false">D677+D680+D681+D682+D685+D686+D687+D688+D689+D690+D691+D692+D693+D694</f>
        <v>4.72778271555197</v>
      </c>
      <c r="E695" s="63" t="n">
        <f aca="false">E677+E680+E681+E682+E685+E686+E687+E688+E689+E690+E691+E692+E693+E694</f>
        <v>4.65359029008864</v>
      </c>
      <c r="F695" s="63" t="n">
        <f aca="false">F677+F680+F681+F682+F685+F686+F687+F688+F689+F690+F691+F692+F693+F694</f>
        <v>4.64091422240129</v>
      </c>
      <c r="G695" s="63" t="n">
        <f aca="false">G677+G680+G681+G682+G685+G686+G687+G688+G689+G690+G691+G692+G693+G694</f>
        <v>4.64091422240129</v>
      </c>
      <c r="H695" s="2" t="s">
        <v>1209</v>
      </c>
    </row>
    <row r="696" customFormat="false" ht="15" hidden="false" customHeight="false" outlineLevel="1" collapsed="false">
      <c r="A696" s="56" t="s">
        <v>677</v>
      </c>
      <c r="B696" s="57" t="s">
        <v>64</v>
      </c>
      <c r="C696" s="68" t="n">
        <f aca="false">C679-C695</f>
        <v>0.709748630136987</v>
      </c>
      <c r="D696" s="68" t="n">
        <f aca="false">D679-D695</f>
        <v>0.672217284448027</v>
      </c>
      <c r="E696" s="68" t="n">
        <f aca="false">E679-E695</f>
        <v>0.746409709911363</v>
      </c>
      <c r="F696" s="68" t="n">
        <f aca="false">F679-F695</f>
        <v>0.759085777598711</v>
      </c>
      <c r="G696" s="68" t="n">
        <f aca="false">G679-G695</f>
        <v>0.759085777598711</v>
      </c>
      <c r="H696" s="2" t="s">
        <v>1210</v>
      </c>
    </row>
    <row r="697" customFormat="false" ht="15" hidden="false" customHeight="false" outlineLevel="1" collapsed="false">
      <c r="A697" s="7" t="s">
        <v>678</v>
      </c>
      <c r="B697" s="8" t="s">
        <v>76</v>
      </c>
      <c r="C697" s="59" t="n">
        <f aca="false">IF(C679&gt;0,C696/C679,0)</f>
        <v>0.131434931506849</v>
      </c>
      <c r="D697" s="59" t="n">
        <f aca="false">IF(D679&gt;0,D696/D679,0)</f>
        <v>0.12448468230519</v>
      </c>
      <c r="E697" s="59" t="n">
        <f aca="false">IF(E679&gt;0,E696/E679,0)</f>
        <v>0.138224020353956</v>
      </c>
      <c r="F697" s="59" t="n">
        <f aca="false">IF(F679&gt;0,F696/F679,0)</f>
        <v>0.140571440296058</v>
      </c>
      <c r="G697" s="59" t="n">
        <f aca="false">IF(G679&gt;0,G696/G679,0)</f>
        <v>0.140571440296058</v>
      </c>
      <c r="H697" s="2" t="s">
        <v>1211</v>
      </c>
    </row>
    <row r="698" customFormat="false" ht="15" hidden="false" customHeight="false" outlineLevel="1" collapsed="false">
      <c r="A698" s="7" t="s">
        <v>679</v>
      </c>
      <c r="B698" s="8" t="s">
        <v>64</v>
      </c>
      <c r="C698" s="63" t="n">
        <f aca="false">(C677+C680)*(C683-Pressupostos!$C$72)/365+C679*C684/365</f>
        <v>2.12876712328767</v>
      </c>
      <c r="D698" s="63" t="n">
        <f aca="false">(D677+D680)*(D683-Pressupostos!$C$72)/365+D679*D684/365</f>
        <v>1.11780821917808</v>
      </c>
      <c r="E698" s="63" t="n">
        <f aca="false">(E677+E680)*(E683-Pressupostos!$C$72)/365+E679*E684/365</f>
        <v>0.612328767123288</v>
      </c>
      <c r="F698" s="63" t="n">
        <f aca="false">(F677+F680)*(F683-Pressupostos!$C$72)/365+F679*F684/365</f>
        <v>0.612328767123288</v>
      </c>
      <c r="G698" s="63" t="n">
        <f aca="false">(G677+G680)*(G683-Pressupostos!$C$72)/365+G679*G684/365</f>
        <v>0.612328767123288</v>
      </c>
      <c r="H698" s="2" t="s">
        <v>1212</v>
      </c>
    </row>
    <row r="699" customFormat="false" ht="15" hidden="false" customHeight="false" outlineLevel="0" collapsed="false">
      <c r="A699" s="3" t="s">
        <v>1213</v>
      </c>
      <c r="B699" s="4"/>
      <c r="C699" s="4"/>
      <c r="D699" s="4"/>
      <c r="E699" s="4"/>
      <c r="F699" s="4"/>
      <c r="G699" s="4"/>
      <c r="H699" s="4"/>
    </row>
    <row r="700" customFormat="false" ht="15" hidden="false" customHeight="false" outlineLevel="1" collapsed="false">
      <c r="A700" s="7" t="s">
        <v>669</v>
      </c>
      <c r="B700" s="8" t="s">
        <v>64</v>
      </c>
      <c r="C700" s="63" t="n">
        <f aca="false">Pressupostos!$E$10+Pressupostos!$E$12</f>
        <v>3.55</v>
      </c>
      <c r="D700" s="63" t="n">
        <f aca="false">Pressupostos!$E$10+Pressupostos!$E$12</f>
        <v>3.55</v>
      </c>
      <c r="E700" s="63" t="n">
        <f aca="false">Pressupostos!$E$10+Pressupostos!$E$12</f>
        <v>3.55</v>
      </c>
      <c r="F700" s="63" t="n">
        <f aca="false">Pressupostos!$E$10+Pressupostos!$E$12</f>
        <v>3.55</v>
      </c>
      <c r="G700" s="63" t="n">
        <f aca="false">Pressupostos!$E$10+Pressupostos!$E$12</f>
        <v>3.55</v>
      </c>
      <c r="H700" s="2" t="s">
        <v>1214</v>
      </c>
    </row>
    <row r="701" customFormat="false" ht="15" hidden="false" customHeight="false" outlineLevel="1" collapsed="false">
      <c r="A701" s="7" t="s">
        <v>670</v>
      </c>
      <c r="B701" s="8" t="s">
        <v>64</v>
      </c>
      <c r="C701" s="63" t="n">
        <f aca="false">Pressupostos!$E$20+Pressupostos!$E$21</f>
        <v>4.5</v>
      </c>
      <c r="D701" s="63" t="n">
        <f aca="false">Pressupostos!$E$20+Pressupostos!$E$21</f>
        <v>4.5</v>
      </c>
      <c r="E701" s="63" t="n">
        <f aca="false">Pressupostos!$E$20+Pressupostos!$E$21</f>
        <v>4.5</v>
      </c>
      <c r="F701" s="63" t="n">
        <f aca="false">Pressupostos!$E$20+Pressupostos!$E$21</f>
        <v>4.5</v>
      </c>
      <c r="G701" s="63" t="n">
        <f aca="false">Pressupostos!$E$20+Pressupostos!$E$21</f>
        <v>4.5</v>
      </c>
      <c r="H701" s="2" t="s">
        <v>1215</v>
      </c>
    </row>
    <row r="702" customFormat="false" ht="15" hidden="false" customHeight="false" outlineLevel="1" collapsed="false">
      <c r="A702" s="56" t="s">
        <v>671</v>
      </c>
      <c r="B702" s="57" t="s">
        <v>64</v>
      </c>
      <c r="C702" s="68" t="n">
        <f aca="false">C701*(1-Pressupostos!$E$22)</f>
        <v>4.5</v>
      </c>
      <c r="D702" s="68" t="n">
        <f aca="false">D701*(1-Pressupostos!$E$22)</f>
        <v>4.5</v>
      </c>
      <c r="E702" s="68" t="n">
        <f aca="false">E701*(1-Pressupostos!$E$22)</f>
        <v>4.5</v>
      </c>
      <c r="F702" s="68" t="n">
        <f aca="false">F701*(1-Pressupostos!$E$22)</f>
        <v>4.5</v>
      </c>
      <c r="G702" s="68" t="n">
        <f aca="false">G701*(1-Pressupostos!$E$22)</f>
        <v>4.5</v>
      </c>
      <c r="H702" s="2" t="s">
        <v>1216</v>
      </c>
    </row>
    <row r="703" customFormat="false" ht="15" hidden="false" customHeight="false" outlineLevel="1" collapsed="false">
      <c r="A703" s="7" t="s">
        <v>144</v>
      </c>
      <c r="B703" s="8" t="s">
        <v>64</v>
      </c>
      <c r="C703" s="67" t="n">
        <f aca="false">Pressupostos!$C$45</f>
        <v>0.45</v>
      </c>
      <c r="D703" s="67" t="n">
        <f aca="false">Pressupostos!$C$45</f>
        <v>0.45</v>
      </c>
      <c r="E703" s="67" t="n">
        <f aca="false">Pressupostos!$C$45</f>
        <v>0.45</v>
      </c>
      <c r="F703" s="67" t="n">
        <f aca="false">Pressupostos!$C$45</f>
        <v>0.45</v>
      </c>
      <c r="G703" s="67" t="n">
        <f aca="false">Pressupostos!$C$45</f>
        <v>0.45</v>
      </c>
      <c r="H703" s="2" t="s">
        <v>1217</v>
      </c>
    </row>
    <row r="704" customFormat="false" ht="15" hidden="false" customHeight="false" outlineLevel="1" collapsed="false">
      <c r="A704" s="7" t="s">
        <v>215</v>
      </c>
      <c r="B704" s="8" t="s">
        <v>64</v>
      </c>
      <c r="C704" s="67" t="n">
        <f aca="false">Pressupostos!$C$251</f>
        <v>0.1</v>
      </c>
      <c r="D704" s="67" t="n">
        <f aca="false">Pressupostos!$D$251</f>
        <v>0.09</v>
      </c>
      <c r="E704" s="67" t="n">
        <f aca="false">Pressupostos!$E$251</f>
        <v>0.08</v>
      </c>
      <c r="F704" s="67" t="n">
        <f aca="false">Pressupostos!$F$251</f>
        <v>0.08</v>
      </c>
      <c r="G704" s="67" t="n">
        <f aca="false">Pressupostos!$G$251</f>
        <v>0.08</v>
      </c>
      <c r="H704" s="2" t="s">
        <v>1218</v>
      </c>
    </row>
    <row r="705" customFormat="false" ht="15" hidden="false" customHeight="false" outlineLevel="1" collapsed="false">
      <c r="A705" s="7" t="s">
        <v>117</v>
      </c>
      <c r="B705" s="8" t="s">
        <v>64</v>
      </c>
      <c r="C705" s="67" t="n">
        <f aca="false">Pressupostos!$C$46</f>
        <v>0</v>
      </c>
      <c r="D705" s="67" t="n">
        <f aca="false">Pressupostos!$C$46</f>
        <v>0</v>
      </c>
      <c r="E705" s="67" t="n">
        <f aca="false">Pressupostos!$C$46</f>
        <v>0</v>
      </c>
      <c r="F705" s="67" t="n">
        <f aca="false">Pressupostos!$C$46</f>
        <v>0</v>
      </c>
      <c r="G705" s="67" t="n">
        <f aca="false">Pressupostos!$C$46</f>
        <v>0</v>
      </c>
      <c r="H705" s="2" t="s">
        <v>1219</v>
      </c>
    </row>
    <row r="706" customFormat="false" ht="15" hidden="false" customHeight="false" outlineLevel="1" collapsed="false">
      <c r="A706" s="7" t="s">
        <v>91</v>
      </c>
      <c r="B706" s="8" t="s">
        <v>79</v>
      </c>
      <c r="C706" s="69" t="n">
        <f aca="false">Pressupostos!$E$23</f>
        <v>25</v>
      </c>
      <c r="D706" s="69" t="n">
        <f aca="false">Pressupostos!$E$23</f>
        <v>25</v>
      </c>
      <c r="E706" s="69" t="n">
        <f aca="false">Pressupostos!$E$23</f>
        <v>25</v>
      </c>
      <c r="F706" s="69" t="n">
        <f aca="false">Pressupostos!$E$23</f>
        <v>25</v>
      </c>
      <c r="G706" s="69" t="n">
        <f aca="false">Pressupostos!$E$23</f>
        <v>25</v>
      </c>
      <c r="H706" s="2" t="s">
        <v>1220</v>
      </c>
    </row>
    <row r="707" customFormat="false" ht="15" hidden="false" customHeight="false" outlineLevel="1" collapsed="false">
      <c r="A707" s="7" t="s">
        <v>78</v>
      </c>
      <c r="B707" s="8" t="s">
        <v>79</v>
      </c>
      <c r="C707" s="69" t="n">
        <f aca="false">Pressupostos!$E$24</f>
        <v>40</v>
      </c>
      <c r="D707" s="69" t="n">
        <f aca="false">Pressupostos!$E$24</f>
        <v>40</v>
      </c>
      <c r="E707" s="69" t="n">
        <f aca="false">Pressupostos!$E$24</f>
        <v>40</v>
      </c>
      <c r="F707" s="69" t="n">
        <f aca="false">Pressupostos!$E$24</f>
        <v>40</v>
      </c>
      <c r="G707" s="69" t="n">
        <f aca="false">Pressupostos!$E$24</f>
        <v>40</v>
      </c>
      <c r="H707" s="2" t="s">
        <v>1221</v>
      </c>
    </row>
    <row r="708" customFormat="false" ht="15" hidden="false" customHeight="false" outlineLevel="1" collapsed="false">
      <c r="A708" s="7" t="s">
        <v>490</v>
      </c>
      <c r="B708" s="8" t="s">
        <v>64</v>
      </c>
      <c r="C708" s="63" t="n">
        <f aca="false">Pressupostos!$C$66*C706/30/1000</f>
        <v>0.00333333333333333</v>
      </c>
      <c r="D708" s="63" t="n">
        <f aca="false">Pressupostos!$C$66*D706/30/1000</f>
        <v>0.00333333333333333</v>
      </c>
      <c r="E708" s="63" t="n">
        <f aca="false">Pressupostos!$C$66*E706/30/1000</f>
        <v>0.00333333333333333</v>
      </c>
      <c r="F708" s="63" t="n">
        <f aca="false">Pressupostos!$C$66*F706/30/1000</f>
        <v>0.00333333333333333</v>
      </c>
      <c r="G708" s="63" t="n">
        <f aca="false">Pressupostos!$C$66*G706/30/1000</f>
        <v>0.00333333333333333</v>
      </c>
      <c r="H708" s="2" t="s">
        <v>1222</v>
      </c>
    </row>
    <row r="709" customFormat="false" ht="15" hidden="false" customHeight="false" outlineLevel="1" collapsed="false">
      <c r="A709" s="7" t="s">
        <v>165</v>
      </c>
      <c r="B709" s="8" t="s">
        <v>64</v>
      </c>
      <c r="C709" s="63" t="n">
        <f aca="false">C700*Pressupostos!$C$67*C706/365</f>
        <v>0.000486301369863014</v>
      </c>
      <c r="D709" s="63" t="n">
        <f aca="false">D700*Pressupostos!$C$67*D706/365</f>
        <v>0.000486301369863014</v>
      </c>
      <c r="E709" s="63" t="n">
        <f aca="false">E700*Pressupostos!$C$67*E706/365</f>
        <v>0.000486301369863014</v>
      </c>
      <c r="F709" s="63" t="n">
        <f aca="false">F700*Pressupostos!$C$67*F706/365</f>
        <v>0.000486301369863014</v>
      </c>
      <c r="G709" s="63" t="n">
        <f aca="false">G700*Pressupostos!$C$67*G706/365</f>
        <v>0.000486301369863014</v>
      </c>
      <c r="H709" s="2" t="s">
        <v>1223</v>
      </c>
    </row>
    <row r="710" customFormat="false" ht="15" hidden="false" customHeight="false" outlineLevel="1" collapsed="false">
      <c r="A710" s="7" t="s">
        <v>672</v>
      </c>
      <c r="B710" s="8" t="s">
        <v>64</v>
      </c>
      <c r="C710" s="63" t="n">
        <f aca="false">Pressupostos!$C$48*Pressupostos!$C$68/(Pressupostos!$C$47*1000)</f>
        <v>0.02</v>
      </c>
      <c r="D710" s="63" t="n">
        <f aca="false">Pressupostos!$C$48*Pressupostos!$C$68/(Pressupostos!$C$47*1000)</f>
        <v>0.02</v>
      </c>
      <c r="E710" s="63" t="n">
        <f aca="false">Pressupostos!$C$48*Pressupostos!$C$68/(Pressupostos!$C$47*1000)</f>
        <v>0.02</v>
      </c>
      <c r="F710" s="63" t="n">
        <f aca="false">Pressupostos!$C$48*Pressupostos!$C$68/(Pressupostos!$C$47*1000)</f>
        <v>0.02</v>
      </c>
      <c r="G710" s="63" t="n">
        <f aca="false">Pressupostos!$C$48*Pressupostos!$C$68/(Pressupostos!$C$47*1000)</f>
        <v>0.02</v>
      </c>
      <c r="H710" s="2" t="s">
        <v>1224</v>
      </c>
    </row>
    <row r="711" customFormat="false" ht="15" hidden="false" customHeight="false" outlineLevel="1" collapsed="false">
      <c r="A711" s="7" t="s">
        <v>492</v>
      </c>
      <c r="B711" s="8" t="s">
        <v>64</v>
      </c>
      <c r="C711" s="63" t="n">
        <f aca="false">Pressupostos!$C$69*C700</f>
        <v>0.01775</v>
      </c>
      <c r="D711" s="63" t="n">
        <f aca="false">Pressupostos!$C$69*D700</f>
        <v>0.01775</v>
      </c>
      <c r="E711" s="63" t="n">
        <f aca="false">Pressupostos!$C$69*E700</f>
        <v>0.01775</v>
      </c>
      <c r="F711" s="63" t="n">
        <f aca="false">Pressupostos!$C$69*F700</f>
        <v>0.01775</v>
      </c>
      <c r="G711" s="63" t="n">
        <f aca="false">Pressupostos!$C$69*G700</f>
        <v>0.01775</v>
      </c>
      <c r="H711" s="2" t="s">
        <v>1225</v>
      </c>
    </row>
    <row r="712" customFormat="false" ht="15" hidden="false" customHeight="false" outlineLevel="1" collapsed="false">
      <c r="A712" s="7" t="s">
        <v>493</v>
      </c>
      <c r="B712" s="8" t="s">
        <v>64</v>
      </c>
      <c r="C712" s="63" t="n">
        <f aca="false">Pressupostos!$C$70*Pressupostos!$C$71*C706/90</f>
        <v>0.0025</v>
      </c>
      <c r="D712" s="63" t="n">
        <f aca="false">Pressupostos!$C$70*Pressupostos!$C$71*D706/90</f>
        <v>0.0025</v>
      </c>
      <c r="E712" s="63" t="n">
        <f aca="false">Pressupostos!$C$70*Pressupostos!$C$71*E706/90</f>
        <v>0.0025</v>
      </c>
      <c r="F712" s="63" t="n">
        <f aca="false">Pressupostos!$C$70*Pressupostos!$C$71*F706/90</f>
        <v>0.0025</v>
      </c>
      <c r="G712" s="63" t="n">
        <f aca="false">Pressupostos!$C$70*Pressupostos!$C$71*G706/90</f>
        <v>0.0025</v>
      </c>
      <c r="H712" s="2" t="s">
        <v>1226</v>
      </c>
    </row>
    <row r="713" customFormat="false" ht="15" hidden="false" customHeight="false" outlineLevel="1" collapsed="false">
      <c r="A713" s="7" t="s">
        <v>673</v>
      </c>
      <c r="B713" s="8" t="s">
        <v>64</v>
      </c>
      <c r="C713" s="63" t="n">
        <f aca="false">Pressupostos!$C$49/(Pressupostos!$C$47*1000)</f>
        <v>0.04</v>
      </c>
      <c r="D713" s="63" t="n">
        <f aca="false">Pressupostos!$C$49/(Pressupostos!$C$47*1000)</f>
        <v>0.04</v>
      </c>
      <c r="E713" s="63" t="n">
        <f aca="false">Pressupostos!$C$49/(Pressupostos!$C$47*1000)</f>
        <v>0.04</v>
      </c>
      <c r="F713" s="63" t="n">
        <f aca="false">Pressupostos!$C$49/(Pressupostos!$C$47*1000)</f>
        <v>0.04</v>
      </c>
      <c r="G713" s="63" t="n">
        <f aca="false">Pressupostos!$C$49/(Pressupostos!$C$47*1000)</f>
        <v>0.04</v>
      </c>
      <c r="H713" s="2" t="s">
        <v>1227</v>
      </c>
    </row>
    <row r="714" customFormat="false" ht="15" hidden="false" customHeight="false" outlineLevel="1" collapsed="false">
      <c r="A714" s="7" t="s">
        <v>139</v>
      </c>
      <c r="B714" s="8" t="s">
        <v>64</v>
      </c>
      <c r="C714" s="67" t="n">
        <f aca="false">Pressupostos!$C$50</f>
        <v>0.005</v>
      </c>
      <c r="D714" s="67" t="n">
        <f aca="false">Pressupostos!$C$50</f>
        <v>0.005</v>
      </c>
      <c r="E714" s="67" t="n">
        <f aca="false">Pressupostos!$C$50</f>
        <v>0.005</v>
      </c>
      <c r="F714" s="67" t="n">
        <f aca="false">Pressupostos!$C$50</f>
        <v>0.005</v>
      </c>
      <c r="G714" s="67" t="n">
        <f aca="false">Pressupostos!$C$50</f>
        <v>0.005</v>
      </c>
      <c r="H714" s="2" t="s">
        <v>1228</v>
      </c>
    </row>
    <row r="715" customFormat="false" ht="15" hidden="false" customHeight="false" outlineLevel="1" collapsed="false">
      <c r="A715" s="7" t="s">
        <v>81</v>
      </c>
      <c r="B715" s="8" t="s">
        <v>64</v>
      </c>
      <c r="C715" s="63" t="n">
        <f aca="false">Pressupostos!$E$25*C702</f>
        <v>0.0135</v>
      </c>
      <c r="D715" s="63" t="n">
        <f aca="false">Pressupostos!$E$25*D702</f>
        <v>0.0135</v>
      </c>
      <c r="E715" s="63" t="n">
        <f aca="false">Pressupostos!$E$25*E702</f>
        <v>0.0135</v>
      </c>
      <c r="F715" s="63" t="n">
        <f aca="false">Pressupostos!$E$25*F702</f>
        <v>0.0135</v>
      </c>
      <c r="G715" s="63" t="n">
        <f aca="false">Pressupostos!$E$25*G702</f>
        <v>0.0135</v>
      </c>
      <c r="H715" s="2" t="s">
        <v>1229</v>
      </c>
    </row>
    <row r="716" customFormat="false" ht="15" hidden="false" customHeight="false" outlineLevel="1" collapsed="false">
      <c r="A716" s="7" t="s">
        <v>674</v>
      </c>
      <c r="B716" s="8" t="s">
        <v>64</v>
      </c>
      <c r="C716" s="63" t="n">
        <f aca="false">Pressupostos!$C$73*C702</f>
        <v>0</v>
      </c>
      <c r="D716" s="63" t="n">
        <f aca="false">Pressupostos!$C$73*D702</f>
        <v>0</v>
      </c>
      <c r="E716" s="63" t="n">
        <f aca="false">Pressupostos!$C$73*E702</f>
        <v>0</v>
      </c>
      <c r="F716" s="63" t="n">
        <f aca="false">Pressupostos!$C$73*F702</f>
        <v>0</v>
      </c>
      <c r="G716" s="63" t="n">
        <f aca="false">Pressupostos!$C$73*G702</f>
        <v>0</v>
      </c>
      <c r="H716" s="2" t="s">
        <v>1230</v>
      </c>
    </row>
    <row r="717" customFormat="false" ht="15" hidden="false" customHeight="false" outlineLevel="1" collapsed="false">
      <c r="A717" s="7" t="s">
        <v>675</v>
      </c>
      <c r="B717" s="8" t="s">
        <v>64</v>
      </c>
      <c r="C717" s="63" t="n">
        <f aca="false">Pressupostos!$C$289*(C700+C703)*(C706+C707-Pressupostos!$C$72)/365*Pressupostos!$C$283/Pressupostos!$E$31</f>
        <v>0</v>
      </c>
      <c r="D717" s="63" t="n">
        <f aca="false">Pressupostos!$D$289*(D700+D703)*(D706+D707-Pressupostos!$C$72)/365*Pressupostos!$D$283/Pressupostos!$E$31</f>
        <v>0.0304593070104754</v>
      </c>
      <c r="E717" s="63" t="n">
        <f aca="false">Pressupostos!$E$289*(E700+E703)*(E706+E707-Pressupostos!$C$72)/365*Pressupostos!$E$283/Pressupostos!$E$31</f>
        <v>0.0284286865431104</v>
      </c>
      <c r="F717" s="63" t="n">
        <f aca="false">Pressupostos!$F$289*(F700+F703)*(F706+F707-Pressupostos!$C$72)/365*Pressupostos!$F$283/Pressupostos!$E$31</f>
        <v>0.0263980660757454</v>
      </c>
      <c r="G717" s="63" t="n">
        <f aca="false">Pressupostos!$G$289*(G700+G703)*(G706+G707-Pressupostos!$C$72)/365*Pressupostos!$G$283/Pressupostos!$E$31</f>
        <v>0.0263980660757454</v>
      </c>
      <c r="H717" s="2" t="s">
        <v>1231</v>
      </c>
    </row>
    <row r="718" customFormat="false" ht="15" hidden="false" customHeight="false" outlineLevel="1" collapsed="false">
      <c r="A718" s="7" t="s">
        <v>676</v>
      </c>
      <c r="B718" s="8" t="s">
        <v>64</v>
      </c>
      <c r="C718" s="63" t="n">
        <f aca="false">C700+C703+C704+C705+C708+C709+C710+C711+C712+C713+C714+C715+C716+C717</f>
        <v>4.2025696347032</v>
      </c>
      <c r="D718" s="63" t="n">
        <f aca="false">D700+D703+D704+D705+D708+D709+D710+D711+D712+D713+D714+D715+D716+D717</f>
        <v>4.22302894171367</v>
      </c>
      <c r="E718" s="63" t="n">
        <f aca="false">E700+E703+E704+E705+E708+E709+E710+E711+E712+E713+E714+E715+E716+E717</f>
        <v>4.21099832124631</v>
      </c>
      <c r="F718" s="63" t="n">
        <f aca="false">F700+F703+F704+F705+F708+F709+F710+F711+F712+F713+F714+F715+F716+F717</f>
        <v>4.20896770077894</v>
      </c>
      <c r="G718" s="63" t="n">
        <f aca="false">G700+G703+G704+G705+G708+G709+G710+G711+G712+G713+G714+G715+G716+G717</f>
        <v>4.20896770077894</v>
      </c>
      <c r="H718" s="2" t="s">
        <v>1232</v>
      </c>
    </row>
    <row r="719" customFormat="false" ht="15" hidden="false" customHeight="false" outlineLevel="1" collapsed="false">
      <c r="A719" s="56" t="s">
        <v>677</v>
      </c>
      <c r="B719" s="57" t="s">
        <v>64</v>
      </c>
      <c r="C719" s="68" t="n">
        <f aca="false">C702-C718</f>
        <v>0.297430365296805</v>
      </c>
      <c r="D719" s="68" t="n">
        <f aca="false">D702-D718</f>
        <v>0.276971058286329</v>
      </c>
      <c r="E719" s="68" t="n">
        <f aca="false">E702-E718</f>
        <v>0.289001678753694</v>
      </c>
      <c r="F719" s="68" t="n">
        <f aca="false">F702-F718</f>
        <v>0.291032299221059</v>
      </c>
      <c r="G719" s="68" t="n">
        <f aca="false">G702-G718</f>
        <v>0.291032299221059</v>
      </c>
      <c r="H719" s="2" t="s">
        <v>1233</v>
      </c>
    </row>
    <row r="720" customFormat="false" ht="15" hidden="false" customHeight="false" outlineLevel="1" collapsed="false">
      <c r="A720" s="7" t="s">
        <v>678</v>
      </c>
      <c r="B720" s="8" t="s">
        <v>76</v>
      </c>
      <c r="C720" s="59" t="n">
        <f aca="false">IF(C702&gt;0,C719/C702,0)</f>
        <v>0.0660956367326233</v>
      </c>
      <c r="D720" s="59" t="n">
        <f aca="false">IF(D702&gt;0,D719/D702,0)</f>
        <v>0.0615491240636287</v>
      </c>
      <c r="E720" s="59" t="n">
        <f aca="false">IF(E702&gt;0,E719/E702,0)</f>
        <v>0.0642225952785987</v>
      </c>
      <c r="F720" s="59" t="n">
        <f aca="false">IF(F702&gt;0,F719/F702,0)</f>
        <v>0.0646738442713464</v>
      </c>
      <c r="G720" s="59" t="n">
        <f aca="false">IF(G702&gt;0,G719/G702,0)</f>
        <v>0.0646738442713464</v>
      </c>
      <c r="H720" s="2" t="s">
        <v>1234</v>
      </c>
    </row>
    <row r="721" customFormat="false" ht="15" hidden="false" customHeight="false" outlineLevel="1" collapsed="false">
      <c r="A721" s="7" t="s">
        <v>679</v>
      </c>
      <c r="B721" s="8" t="s">
        <v>64</v>
      </c>
      <c r="C721" s="63" t="n">
        <f aca="false">(C700+C703)*(C706-Pressupostos!$C$72)/365+C702*C707/365</f>
        <v>0.438356164383562</v>
      </c>
      <c r="D721" s="63" t="n">
        <f aca="false">(D700+D703)*(D706-Pressupostos!$C$72)/365+D702*D707/365</f>
        <v>0.438356164383562</v>
      </c>
      <c r="E721" s="63" t="n">
        <f aca="false">(E700+E703)*(E706-Pressupostos!$C$72)/365+E702*E707/365</f>
        <v>0.438356164383562</v>
      </c>
      <c r="F721" s="63" t="n">
        <f aca="false">(F700+F703)*(F706-Pressupostos!$C$72)/365+F702*F707/365</f>
        <v>0.438356164383562</v>
      </c>
      <c r="G721" s="63" t="n">
        <f aca="false">(G700+G703)*(G706-Pressupostos!$C$72)/365+G702*G707/365</f>
        <v>0.438356164383562</v>
      </c>
      <c r="H721" s="2" t="s">
        <v>1235</v>
      </c>
    </row>
    <row r="722" customFormat="false" ht="15" hidden="false" customHeight="false" outlineLevel="0" collapsed="false">
      <c r="A722" s="3" t="s">
        <v>1236</v>
      </c>
      <c r="B722" s="4"/>
      <c r="C722" s="4"/>
      <c r="D722" s="4"/>
      <c r="E722" s="4"/>
      <c r="F722" s="4"/>
      <c r="G722" s="4"/>
      <c r="H722" s="4"/>
    </row>
    <row r="723" customFormat="false" ht="15" hidden="false" customHeight="false" outlineLevel="1" collapsed="false">
      <c r="A723" s="7" t="s">
        <v>669</v>
      </c>
      <c r="B723" s="8" t="s">
        <v>64</v>
      </c>
      <c r="C723" s="63" t="n">
        <f aca="false">Pressupostos!$E$10+Pressupostos!$E$13</f>
        <v>3.5</v>
      </c>
      <c r="D723" s="63" t="n">
        <f aca="false">Pressupostos!$E$10+Pressupostos!$E$13</f>
        <v>3.5</v>
      </c>
      <c r="E723" s="63" t="n">
        <f aca="false">Pressupostos!$E$10+Pressupostos!$E$13</f>
        <v>3.5</v>
      </c>
      <c r="F723" s="63" t="n">
        <f aca="false">Pressupostos!$E$10+Pressupostos!$E$13</f>
        <v>3.5</v>
      </c>
      <c r="G723" s="63" t="n">
        <f aca="false">Pressupostos!$E$10+Pressupostos!$E$13</f>
        <v>3.5</v>
      </c>
      <c r="H723" s="2" t="s">
        <v>1237</v>
      </c>
    </row>
    <row r="724" customFormat="false" ht="15" hidden="false" customHeight="false" outlineLevel="1" collapsed="false">
      <c r="A724" s="7" t="s">
        <v>670</v>
      </c>
      <c r="B724" s="8" t="s">
        <v>64</v>
      </c>
      <c r="C724" s="63" t="n">
        <f aca="false">Pressupostos!$E$10+Pressupostos!$C$52</f>
        <v>3.65</v>
      </c>
      <c r="D724" s="63" t="n">
        <f aca="false">Pressupostos!$E$10+Pressupostos!$C$52</f>
        <v>3.65</v>
      </c>
      <c r="E724" s="63" t="n">
        <f aca="false">Pressupostos!$E$10+Pressupostos!$C$52</f>
        <v>3.65</v>
      </c>
      <c r="F724" s="63" t="n">
        <f aca="false">Pressupostos!$E$10+Pressupostos!$C$52</f>
        <v>3.65</v>
      </c>
      <c r="G724" s="63" t="n">
        <f aca="false">Pressupostos!$E$10+Pressupostos!$C$52</f>
        <v>3.65</v>
      </c>
      <c r="H724" s="2" t="s">
        <v>1238</v>
      </c>
    </row>
    <row r="725" customFormat="false" ht="15" hidden="false" customHeight="false" outlineLevel="1" collapsed="false">
      <c r="A725" s="56" t="s">
        <v>671</v>
      </c>
      <c r="B725" s="57" t="s">
        <v>64</v>
      </c>
      <c r="C725" s="68" t="n">
        <f aca="false">C724*(1-Pressupostos!$C$53)</f>
        <v>3.65</v>
      </c>
      <c r="D725" s="68" t="n">
        <f aca="false">D724*(1-Pressupostos!$C$53)</f>
        <v>3.65</v>
      </c>
      <c r="E725" s="68" t="n">
        <f aca="false">E724*(1-Pressupostos!$C$53)</f>
        <v>3.65</v>
      </c>
      <c r="F725" s="68" t="n">
        <f aca="false">F724*(1-Pressupostos!$C$53)</f>
        <v>3.65</v>
      </c>
      <c r="G725" s="68" t="n">
        <f aca="false">G724*(1-Pressupostos!$C$53)</f>
        <v>3.65</v>
      </c>
      <c r="H725" s="2" t="s">
        <v>1239</v>
      </c>
    </row>
    <row r="726" customFormat="false" ht="15" hidden="false" customHeight="false" outlineLevel="1" collapsed="false">
      <c r="A726" s="7" t="s">
        <v>144</v>
      </c>
      <c r="B726" s="8" t="s">
        <v>64</v>
      </c>
      <c r="C726" s="67" t="n">
        <f aca="false">Pressupostos!$C$54</f>
        <v>0</v>
      </c>
      <c r="D726" s="67" t="n">
        <f aca="false">Pressupostos!$C$54</f>
        <v>0</v>
      </c>
      <c r="E726" s="67" t="n">
        <f aca="false">Pressupostos!$C$54</f>
        <v>0</v>
      </c>
      <c r="F726" s="67" t="n">
        <f aca="false">Pressupostos!$C$54</f>
        <v>0</v>
      </c>
      <c r="G726" s="67" t="n">
        <f aca="false">Pressupostos!$C$54</f>
        <v>0</v>
      </c>
      <c r="H726" s="2" t="s">
        <v>1240</v>
      </c>
    </row>
    <row r="727" customFormat="false" ht="15" hidden="false" customHeight="false" outlineLevel="1" collapsed="false">
      <c r="A727" s="7" t="s">
        <v>215</v>
      </c>
      <c r="B727" s="8" t="s">
        <v>64</v>
      </c>
      <c r="C727" s="67" t="n">
        <f aca="false">Pressupostos!$C$55</f>
        <v>0.04</v>
      </c>
      <c r="D727" s="67" t="n">
        <f aca="false">Pressupostos!$C$55</f>
        <v>0.04</v>
      </c>
      <c r="E727" s="67" t="n">
        <f aca="false">Pressupostos!$C$55</f>
        <v>0.04</v>
      </c>
      <c r="F727" s="67" t="n">
        <f aca="false">Pressupostos!$C$55</f>
        <v>0.04</v>
      </c>
      <c r="G727" s="67" t="n">
        <f aca="false">Pressupostos!$C$55</f>
        <v>0.04</v>
      </c>
      <c r="H727" s="2" t="s">
        <v>1241</v>
      </c>
    </row>
    <row r="728" customFormat="false" ht="15" hidden="false" customHeight="false" outlineLevel="1" collapsed="false">
      <c r="A728" s="7" t="s">
        <v>117</v>
      </c>
      <c r="B728" s="8" t="s">
        <v>64</v>
      </c>
      <c r="C728" s="67" t="n">
        <f aca="false">Pressupostos!$C$56</f>
        <v>0</v>
      </c>
      <c r="D728" s="67" t="n">
        <f aca="false">Pressupostos!$C$56</f>
        <v>0</v>
      </c>
      <c r="E728" s="67" t="n">
        <f aca="false">Pressupostos!$C$56</f>
        <v>0</v>
      </c>
      <c r="F728" s="67" t="n">
        <f aca="false">Pressupostos!$C$56</f>
        <v>0</v>
      </c>
      <c r="G728" s="67" t="n">
        <f aca="false">Pressupostos!$C$56</f>
        <v>0</v>
      </c>
      <c r="H728" s="2" t="s">
        <v>1242</v>
      </c>
    </row>
    <row r="729" customFormat="false" ht="15" hidden="false" customHeight="false" outlineLevel="1" collapsed="false">
      <c r="A729" s="7" t="s">
        <v>91</v>
      </c>
      <c r="B729" s="8" t="s">
        <v>79</v>
      </c>
      <c r="C729" s="69" t="n">
        <f aca="false">Pressupostos!$C$57</f>
        <v>15</v>
      </c>
      <c r="D729" s="69" t="n">
        <f aca="false">Pressupostos!$C$57</f>
        <v>15</v>
      </c>
      <c r="E729" s="69" t="n">
        <f aca="false">Pressupostos!$C$57</f>
        <v>15</v>
      </c>
      <c r="F729" s="69" t="n">
        <f aca="false">Pressupostos!$C$57</f>
        <v>15</v>
      </c>
      <c r="G729" s="69" t="n">
        <f aca="false">Pressupostos!$C$57</f>
        <v>15</v>
      </c>
      <c r="H729" s="2" t="s">
        <v>1243</v>
      </c>
    </row>
    <row r="730" customFormat="false" ht="15" hidden="false" customHeight="false" outlineLevel="1" collapsed="false">
      <c r="A730" s="7" t="s">
        <v>78</v>
      </c>
      <c r="B730" s="8" t="s">
        <v>79</v>
      </c>
      <c r="C730" s="69" t="n">
        <f aca="false">Pressupostos!$C$58</f>
        <v>45</v>
      </c>
      <c r="D730" s="69" t="n">
        <f aca="false">Pressupostos!$C$58</f>
        <v>45</v>
      </c>
      <c r="E730" s="69" t="n">
        <f aca="false">Pressupostos!$C$58</f>
        <v>45</v>
      </c>
      <c r="F730" s="69" t="n">
        <f aca="false">Pressupostos!$C$58</f>
        <v>45</v>
      </c>
      <c r="G730" s="69" t="n">
        <f aca="false">Pressupostos!$C$58</f>
        <v>45</v>
      </c>
      <c r="H730" s="2" t="s">
        <v>1244</v>
      </c>
    </row>
    <row r="731" customFormat="false" ht="15" hidden="false" customHeight="false" outlineLevel="1" collapsed="false">
      <c r="A731" s="7" t="s">
        <v>490</v>
      </c>
      <c r="B731" s="8" t="s">
        <v>64</v>
      </c>
      <c r="C731" s="63" t="n">
        <f aca="false">Pressupostos!$C$66*C729/30/1000</f>
        <v>0.002</v>
      </c>
      <c r="D731" s="63" t="n">
        <f aca="false">Pressupostos!$C$66*D729/30/1000</f>
        <v>0.002</v>
      </c>
      <c r="E731" s="63" t="n">
        <f aca="false">Pressupostos!$C$66*E729/30/1000</f>
        <v>0.002</v>
      </c>
      <c r="F731" s="63" t="n">
        <f aca="false">Pressupostos!$C$66*F729/30/1000</f>
        <v>0.002</v>
      </c>
      <c r="G731" s="63" t="n">
        <f aca="false">Pressupostos!$C$66*G729/30/1000</f>
        <v>0.002</v>
      </c>
      <c r="H731" s="2" t="s">
        <v>1245</v>
      </c>
    </row>
    <row r="732" customFormat="false" ht="15" hidden="false" customHeight="false" outlineLevel="1" collapsed="false">
      <c r="A732" s="7" t="s">
        <v>165</v>
      </c>
      <c r="B732" s="8" t="s">
        <v>64</v>
      </c>
      <c r="C732" s="63" t="n">
        <f aca="false">C723*Pressupostos!$C$67*C729/365</f>
        <v>0.000287671232876712</v>
      </c>
      <c r="D732" s="63" t="n">
        <f aca="false">D723*Pressupostos!$C$67*D729/365</f>
        <v>0.000287671232876712</v>
      </c>
      <c r="E732" s="63" t="n">
        <f aca="false">E723*Pressupostos!$C$67*E729/365</f>
        <v>0.000287671232876712</v>
      </c>
      <c r="F732" s="63" t="n">
        <f aca="false">F723*Pressupostos!$C$67*F729/365</f>
        <v>0.000287671232876712</v>
      </c>
      <c r="G732" s="63" t="n">
        <f aca="false">G723*Pressupostos!$C$67*G729/365</f>
        <v>0.000287671232876712</v>
      </c>
      <c r="H732" s="2" t="s">
        <v>1246</v>
      </c>
    </row>
    <row r="733" customFormat="false" ht="15" hidden="false" customHeight="false" outlineLevel="1" collapsed="false">
      <c r="A733" s="7" t="s">
        <v>672</v>
      </c>
      <c r="B733" s="8" t="s">
        <v>64</v>
      </c>
      <c r="C733" s="63" t="n">
        <f aca="false">Pressupostos!$C$60*Pressupostos!$C$68/(Pressupostos!$C$59*1000)</f>
        <v>0.006</v>
      </c>
      <c r="D733" s="63" t="n">
        <f aca="false">Pressupostos!$C$60*Pressupostos!$C$68/(Pressupostos!$C$59*1000)</f>
        <v>0.006</v>
      </c>
      <c r="E733" s="63" t="n">
        <f aca="false">Pressupostos!$C$60*Pressupostos!$C$68/(Pressupostos!$C$59*1000)</f>
        <v>0.006</v>
      </c>
      <c r="F733" s="63" t="n">
        <f aca="false">Pressupostos!$C$60*Pressupostos!$C$68/(Pressupostos!$C$59*1000)</f>
        <v>0.006</v>
      </c>
      <c r="G733" s="63" t="n">
        <f aca="false">Pressupostos!$C$60*Pressupostos!$C$68/(Pressupostos!$C$59*1000)</f>
        <v>0.006</v>
      </c>
      <c r="H733" s="2" t="s">
        <v>1247</v>
      </c>
    </row>
    <row r="734" customFormat="false" ht="15" hidden="false" customHeight="false" outlineLevel="1" collapsed="false">
      <c r="A734" s="7" t="s">
        <v>492</v>
      </c>
      <c r="B734" s="8" t="s">
        <v>64</v>
      </c>
      <c r="C734" s="63" t="n">
        <f aca="false">Pressupostos!$C$69*C723</f>
        <v>0.0175</v>
      </c>
      <c r="D734" s="63" t="n">
        <f aca="false">Pressupostos!$C$69*D723</f>
        <v>0.0175</v>
      </c>
      <c r="E734" s="63" t="n">
        <f aca="false">Pressupostos!$C$69*E723</f>
        <v>0.0175</v>
      </c>
      <c r="F734" s="63" t="n">
        <f aca="false">Pressupostos!$C$69*F723</f>
        <v>0.0175</v>
      </c>
      <c r="G734" s="63" t="n">
        <f aca="false">Pressupostos!$C$69*G723</f>
        <v>0.0175</v>
      </c>
      <c r="H734" s="2" t="s">
        <v>1248</v>
      </c>
    </row>
    <row r="735" customFormat="false" ht="15" hidden="false" customHeight="false" outlineLevel="1" collapsed="false">
      <c r="A735" s="7" t="s">
        <v>493</v>
      </c>
      <c r="B735" s="8" t="s">
        <v>64</v>
      </c>
      <c r="C735" s="63" t="n">
        <f aca="false">Pressupostos!$C$70*Pressupostos!$C$71*C729/90</f>
        <v>0.0015</v>
      </c>
      <c r="D735" s="63" t="n">
        <f aca="false">Pressupostos!$C$70*Pressupostos!$C$71*D729/90</f>
        <v>0.0015</v>
      </c>
      <c r="E735" s="63" t="n">
        <f aca="false">Pressupostos!$C$70*Pressupostos!$C$71*E729/90</f>
        <v>0.0015</v>
      </c>
      <c r="F735" s="63" t="n">
        <f aca="false">Pressupostos!$C$70*Pressupostos!$C$71*F729/90</f>
        <v>0.0015</v>
      </c>
      <c r="G735" s="63" t="n">
        <f aca="false">Pressupostos!$C$70*Pressupostos!$C$71*G729/90</f>
        <v>0.0015</v>
      </c>
      <c r="H735" s="2" t="s">
        <v>1249</v>
      </c>
    </row>
    <row r="736" customFormat="false" ht="15" hidden="false" customHeight="false" outlineLevel="1" collapsed="false">
      <c r="A736" s="7" t="s">
        <v>673</v>
      </c>
      <c r="B736" s="8" t="s">
        <v>64</v>
      </c>
      <c r="C736" s="63" t="n">
        <f aca="false">Pressupostos!$C$61/(Pressupostos!$C$59*1000)</f>
        <v>0.012</v>
      </c>
      <c r="D736" s="63" t="n">
        <f aca="false">Pressupostos!$C$61/(Pressupostos!$C$59*1000)</f>
        <v>0.012</v>
      </c>
      <c r="E736" s="63" t="n">
        <f aca="false">Pressupostos!$C$61/(Pressupostos!$C$59*1000)</f>
        <v>0.012</v>
      </c>
      <c r="F736" s="63" t="n">
        <f aca="false">Pressupostos!$C$61/(Pressupostos!$C$59*1000)</f>
        <v>0.012</v>
      </c>
      <c r="G736" s="63" t="n">
        <f aca="false">Pressupostos!$C$61/(Pressupostos!$C$59*1000)</f>
        <v>0.012</v>
      </c>
      <c r="H736" s="2" t="s">
        <v>1250</v>
      </c>
    </row>
    <row r="737" customFormat="false" ht="15" hidden="false" customHeight="false" outlineLevel="1" collapsed="false">
      <c r="A737" s="7" t="s">
        <v>139</v>
      </c>
      <c r="B737" s="8" t="s">
        <v>64</v>
      </c>
      <c r="C737" s="67" t="n">
        <f aca="false">Pressupostos!$C$62</f>
        <v>0.001</v>
      </c>
      <c r="D737" s="67" t="n">
        <f aca="false">Pressupostos!$C$62</f>
        <v>0.001</v>
      </c>
      <c r="E737" s="67" t="n">
        <f aca="false">Pressupostos!$C$62</f>
        <v>0.001</v>
      </c>
      <c r="F737" s="67" t="n">
        <f aca="false">Pressupostos!$C$62</f>
        <v>0.001</v>
      </c>
      <c r="G737" s="67" t="n">
        <f aca="false">Pressupostos!$C$62</f>
        <v>0.001</v>
      </c>
      <c r="H737" s="2" t="s">
        <v>1251</v>
      </c>
    </row>
    <row r="738" customFormat="false" ht="15" hidden="false" customHeight="false" outlineLevel="1" collapsed="false">
      <c r="A738" s="7" t="s">
        <v>81</v>
      </c>
      <c r="B738" s="8" t="s">
        <v>64</v>
      </c>
      <c r="C738" s="63" t="n">
        <f aca="false">Pressupostos!$C$63*C725</f>
        <v>0.01095</v>
      </c>
      <c r="D738" s="63" t="n">
        <f aca="false">Pressupostos!$C$63*D725</f>
        <v>0.01095</v>
      </c>
      <c r="E738" s="63" t="n">
        <f aca="false">Pressupostos!$C$63*E725</f>
        <v>0.01095</v>
      </c>
      <c r="F738" s="63" t="n">
        <f aca="false">Pressupostos!$C$63*F725</f>
        <v>0.01095</v>
      </c>
      <c r="G738" s="63" t="n">
        <f aca="false">Pressupostos!$C$63*G725</f>
        <v>0.01095</v>
      </c>
      <c r="H738" s="2" t="s">
        <v>1252</v>
      </c>
    </row>
    <row r="739" customFormat="false" ht="15" hidden="false" customHeight="false" outlineLevel="1" collapsed="false">
      <c r="A739" s="7" t="s">
        <v>674</v>
      </c>
      <c r="B739" s="8" t="s">
        <v>64</v>
      </c>
      <c r="C739" s="63" t="n">
        <f aca="false">Pressupostos!$C$73*C725</f>
        <v>0</v>
      </c>
      <c r="D739" s="63" t="n">
        <f aca="false">Pressupostos!$C$73*D725</f>
        <v>0</v>
      </c>
      <c r="E739" s="63" t="n">
        <f aca="false">Pressupostos!$C$73*E725</f>
        <v>0</v>
      </c>
      <c r="F739" s="63" t="n">
        <f aca="false">Pressupostos!$C$73*F725</f>
        <v>0</v>
      </c>
      <c r="G739" s="63" t="n">
        <f aca="false">Pressupostos!$C$73*G725</f>
        <v>0</v>
      </c>
      <c r="H739" s="2" t="s">
        <v>1253</v>
      </c>
    </row>
    <row r="740" customFormat="false" ht="15" hidden="false" customHeight="false" outlineLevel="1" collapsed="false">
      <c r="A740" s="7" t="s">
        <v>675</v>
      </c>
      <c r="B740" s="8" t="s">
        <v>64</v>
      </c>
      <c r="C740" s="63" t="n">
        <f aca="false">Pressupostos!$C$289*(C723+C726)*(C729+C730-Pressupostos!$C$72)/365*Pressupostos!$C$283/Pressupostos!$E$31</f>
        <v>0</v>
      </c>
      <c r="D740" s="63" t="n">
        <f aca="false">Pressupostos!$D$289*(D723+D726)*(D729+D730-Pressupostos!$C$72)/365*Pressupostos!$D$283/Pressupostos!$E$31</f>
        <v>0.0228444802578566</v>
      </c>
      <c r="E740" s="63" t="n">
        <f aca="false">Pressupostos!$E$289*(E723+E726)*(E729+E730-Pressupostos!$C$72)/365*Pressupostos!$E$283/Pressupostos!$E$31</f>
        <v>0.0213215149073328</v>
      </c>
      <c r="F740" s="63" t="n">
        <f aca="false">Pressupostos!$F$289*(F723+F726)*(F729+F730-Pressupostos!$C$72)/365*Pressupostos!$F$283/Pressupostos!$E$31</f>
        <v>0.019798549556809</v>
      </c>
      <c r="G740" s="63" t="n">
        <f aca="false">Pressupostos!$G$289*(G723+G726)*(G729+G730-Pressupostos!$C$72)/365*Pressupostos!$G$283/Pressupostos!$E$31</f>
        <v>0.019798549556809</v>
      </c>
      <c r="H740" s="2" t="s">
        <v>1254</v>
      </c>
    </row>
    <row r="741" customFormat="false" ht="15" hidden="false" customHeight="false" outlineLevel="1" collapsed="false">
      <c r="A741" s="7" t="s">
        <v>676</v>
      </c>
      <c r="B741" s="8" t="s">
        <v>64</v>
      </c>
      <c r="C741" s="63" t="n">
        <f aca="false">C723+C726+C727+C728+C731+C732+C733+C734+C735+C736+C737+C738+C739+C740</f>
        <v>3.59123767123288</v>
      </c>
      <c r="D741" s="63" t="n">
        <f aca="false">D723+D726+D727+D728+D731+D732+D733+D734+D735+D736+D737+D738+D739+D740</f>
        <v>3.61408215149073</v>
      </c>
      <c r="E741" s="63" t="n">
        <f aca="false">E723+E726+E727+E728+E731+E732+E733+E734+E735+E736+E737+E738+E739+E740</f>
        <v>3.61255918614021</v>
      </c>
      <c r="F741" s="63" t="n">
        <f aca="false">F723+F726+F727+F728+F731+F732+F733+F734+F735+F736+F737+F738+F739+F740</f>
        <v>3.61103622078969</v>
      </c>
      <c r="G741" s="63" t="n">
        <f aca="false">G723+G726+G727+G728+G731+G732+G733+G734+G735+G736+G737+G738+G739+G740</f>
        <v>3.61103622078969</v>
      </c>
      <c r="H741" s="2" t="s">
        <v>1255</v>
      </c>
    </row>
    <row r="742" customFormat="false" ht="15" hidden="false" customHeight="false" outlineLevel="1" collapsed="false">
      <c r="A742" s="56" t="s">
        <v>677</v>
      </c>
      <c r="B742" s="57" t="s">
        <v>64</v>
      </c>
      <c r="C742" s="68" t="n">
        <f aca="false">C725-C741</f>
        <v>0.058762328767124</v>
      </c>
      <c r="D742" s="68" t="n">
        <f aca="false">D725-D741</f>
        <v>0.0359178485092673</v>
      </c>
      <c r="E742" s="68" t="n">
        <f aca="false">E725-E741</f>
        <v>0.0374408138597913</v>
      </c>
      <c r="F742" s="68" t="n">
        <f aca="false">F725-F741</f>
        <v>0.0389637792103148</v>
      </c>
      <c r="G742" s="68" t="n">
        <f aca="false">G725-G741</f>
        <v>0.0389637792103148</v>
      </c>
      <c r="H742" s="2" t="s">
        <v>1256</v>
      </c>
    </row>
    <row r="743" customFormat="false" ht="15" hidden="false" customHeight="false" outlineLevel="1" collapsed="false">
      <c r="A743" s="7" t="s">
        <v>678</v>
      </c>
      <c r="B743" s="8" t="s">
        <v>76</v>
      </c>
      <c r="C743" s="59" t="n">
        <f aca="false">IF(C725&gt;0,C742/C725,0)</f>
        <v>0.0160992681553764</v>
      </c>
      <c r="D743" s="59" t="n">
        <f aca="false">IF(D725&gt;0,D742/D725,0)</f>
        <v>0.00984050644089514</v>
      </c>
      <c r="E743" s="59" t="n">
        <f aca="false">IF(E725&gt;0,E742/E725,0)</f>
        <v>0.0102577572218606</v>
      </c>
      <c r="F743" s="59" t="n">
        <f aca="false">IF(F725&gt;0,F742/F725,0)</f>
        <v>0.010675008002826</v>
      </c>
      <c r="G743" s="59" t="n">
        <f aca="false">IF(G725&gt;0,G742/G725,0)</f>
        <v>0.010675008002826</v>
      </c>
      <c r="H743" s="2" t="s">
        <v>1257</v>
      </c>
    </row>
    <row r="744" customFormat="false" ht="15" hidden="false" customHeight="false" outlineLevel="1" collapsed="false">
      <c r="A744" s="7" t="s">
        <v>679</v>
      </c>
      <c r="B744" s="8" t="s">
        <v>64</v>
      </c>
      <c r="C744" s="63" t="n">
        <f aca="false">(C723+C726)*(C729-Pressupostos!$C$72)/365+C725*C730/365</f>
        <v>0.306164383561644</v>
      </c>
      <c r="D744" s="63" t="n">
        <f aca="false">(D723+D726)*(D729-Pressupostos!$C$72)/365+D725*D730/365</f>
        <v>0.306164383561644</v>
      </c>
      <c r="E744" s="63" t="n">
        <f aca="false">(E723+E726)*(E729-Pressupostos!$C$72)/365+E725*E730/365</f>
        <v>0.306164383561644</v>
      </c>
      <c r="F744" s="63" t="n">
        <f aca="false">(F723+F726)*(F729-Pressupostos!$C$72)/365+F725*F730/365</f>
        <v>0.306164383561644</v>
      </c>
      <c r="G744" s="63" t="n">
        <f aca="false">(G723+G726)*(G729-Pressupostos!$C$72)/365+G725*G730/365</f>
        <v>0.306164383561644</v>
      </c>
      <c r="H744" s="2" t="s">
        <v>1258</v>
      </c>
    </row>
    <row r="745" customFormat="false" ht="15" hidden="false" customHeight="false" outlineLevel="0" collapsed="false">
      <c r="A745" s="3" t="s">
        <v>1259</v>
      </c>
      <c r="B745" s="4"/>
      <c r="C745" s="4"/>
      <c r="D745" s="4"/>
      <c r="E745" s="4"/>
      <c r="F745" s="4"/>
      <c r="G745" s="4"/>
      <c r="H745" s="4"/>
    </row>
    <row r="746" customFormat="false" ht="15" hidden="false" customHeight="false" outlineLevel="1" collapsed="false">
      <c r="A746" s="7" t="s">
        <v>683</v>
      </c>
      <c r="B746" s="8" t="s">
        <v>64</v>
      </c>
      <c r="C746" s="63" t="n">
        <f aca="false">Pressupostos!$C$64*Pressupostos!$E$10</f>
        <v>0.02625</v>
      </c>
      <c r="D746" s="63" t="n">
        <f aca="false">Pressupostos!$C$64*Pressupostos!$E$10</f>
        <v>0.02625</v>
      </c>
      <c r="E746" s="63" t="n">
        <f aca="false">Pressupostos!$C$64*Pressupostos!$E$10</f>
        <v>0.02625</v>
      </c>
      <c r="F746" s="63" t="n">
        <f aca="false">Pressupostos!$C$64*Pressupostos!$E$10</f>
        <v>0.02625</v>
      </c>
      <c r="G746" s="63" t="n">
        <f aca="false">Pressupostos!$C$64*Pressupostos!$E$10</f>
        <v>0.02625</v>
      </c>
      <c r="H746" s="2" t="s">
        <v>1260</v>
      </c>
    </row>
    <row r="747" customFormat="false" ht="15" hidden="false" customHeight="false" outlineLevel="1" collapsed="false">
      <c r="A747" s="7" t="s">
        <v>684</v>
      </c>
      <c r="B747" s="8" t="s">
        <v>64</v>
      </c>
      <c r="C747" s="63" t="n">
        <f aca="false">C736+C733+C737</f>
        <v>0.019</v>
      </c>
      <c r="D747" s="63" t="n">
        <f aca="false">D736+D733+D737</f>
        <v>0.019</v>
      </c>
      <c r="E747" s="63" t="n">
        <f aca="false">E736+E733+E737</f>
        <v>0.019</v>
      </c>
      <c r="F747" s="63" t="n">
        <f aca="false">F736+F733+F737</f>
        <v>0.019</v>
      </c>
      <c r="G747" s="63" t="n">
        <f aca="false">G736+G733+G737</f>
        <v>0.019</v>
      </c>
      <c r="H747" s="2" t="s">
        <v>1261</v>
      </c>
    </row>
    <row r="748" customFormat="false" ht="15" hidden="false" customHeight="false" outlineLevel="1" collapsed="false">
      <c r="A748" s="56" t="s">
        <v>561</v>
      </c>
      <c r="B748" s="57" t="s">
        <v>64</v>
      </c>
      <c r="C748" s="68" t="n">
        <f aca="false">C746-C747</f>
        <v>0.00725</v>
      </c>
      <c r="D748" s="68" t="n">
        <f aca="false">D746-D747</f>
        <v>0.00725</v>
      </c>
      <c r="E748" s="68" t="n">
        <f aca="false">E746-E747</f>
        <v>0.00725</v>
      </c>
      <c r="F748" s="68" t="n">
        <f aca="false">F746-F747</f>
        <v>0.00725</v>
      </c>
      <c r="G748" s="68" t="n">
        <f aca="false">G746-G747</f>
        <v>0.00725</v>
      </c>
      <c r="H748" s="2" t="s">
        <v>1262</v>
      </c>
    </row>
    <row r="749" customFormat="false" ht="15" hidden="false" customHeight="false" outlineLevel="0" collapsed="false">
      <c r="A749" s="3" t="s">
        <v>1263</v>
      </c>
      <c r="B749" s="4"/>
      <c r="C749" s="4"/>
      <c r="D749" s="4"/>
      <c r="E749" s="4"/>
      <c r="F749" s="4"/>
      <c r="G749" s="4"/>
      <c r="H749" s="4"/>
    </row>
    <row r="750" customFormat="false" ht="15" hidden="false" customHeight="false" outlineLevel="1" collapsed="false">
      <c r="A750" s="7" t="s">
        <v>608</v>
      </c>
      <c r="B750" s="8" t="s">
        <v>11</v>
      </c>
      <c r="C750" s="61" t="n">
        <f aca="false">C659*1000*C679</f>
        <v>54000</v>
      </c>
      <c r="D750" s="61" t="n">
        <f aca="false">D659*1000*D679</f>
        <v>334800</v>
      </c>
      <c r="E750" s="61" t="n">
        <f aca="false">E659*1000*E679</f>
        <v>1107000</v>
      </c>
      <c r="F750" s="61" t="n">
        <f aca="false">F659*1000*F679</f>
        <v>2214000</v>
      </c>
      <c r="G750" s="61" t="n">
        <f aca="false">G659*1000*G679</f>
        <v>3321000</v>
      </c>
      <c r="H750" s="2" t="s">
        <v>1264</v>
      </c>
    </row>
    <row r="751" customFormat="false" ht="15" hidden="false" customHeight="false" outlineLevel="1" collapsed="false">
      <c r="A751" s="7" t="s">
        <v>609</v>
      </c>
      <c r="B751" s="8" t="s">
        <v>11</v>
      </c>
      <c r="C751" s="61" t="n">
        <f aca="false">C660*1000*C702</f>
        <v>315000</v>
      </c>
      <c r="D751" s="61" t="n">
        <f aca="false">D660*1000*D702</f>
        <v>2646000</v>
      </c>
      <c r="E751" s="61" t="n">
        <f aca="false">E660*1000*E702</f>
        <v>4927500</v>
      </c>
      <c r="F751" s="61" t="n">
        <f aca="false">F660*1000*F702</f>
        <v>8055000</v>
      </c>
      <c r="G751" s="61" t="n">
        <f aca="false">G660*1000*G702</f>
        <v>12082500</v>
      </c>
      <c r="H751" s="2" t="s">
        <v>1265</v>
      </c>
    </row>
    <row r="752" customFormat="false" ht="15" hidden="false" customHeight="false" outlineLevel="1" collapsed="false">
      <c r="A752" s="7" t="s">
        <v>610</v>
      </c>
      <c r="B752" s="8" t="s">
        <v>11</v>
      </c>
      <c r="C752" s="61" t="n">
        <f aca="false">C662*1000*C725</f>
        <v>0</v>
      </c>
      <c r="D752" s="61" t="n">
        <f aca="false">D662*1000*D725</f>
        <v>0</v>
      </c>
      <c r="E752" s="61" t="n">
        <f aca="false">E662*1000*E725</f>
        <v>0</v>
      </c>
      <c r="F752" s="61" t="n">
        <f aca="false">F662*1000*F725</f>
        <v>0</v>
      </c>
      <c r="G752" s="61" t="n">
        <f aca="false">G662*1000*G725</f>
        <v>0</v>
      </c>
      <c r="H752" s="2" t="s">
        <v>1266</v>
      </c>
    </row>
    <row r="753" customFormat="false" ht="15" hidden="false" customHeight="false" outlineLevel="1" collapsed="false">
      <c r="A753" s="7" t="s">
        <v>611</v>
      </c>
      <c r="B753" s="8" t="s">
        <v>11</v>
      </c>
      <c r="C753" s="61" t="n">
        <f aca="false">C750+C751+C752</f>
        <v>369000</v>
      </c>
      <c r="D753" s="61" t="n">
        <f aca="false">D750+D751+D752</f>
        <v>2980800</v>
      </c>
      <c r="E753" s="61" t="n">
        <f aca="false">E750+E751+E752</f>
        <v>6034500</v>
      </c>
      <c r="F753" s="61" t="n">
        <f aca="false">F750+F751+F752</f>
        <v>10269000</v>
      </c>
      <c r="G753" s="61" t="n">
        <f aca="false">G750+G751+G752</f>
        <v>15403500</v>
      </c>
      <c r="H753" s="2" t="s">
        <v>1267</v>
      </c>
    </row>
    <row r="754" customFormat="false" ht="15" hidden="false" customHeight="false" outlineLevel="1" collapsed="false">
      <c r="A754" s="7" t="s">
        <v>612</v>
      </c>
      <c r="B754" s="8" t="s">
        <v>11</v>
      </c>
      <c r="C754" s="61" t="n">
        <f aca="false">C672*1000*Pressupostos!$C$93</f>
        <v>0</v>
      </c>
      <c r="D754" s="61" t="n">
        <f aca="false">D672*1000*Pressupostos!$C$93</f>
        <v>157000</v>
      </c>
      <c r="E754" s="61" t="n">
        <f aca="false">E672*1000*Pressupostos!$C$93</f>
        <v>392500</v>
      </c>
      <c r="F754" s="61" t="n">
        <f aca="false">F672*1000*Pressupostos!$C$93</f>
        <v>785000</v>
      </c>
      <c r="G754" s="61" t="n">
        <f aca="false">G672*1000*Pressupostos!$C$93</f>
        <v>1256000</v>
      </c>
      <c r="H754" s="2" t="s">
        <v>1268</v>
      </c>
    </row>
    <row r="755" customFormat="false" ht="15" hidden="false" customHeight="false" outlineLevel="1" collapsed="false">
      <c r="A755" s="2" t="s">
        <v>613</v>
      </c>
      <c r="B755" s="8" t="s">
        <v>11</v>
      </c>
      <c r="C755" s="61" t="n">
        <f aca="false">C670*Pressupostos!$C$80*(1-Pressupostos!$C$81)</f>
        <v>48600</v>
      </c>
      <c r="D755" s="61" t="n">
        <f aca="false">D670*Pressupostos!$C$80*(1-Pressupostos!$C$81)</f>
        <v>216000</v>
      </c>
      <c r="E755" s="61" t="n">
        <f aca="false">E670*Pressupostos!$C$80*(1-Pressupostos!$C$81)</f>
        <v>405000</v>
      </c>
      <c r="F755" s="61" t="n">
        <f aca="false">F670*Pressupostos!$C$80*(1-Pressupostos!$C$81)</f>
        <v>594000</v>
      </c>
      <c r="G755" s="61" t="n">
        <f aca="false">G670*Pressupostos!$C$80*(1-Pressupostos!$C$81)</f>
        <v>810000</v>
      </c>
      <c r="H755" s="2" t="s">
        <v>1269</v>
      </c>
    </row>
    <row r="756" customFormat="false" ht="15" hidden="false" customHeight="false" outlineLevel="1" collapsed="false">
      <c r="A756" s="7" t="s">
        <v>614</v>
      </c>
      <c r="B756" s="8" t="s">
        <v>11</v>
      </c>
      <c r="C756" s="61" t="n">
        <f aca="false">C755*Pressupostos!$E$27</f>
        <v>1458</v>
      </c>
      <c r="D756" s="61" t="n">
        <f aca="false">D755*Pressupostos!$E$27</f>
        <v>6480</v>
      </c>
      <c r="E756" s="61" t="n">
        <f aca="false">E755*Pressupostos!$E$27</f>
        <v>12150</v>
      </c>
      <c r="F756" s="61" t="n">
        <f aca="false">F755*Pressupostos!$E$27</f>
        <v>17820</v>
      </c>
      <c r="G756" s="61" t="n">
        <f aca="false">G755*Pressupostos!$E$27</f>
        <v>24300</v>
      </c>
      <c r="H756" s="2" t="s">
        <v>1270</v>
      </c>
    </row>
    <row r="757" customFormat="false" ht="15" hidden="false" customHeight="false" outlineLevel="1" collapsed="false">
      <c r="A757" s="7" t="s">
        <v>615</v>
      </c>
      <c r="B757" s="8" t="s">
        <v>11</v>
      </c>
      <c r="C757" s="61" t="n">
        <f aca="false">C663*1000*C746</f>
        <v>0</v>
      </c>
      <c r="D757" s="61" t="n">
        <f aca="false">D663*1000*D746</f>
        <v>0</v>
      </c>
      <c r="E757" s="61" t="n">
        <f aca="false">E663*1000*E746</f>
        <v>0</v>
      </c>
      <c r="F757" s="61" t="n">
        <f aca="false">F663*1000*F746</f>
        <v>0</v>
      </c>
      <c r="G757" s="61" t="n">
        <f aca="false">G663*1000*G746</f>
        <v>0</v>
      </c>
      <c r="H757" s="2" t="s">
        <v>1271</v>
      </c>
    </row>
    <row r="758" customFormat="false" ht="15" hidden="false" customHeight="false" outlineLevel="1" collapsed="false">
      <c r="A758" s="7" t="s">
        <v>616</v>
      </c>
      <c r="B758" s="8" t="s">
        <v>11</v>
      </c>
      <c r="C758" s="61" t="n">
        <f aca="false">C674*(Pressupostos!$C$101*Pressupostos!$C$102+Pressupostos!$C$103)</f>
        <v>0</v>
      </c>
      <c r="D758" s="61" t="n">
        <f aca="false">D674*(Pressupostos!$C$101*Pressupostos!$C$102+Pressupostos!$C$103)</f>
        <v>20000</v>
      </c>
      <c r="E758" s="61" t="n">
        <f aca="false">E674*(Pressupostos!$C$101*Pressupostos!$C$102+Pressupostos!$C$103)</f>
        <v>60000</v>
      </c>
      <c r="F758" s="61" t="n">
        <f aca="false">F674*(Pressupostos!$C$101*Pressupostos!$C$102+Pressupostos!$C$103)</f>
        <v>120000</v>
      </c>
      <c r="G758" s="61" t="n">
        <f aca="false">G674*(Pressupostos!$C$101*Pressupostos!$C$102+Pressupostos!$C$103)</f>
        <v>200000</v>
      </c>
      <c r="H758" s="2" t="s">
        <v>1272</v>
      </c>
    </row>
    <row r="759" customFormat="false" ht="15" hidden="false" customHeight="false" outlineLevel="1" collapsed="false">
      <c r="A759" s="7" t="s">
        <v>617</v>
      </c>
      <c r="B759" s="8" t="s">
        <v>11</v>
      </c>
      <c r="C759" s="53" t="n">
        <f aca="false">Pressupostos!$C$276</f>
        <v>0</v>
      </c>
      <c r="D759" s="53" t="n">
        <f aca="false">Pressupostos!$D$276</f>
        <v>0</v>
      </c>
      <c r="E759" s="53" t="n">
        <f aca="false">Pressupostos!$E$276</f>
        <v>10000</v>
      </c>
      <c r="F759" s="53" t="n">
        <f aca="false">Pressupostos!$F$276</f>
        <v>30000</v>
      </c>
      <c r="G759" s="53" t="n">
        <f aca="false">Pressupostos!$G$276</f>
        <v>60000</v>
      </c>
      <c r="H759" s="2" t="s">
        <v>1273</v>
      </c>
    </row>
    <row r="760" customFormat="false" ht="15" hidden="false" customHeight="false" outlineLevel="1" collapsed="false">
      <c r="A760" s="56" t="s">
        <v>618</v>
      </c>
      <c r="B760" s="57" t="s">
        <v>11</v>
      </c>
      <c r="C760" s="62" t="n">
        <f aca="false">C753+C754+C756+C757+C758+C759</f>
        <v>370458</v>
      </c>
      <c r="D760" s="62" t="n">
        <f aca="false">D753+D754+D756+D757+D758+D759</f>
        <v>3164280</v>
      </c>
      <c r="E760" s="62" t="n">
        <f aca="false">E753+E754+E756+E757+E758+E759</f>
        <v>6509150</v>
      </c>
      <c r="F760" s="62" t="n">
        <f aca="false">F753+F754+F756+F757+F758+F759</f>
        <v>11221820</v>
      </c>
      <c r="G760" s="62" t="n">
        <f aca="false">G753+G754+G756+G757+G758+G759</f>
        <v>16943800</v>
      </c>
      <c r="H760" s="2" t="s">
        <v>1274</v>
      </c>
    </row>
    <row r="761" customFormat="false" ht="15" hidden="false" customHeight="false" outlineLevel="0" collapsed="false">
      <c r="A761" s="3" t="s">
        <v>1275</v>
      </c>
      <c r="B761" s="4"/>
      <c r="C761" s="4"/>
      <c r="D761" s="4"/>
      <c r="E761" s="4"/>
      <c r="F761" s="4"/>
      <c r="G761" s="4"/>
      <c r="H761" s="4"/>
    </row>
    <row r="762" customFormat="false" ht="15" hidden="false" customHeight="false" outlineLevel="1" collapsed="false">
      <c r="A762" s="2" t="s">
        <v>620</v>
      </c>
      <c r="B762" s="8" t="s">
        <v>11</v>
      </c>
      <c r="C762" s="61" t="n">
        <f aca="false">C663*1000*Pressupostos!$E$10</f>
        <v>0</v>
      </c>
      <c r="D762" s="61" t="n">
        <f aca="false">D663*1000*Pressupostos!$E$10</f>
        <v>0</v>
      </c>
      <c r="E762" s="61" t="n">
        <f aca="false">E663*1000*Pressupostos!$E$10</f>
        <v>0</v>
      </c>
      <c r="F762" s="61" t="n">
        <f aca="false">F663*1000*Pressupostos!$E$10</f>
        <v>0</v>
      </c>
      <c r="G762" s="61" t="n">
        <f aca="false">G663*1000*Pressupostos!$E$10</f>
        <v>0</v>
      </c>
      <c r="H762" s="2" t="s">
        <v>1276</v>
      </c>
    </row>
    <row r="763" customFormat="false" ht="15" hidden="false" customHeight="false" outlineLevel="1" collapsed="false">
      <c r="A763" s="56" t="s">
        <v>621</v>
      </c>
      <c r="B763" s="57" t="s">
        <v>11</v>
      </c>
      <c r="C763" s="62" t="n">
        <f aca="false">C753+C754+C755+C762</f>
        <v>417600</v>
      </c>
      <c r="D763" s="62" t="n">
        <f aca="false">D753+D754+D755+D762</f>
        <v>3353800</v>
      </c>
      <c r="E763" s="62" t="n">
        <f aca="false">E753+E754+E755+E762</f>
        <v>6832000</v>
      </c>
      <c r="F763" s="62" t="n">
        <f aca="false">F753+F754+F755+F762</f>
        <v>11648000</v>
      </c>
      <c r="G763" s="62" t="n">
        <f aca="false">G753+G754+G755+G762</f>
        <v>17469500</v>
      </c>
      <c r="H763" s="2" t="s">
        <v>1277</v>
      </c>
    </row>
    <row r="764" customFormat="false" ht="15" hidden="false" customHeight="false" outlineLevel="1" collapsed="false">
      <c r="A764" s="7" t="s">
        <v>622</v>
      </c>
      <c r="B764" s="8" t="s">
        <v>11</v>
      </c>
      <c r="C764" s="61" t="n">
        <f aca="false">C763-C762-C752</f>
        <v>417600</v>
      </c>
      <c r="D764" s="61" t="n">
        <f aca="false">D763-D762-D752</f>
        <v>3353800</v>
      </c>
      <c r="E764" s="61" t="n">
        <f aca="false">E763-E762-E752</f>
        <v>6832000</v>
      </c>
      <c r="F764" s="61" t="n">
        <f aca="false">F763-F762-F752</f>
        <v>11648000</v>
      </c>
      <c r="G764" s="61" t="n">
        <f aca="false">G763-G762-G752</f>
        <v>17469500</v>
      </c>
      <c r="H764" s="2" t="s">
        <v>1278</v>
      </c>
    </row>
    <row r="765" customFormat="false" ht="15" hidden="false" customHeight="false" outlineLevel="1" collapsed="false">
      <c r="A765" s="7" t="s">
        <v>623</v>
      </c>
      <c r="B765" s="8" t="s">
        <v>11</v>
      </c>
      <c r="C765" s="61" t="n">
        <f aca="false">C659*1000*(C677+C680)+C660*1000*(C700+C703)+C662*1000*(C723+C726)+C672*1000*Pressupostos!$C$92</f>
        <v>321000</v>
      </c>
      <c r="D765" s="61" t="n">
        <f aca="false">D659*1000*(D677+D680)+D660*1000*(D700+D703)+D662*1000*(D723+D726)+D672*1000*Pressupostos!$C$92</f>
        <v>2746200</v>
      </c>
      <c r="E765" s="61" t="n">
        <f aca="false">E659*1000*(E677+E680)+E660*1000*(E700+E703)+E662*1000*(E723+E726)+E672*1000*Pressupostos!$C$92</f>
        <v>5570500</v>
      </c>
      <c r="F765" s="61" t="n">
        <f aca="false">F659*1000*(F677+F680)+F660*1000*(F700+F703)+F662*1000*(F723+F726)+F672*1000*Pressupostos!$C$92</f>
        <v>9541000</v>
      </c>
      <c r="G765" s="61" t="n">
        <f aca="false">G659*1000*(G677+G680)+G660*1000*(G700+G703)+G662*1000*(G723+G726)+G672*1000*Pressupostos!$C$92</f>
        <v>14381500</v>
      </c>
      <c r="H765" s="2" t="s">
        <v>1279</v>
      </c>
    </row>
    <row r="766" customFormat="false" ht="15" hidden="false" customHeight="false" outlineLevel="1" collapsed="false">
      <c r="A766" s="7" t="s">
        <v>624</v>
      </c>
      <c r="B766" s="8" t="s">
        <v>11</v>
      </c>
      <c r="C766" s="61" t="n">
        <f aca="false">C765*Pressupostos!$C$283</f>
        <v>0</v>
      </c>
      <c r="D766" s="61" t="n">
        <f aca="false">D765*Pressupostos!$D$283</f>
        <v>2471580</v>
      </c>
      <c r="E766" s="61" t="n">
        <f aca="false">E765*Pressupostos!$E$283</f>
        <v>5013450</v>
      </c>
      <c r="F766" s="61" t="n">
        <f aca="false">F765*Pressupostos!$F$283</f>
        <v>8586900</v>
      </c>
      <c r="G766" s="61" t="n">
        <f aca="false">G765*Pressupostos!$G$283</f>
        <v>12943350</v>
      </c>
      <c r="H766" s="2" t="s">
        <v>1280</v>
      </c>
    </row>
    <row r="767" customFormat="false" ht="15" hidden="false" customHeight="false" outlineLevel="0" collapsed="false">
      <c r="A767" s="3" t="s">
        <v>1281</v>
      </c>
      <c r="B767" s="4"/>
      <c r="C767" s="4"/>
      <c r="D767" s="4"/>
      <c r="E767" s="4"/>
      <c r="F767" s="4"/>
      <c r="G767" s="4"/>
      <c r="H767" s="4"/>
    </row>
    <row r="768" customFormat="false" ht="15" hidden="false" customHeight="false" outlineLevel="1" collapsed="false">
      <c r="A768" s="7" t="s">
        <v>626</v>
      </c>
      <c r="B768" s="8" t="s">
        <v>11</v>
      </c>
      <c r="C768" s="61" t="n">
        <f aca="false">C659*1000*C696</f>
        <v>7097.48630136987</v>
      </c>
      <c r="D768" s="61" t="n">
        <f aca="false">D659*1000*D696</f>
        <v>41677.4716357777</v>
      </c>
      <c r="E768" s="61" t="n">
        <f aca="false">E659*1000*E696</f>
        <v>153013.990531829</v>
      </c>
      <c r="F768" s="61" t="n">
        <f aca="false">F659*1000*F696</f>
        <v>311225.168815472</v>
      </c>
      <c r="G768" s="61" t="n">
        <f aca="false">G659*1000*G696</f>
        <v>466837.753223208</v>
      </c>
      <c r="H768" s="2" t="s">
        <v>1282</v>
      </c>
    </row>
    <row r="769" customFormat="false" ht="15" hidden="false" customHeight="false" outlineLevel="1" collapsed="false">
      <c r="A769" s="7" t="s">
        <v>627</v>
      </c>
      <c r="B769" s="8" t="s">
        <v>11</v>
      </c>
      <c r="C769" s="61" t="n">
        <f aca="false">C660*1000*C719</f>
        <v>20820.1255707763</v>
      </c>
      <c r="D769" s="61" t="n">
        <f aca="false">D660*1000*D719</f>
        <v>162858.982272362</v>
      </c>
      <c r="E769" s="61" t="n">
        <f aca="false">E660*1000*E719</f>
        <v>316456.838235295</v>
      </c>
      <c r="F769" s="61" t="n">
        <f aca="false">F660*1000*F719</f>
        <v>520947.815605696</v>
      </c>
      <c r="G769" s="61" t="n">
        <f aca="false">G660*1000*G719</f>
        <v>781421.723408543</v>
      </c>
      <c r="H769" s="2" t="s">
        <v>1283</v>
      </c>
    </row>
    <row r="770" customFormat="false" ht="15" hidden="false" customHeight="false" outlineLevel="1" collapsed="false">
      <c r="A770" s="7" t="s">
        <v>628</v>
      </c>
      <c r="B770" s="8" t="s">
        <v>11</v>
      </c>
      <c r="C770" s="61" t="n">
        <f aca="false">C662*1000*C742+C663*1000*C748</f>
        <v>0</v>
      </c>
      <c r="D770" s="61" t="n">
        <f aca="false">D662*1000*D742+D663*1000*D748</f>
        <v>0</v>
      </c>
      <c r="E770" s="61" t="n">
        <f aca="false">E662*1000*E742+E663*1000*E748</f>
        <v>0</v>
      </c>
      <c r="F770" s="61" t="n">
        <f aca="false">F662*1000*F742+F663*1000*F748</f>
        <v>0</v>
      </c>
      <c r="G770" s="61" t="n">
        <f aca="false">G662*1000*G742+G663*1000*G748</f>
        <v>0</v>
      </c>
      <c r="H770" s="2" t="s">
        <v>1284</v>
      </c>
    </row>
    <row r="771" customFormat="false" ht="15" hidden="false" customHeight="false" outlineLevel="1" collapsed="false">
      <c r="A771" s="7" t="s">
        <v>629</v>
      </c>
      <c r="B771" s="8" t="s">
        <v>11</v>
      </c>
      <c r="C771" s="61" t="n">
        <f aca="false">C768+C769+C770</f>
        <v>27917.6118721462</v>
      </c>
      <c r="D771" s="61" t="n">
        <f aca="false">D768+D769+D770</f>
        <v>204536.453908139</v>
      </c>
      <c r="E771" s="61" t="n">
        <f aca="false">E768+E769+E770</f>
        <v>469470.828767124</v>
      </c>
      <c r="F771" s="61" t="n">
        <f aca="false">F768+F769+F770</f>
        <v>832172.984421167</v>
      </c>
      <c r="G771" s="61" t="n">
        <f aca="false">G768+G769+G770</f>
        <v>1248259.47663175</v>
      </c>
      <c r="H771" s="2" t="s">
        <v>1285</v>
      </c>
    </row>
    <row r="772" customFormat="false" ht="15" hidden="false" customHeight="false" outlineLevel="1" collapsed="false">
      <c r="A772" s="7" t="s">
        <v>630</v>
      </c>
      <c r="B772" s="8" t="s">
        <v>64</v>
      </c>
      <c r="C772" s="63" t="n">
        <f aca="false">IF(C664&gt;0,C771/(C664*1000),0)</f>
        <v>0.348970148401828</v>
      </c>
      <c r="D772" s="63" t="n">
        <f aca="false">IF(D664&gt;0,D771/(D664*1000),0)</f>
        <v>0.314671467550983</v>
      </c>
      <c r="E772" s="63" t="n">
        <f aca="false">IF(E664&gt;0,E771/(E664*1000),0)</f>
        <v>0.361131406743942</v>
      </c>
      <c r="F772" s="63" t="n">
        <f aca="false">IF(F664&gt;0,F771/(F664*1000),0)</f>
        <v>0.378260447464167</v>
      </c>
      <c r="G772" s="63" t="n">
        <f aca="false">IF(G664&gt;0,G771/(G664*1000),0)</f>
        <v>0.378260447464167</v>
      </c>
      <c r="H772" s="2" t="s">
        <v>1286</v>
      </c>
    </row>
    <row r="773" customFormat="false" ht="15" hidden="false" customHeight="false" outlineLevel="1" collapsed="false">
      <c r="A773" s="7" t="s">
        <v>631</v>
      </c>
      <c r="B773" s="8" t="s">
        <v>76</v>
      </c>
      <c r="C773" s="59" t="n">
        <f aca="false">IF(C753&gt;0,C771/C753,0)</f>
        <v>0.0756574847483637</v>
      </c>
      <c r="D773" s="59" t="n">
        <f aca="false">IF(D753&gt;0,D771/D753,0)</f>
        <v>0.0686179729965577</v>
      </c>
      <c r="E773" s="59" t="n">
        <f aca="false">IF(E753&gt;0,E771/E753,0)</f>
        <v>0.077797800773407</v>
      </c>
      <c r="F773" s="59" t="n">
        <f aca="false">IF(F753&gt;0,F771/F753,0)</f>
        <v>0.0810373925816698</v>
      </c>
      <c r="G773" s="59" t="n">
        <f aca="false">IF(G753&gt;0,G771/G753,0)</f>
        <v>0.0810373925816698</v>
      </c>
      <c r="H773" s="2" t="s">
        <v>1287</v>
      </c>
    </row>
    <row r="774" customFormat="false" ht="15" hidden="false" customHeight="false" outlineLevel="1" collapsed="false">
      <c r="A774" s="2" t="s">
        <v>632</v>
      </c>
      <c r="B774" s="8" t="s">
        <v>64</v>
      </c>
      <c r="C774" s="63" t="n">
        <f aca="false">Pressupostos!$C$289*Pressupostos!$C$92*(Pressupostos!$C$95+Pressupostos!$C$96-Pressupostos!$C$97)/365*Pressupostos!$C$283/Pressupostos!$E$31</f>
        <v>0</v>
      </c>
      <c r="D774" s="63" t="n">
        <f aca="false">Pressupostos!$D$289*Pressupostos!$C$92*(Pressupostos!$C$95+Pressupostos!$C$96-Pressupostos!$C$97)/365*Pressupostos!$D$283/Pressupostos!$E$31</f>
        <v>0.0685334407735697</v>
      </c>
      <c r="E774" s="63" t="n">
        <f aca="false">Pressupostos!$E$289*Pressupostos!$C$92*(Pressupostos!$C$95+Pressupostos!$C$96-Pressupostos!$C$97)/365*Pressupostos!$E$283/Pressupostos!$E$31</f>
        <v>0.0639645447219984</v>
      </c>
      <c r="F774" s="63" t="n">
        <f aca="false">Pressupostos!$F$289*Pressupostos!$C$92*(Pressupostos!$C$95+Pressupostos!$C$96-Pressupostos!$C$97)/365*Pressupostos!$F$283/Pressupostos!$E$31</f>
        <v>0.0593956486704271</v>
      </c>
      <c r="G774" s="63" t="n">
        <f aca="false">Pressupostos!$G$289*Pressupostos!$C$92*(Pressupostos!$C$95+Pressupostos!$C$96-Pressupostos!$C$97)/365*Pressupostos!$G$283/Pressupostos!$E$31</f>
        <v>0.0593956486704271</v>
      </c>
      <c r="H774" s="2" t="s">
        <v>1288</v>
      </c>
    </row>
    <row r="775" customFormat="false" ht="15" hidden="false" customHeight="false" outlineLevel="1" collapsed="false">
      <c r="A775" s="7" t="s">
        <v>600</v>
      </c>
      <c r="B775" s="8" t="s">
        <v>11</v>
      </c>
      <c r="C775" s="61" t="n">
        <f aca="false">C672*1000*(Pressupostos!$C$93-Pressupostos!$C$92-Pressupostos!$C$94-C774-Pressupostos!$C$98*Pressupostos!$C$93-Pressupostos!$C$99-Pressupostos!$E$29*Pressupostos!$C$92)</f>
        <v>0</v>
      </c>
      <c r="D775" s="61" t="n">
        <f aca="false">D672*1000*(Pressupostos!$C$93-Pressupostos!$C$92-Pressupostos!$C$94-D774-Pressupostos!$C$98*Pressupostos!$C$93-Pressupostos!$C$99-Pressupostos!$E$29*Pressupostos!$C$92)</f>
        <v>11087.3311845286</v>
      </c>
      <c r="E775" s="61" t="n">
        <f aca="false">E672*1000*(Pressupostos!$C$93-Pressupostos!$C$92-Pressupostos!$C$94-E774-Pressupostos!$C$98*Pressupostos!$C$93-Pressupostos!$C$99-Pressupostos!$E$29*Pressupostos!$C$92)</f>
        <v>27946.7727639001</v>
      </c>
      <c r="F775" s="61" t="n">
        <f aca="false">F672*1000*(Pressupostos!$C$93-Pressupostos!$C$92-Pressupostos!$C$94-F774-Pressupostos!$C$98*Pressupostos!$C$93-Pressupostos!$C$99-Pressupostos!$E$29*Pressupostos!$C$92)</f>
        <v>56350.4351329572</v>
      </c>
      <c r="G775" s="61" t="n">
        <f aca="false">G672*1000*(Pressupostos!$C$93-Pressupostos!$C$92-Pressupostos!$C$94-G774-Pressupostos!$C$98*Pressupostos!$C$93-Pressupostos!$C$99-Pressupostos!$E$29*Pressupostos!$C$92)</f>
        <v>90160.6962127316</v>
      </c>
      <c r="H775" s="2" t="s">
        <v>1289</v>
      </c>
    </row>
    <row r="776" customFormat="false" ht="15" hidden="false" customHeight="false" outlineLevel="1" collapsed="false">
      <c r="A776" s="7" t="s">
        <v>633</v>
      </c>
      <c r="B776" s="8" t="s">
        <v>11</v>
      </c>
      <c r="C776" s="61" t="n">
        <f aca="false">C756</f>
        <v>1458</v>
      </c>
      <c r="D776" s="61" t="n">
        <f aca="false">D756</f>
        <v>6480</v>
      </c>
      <c r="E776" s="61" t="n">
        <f aca="false">E756</f>
        <v>12150</v>
      </c>
      <c r="F776" s="61" t="n">
        <f aca="false">F756</f>
        <v>17820</v>
      </c>
      <c r="G776" s="61" t="n">
        <f aca="false">G756</f>
        <v>24300</v>
      </c>
      <c r="H776" s="2" t="s">
        <v>1290</v>
      </c>
    </row>
    <row r="777" customFormat="false" ht="15" hidden="false" customHeight="false" outlineLevel="1" collapsed="false">
      <c r="A777" s="7" t="s">
        <v>634</v>
      </c>
      <c r="B777" s="8" t="s">
        <v>11</v>
      </c>
      <c r="C777" s="61" t="n">
        <f aca="false">C758-C792</f>
        <v>0</v>
      </c>
      <c r="D777" s="61" t="n">
        <f aca="false">D758-D792</f>
        <v>3542.85714285715</v>
      </c>
      <c r="E777" s="61" t="n">
        <f aca="false">E758-E792</f>
        <v>10628.5714285714</v>
      </c>
      <c r="F777" s="61" t="n">
        <f aca="false">F758-F792</f>
        <v>21257.1428571429</v>
      </c>
      <c r="G777" s="61" t="n">
        <f aca="false">G758-G792</f>
        <v>35428.5714285714</v>
      </c>
      <c r="H777" s="2" t="s">
        <v>1291</v>
      </c>
    </row>
    <row r="778" customFormat="false" ht="15" hidden="false" customHeight="false" outlineLevel="1" collapsed="false">
      <c r="A778" s="7" t="s">
        <v>617</v>
      </c>
      <c r="B778" s="8" t="s">
        <v>11</v>
      </c>
      <c r="C778" s="61" t="n">
        <f aca="false">C759</f>
        <v>0</v>
      </c>
      <c r="D778" s="61" t="n">
        <f aca="false">D759</f>
        <v>0</v>
      </c>
      <c r="E778" s="61" t="n">
        <f aca="false">E759</f>
        <v>10000</v>
      </c>
      <c r="F778" s="61" t="n">
        <f aca="false">F759</f>
        <v>30000</v>
      </c>
      <c r="G778" s="61" t="n">
        <f aca="false">G759</f>
        <v>60000</v>
      </c>
      <c r="H778" s="2" t="s">
        <v>1292</v>
      </c>
    </row>
    <row r="779" customFormat="false" ht="15" hidden="false" customHeight="false" outlineLevel="1" collapsed="false">
      <c r="A779" s="56" t="s">
        <v>635</v>
      </c>
      <c r="B779" s="57" t="s">
        <v>11</v>
      </c>
      <c r="C779" s="62" t="n">
        <f aca="false">C771+C775+C776+C777+C778</f>
        <v>29375.6118721462</v>
      </c>
      <c r="D779" s="62" t="n">
        <f aca="false">D771+D775+D776+D777+D778</f>
        <v>225646.642235525</v>
      </c>
      <c r="E779" s="62" t="n">
        <f aca="false">E771+E775+E776+E777+E778</f>
        <v>530196.172959596</v>
      </c>
      <c r="F779" s="62" t="n">
        <f aca="false">F771+F775+F776+F777+F778</f>
        <v>957600.562411267</v>
      </c>
      <c r="G779" s="62" t="n">
        <f aca="false">G771+G775+G776+G777+G778</f>
        <v>1458148.74427305</v>
      </c>
      <c r="H779" s="2" t="s">
        <v>1293</v>
      </c>
    </row>
    <row r="780" customFormat="false" ht="15" hidden="false" customHeight="false" outlineLevel="0" collapsed="false">
      <c r="A780" s="3" t="s">
        <v>1294</v>
      </c>
      <c r="B780" s="4"/>
      <c r="C780" s="4"/>
      <c r="D780" s="4"/>
      <c r="E780" s="4"/>
      <c r="F780" s="4"/>
      <c r="G780" s="4"/>
      <c r="H780" s="4"/>
    </row>
    <row r="781" customFormat="false" ht="15" hidden="false" customHeight="false" outlineLevel="1" collapsed="false">
      <c r="A781" s="7" t="s">
        <v>686</v>
      </c>
      <c r="B781" s="8" t="s">
        <v>11</v>
      </c>
      <c r="C781" s="61" t="n">
        <f aca="false">C659*1000*(C677+C680)+C660*1000*(C700+C703)+C662*1000*(C723+C726)</f>
        <v>321000</v>
      </c>
      <c r="D781" s="61" t="n">
        <f aca="false">D659*1000*(D677+D680)+D660*1000*(D700+D703)+D662*1000*(D723+D726)</f>
        <v>2606200</v>
      </c>
      <c r="E781" s="61" t="n">
        <f aca="false">E659*1000*(E677+E680)+E660*1000*(E700+E703)+E662*1000*(E723+E726)</f>
        <v>5220500</v>
      </c>
      <c r="F781" s="61" t="n">
        <f aca="false">F659*1000*(F677+F680)+F660*1000*(F700+F703)+F662*1000*(F723+F726)</f>
        <v>8841000</v>
      </c>
      <c r="G781" s="61" t="n">
        <f aca="false">G659*1000*(G677+G680)+G660*1000*(G700+G703)+G662*1000*(G723+G726)</f>
        <v>13261500</v>
      </c>
      <c r="H781" s="2" t="s">
        <v>1295</v>
      </c>
    </row>
    <row r="782" customFormat="false" ht="15" hidden="false" customHeight="false" outlineLevel="1" collapsed="false">
      <c r="A782" s="7" t="s">
        <v>687</v>
      </c>
      <c r="B782" s="8" t="s">
        <v>11</v>
      </c>
      <c r="C782" s="61" t="n">
        <f aca="false">C672*1000*Pressupostos!$C$92</f>
        <v>0</v>
      </c>
      <c r="D782" s="61" t="n">
        <f aca="false">D672*1000*Pressupostos!$C$92</f>
        <v>140000</v>
      </c>
      <c r="E782" s="61" t="n">
        <f aca="false">E672*1000*Pressupostos!$C$92</f>
        <v>350000</v>
      </c>
      <c r="F782" s="61" t="n">
        <f aca="false">F672*1000*Pressupostos!$C$92</f>
        <v>700000</v>
      </c>
      <c r="G782" s="61" t="n">
        <f aca="false">G672*1000*Pressupostos!$C$92</f>
        <v>1120000</v>
      </c>
      <c r="H782" s="2" t="s">
        <v>1296</v>
      </c>
    </row>
    <row r="783" customFormat="false" ht="15" hidden="false" customHeight="false" outlineLevel="1" collapsed="false">
      <c r="A783" s="7" t="s">
        <v>688</v>
      </c>
      <c r="B783" s="8" t="s">
        <v>11</v>
      </c>
      <c r="C783" s="61" t="n">
        <f aca="false">C781+C782</f>
        <v>321000</v>
      </c>
      <c r="D783" s="61" t="n">
        <f aca="false">D781+D782</f>
        <v>2746200</v>
      </c>
      <c r="E783" s="61" t="n">
        <f aca="false">E781+E782</f>
        <v>5570500</v>
      </c>
      <c r="F783" s="61" t="n">
        <f aca="false">F781+F782</f>
        <v>9541000</v>
      </c>
      <c r="G783" s="61" t="n">
        <f aca="false">G781+G782</f>
        <v>14381500</v>
      </c>
      <c r="H783" s="2" t="s">
        <v>1297</v>
      </c>
    </row>
    <row r="784" customFormat="false" ht="15" hidden="false" customHeight="false" outlineLevel="1" collapsed="false">
      <c r="A784" s="7" t="s">
        <v>215</v>
      </c>
      <c r="B784" s="8" t="s">
        <v>11</v>
      </c>
      <c r="C784" s="61" t="n">
        <f aca="false">C659*1000*(C681)+C660*1000*(C704)+C662*1000*(C727)+C672*1000*Pressupostos!$C$94</f>
        <v>10000</v>
      </c>
      <c r="D784" s="61" t="n">
        <f aca="false">D659*1000*(D681)+D660*1000*(D704)+D662*1000*(D727)+D672*1000*Pressupostos!$C$94</f>
        <v>73280</v>
      </c>
      <c r="E784" s="61" t="n">
        <f aca="false">E659*1000*(E681)+E660*1000*(E704)+E662*1000*(E727)+E672*1000*Pressupostos!$C$94</f>
        <v>148400</v>
      </c>
      <c r="F784" s="61" t="n">
        <f aca="false">F659*1000*(F681)+F660*1000*(F704)+F662*1000*(F727)+F672*1000*Pressupostos!$C$94</f>
        <v>260700</v>
      </c>
      <c r="G784" s="61" t="n">
        <f aca="false">G659*1000*(G681)+G660*1000*(G704)+G662*1000*(G727)+G672*1000*Pressupostos!$C$94</f>
        <v>392550</v>
      </c>
      <c r="H784" s="2" t="s">
        <v>1298</v>
      </c>
    </row>
    <row r="785" customFormat="false" ht="15" hidden="false" customHeight="false" outlineLevel="1" collapsed="false">
      <c r="A785" s="7" t="s">
        <v>117</v>
      </c>
      <c r="B785" s="8" t="s">
        <v>11</v>
      </c>
      <c r="C785" s="61" t="n">
        <f aca="false">C659*1000*(C682)+C660*1000*(C705)+C662*1000*(C728)</f>
        <v>600</v>
      </c>
      <c r="D785" s="61" t="n">
        <f aca="false">D659*1000*(D682)+D660*1000*(D705)+D662*1000*(D728)</f>
        <v>3720</v>
      </c>
      <c r="E785" s="61" t="n">
        <f aca="false">E659*1000*(E682)+E660*1000*(E705)+E662*1000*(E728)</f>
        <v>12300</v>
      </c>
      <c r="F785" s="61" t="n">
        <f aca="false">F659*1000*(F682)+F660*1000*(F705)+F662*1000*(F728)</f>
        <v>24600</v>
      </c>
      <c r="G785" s="61" t="n">
        <f aca="false">G659*1000*(G682)+G660*1000*(G705)+G662*1000*(G728)</f>
        <v>36900</v>
      </c>
      <c r="H785" s="2" t="s">
        <v>1299</v>
      </c>
    </row>
    <row r="786" customFormat="false" ht="15" hidden="false" customHeight="false" outlineLevel="1" collapsed="false">
      <c r="A786" s="7" t="s">
        <v>689</v>
      </c>
      <c r="B786" s="8" t="s">
        <v>11</v>
      </c>
      <c r="C786" s="61" t="n">
        <f aca="false">C659*1000*(C685+C686)+C660*1000*(C708+C709)+C662*1000*(C731+C732)</f>
        <v>542.388127853881</v>
      </c>
      <c r="D786" s="61" t="n">
        <f aca="false">D659*1000*(D685+D686)+D660*1000*(D708+D709)+D662*1000*(D731+D732)</f>
        <v>3098.48767123288</v>
      </c>
      <c r="E786" s="61" t="n">
        <f aca="false">E659*1000*(E685+E686)+E660*1000*(E708+E709)+E662*1000*(E731+E732)</f>
        <v>5591.94520547945</v>
      </c>
      <c r="F786" s="61" t="n">
        <f aca="false">F659*1000*(F685+F686)+F660*1000*(F708+F709)+F662*1000*(F731+F732)</f>
        <v>9656.03652968037</v>
      </c>
      <c r="G786" s="61" t="n">
        <f aca="false">G659*1000*(G685+G686)+G660*1000*(G708+G709)+G662*1000*(G731+G732)</f>
        <v>14484.0547945205</v>
      </c>
      <c r="H786" s="2" t="s">
        <v>1300</v>
      </c>
    </row>
    <row r="787" customFormat="false" ht="15" hidden="false" customHeight="false" outlineLevel="1" collapsed="false">
      <c r="A787" s="7" t="s">
        <v>690</v>
      </c>
      <c r="B787" s="8" t="s">
        <v>11</v>
      </c>
      <c r="C787" s="61" t="n">
        <f aca="false">C659*1000*(C687+C688+C689)+C660*1000*(C710+C711+C712)+C662*1000*(C733+C734+C735)</f>
        <v>3475</v>
      </c>
      <c r="D787" s="61" t="n">
        <f aca="false">D659*1000*(D687+D688+D689)+D660*1000*(D710+D711+D712)+D662*1000*(D733+D734+D735)</f>
        <v>27185.5</v>
      </c>
      <c r="E787" s="61" t="n">
        <f aca="false">E659*1000*(E687+E688+E689)+E660*1000*(E710+E711+E712)+E662*1000*(E733+E734+E735)</f>
        <v>54785</v>
      </c>
      <c r="F787" s="61" t="n">
        <f aca="false">F659*1000*(F687+F688+F689)+F660*1000*(F710+F711+F712)+F662*1000*(F733+F734+F735)</f>
        <v>93470</v>
      </c>
      <c r="G787" s="61" t="n">
        <f aca="false">G659*1000*(G687+G688+G689)+G660*1000*(G710+G711+G712)+G662*1000*(G733+G734+G735)</f>
        <v>140205</v>
      </c>
      <c r="H787" s="2" t="s">
        <v>1301</v>
      </c>
    </row>
    <row r="788" customFormat="false" ht="15" hidden="false" customHeight="false" outlineLevel="1" collapsed="false">
      <c r="A788" s="7" t="s">
        <v>673</v>
      </c>
      <c r="B788" s="8" t="s">
        <v>11</v>
      </c>
      <c r="C788" s="61" t="n">
        <f aca="false">C659*1000*(C690)+C660*1000*(C713)+C662*1000*(C736)</f>
        <v>3800</v>
      </c>
      <c r="D788" s="61" t="n">
        <f aca="false">D659*1000*(D690)+D660*1000*(D713)+D662*1000*(D736)</f>
        <v>29720</v>
      </c>
      <c r="E788" s="61" t="n">
        <f aca="false">E659*1000*(E690)+E660*1000*(E713)+E662*1000*(E736)</f>
        <v>64300</v>
      </c>
      <c r="F788" s="61" t="n">
        <f aca="false">F659*1000*(F690)+F660*1000*(F713)+F662*1000*(F736)</f>
        <v>112600</v>
      </c>
      <c r="G788" s="61" t="n">
        <f aca="false">G659*1000*(G690)+G660*1000*(G713)+G662*1000*(G736)</f>
        <v>168900</v>
      </c>
      <c r="H788" s="2" t="s">
        <v>1302</v>
      </c>
    </row>
    <row r="789" customFormat="false" ht="15" hidden="false" customHeight="false" outlineLevel="1" collapsed="false">
      <c r="A789" s="7" t="s">
        <v>691</v>
      </c>
      <c r="B789" s="8" t="s">
        <v>11</v>
      </c>
      <c r="C789" s="61" t="n">
        <f aca="false">C659*1000*(C691)+C660*1000*(C714)+C662*1000*(C737)+C672*1000*Pressupostos!$C$99</f>
        <v>450</v>
      </c>
      <c r="D789" s="61" t="n">
        <f aca="false">D659*1000*(D691)+D660*1000*(D714)+D662*1000*(D737)+D672*1000*Pressupostos!$C$99</f>
        <v>4160</v>
      </c>
      <c r="E789" s="61" t="n">
        <f aca="false">E659*1000*(E691)+E660*1000*(E714)+E662*1000*(E737)+E672*1000*Pressupostos!$C$99</f>
        <v>9025</v>
      </c>
      <c r="F789" s="61" t="n">
        <f aca="false">F659*1000*(F691)+F660*1000*(F714)+F662*1000*(F737)+F672*1000*Pressupostos!$C$99</f>
        <v>16050</v>
      </c>
      <c r="G789" s="61" t="n">
        <f aca="false">G659*1000*(G691)+G660*1000*(G714)+G662*1000*(G737)+G672*1000*Pressupostos!$C$99</f>
        <v>24375</v>
      </c>
      <c r="H789" s="2" t="s">
        <v>1303</v>
      </c>
    </row>
    <row r="790" customFormat="false" ht="15" hidden="false" customHeight="false" outlineLevel="1" collapsed="false">
      <c r="A790" s="7" t="s">
        <v>81</v>
      </c>
      <c r="B790" s="8" t="s">
        <v>11</v>
      </c>
      <c r="C790" s="61" t="n">
        <f aca="false">C659*1000*(C692)+C660*1000*(C715)+C662*1000*(C738)+C672*1000*Pressupostos!$C$98*Pressupostos!$C$93</f>
        <v>1215</v>
      </c>
      <c r="D790" s="61" t="n">
        <f aca="false">D659*1000*(D692)+D660*1000*(D715)+D662*1000*(D738)+D672*1000*Pressupostos!$C$98*Pressupostos!$C$93</f>
        <v>10554</v>
      </c>
      <c r="E790" s="61" t="n">
        <f aca="false">E659*1000*(E692)+E660*1000*(E715)+E662*1000*(E738)+E672*1000*Pressupostos!$C$98*Pressupostos!$C$93</f>
        <v>22672.5</v>
      </c>
      <c r="F790" s="61" t="n">
        <f aca="false">F659*1000*(F692)+F660*1000*(F715)+F662*1000*(F738)+F672*1000*Pressupostos!$C$98*Pressupostos!$C$93</f>
        <v>39945</v>
      </c>
      <c r="G790" s="61" t="n">
        <f aca="false">G659*1000*(G692)+G660*1000*(G715)+G662*1000*(G738)+G672*1000*Pressupostos!$C$98*Pressupostos!$C$93</f>
        <v>60388.5</v>
      </c>
      <c r="H790" s="2" t="s">
        <v>1304</v>
      </c>
    </row>
    <row r="791" customFormat="false" ht="15" hidden="false" customHeight="false" outlineLevel="1" collapsed="false">
      <c r="A791" s="7" t="s">
        <v>692</v>
      </c>
      <c r="B791" s="8" t="s">
        <v>11</v>
      </c>
      <c r="C791" s="61" t="n">
        <f aca="false">C659*1000*(C693)+C660*1000*(C716)+C662*1000*(C739)+C672*1000*Pressupostos!$E$29*Pressupostos!$C$92</f>
        <v>0</v>
      </c>
      <c r="D791" s="61" t="n">
        <f aca="false">D659*1000*(D693)+D660*1000*(D716)+D662*1000*(D739)+D672*1000*Pressupostos!$E$29*Pressupostos!$C$92</f>
        <v>0</v>
      </c>
      <c r="E791" s="61" t="n">
        <f aca="false">E659*1000*(E693)+E660*1000*(E716)+E662*1000*(E739)+E672*1000*Pressupostos!$E$29*Pressupostos!$C$92</f>
        <v>0</v>
      </c>
      <c r="F791" s="61" t="n">
        <f aca="false">F659*1000*(F693)+F660*1000*(F716)+F662*1000*(F739)+F672*1000*Pressupostos!$E$29*Pressupostos!$C$92</f>
        <v>0</v>
      </c>
      <c r="G791" s="61" t="n">
        <f aca="false">G659*1000*(G693)+G660*1000*(G716)+G662*1000*(G739)+G672*1000*Pressupostos!$E$29*Pressupostos!$C$92</f>
        <v>0</v>
      </c>
      <c r="H791" s="2" t="s">
        <v>1305</v>
      </c>
    </row>
    <row r="792" customFormat="false" ht="15" hidden="false" customHeight="false" outlineLevel="1" collapsed="false">
      <c r="A792" s="7" t="s">
        <v>693</v>
      </c>
      <c r="B792" s="8" t="s">
        <v>11</v>
      </c>
      <c r="C792" s="61" t="n">
        <f aca="false">C675*1000*Pressupostos!$C$104*Pressupostos!$E$30</f>
        <v>0</v>
      </c>
      <c r="D792" s="61" t="n">
        <f aca="false">D675*1000*Pressupostos!$C$104*Pressupostos!$E$30</f>
        <v>16457.1428571429</v>
      </c>
      <c r="E792" s="61" t="n">
        <f aca="false">E675*1000*Pressupostos!$C$104*Pressupostos!$E$30</f>
        <v>49371.4285714286</v>
      </c>
      <c r="F792" s="61" t="n">
        <f aca="false">F675*1000*Pressupostos!$C$104*Pressupostos!$E$30</f>
        <v>98742.8571428571</v>
      </c>
      <c r="G792" s="61" t="n">
        <f aca="false">G675*1000*Pressupostos!$C$104*Pressupostos!$E$30</f>
        <v>164571.428571429</v>
      </c>
      <c r="H792" s="2" t="s">
        <v>1306</v>
      </c>
    </row>
    <row r="793" customFormat="false" ht="15" hidden="false" customHeight="false" outlineLevel="1" collapsed="false">
      <c r="A793" s="7" t="s">
        <v>694</v>
      </c>
      <c r="B793" s="8" t="s">
        <v>11</v>
      </c>
      <c r="C793" s="61" t="n">
        <f aca="false">C663*1000*C747</f>
        <v>0</v>
      </c>
      <c r="D793" s="61" t="n">
        <f aca="false">D663*1000*D747</f>
        <v>0</v>
      </c>
      <c r="E793" s="61" t="n">
        <f aca="false">E663*1000*E747</f>
        <v>0</v>
      </c>
      <c r="F793" s="61" t="n">
        <f aca="false">F663*1000*F747</f>
        <v>0</v>
      </c>
      <c r="G793" s="61" t="n">
        <f aca="false">G663*1000*G747</f>
        <v>0</v>
      </c>
      <c r="H793" s="2" t="s">
        <v>1307</v>
      </c>
    </row>
    <row r="794" customFormat="false" ht="15" hidden="false" customHeight="false" outlineLevel="1" collapsed="false">
      <c r="A794" s="7" t="s">
        <v>695</v>
      </c>
      <c r="B794" s="8" t="s">
        <v>11</v>
      </c>
      <c r="C794" s="61" t="n">
        <f aca="false">C784+C785+C786+C787+C788+C789+C790+C791+C792+C793</f>
        <v>20082.3881278539</v>
      </c>
      <c r="D794" s="61" t="n">
        <f aca="false">D784+D785+D786+D787+D788+D789+D790+D791+D792+D793</f>
        <v>168175.130528376</v>
      </c>
      <c r="E794" s="61" t="n">
        <f aca="false">E784+E785+E786+E787+E788+E789+E790+E791+E792+E793</f>
        <v>366445.873776908</v>
      </c>
      <c r="F794" s="61" t="n">
        <f aca="false">F784+F785+F786+F787+F788+F789+F790+F791+F792+F793</f>
        <v>655763.893672538</v>
      </c>
      <c r="G794" s="61" t="n">
        <f aca="false">G784+G785+G786+G787+G788+G789+G790+G791+G792+G793</f>
        <v>1002373.98336595</v>
      </c>
      <c r="H794" s="2" t="s">
        <v>1308</v>
      </c>
    </row>
    <row r="795" customFormat="false" ht="15" hidden="false" customHeight="false" outlineLevel="1" collapsed="false">
      <c r="A795" s="7" t="s">
        <v>696</v>
      </c>
      <c r="B795" s="8" t="s">
        <v>11</v>
      </c>
      <c r="C795" s="61" t="n">
        <f aca="false">C659*1000*(C694)+C660*1000*(C717)+C662*1000*(C740)</f>
        <v>0</v>
      </c>
      <c r="D795" s="61" t="n">
        <f aca="false">D659*1000*(D694)+D660*1000*(D717)+D662*1000*(D740)</f>
        <v>22887.5584206285</v>
      </c>
      <c r="E795" s="61" t="n">
        <f aca="false">E659*1000*(E694)+E660*1000*(E717)+E662*1000*(E740)</f>
        <v>38809.7260273973</v>
      </c>
      <c r="F795" s="61" t="n">
        <f aca="false">F659*1000*(F694)+F660*1000*(F717)+F662*1000*(F740)</f>
        <v>61515.9790491539</v>
      </c>
      <c r="G795" s="61" t="n">
        <f aca="false">G659*1000*(G694)+G660*1000*(G717)+G662*1000*(G740)</f>
        <v>92273.9685737309</v>
      </c>
      <c r="H795" s="2" t="s">
        <v>1309</v>
      </c>
    </row>
    <row r="796" customFormat="false" ht="15" hidden="false" customHeight="false" outlineLevel="1" collapsed="false">
      <c r="A796" s="7" t="s">
        <v>697</v>
      </c>
      <c r="B796" s="8" t="s">
        <v>11</v>
      </c>
      <c r="C796" s="61" t="n">
        <f aca="false">C672*1000*C774</f>
        <v>0</v>
      </c>
      <c r="D796" s="61" t="n">
        <f aca="false">D672*1000*D774</f>
        <v>1370.66881547139</v>
      </c>
      <c r="E796" s="61" t="n">
        <f aca="false">E672*1000*E774</f>
        <v>3198.22723609992</v>
      </c>
      <c r="F796" s="61" t="n">
        <f aca="false">F672*1000*F774</f>
        <v>5939.56486704271</v>
      </c>
      <c r="G796" s="61" t="n">
        <f aca="false">G672*1000*G774</f>
        <v>9503.30378726833</v>
      </c>
      <c r="H796" s="2" t="s">
        <v>1310</v>
      </c>
    </row>
    <row r="797" customFormat="false" ht="15" hidden="false" customHeight="false" outlineLevel="1" collapsed="false">
      <c r="A797" s="7" t="s">
        <v>698</v>
      </c>
      <c r="B797" s="8" t="s">
        <v>11</v>
      </c>
      <c r="C797" s="61" t="n">
        <f aca="false">C795+C796</f>
        <v>0</v>
      </c>
      <c r="D797" s="61" t="n">
        <f aca="false">D795+D796</f>
        <v>24258.2272360999</v>
      </c>
      <c r="E797" s="61" t="n">
        <f aca="false">E795+E796</f>
        <v>42007.9532634972</v>
      </c>
      <c r="F797" s="61" t="n">
        <f aca="false">F795+F796</f>
        <v>67455.5439161966</v>
      </c>
      <c r="G797" s="61" t="n">
        <f aca="false">G795+G796</f>
        <v>101777.272360999</v>
      </c>
      <c r="H797" s="2" t="s">
        <v>1311</v>
      </c>
    </row>
    <row r="798" customFormat="false" ht="15" hidden="false" customHeight="false" outlineLevel="1" collapsed="false">
      <c r="A798" s="8" t="s">
        <v>699</v>
      </c>
      <c r="B798" s="8" t="s">
        <v>11</v>
      </c>
      <c r="C798" s="70" t="n">
        <f aca="false">ROUND(C760-C783-C794-C797-C779,6)</f>
        <v>0</v>
      </c>
      <c r="D798" s="70" t="n">
        <f aca="false">ROUND(D760-D783-D794-D797-D779,6)</f>
        <v>0</v>
      </c>
      <c r="E798" s="70" t="n">
        <f aca="false">ROUND(E760-E783-E794-E797-E779,6)</f>
        <v>0</v>
      </c>
      <c r="F798" s="70" t="n">
        <f aca="false">ROUND(F760-F783-F794-F797-F779,6)</f>
        <v>0</v>
      </c>
      <c r="G798" s="70" t="n">
        <f aca="false">ROUND(G760-G783-G794-G797-G779,6)</f>
        <v>0</v>
      </c>
      <c r="H798" s="2" t="s">
        <v>1312</v>
      </c>
    </row>
    <row r="799" customFormat="false" ht="15" hidden="false" customHeight="false" outlineLevel="0" collapsed="false">
      <c r="A799" s="3" t="s">
        <v>1313</v>
      </c>
      <c r="B799" s="4"/>
      <c r="C799" s="4"/>
      <c r="D799" s="4"/>
      <c r="E799" s="4"/>
      <c r="F799" s="4"/>
      <c r="G799" s="4"/>
      <c r="H799" s="4"/>
    </row>
    <row r="800" customFormat="false" ht="15" hidden="false" customHeight="false" outlineLevel="1" collapsed="false">
      <c r="A800" s="7" t="s">
        <v>638</v>
      </c>
      <c r="B800" s="8" t="s">
        <v>432</v>
      </c>
      <c r="C800" s="64" t="n">
        <f aca="false">Pressupostos!$C$333</f>
        <v>1</v>
      </c>
      <c r="D800" s="64" t="n">
        <f aca="false">Pressupostos!$D$333</f>
        <v>1</v>
      </c>
      <c r="E800" s="64" t="n">
        <f aca="false">Pressupostos!$E$333</f>
        <v>1</v>
      </c>
      <c r="F800" s="64" t="n">
        <f aca="false">Pressupostos!$F$333</f>
        <v>1</v>
      </c>
      <c r="G800" s="64" t="n">
        <f aca="false">Pressupostos!$G$333</f>
        <v>1</v>
      </c>
      <c r="H800" s="2" t="s">
        <v>1314</v>
      </c>
    </row>
    <row r="801" customFormat="false" ht="15" hidden="false" customHeight="false" outlineLevel="1" collapsed="false">
      <c r="A801" s="7" t="s">
        <v>639</v>
      </c>
      <c r="B801" s="8" t="s">
        <v>432</v>
      </c>
      <c r="C801" s="64" t="n">
        <f aca="false">Pressupostos!$C$339</f>
        <v>1</v>
      </c>
      <c r="D801" s="64" t="n">
        <f aca="false">Pressupostos!$D$339</f>
        <v>1</v>
      </c>
      <c r="E801" s="64" t="n">
        <f aca="false">Pressupostos!$E$339</f>
        <v>1</v>
      </c>
      <c r="F801" s="64" t="n">
        <f aca="false">Pressupostos!$F$339</f>
        <v>1</v>
      </c>
      <c r="G801" s="64" t="n">
        <f aca="false">Pressupostos!$G$339</f>
        <v>1</v>
      </c>
      <c r="H801" s="2" t="s">
        <v>1315</v>
      </c>
    </row>
    <row r="802" customFormat="false" ht="15" hidden="false" customHeight="false" outlineLevel="1" collapsed="false">
      <c r="A802" s="7" t="s">
        <v>640</v>
      </c>
      <c r="B802" s="8" t="s">
        <v>432</v>
      </c>
      <c r="C802" s="64" t="n">
        <f aca="false">Pressupostos!$C$345</f>
        <v>1</v>
      </c>
      <c r="D802" s="64" t="n">
        <f aca="false">Pressupostos!$D$345</f>
        <v>2</v>
      </c>
      <c r="E802" s="64" t="n">
        <f aca="false">Pressupostos!$E$345</f>
        <v>3</v>
      </c>
      <c r="F802" s="64" t="n">
        <f aca="false">Pressupostos!$F$345</f>
        <v>4</v>
      </c>
      <c r="G802" s="64" t="n">
        <f aca="false">Pressupostos!$G$345</f>
        <v>4</v>
      </c>
      <c r="H802" s="2" t="s">
        <v>1316</v>
      </c>
    </row>
    <row r="803" customFormat="false" ht="15" hidden="false" customHeight="false" outlineLevel="1" collapsed="false">
      <c r="A803" s="7" t="s">
        <v>641</v>
      </c>
      <c r="B803" s="8" t="s">
        <v>432</v>
      </c>
      <c r="C803" s="64" t="n">
        <f aca="false">Pressupostos!$C$351</f>
        <v>1</v>
      </c>
      <c r="D803" s="64" t="n">
        <f aca="false">Pressupostos!$D$351</f>
        <v>1</v>
      </c>
      <c r="E803" s="64" t="n">
        <f aca="false">Pressupostos!$E$351</f>
        <v>1</v>
      </c>
      <c r="F803" s="64" t="n">
        <f aca="false">Pressupostos!$F$351</f>
        <v>1</v>
      </c>
      <c r="G803" s="64" t="n">
        <f aca="false">Pressupostos!$G$351</f>
        <v>1</v>
      </c>
      <c r="H803" s="2" t="s">
        <v>1317</v>
      </c>
    </row>
    <row r="804" customFormat="false" ht="15" hidden="false" customHeight="false" outlineLevel="1" collapsed="false">
      <c r="A804" s="7" t="s">
        <v>642</v>
      </c>
      <c r="B804" s="8" t="s">
        <v>432</v>
      </c>
      <c r="C804" s="64" t="n">
        <f aca="false">Pressupostos!$C$357</f>
        <v>0.5</v>
      </c>
      <c r="D804" s="64" t="n">
        <f aca="false">Pressupostos!$D$357</f>
        <v>1</v>
      </c>
      <c r="E804" s="64" t="n">
        <f aca="false">Pressupostos!$E$357</f>
        <v>1</v>
      </c>
      <c r="F804" s="64" t="n">
        <f aca="false">Pressupostos!$F$357</f>
        <v>1</v>
      </c>
      <c r="G804" s="64" t="n">
        <f aca="false">Pressupostos!$G$357</f>
        <v>2</v>
      </c>
      <c r="H804" s="2" t="s">
        <v>1318</v>
      </c>
    </row>
    <row r="805" customFormat="false" ht="15" hidden="false" customHeight="false" outlineLevel="1" collapsed="false">
      <c r="A805" s="7" t="s">
        <v>643</v>
      </c>
      <c r="B805" s="8" t="s">
        <v>432</v>
      </c>
      <c r="C805" s="64" t="n">
        <f aca="false">Pressupostos!$C$363</f>
        <v>1</v>
      </c>
      <c r="D805" s="64" t="n">
        <f aca="false">Pressupostos!$D$363</f>
        <v>2</v>
      </c>
      <c r="E805" s="64" t="n">
        <f aca="false">Pressupostos!$E$363</f>
        <v>2</v>
      </c>
      <c r="F805" s="64" t="n">
        <f aca="false">Pressupostos!$F$363</f>
        <v>3</v>
      </c>
      <c r="G805" s="64" t="n">
        <f aca="false">Pressupostos!$G$363</f>
        <v>4</v>
      </c>
      <c r="H805" s="2" t="s">
        <v>1319</v>
      </c>
    </row>
    <row r="806" customFormat="false" ht="15" hidden="false" customHeight="false" outlineLevel="1" collapsed="false">
      <c r="A806" s="7" t="s">
        <v>644</v>
      </c>
      <c r="B806" s="8" t="s">
        <v>432</v>
      </c>
      <c r="C806" s="64" t="n">
        <f aca="false">Pressupostos!$C$369</f>
        <v>0.5</v>
      </c>
      <c r="D806" s="64" t="n">
        <f aca="false">Pressupostos!$D$369</f>
        <v>1</v>
      </c>
      <c r="E806" s="64" t="n">
        <f aca="false">Pressupostos!$E$369</f>
        <v>1</v>
      </c>
      <c r="F806" s="64" t="n">
        <f aca="false">Pressupostos!$F$369</f>
        <v>1</v>
      </c>
      <c r="G806" s="64" t="n">
        <f aca="false">Pressupostos!$G$369</f>
        <v>2</v>
      </c>
      <c r="H806" s="2" t="s">
        <v>1320</v>
      </c>
    </row>
    <row r="807" customFormat="false" ht="15" hidden="false" customHeight="false" outlineLevel="1" collapsed="false">
      <c r="A807" s="7" t="s">
        <v>645</v>
      </c>
      <c r="B807" s="8" t="s">
        <v>432</v>
      </c>
      <c r="C807" s="64" t="n">
        <f aca="false">Pressupostos!$C$375</f>
        <v>1</v>
      </c>
      <c r="D807" s="64" t="n">
        <f aca="false">Pressupostos!$D$375</f>
        <v>2</v>
      </c>
      <c r="E807" s="64" t="n">
        <f aca="false">Pressupostos!$E$375</f>
        <v>3</v>
      </c>
      <c r="F807" s="64" t="n">
        <f aca="false">Pressupostos!$F$375</f>
        <v>5</v>
      </c>
      <c r="G807" s="64" t="n">
        <f aca="false">Pressupostos!$G$375</f>
        <v>8</v>
      </c>
      <c r="H807" s="2" t="s">
        <v>1321</v>
      </c>
    </row>
    <row r="808" customFormat="false" ht="15" hidden="false" customHeight="false" outlineLevel="1" collapsed="false">
      <c r="A808" s="7" t="s">
        <v>646</v>
      </c>
      <c r="B808" s="8" t="s">
        <v>432</v>
      </c>
      <c r="C808" s="64" t="n">
        <f aca="false">Pressupostos!$C$381</f>
        <v>0</v>
      </c>
      <c r="D808" s="64" t="n">
        <f aca="false">Pressupostos!$D$381</f>
        <v>0</v>
      </c>
      <c r="E808" s="64" t="n">
        <f aca="false">Pressupostos!$E$381</f>
        <v>1</v>
      </c>
      <c r="F808" s="64" t="n">
        <f aca="false">Pressupostos!$F$381</f>
        <v>1</v>
      </c>
      <c r="G808" s="64" t="n">
        <f aca="false">Pressupostos!$G$381</f>
        <v>1</v>
      </c>
      <c r="H808" s="2" t="s">
        <v>1322</v>
      </c>
    </row>
    <row r="809" customFormat="false" ht="15" hidden="false" customHeight="false" outlineLevel="1" collapsed="false">
      <c r="A809" s="7" t="s">
        <v>647</v>
      </c>
      <c r="B809" s="8" t="s">
        <v>432</v>
      </c>
      <c r="C809" s="64" t="n">
        <f aca="false">Pressupostos!$C$387</f>
        <v>0</v>
      </c>
      <c r="D809" s="64" t="n">
        <f aca="false">Pressupostos!$D$387</f>
        <v>0</v>
      </c>
      <c r="E809" s="64" t="n">
        <f aca="false">Pressupostos!$E$387</f>
        <v>1</v>
      </c>
      <c r="F809" s="64" t="n">
        <f aca="false">Pressupostos!$F$387</f>
        <v>1</v>
      </c>
      <c r="G809" s="64" t="n">
        <f aca="false">Pressupostos!$G$387</f>
        <v>1</v>
      </c>
      <c r="H809" s="2" t="s">
        <v>1323</v>
      </c>
    </row>
    <row r="810" customFormat="false" ht="15" hidden="false" customHeight="false" outlineLevel="1" collapsed="false">
      <c r="A810" s="7" t="s">
        <v>648</v>
      </c>
      <c r="B810" s="8" t="s">
        <v>432</v>
      </c>
      <c r="C810" s="64" t="n">
        <f aca="false">Pressupostos!$C$393</f>
        <v>0</v>
      </c>
      <c r="D810" s="64" t="n">
        <f aca="false">Pressupostos!$D$393</f>
        <v>1</v>
      </c>
      <c r="E810" s="64" t="n">
        <f aca="false">Pressupostos!$E$393</f>
        <v>1</v>
      </c>
      <c r="F810" s="64" t="n">
        <f aca="false">Pressupostos!$F$393</f>
        <v>2</v>
      </c>
      <c r="G810" s="64" t="n">
        <f aca="false">Pressupostos!$G$393</f>
        <v>3</v>
      </c>
      <c r="H810" s="2" t="s">
        <v>1324</v>
      </c>
    </row>
    <row r="811" customFormat="false" ht="15" hidden="false" customHeight="false" outlineLevel="1" collapsed="false">
      <c r="A811" s="7" t="s">
        <v>649</v>
      </c>
      <c r="B811" s="8" t="s">
        <v>432</v>
      </c>
      <c r="C811" s="64" t="n">
        <f aca="false">Pressupostos!$C$399</f>
        <v>0</v>
      </c>
      <c r="D811" s="64" t="n">
        <f aca="false">Pressupostos!$D$399</f>
        <v>0</v>
      </c>
      <c r="E811" s="64" t="n">
        <f aca="false">Pressupostos!$E$399</f>
        <v>0</v>
      </c>
      <c r="F811" s="64" t="n">
        <f aca="false">Pressupostos!$F$399</f>
        <v>0</v>
      </c>
      <c r="G811" s="64" t="n">
        <f aca="false">Pressupostos!$G$399</f>
        <v>0</v>
      </c>
      <c r="H811" s="2" t="s">
        <v>1325</v>
      </c>
    </row>
    <row r="812" customFormat="false" ht="15" hidden="false" customHeight="false" outlineLevel="1" collapsed="false">
      <c r="A812" s="56" t="s">
        <v>650</v>
      </c>
      <c r="B812" s="57" t="s">
        <v>432</v>
      </c>
      <c r="C812" s="65" t="n">
        <f aca="false">C800+C801+C802+C803+C804+C805+C806+C807+C808+C809+C810+C811</f>
        <v>7</v>
      </c>
      <c r="D812" s="65" t="n">
        <f aca="false">D800+D801+D802+D803+D804+D805+D806+D807+D808+D809+D810+D811</f>
        <v>12</v>
      </c>
      <c r="E812" s="65" t="n">
        <f aca="false">E800+E801+E802+E803+E804+E805+E806+E807+E808+E809+E810+E811</f>
        <v>16</v>
      </c>
      <c r="F812" s="65" t="n">
        <f aca="false">F800+F801+F802+F803+F804+F805+F806+F807+F808+F809+F810+F811</f>
        <v>21</v>
      </c>
      <c r="G812" s="65" t="n">
        <f aca="false">G800+G801+G802+G803+G804+G805+G806+G807+G808+G809+G810+G811</f>
        <v>28</v>
      </c>
      <c r="H812" s="2" t="s">
        <v>1326</v>
      </c>
    </row>
    <row r="813" customFormat="false" ht="15" hidden="false" customHeight="false" outlineLevel="0" collapsed="false">
      <c r="A813" s="3" t="s">
        <v>1327</v>
      </c>
      <c r="B813" s="4"/>
      <c r="C813" s="4"/>
      <c r="D813" s="4"/>
      <c r="E813" s="4"/>
      <c r="F813" s="4"/>
      <c r="G813" s="4"/>
      <c r="H813" s="4"/>
    </row>
    <row r="814" customFormat="false" ht="15" hidden="false" customHeight="false" outlineLevel="1" collapsed="false">
      <c r="A814" s="7" t="s">
        <v>638</v>
      </c>
      <c r="B814" s="8" t="s">
        <v>11</v>
      </c>
      <c r="C814" s="61" t="n">
        <f aca="false">C800*Pressupostos!$C$131*(1+Pressupostos!$C$127)^0*(1+Pressupostos!$C$132)*Pressupostos!$C$128</f>
        <v>43998</v>
      </c>
      <c r="D814" s="61" t="n">
        <f aca="false">D800*Pressupostos!$C$131*(1+Pressupostos!$C$127)^1*(1+Pressupostos!$C$132)</f>
        <v>61800</v>
      </c>
      <c r="E814" s="61" t="n">
        <f aca="false">E800*Pressupostos!$C$131*(1+Pressupostos!$C$127)^2*(1+Pressupostos!$C$132)</f>
        <v>63654</v>
      </c>
      <c r="F814" s="61" t="n">
        <f aca="false">F800*Pressupostos!$C$131*(1+Pressupostos!$C$127)^3*(1+Pressupostos!$C$132)</f>
        <v>65563.62</v>
      </c>
      <c r="G814" s="61" t="n">
        <f aca="false">G800*Pressupostos!$C$131*(1+Pressupostos!$C$127)^4*(1+Pressupostos!$C$132)</f>
        <v>67530.5286</v>
      </c>
      <c r="H814" s="2" t="s">
        <v>1328</v>
      </c>
    </row>
    <row r="815" customFormat="false" ht="15" hidden="false" customHeight="false" outlineLevel="1" collapsed="false">
      <c r="A815" s="7" t="s">
        <v>639</v>
      </c>
      <c r="B815" s="8" t="s">
        <v>11</v>
      </c>
      <c r="C815" s="61" t="n">
        <f aca="false">C801*Pressupostos!$C$133*(1+Pressupostos!$C$127)^0*(1+Pressupostos!$C$134)*Pressupostos!$C$128</f>
        <v>47664.5</v>
      </c>
      <c r="D815" s="61" t="n">
        <f aca="false">D801*Pressupostos!$C$133*(1+Pressupostos!$C$127)^1*(1+Pressupostos!$C$134)</f>
        <v>66950</v>
      </c>
      <c r="E815" s="61" t="n">
        <f aca="false">E801*Pressupostos!$C$133*(1+Pressupostos!$C$127)^2*(1+Pressupostos!$C$134)</f>
        <v>68958.5</v>
      </c>
      <c r="F815" s="61" t="n">
        <f aca="false">F801*Pressupostos!$C$133*(1+Pressupostos!$C$127)^3*(1+Pressupostos!$C$134)</f>
        <v>71027.255</v>
      </c>
      <c r="G815" s="61" t="n">
        <f aca="false">G801*Pressupostos!$C$133*(1+Pressupostos!$C$127)^4*(1+Pressupostos!$C$134)</f>
        <v>73158.07265</v>
      </c>
      <c r="H815" s="2" t="s">
        <v>1329</v>
      </c>
    </row>
    <row r="816" customFormat="false" ht="15" hidden="false" customHeight="false" outlineLevel="1" collapsed="false">
      <c r="A816" s="7" t="s">
        <v>640</v>
      </c>
      <c r="B816" s="8" t="s">
        <v>11</v>
      </c>
      <c r="C816" s="61" t="n">
        <f aca="false">C802*Pressupostos!$C$135*(1+Pressupostos!$C$127)^0*(1+Pressupostos!$C$136)</f>
        <v>45000</v>
      </c>
      <c r="D816" s="61" t="n">
        <f aca="false">D802*Pressupostos!$C$135*(1+Pressupostos!$C$127)^1*(1+Pressupostos!$C$136)</f>
        <v>92700</v>
      </c>
      <c r="E816" s="61" t="n">
        <f aca="false">E802*Pressupostos!$C$135*(1+Pressupostos!$C$127)^2*(1+Pressupostos!$C$136)</f>
        <v>143221.5</v>
      </c>
      <c r="F816" s="61" t="n">
        <f aca="false">F802*Pressupostos!$C$135*(1+Pressupostos!$C$127)^3*(1+Pressupostos!$C$136)</f>
        <v>196690.86</v>
      </c>
      <c r="G816" s="61" t="n">
        <f aca="false">G802*Pressupostos!$C$135*(1+Pressupostos!$C$127)^4*(1+Pressupostos!$C$136)</f>
        <v>202591.5858</v>
      </c>
      <c r="H816" s="2" t="s">
        <v>1330</v>
      </c>
    </row>
    <row r="817" customFormat="false" ht="15" hidden="false" customHeight="false" outlineLevel="1" collapsed="false">
      <c r="A817" s="7" t="s">
        <v>641</v>
      </c>
      <c r="B817" s="8" t="s">
        <v>11</v>
      </c>
      <c r="C817" s="61" t="n">
        <f aca="false">C803*Pressupostos!$C$137*(1+Pressupostos!$C$127)^0*(1+Pressupostos!$C$138)</f>
        <v>60000</v>
      </c>
      <c r="D817" s="61" t="n">
        <f aca="false">D803*Pressupostos!$C$137*(1+Pressupostos!$C$127)^1*(1+Pressupostos!$C$138)</f>
        <v>61800</v>
      </c>
      <c r="E817" s="61" t="n">
        <f aca="false">E803*Pressupostos!$C$137*(1+Pressupostos!$C$127)^2*(1+Pressupostos!$C$138)</f>
        <v>63654</v>
      </c>
      <c r="F817" s="61" t="n">
        <f aca="false">F803*Pressupostos!$C$137*(1+Pressupostos!$C$127)^3*(1+Pressupostos!$C$138)</f>
        <v>65563.62</v>
      </c>
      <c r="G817" s="61" t="n">
        <f aca="false">G803*Pressupostos!$C$137*(1+Pressupostos!$C$127)^4*(1+Pressupostos!$C$138)</f>
        <v>67530.5286</v>
      </c>
      <c r="H817" s="2" t="s">
        <v>1331</v>
      </c>
    </row>
    <row r="818" customFormat="false" ht="15" hidden="false" customHeight="false" outlineLevel="1" collapsed="false">
      <c r="A818" s="7" t="s">
        <v>642</v>
      </c>
      <c r="B818" s="8" t="s">
        <v>11</v>
      </c>
      <c r="C818" s="61" t="n">
        <f aca="false">C804*Pressupostos!$C$139*(1+Pressupostos!$C$127)^0*(1+Pressupostos!$C$140)</f>
        <v>22500</v>
      </c>
      <c r="D818" s="61" t="n">
        <f aca="false">D804*Pressupostos!$C$139*(1+Pressupostos!$C$127)^1*(1+Pressupostos!$C$140)</f>
        <v>46350</v>
      </c>
      <c r="E818" s="61" t="n">
        <f aca="false">E804*Pressupostos!$C$139*(1+Pressupostos!$C$127)^2*(1+Pressupostos!$C$140)</f>
        <v>47740.5</v>
      </c>
      <c r="F818" s="61" t="n">
        <f aca="false">F804*Pressupostos!$C$139*(1+Pressupostos!$C$127)^3*(1+Pressupostos!$C$140)</f>
        <v>49172.715</v>
      </c>
      <c r="G818" s="61" t="n">
        <f aca="false">G804*Pressupostos!$C$139*(1+Pressupostos!$C$127)^4*(1+Pressupostos!$C$140)</f>
        <v>101295.7929</v>
      </c>
      <c r="H818" s="2" t="s">
        <v>1332</v>
      </c>
    </row>
    <row r="819" customFormat="false" ht="15" hidden="false" customHeight="false" outlineLevel="1" collapsed="false">
      <c r="A819" s="7" t="s">
        <v>643</v>
      </c>
      <c r="B819" s="8" t="s">
        <v>11</v>
      </c>
      <c r="C819" s="61" t="n">
        <f aca="false">C805*Pressupostos!$C$141*(1+Pressupostos!$C$127)^0*(1+Pressupostos!$C$142)</f>
        <v>38000</v>
      </c>
      <c r="D819" s="61" t="n">
        <f aca="false">D805*Pressupostos!$C$141*(1+Pressupostos!$C$127)^1*(1+Pressupostos!$C$142)</f>
        <v>78280</v>
      </c>
      <c r="E819" s="61" t="n">
        <f aca="false">E805*Pressupostos!$C$141*(1+Pressupostos!$C$127)^2*(1+Pressupostos!$C$142)</f>
        <v>80628.4</v>
      </c>
      <c r="F819" s="61" t="n">
        <f aca="false">F805*Pressupostos!$C$141*(1+Pressupostos!$C$127)^3*(1+Pressupostos!$C$142)</f>
        <v>124570.878</v>
      </c>
      <c r="G819" s="61" t="n">
        <f aca="false">G805*Pressupostos!$C$141*(1+Pressupostos!$C$127)^4*(1+Pressupostos!$C$142)</f>
        <v>171077.33912</v>
      </c>
      <c r="H819" s="2" t="s">
        <v>1333</v>
      </c>
    </row>
    <row r="820" customFormat="false" ht="15" hidden="false" customHeight="false" outlineLevel="1" collapsed="false">
      <c r="A820" s="7" t="s">
        <v>644</v>
      </c>
      <c r="B820" s="8" t="s">
        <v>11</v>
      </c>
      <c r="C820" s="61" t="n">
        <f aca="false">C806*Pressupostos!$C$143*(1+Pressupostos!$C$127)^0*(1+Pressupostos!$C$144)</f>
        <v>16000</v>
      </c>
      <c r="D820" s="61" t="n">
        <f aca="false">D806*Pressupostos!$C$143*(1+Pressupostos!$C$127)^1*(1+Pressupostos!$C$144)</f>
        <v>32960</v>
      </c>
      <c r="E820" s="61" t="n">
        <f aca="false">E806*Pressupostos!$C$143*(1+Pressupostos!$C$127)^2*(1+Pressupostos!$C$144)</f>
        <v>33948.8</v>
      </c>
      <c r="F820" s="61" t="n">
        <f aca="false">F806*Pressupostos!$C$143*(1+Pressupostos!$C$127)^3*(1+Pressupostos!$C$144)</f>
        <v>34967.264</v>
      </c>
      <c r="G820" s="61" t="n">
        <f aca="false">G806*Pressupostos!$C$143*(1+Pressupostos!$C$127)^4*(1+Pressupostos!$C$144)</f>
        <v>72032.56384</v>
      </c>
      <c r="H820" s="2" t="s">
        <v>1334</v>
      </c>
    </row>
    <row r="821" customFormat="false" ht="15" hidden="false" customHeight="false" outlineLevel="1" collapsed="false">
      <c r="A821" s="7" t="s">
        <v>645</v>
      </c>
      <c r="B821" s="8" t="s">
        <v>11</v>
      </c>
      <c r="C821" s="61" t="n">
        <f aca="false">C807*Pressupostos!$C$145*(1+Pressupostos!$C$127)^0*(1+Pressupostos!$C$146)</f>
        <v>34500</v>
      </c>
      <c r="D821" s="61" t="n">
        <f aca="false">D807*Pressupostos!$C$145*(1+Pressupostos!$C$127)^1*(1+Pressupostos!$C$146)</f>
        <v>71070</v>
      </c>
      <c r="E821" s="61" t="n">
        <f aca="false">E807*Pressupostos!$C$145*(1+Pressupostos!$C$127)^2*(1+Pressupostos!$C$146)</f>
        <v>109803.15</v>
      </c>
      <c r="F821" s="61" t="n">
        <f aca="false">F807*Pressupostos!$C$145*(1+Pressupostos!$C$127)^3*(1+Pressupostos!$C$146)</f>
        <v>188495.4075</v>
      </c>
      <c r="G821" s="61" t="n">
        <f aca="false">G807*Pressupostos!$C$145*(1+Pressupostos!$C$127)^4*(1+Pressupostos!$C$146)</f>
        <v>310640.43156</v>
      </c>
      <c r="H821" s="2" t="s">
        <v>1335</v>
      </c>
    </row>
    <row r="822" customFormat="false" ht="15" hidden="false" customHeight="false" outlineLevel="1" collapsed="false">
      <c r="A822" s="7" t="s">
        <v>646</v>
      </c>
      <c r="B822" s="8" t="s">
        <v>11</v>
      </c>
      <c r="C822" s="61" t="n">
        <f aca="false">C808*Pressupostos!$C$147*(1+Pressupostos!$C$127)^0*(1+Pressupostos!$C$148)</f>
        <v>0</v>
      </c>
      <c r="D822" s="61" t="n">
        <f aca="false">D808*Pressupostos!$C$147*(1+Pressupostos!$C$127)^1*(1+Pressupostos!$C$148)</f>
        <v>0</v>
      </c>
      <c r="E822" s="61" t="n">
        <f aca="false">E808*Pressupostos!$C$147*(1+Pressupostos!$C$127)^2*(1+Pressupostos!$C$148)</f>
        <v>47740.5</v>
      </c>
      <c r="F822" s="61" t="n">
        <f aca="false">F808*Pressupostos!$C$147*(1+Pressupostos!$C$127)^3*(1+Pressupostos!$C$148)</f>
        <v>49172.715</v>
      </c>
      <c r="G822" s="61" t="n">
        <f aca="false">G808*Pressupostos!$C$147*(1+Pressupostos!$C$127)^4*(1+Pressupostos!$C$148)</f>
        <v>50647.89645</v>
      </c>
      <c r="H822" s="2" t="s">
        <v>1336</v>
      </c>
    </row>
    <row r="823" customFormat="false" ht="15" hidden="false" customHeight="false" outlineLevel="1" collapsed="false">
      <c r="A823" s="7" t="s">
        <v>647</v>
      </c>
      <c r="B823" s="8" t="s">
        <v>11</v>
      </c>
      <c r="C823" s="61" t="n">
        <f aca="false">C809*Pressupostos!$C$149*(1+Pressupostos!$C$127)^0*(1+Pressupostos!$C$150)</f>
        <v>0</v>
      </c>
      <c r="D823" s="61" t="n">
        <f aca="false">D809*Pressupostos!$C$149*(1+Pressupostos!$C$127)^1*(1+Pressupostos!$C$150)</f>
        <v>0</v>
      </c>
      <c r="E823" s="61" t="n">
        <f aca="false">E809*Pressupostos!$C$149*(1+Pressupostos!$C$127)^2*(1+Pressupostos!$C$150)</f>
        <v>42436</v>
      </c>
      <c r="F823" s="61" t="n">
        <f aca="false">F809*Pressupostos!$C$149*(1+Pressupostos!$C$127)^3*(1+Pressupostos!$C$150)</f>
        <v>43709.08</v>
      </c>
      <c r="G823" s="61" t="n">
        <f aca="false">G809*Pressupostos!$C$149*(1+Pressupostos!$C$127)^4*(1+Pressupostos!$C$150)</f>
        <v>45020.3524</v>
      </c>
      <c r="H823" s="2" t="s">
        <v>1337</v>
      </c>
    </row>
    <row r="824" customFormat="false" ht="15" hidden="false" customHeight="false" outlineLevel="1" collapsed="false">
      <c r="A824" s="7" t="s">
        <v>648</v>
      </c>
      <c r="B824" s="8" t="s">
        <v>11</v>
      </c>
      <c r="C824" s="61" t="n">
        <f aca="false">C810*Pressupostos!$C$151*(1+Pressupostos!$C$127)^0*(1+Pressupostos!$C$152)</f>
        <v>0</v>
      </c>
      <c r="D824" s="61" t="n">
        <f aca="false">D810*Pressupostos!$C$151*(1+Pressupostos!$C$127)^1*(1+Pressupostos!$C$152)</f>
        <v>24720</v>
      </c>
      <c r="E824" s="61" t="n">
        <f aca="false">E810*Pressupostos!$C$151*(1+Pressupostos!$C$127)^2*(1+Pressupostos!$C$152)</f>
        <v>25461.6</v>
      </c>
      <c r="F824" s="61" t="n">
        <f aca="false">F810*Pressupostos!$C$151*(1+Pressupostos!$C$127)^3*(1+Pressupostos!$C$152)</f>
        <v>52450.896</v>
      </c>
      <c r="G824" s="61" t="n">
        <f aca="false">G810*Pressupostos!$C$151*(1+Pressupostos!$C$127)^4*(1+Pressupostos!$C$152)</f>
        <v>81036.63432</v>
      </c>
      <c r="H824" s="2" t="s">
        <v>1338</v>
      </c>
    </row>
    <row r="825" customFormat="false" ht="15" hidden="false" customHeight="false" outlineLevel="1" collapsed="false">
      <c r="A825" s="7" t="s">
        <v>649</v>
      </c>
      <c r="B825" s="8" t="s">
        <v>11</v>
      </c>
      <c r="C825" s="61" t="n">
        <f aca="false">C811*Pressupostos!$C$153*(1+Pressupostos!$C$127)^0*(1+Pressupostos!$C$154)</f>
        <v>0</v>
      </c>
      <c r="D825" s="61" t="n">
        <f aca="false">D811*Pressupostos!$C$153*(1+Pressupostos!$C$127)^1*(1+Pressupostos!$C$154)</f>
        <v>0</v>
      </c>
      <c r="E825" s="61" t="n">
        <f aca="false">E811*Pressupostos!$C$153*(1+Pressupostos!$C$127)^2*(1+Pressupostos!$C$154)</f>
        <v>0</v>
      </c>
      <c r="F825" s="61" t="n">
        <f aca="false">F811*Pressupostos!$C$153*(1+Pressupostos!$C$127)^3*(1+Pressupostos!$C$154)</f>
        <v>0</v>
      </c>
      <c r="G825" s="61" t="n">
        <f aca="false">G811*Pressupostos!$C$153*(1+Pressupostos!$C$127)^4*(1+Pressupostos!$C$154)</f>
        <v>0</v>
      </c>
      <c r="H825" s="2" t="s">
        <v>1339</v>
      </c>
    </row>
    <row r="826" customFormat="false" ht="15" hidden="false" customHeight="false" outlineLevel="1" collapsed="false">
      <c r="A826" s="7" t="s">
        <v>652</v>
      </c>
      <c r="B826" s="8" t="s">
        <v>11</v>
      </c>
      <c r="C826" s="61" t="n">
        <f aca="false">C814+C815+C816+C817+C818+C819+C820+C821+C822+C823+C824+C825</f>
        <v>307662.5</v>
      </c>
      <c r="D826" s="61" t="n">
        <f aca="false">D814+D815+D816+D817+D818+D819+D820+D821+D822+D823+D824+D825</f>
        <v>536630</v>
      </c>
      <c r="E826" s="61" t="n">
        <f aca="false">E814+E815+E816+E817+E818+E819+E820+E821+E822+E823+E824+E825</f>
        <v>727246.95</v>
      </c>
      <c r="F826" s="61" t="n">
        <f aca="false">F814+F815+F816+F817+F818+F819+F820+F821+F822+F823+F824+F825</f>
        <v>941384.3105</v>
      </c>
      <c r="G826" s="61" t="n">
        <f aca="false">G814+G815+G816+G817+G818+G819+G820+G821+G822+G823+G824+G825</f>
        <v>1242561.72624</v>
      </c>
      <c r="H826" s="2" t="s">
        <v>1340</v>
      </c>
    </row>
    <row r="827" customFormat="false" ht="15" hidden="false" customHeight="false" outlineLevel="1" collapsed="false">
      <c r="A827" s="7" t="s">
        <v>653</v>
      </c>
      <c r="B827" s="8" t="s">
        <v>11</v>
      </c>
      <c r="C827" s="61" t="n">
        <f aca="false">C826*(Pressupostos!$C$124+Pressupostos!$C$125)</f>
        <v>79223.09375</v>
      </c>
      <c r="D827" s="61" t="n">
        <f aca="false">D826*(Pressupostos!$C$124+Pressupostos!$C$125)</f>
        <v>138182.225</v>
      </c>
      <c r="E827" s="61" t="n">
        <f aca="false">E826*(Pressupostos!$C$124+Pressupostos!$C$125)</f>
        <v>187266.089625</v>
      </c>
      <c r="F827" s="61" t="n">
        <f aca="false">F826*(Pressupostos!$C$124+Pressupostos!$C$125)</f>
        <v>242406.45995375</v>
      </c>
      <c r="G827" s="61" t="n">
        <f aca="false">G826*(Pressupostos!$C$124+Pressupostos!$C$125)</f>
        <v>319959.6445068</v>
      </c>
      <c r="H827" s="2" t="s">
        <v>1341</v>
      </c>
    </row>
    <row r="828" customFormat="false" ht="15" hidden="false" customHeight="false" outlineLevel="1" collapsed="false">
      <c r="A828" s="7" t="s">
        <v>654</v>
      </c>
      <c r="B828" s="8" t="s">
        <v>11</v>
      </c>
      <c r="C828" s="61" t="n">
        <f aca="false">C812*Pressupostos!$C$126*(1+Pressupostos!$C$127)^0</f>
        <v>14000</v>
      </c>
      <c r="D828" s="61" t="n">
        <f aca="false">D812*Pressupostos!$C$126*(1+Pressupostos!$C$127)^1</f>
        <v>24720</v>
      </c>
      <c r="E828" s="61" t="n">
        <f aca="false">E812*Pressupostos!$C$126*(1+Pressupostos!$C$127)^2</f>
        <v>33948.8</v>
      </c>
      <c r="F828" s="61" t="n">
        <f aca="false">F812*Pressupostos!$C$126*(1+Pressupostos!$C$127)^3</f>
        <v>45894.534</v>
      </c>
      <c r="G828" s="61" t="n">
        <f aca="false">G812*Pressupostos!$C$126*(1+Pressupostos!$C$127)^4</f>
        <v>63028.49336</v>
      </c>
      <c r="H828" s="2" t="s">
        <v>1342</v>
      </c>
    </row>
    <row r="829" customFormat="false" ht="15" hidden="false" customHeight="false" outlineLevel="1" collapsed="false">
      <c r="A829" s="56" t="s">
        <v>655</v>
      </c>
      <c r="B829" s="57" t="s">
        <v>11</v>
      </c>
      <c r="C829" s="62" t="n">
        <f aca="false">C826+C827+C828</f>
        <v>400885.59375</v>
      </c>
      <c r="D829" s="62" t="n">
        <f aca="false">D826+D827+D828</f>
        <v>699532.225</v>
      </c>
      <c r="E829" s="62" t="n">
        <f aca="false">E826+E827+E828</f>
        <v>948461.839625</v>
      </c>
      <c r="F829" s="62" t="n">
        <f aca="false">F826+F827+F828</f>
        <v>1229685.30445375</v>
      </c>
      <c r="G829" s="62" t="n">
        <f aca="false">G826+G827+G828</f>
        <v>1625549.8641068</v>
      </c>
      <c r="H829" s="2" t="s">
        <v>1343</v>
      </c>
    </row>
    <row r="830" customFormat="false" ht="15" hidden="false" customHeight="false" outlineLevel="1" collapsed="false">
      <c r="A830" s="2" t="s">
        <v>656</v>
      </c>
      <c r="B830" s="8" t="s">
        <v>11</v>
      </c>
      <c r="C830" s="61" t="n">
        <f aca="false">IF(C812&gt;0,C829/C812,0)</f>
        <v>57269.3705357143</v>
      </c>
      <c r="D830" s="61" t="n">
        <f aca="false">IF(D812&gt;0,D829/D812,0)</f>
        <v>58294.3520833333</v>
      </c>
      <c r="E830" s="61" t="n">
        <f aca="false">IF(E812&gt;0,E829/E812,0)</f>
        <v>59278.8649765625</v>
      </c>
      <c r="F830" s="61" t="n">
        <f aca="false">IF(F812&gt;0,F829/F812,0)</f>
        <v>58556.4430692262</v>
      </c>
      <c r="G830" s="61" t="n">
        <f aca="false">IF(G812&gt;0,G829/G812,0)</f>
        <v>58055.3522895286</v>
      </c>
      <c r="H830" s="2" t="s">
        <v>1344</v>
      </c>
    </row>
    <row r="831" customFormat="false" ht="15" hidden="false" customHeight="false" outlineLevel="0" collapsed="false">
      <c r="A831" s="3" t="s">
        <v>1345</v>
      </c>
      <c r="B831" s="4"/>
      <c r="C831" s="4"/>
      <c r="D831" s="4"/>
      <c r="E831" s="4"/>
      <c r="F831" s="4"/>
      <c r="G831" s="4"/>
      <c r="H831" s="4"/>
    </row>
    <row r="832" customFormat="false" ht="15" hidden="false" customHeight="false" outlineLevel="1" collapsed="false">
      <c r="A832" s="7" t="s">
        <v>449</v>
      </c>
      <c r="B832" s="8" t="s">
        <v>11</v>
      </c>
      <c r="C832" s="61" t="n">
        <f aca="false">Pressupostos!$C$406*(1+Pressupostos!$C$156)*(1+Pressupostos!$C$157)^0</f>
        <v>94500</v>
      </c>
      <c r="D832" s="61" t="n">
        <f aca="false">Pressupostos!$D$406*(1+Pressupostos!$C$156)*(1+Pressupostos!$C$157)^1</f>
        <v>58905</v>
      </c>
      <c r="E832" s="61" t="n">
        <f aca="false">Pressupostos!$E$406*(1+Pressupostos!$C$156)*(1+Pressupostos!$C$157)^2</f>
        <v>54621</v>
      </c>
      <c r="F832" s="61" t="n">
        <f aca="false">Pressupostos!$F$406*(1+Pressupostos!$C$156)*(1+Pressupostos!$C$157)^3</f>
        <v>55713.42</v>
      </c>
      <c r="G832" s="61" t="n">
        <f aca="false">Pressupostos!$G$406*(1+Pressupostos!$C$156)*(1+Pressupostos!$C$157)^4</f>
        <v>62510.45724</v>
      </c>
      <c r="H832" s="2" t="s">
        <v>1346</v>
      </c>
    </row>
    <row r="833" customFormat="false" ht="15" hidden="false" customHeight="false" outlineLevel="1" collapsed="false">
      <c r="A833" s="7" t="s">
        <v>451</v>
      </c>
      <c r="B833" s="8" t="s">
        <v>11</v>
      </c>
      <c r="C833" s="61" t="n">
        <f aca="false">Pressupostos!$C$412*(1+Pressupostos!$C$156)*(1+Pressupostos!$C$157)^0</f>
        <v>10500</v>
      </c>
      <c r="D833" s="61" t="n">
        <f aca="false">Pressupostos!$D$412*(1+Pressupostos!$C$156)*(1+Pressupostos!$C$157)^1</f>
        <v>10710</v>
      </c>
      <c r="E833" s="61" t="n">
        <f aca="false">Pressupostos!$E$412*(1+Pressupostos!$C$156)*(1+Pressupostos!$C$157)^2</f>
        <v>13109.04</v>
      </c>
      <c r="F833" s="61" t="n">
        <f aca="false">Pressupostos!$F$412*(1+Pressupostos!$C$156)*(1+Pressupostos!$C$157)^3</f>
        <v>13371.2208</v>
      </c>
      <c r="G833" s="61" t="n">
        <f aca="false">Pressupostos!$G$412*(1+Pressupostos!$C$156)*(1+Pressupostos!$C$157)^4</f>
        <v>17048.30652</v>
      </c>
      <c r="H833" s="2" t="s">
        <v>1347</v>
      </c>
    </row>
    <row r="834" customFormat="false" ht="15" hidden="false" customHeight="false" outlineLevel="1" collapsed="false">
      <c r="A834" s="7" t="s">
        <v>452</v>
      </c>
      <c r="B834" s="8" t="s">
        <v>11</v>
      </c>
      <c r="C834" s="61" t="n">
        <f aca="false">Pressupostos!$C$418*(1+Pressupostos!$C$156)*(1+Pressupostos!$C$157)^0</f>
        <v>12600</v>
      </c>
      <c r="D834" s="61" t="n">
        <f aca="false">Pressupostos!$D$418*(1+Pressupostos!$C$156)*(1+Pressupostos!$C$157)^1</f>
        <v>12852</v>
      </c>
      <c r="E834" s="61" t="n">
        <f aca="false">Pressupostos!$E$418*(1+Pressupostos!$C$156)*(1+Pressupostos!$C$157)^2</f>
        <v>0</v>
      </c>
      <c r="F834" s="61" t="n">
        <f aca="false">Pressupostos!$F$418*(1+Pressupostos!$C$156)*(1+Pressupostos!$C$157)^3</f>
        <v>0</v>
      </c>
      <c r="G834" s="61" t="n">
        <f aca="false">Pressupostos!$G$418*(1+Pressupostos!$C$156)*(1+Pressupostos!$C$157)^4</f>
        <v>0</v>
      </c>
      <c r="H834" s="2" t="s">
        <v>1348</v>
      </c>
    </row>
    <row r="835" customFormat="false" ht="15" hidden="false" customHeight="false" outlineLevel="1" collapsed="false">
      <c r="A835" s="7" t="s">
        <v>454</v>
      </c>
      <c r="B835" s="8" t="s">
        <v>11</v>
      </c>
      <c r="C835" s="61" t="n">
        <f aca="false">Pressupostos!$C$424*(1+Pressupostos!$C$156)*(1+Pressupostos!$C$157)^0</f>
        <v>33600</v>
      </c>
      <c r="D835" s="61" t="n">
        <f aca="false">Pressupostos!$D$424*(1+Pressupostos!$C$156)*(1+Pressupostos!$C$157)^1</f>
        <v>53550</v>
      </c>
      <c r="E835" s="61" t="n">
        <f aca="false">Pressupostos!$E$424*(1+Pressupostos!$C$156)*(1+Pressupostos!$C$157)^2</f>
        <v>76469.4</v>
      </c>
      <c r="F835" s="61" t="n">
        <f aca="false">Pressupostos!$F$424*(1+Pressupostos!$C$156)*(1+Pressupostos!$C$157)^3</f>
        <v>100284.156</v>
      </c>
      <c r="G835" s="61" t="n">
        <f aca="false">Pressupostos!$G$424*(1+Pressupostos!$C$156)*(1+Pressupostos!$C$157)^4</f>
        <v>125020.91448</v>
      </c>
      <c r="H835" s="2" t="s">
        <v>1349</v>
      </c>
    </row>
    <row r="836" customFormat="false" ht="15" hidden="false" customHeight="false" outlineLevel="1" collapsed="false">
      <c r="A836" s="7" t="s">
        <v>456</v>
      </c>
      <c r="B836" s="8" t="s">
        <v>11</v>
      </c>
      <c r="C836" s="61" t="n">
        <f aca="false">Pressupostos!$C$430*(1+Pressupostos!$C$156)*(1+Pressupostos!$C$157)^0</f>
        <v>15750</v>
      </c>
      <c r="D836" s="61" t="n">
        <f aca="false">Pressupostos!$D$430*(1+Pressupostos!$C$156)*(1+Pressupostos!$C$157)^1</f>
        <v>37485</v>
      </c>
      <c r="E836" s="61" t="n">
        <f aca="false">Pressupostos!$E$430*(1+Pressupostos!$C$156)*(1+Pressupostos!$C$157)^2</f>
        <v>21848.4</v>
      </c>
      <c r="F836" s="61" t="n">
        <f aca="false">Pressupostos!$F$430*(1+Pressupostos!$C$156)*(1+Pressupostos!$C$157)^3</f>
        <v>22285.368</v>
      </c>
      <c r="G836" s="61" t="n">
        <f aca="false">Pressupostos!$G$430*(1+Pressupostos!$C$156)*(1+Pressupostos!$C$157)^4</f>
        <v>28413.8442</v>
      </c>
      <c r="H836" s="2" t="s">
        <v>1350</v>
      </c>
    </row>
    <row r="837" customFormat="false" ht="15" hidden="false" customHeight="false" outlineLevel="1" collapsed="false">
      <c r="A837" s="7" t="s">
        <v>458</v>
      </c>
      <c r="B837" s="8" t="s">
        <v>11</v>
      </c>
      <c r="C837" s="61" t="n">
        <f aca="false">Pressupostos!$C$436*(1+Pressupostos!$C$156)*(1+Pressupostos!$C$157)^0</f>
        <v>10500</v>
      </c>
      <c r="D837" s="61" t="n">
        <f aca="false">Pressupostos!$D$436*(1+Pressupostos!$C$156)*(1+Pressupostos!$C$157)^1</f>
        <v>14994</v>
      </c>
      <c r="E837" s="61" t="n">
        <f aca="false">Pressupostos!$E$436*(1+Pressupostos!$C$156)*(1+Pressupostos!$C$157)^2</f>
        <v>19663.56</v>
      </c>
      <c r="F837" s="61" t="n">
        <f aca="false">Pressupostos!$F$436*(1+Pressupostos!$C$156)*(1+Pressupostos!$C$157)^3</f>
        <v>24513.9048</v>
      </c>
      <c r="G837" s="61" t="n">
        <f aca="false">Pressupostos!$G$436*(1+Pressupostos!$C$156)*(1+Pressupostos!$C$157)^4</f>
        <v>29550.397968</v>
      </c>
      <c r="H837" s="2" t="s">
        <v>1351</v>
      </c>
    </row>
    <row r="838" customFormat="false" ht="15" hidden="false" customHeight="false" outlineLevel="1" collapsed="false">
      <c r="A838" s="7" t="s">
        <v>459</v>
      </c>
      <c r="B838" s="8" t="s">
        <v>11</v>
      </c>
      <c r="C838" s="61" t="n">
        <f aca="false">Pressupostos!$C$442*(1+Pressupostos!$C$156)*(1+Pressupostos!$C$157)^0</f>
        <v>52500</v>
      </c>
      <c r="D838" s="61" t="n">
        <f aca="false">Pressupostos!$D$442*(1+Pressupostos!$C$156)*(1+Pressupostos!$C$157)^1</f>
        <v>74970</v>
      </c>
      <c r="E838" s="61" t="n">
        <f aca="false">Pressupostos!$E$442*(1+Pressupostos!$C$156)*(1+Pressupostos!$C$157)^2</f>
        <v>109242</v>
      </c>
      <c r="F838" s="61" t="n">
        <f aca="false">Pressupostos!$F$442*(1+Pressupostos!$C$156)*(1+Pressupostos!$C$157)^3</f>
        <v>144854.892</v>
      </c>
      <c r="G838" s="61" t="n">
        <f aca="false">Pressupostos!$G$442*(1+Pressupostos!$C$156)*(1+Pressupostos!$C$157)^4</f>
        <v>181848.60288</v>
      </c>
      <c r="H838" s="2" t="s">
        <v>1352</v>
      </c>
    </row>
    <row r="839" customFormat="false" ht="15" hidden="false" customHeight="false" outlineLevel="1" collapsed="false">
      <c r="A839" s="7" t="s">
        <v>461</v>
      </c>
      <c r="B839" s="8" t="s">
        <v>11</v>
      </c>
      <c r="C839" s="61" t="n">
        <f aca="false">Pressupostos!$C$448*(1+Pressupostos!$C$156)*(1+Pressupostos!$C$157)^0</f>
        <v>12600</v>
      </c>
      <c r="D839" s="61" t="n">
        <f aca="false">Pressupostos!$D$448*(1+Pressupostos!$C$156)*(1+Pressupostos!$C$157)^1</f>
        <v>21420</v>
      </c>
      <c r="E839" s="61" t="n">
        <f aca="false">Pressupostos!$E$448*(1+Pressupostos!$C$156)*(1+Pressupostos!$C$157)^2</f>
        <v>32772.6</v>
      </c>
      <c r="F839" s="61" t="n">
        <f aca="false">Pressupostos!$F$448*(1+Pressupostos!$C$156)*(1+Pressupostos!$C$157)^3</f>
        <v>44570.736</v>
      </c>
      <c r="G839" s="61" t="n">
        <f aca="false">Pressupostos!$G$448*(1+Pressupostos!$C$156)*(1+Pressupostos!$C$157)^4</f>
        <v>54554.580864</v>
      </c>
      <c r="H839" s="2" t="s">
        <v>1353</v>
      </c>
    </row>
    <row r="840" customFormat="false" ht="15" hidden="false" customHeight="false" outlineLevel="1" collapsed="false">
      <c r="A840" s="7" t="s">
        <v>463</v>
      </c>
      <c r="B840" s="8" t="s">
        <v>11</v>
      </c>
      <c r="C840" s="61" t="n">
        <f aca="false">Pressupostos!$C$454*(1+Pressupostos!$C$156)*(1+Pressupostos!$C$157)^0</f>
        <v>21000</v>
      </c>
      <c r="D840" s="61" t="n">
        <f aca="false">Pressupostos!$D$454*(1+Pressupostos!$C$156)*(1+Pressupostos!$C$157)^1</f>
        <v>29988</v>
      </c>
      <c r="E840" s="61" t="n">
        <f aca="false">Pressupostos!$E$454*(1+Pressupostos!$C$156)*(1+Pressupostos!$C$157)^2</f>
        <v>41511.96</v>
      </c>
      <c r="F840" s="61" t="n">
        <f aca="false">Pressupostos!$F$454*(1+Pressupostos!$C$156)*(1+Pressupostos!$C$157)^3</f>
        <v>53484.8832</v>
      </c>
      <c r="G840" s="61" t="n">
        <f aca="false">Pressupostos!$G$454*(1+Pressupostos!$C$156)*(1+Pressupostos!$C$157)^4</f>
        <v>65920.118544</v>
      </c>
      <c r="H840" s="2" t="s">
        <v>1354</v>
      </c>
    </row>
    <row r="841" customFormat="false" ht="15" hidden="false" customHeight="false" outlineLevel="1" collapsed="false">
      <c r="A841" s="7" t="s">
        <v>464</v>
      </c>
      <c r="B841" s="8" t="s">
        <v>11</v>
      </c>
      <c r="C841" s="61" t="n">
        <f aca="false">Pressupostos!$C$460*(1+Pressupostos!$C$156)*(1+Pressupostos!$C$157)^0</f>
        <v>6300</v>
      </c>
      <c r="D841" s="61" t="n">
        <f aca="false">Pressupostos!$D$460*(1+Pressupostos!$C$156)*(1+Pressupostos!$C$157)^1</f>
        <v>12852</v>
      </c>
      <c r="E841" s="61" t="n">
        <f aca="false">Pressupostos!$E$460*(1+Pressupostos!$C$156)*(1+Pressupostos!$C$157)^2</f>
        <v>17478.72</v>
      </c>
      <c r="F841" s="61" t="n">
        <f aca="false">Pressupostos!$F$460*(1+Pressupostos!$C$156)*(1+Pressupostos!$C$157)^3</f>
        <v>22285.368</v>
      </c>
      <c r="G841" s="61" t="n">
        <f aca="false">Pressupostos!$G$460*(1+Pressupostos!$C$156)*(1+Pressupostos!$C$157)^4</f>
        <v>27277.290432</v>
      </c>
      <c r="H841" s="2" t="s">
        <v>1355</v>
      </c>
    </row>
    <row r="842" customFormat="false" ht="15" hidden="false" customHeight="false" outlineLevel="1" collapsed="false">
      <c r="A842" s="7" t="s">
        <v>701</v>
      </c>
      <c r="B842" s="8" t="s">
        <v>11</v>
      </c>
      <c r="C842" s="61" t="n">
        <f aca="false">C832+C833+C834+C835+C836+C837+C838+C839+C840+C841</f>
        <v>269850</v>
      </c>
      <c r="D842" s="61" t="n">
        <f aca="false">D832+D833+D834+D835+D836+D837+D838+D839+D840+D841</f>
        <v>327726</v>
      </c>
      <c r="E842" s="61" t="n">
        <f aca="false">E832+E833+E834+E835+E836+E837+E838+E839+E840+E841</f>
        <v>386716.68</v>
      </c>
      <c r="F842" s="61" t="n">
        <f aca="false">F832+F833+F834+F835+F836+F837+F838+F839+F840+F841</f>
        <v>481363.9488</v>
      </c>
      <c r="G842" s="61" t="n">
        <f aca="false">G832+G833+G834+G835+G836+G837+G838+G839+G840+G841</f>
        <v>592144.513128</v>
      </c>
      <c r="H842" s="2" t="s">
        <v>1356</v>
      </c>
    </row>
    <row r="843" customFormat="false" ht="15" hidden="false" customHeight="false" outlineLevel="1" collapsed="false">
      <c r="A843" s="7" t="s">
        <v>702</v>
      </c>
      <c r="B843" s="8" t="s">
        <v>11</v>
      </c>
      <c r="C843" s="61" t="n">
        <f aca="false">Pressupostos!$C$114+Pressupostos!$C$115+Pressupostos!$C$116*Pressupostos!$C$295+Pressupostos!$C$466+Pressupostos!$C$307</f>
        <v>65000</v>
      </c>
      <c r="D843" s="61" t="n">
        <f aca="false">Pressupostos!$C$115+Pressupostos!$C$116*Pressupostos!$D$295+Pressupostos!$D$466+Pressupostos!$D$307</f>
        <v>70000</v>
      </c>
      <c r="E843" s="61" t="n">
        <f aca="false">Pressupostos!$C$115+Pressupostos!$C$116*Pressupostos!$E$295+Pressupostos!$E$466+Pressupostos!$E$307</f>
        <v>75000</v>
      </c>
      <c r="F843" s="61" t="n">
        <f aca="false">Pressupostos!$C$115+Pressupostos!$C$116*Pressupostos!$F$295+Pressupostos!$F$466+Pressupostos!$F$307</f>
        <v>80000</v>
      </c>
      <c r="G843" s="61" t="n">
        <f aca="false">Pressupostos!$C$115+Pressupostos!$C$116*Pressupostos!$G$295+Pressupostos!$G$466+Pressupostos!$G$307</f>
        <v>85000</v>
      </c>
      <c r="H843" s="2" t="s">
        <v>1357</v>
      </c>
    </row>
    <row r="844" customFormat="false" ht="15" hidden="false" customHeight="false" outlineLevel="1" collapsed="false">
      <c r="A844" s="7" t="s">
        <v>703</v>
      </c>
      <c r="B844" s="8" t="s">
        <v>11</v>
      </c>
      <c r="C844" s="61" t="n">
        <f aca="false">IF(C656&lt;Pressupostos!$C$120,0,MAX(Pressupostos!$C$301,Pressupostos!$C$118*(C750+C751)+Pressupostos!$C$119*C752))</f>
        <v>0</v>
      </c>
      <c r="D844" s="61" t="n">
        <f aca="false">IF(D656&lt;Pressupostos!$C$120,0,MAX(Pressupostos!$D$301,Pressupostos!$C$118*(D750+D751)+Pressupostos!$C$119*D752))</f>
        <v>11923.2</v>
      </c>
      <c r="E844" s="61" t="n">
        <f aca="false">IF(E656&lt;Pressupostos!$C$120,0,MAX(Pressupostos!$E$301,Pressupostos!$C$118*(E750+E751)+Pressupostos!$C$119*E752))</f>
        <v>24138</v>
      </c>
      <c r="F844" s="61" t="n">
        <f aca="false">IF(F656&lt;Pressupostos!$C$120,0,MAX(Pressupostos!$F$301,Pressupostos!$C$118*(F750+F751)+Pressupostos!$C$119*F752))</f>
        <v>41076</v>
      </c>
      <c r="G844" s="61" t="n">
        <f aca="false">IF(G656&lt;Pressupostos!$C$120,0,MAX(Pressupostos!$G$301,Pressupostos!$C$118*(G750+G751)+Pressupostos!$C$119*G752))</f>
        <v>61614</v>
      </c>
      <c r="H844" s="2" t="s">
        <v>1358</v>
      </c>
    </row>
    <row r="845" customFormat="false" ht="15" hidden="false" customHeight="false" outlineLevel="1" collapsed="false">
      <c r="A845" s="56" t="s">
        <v>704</v>
      </c>
      <c r="B845" s="57" t="s">
        <v>11</v>
      </c>
      <c r="C845" s="62" t="n">
        <f aca="false">C842+C843+C844</f>
        <v>334850</v>
      </c>
      <c r="D845" s="62" t="n">
        <f aca="false">D842+D843+D844</f>
        <v>409649.2</v>
      </c>
      <c r="E845" s="62" t="n">
        <f aca="false">E842+E843+E844</f>
        <v>485854.68</v>
      </c>
      <c r="F845" s="62" t="n">
        <f aca="false">F842+F843+F844</f>
        <v>602439.9488</v>
      </c>
      <c r="G845" s="62" t="n">
        <f aca="false">G842+G843+G844</f>
        <v>738758.513128</v>
      </c>
      <c r="H845" s="2" t="s">
        <v>1359</v>
      </c>
    </row>
    <row r="846" customFormat="false" ht="15" hidden="false" customHeight="false" outlineLevel="0" collapsed="false">
      <c r="A846" s="3" t="s">
        <v>1360</v>
      </c>
      <c r="B846" s="4"/>
      <c r="C846" s="4"/>
      <c r="D846" s="4"/>
      <c r="E846" s="4"/>
      <c r="F846" s="4"/>
      <c r="G846" s="4"/>
      <c r="H846" s="4"/>
    </row>
    <row r="847" customFormat="false" ht="15" hidden="false" customHeight="false" outlineLevel="1" collapsed="false">
      <c r="A847" s="7" t="s">
        <v>706</v>
      </c>
      <c r="B847" s="8" t="s">
        <v>11</v>
      </c>
      <c r="C847" s="61" t="n">
        <f aca="false">Pressupostos!$C$165*Pressupostos!$C$314</f>
        <v>18000</v>
      </c>
      <c r="D847" s="61" t="n">
        <f aca="false">Pressupostos!$C$165*Pressupostos!$D$314</f>
        <v>18000</v>
      </c>
      <c r="E847" s="61" t="n">
        <f aca="false">Pressupostos!$C$165*Pressupostos!$E$314</f>
        <v>18000</v>
      </c>
      <c r="F847" s="61" t="n">
        <f aca="false">Pressupostos!$C$165*Pressupostos!$F$314</f>
        <v>18000</v>
      </c>
      <c r="G847" s="61" t="n">
        <f aca="false">Pressupostos!$C$165*Pressupostos!$G$314</f>
        <v>18000</v>
      </c>
      <c r="H847" s="2" t="s">
        <v>1361</v>
      </c>
    </row>
    <row r="848" customFormat="false" ht="15" hidden="false" customHeight="false" outlineLevel="1" collapsed="false">
      <c r="A848" s="7" t="s">
        <v>707</v>
      </c>
      <c r="B848" s="8" t="s">
        <v>11</v>
      </c>
      <c r="C848" s="53" t="n">
        <f aca="false">Pressupostos!$C$320</f>
        <v>60000</v>
      </c>
      <c r="D848" s="53" t="n">
        <f aca="false">Pressupostos!$D$320</f>
        <v>25000</v>
      </c>
      <c r="E848" s="53" t="n">
        <f aca="false">Pressupostos!$E$320</f>
        <v>20000</v>
      </c>
      <c r="F848" s="53" t="n">
        <f aca="false">Pressupostos!$F$320</f>
        <v>15000</v>
      </c>
      <c r="G848" s="53" t="n">
        <f aca="false">Pressupostos!$G$320</f>
        <v>15000</v>
      </c>
      <c r="H848" s="2" t="s">
        <v>1362</v>
      </c>
    </row>
    <row r="849" customFormat="false" ht="15" hidden="false" customHeight="false" outlineLevel="1" collapsed="false">
      <c r="A849" s="7" t="s">
        <v>708</v>
      </c>
      <c r="B849" s="8" t="s">
        <v>11</v>
      </c>
      <c r="C849" s="53" t="n">
        <f aca="false">Pressupostos!$C$326</f>
        <v>0</v>
      </c>
      <c r="D849" s="53" t="n">
        <f aca="false">Pressupostos!$D$326</f>
        <v>20000</v>
      </c>
      <c r="E849" s="53" t="n">
        <f aca="false">Pressupostos!$E$326</f>
        <v>20000</v>
      </c>
      <c r="F849" s="53" t="n">
        <f aca="false">Pressupostos!$F$326</f>
        <v>15000</v>
      </c>
      <c r="G849" s="53" t="n">
        <f aca="false">Pressupostos!$G$326</f>
        <v>15000</v>
      </c>
      <c r="H849" s="2" t="s">
        <v>1363</v>
      </c>
    </row>
    <row r="850" customFormat="false" ht="15" hidden="false" customHeight="false" outlineLevel="1" collapsed="false">
      <c r="A850" s="7" t="s">
        <v>709</v>
      </c>
      <c r="B850" s="8" t="s">
        <v>11</v>
      </c>
      <c r="C850" s="61" t="n">
        <f aca="false">Pressupostos!$C$166*MAX(0,C812)</f>
        <v>14000</v>
      </c>
      <c r="D850" s="61" t="n">
        <f aca="false">Pressupostos!$C$166*MAX(0,D812-C812)</f>
        <v>10000</v>
      </c>
      <c r="E850" s="61" t="n">
        <f aca="false">Pressupostos!$C$166*MAX(0,E812-D812)</f>
        <v>8000</v>
      </c>
      <c r="F850" s="61" t="n">
        <f aca="false">Pressupostos!$C$166*MAX(0,F812-E812)</f>
        <v>10000</v>
      </c>
      <c r="G850" s="61" t="n">
        <f aca="false">Pressupostos!$C$166*MAX(0,G812-F812)</f>
        <v>14000</v>
      </c>
      <c r="H850" s="2" t="s">
        <v>1364</v>
      </c>
    </row>
    <row r="851" customFormat="false" ht="15" hidden="false" customHeight="false" outlineLevel="1" collapsed="false">
      <c r="A851" s="7" t="s">
        <v>424</v>
      </c>
      <c r="B851" s="8" t="s">
        <v>11</v>
      </c>
      <c r="C851" s="61" t="n">
        <f aca="false">C847+C848+C849+C850</f>
        <v>92000</v>
      </c>
      <c r="D851" s="61" t="n">
        <f aca="false">D847+D848+D849+D850</f>
        <v>73000</v>
      </c>
      <c r="E851" s="61" t="n">
        <f aca="false">E847+E848+E849+E850</f>
        <v>66000</v>
      </c>
      <c r="F851" s="61" t="n">
        <f aca="false">F847+F848+F849+F850</f>
        <v>58000</v>
      </c>
      <c r="G851" s="61" t="n">
        <f aca="false">G847+G848+G849+G850</f>
        <v>62000</v>
      </c>
      <c r="H851" s="2" t="s">
        <v>1365</v>
      </c>
    </row>
    <row r="852" customFormat="false" ht="15" hidden="false" customHeight="false" outlineLevel="1" collapsed="false">
      <c r="A852" s="7" t="s">
        <v>710</v>
      </c>
      <c r="B852" s="8" t="s">
        <v>11</v>
      </c>
      <c r="C852" s="61" t="n">
        <f aca="false">(C848*((0)&lt;Pressupostos!$C$167))/Pressupostos!$C$167</f>
        <v>20000</v>
      </c>
      <c r="D852" s="61" t="n">
        <f aca="false">(C848*((1)&lt;Pressupostos!$C$167)+D848*((0)&lt;Pressupostos!$C$167))/Pressupostos!$C$167</f>
        <v>28333.3333333333</v>
      </c>
      <c r="E852" s="61" t="n">
        <f aca="false">(C848*((2)&lt;Pressupostos!$C$167)+D848*((1)&lt;Pressupostos!$C$167)+E848*((0)&lt;Pressupostos!$C$167))/Pressupostos!$C$167</f>
        <v>35000</v>
      </c>
      <c r="F852" s="61" t="n">
        <f aca="false">(C848*((3)&lt;Pressupostos!$C$167)+D848*((2)&lt;Pressupostos!$C$167)+E848*((1)&lt;Pressupostos!$C$167)+F848*((0)&lt;Pressupostos!$C$167))/Pressupostos!$C$167</f>
        <v>20000</v>
      </c>
      <c r="G852" s="61" t="n">
        <f aca="false">(C848*((4)&lt;Pressupostos!$C$167)+D848*((3)&lt;Pressupostos!$C$167)+E848*((2)&lt;Pressupostos!$C$167)+F848*((1)&lt;Pressupostos!$C$167)+G848*((0)&lt;Pressupostos!$C$167))/Pressupostos!$C$167</f>
        <v>16666.6666666667</v>
      </c>
      <c r="H852" s="2" t="s">
        <v>1366</v>
      </c>
    </row>
    <row r="853" customFormat="false" ht="15" hidden="false" customHeight="false" outlineLevel="1" collapsed="false">
      <c r="A853" s="7" t="s">
        <v>711</v>
      </c>
      <c r="B853" s="8" t="s">
        <v>11</v>
      </c>
      <c r="C853" s="61" t="n">
        <f aca="false">(C849*((0)&lt;Pressupostos!$C$167))/Pressupostos!$C$167</f>
        <v>0</v>
      </c>
      <c r="D853" s="61" t="n">
        <f aca="false">(C849*((1)&lt;Pressupostos!$C$167)+D849*((0)&lt;Pressupostos!$C$167))/Pressupostos!$C$167</f>
        <v>6666.66666666667</v>
      </c>
      <c r="E853" s="61" t="n">
        <f aca="false">(C849*((2)&lt;Pressupostos!$C$167)+D849*((1)&lt;Pressupostos!$C$167)+E849*((0)&lt;Pressupostos!$C$167))/Pressupostos!$C$167</f>
        <v>13333.3333333333</v>
      </c>
      <c r="F853" s="61" t="n">
        <f aca="false">(C849*((3)&lt;Pressupostos!$C$167)+D849*((2)&lt;Pressupostos!$C$167)+E849*((1)&lt;Pressupostos!$C$167)+F849*((0)&lt;Pressupostos!$C$167))/Pressupostos!$C$167</f>
        <v>18333.3333333333</v>
      </c>
      <c r="G853" s="61" t="n">
        <f aca="false">(C849*((4)&lt;Pressupostos!$C$167)+D849*((3)&lt;Pressupostos!$C$167)+E849*((2)&lt;Pressupostos!$C$167)+F849*((1)&lt;Pressupostos!$C$167)+G849*((0)&lt;Pressupostos!$C$167))/Pressupostos!$C$167</f>
        <v>16666.6666666667</v>
      </c>
      <c r="H853" s="2" t="s">
        <v>1367</v>
      </c>
    </row>
    <row r="854" customFormat="false" ht="15" hidden="false" customHeight="false" outlineLevel="1" collapsed="false">
      <c r="A854" s="7" t="s">
        <v>712</v>
      </c>
      <c r="B854" s="8" t="s">
        <v>11</v>
      </c>
      <c r="C854" s="61" t="n">
        <f aca="false">(C847*((0)&lt;Pressupostos!$C$169))/Pressupostos!$C$169</f>
        <v>3600</v>
      </c>
      <c r="D854" s="61" t="n">
        <f aca="false">(C847*((1)&lt;Pressupostos!$C$169)+D847*((0)&lt;Pressupostos!$C$169))/Pressupostos!$C$169</f>
        <v>7200</v>
      </c>
      <c r="E854" s="61" t="n">
        <f aca="false">(C847*((2)&lt;Pressupostos!$C$169)+D847*((1)&lt;Pressupostos!$C$169)+E847*((0)&lt;Pressupostos!$C$169))/Pressupostos!$C$169</f>
        <v>10800</v>
      </c>
      <c r="F854" s="61" t="n">
        <f aca="false">(C847*((3)&lt;Pressupostos!$C$169)+D847*((2)&lt;Pressupostos!$C$169)+E847*((1)&lt;Pressupostos!$C$169)+F847*((0)&lt;Pressupostos!$C$169))/Pressupostos!$C$169</f>
        <v>14400</v>
      </c>
      <c r="G854" s="61" t="n">
        <f aca="false">(C847*((4)&lt;Pressupostos!$C$169)+D847*((3)&lt;Pressupostos!$C$169)+E847*((2)&lt;Pressupostos!$C$169)+F847*((1)&lt;Pressupostos!$C$169)+G847*((0)&lt;Pressupostos!$C$169))/Pressupostos!$C$169</f>
        <v>18000</v>
      </c>
      <c r="H854" s="2" t="s">
        <v>1368</v>
      </c>
    </row>
    <row r="855" customFormat="false" ht="15" hidden="false" customHeight="false" outlineLevel="1" collapsed="false">
      <c r="A855" s="7" t="s">
        <v>713</v>
      </c>
      <c r="B855" s="8" t="s">
        <v>11</v>
      </c>
      <c r="C855" s="61" t="n">
        <f aca="false">(C850*((0)&lt;Pressupostos!$C$168))/Pressupostos!$C$168</f>
        <v>3500</v>
      </c>
      <c r="D855" s="61" t="n">
        <f aca="false">(C850*((1)&lt;Pressupostos!$C$168)+D850*((0)&lt;Pressupostos!$C$168))/Pressupostos!$C$168</f>
        <v>6000</v>
      </c>
      <c r="E855" s="61" t="n">
        <f aca="false">(C850*((2)&lt;Pressupostos!$C$168)+D850*((1)&lt;Pressupostos!$C$168)+E850*((0)&lt;Pressupostos!$C$168))/Pressupostos!$C$168</f>
        <v>8000</v>
      </c>
      <c r="F855" s="61" t="n">
        <f aca="false">(C850*((3)&lt;Pressupostos!$C$168)+D850*((2)&lt;Pressupostos!$C$168)+E850*((1)&lt;Pressupostos!$C$168)+F850*((0)&lt;Pressupostos!$C$168))/Pressupostos!$C$168</f>
        <v>10500</v>
      </c>
      <c r="G855" s="61" t="n">
        <f aca="false">(C850*((4)&lt;Pressupostos!$C$168)+D850*((3)&lt;Pressupostos!$C$168)+E850*((2)&lt;Pressupostos!$C$168)+F850*((1)&lt;Pressupostos!$C$168)+G850*((0)&lt;Pressupostos!$C$168))/Pressupostos!$C$168</f>
        <v>10500</v>
      </c>
      <c r="H855" s="2" t="s">
        <v>1369</v>
      </c>
    </row>
    <row r="856" customFormat="false" ht="15" hidden="false" customHeight="false" outlineLevel="1" collapsed="false">
      <c r="A856" s="7" t="s">
        <v>714</v>
      </c>
      <c r="B856" s="8" t="s">
        <v>11</v>
      </c>
      <c r="C856" s="61" t="n">
        <f aca="false">C852+C853+C854+C855</f>
        <v>27100</v>
      </c>
      <c r="D856" s="61" t="n">
        <f aca="false">D852+D853+D854+D855</f>
        <v>48200</v>
      </c>
      <c r="E856" s="61" t="n">
        <f aca="false">E852+E853+E854+E855</f>
        <v>67133.3333333333</v>
      </c>
      <c r="F856" s="61" t="n">
        <f aca="false">F852+F853+F854+F855</f>
        <v>63233.3333333333</v>
      </c>
      <c r="G856" s="61" t="n">
        <f aca="false">G852+G853+G854+G855</f>
        <v>61833.3333333333</v>
      </c>
      <c r="H856" s="2" t="s">
        <v>1370</v>
      </c>
    </row>
    <row r="857" customFormat="false" ht="15" hidden="false" customHeight="false" outlineLevel="0" collapsed="false">
      <c r="A857" s="3" t="s">
        <v>1371</v>
      </c>
      <c r="B857" s="4"/>
      <c r="C857" s="4"/>
      <c r="D857" s="4"/>
      <c r="E857" s="4"/>
      <c r="F857" s="4"/>
      <c r="G857" s="4"/>
      <c r="H857" s="4"/>
    </row>
    <row r="858" customFormat="false" ht="15" hidden="false" customHeight="false" outlineLevel="1" collapsed="false">
      <c r="A858" s="56" t="s">
        <v>718</v>
      </c>
      <c r="B858" s="57" t="s">
        <v>11</v>
      </c>
      <c r="C858" s="62" t="n">
        <f aca="false">C760</f>
        <v>370458</v>
      </c>
      <c r="D858" s="62" t="n">
        <f aca="false">D760</f>
        <v>3164280</v>
      </c>
      <c r="E858" s="62" t="n">
        <f aca="false">E760</f>
        <v>6509150</v>
      </c>
      <c r="F858" s="62" t="n">
        <f aca="false">F760</f>
        <v>11221820</v>
      </c>
      <c r="G858" s="62" t="n">
        <f aca="false">G760</f>
        <v>16943800</v>
      </c>
      <c r="H858" s="2" t="s">
        <v>1372</v>
      </c>
    </row>
    <row r="859" customFormat="false" ht="15" hidden="false" customHeight="false" outlineLevel="1" collapsed="false">
      <c r="A859" s="7" t="s">
        <v>688</v>
      </c>
      <c r="B859" s="8" t="s">
        <v>11</v>
      </c>
      <c r="C859" s="61" t="n">
        <f aca="false">-C783</f>
        <v>-321000</v>
      </c>
      <c r="D859" s="61" t="n">
        <f aca="false">-D783</f>
        <v>-2746200</v>
      </c>
      <c r="E859" s="61" t="n">
        <f aca="false">-E783</f>
        <v>-5570500</v>
      </c>
      <c r="F859" s="61" t="n">
        <f aca="false">-F783</f>
        <v>-9541000</v>
      </c>
      <c r="G859" s="61" t="n">
        <f aca="false">-G783</f>
        <v>-14381500</v>
      </c>
      <c r="H859" s="2" t="s">
        <v>1373</v>
      </c>
    </row>
    <row r="860" customFormat="false" ht="15" hidden="false" customHeight="false" outlineLevel="1" collapsed="false">
      <c r="A860" s="56" t="s">
        <v>719</v>
      </c>
      <c r="B860" s="57" t="s">
        <v>11</v>
      </c>
      <c r="C860" s="62" t="n">
        <f aca="false">C858+C859</f>
        <v>49458</v>
      </c>
      <c r="D860" s="62" t="n">
        <f aca="false">D858+D859</f>
        <v>418080</v>
      </c>
      <c r="E860" s="62" t="n">
        <f aca="false">E858+E859</f>
        <v>938650</v>
      </c>
      <c r="F860" s="62" t="n">
        <f aca="false">F858+F859</f>
        <v>1680820</v>
      </c>
      <c r="G860" s="62" t="n">
        <f aca="false">G858+G859</f>
        <v>2562300</v>
      </c>
      <c r="H860" s="2" t="s">
        <v>1374</v>
      </c>
    </row>
    <row r="861" customFormat="false" ht="15" hidden="false" customHeight="false" outlineLevel="1" collapsed="false">
      <c r="A861" s="2" t="s">
        <v>720</v>
      </c>
      <c r="B861" s="8" t="s">
        <v>76</v>
      </c>
      <c r="C861" s="59" t="n">
        <f aca="false">IF(C858&gt;0,C860/C858,0)</f>
        <v>0.133505012713992</v>
      </c>
      <c r="D861" s="59" t="n">
        <f aca="false">IF(D858&gt;0,D860/D858,0)</f>
        <v>0.132124843566309</v>
      </c>
      <c r="E861" s="59" t="n">
        <f aca="false">IF(E858&gt;0,E860/E858,0)</f>
        <v>0.144204696465744</v>
      </c>
      <c r="F861" s="59" t="n">
        <f aca="false">IF(F858&gt;0,F860/F858,0)</f>
        <v>0.149781408006901</v>
      </c>
      <c r="G861" s="59" t="n">
        <f aca="false">IF(G858&gt;0,G860/G858,0)</f>
        <v>0.151223456367521</v>
      </c>
      <c r="H861" s="2" t="s">
        <v>1375</v>
      </c>
    </row>
    <row r="862" customFormat="false" ht="15" hidden="false" customHeight="false" outlineLevel="1" collapsed="false">
      <c r="A862" s="7" t="s">
        <v>721</v>
      </c>
      <c r="B862" s="8" t="s">
        <v>11</v>
      </c>
      <c r="C862" s="61" t="n">
        <f aca="false">-C794</f>
        <v>-20082.3881278539</v>
      </c>
      <c r="D862" s="61" t="n">
        <f aca="false">-D794</f>
        <v>-168175.130528376</v>
      </c>
      <c r="E862" s="61" t="n">
        <f aca="false">-E794</f>
        <v>-366445.873776908</v>
      </c>
      <c r="F862" s="61" t="n">
        <f aca="false">-F794</f>
        <v>-655763.893672538</v>
      </c>
      <c r="G862" s="61" t="n">
        <f aca="false">-G794</f>
        <v>-1002373.98336595</v>
      </c>
      <c r="H862" s="2" t="s">
        <v>1376</v>
      </c>
    </row>
    <row r="863" customFormat="false" ht="15" hidden="false" customHeight="false" outlineLevel="1" collapsed="false">
      <c r="A863" s="7" t="s">
        <v>698</v>
      </c>
      <c r="B863" s="8" t="s">
        <v>11</v>
      </c>
      <c r="C863" s="61" t="n">
        <f aca="false">-C797</f>
        <v>-0</v>
      </c>
      <c r="D863" s="61" t="n">
        <f aca="false">-D797</f>
        <v>-24258.2272360999</v>
      </c>
      <c r="E863" s="61" t="n">
        <f aca="false">-E797</f>
        <v>-42007.9532634972</v>
      </c>
      <c r="F863" s="61" t="n">
        <f aca="false">-F797</f>
        <v>-67455.5439161966</v>
      </c>
      <c r="G863" s="61" t="n">
        <f aca="false">-G797</f>
        <v>-101777.272360999</v>
      </c>
      <c r="H863" s="2" t="s">
        <v>1377</v>
      </c>
    </row>
    <row r="864" customFormat="false" ht="15" hidden="false" customHeight="false" outlineLevel="1" collapsed="false">
      <c r="A864" s="56" t="s">
        <v>677</v>
      </c>
      <c r="B864" s="57" t="s">
        <v>11</v>
      </c>
      <c r="C864" s="62" t="n">
        <f aca="false">C860+C862+C863</f>
        <v>29375.6118721461</v>
      </c>
      <c r="D864" s="62" t="n">
        <f aca="false">D860+D862+D863</f>
        <v>225646.642235524</v>
      </c>
      <c r="E864" s="62" t="n">
        <f aca="false">E860+E862+E863</f>
        <v>530196.172959595</v>
      </c>
      <c r="F864" s="62" t="n">
        <f aca="false">F860+F862+F863</f>
        <v>957600.562411266</v>
      </c>
      <c r="G864" s="62" t="n">
        <f aca="false">G860+G862+G863</f>
        <v>1458148.74427305</v>
      </c>
      <c r="H864" s="2" t="s">
        <v>1378</v>
      </c>
    </row>
    <row r="865" customFormat="false" ht="15" hidden="false" customHeight="false" outlineLevel="1" collapsed="false">
      <c r="A865" s="7" t="s">
        <v>261</v>
      </c>
      <c r="B865" s="8" t="s">
        <v>11</v>
      </c>
      <c r="C865" s="61" t="n">
        <f aca="false">-C829</f>
        <v>-400885.59375</v>
      </c>
      <c r="D865" s="61" t="n">
        <f aca="false">-D829</f>
        <v>-699532.225</v>
      </c>
      <c r="E865" s="61" t="n">
        <f aca="false">-E829</f>
        <v>-948461.839625</v>
      </c>
      <c r="F865" s="61" t="n">
        <f aca="false">-F829</f>
        <v>-1229685.30445375</v>
      </c>
      <c r="G865" s="61" t="n">
        <f aca="false">-G829</f>
        <v>-1625549.8641068</v>
      </c>
      <c r="H865" s="2" t="s">
        <v>1379</v>
      </c>
    </row>
    <row r="866" customFormat="false" ht="15" hidden="false" customHeight="false" outlineLevel="1" collapsed="false">
      <c r="A866" s="7" t="s">
        <v>722</v>
      </c>
      <c r="B866" s="8" t="s">
        <v>11</v>
      </c>
      <c r="C866" s="61" t="n">
        <f aca="false">-C845</f>
        <v>-334850</v>
      </c>
      <c r="D866" s="61" t="n">
        <f aca="false">-D845</f>
        <v>-409649.2</v>
      </c>
      <c r="E866" s="61" t="n">
        <f aca="false">-E845</f>
        <v>-485854.68</v>
      </c>
      <c r="F866" s="61" t="n">
        <f aca="false">-F845</f>
        <v>-602439.9488</v>
      </c>
      <c r="G866" s="61" t="n">
        <f aca="false">-G845</f>
        <v>-738758.513128</v>
      </c>
      <c r="H866" s="2" t="s">
        <v>1380</v>
      </c>
    </row>
    <row r="867" customFormat="false" ht="15" hidden="false" customHeight="false" outlineLevel="1" collapsed="false">
      <c r="A867" s="56" t="s">
        <v>723</v>
      </c>
      <c r="B867" s="57" t="s">
        <v>11</v>
      </c>
      <c r="C867" s="62" t="n">
        <f aca="false">C864+C865+C866</f>
        <v>-706359.981877854</v>
      </c>
      <c r="D867" s="62" t="n">
        <f aca="false">D864+D865+D866</f>
        <v>-883534.782764476</v>
      </c>
      <c r="E867" s="62" t="n">
        <f aca="false">E864+E865+E866</f>
        <v>-904120.346665405</v>
      </c>
      <c r="F867" s="62" t="n">
        <f aca="false">F864+F865+F866</f>
        <v>-874524.690842484</v>
      </c>
      <c r="G867" s="62" t="n">
        <f aca="false">G864+G865+G866</f>
        <v>-906159.632961748</v>
      </c>
      <c r="H867" s="2" t="s">
        <v>1381</v>
      </c>
    </row>
    <row r="868" customFormat="false" ht="15" hidden="false" customHeight="false" outlineLevel="1" collapsed="false">
      <c r="A868" s="2" t="s">
        <v>725</v>
      </c>
      <c r="B868" s="8" t="s">
        <v>76</v>
      </c>
      <c r="C868" s="59" t="n">
        <f aca="false">IF(C858&gt;0,C867/C858,0)</f>
        <v>-1.90672082092397</v>
      </c>
      <c r="D868" s="59" t="n">
        <f aca="false">IF(D858&gt;0,D867/D858,0)</f>
        <v>-0.279221428813024</v>
      </c>
      <c r="E868" s="59" t="n">
        <f aca="false">IF(E858&gt;0,E867/E858,0)</f>
        <v>-0.138899909614221</v>
      </c>
      <c r="F868" s="59" t="n">
        <f aca="false">IF(F858&gt;0,F867/F858,0)</f>
        <v>-0.0779307359093698</v>
      </c>
      <c r="G868" s="59" t="n">
        <f aca="false">IF(G858&gt;0,G867/G858,0)</f>
        <v>-0.0534803074258282</v>
      </c>
      <c r="H868" s="2" t="s">
        <v>1382</v>
      </c>
    </row>
    <row r="869" customFormat="false" ht="15" hidden="false" customHeight="false" outlineLevel="1" collapsed="false">
      <c r="A869" s="2" t="s">
        <v>726</v>
      </c>
      <c r="B869" s="8" t="s">
        <v>11</v>
      </c>
      <c r="C869" s="61" t="n">
        <f aca="false">C867+C797</f>
        <v>-706359.981877854</v>
      </c>
      <c r="D869" s="61" t="n">
        <f aca="false">D867+D797</f>
        <v>-859276.555528376</v>
      </c>
      <c r="E869" s="61" t="n">
        <f aca="false">E867+E797</f>
        <v>-862112.393401908</v>
      </c>
      <c r="F869" s="61" t="n">
        <f aca="false">F867+F797</f>
        <v>-807069.146926287</v>
      </c>
      <c r="G869" s="61" t="n">
        <f aca="false">G867+G797</f>
        <v>-804382.360600749</v>
      </c>
      <c r="H869" s="2" t="s">
        <v>1383</v>
      </c>
    </row>
    <row r="870" customFormat="false" ht="15" hidden="false" customHeight="false" outlineLevel="1" collapsed="false">
      <c r="A870" s="7" t="s">
        <v>714</v>
      </c>
      <c r="B870" s="8" t="s">
        <v>11</v>
      </c>
      <c r="C870" s="61" t="n">
        <f aca="false">-C856</f>
        <v>-27100</v>
      </c>
      <c r="D870" s="61" t="n">
        <f aca="false">-D856</f>
        <v>-48200</v>
      </c>
      <c r="E870" s="61" t="n">
        <f aca="false">-E856</f>
        <v>-67133.3333333333</v>
      </c>
      <c r="F870" s="61" t="n">
        <f aca="false">-F856</f>
        <v>-63233.3333333333</v>
      </c>
      <c r="G870" s="61" t="n">
        <f aca="false">-G856</f>
        <v>-61833.3333333333</v>
      </c>
      <c r="H870" s="2" t="s">
        <v>1384</v>
      </c>
    </row>
    <row r="871" customFormat="false" ht="15" hidden="false" customHeight="false" outlineLevel="1" collapsed="false">
      <c r="A871" s="56" t="s">
        <v>727</v>
      </c>
      <c r="B871" s="57" t="s">
        <v>11</v>
      </c>
      <c r="C871" s="62" t="n">
        <f aca="false">C867+C870</f>
        <v>-733459.981877854</v>
      </c>
      <c r="D871" s="62" t="n">
        <f aca="false">D867+D870</f>
        <v>-931734.782764476</v>
      </c>
      <c r="E871" s="62" t="n">
        <f aca="false">E867+E870</f>
        <v>-971253.679998739</v>
      </c>
      <c r="F871" s="62" t="n">
        <f aca="false">F867+F870</f>
        <v>-937758.024175817</v>
      </c>
      <c r="G871" s="62" t="n">
        <f aca="false">G867+G870</f>
        <v>-967992.966295082</v>
      </c>
      <c r="H871" s="2" t="s">
        <v>1385</v>
      </c>
    </row>
    <row r="872" customFormat="false" ht="15" hidden="false" customHeight="false" outlineLevel="0" collapsed="false">
      <c r="A872" s="3" t="s">
        <v>1386</v>
      </c>
      <c r="B872" s="4"/>
      <c r="C872" s="4"/>
      <c r="D872" s="4"/>
      <c r="E872" s="4"/>
      <c r="F872" s="4"/>
      <c r="G872" s="4"/>
      <c r="H872" s="4"/>
    </row>
    <row r="873" customFormat="false" ht="15" hidden="false" customHeight="false" outlineLevel="1" collapsed="false">
      <c r="A873" s="7" t="s">
        <v>729</v>
      </c>
      <c r="B873" s="8" t="s">
        <v>11</v>
      </c>
      <c r="C873" s="61" t="n">
        <f aca="false">C871</f>
        <v>-733459.981877854</v>
      </c>
      <c r="D873" s="61" t="n">
        <f aca="false">D871</f>
        <v>-931734.782764476</v>
      </c>
      <c r="E873" s="61" t="n">
        <f aca="false">E871</f>
        <v>-971253.679998739</v>
      </c>
      <c r="F873" s="61" t="n">
        <f aca="false">F871</f>
        <v>-937758.024175817</v>
      </c>
      <c r="G873" s="61" t="n">
        <f aca="false">G871</f>
        <v>-967992.966295082</v>
      </c>
      <c r="H873" s="2" t="s">
        <v>1387</v>
      </c>
    </row>
    <row r="874" customFormat="false" ht="15" hidden="false" customHeight="false" outlineLevel="1" collapsed="false">
      <c r="A874" s="7" t="s">
        <v>730</v>
      </c>
      <c r="B874" s="8" t="s">
        <v>11</v>
      </c>
      <c r="C874" s="61" t="n">
        <f aca="false">0</f>
        <v>0</v>
      </c>
      <c r="D874" s="61" t="n">
        <f aca="false">C877</f>
        <v>733459.981877854</v>
      </c>
      <c r="E874" s="61" t="n">
        <f aca="false">D877</f>
        <v>1665194.76464233</v>
      </c>
      <c r="F874" s="61" t="n">
        <f aca="false">E877</f>
        <v>2636448.44464107</v>
      </c>
      <c r="G874" s="61" t="n">
        <f aca="false">F877</f>
        <v>3574206.46881689</v>
      </c>
      <c r="H874" s="2" t="s">
        <v>1388</v>
      </c>
    </row>
    <row r="875" customFormat="false" ht="15" hidden="false" customHeight="false" outlineLevel="1" collapsed="false">
      <c r="A875" s="7" t="s">
        <v>731</v>
      </c>
      <c r="B875" s="8" t="s">
        <v>11</v>
      </c>
      <c r="C875" s="61" t="n">
        <f aca="false">MAX(0,-C873)</f>
        <v>733459.981877854</v>
      </c>
      <c r="D875" s="61" t="n">
        <f aca="false">MAX(0,-D873)</f>
        <v>931734.782764476</v>
      </c>
      <c r="E875" s="61" t="n">
        <f aca="false">MAX(0,-E873)</f>
        <v>971253.679998739</v>
      </c>
      <c r="F875" s="61" t="n">
        <f aca="false">MAX(0,-F873)</f>
        <v>937758.024175817</v>
      </c>
      <c r="G875" s="61" t="n">
        <f aca="false">MAX(0,-G873)</f>
        <v>967992.966295082</v>
      </c>
      <c r="H875" s="2" t="s">
        <v>1389</v>
      </c>
    </row>
    <row r="876" customFormat="false" ht="15" hidden="false" customHeight="false" outlineLevel="1" collapsed="false">
      <c r="A876" s="7" t="s">
        <v>732</v>
      </c>
      <c r="B876" s="8" t="s">
        <v>11</v>
      </c>
      <c r="C876" s="61" t="n">
        <f aca="false">MIN(C874,Pressupostos!$C$181*MAX(0,C873))</f>
        <v>0</v>
      </c>
      <c r="D876" s="61" t="n">
        <f aca="false">MIN(D874,Pressupostos!$C$181*MAX(0,D873))</f>
        <v>0</v>
      </c>
      <c r="E876" s="61" t="n">
        <f aca="false">MIN(E874,Pressupostos!$C$181*MAX(0,E873))</f>
        <v>0</v>
      </c>
      <c r="F876" s="61" t="n">
        <f aca="false">MIN(F874,Pressupostos!$C$181*MAX(0,F873))</f>
        <v>0</v>
      </c>
      <c r="G876" s="61" t="n">
        <f aca="false">MIN(G874,Pressupostos!$C$181*MAX(0,G873))</f>
        <v>0</v>
      </c>
      <c r="H876" s="2" t="s">
        <v>1390</v>
      </c>
    </row>
    <row r="877" customFormat="false" ht="15" hidden="false" customHeight="false" outlineLevel="1" collapsed="false">
      <c r="A877" s="7" t="s">
        <v>733</v>
      </c>
      <c r="B877" s="8" t="s">
        <v>11</v>
      </c>
      <c r="C877" s="61" t="n">
        <f aca="false">C874+C875-C876</f>
        <v>733459.981877854</v>
      </c>
      <c r="D877" s="61" t="n">
        <f aca="false">D874+D875-D876</f>
        <v>1665194.76464233</v>
      </c>
      <c r="E877" s="61" t="n">
        <f aca="false">E874+E875-E876</f>
        <v>2636448.44464107</v>
      </c>
      <c r="F877" s="61" t="n">
        <f aca="false">F874+F875-F876</f>
        <v>3574206.46881689</v>
      </c>
      <c r="G877" s="61" t="n">
        <f aca="false">G874+G875-G876</f>
        <v>4542199.43511197</v>
      </c>
      <c r="H877" s="2" t="s">
        <v>1391</v>
      </c>
    </row>
    <row r="878" customFormat="false" ht="15" hidden="false" customHeight="false" outlineLevel="1" collapsed="false">
      <c r="A878" s="7" t="s">
        <v>734</v>
      </c>
      <c r="B878" s="8" t="s">
        <v>11</v>
      </c>
      <c r="C878" s="61" t="n">
        <f aca="false">MAX(0,C873)-C876</f>
        <v>0</v>
      </c>
      <c r="D878" s="61" t="n">
        <f aca="false">MAX(0,D873)-D876</f>
        <v>0</v>
      </c>
      <c r="E878" s="61" t="n">
        <f aca="false">MAX(0,E873)-E876</f>
        <v>0</v>
      </c>
      <c r="F878" s="61" t="n">
        <f aca="false">MAX(0,F873)-F876</f>
        <v>0</v>
      </c>
      <c r="G878" s="61" t="n">
        <f aca="false">MAX(0,G873)-G876</f>
        <v>0</v>
      </c>
      <c r="H878" s="2" t="s">
        <v>1392</v>
      </c>
    </row>
    <row r="879" customFormat="false" ht="15" hidden="false" customHeight="false" outlineLevel="1" collapsed="false">
      <c r="A879" s="7" t="s">
        <v>735</v>
      </c>
      <c r="B879" s="8" t="s">
        <v>11</v>
      </c>
      <c r="C879" s="61" t="n">
        <f aca="false">Pressupostos!$C$172*MIN(C878,Pressupostos!$C$173)+Pressupostos!$C$467*MAX(0,C878-Pressupostos!$C$173)</f>
        <v>0</v>
      </c>
      <c r="D879" s="61" t="n">
        <f aca="false">Pressupostos!$C$172*MIN(D878,Pressupostos!$C$173)+Pressupostos!$D$467*MAX(0,D878-Pressupostos!$C$173)</f>
        <v>0</v>
      </c>
      <c r="E879" s="61" t="n">
        <f aca="false">Pressupostos!$C$172*MIN(E878,Pressupostos!$C$173)+Pressupostos!$E$467*MAX(0,E878-Pressupostos!$C$173)</f>
        <v>0</v>
      </c>
      <c r="F879" s="61" t="n">
        <f aca="false">Pressupostos!$C$172*MIN(F878,Pressupostos!$C$173)+Pressupostos!$F$467*MAX(0,F878-Pressupostos!$C$173)</f>
        <v>0</v>
      </c>
      <c r="G879" s="61" t="n">
        <f aca="false">Pressupostos!$C$172*MIN(G878,Pressupostos!$C$173)+Pressupostos!$G$467*MAX(0,G878-Pressupostos!$C$173)</f>
        <v>0</v>
      </c>
      <c r="H879" s="2" t="s">
        <v>1393</v>
      </c>
    </row>
    <row r="880" customFormat="false" ht="15" hidden="false" customHeight="false" outlineLevel="1" collapsed="false">
      <c r="A880" s="7" t="s">
        <v>736</v>
      </c>
      <c r="B880" s="8" t="s">
        <v>11</v>
      </c>
      <c r="C880" s="61" t="n">
        <f aca="false">Pressupostos!$C$174*MAX(0,C873)</f>
        <v>0</v>
      </c>
      <c r="D880" s="61" t="n">
        <f aca="false">Pressupostos!$C$174*MAX(0,D873)</f>
        <v>0</v>
      </c>
      <c r="E880" s="61" t="n">
        <f aca="false">Pressupostos!$C$174*MAX(0,E873)</f>
        <v>0</v>
      </c>
      <c r="F880" s="61" t="n">
        <f aca="false">Pressupostos!$C$174*MAX(0,F873)</f>
        <v>0</v>
      </c>
      <c r="G880" s="61" t="n">
        <f aca="false">Pressupostos!$C$174*MAX(0,G873)</f>
        <v>0</v>
      </c>
      <c r="H880" s="2" t="s">
        <v>1394</v>
      </c>
    </row>
    <row r="881" customFormat="false" ht="15" hidden="false" customHeight="false" outlineLevel="1" collapsed="false">
      <c r="A881" s="7" t="s">
        <v>737</v>
      </c>
      <c r="B881" s="8" t="s">
        <v>11</v>
      </c>
      <c r="C881" s="61" t="n">
        <f aca="false">Pressupostos!$C$176*MAX(0,MIN(C873,Pressupostos!$C$177)-Pressupostos!$C$175)+Pressupostos!$C$178*MAX(0,MIN(C873,Pressupostos!$C$179)-Pressupostos!$C$177)+Pressupostos!$C$180*MAX(0,C873-Pressupostos!$C$179)</f>
        <v>0</v>
      </c>
      <c r="D881" s="61" t="n">
        <f aca="false">Pressupostos!$C$176*MAX(0,MIN(D873,Pressupostos!$C$177)-Pressupostos!$C$175)+Pressupostos!$C$178*MAX(0,MIN(D873,Pressupostos!$C$179)-Pressupostos!$C$177)+Pressupostos!$C$180*MAX(0,D873-Pressupostos!$C$179)</f>
        <v>0</v>
      </c>
      <c r="E881" s="61" t="n">
        <f aca="false">Pressupostos!$C$176*MAX(0,MIN(E873,Pressupostos!$C$177)-Pressupostos!$C$175)+Pressupostos!$C$178*MAX(0,MIN(E873,Pressupostos!$C$179)-Pressupostos!$C$177)+Pressupostos!$C$180*MAX(0,E873-Pressupostos!$C$179)</f>
        <v>0</v>
      </c>
      <c r="F881" s="61" t="n">
        <f aca="false">Pressupostos!$C$176*MAX(0,MIN(F873,Pressupostos!$C$177)-Pressupostos!$C$175)+Pressupostos!$C$178*MAX(0,MIN(F873,Pressupostos!$C$179)-Pressupostos!$C$177)+Pressupostos!$C$180*MAX(0,F873-Pressupostos!$C$179)</f>
        <v>0</v>
      </c>
      <c r="G881" s="61" t="n">
        <f aca="false">Pressupostos!$C$176*MAX(0,MIN(G873,Pressupostos!$C$177)-Pressupostos!$C$175)+Pressupostos!$C$178*MAX(0,MIN(G873,Pressupostos!$C$179)-Pressupostos!$C$177)+Pressupostos!$C$180*MAX(0,G873-Pressupostos!$C$179)</f>
        <v>0</v>
      </c>
      <c r="H881" s="2" t="s">
        <v>1395</v>
      </c>
    </row>
    <row r="882" customFormat="false" ht="15" hidden="false" customHeight="false" outlineLevel="1" collapsed="false">
      <c r="A882" s="7" t="s">
        <v>738</v>
      </c>
      <c r="B882" s="8" t="s">
        <v>11</v>
      </c>
      <c r="C882" s="61" t="n">
        <f aca="false">C879+C880+C881</f>
        <v>0</v>
      </c>
      <c r="D882" s="61" t="n">
        <f aca="false">D879+D880+D881</f>
        <v>0</v>
      </c>
      <c r="E882" s="61" t="n">
        <f aca="false">E879+E880+E881</f>
        <v>0</v>
      </c>
      <c r="F882" s="61" t="n">
        <f aca="false">F879+F880+F881</f>
        <v>0</v>
      </c>
      <c r="G882" s="61" t="n">
        <f aca="false">G879+G880+G881</f>
        <v>0</v>
      </c>
      <c r="H882" s="2" t="s">
        <v>1396</v>
      </c>
    </row>
    <row r="883" customFormat="false" ht="15" hidden="false" customHeight="false" outlineLevel="0" collapsed="false">
      <c r="A883" s="3" t="s">
        <v>1397</v>
      </c>
      <c r="B883" s="4"/>
      <c r="C883" s="4"/>
      <c r="D883" s="4"/>
      <c r="E883" s="4"/>
      <c r="F883" s="4"/>
      <c r="G883" s="4"/>
      <c r="H883" s="4"/>
    </row>
    <row r="884" customFormat="false" ht="15" hidden="false" customHeight="false" outlineLevel="1" collapsed="false">
      <c r="A884" s="7" t="s">
        <v>738</v>
      </c>
      <c r="B884" s="8" t="s">
        <v>11</v>
      </c>
      <c r="C884" s="61" t="n">
        <f aca="false">-C882</f>
        <v>-0</v>
      </c>
      <c r="D884" s="61" t="n">
        <f aca="false">-D882</f>
        <v>-0</v>
      </c>
      <c r="E884" s="61" t="n">
        <f aca="false">-E882</f>
        <v>-0</v>
      </c>
      <c r="F884" s="61" t="n">
        <f aca="false">-F882</f>
        <v>-0</v>
      </c>
      <c r="G884" s="61" t="n">
        <f aca="false">-G882</f>
        <v>-0</v>
      </c>
      <c r="H884" s="2" t="s">
        <v>1398</v>
      </c>
    </row>
    <row r="885" customFormat="false" ht="15" hidden="false" customHeight="false" outlineLevel="1" collapsed="false">
      <c r="A885" s="56" t="s">
        <v>740</v>
      </c>
      <c r="B885" s="57" t="s">
        <v>11</v>
      </c>
      <c r="C885" s="62" t="n">
        <f aca="false">C871+C884</f>
        <v>-733459.981877854</v>
      </c>
      <c r="D885" s="62" t="n">
        <f aca="false">D871+D884</f>
        <v>-931734.782764476</v>
      </c>
      <c r="E885" s="62" t="n">
        <f aca="false">E871+E884</f>
        <v>-971253.679998739</v>
      </c>
      <c r="F885" s="62" t="n">
        <f aca="false">F871+F884</f>
        <v>-937758.024175817</v>
      </c>
      <c r="G885" s="62" t="n">
        <f aca="false">G871+G884</f>
        <v>-967992.966295082</v>
      </c>
      <c r="H885" s="2" t="s">
        <v>1399</v>
      </c>
    </row>
    <row r="886" customFormat="false" ht="15" hidden="false" customHeight="false" outlineLevel="0" collapsed="false">
      <c r="A886" s="3" t="s">
        <v>1400</v>
      </c>
      <c r="B886" s="4"/>
      <c r="C886" s="4"/>
      <c r="D886" s="4"/>
      <c r="E886" s="4"/>
      <c r="F886" s="4"/>
      <c r="G886" s="4"/>
      <c r="H886" s="4"/>
    </row>
    <row r="887" customFormat="false" ht="15" hidden="false" customHeight="false" outlineLevel="1" collapsed="false">
      <c r="A887" s="7" t="s">
        <v>744</v>
      </c>
      <c r="B887" s="8" t="s">
        <v>11</v>
      </c>
      <c r="C887" s="61" t="n">
        <f aca="false">C659*1000*((C677+C680)*C683/365)+C660*1000*((C700+C703)*C706/365)+C662*1000*((C723+C726)*C729/365)</f>
        <v>39397.2602739726</v>
      </c>
      <c r="D887" s="61" t="n">
        <f aca="false">D659*1000*((D677+D680)*D683/365)+D660*1000*((D700+D703)*D706/365)+D662*1000*((D723+D726)*D729/365)</f>
        <v>223775.342465753</v>
      </c>
      <c r="E887" s="61" t="n">
        <f aca="false">E659*1000*((E677+E680)*E683/365)+E660*1000*((E700+E703)*E706/365)+E662*1000*((E723+E726)*E729/365)</f>
        <v>403623.287671233</v>
      </c>
      <c r="F887" s="61" t="n">
        <f aca="false">F659*1000*((F677+F680)*F683/365)+F660*1000*((F700+F703)*F706/365)+F662*1000*((F723+F726)*F729/365)</f>
        <v>697657.534246575</v>
      </c>
      <c r="G887" s="61" t="n">
        <f aca="false">G659*1000*((G677+G680)*G683/365)+G660*1000*((G700+G703)*G706/365)+G662*1000*((G723+G726)*G729/365)</f>
        <v>1046486.30136986</v>
      </c>
      <c r="H887" s="2" t="s">
        <v>1401</v>
      </c>
    </row>
    <row r="888" customFormat="false" ht="15" hidden="false" customHeight="false" outlineLevel="1" collapsed="false">
      <c r="A888" s="7" t="s">
        <v>745</v>
      </c>
      <c r="B888" s="8" t="s">
        <v>11</v>
      </c>
      <c r="C888" s="61" t="n">
        <f aca="false">C887+C672*1000*Pressupostos!$C$92*Pressupostos!$C$95/365</f>
        <v>39397.2602739726</v>
      </c>
      <c r="D888" s="61" t="n">
        <f aca="false">D887+D672*1000*Pressupostos!$C$92*Pressupostos!$C$95/365</f>
        <v>241035.616438356</v>
      </c>
      <c r="E888" s="61" t="n">
        <f aca="false">E887+E672*1000*Pressupostos!$C$92*Pressupostos!$C$95/365</f>
        <v>446773.97260274</v>
      </c>
      <c r="F888" s="61" t="n">
        <f aca="false">F887+F672*1000*Pressupostos!$C$92*Pressupostos!$C$95/365</f>
        <v>783958.904109589</v>
      </c>
      <c r="G888" s="61" t="n">
        <f aca="false">G887+G672*1000*Pressupostos!$C$92*Pressupostos!$C$95/365</f>
        <v>1184568.49315069</v>
      </c>
      <c r="H888" s="2" t="s">
        <v>1402</v>
      </c>
    </row>
    <row r="889" customFormat="false" ht="15" hidden="false" customHeight="false" outlineLevel="1" collapsed="false">
      <c r="A889" s="7" t="s">
        <v>746</v>
      </c>
      <c r="B889" s="8" t="s">
        <v>11</v>
      </c>
      <c r="C889" s="61" t="n">
        <f aca="false">C659*1000*(C679*C684/365)+C660*1000*(C702*C707/365)+C662*1000*(C725*C730/365)+C754*Pressupostos!$C$96/365+(C756+C757)*Pressupostos!$C$82/365</f>
        <v>39078.7397260274</v>
      </c>
      <c r="D889" s="61" t="n">
        <f aca="false">D659*1000*(D679*D684/365)+D660*1000*(D702*D707/365)+D662*1000*(D725*D730/365)+D754*Pressupostos!$C$96/365+(D756+D757)*Pressupostos!$C$82/365</f>
        <v>330927.123287671</v>
      </c>
      <c r="E889" s="61" t="n">
        <f aca="false">E659*1000*(E679*E684/365)+E660*1000*(E702*E707/365)+E662*1000*(E725*E730/365)+E754*Pressupostos!$C$96/365+(E756+E757)*Pressupostos!$C$82/365</f>
        <v>664245.205479452</v>
      </c>
      <c r="F889" s="61" t="n">
        <f aca="false">F659*1000*(F679*F684/365)+F660*1000*(F702*F707/365)+F662*1000*(F725*F730/365)+F754*Pressupostos!$C$96/365+(F756+F757)*Pressupostos!$C$82/365</f>
        <v>1130697.53424658</v>
      </c>
      <c r="G889" s="61" t="n">
        <f aca="false">G659*1000*(G679*G684/365)+G660*1000*(G702*G707/365)+G662*1000*(G725*G730/365)+G754*Pressupostos!$C$96/365+(G756+G757)*Pressupostos!$C$82/365</f>
        <v>1702298.63013699</v>
      </c>
      <c r="H889" s="2" t="s">
        <v>1403</v>
      </c>
    </row>
    <row r="890" customFormat="false" ht="15" hidden="false" customHeight="false" outlineLevel="1" collapsed="false">
      <c r="A890" s="7" t="s">
        <v>747</v>
      </c>
      <c r="B890" s="8" t="s">
        <v>11</v>
      </c>
      <c r="C890" s="61" t="n">
        <f aca="false">C659*1000*((C677+C680)*Pressupostos!$C$72/365)+C660*1000*((C700+C703)*Pressupostos!$C$72/365)+C662*1000*((C723+C726)*Pressupostos!$C$72/365)+C672*1000*Pressupostos!$C$92*Pressupostos!$C$97/365</f>
        <v>26383.5616438356</v>
      </c>
      <c r="D890" s="61" t="n">
        <f aca="false">D659*1000*((D677+D680)*Pressupostos!$C$72/365)+D660*1000*((D700+D703)*Pressupostos!$C$72/365)+D662*1000*((D723+D726)*Pressupostos!$C$72/365)+D672*1000*Pressupostos!$C$92*Pressupostos!$C$97/365</f>
        <v>225715.068493151</v>
      </c>
      <c r="E890" s="61" t="n">
        <f aca="false">E659*1000*((E677+E680)*Pressupostos!$C$72/365)+E660*1000*((E700+E703)*Pressupostos!$C$72/365)+E662*1000*((E723+E726)*Pressupostos!$C$72/365)+E672*1000*Pressupostos!$C$92*Pressupostos!$C$97/365</f>
        <v>457849.315068493</v>
      </c>
      <c r="F890" s="61" t="n">
        <f aca="false">F659*1000*((F677+F680)*Pressupostos!$C$72/365)+F660*1000*((F700+F703)*Pressupostos!$C$72/365)+F662*1000*((F723+F726)*Pressupostos!$C$72/365)+F672*1000*Pressupostos!$C$92*Pressupostos!$C$97/365</f>
        <v>784191.780821918</v>
      </c>
      <c r="G890" s="61" t="n">
        <f aca="false">G659*1000*((G677+G680)*Pressupostos!$C$72/365)+G660*1000*((G700+G703)*Pressupostos!$C$72/365)+G662*1000*((G723+G726)*Pressupostos!$C$72/365)+G672*1000*Pressupostos!$C$92*Pressupostos!$C$97/365</f>
        <v>1182041.09589041</v>
      </c>
      <c r="H890" s="2" t="s">
        <v>1404</v>
      </c>
    </row>
    <row r="891" customFormat="false" ht="15" hidden="false" customHeight="false" outlineLevel="1" collapsed="false">
      <c r="A891" s="56" t="s">
        <v>748</v>
      </c>
      <c r="B891" s="57" t="s">
        <v>11</v>
      </c>
      <c r="C891" s="62" t="n">
        <f aca="false">C888+C889-C890</f>
        <v>52092.4383561644</v>
      </c>
      <c r="D891" s="62" t="n">
        <f aca="false">D888+D889-D890</f>
        <v>346247.671232877</v>
      </c>
      <c r="E891" s="62" t="n">
        <f aca="false">E888+E889-E890</f>
        <v>653169.863013699</v>
      </c>
      <c r="F891" s="62" t="n">
        <f aca="false">F888+F889-F890</f>
        <v>1130464.65753425</v>
      </c>
      <c r="G891" s="62" t="n">
        <f aca="false">G888+G889-G890</f>
        <v>1704826.02739726</v>
      </c>
      <c r="H891" s="2" t="s">
        <v>1405</v>
      </c>
    </row>
    <row r="892" customFormat="false" ht="15" hidden="false" customHeight="false" outlineLevel="0" collapsed="false">
      <c r="A892" s="3" t="s">
        <v>1406</v>
      </c>
      <c r="B892" s="4"/>
      <c r="C892" s="4"/>
      <c r="D892" s="4"/>
      <c r="E892" s="4"/>
      <c r="F892" s="4"/>
      <c r="G892" s="4"/>
      <c r="H892" s="4"/>
    </row>
    <row r="893" customFormat="false" ht="15" hidden="false" customHeight="false" outlineLevel="1" collapsed="false">
      <c r="A893" s="56" t="s">
        <v>750</v>
      </c>
      <c r="B893" s="57" t="s">
        <v>11</v>
      </c>
      <c r="C893" s="62" t="n">
        <f aca="false">Pressupostos!$C$283*C891/Pressupostos!$E$31</f>
        <v>0</v>
      </c>
      <c r="D893" s="62" t="n">
        <f aca="false">Pressupostos!$D$283*D891/Pressupostos!$E$31</f>
        <v>366615.181305399</v>
      </c>
      <c r="E893" s="62" t="n">
        <f aca="false">Pressupostos!$E$283*E891/Pressupostos!$E$31</f>
        <v>691591.619661563</v>
      </c>
      <c r="F893" s="62" t="n">
        <f aca="false">Pressupostos!$F$283*F891/Pressupostos!$E$31</f>
        <v>1196962.57856567</v>
      </c>
      <c r="G893" s="62" t="n">
        <f aca="false">Pressupostos!$G$283*G891/Pressupostos!$E$31</f>
        <v>1805109.91136181</v>
      </c>
      <c r="H893" s="2" t="s">
        <v>1407</v>
      </c>
    </row>
    <row r="894" customFormat="false" ht="15" hidden="false" customHeight="false" outlineLevel="1" collapsed="false">
      <c r="A894" s="7" t="s">
        <v>751</v>
      </c>
      <c r="B894" s="8" t="s">
        <v>11</v>
      </c>
      <c r="C894" s="61" t="n">
        <f aca="false">Pressupostos!$C$283*C891</f>
        <v>0</v>
      </c>
      <c r="D894" s="61" t="n">
        <f aca="false">Pressupostos!$D$283*D891</f>
        <v>311622.904109589</v>
      </c>
      <c r="E894" s="61" t="n">
        <f aca="false">Pressupostos!$E$283*E891</f>
        <v>587852.876712329</v>
      </c>
      <c r="F894" s="61" t="n">
        <f aca="false">Pressupostos!$F$283*F891</f>
        <v>1017418.19178082</v>
      </c>
      <c r="G894" s="61" t="n">
        <f aca="false">Pressupostos!$G$283*G891</f>
        <v>1534343.42465753</v>
      </c>
      <c r="H894" s="2" t="s">
        <v>1408</v>
      </c>
    </row>
    <row r="895" customFormat="false" ht="15" hidden="false" customHeight="false" outlineLevel="1" collapsed="false">
      <c r="A895" s="7" t="s">
        <v>752</v>
      </c>
      <c r="B895" s="8" t="s">
        <v>11</v>
      </c>
      <c r="C895" s="61" t="n">
        <f aca="false">C893-C894</f>
        <v>0</v>
      </c>
      <c r="D895" s="61" t="n">
        <f aca="false">D893-D894</f>
        <v>54992.2771958098</v>
      </c>
      <c r="E895" s="61" t="n">
        <f aca="false">E893-E894</f>
        <v>103738.742949235</v>
      </c>
      <c r="F895" s="61" t="n">
        <f aca="false">F893-F894</f>
        <v>179544.386784851</v>
      </c>
      <c r="G895" s="61" t="n">
        <f aca="false">G893-G894</f>
        <v>270766.486704271</v>
      </c>
      <c r="H895" s="2" t="s">
        <v>1409</v>
      </c>
    </row>
    <row r="896" customFormat="false" ht="15" hidden="false" customHeight="false" outlineLevel="1" collapsed="false">
      <c r="A896" s="7" t="s">
        <v>753</v>
      </c>
      <c r="B896" s="8" t="s">
        <v>11</v>
      </c>
      <c r="C896" s="61" t="n">
        <f aca="false">C891-C894</f>
        <v>52092.4383561644</v>
      </c>
      <c r="D896" s="61" t="n">
        <f aca="false">D891-D894</f>
        <v>34624.7671232877</v>
      </c>
      <c r="E896" s="61" t="n">
        <f aca="false">E891-E894</f>
        <v>65316.9863013699</v>
      </c>
      <c r="F896" s="61" t="n">
        <f aca="false">F891-F894</f>
        <v>113046.465753425</v>
      </c>
      <c r="G896" s="61" t="n">
        <f aca="false">G891-G894</f>
        <v>170482.602739726</v>
      </c>
      <c r="H896" s="2" t="s">
        <v>1410</v>
      </c>
    </row>
    <row r="897" customFormat="false" ht="15" hidden="false" customHeight="false" outlineLevel="1" collapsed="false">
      <c r="A897" s="7" t="s">
        <v>754</v>
      </c>
      <c r="B897" s="8" t="s">
        <v>11</v>
      </c>
      <c r="C897" s="61" t="n">
        <f aca="false">MAX(0,Pressupostos!$C$108-C896)</f>
        <v>0</v>
      </c>
      <c r="D897" s="61" t="n">
        <f aca="false">MAX(0,Pressupostos!$C$108-D896)</f>
        <v>15375.2328767123</v>
      </c>
      <c r="E897" s="61" t="n">
        <f aca="false">MAX(0,Pressupostos!$C$108-E896)</f>
        <v>0</v>
      </c>
      <c r="F897" s="61" t="n">
        <f aca="false">MAX(0,Pressupostos!$C$108-F896)</f>
        <v>0</v>
      </c>
      <c r="G897" s="61" t="n">
        <f aca="false">MAX(0,Pressupostos!$C$108-G896)</f>
        <v>0</v>
      </c>
      <c r="H897" s="2" t="s">
        <v>1411</v>
      </c>
    </row>
    <row r="898" customFormat="false" ht="15" hidden="false" customHeight="false" outlineLevel="1" collapsed="false">
      <c r="A898" s="7" t="s">
        <v>755</v>
      </c>
      <c r="B898" s="8" t="s">
        <v>11</v>
      </c>
      <c r="C898" s="61" t="n">
        <f aca="false">Pressupostos!$C$109*C893</f>
        <v>0</v>
      </c>
      <c r="D898" s="61" t="n">
        <f aca="false">Pressupostos!$C$109*D893</f>
        <v>18330.7590652699</v>
      </c>
      <c r="E898" s="61" t="n">
        <f aca="false">Pressupostos!$C$109*E893</f>
        <v>34579.5809830782</v>
      </c>
      <c r="F898" s="61" t="n">
        <f aca="false">Pressupostos!$C$109*F893</f>
        <v>59848.1289282837</v>
      </c>
      <c r="G898" s="61" t="n">
        <f aca="false">Pressupostos!$C$109*G893</f>
        <v>90255.4955680903</v>
      </c>
      <c r="H898" s="2" t="s">
        <v>1412</v>
      </c>
    </row>
    <row r="899" customFormat="false" ht="15" hidden="false" customHeight="false" outlineLevel="1" collapsed="false">
      <c r="A899" s="2" t="s">
        <v>756</v>
      </c>
      <c r="B899" s="8" t="s">
        <v>123</v>
      </c>
      <c r="C899" s="61" t="n">
        <f aca="false">C893/Pressupostos!$C$112</f>
        <v>0</v>
      </c>
      <c r="D899" s="61" t="n">
        <f aca="false">D893/Pressupostos!$C$112</f>
        <v>7.33230362610798</v>
      </c>
      <c r="E899" s="61" t="n">
        <f aca="false">E893/Pressupostos!$C$112</f>
        <v>13.8318323932313</v>
      </c>
      <c r="F899" s="61" t="n">
        <f aca="false">F893/Pressupostos!$C$112</f>
        <v>23.9392515713135</v>
      </c>
      <c r="G899" s="61" t="n">
        <f aca="false">G893/Pressupostos!$C$112</f>
        <v>36.1021982272361</v>
      </c>
      <c r="H899" s="2" t="s">
        <v>1413</v>
      </c>
    </row>
    <row r="900" customFormat="false" ht="15" hidden="false" customHeight="false" outlineLevel="0" collapsed="false">
      <c r="A900" s="3" t="s">
        <v>1414</v>
      </c>
      <c r="B900" s="4"/>
      <c r="C900" s="4"/>
      <c r="D900" s="4"/>
      <c r="E900" s="4"/>
      <c r="F900" s="4"/>
      <c r="G900" s="4"/>
      <c r="H900" s="4"/>
    </row>
    <row r="901" customFormat="false" ht="15" hidden="false" customHeight="false" outlineLevel="1" collapsed="false">
      <c r="A901" s="7" t="s">
        <v>758</v>
      </c>
      <c r="B901" s="8" t="s">
        <v>11</v>
      </c>
      <c r="C901" s="61" t="n">
        <f aca="false">C867</f>
        <v>-706359.981877854</v>
      </c>
      <c r="D901" s="61" t="n">
        <f aca="false">D867</f>
        <v>-883534.782764476</v>
      </c>
      <c r="E901" s="61" t="n">
        <f aca="false">E867</f>
        <v>-904120.346665405</v>
      </c>
      <c r="F901" s="61" t="n">
        <f aca="false">F867</f>
        <v>-874524.690842484</v>
      </c>
      <c r="G901" s="61" t="n">
        <f aca="false">G867</f>
        <v>-906159.632961748</v>
      </c>
      <c r="H901" s="2" t="s">
        <v>1415</v>
      </c>
    </row>
    <row r="902" customFormat="false" ht="15" hidden="false" customHeight="false" outlineLevel="1" collapsed="false">
      <c r="A902" s="7" t="s">
        <v>759</v>
      </c>
      <c r="B902" s="8" t="s">
        <v>11</v>
      </c>
      <c r="C902" s="61" t="n">
        <f aca="false">-C882</f>
        <v>-0</v>
      </c>
      <c r="D902" s="61" t="n">
        <f aca="false">-D882</f>
        <v>-0</v>
      </c>
      <c r="E902" s="61" t="n">
        <f aca="false">-E882</f>
        <v>-0</v>
      </c>
      <c r="F902" s="61" t="n">
        <f aca="false">-F882</f>
        <v>-0</v>
      </c>
      <c r="G902" s="61" t="n">
        <f aca="false">-G882</f>
        <v>-0</v>
      </c>
      <c r="H902" s="2" t="s">
        <v>1416</v>
      </c>
    </row>
    <row r="903" customFormat="false" ht="15" hidden="false" customHeight="false" outlineLevel="1" collapsed="false">
      <c r="A903" s="7" t="s">
        <v>760</v>
      </c>
      <c r="B903" s="8" t="s">
        <v>11</v>
      </c>
      <c r="C903" s="61" t="n">
        <f aca="false">-C891</f>
        <v>-52092.4383561644</v>
      </c>
      <c r="D903" s="61" t="n">
        <f aca="false">-(D891-C891)</f>
        <v>-294155.232876712</v>
      </c>
      <c r="E903" s="61" t="n">
        <f aca="false">-(E891-D891)</f>
        <v>-306922.191780822</v>
      </c>
      <c r="F903" s="61" t="n">
        <f aca="false">-(F891-E891)</f>
        <v>-477294.794520548</v>
      </c>
      <c r="G903" s="61" t="n">
        <f aca="false">-(G891-F891)</f>
        <v>-574361.369863014</v>
      </c>
      <c r="H903" s="2" t="s">
        <v>1417</v>
      </c>
    </row>
    <row r="904" customFormat="false" ht="15" hidden="false" customHeight="false" outlineLevel="1" collapsed="false">
      <c r="A904" s="7" t="s">
        <v>424</v>
      </c>
      <c r="B904" s="8" t="s">
        <v>11</v>
      </c>
      <c r="C904" s="61" t="n">
        <f aca="false">-C851</f>
        <v>-92000</v>
      </c>
      <c r="D904" s="61" t="n">
        <f aca="false">-D851</f>
        <v>-73000</v>
      </c>
      <c r="E904" s="61" t="n">
        <f aca="false">-E851</f>
        <v>-66000</v>
      </c>
      <c r="F904" s="61" t="n">
        <f aca="false">-F851</f>
        <v>-58000</v>
      </c>
      <c r="G904" s="61" t="n">
        <f aca="false">-G851</f>
        <v>-62000</v>
      </c>
      <c r="H904" s="2" t="s">
        <v>1418</v>
      </c>
    </row>
    <row r="905" customFormat="false" ht="15" hidden="false" customHeight="false" outlineLevel="1" collapsed="false">
      <c r="A905" s="7" t="s">
        <v>761</v>
      </c>
      <c r="B905" s="8" t="s">
        <v>11</v>
      </c>
      <c r="C905" s="61" t="n">
        <f aca="false">C901+C902+C903+C904</f>
        <v>-850452.420234018</v>
      </c>
      <c r="D905" s="61" t="n">
        <f aca="false">D901+D902+D903+D904</f>
        <v>-1250690.01564119</v>
      </c>
      <c r="E905" s="61" t="n">
        <f aca="false">E901+E902+E903+E904</f>
        <v>-1277042.53844623</v>
      </c>
      <c r="F905" s="61" t="n">
        <f aca="false">F901+F902+F903+F904</f>
        <v>-1409819.48536303</v>
      </c>
      <c r="G905" s="61" t="n">
        <f aca="false">G901+G902+G903+G904</f>
        <v>-1542521.00282476</v>
      </c>
      <c r="H905" s="2" t="s">
        <v>1419</v>
      </c>
    </row>
    <row r="906" customFormat="false" ht="15" hidden="false" customHeight="false" outlineLevel="1" collapsed="false">
      <c r="A906" s="7" t="s">
        <v>762</v>
      </c>
      <c r="B906" s="8" t="s">
        <v>11</v>
      </c>
      <c r="C906" s="61" t="n">
        <f aca="false">C893</f>
        <v>0</v>
      </c>
      <c r="D906" s="61" t="n">
        <f aca="false">D893-C893</f>
        <v>366615.181305399</v>
      </c>
      <c r="E906" s="61" t="n">
        <f aca="false">E893-D893</f>
        <v>324976.438356165</v>
      </c>
      <c r="F906" s="61" t="n">
        <f aca="false">F893-E893</f>
        <v>505370.95890411</v>
      </c>
      <c r="G906" s="61" t="n">
        <f aca="false">G893-F893</f>
        <v>608147.332796132</v>
      </c>
      <c r="H906" s="2" t="s">
        <v>1420</v>
      </c>
    </row>
    <row r="907" customFormat="false" ht="15" hidden="false" customHeight="false" outlineLevel="1" collapsed="false">
      <c r="A907" s="7" t="s">
        <v>763</v>
      </c>
      <c r="B907" s="8" t="s">
        <v>11</v>
      </c>
      <c r="C907" s="61" t="n">
        <f aca="false">-C895</f>
        <v>-0</v>
      </c>
      <c r="D907" s="61" t="n">
        <f aca="false">-(D895-C895)</f>
        <v>-54992.2771958098</v>
      </c>
      <c r="E907" s="61" t="n">
        <f aca="false">-(E895-D895)</f>
        <v>-48746.4657534247</v>
      </c>
      <c r="F907" s="61" t="n">
        <f aca="false">-(F895-E895)</f>
        <v>-75805.6438356165</v>
      </c>
      <c r="G907" s="61" t="n">
        <f aca="false">-(G895-F895)</f>
        <v>-91222.0999194197</v>
      </c>
      <c r="H907" s="2" t="s">
        <v>1421</v>
      </c>
    </row>
    <row r="908" customFormat="false" ht="15" hidden="false" customHeight="false" outlineLevel="1" collapsed="false">
      <c r="A908" s="7" t="s">
        <v>764</v>
      </c>
      <c r="B908" s="8" t="s">
        <v>11</v>
      </c>
      <c r="C908" s="61" t="n">
        <f aca="false">-C898</f>
        <v>-0</v>
      </c>
      <c r="D908" s="61" t="n">
        <f aca="false">-(D898-C898)</f>
        <v>-18330.7590652699</v>
      </c>
      <c r="E908" s="61" t="n">
        <f aca="false">-(E898-D898)</f>
        <v>-16248.8219178082</v>
      </c>
      <c r="F908" s="61" t="n">
        <f aca="false">-(F898-E898)</f>
        <v>-25268.5479452055</v>
      </c>
      <c r="G908" s="61" t="n">
        <f aca="false">-(G898-F898)</f>
        <v>-30407.3666398066</v>
      </c>
      <c r="H908" s="2" t="s">
        <v>1422</v>
      </c>
    </row>
    <row r="909" customFormat="false" ht="15" hidden="false" customHeight="false" outlineLevel="1" collapsed="false">
      <c r="A909" s="7" t="s">
        <v>765</v>
      </c>
      <c r="B909" s="8" t="s">
        <v>11</v>
      </c>
      <c r="C909" s="61" t="n">
        <f aca="false">-(C897-Pressupostos!$C$108)</f>
        <v>50000</v>
      </c>
      <c r="D909" s="61" t="n">
        <f aca="false">-(D897-C897)</f>
        <v>-15375.2328767123</v>
      </c>
      <c r="E909" s="61" t="n">
        <f aca="false">-(E897-D897)</f>
        <v>15375.2328767123</v>
      </c>
      <c r="F909" s="61" t="n">
        <f aca="false">-(F897-E897)</f>
        <v>-0</v>
      </c>
      <c r="G909" s="61" t="n">
        <f aca="false">-(G897-F897)</f>
        <v>-0</v>
      </c>
      <c r="H909" s="2" t="s">
        <v>1423</v>
      </c>
    </row>
    <row r="910" customFormat="false" ht="15" hidden="false" customHeight="false" outlineLevel="1" collapsed="false">
      <c r="A910" s="56" t="s">
        <v>766</v>
      </c>
      <c r="B910" s="57" t="s">
        <v>11</v>
      </c>
      <c r="C910" s="62" t="n">
        <f aca="false">C905+C906+C907+C908+C909</f>
        <v>-800452.420234018</v>
      </c>
      <c r="D910" s="62" t="n">
        <f aca="false">D905+D906+D907+D908+D909</f>
        <v>-972773.103473581</v>
      </c>
      <c r="E910" s="62" t="n">
        <f aca="false">E905+E906+E907+E908+E909</f>
        <v>-1001686.15488458</v>
      </c>
      <c r="F910" s="62" t="n">
        <f aca="false">F905+F906+F907+F908+F909</f>
        <v>-1005522.71823974</v>
      </c>
      <c r="G910" s="62" t="n">
        <f aca="false">G905+G906+G907+G908+G909</f>
        <v>-1056003.13658786</v>
      </c>
      <c r="H910" s="2" t="s">
        <v>1424</v>
      </c>
    </row>
    <row r="911" customFormat="false" ht="15" hidden="false" customHeight="false" outlineLevel="1" collapsed="false">
      <c r="A911" s="56" t="s">
        <v>767</v>
      </c>
      <c r="B911" s="57" t="s">
        <v>11</v>
      </c>
      <c r="C911" s="62" t="n">
        <f aca="false">C910</f>
        <v>-800452.420234018</v>
      </c>
      <c r="D911" s="62" t="n">
        <f aca="false">C911+D910</f>
        <v>-1773225.5237076</v>
      </c>
      <c r="E911" s="62" t="n">
        <f aca="false">D911+E910</f>
        <v>-2774911.67859218</v>
      </c>
      <c r="F911" s="62" t="n">
        <f aca="false">E911+F910</f>
        <v>-3780434.39683193</v>
      </c>
      <c r="G911" s="62" t="n">
        <f aca="false">F911+G910</f>
        <v>-4836437.53341978</v>
      </c>
      <c r="H911" s="2" t="s">
        <v>1425</v>
      </c>
    </row>
    <row r="912" customFormat="false" ht="15" hidden="false" customHeight="false" outlineLevel="1" collapsed="false">
      <c r="A912" s="8" t="s">
        <v>768</v>
      </c>
      <c r="B912" s="8" t="s">
        <v>11</v>
      </c>
      <c r="C912" s="70" t="n">
        <f aca="false">ROUND(C867-C851-C882-(MAX(C896,Pressupostos!$C$108)-Pressupostos!$C$108)-(C898)-C910,6)</f>
        <v>0</v>
      </c>
      <c r="D912" s="70" t="n">
        <f aca="false">ROUND(D867-D851-D882-(MAX(D896,Pressupostos!$C$108)-MAX(C896,Pressupostos!$C$108))-(D898-C898)-D910,6)</f>
        <v>0</v>
      </c>
      <c r="E912" s="70" t="n">
        <f aca="false">ROUND(E867-E851-E882-(MAX(E896,Pressupostos!$C$108)-MAX(D896,Pressupostos!$C$108))-(E898-D898)-E910,6)</f>
        <v>0</v>
      </c>
      <c r="F912" s="70" t="n">
        <f aca="false">ROUND(F867-F851-F882-(MAX(F896,Pressupostos!$C$108)-MAX(E896,Pressupostos!$C$108))-(F898-E898)-F910,6)</f>
        <v>0</v>
      </c>
      <c r="G912" s="70" t="n">
        <f aca="false">ROUND(G867-G851-G882-(MAX(G896,Pressupostos!$C$108)-MAX(F896,Pressupostos!$C$108))-(G898-F898)-G910,6)</f>
        <v>0</v>
      </c>
      <c r="H912" s="2" t="s">
        <v>1426</v>
      </c>
    </row>
    <row r="913" customFormat="false" ht="15" hidden="false" customHeight="false" outlineLevel="0" collapsed="false">
      <c r="A913" s="3" t="s">
        <v>1427</v>
      </c>
      <c r="B913" s="4"/>
      <c r="C913" s="4"/>
      <c r="D913" s="4"/>
      <c r="E913" s="4"/>
      <c r="F913" s="4"/>
      <c r="G913" s="4"/>
      <c r="H913" s="4"/>
    </row>
    <row r="914" customFormat="false" ht="15" hidden="false" customHeight="false" outlineLevel="1" collapsed="false">
      <c r="A914" s="7" t="s">
        <v>770</v>
      </c>
      <c r="B914" s="8" t="s">
        <v>11</v>
      </c>
      <c r="C914" s="61" t="n">
        <f aca="false">0</f>
        <v>0</v>
      </c>
      <c r="D914" s="61" t="n">
        <f aca="false">C919</f>
        <v>154547.579765982</v>
      </c>
      <c r="E914" s="61" t="n">
        <f aca="false">D919</f>
        <v>150000</v>
      </c>
      <c r="F914" s="61" t="n">
        <f aca="false">E919</f>
        <v>150000</v>
      </c>
      <c r="G914" s="61" t="n">
        <f aca="false">F919</f>
        <v>150000</v>
      </c>
      <c r="H914" s="2" t="s">
        <v>1428</v>
      </c>
    </row>
    <row r="915" customFormat="false" ht="15" hidden="false" customHeight="false" outlineLevel="1" collapsed="false">
      <c r="A915" s="7" t="s">
        <v>771</v>
      </c>
      <c r="B915" s="8" t="s">
        <v>11</v>
      </c>
      <c r="C915" s="61" t="n">
        <f aca="false">-(Pressupostos!$C$159+Pressupostos!$C$160+Pressupostos!$C$161+Pressupostos!$C$162+Pressupostos!$C$163+Pressupostos!$C$108)</f>
        <v>-145000</v>
      </c>
      <c r="D915" s="61" t="n">
        <f aca="false">0</f>
        <v>0</v>
      </c>
      <c r="E915" s="61" t="n">
        <f aca="false">0</f>
        <v>0</v>
      </c>
      <c r="F915" s="61" t="n">
        <f aca="false">0</f>
        <v>0</v>
      </c>
      <c r="G915" s="61" t="n">
        <f aca="false">0</f>
        <v>0</v>
      </c>
      <c r="H915" s="2" t="s">
        <v>1429</v>
      </c>
    </row>
    <row r="916" customFormat="false" ht="15" hidden="false" customHeight="false" outlineLevel="1" collapsed="false">
      <c r="A916" s="7" t="s">
        <v>772</v>
      </c>
      <c r="B916" s="8" t="s">
        <v>11</v>
      </c>
      <c r="C916" s="53" t="n">
        <f aca="false">Pressupostos!$E$32</f>
        <v>1100000</v>
      </c>
      <c r="D916" s="61" t="n">
        <f aca="false">0</f>
        <v>0</v>
      </c>
      <c r="E916" s="61" t="n">
        <f aca="false">0</f>
        <v>0</v>
      </c>
      <c r="F916" s="61" t="n">
        <f aca="false">0</f>
        <v>0</v>
      </c>
      <c r="G916" s="61" t="n">
        <f aca="false">0</f>
        <v>0</v>
      </c>
      <c r="H916" s="2" t="s">
        <v>1430</v>
      </c>
    </row>
    <row r="917" customFormat="false" ht="15" hidden="false" customHeight="false" outlineLevel="1" collapsed="false">
      <c r="A917" s="7" t="s">
        <v>773</v>
      </c>
      <c r="B917" s="8" t="s">
        <v>11</v>
      </c>
      <c r="C917" s="61" t="n">
        <f aca="false">C914+C915+C916+C910</f>
        <v>154547.579765982</v>
      </c>
      <c r="D917" s="61" t="n">
        <f aca="false">D914+D915+D916+D910</f>
        <v>-818225.523707599</v>
      </c>
      <c r="E917" s="61" t="n">
        <f aca="false">E914+E915+E916+E910</f>
        <v>-851686.154884583</v>
      </c>
      <c r="F917" s="61" t="n">
        <f aca="false">F914+F915+F916+F910</f>
        <v>-855522.718239744</v>
      </c>
      <c r="G917" s="61" t="n">
        <f aca="false">G914+G915+G916+G910</f>
        <v>-906003.136587856</v>
      </c>
      <c r="H917" s="2" t="s">
        <v>1431</v>
      </c>
    </row>
    <row r="918" customFormat="false" ht="15" hidden="false" customHeight="false" outlineLevel="1" collapsed="false">
      <c r="A918" s="56" t="s">
        <v>774</v>
      </c>
      <c r="B918" s="57" t="s">
        <v>11</v>
      </c>
      <c r="C918" s="62" t="n">
        <f aca="false">MAX(0,Pressupostos!$C$170-C917)</f>
        <v>0</v>
      </c>
      <c r="D918" s="62" t="n">
        <f aca="false">MAX(0,Pressupostos!$C$170-D917)</f>
        <v>968225.523707599</v>
      </c>
      <c r="E918" s="62" t="n">
        <f aca="false">MAX(0,Pressupostos!$C$170-E917)</f>
        <v>1001686.15488458</v>
      </c>
      <c r="F918" s="62" t="n">
        <f aca="false">MAX(0,Pressupostos!$C$170-F917)</f>
        <v>1005522.71823974</v>
      </c>
      <c r="G918" s="62" t="n">
        <f aca="false">MAX(0,Pressupostos!$C$170-G917)</f>
        <v>1056003.13658786</v>
      </c>
      <c r="H918" s="2" t="s">
        <v>1432</v>
      </c>
    </row>
    <row r="919" customFormat="false" ht="15" hidden="false" customHeight="false" outlineLevel="1" collapsed="false">
      <c r="A919" s="56" t="s">
        <v>775</v>
      </c>
      <c r="B919" s="57" t="s">
        <v>11</v>
      </c>
      <c r="C919" s="62" t="n">
        <f aca="false">C917+C918</f>
        <v>154547.579765982</v>
      </c>
      <c r="D919" s="62" t="n">
        <f aca="false">D917+D918</f>
        <v>150000</v>
      </c>
      <c r="E919" s="62" t="n">
        <f aca="false">E917+E918</f>
        <v>150000</v>
      </c>
      <c r="F919" s="62" t="n">
        <f aca="false">F917+F918</f>
        <v>150000</v>
      </c>
      <c r="G919" s="62" t="n">
        <f aca="false">G917+G918</f>
        <v>150000</v>
      </c>
      <c r="H919" s="2" t="s">
        <v>1433</v>
      </c>
    </row>
    <row r="920" customFormat="false" ht="15" hidden="false" customHeight="false" outlineLevel="1" collapsed="false">
      <c r="A920" s="7" t="s">
        <v>776</v>
      </c>
      <c r="B920" s="8" t="s">
        <v>11</v>
      </c>
      <c r="C920" s="61" t="n">
        <f aca="false">C895+C898+C897</f>
        <v>0</v>
      </c>
      <c r="D920" s="61" t="n">
        <f aca="false">D895+D898+D897</f>
        <v>88698.2691377921</v>
      </c>
      <c r="E920" s="61" t="n">
        <f aca="false">E895+E898+E897</f>
        <v>138318.323932313</v>
      </c>
      <c r="F920" s="61" t="n">
        <f aca="false">F895+F898+F897</f>
        <v>239392.515713135</v>
      </c>
      <c r="G920" s="61" t="n">
        <f aca="false">G895+G898+G897</f>
        <v>361021.982272361</v>
      </c>
      <c r="H920" s="2" t="s">
        <v>1434</v>
      </c>
    </row>
    <row r="921" customFormat="false" ht="15" hidden="false" customHeight="false" outlineLevel="1" collapsed="false">
      <c r="A921" s="7" t="s">
        <v>777</v>
      </c>
      <c r="B921" s="8" t="s">
        <v>11</v>
      </c>
      <c r="C921" s="61" t="n">
        <f aca="false">C919+C920</f>
        <v>154547.579765982</v>
      </c>
      <c r="D921" s="61" t="n">
        <f aca="false">D919+D920</f>
        <v>238698.269137792</v>
      </c>
      <c r="E921" s="61" t="n">
        <f aca="false">E919+E920</f>
        <v>288318.323932313</v>
      </c>
      <c r="F921" s="61" t="n">
        <f aca="false">F919+F920</f>
        <v>389392.515713135</v>
      </c>
      <c r="G921" s="61" t="n">
        <f aca="false">G919+G920</f>
        <v>511021.982272361</v>
      </c>
      <c r="H921" s="2" t="s">
        <v>1435</v>
      </c>
    </row>
    <row r="922" customFormat="false" ht="15" hidden="false" customHeight="false" outlineLevel="1" collapsed="false">
      <c r="A922" s="7" t="s">
        <v>778</v>
      </c>
      <c r="B922" s="8" t="s">
        <v>11</v>
      </c>
      <c r="C922" s="61" t="n">
        <f aca="false">C916+C918</f>
        <v>1100000</v>
      </c>
      <c r="D922" s="61" t="n">
        <f aca="false">C922+D916+D918</f>
        <v>2068225.5237076</v>
      </c>
      <c r="E922" s="61" t="n">
        <f aca="false">D922+E916+E918</f>
        <v>3069911.67859218</v>
      </c>
      <c r="F922" s="61" t="n">
        <f aca="false">E922+F916+F918</f>
        <v>4075434.39683193</v>
      </c>
      <c r="G922" s="61" t="n">
        <f aca="false">F922+G916+G918</f>
        <v>5131437.53341978</v>
      </c>
      <c r="H922" s="2" t="s">
        <v>1436</v>
      </c>
    </row>
    <row r="923" customFormat="false" ht="15" hidden="false" customHeight="false" outlineLevel="0" collapsed="false">
      <c r="A923" s="3" t="s">
        <v>1437</v>
      </c>
      <c r="B923" s="4"/>
      <c r="C923" s="4"/>
      <c r="D923" s="4"/>
      <c r="E923" s="4"/>
      <c r="F923" s="4"/>
      <c r="G923" s="4"/>
      <c r="H923" s="4"/>
    </row>
    <row r="924" customFormat="false" ht="15" hidden="false" customHeight="false" outlineLevel="1" collapsed="false">
      <c r="A924" s="7" t="s">
        <v>782</v>
      </c>
      <c r="B924" s="8" t="s">
        <v>11</v>
      </c>
      <c r="C924" s="72" t="n">
        <f aca="false">Pressupostos!$C$159+Pressupostos!$C$160+Pressupostos!$C$161+Pressupostos!$C$162+Pressupostos!$C$163</f>
        <v>95000</v>
      </c>
      <c r="H924" s="2" t="s">
        <v>1438</v>
      </c>
    </row>
    <row r="925" customFormat="false" ht="15" hidden="false" customHeight="false" outlineLevel="1" collapsed="false">
      <c r="A925" s="7" t="s">
        <v>783</v>
      </c>
      <c r="B925" s="8" t="s">
        <v>11</v>
      </c>
      <c r="C925" s="73" t="n">
        <f aca="false">Pressupostos!$C$108</f>
        <v>50000</v>
      </c>
      <c r="H925" s="2" t="s">
        <v>1439</v>
      </c>
    </row>
    <row r="926" customFormat="false" ht="15" hidden="false" customHeight="false" outlineLevel="1" collapsed="false">
      <c r="A926" s="7" t="s">
        <v>322</v>
      </c>
      <c r="B926" s="8" t="s">
        <v>11</v>
      </c>
      <c r="C926" s="73" t="n">
        <f aca="false">Pressupostos!$C$170</f>
        <v>150000</v>
      </c>
      <c r="H926" s="2" t="s">
        <v>1440</v>
      </c>
    </row>
    <row r="927" customFormat="false" ht="15" hidden="false" customHeight="false" outlineLevel="1" collapsed="false">
      <c r="A927" s="7" t="s">
        <v>784</v>
      </c>
      <c r="B927" s="8" t="s">
        <v>11</v>
      </c>
      <c r="C927" s="72" t="n">
        <f aca="false">MAX(0,-MIN($C$911:$G$911))</f>
        <v>4836437.53341978</v>
      </c>
      <c r="H927" s="2" t="s">
        <v>1441</v>
      </c>
    </row>
    <row r="928" customFormat="false" ht="15" hidden="false" customHeight="false" outlineLevel="1" collapsed="false">
      <c r="A928" s="56" t="s">
        <v>785</v>
      </c>
      <c r="B928" s="57" t="s">
        <v>11</v>
      </c>
      <c r="C928" s="74" t="n">
        <f aca="false">C924+C925+C926+C927</f>
        <v>5131437.53341978</v>
      </c>
      <c r="H928" s="2" t="s">
        <v>1442</v>
      </c>
    </row>
    <row r="929" customFormat="false" ht="15" hidden="false" customHeight="false" outlineLevel="1" collapsed="false">
      <c r="A929" s="7" t="s">
        <v>786</v>
      </c>
      <c r="B929" s="8" t="s">
        <v>20</v>
      </c>
      <c r="C929" s="75" t="n">
        <f aca="false">INDEX($C$656:$G$656,1,MATCH(MIN($C$911:$G$911),$C$911:$G$911,0))</f>
        <v>2031</v>
      </c>
      <c r="H929" s="2" t="s">
        <v>1443</v>
      </c>
    </row>
    <row r="930" customFormat="false" ht="15" hidden="false" customHeight="false" outlineLevel="1" collapsed="false">
      <c r="A930" s="7" t="s">
        <v>787</v>
      </c>
      <c r="B930" s="8"/>
      <c r="C930" s="76" t="str">
        <f aca="false">IF(G910&lt;0,"sim","não")</f>
        <v>sim</v>
      </c>
      <c r="H930" s="2" t="s">
        <v>1444</v>
      </c>
    </row>
    <row r="931" customFormat="false" ht="15" hidden="false" customHeight="false" outlineLevel="1" collapsed="false">
      <c r="A931" s="7" t="s">
        <v>788</v>
      </c>
      <c r="B931" s="8" t="s">
        <v>11</v>
      </c>
      <c r="C931" s="72" t="n">
        <f aca="false">G922</f>
        <v>5131437.53341978</v>
      </c>
      <c r="H931" s="2" t="s">
        <v>1445</v>
      </c>
    </row>
    <row r="932" customFormat="false" ht="15" hidden="false" customHeight="false" outlineLevel="0" collapsed="false">
      <c r="A932" s="3" t="s">
        <v>1446</v>
      </c>
      <c r="B932" s="4"/>
      <c r="C932" s="4"/>
      <c r="D932" s="4"/>
      <c r="E932" s="4"/>
      <c r="F932" s="4"/>
      <c r="G932" s="4"/>
      <c r="H932" s="4"/>
    </row>
    <row r="933" customFormat="false" ht="15" hidden="false" customHeight="false" outlineLevel="1" collapsed="false">
      <c r="A933" s="7" t="s">
        <v>790</v>
      </c>
      <c r="B933" s="8" t="s">
        <v>11</v>
      </c>
      <c r="C933" s="72" t="n">
        <f aca="false">C924+C925</f>
        <v>145000</v>
      </c>
      <c r="H933" s="2" t="s">
        <v>1447</v>
      </c>
    </row>
    <row r="934" customFormat="false" ht="15" hidden="false" customHeight="false" outlineLevel="1" collapsed="false">
      <c r="A934" s="7" t="s">
        <v>791</v>
      </c>
      <c r="B934" s="8" t="s">
        <v>11</v>
      </c>
      <c r="C934" s="72" t="n">
        <f aca="false">-SUMPRODUCT(($C$656:$G$656&lt;=C929)*$C$867:$G$867)</f>
        <v>4274699.43511197</v>
      </c>
      <c r="H934" s="2" t="s">
        <v>1448</v>
      </c>
    </row>
    <row r="935" customFormat="false" ht="15" hidden="false" customHeight="false" outlineLevel="1" collapsed="false">
      <c r="A935" s="7" t="s">
        <v>424</v>
      </c>
      <c r="B935" s="8" t="s">
        <v>11</v>
      </c>
      <c r="C935" s="72" t="n">
        <f aca="false">SUMPRODUCT(($C$656:$G$656&lt;=C929)*$C$851:$G$851)</f>
        <v>351000</v>
      </c>
      <c r="H935" s="2" t="s">
        <v>1449</v>
      </c>
    </row>
    <row r="936" customFormat="false" ht="15" hidden="false" customHeight="false" outlineLevel="1" collapsed="false">
      <c r="A936" s="7" t="s">
        <v>792</v>
      </c>
      <c r="B936" s="8" t="s">
        <v>11</v>
      </c>
      <c r="C936" s="72" t="n">
        <f aca="false">SUMPRODUCT(($C$656:$G$656&lt;=C929)*$C$882:$G$882)</f>
        <v>0</v>
      </c>
      <c r="H936" s="2" t="s">
        <v>1450</v>
      </c>
    </row>
    <row r="937" customFormat="false" ht="15" hidden="false" customHeight="false" outlineLevel="1" collapsed="false">
      <c r="A937" s="7" t="s">
        <v>793</v>
      </c>
      <c r="B937" s="8" t="s">
        <v>11</v>
      </c>
      <c r="C937" s="72" t="n">
        <f aca="false">C927-C934-C935-C936</f>
        <v>210738.098307816</v>
      </c>
      <c r="H937" s="2" t="s">
        <v>1451</v>
      </c>
    </row>
    <row r="938" customFormat="false" ht="15" hidden="false" customHeight="false" outlineLevel="1" collapsed="false">
      <c r="A938" s="7" t="s">
        <v>322</v>
      </c>
      <c r="B938" s="8" t="s">
        <v>11</v>
      </c>
      <c r="C938" s="72" t="n">
        <f aca="false">C926</f>
        <v>150000</v>
      </c>
      <c r="H938" s="2" t="s">
        <v>1452</v>
      </c>
    </row>
    <row r="939" customFormat="false" ht="15" hidden="false" customHeight="false" outlineLevel="1" collapsed="false">
      <c r="A939" s="56" t="s">
        <v>794</v>
      </c>
      <c r="B939" s="57" t="s">
        <v>11</v>
      </c>
      <c r="C939" s="74" t="n">
        <f aca="false">C933+C934+C935+C936+C937+C938</f>
        <v>5131437.53341978</v>
      </c>
      <c r="H939" s="2" t="s">
        <v>1453</v>
      </c>
    </row>
    <row r="940" customFormat="false" ht="15" hidden="false" customHeight="false" outlineLevel="0" collapsed="false">
      <c r="A940" s="3" t="s">
        <v>1454</v>
      </c>
      <c r="B940" s="4"/>
      <c r="C940" s="4"/>
      <c r="D940" s="4"/>
      <c r="E940" s="4"/>
      <c r="F940" s="4"/>
      <c r="G940" s="4"/>
      <c r="H940" s="4"/>
    </row>
    <row r="941" customFormat="false" ht="15" hidden="false" customHeight="false" outlineLevel="1" collapsed="false">
      <c r="A941" s="7" t="s">
        <v>772</v>
      </c>
      <c r="B941" s="8" t="s">
        <v>11</v>
      </c>
      <c r="C941" s="73" t="n">
        <f aca="false">Pressupostos!$E$32</f>
        <v>1100000</v>
      </c>
      <c r="H941" s="2" t="s">
        <v>1455</v>
      </c>
    </row>
    <row r="942" customFormat="false" ht="15" hidden="false" customHeight="false" outlineLevel="1" collapsed="false">
      <c r="A942" s="7" t="s">
        <v>796</v>
      </c>
      <c r="B942" s="8" t="s">
        <v>11</v>
      </c>
      <c r="C942" s="72" t="n">
        <f aca="false">C924+Pressupostos!$C$108+Pressupostos!$C$130/12*((C826-C814-C815+(C814+C815)/Pressupostos!$C$128*Pressupostos!$C$129)*(1+Pressupostos!$C$124+Pressupostos!$C$125)+C812*Pressupostos!$C$126+C845)+C851+MAX(0,Pressupostos!$C$183*1000*(C677+C680)+Pressupostos!$C$184*1000*(C700+C703)-Pressupostos!$C$108)</f>
        <v>743821.666666667</v>
      </c>
      <c r="H942" s="2" t="s">
        <v>1456</v>
      </c>
    </row>
    <row r="943" customFormat="false" ht="15" hidden="false" customHeight="false" outlineLevel="1" collapsed="false">
      <c r="A943" s="7" t="s">
        <v>798</v>
      </c>
      <c r="B943" s="8" t="s">
        <v>11</v>
      </c>
      <c r="C943" s="72" t="n">
        <f aca="false">C924+Pressupostos!$C$108-C910</f>
        <v>945452.420234018</v>
      </c>
      <c r="H943" s="2" t="s">
        <v>1457</v>
      </c>
    </row>
    <row r="944" customFormat="false" ht="15" hidden="false" customHeight="false" outlineLevel="1" collapsed="false">
      <c r="A944" s="7" t="s">
        <v>799</v>
      </c>
      <c r="B944" s="8" t="s">
        <v>11</v>
      </c>
      <c r="C944" s="61" t="n">
        <f aca="false">Pressupostos!$E$32-C924-Pressupostos!$C$108+C911</f>
        <v>154547.579765982</v>
      </c>
      <c r="D944" s="61" t="n">
        <f aca="false">Pressupostos!$E$32-C924-Pressupostos!$C$108+D911</f>
        <v>-818225.523707599</v>
      </c>
      <c r="E944" s="61" t="n">
        <f aca="false">Pressupostos!$E$32-C924-Pressupostos!$C$108+E911</f>
        <v>-1819911.67859218</v>
      </c>
      <c r="F944" s="61" t="n">
        <f aca="false">Pressupostos!$E$32-C924-Pressupostos!$C$108+F911</f>
        <v>-2825434.39683193</v>
      </c>
      <c r="G944" s="61" t="n">
        <f aca="false">Pressupostos!$E$32-C924-Pressupostos!$C$108+G911</f>
        <v>-3881437.53341978</v>
      </c>
      <c r="H944" s="2" t="s">
        <v>1458</v>
      </c>
    </row>
    <row r="945" customFormat="false" ht="15" hidden="false" customHeight="false" outlineLevel="1" collapsed="false">
      <c r="A945" s="7" t="s">
        <v>800</v>
      </c>
      <c r="B945" s="8" t="s">
        <v>18</v>
      </c>
      <c r="C945" s="77" t="str">
        <f aca="false">IF(AND(Pressupostos!$E$32-C924-Pressupostos!$C$108&gt;0,C944&lt;=0),12*(Pressupostos!$E$32-C924-Pressupostos!$C$108)/(Pressupostos!$E$32-C924-Pressupostos!$C$108-C944),"")</f>
        <v/>
      </c>
      <c r="D945" s="77" t="n">
        <f aca="false">IF(AND(C944&gt;0,D944&lt;=0),12+12*C944/(C944-D944),"")</f>
        <v>13.9064784486428</v>
      </c>
      <c r="E945" s="77" t="str">
        <f aca="false">IF(AND(D944&gt;0,E944&lt;=0),24+12*D944/(D944-E944),"")</f>
        <v/>
      </c>
      <c r="F945" s="77" t="str">
        <f aca="false">IF(AND(E944&gt;0,F944&lt;=0),36+12*E944/(E944-F944),"")</f>
        <v/>
      </c>
      <c r="G945" s="77" t="str">
        <f aca="false">IF(AND(F944&gt;0,G944&lt;=0),48+12*F944/(F944-G944),"")</f>
        <v/>
      </c>
      <c r="H945" s="2" t="s">
        <v>1459</v>
      </c>
    </row>
    <row r="946" customFormat="false" ht="15" hidden="false" customHeight="false" outlineLevel="1" collapsed="false">
      <c r="A946" s="56" t="s">
        <v>801</v>
      </c>
      <c r="B946" s="57" t="s">
        <v>274</v>
      </c>
      <c r="C946" s="78" t="n">
        <f aca="false">IF(COUNT($C$945:$G$945)=0,"&gt; 60",MIN($C$945:$G$945))</f>
        <v>13.9064784486428</v>
      </c>
      <c r="H946" s="2" t="s">
        <v>1460</v>
      </c>
    </row>
    <row r="947" customFormat="false" ht="15" hidden="false" customHeight="false" outlineLevel="0" collapsed="false">
      <c r="A947" s="3" t="s">
        <v>1461</v>
      </c>
      <c r="B947" s="4"/>
      <c r="C947" s="4"/>
      <c r="D947" s="4"/>
      <c r="E947" s="4"/>
      <c r="F947" s="4"/>
      <c r="G947" s="4"/>
      <c r="H947" s="4"/>
    </row>
    <row r="948" customFormat="false" ht="15" hidden="false" customHeight="false" outlineLevel="1" collapsed="false">
      <c r="A948" s="7" t="s">
        <v>803</v>
      </c>
      <c r="B948" s="8" t="s">
        <v>18</v>
      </c>
      <c r="C948" s="77" t="str">
        <f aca="false">IF(C867&gt;=0,1,"")</f>
        <v/>
      </c>
      <c r="D948" s="77" t="str">
        <f aca="false">IF(AND(C867&lt;0,D867&gt;=0),6.5+12*(-C867)/(D867-C867),"")</f>
        <v/>
      </c>
      <c r="E948" s="77" t="str">
        <f aca="false">IF(AND(D867&lt;0,E867&gt;=0),18.5+12*(-D867)/(E867-D867),"")</f>
        <v/>
      </c>
      <c r="F948" s="77" t="str">
        <f aca="false">IF(AND(E867&lt;0,F867&gt;=0),30.5+12*(-E867)/(F867-E867),"")</f>
        <v/>
      </c>
      <c r="G948" s="77" t="str">
        <f aca="false">IF(AND(F867&lt;0,G867&gt;=0),42.5+12*(-F867)/(G867-F867),"")</f>
        <v/>
      </c>
      <c r="H948" s="2" t="s">
        <v>1462</v>
      </c>
    </row>
    <row r="949" customFormat="false" ht="15" hidden="false" customHeight="false" outlineLevel="1" collapsed="false">
      <c r="A949" s="7" t="s">
        <v>804</v>
      </c>
      <c r="B949" s="8" t="s">
        <v>18</v>
      </c>
      <c r="C949" s="79" t="str">
        <f aca="false">IF(COUNT($C$948:$G$948)=0,"não atinge até 2031",ROUNDUP(MIN($C$948:$G$948),0))</f>
        <v>não atinge até 2031</v>
      </c>
      <c r="H949" s="2" t="s">
        <v>1463</v>
      </c>
    </row>
    <row r="950" customFormat="false" ht="15" hidden="false" customHeight="false" outlineLevel="1" collapsed="false">
      <c r="A950" s="56" t="s">
        <v>805</v>
      </c>
      <c r="B950" s="57" t="s">
        <v>806</v>
      </c>
      <c r="C950" s="80" t="str">
        <f aca="false">IF(ISNUMBER(C949),DATE(2027,C949,1),"não atinge até 2031")</f>
        <v>não atinge até 2031</v>
      </c>
      <c r="H950" s="2" t="s">
        <v>1464</v>
      </c>
    </row>
    <row r="951" customFormat="false" ht="15" hidden="false" customHeight="false" outlineLevel="1" collapsed="false">
      <c r="A951" s="7" t="s">
        <v>807</v>
      </c>
      <c r="B951" s="8" t="s">
        <v>20</v>
      </c>
      <c r="C951" s="81" t="str">
        <f aca="false">IF(C867&gt;=0,C656,"")</f>
        <v/>
      </c>
      <c r="D951" s="81" t="str">
        <f aca="false">IF(D867&gt;=0,D656,"")</f>
        <v/>
      </c>
      <c r="E951" s="81" t="str">
        <f aca="false">IF(E867&gt;=0,E656,"")</f>
        <v/>
      </c>
      <c r="F951" s="81" t="str">
        <f aca="false">IF(F867&gt;=0,F656,"")</f>
        <v/>
      </c>
      <c r="G951" s="81" t="str">
        <f aca="false">IF(G867&gt;=0,G656,"")</f>
        <v/>
      </c>
      <c r="H951" s="2" t="s">
        <v>1465</v>
      </c>
    </row>
    <row r="952" customFormat="false" ht="15" hidden="false" customHeight="false" outlineLevel="1" collapsed="false">
      <c r="A952" s="7" t="s">
        <v>808</v>
      </c>
      <c r="B952" s="8" t="s">
        <v>20</v>
      </c>
      <c r="C952" s="75" t="str">
        <f aca="false">IF(COUNT($C$951:$G$951)=0,"não atinge até 2031",MIN($C$951:$G$951))</f>
        <v>não atinge até 2031</v>
      </c>
      <c r="H952" s="2" t="s">
        <v>1466</v>
      </c>
    </row>
    <row r="953" customFormat="false" ht="15" hidden="false" customHeight="false" outlineLevel="1" collapsed="false">
      <c r="A953" s="7" t="s">
        <v>809</v>
      </c>
      <c r="B953" s="8" t="s">
        <v>20</v>
      </c>
      <c r="C953" s="81" t="str">
        <f aca="false">IF(C885&gt;=0,C656,"")</f>
        <v/>
      </c>
      <c r="D953" s="81" t="str">
        <f aca="false">IF(D885&gt;=0,D656,"")</f>
        <v/>
      </c>
      <c r="E953" s="81" t="str">
        <f aca="false">IF(E885&gt;=0,E656,"")</f>
        <v/>
      </c>
      <c r="F953" s="81" t="str">
        <f aca="false">IF(F885&gt;=0,F656,"")</f>
        <v/>
      </c>
      <c r="G953" s="81" t="str">
        <f aca="false">IF(G885&gt;=0,G656,"")</f>
        <v/>
      </c>
      <c r="H953" s="2" t="s">
        <v>1467</v>
      </c>
    </row>
    <row r="954" customFormat="false" ht="15" hidden="false" customHeight="false" outlineLevel="1" collapsed="false">
      <c r="A954" s="7" t="s">
        <v>810</v>
      </c>
      <c r="B954" s="8" t="s">
        <v>20</v>
      </c>
      <c r="C954" s="75" t="str">
        <f aca="false">IF(COUNT($C$953:$G$953)=0,"não atinge até 2031",MIN($C$953:$G$953))</f>
        <v>não atinge até 2031</v>
      </c>
      <c r="H954" s="2" t="s">
        <v>1468</v>
      </c>
    </row>
    <row r="955" customFormat="false" ht="15" hidden="false" customHeight="false" outlineLevel="1" collapsed="false">
      <c r="A955" s="7" t="s">
        <v>811</v>
      </c>
      <c r="B955" s="8" t="s">
        <v>20</v>
      </c>
      <c r="C955" s="81" t="str">
        <f aca="false">IF(C910&gt;=0,C656,"")</f>
        <v/>
      </c>
      <c r="D955" s="81" t="str">
        <f aca="false">IF(D910&gt;=0,D656,"")</f>
        <v/>
      </c>
      <c r="E955" s="81" t="str">
        <f aca="false">IF(E910&gt;=0,E656,"")</f>
        <v/>
      </c>
      <c r="F955" s="81" t="str">
        <f aca="false">IF(F910&gt;=0,F656,"")</f>
        <v/>
      </c>
      <c r="G955" s="81" t="str">
        <f aca="false">IF(G910&gt;=0,G656,"")</f>
        <v/>
      </c>
      <c r="H955" s="2" t="s">
        <v>1469</v>
      </c>
    </row>
    <row r="956" customFormat="false" ht="15" hidden="false" customHeight="false" outlineLevel="1" collapsed="false">
      <c r="A956" s="7" t="s">
        <v>19</v>
      </c>
      <c r="B956" s="8" t="s">
        <v>20</v>
      </c>
      <c r="C956" s="75" t="str">
        <f aca="false">IF(COUNT($C$955:$G$955)=0,"não atinge até 2031",MIN($C$955:$G$955))</f>
        <v>não atinge até 2031</v>
      </c>
      <c r="H956" s="2" t="s">
        <v>1470</v>
      </c>
    </row>
    <row r="957" customFormat="false" ht="15" hidden="false" customHeight="false" outlineLevel="0" collapsed="false">
      <c r="A957" s="3" t="s">
        <v>1471</v>
      </c>
      <c r="B957" s="4"/>
      <c r="C957" s="4"/>
      <c r="D957" s="4"/>
      <c r="E957" s="4"/>
      <c r="F957" s="4"/>
      <c r="G957" s="4"/>
      <c r="H957" s="4"/>
    </row>
    <row r="958" customFormat="false" ht="15" hidden="false" customHeight="false" outlineLevel="1" collapsed="false">
      <c r="A958" s="7" t="s">
        <v>813</v>
      </c>
      <c r="B958" s="8" t="s">
        <v>11</v>
      </c>
      <c r="C958" s="61" t="n">
        <f aca="false">C893</f>
        <v>0</v>
      </c>
      <c r="D958" s="61" t="n">
        <f aca="false">D893</f>
        <v>366615.181305399</v>
      </c>
      <c r="E958" s="61" t="n">
        <f aca="false">E893</f>
        <v>691591.619661563</v>
      </c>
      <c r="F958" s="61" t="n">
        <f aca="false">F893</f>
        <v>1196962.57856567</v>
      </c>
      <c r="G958" s="61" t="n">
        <f aca="false">G893</f>
        <v>1805109.91136181</v>
      </c>
      <c r="H958" s="2" t="s">
        <v>1472</v>
      </c>
    </row>
    <row r="959" customFormat="false" ht="15" hidden="false" customHeight="false" outlineLevel="1" collapsed="false">
      <c r="A959" s="7" t="s">
        <v>509</v>
      </c>
      <c r="B959" s="8" t="s">
        <v>76</v>
      </c>
      <c r="C959" s="82" t="n">
        <f aca="false">Pressupostos!$C$289</f>
        <v>0.08</v>
      </c>
      <c r="D959" s="82" t="n">
        <f aca="false">Pressupostos!$D$289</f>
        <v>0.075</v>
      </c>
      <c r="E959" s="82" t="n">
        <f aca="false">Pressupostos!$E$289</f>
        <v>0.07</v>
      </c>
      <c r="F959" s="82" t="n">
        <f aca="false">Pressupostos!$F$289</f>
        <v>0.065</v>
      </c>
      <c r="G959" s="82" t="n">
        <f aca="false">Pressupostos!$G$289</f>
        <v>0.065</v>
      </c>
      <c r="H959" s="2" t="s">
        <v>1473</v>
      </c>
    </row>
    <row r="960" customFormat="false" ht="15" hidden="false" customHeight="false" outlineLevel="1" collapsed="false">
      <c r="A960" s="7" t="s">
        <v>814</v>
      </c>
      <c r="B960" s="8" t="s">
        <v>76</v>
      </c>
      <c r="C960" s="60" t="n">
        <f aca="false">Pressupostos!$C$289*(1-Pressupostos!$C$111)</f>
        <v>0.0576</v>
      </c>
      <c r="D960" s="60" t="n">
        <f aca="false">Pressupostos!$D$289*(1-Pressupostos!$C$111)</f>
        <v>0.054</v>
      </c>
      <c r="E960" s="60" t="n">
        <f aca="false">Pressupostos!$E$289*(1-Pressupostos!$C$111)</f>
        <v>0.0504</v>
      </c>
      <c r="F960" s="60" t="n">
        <f aca="false">Pressupostos!$F$289*(1-Pressupostos!$C$111)</f>
        <v>0.0468</v>
      </c>
      <c r="G960" s="60" t="n">
        <f aca="false">Pressupostos!$G$289*(1-Pressupostos!$C$111)</f>
        <v>0.0468</v>
      </c>
      <c r="H960" s="2" t="s">
        <v>1474</v>
      </c>
    </row>
    <row r="961" customFormat="false" ht="15" hidden="false" customHeight="false" outlineLevel="1" collapsed="false">
      <c r="A961" s="7" t="s">
        <v>815</v>
      </c>
      <c r="B961" s="8" t="s">
        <v>11</v>
      </c>
      <c r="C961" s="61" t="n">
        <f aca="false">C797</f>
        <v>0</v>
      </c>
      <c r="D961" s="61" t="n">
        <f aca="false">D797</f>
        <v>24258.2272360999</v>
      </c>
      <c r="E961" s="61" t="n">
        <f aca="false">E797</f>
        <v>42007.9532634972</v>
      </c>
      <c r="F961" s="61" t="n">
        <f aca="false">F797</f>
        <v>67455.5439161966</v>
      </c>
      <c r="G961" s="61" t="n">
        <f aca="false">G797</f>
        <v>101777.272360999</v>
      </c>
      <c r="H961" s="2" t="s">
        <v>1475</v>
      </c>
    </row>
    <row r="962" customFormat="false" ht="15" hidden="false" customHeight="false" outlineLevel="1" collapsed="false">
      <c r="A962" s="7" t="s">
        <v>816</v>
      </c>
      <c r="B962" s="8" t="s">
        <v>76</v>
      </c>
      <c r="C962" s="59" t="n">
        <f aca="false">IF(C893&gt;0,(C896+C898)/C893,0)</f>
        <v>0</v>
      </c>
      <c r="D962" s="59" t="n">
        <f aca="false">IF(D893&gt;0,(D896+D898)/D893,0)</f>
        <v>0.144444444444444</v>
      </c>
      <c r="E962" s="59" t="n">
        <f aca="false">IF(E893&gt;0,(E896+E898)/E893,0)</f>
        <v>0.144444444444444</v>
      </c>
      <c r="F962" s="59" t="n">
        <f aca="false">IF(F893&gt;0,(F896+F898)/F893,0)</f>
        <v>0.144444444444444</v>
      </c>
      <c r="G962" s="59" t="n">
        <f aca="false">IF(G893&gt;0,(G896+G898)/G893,0)</f>
        <v>0.144444444444444</v>
      </c>
      <c r="H962" s="2" t="s">
        <v>1476</v>
      </c>
    </row>
    <row r="963" customFormat="false" ht="15" hidden="false" customHeight="false" outlineLevel="1" collapsed="false">
      <c r="A963" s="7" t="s">
        <v>817</v>
      </c>
      <c r="B963" s="8" t="s">
        <v>123</v>
      </c>
      <c r="C963" s="61" t="n">
        <f aca="false">C899</f>
        <v>0</v>
      </c>
      <c r="D963" s="61" t="n">
        <f aca="false">D899</f>
        <v>7.33230362610798</v>
      </c>
      <c r="E963" s="61" t="n">
        <f aca="false">E899</f>
        <v>13.8318323932313</v>
      </c>
      <c r="F963" s="61" t="n">
        <f aca="false">F899</f>
        <v>23.9392515713135</v>
      </c>
      <c r="G963" s="61" t="n">
        <f aca="false">G899</f>
        <v>36.1021982272361</v>
      </c>
      <c r="H963" s="2" t="s">
        <v>1477</v>
      </c>
    </row>
    <row r="964" customFormat="false" ht="15" hidden="false" customHeight="false" outlineLevel="1" collapsed="false">
      <c r="A964" s="7" t="s">
        <v>818</v>
      </c>
      <c r="B964" s="8" t="s">
        <v>11</v>
      </c>
      <c r="C964" s="61" t="n">
        <f aca="false">C797+C843</f>
        <v>65000</v>
      </c>
      <c r="D964" s="61" t="n">
        <f aca="false">D797+D843</f>
        <v>94258.2272360999</v>
      </c>
      <c r="E964" s="61" t="n">
        <f aca="false">E797+E843</f>
        <v>117007.953263497</v>
      </c>
      <c r="F964" s="61" t="n">
        <f aca="false">F797+F843</f>
        <v>147455.543916197</v>
      </c>
      <c r="G964" s="61" t="n">
        <f aca="false">G797+G843</f>
        <v>186777.272360999</v>
      </c>
      <c r="H964" s="2" t="s">
        <v>1478</v>
      </c>
    </row>
    <row r="965" customFormat="false" ht="15" hidden="false" customHeight="false" outlineLevel="1" collapsed="false">
      <c r="A965" s="7" t="s">
        <v>819</v>
      </c>
      <c r="B965" s="8" t="s">
        <v>76</v>
      </c>
      <c r="C965" s="59" t="str">
        <f aca="false">IF(C893&gt;0,C964/C893,"")</f>
        <v/>
      </c>
      <c r="D965" s="59" t="n">
        <f aca="false">IF(D893&gt;0,D964/D893,"")</f>
        <v>0.257103993622077</v>
      </c>
      <c r="E965" s="59" t="n">
        <f aca="false">IF(E893&gt;0,E964/E893,"")</f>
        <v>0.169186482220181</v>
      </c>
      <c r="F965" s="59" t="n">
        <f aca="false">IF(F893&gt;0,F964/F893,"")</f>
        <v>0.123191440197649</v>
      </c>
      <c r="G965" s="59" t="n">
        <f aca="false">IF(G893&gt;0,G964/G893,"")</f>
        <v>0.10347141256351</v>
      </c>
      <c r="H965" s="2" t="s">
        <v>1479</v>
      </c>
    </row>
    <row r="966" customFormat="false" ht="15" hidden="false" customHeight="false" outlineLevel="0" collapsed="false">
      <c r="A966" s="3" t="s">
        <v>1480</v>
      </c>
      <c r="B966" s="4"/>
      <c r="C966" s="4"/>
      <c r="D966" s="4"/>
      <c r="E966" s="4"/>
      <c r="F966" s="4"/>
      <c r="G966" s="4"/>
      <c r="H966" s="4"/>
    </row>
    <row r="967" customFormat="false" ht="15" hidden="false" customHeight="false" outlineLevel="1" collapsed="false">
      <c r="A967" s="7" t="s">
        <v>821</v>
      </c>
      <c r="B967" s="8" t="s">
        <v>11</v>
      </c>
      <c r="C967" s="61" t="n">
        <f aca="false">MAX(0,-C867)</f>
        <v>706359.981877854</v>
      </c>
      <c r="D967" s="61" t="n">
        <f aca="false">MAX(0,-D867)</f>
        <v>883534.782764476</v>
      </c>
      <c r="E967" s="61" t="n">
        <f aca="false">MAX(0,-E867)</f>
        <v>904120.346665405</v>
      </c>
      <c r="F967" s="61" t="n">
        <f aca="false">MAX(0,-F867)</f>
        <v>874524.690842484</v>
      </c>
      <c r="G967" s="61" t="n">
        <f aca="false">MAX(0,-G867)</f>
        <v>906159.632961748</v>
      </c>
      <c r="H967" s="2" t="s">
        <v>1481</v>
      </c>
    </row>
    <row r="968" customFormat="false" ht="15" hidden="false" customHeight="false" outlineLevel="1" collapsed="false">
      <c r="A968" s="2" t="s">
        <v>822</v>
      </c>
      <c r="B968" s="8"/>
      <c r="C968" s="61" t="n">
        <f aca="false">IF(AND(C656&gt;=Pressupostos!$C$120,Pressupostos!$C$118*(C750+C751)+Pressupostos!$C$119*C752&gt;Pressupostos!$C$301),1,0)</f>
        <v>0</v>
      </c>
      <c r="D968" s="61" t="n">
        <f aca="false">IF(AND(D656&gt;=Pressupostos!$C$120,Pressupostos!$C$118*(D750+D751)+Pressupostos!$C$119*D752&gt;Pressupostos!$D$301),1,0)</f>
        <v>1</v>
      </c>
      <c r="E968" s="61" t="n">
        <f aca="false">IF(AND(E656&gt;=Pressupostos!$C$120,Pressupostos!$C$118*(E750+E751)+Pressupostos!$C$119*E752&gt;Pressupostos!$E$301),1,0)</f>
        <v>1</v>
      </c>
      <c r="F968" s="61" t="n">
        <f aca="false">IF(AND(F656&gt;=Pressupostos!$C$120,Pressupostos!$C$118*(F750+F751)+Pressupostos!$C$119*F752&gt;Pressupostos!$F$301),1,0)</f>
        <v>1</v>
      </c>
      <c r="G968" s="61" t="n">
        <f aca="false">IF(AND(G656&gt;=Pressupostos!$C$120,Pressupostos!$C$118*(G750+G751)+Pressupostos!$C$119*G752&gt;Pressupostos!$G$301),1,0)</f>
        <v>1</v>
      </c>
      <c r="H968" s="2" t="s">
        <v>1482</v>
      </c>
    </row>
    <row r="969" customFormat="false" ht="15" hidden="false" customHeight="false" outlineLevel="1" collapsed="false">
      <c r="A969" s="7" t="s">
        <v>823</v>
      </c>
      <c r="B969" s="8" t="s">
        <v>64</v>
      </c>
      <c r="C969" s="63" t="n">
        <f aca="false">IF(C660&gt;0,C967/(C660*1000*(1-Pressupostos!$E$22)*(1-Pressupostos!$E$25-C968*Pressupostos!$C$118)),"n/a")</f>
        <v>10.1212205456062</v>
      </c>
      <c r="D969" s="63" t="n">
        <f aca="false">IF(D660&gt;0,D967/(D660*1000*(1-Pressupostos!$E$22)*(1-Pressupostos!$E$25-D968*Pressupostos!$C$118)),"n/a")</f>
        <v>1.51320259291996</v>
      </c>
      <c r="E969" s="63" t="n">
        <f aca="false">IF(E660&gt;0,E967/(E660*1000*(1-Pressupostos!$E$22)*(1-Pressupostos!$E$25-E968*Pressupostos!$C$118)),"n/a")</f>
        <v>0.831501190217739</v>
      </c>
      <c r="F969" s="63" t="n">
        <f aca="false">IF(F660&gt;0,F967/(F660*1000*(1-Pressupostos!$E$22)*(1-Pressupostos!$E$25-F968*Pressupostos!$C$118)),"n/a")</f>
        <v>0.492005317019406</v>
      </c>
      <c r="G969" s="63" t="n">
        <f aca="false">IF(G660&gt;0,G967/(G660*1000*(1-Pressupostos!$E$22)*(1-Pressupostos!$E$25-G968*Pressupostos!$C$118)),"n/a")</f>
        <v>0.339868702129712</v>
      </c>
      <c r="H969" s="2" t="s">
        <v>1483</v>
      </c>
    </row>
    <row r="970" customFormat="false" ht="15" hidden="false" customHeight="false" outlineLevel="1" collapsed="false">
      <c r="A970" s="7" t="s">
        <v>824</v>
      </c>
      <c r="B970" s="8" t="s">
        <v>64</v>
      </c>
      <c r="C970" s="63" t="n">
        <f aca="false">IF(C659&gt;0,Pressupostos!$E$15+C967/(C659*1000*(1-Pressupostos!$E$16)*(1-Pressupostos!$E$18-C968*Pressupostos!$C$118)),"n/a")</f>
        <v>84.8788366139424</v>
      </c>
      <c r="D970" s="63" t="n">
        <f aca="false">IF(D659&gt;0,Pressupostos!$E$15+D967/(D659*1000*(1-Pressupostos!$E$16)*(1-Pressupostos!$E$18-D968*Pressupostos!$C$118)),"n/a")</f>
        <v>21.9777564887658</v>
      </c>
      <c r="E970" s="63" t="n">
        <f aca="false">IF(E659&gt;0,Pressupostos!$E$15+E967/(E659*1000*(1-Pressupostos!$E$16)*(1-Pressupostos!$E$18-E968*Pressupostos!$C$118)),"n/a")</f>
        <v>10.9448852499892</v>
      </c>
      <c r="F970" s="63" t="n">
        <f aca="false">IF(F659&gt;0,Pressupostos!$E$15+F967/(F659*1000*(1-Pressupostos!$E$16)*(1-Pressupostos!$E$18-F968*Pressupostos!$C$118)),"n/a")</f>
        <v>8.39150919479238</v>
      </c>
      <c r="G970" s="63" t="n">
        <f aca="false">IF(G659&gt;0,Pressupostos!$E$15+G967/(G659*1000*(1-Pressupostos!$E$16)*(1-Pressupostos!$E$18-G968*Pressupostos!$C$118)),"n/a")</f>
        <v>7.6520128910178</v>
      </c>
      <c r="H970" s="2" t="s">
        <v>1484</v>
      </c>
    </row>
    <row r="971" customFormat="false" ht="15" hidden="false" customHeight="false" outlineLevel="1" collapsed="false">
      <c r="A971" s="7" t="s">
        <v>825</v>
      </c>
      <c r="B971" s="8" t="s">
        <v>64</v>
      </c>
      <c r="C971" s="63" t="n">
        <f aca="false">IF(Pressupostos!$E$33=1,C742-C968*Pressupostos!$C$119*C725,C748)</f>
        <v>0.00725</v>
      </c>
      <c r="D971" s="63" t="n">
        <f aca="false">IF(Pressupostos!$E$33=1,D742-D968*Pressupostos!$C$119*D725,D748)</f>
        <v>0.00725</v>
      </c>
      <c r="E971" s="63" t="n">
        <f aca="false">IF(Pressupostos!$E$33=1,E742-E968*Pressupostos!$C$119*E725,E748)</f>
        <v>0.00725</v>
      </c>
      <c r="F971" s="63" t="n">
        <f aca="false">IF(Pressupostos!$E$33=1,F742-F968*Pressupostos!$C$119*F725,F748)</f>
        <v>0.00725</v>
      </c>
      <c r="G971" s="63" t="n">
        <f aca="false">IF(Pressupostos!$E$33=1,G742-G968*Pressupostos!$C$119*G725,G748)</f>
        <v>0.00725</v>
      </c>
      <c r="H971" s="2" t="s">
        <v>1485</v>
      </c>
    </row>
    <row r="972" customFormat="false" ht="15" hidden="false" customHeight="false" outlineLevel="1" collapsed="false">
      <c r="A972" s="7" t="s">
        <v>826</v>
      </c>
      <c r="B972" s="8" t="s">
        <v>120</v>
      </c>
      <c r="C972" s="55" t="n">
        <f aca="false">IF(C971&gt;0,C661+C967/(C971*1000),"n/a")</f>
        <v>97428.9630176351</v>
      </c>
      <c r="D972" s="55" t="n">
        <f aca="false">IF(D971&gt;0,D661+D967/(D971*1000),"n/a")</f>
        <v>121866.866588204</v>
      </c>
      <c r="E972" s="55" t="n">
        <f aca="false">IF(E971&gt;0,E661+E967/(E971*1000),"n/a")</f>
        <v>124706.25471247</v>
      </c>
      <c r="F972" s="55" t="n">
        <f aca="false">IF(F971&gt;0,F661+F967/(F971*1000),"n/a")</f>
        <v>120624.095288619</v>
      </c>
      <c r="G972" s="55" t="n">
        <f aca="false">IF(G971&gt;0,G661+G967/(G971*1000),"n/a")</f>
        <v>124987.535580931</v>
      </c>
      <c r="H972" s="2" t="s">
        <v>1486</v>
      </c>
    </row>
    <row r="973" customFormat="false" ht="15" hidden="false" customHeight="false" outlineLevel="1" collapsed="false">
      <c r="A973" s="7" t="s">
        <v>827</v>
      </c>
      <c r="B973" s="8" t="s">
        <v>76</v>
      </c>
      <c r="C973" s="59" t="n">
        <f aca="false">C967/(C829+C842+C843)</f>
        <v>0.960073140239933</v>
      </c>
      <c r="D973" s="59" t="n">
        <f aca="false">D967/(D829+D842+D843)</f>
        <v>0.805220469196734</v>
      </c>
      <c r="E973" s="59" t="n">
        <f aca="false">E967/(E829+E842+E843)</f>
        <v>0.641138929634123</v>
      </c>
      <c r="F973" s="59" t="n">
        <f aca="false">F967/(F829+F842+F843)</f>
        <v>0.488275065162926</v>
      </c>
      <c r="G973" s="59" t="n">
        <f aca="false">G967/(G829+G842+G843)</f>
        <v>0.393521451183597</v>
      </c>
      <c r="H973" s="2" t="s">
        <v>1487</v>
      </c>
    </row>
    <row r="974" customFormat="false" ht="15" hidden="false" customHeight="false" outlineLevel="1" collapsed="false">
      <c r="A974" s="2" t="s">
        <v>828</v>
      </c>
      <c r="B974" s="8" t="s">
        <v>76</v>
      </c>
      <c r="C974" s="60" t="n">
        <f aca="false">Pressupostos!$C$101*Pressupostos!$C$102+Pressupostos!$C$103-Pressupostos!$E$30*Pressupostos!$C$104*Pressupostos!$C$102/(Pressupostos!$C$105*Pressupostos!$C$106)</f>
        <v>0.00354285714285715</v>
      </c>
      <c r="D974" s="60" t="n">
        <f aca="false">Pressupostos!$C$101*Pressupostos!$C$102+Pressupostos!$C$103-Pressupostos!$E$30*Pressupostos!$C$104*Pressupostos!$C$102/(Pressupostos!$C$105*Pressupostos!$C$106)</f>
        <v>0.00354285714285715</v>
      </c>
      <c r="E974" s="60" t="n">
        <f aca="false">Pressupostos!$C$101*Pressupostos!$C$102+Pressupostos!$C$103-Pressupostos!$E$30*Pressupostos!$C$104*Pressupostos!$C$102/(Pressupostos!$C$105*Pressupostos!$C$106)</f>
        <v>0.00354285714285715</v>
      </c>
      <c r="F974" s="60" t="n">
        <f aca="false">Pressupostos!$C$101*Pressupostos!$C$102+Pressupostos!$C$103-Pressupostos!$E$30*Pressupostos!$C$104*Pressupostos!$C$102/(Pressupostos!$C$105*Pressupostos!$C$106)</f>
        <v>0.00354285714285715</v>
      </c>
      <c r="G974" s="60" t="n">
        <f aca="false">Pressupostos!$C$101*Pressupostos!$C$102+Pressupostos!$C$103-Pressupostos!$E$30*Pressupostos!$C$104*Pressupostos!$C$102/(Pressupostos!$C$105*Pressupostos!$C$106)</f>
        <v>0.00354285714285715</v>
      </c>
      <c r="H974" s="2" t="s">
        <v>1488</v>
      </c>
    </row>
    <row r="975" customFormat="false" ht="15" hidden="false" customHeight="false" outlineLevel="1" collapsed="false">
      <c r="A975" s="7" t="s">
        <v>829</v>
      </c>
      <c r="B975" s="8" t="s">
        <v>11</v>
      </c>
      <c r="C975" s="61" t="n">
        <f aca="false">IF(C974&gt;0,C674+C967/C974,"n/a")</f>
        <v>199375801.336491</v>
      </c>
      <c r="D975" s="61" t="n">
        <f aca="false">IF(D974&gt;0,D674+D967/D974,"n/a")</f>
        <v>250384817.715779</v>
      </c>
      <c r="E975" s="61" t="n">
        <f aca="false">IF(E974&gt;0,E674+E967/E974,"n/a")</f>
        <v>258195259.139429</v>
      </c>
      <c r="F975" s="61" t="n">
        <f aca="false">IF(F974&gt;0,F674+F967/F974,"n/a")</f>
        <v>252841646.608765</v>
      </c>
      <c r="G975" s="61" t="n">
        <f aca="false">IF(G974&gt;0,G674+G967/G974,"n/a")</f>
        <v>265770864.142429</v>
      </c>
      <c r="H975" s="2" t="s">
        <v>1489</v>
      </c>
    </row>
    <row r="978" customFormat="false" ht="15" hidden="false" customHeight="false" outlineLevel="0" collapsed="false">
      <c r="A978" s="111" t="s">
        <v>1492</v>
      </c>
      <c r="B978" s="112"/>
      <c r="C978" s="112"/>
      <c r="D978" s="112"/>
      <c r="E978" s="112"/>
      <c r="F978" s="112"/>
      <c r="G978" s="112"/>
      <c r="H978" s="112"/>
    </row>
    <row r="979" customFormat="false" ht="15" hidden="false" customHeight="false" outlineLevel="0" collapsed="false">
      <c r="A979" s="3" t="s">
        <v>1170</v>
      </c>
      <c r="B979" s="4"/>
      <c r="C979" s="4"/>
      <c r="D979" s="4"/>
      <c r="E979" s="4"/>
      <c r="F979" s="4"/>
      <c r="G979" s="4"/>
      <c r="H979" s="4"/>
    </row>
    <row r="980" customFormat="false" ht="15" hidden="false" customHeight="false" outlineLevel="1" collapsed="false">
      <c r="A980" s="7" t="s">
        <v>588</v>
      </c>
      <c r="B980" s="8"/>
      <c r="C980" s="52" t="n">
        <v>2027</v>
      </c>
      <c r="D980" s="52" t="n">
        <v>2028</v>
      </c>
      <c r="E980" s="52" t="n">
        <v>2029</v>
      </c>
      <c r="F980" s="52" t="n">
        <v>2030</v>
      </c>
      <c r="G980" s="52" t="n">
        <v>2031</v>
      </c>
      <c r="H980" s="2" t="s">
        <v>20</v>
      </c>
    </row>
    <row r="981" customFormat="false" ht="15" hidden="false" customHeight="false" outlineLevel="0" collapsed="false">
      <c r="A981" s="3" t="s">
        <v>1171</v>
      </c>
      <c r="B981" s="4"/>
      <c r="C981" s="4"/>
      <c r="D981" s="4"/>
      <c r="E981" s="4"/>
      <c r="F981" s="4"/>
      <c r="G981" s="4"/>
      <c r="H981" s="4"/>
    </row>
    <row r="982" customFormat="false" ht="15" hidden="false" customHeight="false" outlineLevel="1" collapsed="false">
      <c r="A982" s="7" t="s">
        <v>387</v>
      </c>
      <c r="B982" s="8" t="s">
        <v>123</v>
      </c>
      <c r="C982" s="53" t="n">
        <f aca="false">Pressupostos!$C$215</f>
        <v>40</v>
      </c>
      <c r="D982" s="53" t="n">
        <f aca="false">Pressupostos!$D$215</f>
        <v>150</v>
      </c>
      <c r="E982" s="53" t="n">
        <f aca="false">Pressupostos!$E$215</f>
        <v>400</v>
      </c>
      <c r="F982" s="53" t="n">
        <f aca="false">Pressupostos!$F$215</f>
        <v>700</v>
      </c>
      <c r="G982" s="53" t="n">
        <f aca="false">Pressupostos!$G$215</f>
        <v>1000</v>
      </c>
      <c r="H982" s="2" t="s">
        <v>1172</v>
      </c>
    </row>
    <row r="983" customFormat="false" ht="15" hidden="false" customHeight="false" outlineLevel="1" collapsed="false">
      <c r="A983" s="7" t="s">
        <v>590</v>
      </c>
      <c r="B983" s="8" t="s">
        <v>120</v>
      </c>
      <c r="C983" s="54" t="n">
        <f aca="false">Pressupostos!$C$221</f>
        <v>8.2</v>
      </c>
      <c r="D983" s="54" t="n">
        <f aca="false">Pressupostos!$D$221</f>
        <v>30.75</v>
      </c>
      <c r="E983" s="54" t="n">
        <f aca="false">Pressupostos!$E$221</f>
        <v>82</v>
      </c>
      <c r="F983" s="54" t="n">
        <f aca="false">Pressupostos!$F$221</f>
        <v>143.5</v>
      </c>
      <c r="G983" s="54" t="n">
        <f aca="false">Pressupostos!$G$221</f>
        <v>205</v>
      </c>
      <c r="H983" s="2" t="s">
        <v>1173</v>
      </c>
    </row>
    <row r="984" customFormat="false" ht="15" hidden="false" customHeight="false" outlineLevel="1" collapsed="false">
      <c r="A984" s="7" t="s">
        <v>591</v>
      </c>
      <c r="B984" s="8" t="s">
        <v>120</v>
      </c>
      <c r="C984" s="54" t="n">
        <f aca="false">Pressupostos!$C$227</f>
        <v>52</v>
      </c>
      <c r="D984" s="54" t="n">
        <f aca="false">Pressupostos!$D$227</f>
        <v>363</v>
      </c>
      <c r="E984" s="54" t="n">
        <f aca="false">Pressupostos!$E$227</f>
        <v>717</v>
      </c>
      <c r="F984" s="54" t="n">
        <f aca="false">Pressupostos!$F$227</f>
        <v>1183</v>
      </c>
      <c r="G984" s="54" t="n">
        <f aca="false">Pressupostos!$G$227</f>
        <v>1790</v>
      </c>
      <c r="H984" s="2" t="s">
        <v>1174</v>
      </c>
    </row>
    <row r="985" customFormat="false" ht="15" hidden="false" customHeight="false" outlineLevel="1" collapsed="false">
      <c r="A985" s="7" t="s">
        <v>398</v>
      </c>
      <c r="B985" s="8" t="s">
        <v>120</v>
      </c>
      <c r="C985" s="54" t="n">
        <f aca="false">Pressupostos!$C$233</f>
        <v>0</v>
      </c>
      <c r="D985" s="54" t="n">
        <f aca="false">Pressupostos!$D$233</f>
        <v>500</v>
      </c>
      <c r="E985" s="54" t="n">
        <f aca="false">Pressupostos!$E$233</f>
        <v>1500</v>
      </c>
      <c r="F985" s="54" t="n">
        <f aca="false">Pressupostos!$F$233</f>
        <v>2500</v>
      </c>
      <c r="G985" s="54" t="n">
        <f aca="false">Pressupostos!$G$233</f>
        <v>3500</v>
      </c>
      <c r="H985" s="2" t="s">
        <v>1175</v>
      </c>
    </row>
    <row r="986" customFormat="false" ht="15" hidden="false" customHeight="false" outlineLevel="1" collapsed="false">
      <c r="A986" s="7" t="s">
        <v>592</v>
      </c>
      <c r="B986" s="8" t="s">
        <v>120</v>
      </c>
      <c r="C986" s="55" t="n">
        <f aca="false">C985*Pressupostos!$F$33</f>
        <v>0</v>
      </c>
      <c r="D986" s="55" t="n">
        <f aca="false">D985*Pressupostos!$F$33</f>
        <v>0</v>
      </c>
      <c r="E986" s="55" t="n">
        <f aca="false">E985*Pressupostos!$F$33</f>
        <v>0</v>
      </c>
      <c r="F986" s="55" t="n">
        <f aca="false">F985*Pressupostos!$F$33</f>
        <v>0</v>
      </c>
      <c r="G986" s="55" t="n">
        <f aca="false">G985*Pressupostos!$F$33</f>
        <v>0</v>
      </c>
      <c r="H986" s="2" t="s">
        <v>1176</v>
      </c>
    </row>
    <row r="987" customFormat="false" ht="15" hidden="false" customHeight="false" outlineLevel="1" collapsed="false">
      <c r="A987" s="7" t="s">
        <v>593</v>
      </c>
      <c r="B987" s="8" t="s">
        <v>120</v>
      </c>
      <c r="C987" s="55" t="n">
        <f aca="false">C985-C986</f>
        <v>0</v>
      </c>
      <c r="D987" s="55" t="n">
        <f aca="false">D985-D986</f>
        <v>500</v>
      </c>
      <c r="E987" s="55" t="n">
        <f aca="false">E985-E986</f>
        <v>1500</v>
      </c>
      <c r="F987" s="55" t="n">
        <f aca="false">F985-F986</f>
        <v>2500</v>
      </c>
      <c r="G987" s="55" t="n">
        <f aca="false">G985-G986</f>
        <v>3500</v>
      </c>
      <c r="H987" s="2" t="s">
        <v>1177</v>
      </c>
    </row>
    <row r="988" customFormat="false" ht="15" hidden="false" customHeight="false" outlineLevel="1" collapsed="false">
      <c r="A988" s="56" t="s">
        <v>594</v>
      </c>
      <c r="B988" s="57" t="s">
        <v>120</v>
      </c>
      <c r="C988" s="58" t="n">
        <f aca="false">C983+C984+C985</f>
        <v>60.2</v>
      </c>
      <c r="D988" s="58" t="n">
        <f aca="false">D983+D984+D985</f>
        <v>893.75</v>
      </c>
      <c r="E988" s="58" t="n">
        <f aca="false">E983+E984+E985</f>
        <v>2299</v>
      </c>
      <c r="F988" s="58" t="n">
        <f aca="false">F983+F984+F985</f>
        <v>3826.5</v>
      </c>
      <c r="G988" s="58" t="n">
        <f aca="false">G983+G984+G985</f>
        <v>5495</v>
      </c>
      <c r="H988" s="2" t="s">
        <v>1178</v>
      </c>
    </row>
    <row r="989" customFormat="false" ht="15" hidden="false" customHeight="false" outlineLevel="1" collapsed="false">
      <c r="A989" s="7" t="s">
        <v>595</v>
      </c>
      <c r="B989" s="8" t="s">
        <v>76</v>
      </c>
      <c r="C989" s="59" t="n">
        <f aca="false">IF(C988&gt;0,C983/C988,0)</f>
        <v>0.136212624584718</v>
      </c>
      <c r="D989" s="59" t="n">
        <f aca="false">IF(D988&gt;0,D983/D988,0)</f>
        <v>0.0344055944055944</v>
      </c>
      <c r="E989" s="59" t="n">
        <f aca="false">IF(E988&gt;0,E983/E988,0)</f>
        <v>0.035667681600696</v>
      </c>
      <c r="F989" s="59" t="n">
        <f aca="false">IF(F988&gt;0,F983/F988,0)</f>
        <v>0.0375016333464001</v>
      </c>
      <c r="G989" s="59" t="n">
        <f aca="false">IF(G988&gt;0,G983/G988,0)</f>
        <v>0.0373066424021838</v>
      </c>
      <c r="H989" s="2" t="s">
        <v>1179</v>
      </c>
    </row>
    <row r="990" customFormat="false" ht="15" hidden="false" customHeight="false" outlineLevel="1" collapsed="false">
      <c r="A990" s="7" t="s">
        <v>596</v>
      </c>
      <c r="B990" s="8" t="s">
        <v>76</v>
      </c>
      <c r="C990" s="60" t="n">
        <f aca="false">C988/(Pressupostos!$C$76*1000)</f>
        <v>0.000355162241887906</v>
      </c>
      <c r="D990" s="60" t="n">
        <f aca="false">D988/(Pressupostos!$C$76*1000)</f>
        <v>0.00527286135693215</v>
      </c>
      <c r="E990" s="60" t="n">
        <f aca="false">E988/(Pressupostos!$C$76*1000)</f>
        <v>0.0135634218289086</v>
      </c>
      <c r="F990" s="60" t="n">
        <f aca="false">F988/(Pressupostos!$C$76*1000)</f>
        <v>0.0225752212389381</v>
      </c>
      <c r="G990" s="60" t="n">
        <f aca="false">G988/(Pressupostos!$C$76*1000)</f>
        <v>0.0324188790560472</v>
      </c>
      <c r="H990" s="2" t="s">
        <v>1180</v>
      </c>
    </row>
    <row r="991" customFormat="false" ht="15" hidden="false" customHeight="false" outlineLevel="1" collapsed="false">
      <c r="A991" s="7" t="s">
        <v>597</v>
      </c>
      <c r="B991" s="8" t="s">
        <v>123</v>
      </c>
      <c r="C991" s="55" t="n">
        <f aca="false">C983/Pressupostos!$C$40+C984/Pressupostos!$C$47+C985/Pressupostos!$C$59</f>
        <v>2.14333333333333</v>
      </c>
      <c r="D991" s="55" t="n">
        <f aca="false">D983/Pressupostos!$C$40+D984/Pressupostos!$C$47+D985/Pressupostos!$C$59</f>
        <v>18.6375</v>
      </c>
      <c r="E991" s="55" t="n">
        <f aca="false">E983/Pressupostos!$C$40+E984/Pressupostos!$C$47+E985/Pressupostos!$C$59</f>
        <v>43</v>
      </c>
      <c r="F991" s="55" t="n">
        <f aca="false">F983/Pressupostos!$C$40+F984/Pressupostos!$C$47+F985/Pressupostos!$C$59</f>
        <v>71.6083333333333</v>
      </c>
      <c r="G991" s="55" t="n">
        <f aca="false">G983/Pressupostos!$C$40+G984/Pressupostos!$C$47+G985/Pressupostos!$C$59</f>
        <v>104.916666666667</v>
      </c>
      <c r="H991" s="2" t="s">
        <v>1181</v>
      </c>
    </row>
    <row r="992" customFormat="false" ht="15" hidden="false" customHeight="false" outlineLevel="0" collapsed="false">
      <c r="A992" s="3" t="s">
        <v>1182</v>
      </c>
      <c r="B992" s="4"/>
      <c r="C992" s="4"/>
      <c r="D992" s="4"/>
      <c r="E992" s="4"/>
      <c r="F992" s="4"/>
      <c r="G992" s="4"/>
      <c r="H992" s="4"/>
    </row>
    <row r="993" customFormat="false" ht="15" hidden="false" customHeight="false" outlineLevel="1" collapsed="false">
      <c r="A993" s="7" t="s">
        <v>599</v>
      </c>
      <c r="B993" s="8" t="s">
        <v>202</v>
      </c>
      <c r="C993" s="53" t="n">
        <f aca="false">Pressupostos!$C$259</f>
        <v>36</v>
      </c>
      <c r="D993" s="53" t="n">
        <f aca="false">Pressupostos!$D$259</f>
        <v>135</v>
      </c>
      <c r="E993" s="53" t="n">
        <f aca="false">Pressupostos!$E$259</f>
        <v>360</v>
      </c>
      <c r="F993" s="53" t="n">
        <f aca="false">Pressupostos!$F$259</f>
        <v>630</v>
      </c>
      <c r="G993" s="53" t="n">
        <f aca="false">Pressupostos!$G$259</f>
        <v>900</v>
      </c>
      <c r="H993" s="2" t="s">
        <v>1183</v>
      </c>
    </row>
    <row r="994" customFormat="false" ht="15" hidden="false" customHeight="false" outlineLevel="1" collapsed="false">
      <c r="A994" s="7" t="s">
        <v>599</v>
      </c>
      <c r="B994" s="8" t="s">
        <v>189</v>
      </c>
      <c r="C994" s="61" t="n">
        <f aca="false">C993*Pressupostos!$C$78</f>
        <v>27000</v>
      </c>
      <c r="D994" s="61" t="n">
        <f aca="false">D993*Pressupostos!$C$78</f>
        <v>101250</v>
      </c>
      <c r="E994" s="61" t="n">
        <f aca="false">E993*Pressupostos!$C$78</f>
        <v>270000</v>
      </c>
      <c r="F994" s="61" t="n">
        <f aca="false">F993*Pressupostos!$C$78</f>
        <v>472500</v>
      </c>
      <c r="G994" s="61" t="n">
        <f aca="false">G993*Pressupostos!$C$78</f>
        <v>675000</v>
      </c>
      <c r="H994" s="2" t="s">
        <v>1184</v>
      </c>
    </row>
    <row r="995" customFormat="false" ht="15" hidden="false" customHeight="false" outlineLevel="0" collapsed="false">
      <c r="A995" s="3" t="s">
        <v>1185</v>
      </c>
      <c r="B995" s="4"/>
      <c r="C995" s="4"/>
      <c r="D995" s="4"/>
      <c r="E995" s="4"/>
      <c r="F995" s="4"/>
      <c r="G995" s="4"/>
      <c r="H995" s="4"/>
    </row>
    <row r="996" customFormat="false" ht="15" hidden="false" customHeight="false" outlineLevel="1" collapsed="false">
      <c r="A996" s="7" t="s">
        <v>601</v>
      </c>
      <c r="B996" s="8" t="s">
        <v>120</v>
      </c>
      <c r="C996" s="55" t="n">
        <f aca="false">IF(C980&lt;Pressupostos!$F$28,0,Pressupostos!$C$265)</f>
        <v>0</v>
      </c>
      <c r="D996" s="55" t="n">
        <f aca="false">IF(D980&lt;Pressupostos!$F$28,0,Pressupostos!$D$265)</f>
        <v>0</v>
      </c>
      <c r="E996" s="55" t="n">
        <f aca="false">IF(E980&lt;Pressupostos!$F$28,0,Pressupostos!$E$265)</f>
        <v>0</v>
      </c>
      <c r="F996" s="55" t="n">
        <f aca="false">IF(F980&lt;Pressupostos!$F$28,0,Pressupostos!$F$265)</f>
        <v>20</v>
      </c>
      <c r="G996" s="55" t="n">
        <f aca="false">IF(G980&lt;Pressupostos!$F$28,0,Pressupostos!$G$265)</f>
        <v>50</v>
      </c>
      <c r="H996" s="2" t="s">
        <v>1186</v>
      </c>
    </row>
    <row r="997" customFormat="false" ht="15" hidden="false" customHeight="false" outlineLevel="0" collapsed="false">
      <c r="A997" s="3" t="s">
        <v>1187</v>
      </c>
      <c r="B997" s="4"/>
      <c r="C997" s="4"/>
      <c r="D997" s="4"/>
      <c r="E997" s="4"/>
      <c r="F997" s="4"/>
      <c r="G997" s="4"/>
      <c r="H997" s="4"/>
    </row>
    <row r="998" customFormat="false" ht="15" hidden="false" customHeight="false" outlineLevel="1" collapsed="false">
      <c r="A998" s="7" t="s">
        <v>603</v>
      </c>
      <c r="B998" s="8" t="s">
        <v>11</v>
      </c>
      <c r="C998" s="53" t="n">
        <f aca="false">Pressupostos!$C$271</f>
        <v>0</v>
      </c>
      <c r="D998" s="53" t="n">
        <f aca="false">Pressupostos!$D$271</f>
        <v>500000</v>
      </c>
      <c r="E998" s="53" t="n">
        <f aca="false">Pressupostos!$E$271</f>
        <v>1500000</v>
      </c>
      <c r="F998" s="53" t="n">
        <f aca="false">Pressupostos!$F$271</f>
        <v>3000000</v>
      </c>
      <c r="G998" s="53" t="n">
        <f aca="false">Pressupostos!$G$271</f>
        <v>5000000</v>
      </c>
      <c r="H998" s="2" t="s">
        <v>1188</v>
      </c>
    </row>
    <row r="999" customFormat="false" ht="15" hidden="false" customHeight="false" outlineLevel="1" collapsed="false">
      <c r="A999" s="7" t="s">
        <v>604</v>
      </c>
      <c r="B999" s="8" t="s">
        <v>120</v>
      </c>
      <c r="C999" s="55" t="n">
        <f aca="false">C998/(Pressupostos!$C$105*Pressupostos!$C$106)*Pressupostos!$C$102/1000</f>
        <v>0</v>
      </c>
      <c r="D999" s="55" t="n">
        <f aca="false">D998/(Pressupostos!$C$105*Pressupostos!$C$106)*Pressupostos!$C$102/1000</f>
        <v>457.142857142857</v>
      </c>
      <c r="E999" s="55" t="n">
        <f aca="false">E998/(Pressupostos!$C$105*Pressupostos!$C$106)*Pressupostos!$C$102/1000</f>
        <v>1371.42857142857</v>
      </c>
      <c r="F999" s="55" t="n">
        <f aca="false">F998/(Pressupostos!$C$105*Pressupostos!$C$106)*Pressupostos!$C$102/1000</f>
        <v>2742.85714285714</v>
      </c>
      <c r="G999" s="55" t="n">
        <f aca="false">G998/(Pressupostos!$C$105*Pressupostos!$C$106)*Pressupostos!$C$102/1000</f>
        <v>4571.42857142857</v>
      </c>
      <c r="H999" s="2" t="s">
        <v>1189</v>
      </c>
    </row>
    <row r="1000" customFormat="false" ht="15" hidden="false" customHeight="false" outlineLevel="0" collapsed="false">
      <c r="A1000" s="3" t="s">
        <v>1190</v>
      </c>
      <c r="B1000" s="4"/>
      <c r="C1000" s="4"/>
      <c r="D1000" s="4"/>
      <c r="E1000" s="4"/>
      <c r="F1000" s="4"/>
      <c r="G1000" s="4"/>
      <c r="H1000" s="4"/>
    </row>
    <row r="1001" customFormat="false" ht="15" hidden="false" customHeight="false" outlineLevel="1" collapsed="false">
      <c r="A1001" s="7" t="s">
        <v>669</v>
      </c>
      <c r="B1001" s="8" t="s">
        <v>64</v>
      </c>
      <c r="C1001" s="63" t="n">
        <f aca="false">Pressupostos!$F$10+Pressupostos!$F$11</f>
        <v>3.65</v>
      </c>
      <c r="D1001" s="63" t="n">
        <f aca="false">Pressupostos!$F$10+Pressupostos!$F$11</f>
        <v>3.65</v>
      </c>
      <c r="E1001" s="63" t="n">
        <f aca="false">Pressupostos!$F$10+Pressupostos!$F$11</f>
        <v>3.65</v>
      </c>
      <c r="F1001" s="63" t="n">
        <f aca="false">Pressupostos!$F$10+Pressupostos!$F$11</f>
        <v>3.65</v>
      </c>
      <c r="G1001" s="63" t="n">
        <f aca="false">Pressupostos!$F$10+Pressupostos!$F$11</f>
        <v>3.65</v>
      </c>
      <c r="H1001" s="2" t="s">
        <v>1191</v>
      </c>
    </row>
    <row r="1002" customFormat="false" ht="15" hidden="false" customHeight="false" outlineLevel="1" collapsed="false">
      <c r="A1002" s="7" t="s">
        <v>670</v>
      </c>
      <c r="B1002" s="8" t="s">
        <v>64</v>
      </c>
      <c r="C1002" s="67" t="n">
        <f aca="false">Pressupostos!$F$15</f>
        <v>6</v>
      </c>
      <c r="D1002" s="67" t="n">
        <f aca="false">Pressupostos!$F$15</f>
        <v>6</v>
      </c>
      <c r="E1002" s="67" t="n">
        <f aca="false">Pressupostos!$F$15</f>
        <v>6</v>
      </c>
      <c r="F1002" s="67" t="n">
        <f aca="false">Pressupostos!$F$15</f>
        <v>6</v>
      </c>
      <c r="G1002" s="67" t="n">
        <f aca="false">Pressupostos!$F$15</f>
        <v>6</v>
      </c>
      <c r="H1002" s="2" t="s">
        <v>1192</v>
      </c>
    </row>
    <row r="1003" customFormat="false" ht="15" hidden="false" customHeight="false" outlineLevel="1" collapsed="false">
      <c r="A1003" s="56" t="s">
        <v>671</v>
      </c>
      <c r="B1003" s="57" t="s">
        <v>64</v>
      </c>
      <c r="C1003" s="68" t="n">
        <f aca="false">C1002*(1-Pressupostos!$F$16)</f>
        <v>5.4</v>
      </c>
      <c r="D1003" s="68" t="n">
        <f aca="false">D1002*(1-Pressupostos!$F$16)</f>
        <v>5.4</v>
      </c>
      <c r="E1003" s="68" t="n">
        <f aca="false">E1002*(1-Pressupostos!$F$16)</f>
        <v>5.4</v>
      </c>
      <c r="F1003" s="68" t="n">
        <f aca="false">F1002*(1-Pressupostos!$F$16)</f>
        <v>5.4</v>
      </c>
      <c r="G1003" s="68" t="n">
        <f aca="false">G1002*(1-Pressupostos!$F$16)</f>
        <v>5.4</v>
      </c>
      <c r="H1003" s="2" t="s">
        <v>1193</v>
      </c>
    </row>
    <row r="1004" customFormat="false" ht="15" hidden="false" customHeight="false" outlineLevel="1" collapsed="false">
      <c r="A1004" s="7" t="s">
        <v>144</v>
      </c>
      <c r="B1004" s="8" t="s">
        <v>64</v>
      </c>
      <c r="C1004" s="67" t="n">
        <f aca="false">Pressupostos!$C$38</f>
        <v>0.55</v>
      </c>
      <c r="D1004" s="67" t="n">
        <f aca="false">Pressupostos!$C$38</f>
        <v>0.55</v>
      </c>
      <c r="E1004" s="67" t="n">
        <f aca="false">Pressupostos!$C$38</f>
        <v>0.55</v>
      </c>
      <c r="F1004" s="67" t="n">
        <f aca="false">Pressupostos!$C$38</f>
        <v>0.55</v>
      </c>
      <c r="G1004" s="67" t="n">
        <f aca="false">Pressupostos!$C$38</f>
        <v>0.55</v>
      </c>
      <c r="H1004" s="2" t="s">
        <v>1194</v>
      </c>
    </row>
    <row r="1005" customFormat="false" ht="15" hidden="false" customHeight="false" outlineLevel="1" collapsed="false">
      <c r="A1005" s="7" t="s">
        <v>215</v>
      </c>
      <c r="B1005" s="8" t="s">
        <v>64</v>
      </c>
      <c r="C1005" s="67" t="n">
        <f aca="false">Pressupostos!$C$240</f>
        <v>0.3</v>
      </c>
      <c r="D1005" s="67" t="n">
        <f aca="false">Pressupostos!$D$240</f>
        <v>0.3</v>
      </c>
      <c r="E1005" s="67" t="n">
        <f aca="false">Pressupostos!$E$240</f>
        <v>0.28</v>
      </c>
      <c r="F1005" s="67" t="n">
        <f aca="false">Pressupostos!$F$240</f>
        <v>0.27</v>
      </c>
      <c r="G1005" s="67" t="n">
        <f aca="false">Pressupostos!$G$240</f>
        <v>0.27</v>
      </c>
      <c r="H1005" s="2" t="s">
        <v>1195</v>
      </c>
    </row>
    <row r="1006" customFormat="false" ht="15" hidden="false" customHeight="false" outlineLevel="1" collapsed="false">
      <c r="A1006" s="7" t="s">
        <v>117</v>
      </c>
      <c r="B1006" s="8" t="s">
        <v>64</v>
      </c>
      <c r="C1006" s="67" t="n">
        <f aca="false">Pressupostos!$C$39</f>
        <v>0.06</v>
      </c>
      <c r="D1006" s="67" t="n">
        <f aca="false">Pressupostos!$C$39</f>
        <v>0.06</v>
      </c>
      <c r="E1006" s="67" t="n">
        <f aca="false">Pressupostos!$C$39</f>
        <v>0.06</v>
      </c>
      <c r="F1006" s="67" t="n">
        <f aca="false">Pressupostos!$C$39</f>
        <v>0.06</v>
      </c>
      <c r="G1006" s="67" t="n">
        <f aca="false">Pressupostos!$C$39</f>
        <v>0.06</v>
      </c>
      <c r="H1006" s="2" t="s">
        <v>1196</v>
      </c>
    </row>
    <row r="1007" customFormat="false" ht="15" hidden="false" customHeight="false" outlineLevel="1" collapsed="false">
      <c r="A1007" s="7" t="s">
        <v>91</v>
      </c>
      <c r="B1007" s="8" t="s">
        <v>79</v>
      </c>
      <c r="C1007" s="69" t="n">
        <f aca="false">Pressupostos!$C$246</f>
        <v>180</v>
      </c>
      <c r="D1007" s="69" t="n">
        <f aca="false">Pressupostos!$D$246</f>
        <v>180</v>
      </c>
      <c r="E1007" s="69" t="n">
        <f aca="false">Pressupostos!$E$246</f>
        <v>45</v>
      </c>
      <c r="F1007" s="69" t="n">
        <f aca="false">Pressupostos!$F$246</f>
        <v>45</v>
      </c>
      <c r="G1007" s="69" t="n">
        <f aca="false">Pressupostos!$G$246</f>
        <v>45</v>
      </c>
      <c r="H1007" s="2" t="s">
        <v>1197</v>
      </c>
    </row>
    <row r="1008" customFormat="false" ht="15" hidden="false" customHeight="false" outlineLevel="1" collapsed="false">
      <c r="A1008" s="7" t="s">
        <v>78</v>
      </c>
      <c r="B1008" s="8" t="s">
        <v>79</v>
      </c>
      <c r="C1008" s="69" t="n">
        <f aca="false">Pressupostos!$F$17</f>
        <v>35</v>
      </c>
      <c r="D1008" s="69" t="n">
        <f aca="false">Pressupostos!$F$17</f>
        <v>35</v>
      </c>
      <c r="E1008" s="69" t="n">
        <f aca="false">Pressupostos!$F$17</f>
        <v>35</v>
      </c>
      <c r="F1008" s="69" t="n">
        <f aca="false">Pressupostos!$F$17</f>
        <v>35</v>
      </c>
      <c r="G1008" s="69" t="n">
        <f aca="false">Pressupostos!$F$17</f>
        <v>35</v>
      </c>
      <c r="H1008" s="2" t="s">
        <v>1198</v>
      </c>
    </row>
    <row r="1009" customFormat="false" ht="15" hidden="false" customHeight="false" outlineLevel="1" collapsed="false">
      <c r="A1009" s="7" t="s">
        <v>490</v>
      </c>
      <c r="B1009" s="8" t="s">
        <v>64</v>
      </c>
      <c r="C1009" s="63" t="n">
        <f aca="false">Pressupostos!$C$66*C1007/30/1000</f>
        <v>0.024</v>
      </c>
      <c r="D1009" s="63" t="n">
        <f aca="false">Pressupostos!$C$66*D1007/30/1000</f>
        <v>0.024</v>
      </c>
      <c r="E1009" s="63" t="n">
        <f aca="false">Pressupostos!$C$66*E1007/30/1000</f>
        <v>0.006</v>
      </c>
      <c r="F1009" s="63" t="n">
        <f aca="false">Pressupostos!$C$66*F1007/30/1000</f>
        <v>0.006</v>
      </c>
      <c r="G1009" s="63" t="n">
        <f aca="false">Pressupostos!$C$66*G1007/30/1000</f>
        <v>0.006</v>
      </c>
      <c r="H1009" s="2" t="s">
        <v>1199</v>
      </c>
    </row>
    <row r="1010" customFormat="false" ht="15" hidden="false" customHeight="false" outlineLevel="1" collapsed="false">
      <c r="A1010" s="7" t="s">
        <v>165</v>
      </c>
      <c r="B1010" s="8" t="s">
        <v>64</v>
      </c>
      <c r="C1010" s="63" t="n">
        <f aca="false">C1001*Pressupostos!$C$67*C1007/365</f>
        <v>0.0036</v>
      </c>
      <c r="D1010" s="63" t="n">
        <f aca="false">D1001*Pressupostos!$C$67*D1007/365</f>
        <v>0.0036</v>
      </c>
      <c r="E1010" s="63" t="n">
        <f aca="false">E1001*Pressupostos!$C$67*E1007/365</f>
        <v>0.0009</v>
      </c>
      <c r="F1010" s="63" t="n">
        <f aca="false">F1001*Pressupostos!$C$67*F1007/365</f>
        <v>0.0009</v>
      </c>
      <c r="G1010" s="63" t="n">
        <f aca="false">G1001*Pressupostos!$C$67*G1007/365</f>
        <v>0.0009</v>
      </c>
      <c r="H1010" s="2" t="s">
        <v>1200</v>
      </c>
    </row>
    <row r="1011" customFormat="false" ht="15" hidden="false" customHeight="false" outlineLevel="1" collapsed="false">
      <c r="A1011" s="7" t="s">
        <v>672</v>
      </c>
      <c r="B1011" s="8" t="s">
        <v>64</v>
      </c>
      <c r="C1011" s="63" t="n">
        <f aca="false">Pressupostos!$C$41*Pressupostos!$C$68/(Pressupostos!$C$40*1000)</f>
        <v>0.03</v>
      </c>
      <c r="D1011" s="63" t="n">
        <f aca="false">Pressupostos!$C$41*Pressupostos!$C$68/(Pressupostos!$C$40*1000)</f>
        <v>0.03</v>
      </c>
      <c r="E1011" s="63" t="n">
        <f aca="false">Pressupostos!$C$41*Pressupostos!$C$68/(Pressupostos!$C$40*1000)</f>
        <v>0.03</v>
      </c>
      <c r="F1011" s="63" t="n">
        <f aca="false">Pressupostos!$C$41*Pressupostos!$C$68/(Pressupostos!$C$40*1000)</f>
        <v>0.03</v>
      </c>
      <c r="G1011" s="63" t="n">
        <f aca="false">Pressupostos!$C$41*Pressupostos!$C$68/(Pressupostos!$C$40*1000)</f>
        <v>0.03</v>
      </c>
      <c r="H1011" s="2" t="s">
        <v>1201</v>
      </c>
    </row>
    <row r="1012" customFormat="false" ht="15" hidden="false" customHeight="false" outlineLevel="1" collapsed="false">
      <c r="A1012" s="7" t="s">
        <v>492</v>
      </c>
      <c r="B1012" s="8" t="s">
        <v>64</v>
      </c>
      <c r="C1012" s="63" t="n">
        <f aca="false">Pressupostos!$C$69*C1001</f>
        <v>0.01825</v>
      </c>
      <c r="D1012" s="63" t="n">
        <f aca="false">Pressupostos!$C$69*D1001</f>
        <v>0.01825</v>
      </c>
      <c r="E1012" s="63" t="n">
        <f aca="false">Pressupostos!$C$69*E1001</f>
        <v>0.01825</v>
      </c>
      <c r="F1012" s="63" t="n">
        <f aca="false">Pressupostos!$C$69*F1001</f>
        <v>0.01825</v>
      </c>
      <c r="G1012" s="63" t="n">
        <f aca="false">Pressupostos!$C$69*G1001</f>
        <v>0.01825</v>
      </c>
      <c r="H1012" s="2" t="s">
        <v>1202</v>
      </c>
    </row>
    <row r="1013" customFormat="false" ht="15" hidden="false" customHeight="false" outlineLevel="1" collapsed="false">
      <c r="A1013" s="7" t="s">
        <v>493</v>
      </c>
      <c r="B1013" s="8" t="s">
        <v>64</v>
      </c>
      <c r="C1013" s="63" t="n">
        <f aca="false">Pressupostos!$C$70*Pressupostos!$C$71*C1007/90</f>
        <v>0.018</v>
      </c>
      <c r="D1013" s="63" t="n">
        <f aca="false">Pressupostos!$C$70*Pressupostos!$C$71*D1007/90</f>
        <v>0.018</v>
      </c>
      <c r="E1013" s="63" t="n">
        <f aca="false">Pressupostos!$C$70*Pressupostos!$C$71*E1007/90</f>
        <v>0.0045</v>
      </c>
      <c r="F1013" s="63" t="n">
        <f aca="false">Pressupostos!$C$70*Pressupostos!$C$71*F1007/90</f>
        <v>0.0045</v>
      </c>
      <c r="G1013" s="63" t="n">
        <f aca="false">Pressupostos!$C$70*Pressupostos!$C$71*G1007/90</f>
        <v>0.0045</v>
      </c>
      <c r="H1013" s="2" t="s">
        <v>1203</v>
      </c>
    </row>
    <row r="1014" customFormat="false" ht="15" hidden="false" customHeight="false" outlineLevel="1" collapsed="false">
      <c r="A1014" s="7" t="s">
        <v>673</v>
      </c>
      <c r="B1014" s="8" t="s">
        <v>64</v>
      </c>
      <c r="C1014" s="63" t="n">
        <f aca="false">Pressupostos!$C$42/(Pressupostos!$C$40*1000)</f>
        <v>0.1</v>
      </c>
      <c r="D1014" s="63" t="n">
        <f aca="false">Pressupostos!$C$42/(Pressupostos!$C$40*1000)</f>
        <v>0.1</v>
      </c>
      <c r="E1014" s="63" t="n">
        <f aca="false">Pressupostos!$C$42/(Pressupostos!$C$40*1000)</f>
        <v>0.1</v>
      </c>
      <c r="F1014" s="63" t="n">
        <f aca="false">Pressupostos!$C$42/(Pressupostos!$C$40*1000)</f>
        <v>0.1</v>
      </c>
      <c r="G1014" s="63" t="n">
        <f aca="false">Pressupostos!$C$42/(Pressupostos!$C$40*1000)</f>
        <v>0.1</v>
      </c>
      <c r="H1014" s="2" t="s">
        <v>1204</v>
      </c>
    </row>
    <row r="1015" customFormat="false" ht="15" hidden="false" customHeight="false" outlineLevel="1" collapsed="false">
      <c r="A1015" s="7" t="s">
        <v>139</v>
      </c>
      <c r="B1015" s="8" t="s">
        <v>64</v>
      </c>
      <c r="C1015" s="67" t="n">
        <f aca="false">Pressupostos!$C$43</f>
        <v>0.01</v>
      </c>
      <c r="D1015" s="67" t="n">
        <f aca="false">Pressupostos!$C$43</f>
        <v>0.01</v>
      </c>
      <c r="E1015" s="67" t="n">
        <f aca="false">Pressupostos!$C$43</f>
        <v>0.01</v>
      </c>
      <c r="F1015" s="67" t="n">
        <f aca="false">Pressupostos!$C$43</f>
        <v>0.01</v>
      </c>
      <c r="G1015" s="67" t="n">
        <f aca="false">Pressupostos!$C$43</f>
        <v>0.01</v>
      </c>
      <c r="H1015" s="2" t="s">
        <v>1205</v>
      </c>
    </row>
    <row r="1016" customFormat="false" ht="15" hidden="false" customHeight="false" outlineLevel="1" collapsed="false">
      <c r="A1016" s="7" t="s">
        <v>81</v>
      </c>
      <c r="B1016" s="8" t="s">
        <v>64</v>
      </c>
      <c r="C1016" s="63" t="n">
        <f aca="false">Pressupostos!$F$18*C1003</f>
        <v>0.0324</v>
      </c>
      <c r="D1016" s="63" t="n">
        <f aca="false">Pressupostos!$F$18*D1003</f>
        <v>0.0324</v>
      </c>
      <c r="E1016" s="63" t="n">
        <f aca="false">Pressupostos!$F$18*E1003</f>
        <v>0.0324</v>
      </c>
      <c r="F1016" s="63" t="n">
        <f aca="false">Pressupostos!$F$18*F1003</f>
        <v>0.0324</v>
      </c>
      <c r="G1016" s="63" t="n">
        <f aca="false">Pressupostos!$F$18*G1003</f>
        <v>0.0324</v>
      </c>
      <c r="H1016" s="2" t="s">
        <v>1206</v>
      </c>
    </row>
    <row r="1017" customFormat="false" ht="15" hidden="false" customHeight="false" outlineLevel="1" collapsed="false">
      <c r="A1017" s="7" t="s">
        <v>674</v>
      </c>
      <c r="B1017" s="8" t="s">
        <v>64</v>
      </c>
      <c r="C1017" s="63" t="n">
        <f aca="false">Pressupostos!$C$73*C1003</f>
        <v>0</v>
      </c>
      <c r="D1017" s="63" t="n">
        <f aca="false">Pressupostos!$C$73*D1003</f>
        <v>0</v>
      </c>
      <c r="E1017" s="63" t="n">
        <f aca="false">Pressupostos!$C$73*E1003</f>
        <v>0</v>
      </c>
      <c r="F1017" s="63" t="n">
        <f aca="false">Pressupostos!$C$73*F1003</f>
        <v>0</v>
      </c>
      <c r="G1017" s="63" t="n">
        <f aca="false">Pressupostos!$C$73*G1003</f>
        <v>0</v>
      </c>
      <c r="H1017" s="2" t="s">
        <v>1207</v>
      </c>
    </row>
    <row r="1018" customFormat="false" ht="15" hidden="false" customHeight="false" outlineLevel="1" collapsed="false">
      <c r="A1018" s="7" t="s">
        <v>675</v>
      </c>
      <c r="B1018" s="8" t="s">
        <v>64</v>
      </c>
      <c r="C1018" s="63" t="n">
        <f aca="false">Pressupostos!$C$290*(C1001+C1004)*(C1007+C1008-Pressupostos!$C$72)/365*Pressupostos!$C$284/Pressupostos!$F$31</f>
        <v>0</v>
      </c>
      <c r="D1018" s="63" t="n">
        <f aca="false">Pressupostos!$D$290*(D1001+D1004)*(D1007+D1008-Pressupostos!$C$72)/365*Pressupostos!$D$284/Pressupostos!$F$31</f>
        <v>0.159657534246575</v>
      </c>
      <c r="E1018" s="63" t="n">
        <f aca="false">Pressupostos!$E$290*(E1001+E1004)*(E1007+E1008-Pressupostos!$C$72)/365*Pressupostos!$E$284/Pressupostos!$F$31</f>
        <v>0.0404537671232877</v>
      </c>
      <c r="F1018" s="63" t="n">
        <f aca="false">Pressupostos!$F$290*(F1001+F1004)*(F1007+F1008-Pressupostos!$C$72)/365*Pressupostos!$F$284/Pressupostos!$F$31</f>
        <v>0.0377568493150685</v>
      </c>
      <c r="G1018" s="63" t="n">
        <f aca="false">Pressupostos!$G$290*(G1001+G1004)*(G1007+G1008-Pressupostos!$C$72)/365*Pressupostos!$G$284/Pressupostos!$F$31</f>
        <v>0.0377568493150685</v>
      </c>
      <c r="H1018" s="2" t="s">
        <v>1208</v>
      </c>
    </row>
    <row r="1019" customFormat="false" ht="15" hidden="false" customHeight="false" outlineLevel="1" collapsed="false">
      <c r="A1019" s="7" t="s">
        <v>676</v>
      </c>
      <c r="B1019" s="8" t="s">
        <v>64</v>
      </c>
      <c r="C1019" s="63" t="n">
        <f aca="false">C1001+C1004+C1005+C1006+C1009+C1010+C1011+C1012+C1013+C1014+C1015+C1016+C1017+C1018</f>
        <v>4.79625</v>
      </c>
      <c r="D1019" s="63" t="n">
        <f aca="false">D1001+D1004+D1005+D1006+D1009+D1010+D1011+D1012+D1013+D1014+D1015+D1016+D1017+D1018</f>
        <v>4.95590753424657</v>
      </c>
      <c r="E1019" s="63" t="n">
        <f aca="false">E1001+E1004+E1005+E1006+E1009+E1010+E1011+E1012+E1013+E1014+E1015+E1016+E1017+E1018</f>
        <v>4.78250376712329</v>
      </c>
      <c r="F1019" s="63" t="n">
        <f aca="false">F1001+F1004+F1005+F1006+F1009+F1010+F1011+F1012+F1013+F1014+F1015+F1016+F1017+F1018</f>
        <v>4.76980684931507</v>
      </c>
      <c r="G1019" s="63" t="n">
        <f aca="false">G1001+G1004+G1005+G1006+G1009+G1010+G1011+G1012+G1013+G1014+G1015+G1016+G1017+G1018</f>
        <v>4.76980684931507</v>
      </c>
      <c r="H1019" s="2" t="s">
        <v>1209</v>
      </c>
    </row>
    <row r="1020" customFormat="false" ht="15" hidden="false" customHeight="false" outlineLevel="1" collapsed="false">
      <c r="A1020" s="56" t="s">
        <v>677</v>
      </c>
      <c r="B1020" s="57" t="s">
        <v>64</v>
      </c>
      <c r="C1020" s="68" t="n">
        <f aca="false">C1003-C1019</f>
        <v>0.603750000000002</v>
      </c>
      <c r="D1020" s="68" t="n">
        <f aca="false">D1003-D1019</f>
        <v>0.444092465753426</v>
      </c>
      <c r="E1020" s="68" t="n">
        <f aca="false">E1003-E1019</f>
        <v>0.617496232876713</v>
      </c>
      <c r="F1020" s="68" t="n">
        <f aca="false">F1003-F1019</f>
        <v>0.630193150684931</v>
      </c>
      <c r="G1020" s="68" t="n">
        <f aca="false">G1003-G1019</f>
        <v>0.630193150684931</v>
      </c>
      <c r="H1020" s="2" t="s">
        <v>1210</v>
      </c>
    </row>
    <row r="1021" customFormat="false" ht="15" hidden="false" customHeight="false" outlineLevel="1" collapsed="false">
      <c r="A1021" s="7" t="s">
        <v>678</v>
      </c>
      <c r="B1021" s="8" t="s">
        <v>76</v>
      </c>
      <c r="C1021" s="59" t="n">
        <f aca="false">IF(C1003&gt;0,C1020/C1003,0)</f>
        <v>0.111805555555556</v>
      </c>
      <c r="D1021" s="59" t="n">
        <f aca="false">IF(D1003&gt;0,D1020/D1003,0)</f>
        <v>0.0822393455098938</v>
      </c>
      <c r="E1021" s="59" t="n">
        <f aca="false">IF(E1003&gt;0,E1020/E1003,0)</f>
        <v>0.114351154236428</v>
      </c>
      <c r="F1021" s="59" t="n">
        <f aca="false">IF(F1003&gt;0,F1020/F1003,0)</f>
        <v>0.116702435312024</v>
      </c>
      <c r="G1021" s="59" t="n">
        <f aca="false">IF(G1003&gt;0,G1020/G1003,0)</f>
        <v>0.116702435312024</v>
      </c>
      <c r="H1021" s="2" t="s">
        <v>1211</v>
      </c>
    </row>
    <row r="1022" customFormat="false" ht="15" hidden="false" customHeight="false" outlineLevel="1" collapsed="false">
      <c r="A1022" s="7" t="s">
        <v>679</v>
      </c>
      <c r="B1022" s="8" t="s">
        <v>64</v>
      </c>
      <c r="C1022" s="63" t="n">
        <f aca="false">(C1001+C1004)*(C1007-Pressupostos!$C$72)/365+C1003*C1008/365</f>
        <v>2.24383561643836</v>
      </c>
      <c r="D1022" s="63" t="n">
        <f aca="false">(D1001+D1004)*(D1007-Pressupostos!$C$72)/365+D1003*D1008/365</f>
        <v>2.24383561643836</v>
      </c>
      <c r="E1022" s="63" t="n">
        <f aca="false">(E1001+E1004)*(E1007-Pressupostos!$C$72)/365+E1003*E1008/365</f>
        <v>0.69041095890411</v>
      </c>
      <c r="F1022" s="63" t="n">
        <f aca="false">(F1001+F1004)*(F1007-Pressupostos!$C$72)/365+F1003*F1008/365</f>
        <v>0.69041095890411</v>
      </c>
      <c r="G1022" s="63" t="n">
        <f aca="false">(G1001+G1004)*(G1007-Pressupostos!$C$72)/365+G1003*G1008/365</f>
        <v>0.69041095890411</v>
      </c>
      <c r="H1022" s="2" t="s">
        <v>1212</v>
      </c>
    </row>
    <row r="1023" customFormat="false" ht="15" hidden="false" customHeight="false" outlineLevel="0" collapsed="false">
      <c r="A1023" s="3" t="s">
        <v>1213</v>
      </c>
      <c r="B1023" s="4"/>
      <c r="C1023" s="4"/>
      <c r="D1023" s="4"/>
      <c r="E1023" s="4"/>
      <c r="F1023" s="4"/>
      <c r="G1023" s="4"/>
      <c r="H1023" s="4"/>
    </row>
    <row r="1024" customFormat="false" ht="15" hidden="false" customHeight="false" outlineLevel="1" collapsed="false">
      <c r="A1024" s="7" t="s">
        <v>669</v>
      </c>
      <c r="B1024" s="8" t="s">
        <v>64</v>
      </c>
      <c r="C1024" s="63" t="n">
        <f aca="false">Pressupostos!$F$10+Pressupostos!$F$12</f>
        <v>3.6</v>
      </c>
      <c r="D1024" s="63" t="n">
        <f aca="false">Pressupostos!$F$10+Pressupostos!$F$12</f>
        <v>3.6</v>
      </c>
      <c r="E1024" s="63" t="n">
        <f aca="false">Pressupostos!$F$10+Pressupostos!$F$12</f>
        <v>3.6</v>
      </c>
      <c r="F1024" s="63" t="n">
        <f aca="false">Pressupostos!$F$10+Pressupostos!$F$12</f>
        <v>3.6</v>
      </c>
      <c r="G1024" s="63" t="n">
        <f aca="false">Pressupostos!$F$10+Pressupostos!$F$12</f>
        <v>3.6</v>
      </c>
      <c r="H1024" s="2" t="s">
        <v>1214</v>
      </c>
    </row>
    <row r="1025" customFormat="false" ht="15" hidden="false" customHeight="false" outlineLevel="1" collapsed="false">
      <c r="A1025" s="7" t="s">
        <v>670</v>
      </c>
      <c r="B1025" s="8" t="s">
        <v>64</v>
      </c>
      <c r="C1025" s="63" t="n">
        <f aca="false">Pressupostos!$F$20+Pressupostos!$F$21</f>
        <v>4.45</v>
      </c>
      <c r="D1025" s="63" t="n">
        <f aca="false">Pressupostos!$F$20+Pressupostos!$F$21</f>
        <v>4.45</v>
      </c>
      <c r="E1025" s="63" t="n">
        <f aca="false">Pressupostos!$F$20+Pressupostos!$F$21</f>
        <v>4.45</v>
      </c>
      <c r="F1025" s="63" t="n">
        <f aca="false">Pressupostos!$F$20+Pressupostos!$F$21</f>
        <v>4.45</v>
      </c>
      <c r="G1025" s="63" t="n">
        <f aca="false">Pressupostos!$F$20+Pressupostos!$F$21</f>
        <v>4.45</v>
      </c>
      <c r="H1025" s="2" t="s">
        <v>1215</v>
      </c>
    </row>
    <row r="1026" customFormat="false" ht="15" hidden="false" customHeight="false" outlineLevel="1" collapsed="false">
      <c r="A1026" s="56" t="s">
        <v>671</v>
      </c>
      <c r="B1026" s="57" t="s">
        <v>64</v>
      </c>
      <c r="C1026" s="68" t="n">
        <f aca="false">C1025*(1-Pressupostos!$F$22)</f>
        <v>4.45</v>
      </c>
      <c r="D1026" s="68" t="n">
        <f aca="false">D1025*(1-Pressupostos!$F$22)</f>
        <v>4.45</v>
      </c>
      <c r="E1026" s="68" t="n">
        <f aca="false">E1025*(1-Pressupostos!$F$22)</f>
        <v>4.45</v>
      </c>
      <c r="F1026" s="68" t="n">
        <f aca="false">F1025*(1-Pressupostos!$F$22)</f>
        <v>4.45</v>
      </c>
      <c r="G1026" s="68" t="n">
        <f aca="false">G1025*(1-Pressupostos!$F$22)</f>
        <v>4.45</v>
      </c>
      <c r="H1026" s="2" t="s">
        <v>1216</v>
      </c>
    </row>
    <row r="1027" customFormat="false" ht="15" hidden="false" customHeight="false" outlineLevel="1" collapsed="false">
      <c r="A1027" s="7" t="s">
        <v>144</v>
      </c>
      <c r="B1027" s="8" t="s">
        <v>64</v>
      </c>
      <c r="C1027" s="67" t="n">
        <f aca="false">Pressupostos!$C$45</f>
        <v>0.45</v>
      </c>
      <c r="D1027" s="67" t="n">
        <f aca="false">Pressupostos!$C$45</f>
        <v>0.45</v>
      </c>
      <c r="E1027" s="67" t="n">
        <f aca="false">Pressupostos!$C$45</f>
        <v>0.45</v>
      </c>
      <c r="F1027" s="67" t="n">
        <f aca="false">Pressupostos!$C$45</f>
        <v>0.45</v>
      </c>
      <c r="G1027" s="67" t="n">
        <f aca="false">Pressupostos!$C$45</f>
        <v>0.45</v>
      </c>
      <c r="H1027" s="2" t="s">
        <v>1217</v>
      </c>
    </row>
    <row r="1028" customFormat="false" ht="15" hidden="false" customHeight="false" outlineLevel="1" collapsed="false">
      <c r="A1028" s="7" t="s">
        <v>215</v>
      </c>
      <c r="B1028" s="8" t="s">
        <v>64</v>
      </c>
      <c r="C1028" s="67" t="n">
        <f aca="false">Pressupostos!$C$252</f>
        <v>0.1</v>
      </c>
      <c r="D1028" s="67" t="n">
        <f aca="false">Pressupostos!$D$252</f>
        <v>0.1</v>
      </c>
      <c r="E1028" s="67" t="n">
        <f aca="false">Pressupostos!$E$252</f>
        <v>0.09</v>
      </c>
      <c r="F1028" s="67" t="n">
        <f aca="false">Pressupostos!$F$252</f>
        <v>0.09</v>
      </c>
      <c r="G1028" s="67" t="n">
        <f aca="false">Pressupostos!$G$252</f>
        <v>0.09</v>
      </c>
      <c r="H1028" s="2" t="s">
        <v>1218</v>
      </c>
    </row>
    <row r="1029" customFormat="false" ht="15" hidden="false" customHeight="false" outlineLevel="1" collapsed="false">
      <c r="A1029" s="7" t="s">
        <v>117</v>
      </c>
      <c r="B1029" s="8" t="s">
        <v>64</v>
      </c>
      <c r="C1029" s="67" t="n">
        <f aca="false">Pressupostos!$C$46</f>
        <v>0</v>
      </c>
      <c r="D1029" s="67" t="n">
        <f aca="false">Pressupostos!$C$46</f>
        <v>0</v>
      </c>
      <c r="E1029" s="67" t="n">
        <f aca="false">Pressupostos!$C$46</f>
        <v>0</v>
      </c>
      <c r="F1029" s="67" t="n">
        <f aca="false">Pressupostos!$C$46</f>
        <v>0</v>
      </c>
      <c r="G1029" s="67" t="n">
        <f aca="false">Pressupostos!$C$46</f>
        <v>0</v>
      </c>
      <c r="H1029" s="2" t="s">
        <v>1219</v>
      </c>
    </row>
    <row r="1030" customFormat="false" ht="15" hidden="false" customHeight="false" outlineLevel="1" collapsed="false">
      <c r="A1030" s="7" t="s">
        <v>91</v>
      </c>
      <c r="B1030" s="8" t="s">
        <v>79</v>
      </c>
      <c r="C1030" s="69" t="n">
        <f aca="false">Pressupostos!$F$23</f>
        <v>30</v>
      </c>
      <c r="D1030" s="69" t="n">
        <f aca="false">Pressupostos!$F$23</f>
        <v>30</v>
      </c>
      <c r="E1030" s="69" t="n">
        <f aca="false">Pressupostos!$F$23</f>
        <v>30</v>
      </c>
      <c r="F1030" s="69" t="n">
        <f aca="false">Pressupostos!$F$23</f>
        <v>30</v>
      </c>
      <c r="G1030" s="69" t="n">
        <f aca="false">Pressupostos!$F$23</f>
        <v>30</v>
      </c>
      <c r="H1030" s="2" t="s">
        <v>1220</v>
      </c>
    </row>
    <row r="1031" customFormat="false" ht="15" hidden="false" customHeight="false" outlineLevel="1" collapsed="false">
      <c r="A1031" s="7" t="s">
        <v>78</v>
      </c>
      <c r="B1031" s="8" t="s">
        <v>79</v>
      </c>
      <c r="C1031" s="69" t="n">
        <f aca="false">Pressupostos!$F$24</f>
        <v>55</v>
      </c>
      <c r="D1031" s="69" t="n">
        <f aca="false">Pressupostos!$F$24</f>
        <v>55</v>
      </c>
      <c r="E1031" s="69" t="n">
        <f aca="false">Pressupostos!$F$24</f>
        <v>55</v>
      </c>
      <c r="F1031" s="69" t="n">
        <f aca="false">Pressupostos!$F$24</f>
        <v>55</v>
      </c>
      <c r="G1031" s="69" t="n">
        <f aca="false">Pressupostos!$F$24</f>
        <v>55</v>
      </c>
      <c r="H1031" s="2" t="s">
        <v>1221</v>
      </c>
    </row>
    <row r="1032" customFormat="false" ht="15" hidden="false" customHeight="false" outlineLevel="1" collapsed="false">
      <c r="A1032" s="7" t="s">
        <v>490</v>
      </c>
      <c r="B1032" s="8" t="s">
        <v>64</v>
      </c>
      <c r="C1032" s="63" t="n">
        <f aca="false">Pressupostos!$C$66*C1030/30/1000</f>
        <v>0.004</v>
      </c>
      <c r="D1032" s="63" t="n">
        <f aca="false">Pressupostos!$C$66*D1030/30/1000</f>
        <v>0.004</v>
      </c>
      <c r="E1032" s="63" t="n">
        <f aca="false">Pressupostos!$C$66*E1030/30/1000</f>
        <v>0.004</v>
      </c>
      <c r="F1032" s="63" t="n">
        <f aca="false">Pressupostos!$C$66*F1030/30/1000</f>
        <v>0.004</v>
      </c>
      <c r="G1032" s="63" t="n">
        <f aca="false">Pressupostos!$C$66*G1030/30/1000</f>
        <v>0.004</v>
      </c>
      <c r="H1032" s="2" t="s">
        <v>1222</v>
      </c>
    </row>
    <row r="1033" customFormat="false" ht="15" hidden="false" customHeight="false" outlineLevel="1" collapsed="false">
      <c r="A1033" s="7" t="s">
        <v>165</v>
      </c>
      <c r="B1033" s="8" t="s">
        <v>64</v>
      </c>
      <c r="C1033" s="63" t="n">
        <f aca="false">C1024*Pressupostos!$C$67*C1030/365</f>
        <v>0.000591780821917808</v>
      </c>
      <c r="D1033" s="63" t="n">
        <f aca="false">D1024*Pressupostos!$C$67*D1030/365</f>
        <v>0.000591780821917808</v>
      </c>
      <c r="E1033" s="63" t="n">
        <f aca="false">E1024*Pressupostos!$C$67*E1030/365</f>
        <v>0.000591780821917808</v>
      </c>
      <c r="F1033" s="63" t="n">
        <f aca="false">F1024*Pressupostos!$C$67*F1030/365</f>
        <v>0.000591780821917808</v>
      </c>
      <c r="G1033" s="63" t="n">
        <f aca="false">G1024*Pressupostos!$C$67*G1030/365</f>
        <v>0.000591780821917808</v>
      </c>
      <c r="H1033" s="2" t="s">
        <v>1223</v>
      </c>
    </row>
    <row r="1034" customFormat="false" ht="15" hidden="false" customHeight="false" outlineLevel="1" collapsed="false">
      <c r="A1034" s="7" t="s">
        <v>672</v>
      </c>
      <c r="B1034" s="8" t="s">
        <v>64</v>
      </c>
      <c r="C1034" s="63" t="n">
        <f aca="false">Pressupostos!$C$48*Pressupostos!$C$68/(Pressupostos!$C$47*1000)</f>
        <v>0.02</v>
      </c>
      <c r="D1034" s="63" t="n">
        <f aca="false">Pressupostos!$C$48*Pressupostos!$C$68/(Pressupostos!$C$47*1000)</f>
        <v>0.02</v>
      </c>
      <c r="E1034" s="63" t="n">
        <f aca="false">Pressupostos!$C$48*Pressupostos!$C$68/(Pressupostos!$C$47*1000)</f>
        <v>0.02</v>
      </c>
      <c r="F1034" s="63" t="n">
        <f aca="false">Pressupostos!$C$48*Pressupostos!$C$68/(Pressupostos!$C$47*1000)</f>
        <v>0.02</v>
      </c>
      <c r="G1034" s="63" t="n">
        <f aca="false">Pressupostos!$C$48*Pressupostos!$C$68/(Pressupostos!$C$47*1000)</f>
        <v>0.02</v>
      </c>
      <c r="H1034" s="2" t="s">
        <v>1224</v>
      </c>
    </row>
    <row r="1035" customFormat="false" ht="15" hidden="false" customHeight="false" outlineLevel="1" collapsed="false">
      <c r="A1035" s="7" t="s">
        <v>492</v>
      </c>
      <c r="B1035" s="8" t="s">
        <v>64</v>
      </c>
      <c r="C1035" s="63" t="n">
        <f aca="false">Pressupostos!$C$69*C1024</f>
        <v>0.018</v>
      </c>
      <c r="D1035" s="63" t="n">
        <f aca="false">Pressupostos!$C$69*D1024</f>
        <v>0.018</v>
      </c>
      <c r="E1035" s="63" t="n">
        <f aca="false">Pressupostos!$C$69*E1024</f>
        <v>0.018</v>
      </c>
      <c r="F1035" s="63" t="n">
        <f aca="false">Pressupostos!$C$69*F1024</f>
        <v>0.018</v>
      </c>
      <c r="G1035" s="63" t="n">
        <f aca="false">Pressupostos!$C$69*G1024</f>
        <v>0.018</v>
      </c>
      <c r="H1035" s="2" t="s">
        <v>1225</v>
      </c>
    </row>
    <row r="1036" customFormat="false" ht="15" hidden="false" customHeight="false" outlineLevel="1" collapsed="false">
      <c r="A1036" s="7" t="s">
        <v>493</v>
      </c>
      <c r="B1036" s="8" t="s">
        <v>64</v>
      </c>
      <c r="C1036" s="63" t="n">
        <f aca="false">Pressupostos!$C$70*Pressupostos!$C$71*C1030/90</f>
        <v>0.003</v>
      </c>
      <c r="D1036" s="63" t="n">
        <f aca="false">Pressupostos!$C$70*Pressupostos!$C$71*D1030/90</f>
        <v>0.003</v>
      </c>
      <c r="E1036" s="63" t="n">
        <f aca="false">Pressupostos!$C$70*Pressupostos!$C$71*E1030/90</f>
        <v>0.003</v>
      </c>
      <c r="F1036" s="63" t="n">
        <f aca="false">Pressupostos!$C$70*Pressupostos!$C$71*F1030/90</f>
        <v>0.003</v>
      </c>
      <c r="G1036" s="63" t="n">
        <f aca="false">Pressupostos!$C$70*Pressupostos!$C$71*G1030/90</f>
        <v>0.003</v>
      </c>
      <c r="H1036" s="2" t="s">
        <v>1226</v>
      </c>
    </row>
    <row r="1037" customFormat="false" ht="15" hidden="false" customHeight="false" outlineLevel="1" collapsed="false">
      <c r="A1037" s="7" t="s">
        <v>673</v>
      </c>
      <c r="B1037" s="8" t="s">
        <v>64</v>
      </c>
      <c r="C1037" s="63" t="n">
        <f aca="false">Pressupostos!$C$49/(Pressupostos!$C$47*1000)</f>
        <v>0.04</v>
      </c>
      <c r="D1037" s="63" t="n">
        <f aca="false">Pressupostos!$C$49/(Pressupostos!$C$47*1000)</f>
        <v>0.04</v>
      </c>
      <c r="E1037" s="63" t="n">
        <f aca="false">Pressupostos!$C$49/(Pressupostos!$C$47*1000)</f>
        <v>0.04</v>
      </c>
      <c r="F1037" s="63" t="n">
        <f aca="false">Pressupostos!$C$49/(Pressupostos!$C$47*1000)</f>
        <v>0.04</v>
      </c>
      <c r="G1037" s="63" t="n">
        <f aca="false">Pressupostos!$C$49/(Pressupostos!$C$47*1000)</f>
        <v>0.04</v>
      </c>
      <c r="H1037" s="2" t="s">
        <v>1227</v>
      </c>
    </row>
    <row r="1038" customFormat="false" ht="15" hidden="false" customHeight="false" outlineLevel="1" collapsed="false">
      <c r="A1038" s="7" t="s">
        <v>139</v>
      </c>
      <c r="B1038" s="8" t="s">
        <v>64</v>
      </c>
      <c r="C1038" s="67" t="n">
        <f aca="false">Pressupostos!$C$50</f>
        <v>0.005</v>
      </c>
      <c r="D1038" s="67" t="n">
        <f aca="false">Pressupostos!$C$50</f>
        <v>0.005</v>
      </c>
      <c r="E1038" s="67" t="n">
        <f aca="false">Pressupostos!$C$50</f>
        <v>0.005</v>
      </c>
      <c r="F1038" s="67" t="n">
        <f aca="false">Pressupostos!$C$50</f>
        <v>0.005</v>
      </c>
      <c r="G1038" s="67" t="n">
        <f aca="false">Pressupostos!$C$50</f>
        <v>0.005</v>
      </c>
      <c r="H1038" s="2" t="s">
        <v>1228</v>
      </c>
    </row>
    <row r="1039" customFormat="false" ht="15" hidden="false" customHeight="false" outlineLevel="1" collapsed="false">
      <c r="A1039" s="7" t="s">
        <v>81</v>
      </c>
      <c r="B1039" s="8" t="s">
        <v>64</v>
      </c>
      <c r="C1039" s="63" t="n">
        <f aca="false">Pressupostos!$F$25*C1026</f>
        <v>0.01335</v>
      </c>
      <c r="D1039" s="63" t="n">
        <f aca="false">Pressupostos!$F$25*D1026</f>
        <v>0.01335</v>
      </c>
      <c r="E1039" s="63" t="n">
        <f aca="false">Pressupostos!$F$25*E1026</f>
        <v>0.01335</v>
      </c>
      <c r="F1039" s="63" t="n">
        <f aca="false">Pressupostos!$F$25*F1026</f>
        <v>0.01335</v>
      </c>
      <c r="G1039" s="63" t="n">
        <f aca="false">Pressupostos!$F$25*G1026</f>
        <v>0.01335</v>
      </c>
      <c r="H1039" s="2" t="s">
        <v>1229</v>
      </c>
    </row>
    <row r="1040" customFormat="false" ht="15" hidden="false" customHeight="false" outlineLevel="1" collapsed="false">
      <c r="A1040" s="7" t="s">
        <v>674</v>
      </c>
      <c r="B1040" s="8" t="s">
        <v>64</v>
      </c>
      <c r="C1040" s="63" t="n">
        <f aca="false">Pressupostos!$C$73*C1026</f>
        <v>0</v>
      </c>
      <c r="D1040" s="63" t="n">
        <f aca="false">Pressupostos!$C$73*D1026</f>
        <v>0</v>
      </c>
      <c r="E1040" s="63" t="n">
        <f aca="false">Pressupostos!$C$73*E1026</f>
        <v>0</v>
      </c>
      <c r="F1040" s="63" t="n">
        <f aca="false">Pressupostos!$C$73*F1026</f>
        <v>0</v>
      </c>
      <c r="G1040" s="63" t="n">
        <f aca="false">Pressupostos!$C$73*G1026</f>
        <v>0</v>
      </c>
      <c r="H1040" s="2" t="s">
        <v>1230</v>
      </c>
    </row>
    <row r="1041" customFormat="false" ht="15" hidden="false" customHeight="false" outlineLevel="1" collapsed="false">
      <c r="A1041" s="7" t="s">
        <v>675</v>
      </c>
      <c r="B1041" s="8" t="s">
        <v>64</v>
      </c>
      <c r="C1041" s="63" t="n">
        <f aca="false">Pressupostos!$C$290*(C1024+C1027)*(C1030+C1031-Pressupostos!$C$72)/365*Pressupostos!$C$284/Pressupostos!$F$31</f>
        <v>0</v>
      </c>
      <c r="D1041" s="63" t="n">
        <f aca="false">Pressupostos!$D$290*(D1024+D1027)*(D1030+D1031-Pressupostos!$C$72)/365*Pressupostos!$D$284/Pressupostos!$F$31</f>
        <v>0.0457705479452055</v>
      </c>
      <c r="E1041" s="63" t="n">
        <f aca="false">Pressupostos!$E$290*(E1024+E1027)*(E1030+E1031-Pressupostos!$C$72)/365*Pressupostos!$E$284/Pressupostos!$F$31</f>
        <v>0.0429098886986301</v>
      </c>
      <c r="F1041" s="63" t="n">
        <f aca="false">Pressupostos!$F$290*(F1024+F1027)*(F1030+F1031-Pressupostos!$C$72)/365*Pressupostos!$F$284/Pressupostos!$F$31</f>
        <v>0.0400492294520548</v>
      </c>
      <c r="G1041" s="63" t="n">
        <f aca="false">Pressupostos!$G$290*(G1024+G1027)*(G1030+G1031-Pressupostos!$C$72)/365*Pressupostos!$G$284/Pressupostos!$F$31</f>
        <v>0.0400492294520548</v>
      </c>
      <c r="H1041" s="2" t="s">
        <v>1231</v>
      </c>
    </row>
    <row r="1042" customFormat="false" ht="15" hidden="false" customHeight="false" outlineLevel="1" collapsed="false">
      <c r="A1042" s="7" t="s">
        <v>676</v>
      </c>
      <c r="B1042" s="8" t="s">
        <v>64</v>
      </c>
      <c r="C1042" s="63" t="n">
        <f aca="false">C1024+C1027+C1028+C1029+C1032+C1033+C1034+C1035+C1036+C1037+C1038+C1039+C1040+C1041</f>
        <v>4.25394178082192</v>
      </c>
      <c r="D1042" s="63" t="n">
        <f aca="false">D1024+D1027+D1028+D1029+D1032+D1033+D1034+D1035+D1036+D1037+D1038+D1039+D1040+D1041</f>
        <v>4.29971232876712</v>
      </c>
      <c r="E1042" s="63" t="n">
        <f aca="false">E1024+E1027+E1028+E1029+E1032+E1033+E1034+E1035+E1036+E1037+E1038+E1039+E1040+E1041</f>
        <v>4.28685166952055</v>
      </c>
      <c r="F1042" s="63" t="n">
        <f aca="false">F1024+F1027+F1028+F1029+F1032+F1033+F1034+F1035+F1036+F1037+F1038+F1039+F1040+F1041</f>
        <v>4.28399101027397</v>
      </c>
      <c r="G1042" s="63" t="n">
        <f aca="false">G1024+G1027+G1028+G1029+G1032+G1033+G1034+G1035+G1036+G1037+G1038+G1039+G1040+G1041</f>
        <v>4.28399101027397</v>
      </c>
      <c r="H1042" s="2" t="s">
        <v>1232</v>
      </c>
    </row>
    <row r="1043" customFormat="false" ht="15" hidden="false" customHeight="false" outlineLevel="1" collapsed="false">
      <c r="A1043" s="56" t="s">
        <v>677</v>
      </c>
      <c r="B1043" s="57" t="s">
        <v>64</v>
      </c>
      <c r="C1043" s="68" t="n">
        <f aca="false">C1026-C1042</f>
        <v>0.196058219178083</v>
      </c>
      <c r="D1043" s="68" t="n">
        <f aca="false">D1026-D1042</f>
        <v>0.150287671232877</v>
      </c>
      <c r="E1043" s="68" t="n">
        <f aca="false">E1026-E1042</f>
        <v>0.163148330479452</v>
      </c>
      <c r="F1043" s="68" t="n">
        <f aca="false">F1026-F1042</f>
        <v>0.166008989726028</v>
      </c>
      <c r="G1043" s="68" t="n">
        <f aca="false">G1026-G1042</f>
        <v>0.166008989726028</v>
      </c>
      <c r="H1043" s="2" t="s">
        <v>1233</v>
      </c>
    </row>
    <row r="1044" customFormat="false" ht="15" hidden="false" customHeight="false" outlineLevel="1" collapsed="false">
      <c r="A1044" s="7" t="s">
        <v>678</v>
      </c>
      <c r="B1044" s="8" t="s">
        <v>76</v>
      </c>
      <c r="C1044" s="59" t="n">
        <f aca="false">IF(C1026&gt;0,C1043/C1026,0)</f>
        <v>0.0440580267815916</v>
      </c>
      <c r="D1044" s="59" t="n">
        <f aca="false">IF(D1026&gt;0,D1043/D1026,0)</f>
        <v>0.0337725103894105</v>
      </c>
      <c r="E1044" s="59" t="n">
        <f aca="false">IF(E1026&gt;0,E1043/E1026,0)</f>
        <v>0.0366625461751578</v>
      </c>
      <c r="F1044" s="59" t="n">
        <f aca="false">IF(F1026&gt;0,F1043/F1026,0)</f>
        <v>0.0373053909496692</v>
      </c>
      <c r="G1044" s="59" t="n">
        <f aca="false">IF(G1026&gt;0,G1043/G1026,0)</f>
        <v>0.0373053909496692</v>
      </c>
      <c r="H1044" s="2" t="s">
        <v>1234</v>
      </c>
    </row>
    <row r="1045" customFormat="false" ht="15" hidden="false" customHeight="false" outlineLevel="1" collapsed="false">
      <c r="A1045" s="7" t="s">
        <v>679</v>
      </c>
      <c r="B1045" s="8" t="s">
        <v>64</v>
      </c>
      <c r="C1045" s="63" t="n">
        <f aca="false">(C1024+C1027)*(C1030-Pressupostos!$C$72)/365+C1026*C1031/365</f>
        <v>0.670547945205479</v>
      </c>
      <c r="D1045" s="63" t="n">
        <f aca="false">(D1024+D1027)*(D1030-Pressupostos!$C$72)/365+D1026*D1031/365</f>
        <v>0.670547945205479</v>
      </c>
      <c r="E1045" s="63" t="n">
        <f aca="false">(E1024+E1027)*(E1030-Pressupostos!$C$72)/365+E1026*E1031/365</f>
        <v>0.670547945205479</v>
      </c>
      <c r="F1045" s="63" t="n">
        <f aca="false">(F1024+F1027)*(F1030-Pressupostos!$C$72)/365+F1026*F1031/365</f>
        <v>0.670547945205479</v>
      </c>
      <c r="G1045" s="63" t="n">
        <f aca="false">(G1024+G1027)*(G1030-Pressupostos!$C$72)/365+G1026*G1031/365</f>
        <v>0.670547945205479</v>
      </c>
      <c r="H1045" s="2" t="s">
        <v>1235</v>
      </c>
    </row>
    <row r="1046" customFormat="false" ht="15" hidden="false" customHeight="false" outlineLevel="0" collapsed="false">
      <c r="A1046" s="3" t="s">
        <v>1236</v>
      </c>
      <c r="B1046" s="4"/>
      <c r="C1046" s="4"/>
      <c r="D1046" s="4"/>
      <c r="E1046" s="4"/>
      <c r="F1046" s="4"/>
      <c r="G1046" s="4"/>
      <c r="H1046" s="4"/>
    </row>
    <row r="1047" customFormat="false" ht="15" hidden="false" customHeight="false" outlineLevel="1" collapsed="false">
      <c r="A1047" s="7" t="s">
        <v>669</v>
      </c>
      <c r="B1047" s="8" t="s">
        <v>64</v>
      </c>
      <c r="C1047" s="63" t="n">
        <f aca="false">Pressupostos!$F$10+Pressupostos!$F$13</f>
        <v>3.5</v>
      </c>
      <c r="D1047" s="63" t="n">
        <f aca="false">Pressupostos!$F$10+Pressupostos!$F$13</f>
        <v>3.5</v>
      </c>
      <c r="E1047" s="63" t="n">
        <f aca="false">Pressupostos!$F$10+Pressupostos!$F$13</f>
        <v>3.5</v>
      </c>
      <c r="F1047" s="63" t="n">
        <f aca="false">Pressupostos!$F$10+Pressupostos!$F$13</f>
        <v>3.5</v>
      </c>
      <c r="G1047" s="63" t="n">
        <f aca="false">Pressupostos!$F$10+Pressupostos!$F$13</f>
        <v>3.5</v>
      </c>
      <c r="H1047" s="2" t="s">
        <v>1237</v>
      </c>
    </row>
    <row r="1048" customFormat="false" ht="15" hidden="false" customHeight="false" outlineLevel="1" collapsed="false">
      <c r="A1048" s="7" t="s">
        <v>670</v>
      </c>
      <c r="B1048" s="8" t="s">
        <v>64</v>
      </c>
      <c r="C1048" s="63" t="n">
        <f aca="false">Pressupostos!$F$10+Pressupostos!$C$52</f>
        <v>3.65</v>
      </c>
      <c r="D1048" s="63" t="n">
        <f aca="false">Pressupostos!$F$10+Pressupostos!$C$52</f>
        <v>3.65</v>
      </c>
      <c r="E1048" s="63" t="n">
        <f aca="false">Pressupostos!$F$10+Pressupostos!$C$52</f>
        <v>3.65</v>
      </c>
      <c r="F1048" s="63" t="n">
        <f aca="false">Pressupostos!$F$10+Pressupostos!$C$52</f>
        <v>3.65</v>
      </c>
      <c r="G1048" s="63" t="n">
        <f aca="false">Pressupostos!$F$10+Pressupostos!$C$52</f>
        <v>3.65</v>
      </c>
      <c r="H1048" s="2" t="s">
        <v>1238</v>
      </c>
    </row>
    <row r="1049" customFormat="false" ht="15" hidden="false" customHeight="false" outlineLevel="1" collapsed="false">
      <c r="A1049" s="56" t="s">
        <v>671</v>
      </c>
      <c r="B1049" s="57" t="s">
        <v>64</v>
      </c>
      <c r="C1049" s="68" t="n">
        <f aca="false">C1048*(1-Pressupostos!$C$53)</f>
        <v>3.65</v>
      </c>
      <c r="D1049" s="68" t="n">
        <f aca="false">D1048*(1-Pressupostos!$C$53)</f>
        <v>3.65</v>
      </c>
      <c r="E1049" s="68" t="n">
        <f aca="false">E1048*(1-Pressupostos!$C$53)</f>
        <v>3.65</v>
      </c>
      <c r="F1049" s="68" t="n">
        <f aca="false">F1048*(1-Pressupostos!$C$53)</f>
        <v>3.65</v>
      </c>
      <c r="G1049" s="68" t="n">
        <f aca="false">G1048*(1-Pressupostos!$C$53)</f>
        <v>3.65</v>
      </c>
      <c r="H1049" s="2" t="s">
        <v>1239</v>
      </c>
    </row>
    <row r="1050" customFormat="false" ht="15" hidden="false" customHeight="false" outlineLevel="1" collapsed="false">
      <c r="A1050" s="7" t="s">
        <v>144</v>
      </c>
      <c r="B1050" s="8" t="s">
        <v>64</v>
      </c>
      <c r="C1050" s="67" t="n">
        <f aca="false">Pressupostos!$C$54</f>
        <v>0</v>
      </c>
      <c r="D1050" s="67" t="n">
        <f aca="false">Pressupostos!$C$54</f>
        <v>0</v>
      </c>
      <c r="E1050" s="67" t="n">
        <f aca="false">Pressupostos!$C$54</f>
        <v>0</v>
      </c>
      <c r="F1050" s="67" t="n">
        <f aca="false">Pressupostos!$C$54</f>
        <v>0</v>
      </c>
      <c r="G1050" s="67" t="n">
        <f aca="false">Pressupostos!$C$54</f>
        <v>0</v>
      </c>
      <c r="H1050" s="2" t="s">
        <v>1240</v>
      </c>
    </row>
    <row r="1051" customFormat="false" ht="15" hidden="false" customHeight="false" outlineLevel="1" collapsed="false">
      <c r="A1051" s="7" t="s">
        <v>215</v>
      </c>
      <c r="B1051" s="8" t="s">
        <v>64</v>
      </c>
      <c r="C1051" s="67" t="n">
        <f aca="false">Pressupostos!$C$55</f>
        <v>0.04</v>
      </c>
      <c r="D1051" s="67" t="n">
        <f aca="false">Pressupostos!$C$55</f>
        <v>0.04</v>
      </c>
      <c r="E1051" s="67" t="n">
        <f aca="false">Pressupostos!$C$55</f>
        <v>0.04</v>
      </c>
      <c r="F1051" s="67" t="n">
        <f aca="false">Pressupostos!$C$55</f>
        <v>0.04</v>
      </c>
      <c r="G1051" s="67" t="n">
        <f aca="false">Pressupostos!$C$55</f>
        <v>0.04</v>
      </c>
      <c r="H1051" s="2" t="s">
        <v>1241</v>
      </c>
    </row>
    <row r="1052" customFormat="false" ht="15" hidden="false" customHeight="false" outlineLevel="1" collapsed="false">
      <c r="A1052" s="7" t="s">
        <v>117</v>
      </c>
      <c r="B1052" s="8" t="s">
        <v>64</v>
      </c>
      <c r="C1052" s="67" t="n">
        <f aca="false">Pressupostos!$C$56</f>
        <v>0</v>
      </c>
      <c r="D1052" s="67" t="n">
        <f aca="false">Pressupostos!$C$56</f>
        <v>0</v>
      </c>
      <c r="E1052" s="67" t="n">
        <f aca="false">Pressupostos!$C$56</f>
        <v>0</v>
      </c>
      <c r="F1052" s="67" t="n">
        <f aca="false">Pressupostos!$C$56</f>
        <v>0</v>
      </c>
      <c r="G1052" s="67" t="n">
        <f aca="false">Pressupostos!$C$56</f>
        <v>0</v>
      </c>
      <c r="H1052" s="2" t="s">
        <v>1242</v>
      </c>
    </row>
    <row r="1053" customFormat="false" ht="15" hidden="false" customHeight="false" outlineLevel="1" collapsed="false">
      <c r="A1053" s="7" t="s">
        <v>91</v>
      </c>
      <c r="B1053" s="8" t="s">
        <v>79</v>
      </c>
      <c r="C1053" s="69" t="n">
        <f aca="false">Pressupostos!$C$57</f>
        <v>15</v>
      </c>
      <c r="D1053" s="69" t="n">
        <f aca="false">Pressupostos!$C$57</f>
        <v>15</v>
      </c>
      <c r="E1053" s="69" t="n">
        <f aca="false">Pressupostos!$C$57</f>
        <v>15</v>
      </c>
      <c r="F1053" s="69" t="n">
        <f aca="false">Pressupostos!$C$57</f>
        <v>15</v>
      </c>
      <c r="G1053" s="69" t="n">
        <f aca="false">Pressupostos!$C$57</f>
        <v>15</v>
      </c>
      <c r="H1053" s="2" t="s">
        <v>1243</v>
      </c>
    </row>
    <row r="1054" customFormat="false" ht="15" hidden="false" customHeight="false" outlineLevel="1" collapsed="false">
      <c r="A1054" s="7" t="s">
        <v>78</v>
      </c>
      <c r="B1054" s="8" t="s">
        <v>79</v>
      </c>
      <c r="C1054" s="69" t="n">
        <f aca="false">Pressupostos!$C$58</f>
        <v>45</v>
      </c>
      <c r="D1054" s="69" t="n">
        <f aca="false">Pressupostos!$C$58</f>
        <v>45</v>
      </c>
      <c r="E1054" s="69" t="n">
        <f aca="false">Pressupostos!$C$58</f>
        <v>45</v>
      </c>
      <c r="F1054" s="69" t="n">
        <f aca="false">Pressupostos!$C$58</f>
        <v>45</v>
      </c>
      <c r="G1054" s="69" t="n">
        <f aca="false">Pressupostos!$C$58</f>
        <v>45</v>
      </c>
      <c r="H1054" s="2" t="s">
        <v>1244</v>
      </c>
    </row>
    <row r="1055" customFormat="false" ht="15" hidden="false" customHeight="false" outlineLevel="1" collapsed="false">
      <c r="A1055" s="7" t="s">
        <v>490</v>
      </c>
      <c r="B1055" s="8" t="s">
        <v>64</v>
      </c>
      <c r="C1055" s="63" t="n">
        <f aca="false">Pressupostos!$C$66*C1053/30/1000</f>
        <v>0.002</v>
      </c>
      <c r="D1055" s="63" t="n">
        <f aca="false">Pressupostos!$C$66*D1053/30/1000</f>
        <v>0.002</v>
      </c>
      <c r="E1055" s="63" t="n">
        <f aca="false">Pressupostos!$C$66*E1053/30/1000</f>
        <v>0.002</v>
      </c>
      <c r="F1055" s="63" t="n">
        <f aca="false">Pressupostos!$C$66*F1053/30/1000</f>
        <v>0.002</v>
      </c>
      <c r="G1055" s="63" t="n">
        <f aca="false">Pressupostos!$C$66*G1053/30/1000</f>
        <v>0.002</v>
      </c>
      <c r="H1055" s="2" t="s">
        <v>1245</v>
      </c>
    </row>
    <row r="1056" customFormat="false" ht="15" hidden="false" customHeight="false" outlineLevel="1" collapsed="false">
      <c r="A1056" s="7" t="s">
        <v>165</v>
      </c>
      <c r="B1056" s="8" t="s">
        <v>64</v>
      </c>
      <c r="C1056" s="63" t="n">
        <f aca="false">C1047*Pressupostos!$C$67*C1053/365</f>
        <v>0.000287671232876712</v>
      </c>
      <c r="D1056" s="63" t="n">
        <f aca="false">D1047*Pressupostos!$C$67*D1053/365</f>
        <v>0.000287671232876712</v>
      </c>
      <c r="E1056" s="63" t="n">
        <f aca="false">E1047*Pressupostos!$C$67*E1053/365</f>
        <v>0.000287671232876712</v>
      </c>
      <c r="F1056" s="63" t="n">
        <f aca="false">F1047*Pressupostos!$C$67*F1053/365</f>
        <v>0.000287671232876712</v>
      </c>
      <c r="G1056" s="63" t="n">
        <f aca="false">G1047*Pressupostos!$C$67*G1053/365</f>
        <v>0.000287671232876712</v>
      </c>
      <c r="H1056" s="2" t="s">
        <v>1246</v>
      </c>
    </row>
    <row r="1057" customFormat="false" ht="15" hidden="false" customHeight="false" outlineLevel="1" collapsed="false">
      <c r="A1057" s="7" t="s">
        <v>672</v>
      </c>
      <c r="B1057" s="8" t="s">
        <v>64</v>
      </c>
      <c r="C1057" s="63" t="n">
        <f aca="false">Pressupostos!$C$60*Pressupostos!$C$68/(Pressupostos!$C$59*1000)</f>
        <v>0.006</v>
      </c>
      <c r="D1057" s="63" t="n">
        <f aca="false">Pressupostos!$C$60*Pressupostos!$C$68/(Pressupostos!$C$59*1000)</f>
        <v>0.006</v>
      </c>
      <c r="E1057" s="63" t="n">
        <f aca="false">Pressupostos!$C$60*Pressupostos!$C$68/(Pressupostos!$C$59*1000)</f>
        <v>0.006</v>
      </c>
      <c r="F1057" s="63" t="n">
        <f aca="false">Pressupostos!$C$60*Pressupostos!$C$68/(Pressupostos!$C$59*1000)</f>
        <v>0.006</v>
      </c>
      <c r="G1057" s="63" t="n">
        <f aca="false">Pressupostos!$C$60*Pressupostos!$C$68/(Pressupostos!$C$59*1000)</f>
        <v>0.006</v>
      </c>
      <c r="H1057" s="2" t="s">
        <v>1247</v>
      </c>
    </row>
    <row r="1058" customFormat="false" ht="15" hidden="false" customHeight="false" outlineLevel="1" collapsed="false">
      <c r="A1058" s="7" t="s">
        <v>492</v>
      </c>
      <c r="B1058" s="8" t="s">
        <v>64</v>
      </c>
      <c r="C1058" s="63" t="n">
        <f aca="false">Pressupostos!$C$69*C1047</f>
        <v>0.0175</v>
      </c>
      <c r="D1058" s="63" t="n">
        <f aca="false">Pressupostos!$C$69*D1047</f>
        <v>0.0175</v>
      </c>
      <c r="E1058" s="63" t="n">
        <f aca="false">Pressupostos!$C$69*E1047</f>
        <v>0.0175</v>
      </c>
      <c r="F1058" s="63" t="n">
        <f aca="false">Pressupostos!$C$69*F1047</f>
        <v>0.0175</v>
      </c>
      <c r="G1058" s="63" t="n">
        <f aca="false">Pressupostos!$C$69*G1047</f>
        <v>0.0175</v>
      </c>
      <c r="H1058" s="2" t="s">
        <v>1248</v>
      </c>
    </row>
    <row r="1059" customFormat="false" ht="15" hidden="false" customHeight="false" outlineLevel="1" collapsed="false">
      <c r="A1059" s="7" t="s">
        <v>493</v>
      </c>
      <c r="B1059" s="8" t="s">
        <v>64</v>
      </c>
      <c r="C1059" s="63" t="n">
        <f aca="false">Pressupostos!$C$70*Pressupostos!$C$71*C1053/90</f>
        <v>0.0015</v>
      </c>
      <c r="D1059" s="63" t="n">
        <f aca="false">Pressupostos!$C$70*Pressupostos!$C$71*D1053/90</f>
        <v>0.0015</v>
      </c>
      <c r="E1059" s="63" t="n">
        <f aca="false">Pressupostos!$C$70*Pressupostos!$C$71*E1053/90</f>
        <v>0.0015</v>
      </c>
      <c r="F1059" s="63" t="n">
        <f aca="false">Pressupostos!$C$70*Pressupostos!$C$71*F1053/90</f>
        <v>0.0015</v>
      </c>
      <c r="G1059" s="63" t="n">
        <f aca="false">Pressupostos!$C$70*Pressupostos!$C$71*G1053/90</f>
        <v>0.0015</v>
      </c>
      <c r="H1059" s="2" t="s">
        <v>1249</v>
      </c>
    </row>
    <row r="1060" customFormat="false" ht="15" hidden="false" customHeight="false" outlineLevel="1" collapsed="false">
      <c r="A1060" s="7" t="s">
        <v>673</v>
      </c>
      <c r="B1060" s="8" t="s">
        <v>64</v>
      </c>
      <c r="C1060" s="63" t="n">
        <f aca="false">Pressupostos!$C$61/(Pressupostos!$C$59*1000)</f>
        <v>0.012</v>
      </c>
      <c r="D1060" s="63" t="n">
        <f aca="false">Pressupostos!$C$61/(Pressupostos!$C$59*1000)</f>
        <v>0.012</v>
      </c>
      <c r="E1060" s="63" t="n">
        <f aca="false">Pressupostos!$C$61/(Pressupostos!$C$59*1000)</f>
        <v>0.012</v>
      </c>
      <c r="F1060" s="63" t="n">
        <f aca="false">Pressupostos!$C$61/(Pressupostos!$C$59*1000)</f>
        <v>0.012</v>
      </c>
      <c r="G1060" s="63" t="n">
        <f aca="false">Pressupostos!$C$61/(Pressupostos!$C$59*1000)</f>
        <v>0.012</v>
      </c>
      <c r="H1060" s="2" t="s">
        <v>1250</v>
      </c>
    </row>
    <row r="1061" customFormat="false" ht="15" hidden="false" customHeight="false" outlineLevel="1" collapsed="false">
      <c r="A1061" s="7" t="s">
        <v>139</v>
      </c>
      <c r="B1061" s="8" t="s">
        <v>64</v>
      </c>
      <c r="C1061" s="67" t="n">
        <f aca="false">Pressupostos!$C$62</f>
        <v>0.001</v>
      </c>
      <c r="D1061" s="67" t="n">
        <f aca="false">Pressupostos!$C$62</f>
        <v>0.001</v>
      </c>
      <c r="E1061" s="67" t="n">
        <f aca="false">Pressupostos!$C$62</f>
        <v>0.001</v>
      </c>
      <c r="F1061" s="67" t="n">
        <f aca="false">Pressupostos!$C$62</f>
        <v>0.001</v>
      </c>
      <c r="G1061" s="67" t="n">
        <f aca="false">Pressupostos!$C$62</f>
        <v>0.001</v>
      </c>
      <c r="H1061" s="2" t="s">
        <v>1251</v>
      </c>
    </row>
    <row r="1062" customFormat="false" ht="15" hidden="false" customHeight="false" outlineLevel="1" collapsed="false">
      <c r="A1062" s="7" t="s">
        <v>81</v>
      </c>
      <c r="B1062" s="8" t="s">
        <v>64</v>
      </c>
      <c r="C1062" s="63" t="n">
        <f aca="false">Pressupostos!$C$63*C1049</f>
        <v>0.01095</v>
      </c>
      <c r="D1062" s="63" t="n">
        <f aca="false">Pressupostos!$C$63*D1049</f>
        <v>0.01095</v>
      </c>
      <c r="E1062" s="63" t="n">
        <f aca="false">Pressupostos!$C$63*E1049</f>
        <v>0.01095</v>
      </c>
      <c r="F1062" s="63" t="n">
        <f aca="false">Pressupostos!$C$63*F1049</f>
        <v>0.01095</v>
      </c>
      <c r="G1062" s="63" t="n">
        <f aca="false">Pressupostos!$C$63*G1049</f>
        <v>0.01095</v>
      </c>
      <c r="H1062" s="2" t="s">
        <v>1252</v>
      </c>
    </row>
    <row r="1063" customFormat="false" ht="15" hidden="false" customHeight="false" outlineLevel="1" collapsed="false">
      <c r="A1063" s="7" t="s">
        <v>674</v>
      </c>
      <c r="B1063" s="8" t="s">
        <v>64</v>
      </c>
      <c r="C1063" s="63" t="n">
        <f aca="false">Pressupostos!$C$73*C1049</f>
        <v>0</v>
      </c>
      <c r="D1063" s="63" t="n">
        <f aca="false">Pressupostos!$C$73*D1049</f>
        <v>0</v>
      </c>
      <c r="E1063" s="63" t="n">
        <f aca="false">Pressupostos!$C$73*E1049</f>
        <v>0</v>
      </c>
      <c r="F1063" s="63" t="n">
        <f aca="false">Pressupostos!$C$73*F1049</f>
        <v>0</v>
      </c>
      <c r="G1063" s="63" t="n">
        <f aca="false">Pressupostos!$C$73*G1049</f>
        <v>0</v>
      </c>
      <c r="H1063" s="2" t="s">
        <v>1253</v>
      </c>
    </row>
    <row r="1064" customFormat="false" ht="15" hidden="false" customHeight="false" outlineLevel="1" collapsed="false">
      <c r="A1064" s="7" t="s">
        <v>675</v>
      </c>
      <c r="B1064" s="8" t="s">
        <v>64</v>
      </c>
      <c r="C1064" s="63" t="n">
        <f aca="false">Pressupostos!$C$290*(C1047+C1050)*(C1053+C1054-Pressupostos!$C$72)/365*Pressupostos!$C$284/Pressupostos!$F$31</f>
        <v>0</v>
      </c>
      <c r="D1064" s="63" t="n">
        <f aca="false">Pressupostos!$D$290*(D1047+D1050)*(D1053+D1054-Pressupostos!$C$72)/365*Pressupostos!$D$284/Pressupostos!$F$31</f>
        <v>0.0215753424657534</v>
      </c>
      <c r="E1064" s="63" t="n">
        <f aca="false">Pressupostos!$E$290*(E1047+E1050)*(E1053+E1054-Pressupostos!$C$72)/365*Pressupostos!$E$284/Pressupostos!$F$31</f>
        <v>0.0202268835616438</v>
      </c>
      <c r="F1064" s="63" t="n">
        <f aca="false">Pressupostos!$F$290*(F1047+F1050)*(F1053+F1054-Pressupostos!$C$72)/365*Pressupostos!$F$284/Pressupostos!$F$31</f>
        <v>0.0188784246575342</v>
      </c>
      <c r="G1064" s="63" t="n">
        <f aca="false">Pressupostos!$G$290*(G1047+G1050)*(G1053+G1054-Pressupostos!$C$72)/365*Pressupostos!$G$284/Pressupostos!$F$31</f>
        <v>0.0188784246575342</v>
      </c>
      <c r="H1064" s="2" t="s">
        <v>1254</v>
      </c>
    </row>
    <row r="1065" customFormat="false" ht="15" hidden="false" customHeight="false" outlineLevel="1" collapsed="false">
      <c r="A1065" s="7" t="s">
        <v>676</v>
      </c>
      <c r="B1065" s="8" t="s">
        <v>64</v>
      </c>
      <c r="C1065" s="63" t="n">
        <f aca="false">C1047+C1050+C1051+C1052+C1055+C1056+C1057+C1058+C1059+C1060+C1061+C1062+C1063+C1064</f>
        <v>3.59123767123288</v>
      </c>
      <c r="D1065" s="63" t="n">
        <f aca="false">D1047+D1050+D1051+D1052+D1055+D1056+D1057+D1058+D1059+D1060+D1061+D1062+D1063+D1064</f>
        <v>3.61281301369863</v>
      </c>
      <c r="E1065" s="63" t="n">
        <f aca="false">E1047+E1050+E1051+E1052+E1055+E1056+E1057+E1058+E1059+E1060+E1061+E1062+E1063+E1064</f>
        <v>3.61146455479452</v>
      </c>
      <c r="F1065" s="63" t="n">
        <f aca="false">F1047+F1050+F1051+F1052+F1055+F1056+F1057+F1058+F1059+F1060+F1061+F1062+F1063+F1064</f>
        <v>3.61011609589041</v>
      </c>
      <c r="G1065" s="63" t="n">
        <f aca="false">G1047+G1050+G1051+G1052+G1055+G1056+G1057+G1058+G1059+G1060+G1061+G1062+G1063+G1064</f>
        <v>3.61011609589041</v>
      </c>
      <c r="H1065" s="2" t="s">
        <v>1255</v>
      </c>
    </row>
    <row r="1066" customFormat="false" ht="15" hidden="false" customHeight="false" outlineLevel="1" collapsed="false">
      <c r="A1066" s="56" t="s">
        <v>677</v>
      </c>
      <c r="B1066" s="57" t="s">
        <v>64</v>
      </c>
      <c r="C1066" s="68" t="n">
        <f aca="false">C1049-C1065</f>
        <v>0.058762328767124</v>
      </c>
      <c r="D1066" s="68" t="n">
        <f aca="false">D1049-D1065</f>
        <v>0.0371869863013705</v>
      </c>
      <c r="E1066" s="68" t="n">
        <f aca="false">E1049-E1065</f>
        <v>0.03853544520548</v>
      </c>
      <c r="F1066" s="68" t="n">
        <f aca="false">F1049-F1065</f>
        <v>0.0398839041095895</v>
      </c>
      <c r="G1066" s="68" t="n">
        <f aca="false">G1049-G1065</f>
        <v>0.0398839041095895</v>
      </c>
      <c r="H1066" s="2" t="s">
        <v>1256</v>
      </c>
    </row>
    <row r="1067" customFormat="false" ht="15" hidden="false" customHeight="false" outlineLevel="1" collapsed="false">
      <c r="A1067" s="7" t="s">
        <v>678</v>
      </c>
      <c r="B1067" s="8" t="s">
        <v>76</v>
      </c>
      <c r="C1067" s="59" t="n">
        <f aca="false">IF(C1049&gt;0,C1066/C1049,0)</f>
        <v>0.0160992681553764</v>
      </c>
      <c r="D1067" s="59" t="n">
        <f aca="false">IF(D1049&gt;0,D1066/D1049,0)</f>
        <v>0.010188215425033</v>
      </c>
      <c r="E1067" s="59" t="n">
        <f aca="false">IF(E1049&gt;0,E1066/E1049,0)</f>
        <v>0.0105576562206795</v>
      </c>
      <c r="F1067" s="59" t="n">
        <f aca="false">IF(F1049&gt;0,F1066/F1049,0)</f>
        <v>0.0109270970163259</v>
      </c>
      <c r="G1067" s="59" t="n">
        <f aca="false">IF(G1049&gt;0,G1066/G1049,0)</f>
        <v>0.0109270970163259</v>
      </c>
      <c r="H1067" s="2" t="s">
        <v>1257</v>
      </c>
    </row>
    <row r="1068" customFormat="false" ht="15" hidden="false" customHeight="false" outlineLevel="1" collapsed="false">
      <c r="A1068" s="7" t="s">
        <v>679</v>
      </c>
      <c r="B1068" s="8" t="s">
        <v>64</v>
      </c>
      <c r="C1068" s="63" t="n">
        <f aca="false">(C1047+C1050)*(C1053-Pressupostos!$C$72)/365+C1049*C1054/365</f>
        <v>0.306164383561644</v>
      </c>
      <c r="D1068" s="63" t="n">
        <f aca="false">(D1047+D1050)*(D1053-Pressupostos!$C$72)/365+D1049*D1054/365</f>
        <v>0.306164383561644</v>
      </c>
      <c r="E1068" s="63" t="n">
        <f aca="false">(E1047+E1050)*(E1053-Pressupostos!$C$72)/365+E1049*E1054/365</f>
        <v>0.306164383561644</v>
      </c>
      <c r="F1068" s="63" t="n">
        <f aca="false">(F1047+F1050)*(F1053-Pressupostos!$C$72)/365+F1049*F1054/365</f>
        <v>0.306164383561644</v>
      </c>
      <c r="G1068" s="63" t="n">
        <f aca="false">(G1047+G1050)*(G1053-Pressupostos!$C$72)/365+G1049*G1054/365</f>
        <v>0.306164383561644</v>
      </c>
      <c r="H1068" s="2" t="s">
        <v>1258</v>
      </c>
    </row>
    <row r="1069" customFormat="false" ht="15" hidden="false" customHeight="false" outlineLevel="0" collapsed="false">
      <c r="A1069" s="3" t="s">
        <v>1259</v>
      </c>
      <c r="B1069" s="4"/>
      <c r="C1069" s="4"/>
      <c r="D1069" s="4"/>
      <c r="E1069" s="4"/>
      <c r="F1069" s="4"/>
      <c r="G1069" s="4"/>
      <c r="H1069" s="4"/>
    </row>
    <row r="1070" customFormat="false" ht="15" hidden="false" customHeight="false" outlineLevel="1" collapsed="false">
      <c r="A1070" s="7" t="s">
        <v>683</v>
      </c>
      <c r="B1070" s="8" t="s">
        <v>64</v>
      </c>
      <c r="C1070" s="63" t="n">
        <f aca="false">Pressupostos!$C$64*Pressupostos!$F$10</f>
        <v>0.02625</v>
      </c>
      <c r="D1070" s="63" t="n">
        <f aca="false">Pressupostos!$C$64*Pressupostos!$F$10</f>
        <v>0.02625</v>
      </c>
      <c r="E1070" s="63" t="n">
        <f aca="false">Pressupostos!$C$64*Pressupostos!$F$10</f>
        <v>0.02625</v>
      </c>
      <c r="F1070" s="63" t="n">
        <f aca="false">Pressupostos!$C$64*Pressupostos!$F$10</f>
        <v>0.02625</v>
      </c>
      <c r="G1070" s="63" t="n">
        <f aca="false">Pressupostos!$C$64*Pressupostos!$F$10</f>
        <v>0.02625</v>
      </c>
      <c r="H1070" s="2" t="s">
        <v>1260</v>
      </c>
    </row>
    <row r="1071" customFormat="false" ht="15" hidden="false" customHeight="false" outlineLevel="1" collapsed="false">
      <c r="A1071" s="7" t="s">
        <v>684</v>
      </c>
      <c r="B1071" s="8" t="s">
        <v>64</v>
      </c>
      <c r="C1071" s="63" t="n">
        <f aca="false">C1060+C1057+C1061</f>
        <v>0.019</v>
      </c>
      <c r="D1071" s="63" t="n">
        <f aca="false">D1060+D1057+D1061</f>
        <v>0.019</v>
      </c>
      <c r="E1071" s="63" t="n">
        <f aca="false">E1060+E1057+E1061</f>
        <v>0.019</v>
      </c>
      <c r="F1071" s="63" t="n">
        <f aca="false">F1060+F1057+F1061</f>
        <v>0.019</v>
      </c>
      <c r="G1071" s="63" t="n">
        <f aca="false">G1060+G1057+G1061</f>
        <v>0.019</v>
      </c>
      <c r="H1071" s="2" t="s">
        <v>1261</v>
      </c>
    </row>
    <row r="1072" customFormat="false" ht="15" hidden="false" customHeight="false" outlineLevel="1" collapsed="false">
      <c r="A1072" s="56" t="s">
        <v>561</v>
      </c>
      <c r="B1072" s="57" t="s">
        <v>64</v>
      </c>
      <c r="C1072" s="68" t="n">
        <f aca="false">C1070-C1071</f>
        <v>0.00725</v>
      </c>
      <c r="D1072" s="68" t="n">
        <f aca="false">D1070-D1071</f>
        <v>0.00725</v>
      </c>
      <c r="E1072" s="68" t="n">
        <f aca="false">E1070-E1071</f>
        <v>0.00725</v>
      </c>
      <c r="F1072" s="68" t="n">
        <f aca="false">F1070-F1071</f>
        <v>0.00725</v>
      </c>
      <c r="G1072" s="68" t="n">
        <f aca="false">G1070-G1071</f>
        <v>0.00725</v>
      </c>
      <c r="H1072" s="2" t="s">
        <v>1262</v>
      </c>
    </row>
    <row r="1073" customFormat="false" ht="15" hidden="false" customHeight="false" outlineLevel="0" collapsed="false">
      <c r="A1073" s="3" t="s">
        <v>1263</v>
      </c>
      <c r="B1073" s="4"/>
      <c r="C1073" s="4"/>
      <c r="D1073" s="4"/>
      <c r="E1073" s="4"/>
      <c r="F1073" s="4"/>
      <c r="G1073" s="4"/>
      <c r="H1073" s="4"/>
    </row>
    <row r="1074" customFormat="false" ht="15" hidden="false" customHeight="false" outlineLevel="1" collapsed="false">
      <c r="A1074" s="7" t="s">
        <v>608</v>
      </c>
      <c r="B1074" s="8" t="s">
        <v>11</v>
      </c>
      <c r="C1074" s="61" t="n">
        <f aca="false">C983*1000*C1003</f>
        <v>44280</v>
      </c>
      <c r="D1074" s="61" t="n">
        <f aca="false">D983*1000*D1003</f>
        <v>166050</v>
      </c>
      <c r="E1074" s="61" t="n">
        <f aca="false">E983*1000*E1003</f>
        <v>442800</v>
      </c>
      <c r="F1074" s="61" t="n">
        <f aca="false">F983*1000*F1003</f>
        <v>774900</v>
      </c>
      <c r="G1074" s="61" t="n">
        <f aca="false">G983*1000*G1003</f>
        <v>1107000</v>
      </c>
      <c r="H1074" s="2" t="s">
        <v>1264</v>
      </c>
    </row>
    <row r="1075" customFormat="false" ht="15" hidden="false" customHeight="false" outlineLevel="1" collapsed="false">
      <c r="A1075" s="7" t="s">
        <v>609</v>
      </c>
      <c r="B1075" s="8" t="s">
        <v>11</v>
      </c>
      <c r="C1075" s="61" t="n">
        <f aca="false">C984*1000*C1026</f>
        <v>231400</v>
      </c>
      <c r="D1075" s="61" t="n">
        <f aca="false">D984*1000*D1026</f>
        <v>1615350</v>
      </c>
      <c r="E1075" s="61" t="n">
        <f aca="false">E984*1000*E1026</f>
        <v>3190650</v>
      </c>
      <c r="F1075" s="61" t="n">
        <f aca="false">F984*1000*F1026</f>
        <v>5264350</v>
      </c>
      <c r="G1075" s="61" t="n">
        <f aca="false">G984*1000*G1026</f>
        <v>7965500</v>
      </c>
      <c r="H1075" s="2" t="s">
        <v>1265</v>
      </c>
    </row>
    <row r="1076" customFormat="false" ht="15" hidden="false" customHeight="false" outlineLevel="1" collapsed="false">
      <c r="A1076" s="7" t="s">
        <v>610</v>
      </c>
      <c r="B1076" s="8" t="s">
        <v>11</v>
      </c>
      <c r="C1076" s="61" t="n">
        <f aca="false">C986*1000*C1049</f>
        <v>0</v>
      </c>
      <c r="D1076" s="61" t="n">
        <f aca="false">D986*1000*D1049</f>
        <v>0</v>
      </c>
      <c r="E1076" s="61" t="n">
        <f aca="false">E986*1000*E1049</f>
        <v>0</v>
      </c>
      <c r="F1076" s="61" t="n">
        <f aca="false">F986*1000*F1049</f>
        <v>0</v>
      </c>
      <c r="G1076" s="61" t="n">
        <f aca="false">G986*1000*G1049</f>
        <v>0</v>
      </c>
      <c r="H1076" s="2" t="s">
        <v>1266</v>
      </c>
    </row>
    <row r="1077" customFormat="false" ht="15" hidden="false" customHeight="false" outlineLevel="1" collapsed="false">
      <c r="A1077" s="7" t="s">
        <v>611</v>
      </c>
      <c r="B1077" s="8" t="s">
        <v>11</v>
      </c>
      <c r="C1077" s="61" t="n">
        <f aca="false">C1074+C1075+C1076</f>
        <v>275680</v>
      </c>
      <c r="D1077" s="61" t="n">
        <f aca="false">D1074+D1075+D1076</f>
        <v>1781400</v>
      </c>
      <c r="E1077" s="61" t="n">
        <f aca="false">E1074+E1075+E1076</f>
        <v>3633450</v>
      </c>
      <c r="F1077" s="61" t="n">
        <f aca="false">F1074+F1075+F1076</f>
        <v>6039250</v>
      </c>
      <c r="G1077" s="61" t="n">
        <f aca="false">G1074+G1075+G1076</f>
        <v>9072500</v>
      </c>
      <c r="H1077" s="2" t="s">
        <v>1267</v>
      </c>
    </row>
    <row r="1078" customFormat="false" ht="15" hidden="false" customHeight="false" outlineLevel="1" collapsed="false">
      <c r="A1078" s="7" t="s">
        <v>612</v>
      </c>
      <c r="B1078" s="8" t="s">
        <v>11</v>
      </c>
      <c r="C1078" s="61" t="n">
        <f aca="false">C996*1000*Pressupostos!$C$93</f>
        <v>0</v>
      </c>
      <c r="D1078" s="61" t="n">
        <f aca="false">D996*1000*Pressupostos!$C$93</f>
        <v>0</v>
      </c>
      <c r="E1078" s="61" t="n">
        <f aca="false">E996*1000*Pressupostos!$C$93</f>
        <v>0</v>
      </c>
      <c r="F1078" s="61" t="n">
        <f aca="false">F996*1000*Pressupostos!$C$93</f>
        <v>157000</v>
      </c>
      <c r="G1078" s="61" t="n">
        <f aca="false">G996*1000*Pressupostos!$C$93</f>
        <v>392500</v>
      </c>
      <c r="H1078" s="2" t="s">
        <v>1268</v>
      </c>
    </row>
    <row r="1079" customFormat="false" ht="15" hidden="false" customHeight="false" outlineLevel="1" collapsed="false">
      <c r="A1079" s="2" t="s">
        <v>613</v>
      </c>
      <c r="B1079" s="8" t="s">
        <v>11</v>
      </c>
      <c r="C1079" s="61" t="n">
        <f aca="false">C994*Pressupostos!$C$80*(1-Pressupostos!$C$81)</f>
        <v>9720</v>
      </c>
      <c r="D1079" s="61" t="n">
        <f aca="false">D994*Pressupostos!$C$80*(1-Pressupostos!$C$81)</f>
        <v>36450</v>
      </c>
      <c r="E1079" s="61" t="n">
        <f aca="false">E994*Pressupostos!$C$80*(1-Pressupostos!$C$81)</f>
        <v>97200</v>
      </c>
      <c r="F1079" s="61" t="n">
        <f aca="false">F994*Pressupostos!$C$80*(1-Pressupostos!$C$81)</f>
        <v>170100</v>
      </c>
      <c r="G1079" s="61" t="n">
        <f aca="false">G994*Pressupostos!$C$80*(1-Pressupostos!$C$81)</f>
        <v>243000</v>
      </c>
      <c r="H1079" s="2" t="s">
        <v>1269</v>
      </c>
    </row>
    <row r="1080" customFormat="false" ht="15" hidden="false" customHeight="false" outlineLevel="1" collapsed="false">
      <c r="A1080" s="7" t="s">
        <v>614</v>
      </c>
      <c r="B1080" s="8" t="s">
        <v>11</v>
      </c>
      <c r="C1080" s="61" t="n">
        <f aca="false">C1079*Pressupostos!$F$27</f>
        <v>194.4</v>
      </c>
      <c r="D1080" s="61" t="n">
        <f aca="false">D1079*Pressupostos!$F$27</f>
        <v>729</v>
      </c>
      <c r="E1080" s="61" t="n">
        <f aca="false">E1079*Pressupostos!$F$27</f>
        <v>1944</v>
      </c>
      <c r="F1080" s="61" t="n">
        <f aca="false">F1079*Pressupostos!$F$27</f>
        <v>3402</v>
      </c>
      <c r="G1080" s="61" t="n">
        <f aca="false">G1079*Pressupostos!$F$27</f>
        <v>4860</v>
      </c>
      <c r="H1080" s="2" t="s">
        <v>1270</v>
      </c>
    </row>
    <row r="1081" customFormat="false" ht="15" hidden="false" customHeight="false" outlineLevel="1" collapsed="false">
      <c r="A1081" s="7" t="s">
        <v>615</v>
      </c>
      <c r="B1081" s="8" t="s">
        <v>11</v>
      </c>
      <c r="C1081" s="61" t="n">
        <f aca="false">C987*1000*C1070</f>
        <v>0</v>
      </c>
      <c r="D1081" s="61" t="n">
        <f aca="false">D987*1000*D1070</f>
        <v>13125</v>
      </c>
      <c r="E1081" s="61" t="n">
        <f aca="false">E987*1000*E1070</f>
        <v>39375</v>
      </c>
      <c r="F1081" s="61" t="n">
        <f aca="false">F987*1000*F1070</f>
        <v>65625</v>
      </c>
      <c r="G1081" s="61" t="n">
        <f aca="false">G987*1000*G1070</f>
        <v>91875</v>
      </c>
      <c r="H1081" s="2" t="s">
        <v>1271</v>
      </c>
    </row>
    <row r="1082" customFormat="false" ht="15" hidden="false" customHeight="false" outlineLevel="1" collapsed="false">
      <c r="A1082" s="7" t="s">
        <v>616</v>
      </c>
      <c r="B1082" s="8" t="s">
        <v>11</v>
      </c>
      <c r="C1082" s="61" t="n">
        <f aca="false">C998*(Pressupostos!$C$101*Pressupostos!$C$102+Pressupostos!$C$103)</f>
        <v>0</v>
      </c>
      <c r="D1082" s="61" t="n">
        <f aca="false">D998*(Pressupostos!$C$101*Pressupostos!$C$102+Pressupostos!$C$103)</f>
        <v>10000</v>
      </c>
      <c r="E1082" s="61" t="n">
        <f aca="false">E998*(Pressupostos!$C$101*Pressupostos!$C$102+Pressupostos!$C$103)</f>
        <v>30000</v>
      </c>
      <c r="F1082" s="61" t="n">
        <f aca="false">F998*(Pressupostos!$C$101*Pressupostos!$C$102+Pressupostos!$C$103)</f>
        <v>60000</v>
      </c>
      <c r="G1082" s="61" t="n">
        <f aca="false">G998*(Pressupostos!$C$101*Pressupostos!$C$102+Pressupostos!$C$103)</f>
        <v>100000</v>
      </c>
      <c r="H1082" s="2" t="s">
        <v>1272</v>
      </c>
    </row>
    <row r="1083" customFormat="false" ht="15" hidden="false" customHeight="false" outlineLevel="1" collapsed="false">
      <c r="A1083" s="7" t="s">
        <v>617</v>
      </c>
      <c r="B1083" s="8" t="s">
        <v>11</v>
      </c>
      <c r="C1083" s="53" t="n">
        <f aca="false">Pressupostos!$C$277</f>
        <v>0</v>
      </c>
      <c r="D1083" s="53" t="n">
        <f aca="false">Pressupostos!$D$277</f>
        <v>0</v>
      </c>
      <c r="E1083" s="53" t="n">
        <f aca="false">Pressupostos!$E$277</f>
        <v>0</v>
      </c>
      <c r="F1083" s="53" t="n">
        <f aca="false">Pressupostos!$F$277</f>
        <v>10000</v>
      </c>
      <c r="G1083" s="53" t="n">
        <f aca="false">Pressupostos!$G$277</f>
        <v>30000</v>
      </c>
      <c r="H1083" s="2" t="s">
        <v>1273</v>
      </c>
    </row>
    <row r="1084" customFormat="false" ht="15" hidden="false" customHeight="false" outlineLevel="1" collapsed="false">
      <c r="A1084" s="56" t="s">
        <v>618</v>
      </c>
      <c r="B1084" s="57" t="s">
        <v>11</v>
      </c>
      <c r="C1084" s="62" t="n">
        <f aca="false">C1077+C1078+C1080+C1081+C1082+C1083</f>
        <v>275874.4</v>
      </c>
      <c r="D1084" s="62" t="n">
        <f aca="false">D1077+D1078+D1080+D1081+D1082+D1083</f>
        <v>1805254</v>
      </c>
      <c r="E1084" s="62" t="n">
        <f aca="false">E1077+E1078+E1080+E1081+E1082+E1083</f>
        <v>3704769</v>
      </c>
      <c r="F1084" s="62" t="n">
        <f aca="false">F1077+F1078+F1080+F1081+F1082+F1083</f>
        <v>6335277</v>
      </c>
      <c r="G1084" s="62" t="n">
        <f aca="false">G1077+G1078+G1080+G1081+G1082+G1083</f>
        <v>9691735</v>
      </c>
      <c r="H1084" s="2" t="s">
        <v>1274</v>
      </c>
    </row>
    <row r="1085" customFormat="false" ht="15" hidden="false" customHeight="false" outlineLevel="0" collapsed="false">
      <c r="A1085" s="3" t="s">
        <v>1275</v>
      </c>
      <c r="B1085" s="4"/>
      <c r="C1085" s="4"/>
      <c r="D1085" s="4"/>
      <c r="E1085" s="4"/>
      <c r="F1085" s="4"/>
      <c r="G1085" s="4"/>
      <c r="H1085" s="4"/>
    </row>
    <row r="1086" customFormat="false" ht="15" hidden="false" customHeight="false" outlineLevel="1" collapsed="false">
      <c r="A1086" s="2" t="s">
        <v>620</v>
      </c>
      <c r="B1086" s="8" t="s">
        <v>11</v>
      </c>
      <c r="C1086" s="61" t="n">
        <f aca="false">C987*1000*Pressupostos!$F$10</f>
        <v>0</v>
      </c>
      <c r="D1086" s="61" t="n">
        <f aca="false">D987*1000*Pressupostos!$F$10</f>
        <v>1750000</v>
      </c>
      <c r="E1086" s="61" t="n">
        <f aca="false">E987*1000*Pressupostos!$F$10</f>
        <v>5250000</v>
      </c>
      <c r="F1086" s="61" t="n">
        <f aca="false">F987*1000*Pressupostos!$F$10</f>
        <v>8750000</v>
      </c>
      <c r="G1086" s="61" t="n">
        <f aca="false">G987*1000*Pressupostos!$F$10</f>
        <v>12250000</v>
      </c>
      <c r="H1086" s="2" t="s">
        <v>1276</v>
      </c>
    </row>
    <row r="1087" customFormat="false" ht="15" hidden="false" customHeight="false" outlineLevel="1" collapsed="false">
      <c r="A1087" s="56" t="s">
        <v>621</v>
      </c>
      <c r="B1087" s="57" t="s">
        <v>11</v>
      </c>
      <c r="C1087" s="62" t="n">
        <f aca="false">C1077+C1078+C1079+C1086</f>
        <v>285400</v>
      </c>
      <c r="D1087" s="62" t="n">
        <f aca="false">D1077+D1078+D1079+D1086</f>
        <v>3567850</v>
      </c>
      <c r="E1087" s="62" t="n">
        <f aca="false">E1077+E1078+E1079+E1086</f>
        <v>8980650</v>
      </c>
      <c r="F1087" s="62" t="n">
        <f aca="false">F1077+F1078+F1079+F1086</f>
        <v>15116350</v>
      </c>
      <c r="G1087" s="62" t="n">
        <f aca="false">G1077+G1078+G1079+G1086</f>
        <v>21958000</v>
      </c>
      <c r="H1087" s="2" t="s">
        <v>1277</v>
      </c>
    </row>
    <row r="1088" customFormat="false" ht="15" hidden="false" customHeight="false" outlineLevel="1" collapsed="false">
      <c r="A1088" s="7" t="s">
        <v>622</v>
      </c>
      <c r="B1088" s="8" t="s">
        <v>11</v>
      </c>
      <c r="C1088" s="61" t="n">
        <f aca="false">C1087-C1086-C1076</f>
        <v>285400</v>
      </c>
      <c r="D1088" s="61" t="n">
        <f aca="false">D1087-D1086-D1076</f>
        <v>1817850</v>
      </c>
      <c r="E1088" s="61" t="n">
        <f aca="false">E1087-E1086-E1076</f>
        <v>3730650</v>
      </c>
      <c r="F1088" s="61" t="n">
        <f aca="false">F1087-F1086-F1076</f>
        <v>6366350</v>
      </c>
      <c r="G1088" s="61" t="n">
        <f aca="false">G1087-G1086-G1076</f>
        <v>9708000</v>
      </c>
      <c r="H1088" s="2" t="s">
        <v>1278</v>
      </c>
    </row>
    <row r="1089" customFormat="false" ht="15" hidden="false" customHeight="false" outlineLevel="1" collapsed="false">
      <c r="A1089" s="7" t="s">
        <v>623</v>
      </c>
      <c r="B1089" s="8" t="s">
        <v>11</v>
      </c>
      <c r="C1089" s="61" t="n">
        <f aca="false">C983*1000*(C1001+C1004)+C984*1000*(C1024+C1027)+C986*1000*(C1047+C1050)+C996*1000*Pressupostos!$C$92</f>
        <v>245040</v>
      </c>
      <c r="D1089" s="61" t="n">
        <f aca="false">D983*1000*(D1001+D1004)+D984*1000*(D1024+D1027)+D986*1000*(D1047+D1050)+D996*1000*Pressupostos!$C$92</f>
        <v>1599300</v>
      </c>
      <c r="E1089" s="61" t="n">
        <f aca="false">E983*1000*(E1001+E1004)+E984*1000*(E1024+E1027)+E986*1000*(E1047+E1050)+E996*1000*Pressupostos!$C$92</f>
        <v>3248250</v>
      </c>
      <c r="F1089" s="61" t="n">
        <f aca="false">F983*1000*(F1001+F1004)+F984*1000*(F1024+F1027)+F986*1000*(F1047+F1050)+F996*1000*Pressupostos!$C$92</f>
        <v>5533850</v>
      </c>
      <c r="G1089" s="61" t="n">
        <f aca="false">G983*1000*(G1001+G1004)+G984*1000*(G1024+G1027)+G986*1000*(G1047+G1050)+G996*1000*Pressupostos!$C$92</f>
        <v>8460500</v>
      </c>
      <c r="H1089" s="2" t="s">
        <v>1279</v>
      </c>
    </row>
    <row r="1090" customFormat="false" ht="15" hidden="false" customHeight="false" outlineLevel="1" collapsed="false">
      <c r="A1090" s="7" t="s">
        <v>624</v>
      </c>
      <c r="B1090" s="8" t="s">
        <v>11</v>
      </c>
      <c r="C1090" s="61" t="n">
        <f aca="false">C1089*Pressupostos!$C$284</f>
        <v>0</v>
      </c>
      <c r="D1090" s="61" t="n">
        <f aca="false">D1089*Pressupostos!$D$284</f>
        <v>1199475</v>
      </c>
      <c r="E1090" s="61" t="n">
        <f aca="false">E1089*Pressupostos!$E$284</f>
        <v>2436187.5</v>
      </c>
      <c r="F1090" s="61" t="n">
        <f aca="false">F1089*Pressupostos!$F$284</f>
        <v>4150387.5</v>
      </c>
      <c r="G1090" s="61" t="n">
        <f aca="false">G1089*Pressupostos!$G$284</f>
        <v>6345375</v>
      </c>
      <c r="H1090" s="2" t="s">
        <v>1280</v>
      </c>
    </row>
    <row r="1091" customFormat="false" ht="15" hidden="false" customHeight="false" outlineLevel="0" collapsed="false">
      <c r="A1091" s="3" t="s">
        <v>1281</v>
      </c>
      <c r="B1091" s="4"/>
      <c r="C1091" s="4"/>
      <c r="D1091" s="4"/>
      <c r="E1091" s="4"/>
      <c r="F1091" s="4"/>
      <c r="G1091" s="4"/>
      <c r="H1091" s="4"/>
    </row>
    <row r="1092" customFormat="false" ht="15" hidden="false" customHeight="false" outlineLevel="1" collapsed="false">
      <c r="A1092" s="7" t="s">
        <v>626</v>
      </c>
      <c r="B1092" s="8" t="s">
        <v>11</v>
      </c>
      <c r="C1092" s="61" t="n">
        <f aca="false">C983*1000*C1020</f>
        <v>4950.75000000001</v>
      </c>
      <c r="D1092" s="61" t="n">
        <f aca="false">D983*1000*D1020</f>
        <v>13655.8433219179</v>
      </c>
      <c r="E1092" s="61" t="n">
        <f aca="false">E983*1000*E1020</f>
        <v>50634.6910958904</v>
      </c>
      <c r="F1092" s="61" t="n">
        <f aca="false">F983*1000*F1020</f>
        <v>90432.7171232877</v>
      </c>
      <c r="G1092" s="61" t="n">
        <f aca="false">G983*1000*G1020</f>
        <v>129189.595890411</v>
      </c>
      <c r="H1092" s="2" t="s">
        <v>1282</v>
      </c>
    </row>
    <row r="1093" customFormat="false" ht="15" hidden="false" customHeight="false" outlineLevel="1" collapsed="false">
      <c r="A1093" s="7" t="s">
        <v>627</v>
      </c>
      <c r="B1093" s="8" t="s">
        <v>11</v>
      </c>
      <c r="C1093" s="61" t="n">
        <f aca="false">C984*1000*C1043</f>
        <v>10195.0273972603</v>
      </c>
      <c r="D1093" s="61" t="n">
        <f aca="false">D984*1000*D1043</f>
        <v>54554.4246575343</v>
      </c>
      <c r="E1093" s="61" t="n">
        <f aca="false">E984*1000*E1043</f>
        <v>116977.352953767</v>
      </c>
      <c r="F1093" s="61" t="n">
        <f aca="false">F984*1000*F1043</f>
        <v>196388.634845891</v>
      </c>
      <c r="G1093" s="61" t="n">
        <f aca="false">G984*1000*G1043</f>
        <v>297156.09160959</v>
      </c>
      <c r="H1093" s="2" t="s">
        <v>1283</v>
      </c>
    </row>
    <row r="1094" customFormat="false" ht="15" hidden="false" customHeight="false" outlineLevel="1" collapsed="false">
      <c r="A1094" s="7" t="s">
        <v>628</v>
      </c>
      <c r="B1094" s="8" t="s">
        <v>11</v>
      </c>
      <c r="C1094" s="61" t="n">
        <f aca="false">C986*1000*C1066+C987*1000*C1072</f>
        <v>0</v>
      </c>
      <c r="D1094" s="61" t="n">
        <f aca="false">D986*1000*D1066+D987*1000*D1072</f>
        <v>3625</v>
      </c>
      <c r="E1094" s="61" t="n">
        <f aca="false">E986*1000*E1066+E987*1000*E1072</f>
        <v>10875</v>
      </c>
      <c r="F1094" s="61" t="n">
        <f aca="false">F986*1000*F1066+F987*1000*F1072</f>
        <v>18125</v>
      </c>
      <c r="G1094" s="61" t="n">
        <f aca="false">G986*1000*G1066+G987*1000*G1072</f>
        <v>25375</v>
      </c>
      <c r="H1094" s="2" t="s">
        <v>1284</v>
      </c>
    </row>
    <row r="1095" customFormat="false" ht="15" hidden="false" customHeight="false" outlineLevel="1" collapsed="false">
      <c r="A1095" s="7" t="s">
        <v>629</v>
      </c>
      <c r="B1095" s="8" t="s">
        <v>11</v>
      </c>
      <c r="C1095" s="61" t="n">
        <f aca="false">C1092+C1093+C1094</f>
        <v>15145.7773972603</v>
      </c>
      <c r="D1095" s="61" t="n">
        <f aca="false">D1092+D1093+D1094</f>
        <v>71835.2679794522</v>
      </c>
      <c r="E1095" s="61" t="n">
        <f aca="false">E1092+E1093+E1094</f>
        <v>178487.044049658</v>
      </c>
      <c r="F1095" s="61" t="n">
        <f aca="false">F1092+F1093+F1094</f>
        <v>304946.351969179</v>
      </c>
      <c r="G1095" s="61" t="n">
        <f aca="false">G1092+G1093+G1094</f>
        <v>451720.687500001</v>
      </c>
      <c r="H1095" s="2" t="s">
        <v>1285</v>
      </c>
    </row>
    <row r="1096" customFormat="false" ht="15" hidden="false" customHeight="false" outlineLevel="1" collapsed="false">
      <c r="A1096" s="7" t="s">
        <v>630</v>
      </c>
      <c r="B1096" s="8" t="s">
        <v>64</v>
      </c>
      <c r="C1096" s="63" t="n">
        <f aca="false">IF(C988&gt;0,C1095/(C988*1000),0)</f>
        <v>0.251590986665454</v>
      </c>
      <c r="D1096" s="63" t="n">
        <f aca="false">IF(D988&gt;0,D1095/(D988*1000),0)</f>
        <v>0.0803751250119745</v>
      </c>
      <c r="E1096" s="63" t="n">
        <f aca="false">IF(E988&gt;0,E1095/(E988*1000),0)</f>
        <v>0.0776368177684462</v>
      </c>
      <c r="F1096" s="63" t="n">
        <f aca="false">IF(F988&gt;0,F1095/(F988*1000),0)</f>
        <v>0.0796932841942189</v>
      </c>
      <c r="G1096" s="63" t="n">
        <f aca="false">IF(G988&gt;0,G1095/(G988*1000),0)</f>
        <v>0.0822057666060056</v>
      </c>
      <c r="H1096" s="2" t="s">
        <v>1286</v>
      </c>
    </row>
    <row r="1097" customFormat="false" ht="15" hidden="false" customHeight="false" outlineLevel="1" collapsed="false">
      <c r="A1097" s="7" t="s">
        <v>631</v>
      </c>
      <c r="B1097" s="8" t="s">
        <v>76</v>
      </c>
      <c r="C1097" s="59" t="n">
        <f aca="false">IF(C1077&gt;0,C1095/C1077,0)</f>
        <v>0.0549397032692263</v>
      </c>
      <c r="D1097" s="59" t="n">
        <f aca="false">IF(D1077&gt;0,D1095/D1077,0)</f>
        <v>0.0403251756929674</v>
      </c>
      <c r="E1097" s="59" t="n">
        <f aca="false">IF(E1077&gt;0,E1095/E1077,0)</f>
        <v>0.0491232971555017</v>
      </c>
      <c r="F1097" s="59" t="n">
        <f aca="false">IF(F1077&gt;0,F1095/F1077,0)</f>
        <v>0.0504940765772536</v>
      </c>
      <c r="G1097" s="59" t="n">
        <f aca="false">IF(G1077&gt;0,G1095/G1077,0)</f>
        <v>0.0497901005786719</v>
      </c>
      <c r="H1097" s="2" t="s">
        <v>1287</v>
      </c>
    </row>
    <row r="1098" customFormat="false" ht="15" hidden="false" customHeight="false" outlineLevel="1" collapsed="false">
      <c r="A1098" s="2" t="s">
        <v>632</v>
      </c>
      <c r="B1098" s="8" t="s">
        <v>64</v>
      </c>
      <c r="C1098" s="63" t="n">
        <f aca="false">Pressupostos!$C$290*Pressupostos!$C$92*(Pressupostos!$C$95+Pressupostos!$C$96-Pressupostos!$C$97)/365*Pressupostos!$C$284/Pressupostos!$F$31</f>
        <v>0</v>
      </c>
      <c r="D1098" s="63" t="n">
        <f aca="false">Pressupostos!$D$290*Pressupostos!$C$92*(Pressupostos!$C$95+Pressupostos!$C$96-Pressupostos!$C$97)/365*Pressupostos!$D$284/Pressupostos!$F$31</f>
        <v>0.0647260273972603</v>
      </c>
      <c r="E1098" s="63" t="n">
        <f aca="false">Pressupostos!$E$290*Pressupostos!$C$92*(Pressupostos!$C$95+Pressupostos!$C$96-Pressupostos!$C$97)/365*Pressupostos!$E$284/Pressupostos!$F$31</f>
        <v>0.0606806506849315</v>
      </c>
      <c r="F1098" s="63" t="n">
        <f aca="false">Pressupostos!$F$290*Pressupostos!$C$92*(Pressupostos!$C$95+Pressupostos!$C$96-Pressupostos!$C$97)/365*Pressupostos!$F$284/Pressupostos!$F$31</f>
        <v>0.0566352739726028</v>
      </c>
      <c r="G1098" s="63" t="n">
        <f aca="false">Pressupostos!$G$290*Pressupostos!$C$92*(Pressupostos!$C$95+Pressupostos!$C$96-Pressupostos!$C$97)/365*Pressupostos!$G$284/Pressupostos!$F$31</f>
        <v>0.0566352739726028</v>
      </c>
      <c r="H1098" s="2" t="s">
        <v>1288</v>
      </c>
    </row>
    <row r="1099" customFormat="false" ht="15" hidden="false" customHeight="false" outlineLevel="1" collapsed="false">
      <c r="A1099" s="7" t="s">
        <v>600</v>
      </c>
      <c r="B1099" s="8" t="s">
        <v>11</v>
      </c>
      <c r="C1099" s="61" t="n">
        <f aca="false">C996*1000*(Pressupostos!$C$93-Pressupostos!$C$92-Pressupostos!$C$94-C1098-Pressupostos!$C$98*Pressupostos!$C$93-Pressupostos!$C$99-Pressupostos!$F$29*Pressupostos!$C$92)</f>
        <v>0</v>
      </c>
      <c r="D1099" s="61" t="n">
        <f aca="false">D996*1000*(Pressupostos!$C$93-Pressupostos!$C$92-Pressupostos!$C$94-D1098-Pressupostos!$C$98*Pressupostos!$C$93-Pressupostos!$C$99-Pressupostos!$F$29*Pressupostos!$C$92)</f>
        <v>0</v>
      </c>
      <c r="E1099" s="61" t="n">
        <f aca="false">E996*1000*(Pressupostos!$C$93-Pressupostos!$C$92-Pressupostos!$C$94-E1098-Pressupostos!$C$98*Pressupostos!$C$93-Pressupostos!$C$99-Pressupostos!$F$29*Pressupostos!$C$92)</f>
        <v>0</v>
      </c>
      <c r="F1099" s="61" t="n">
        <f aca="false">F996*1000*(Pressupostos!$C$93-Pressupostos!$C$92-Pressupostos!$C$94-F1098-Pressupostos!$C$98*Pressupostos!$C$93-Pressupostos!$C$99-Pressupostos!$F$29*Pressupostos!$C$92)</f>
        <v>10905.2945205479</v>
      </c>
      <c r="G1099" s="61" t="n">
        <f aca="false">G996*1000*(Pressupostos!$C$93-Pressupostos!$C$92-Pressupostos!$C$94-G1098-Pressupostos!$C$98*Pressupostos!$C$93-Pressupostos!$C$99-Pressupostos!$F$29*Pressupostos!$C$92)</f>
        <v>27263.2363013698</v>
      </c>
      <c r="H1099" s="2" t="s">
        <v>1289</v>
      </c>
    </row>
    <row r="1100" customFormat="false" ht="15" hidden="false" customHeight="false" outlineLevel="1" collapsed="false">
      <c r="A1100" s="7" t="s">
        <v>633</v>
      </c>
      <c r="B1100" s="8" t="s">
        <v>11</v>
      </c>
      <c r="C1100" s="61" t="n">
        <f aca="false">C1080</f>
        <v>194.4</v>
      </c>
      <c r="D1100" s="61" t="n">
        <f aca="false">D1080</f>
        <v>729</v>
      </c>
      <c r="E1100" s="61" t="n">
        <f aca="false">E1080</f>
        <v>1944</v>
      </c>
      <c r="F1100" s="61" t="n">
        <f aca="false">F1080</f>
        <v>3402</v>
      </c>
      <c r="G1100" s="61" t="n">
        <f aca="false">G1080</f>
        <v>4860</v>
      </c>
      <c r="H1100" s="2" t="s">
        <v>1290</v>
      </c>
    </row>
    <row r="1101" customFormat="false" ht="15" hidden="false" customHeight="false" outlineLevel="1" collapsed="false">
      <c r="A1101" s="7" t="s">
        <v>634</v>
      </c>
      <c r="B1101" s="8" t="s">
        <v>11</v>
      </c>
      <c r="C1101" s="61" t="n">
        <f aca="false">C1082-C1116</f>
        <v>0</v>
      </c>
      <c r="D1101" s="61" t="n">
        <f aca="false">D1082-D1116</f>
        <v>10000</v>
      </c>
      <c r="E1101" s="61" t="n">
        <f aca="false">E1082-E1116</f>
        <v>30000</v>
      </c>
      <c r="F1101" s="61" t="n">
        <f aca="false">F1082-F1116</f>
        <v>60000</v>
      </c>
      <c r="G1101" s="61" t="n">
        <f aca="false">G1082-G1116</f>
        <v>100000</v>
      </c>
      <c r="H1101" s="2" t="s">
        <v>1291</v>
      </c>
    </row>
    <row r="1102" customFormat="false" ht="15" hidden="false" customHeight="false" outlineLevel="1" collapsed="false">
      <c r="A1102" s="7" t="s">
        <v>617</v>
      </c>
      <c r="B1102" s="8" t="s">
        <v>11</v>
      </c>
      <c r="C1102" s="61" t="n">
        <f aca="false">C1083</f>
        <v>0</v>
      </c>
      <c r="D1102" s="61" t="n">
        <f aca="false">D1083</f>
        <v>0</v>
      </c>
      <c r="E1102" s="61" t="n">
        <f aca="false">E1083</f>
        <v>0</v>
      </c>
      <c r="F1102" s="61" t="n">
        <f aca="false">F1083</f>
        <v>10000</v>
      </c>
      <c r="G1102" s="61" t="n">
        <f aca="false">G1083</f>
        <v>30000</v>
      </c>
      <c r="H1102" s="2" t="s">
        <v>1292</v>
      </c>
    </row>
    <row r="1103" customFormat="false" ht="15" hidden="false" customHeight="false" outlineLevel="1" collapsed="false">
      <c r="A1103" s="56" t="s">
        <v>635</v>
      </c>
      <c r="B1103" s="57" t="s">
        <v>11</v>
      </c>
      <c r="C1103" s="62" t="n">
        <f aca="false">C1095+C1099+C1100+C1101+C1102</f>
        <v>15340.1773972603</v>
      </c>
      <c r="D1103" s="62" t="n">
        <f aca="false">D1095+D1099+D1100+D1101+D1102</f>
        <v>82564.2679794522</v>
      </c>
      <c r="E1103" s="62" t="n">
        <f aca="false">E1095+E1099+E1100+E1101+E1102</f>
        <v>210431.044049658</v>
      </c>
      <c r="F1103" s="62" t="n">
        <f aca="false">F1095+F1099+F1100+F1101+F1102</f>
        <v>389253.646489727</v>
      </c>
      <c r="G1103" s="62" t="n">
        <f aca="false">G1095+G1099+G1100+G1101+G1102</f>
        <v>613843.923801371</v>
      </c>
      <c r="H1103" s="2" t="s">
        <v>1293</v>
      </c>
    </row>
    <row r="1104" customFormat="false" ht="15" hidden="false" customHeight="false" outlineLevel="0" collapsed="false">
      <c r="A1104" s="3" t="s">
        <v>1294</v>
      </c>
      <c r="B1104" s="4"/>
      <c r="C1104" s="4"/>
      <c r="D1104" s="4"/>
      <c r="E1104" s="4"/>
      <c r="F1104" s="4"/>
      <c r="G1104" s="4"/>
      <c r="H1104" s="4"/>
    </row>
    <row r="1105" customFormat="false" ht="15" hidden="false" customHeight="false" outlineLevel="1" collapsed="false">
      <c r="A1105" s="7" t="s">
        <v>686</v>
      </c>
      <c r="B1105" s="8" t="s">
        <v>11</v>
      </c>
      <c r="C1105" s="61" t="n">
        <f aca="false">C983*1000*(C1001+C1004)+C984*1000*(C1024+C1027)+C986*1000*(C1047+C1050)</f>
        <v>245040</v>
      </c>
      <c r="D1105" s="61" t="n">
        <f aca="false">D983*1000*(D1001+D1004)+D984*1000*(D1024+D1027)+D986*1000*(D1047+D1050)</f>
        <v>1599300</v>
      </c>
      <c r="E1105" s="61" t="n">
        <f aca="false">E983*1000*(E1001+E1004)+E984*1000*(E1024+E1027)+E986*1000*(E1047+E1050)</f>
        <v>3248250</v>
      </c>
      <c r="F1105" s="61" t="n">
        <f aca="false">F983*1000*(F1001+F1004)+F984*1000*(F1024+F1027)+F986*1000*(F1047+F1050)</f>
        <v>5393850</v>
      </c>
      <c r="G1105" s="61" t="n">
        <f aca="false">G983*1000*(G1001+G1004)+G984*1000*(G1024+G1027)+G986*1000*(G1047+G1050)</f>
        <v>8110500</v>
      </c>
      <c r="H1105" s="2" t="s">
        <v>1295</v>
      </c>
    </row>
    <row r="1106" customFormat="false" ht="15" hidden="false" customHeight="false" outlineLevel="1" collapsed="false">
      <c r="A1106" s="7" t="s">
        <v>687</v>
      </c>
      <c r="B1106" s="8" t="s">
        <v>11</v>
      </c>
      <c r="C1106" s="61" t="n">
        <f aca="false">C996*1000*Pressupostos!$C$92</f>
        <v>0</v>
      </c>
      <c r="D1106" s="61" t="n">
        <f aca="false">D996*1000*Pressupostos!$C$92</f>
        <v>0</v>
      </c>
      <c r="E1106" s="61" t="n">
        <f aca="false">E996*1000*Pressupostos!$C$92</f>
        <v>0</v>
      </c>
      <c r="F1106" s="61" t="n">
        <f aca="false">F996*1000*Pressupostos!$C$92</f>
        <v>140000</v>
      </c>
      <c r="G1106" s="61" t="n">
        <f aca="false">G996*1000*Pressupostos!$C$92</f>
        <v>350000</v>
      </c>
      <c r="H1106" s="2" t="s">
        <v>1296</v>
      </c>
    </row>
    <row r="1107" customFormat="false" ht="15" hidden="false" customHeight="false" outlineLevel="1" collapsed="false">
      <c r="A1107" s="7" t="s">
        <v>688</v>
      </c>
      <c r="B1107" s="8" t="s">
        <v>11</v>
      </c>
      <c r="C1107" s="61" t="n">
        <f aca="false">C1105+C1106</f>
        <v>245040</v>
      </c>
      <c r="D1107" s="61" t="n">
        <f aca="false">D1105+D1106</f>
        <v>1599300</v>
      </c>
      <c r="E1107" s="61" t="n">
        <f aca="false">E1105+E1106</f>
        <v>3248250</v>
      </c>
      <c r="F1107" s="61" t="n">
        <f aca="false">F1105+F1106</f>
        <v>5533850</v>
      </c>
      <c r="G1107" s="61" t="n">
        <f aca="false">G1105+G1106</f>
        <v>8460500</v>
      </c>
      <c r="H1107" s="2" t="s">
        <v>1297</v>
      </c>
    </row>
    <row r="1108" customFormat="false" ht="15" hidden="false" customHeight="false" outlineLevel="1" collapsed="false">
      <c r="A1108" s="7" t="s">
        <v>215</v>
      </c>
      <c r="B1108" s="8" t="s">
        <v>11</v>
      </c>
      <c r="C1108" s="61" t="n">
        <f aca="false">C983*1000*(C1005)+C984*1000*(C1028)+C986*1000*(C1051)+C996*1000*Pressupostos!$C$94</f>
        <v>7660</v>
      </c>
      <c r="D1108" s="61" t="n">
        <f aca="false">D983*1000*(D1005)+D984*1000*(D1028)+D986*1000*(D1051)+D996*1000*Pressupostos!$C$94</f>
        <v>45525</v>
      </c>
      <c r="E1108" s="61" t="n">
        <f aca="false">E983*1000*(E1005)+E984*1000*(E1028)+E986*1000*(E1051)+E996*1000*Pressupostos!$C$94</f>
        <v>87490</v>
      </c>
      <c r="F1108" s="61" t="n">
        <f aca="false">F983*1000*(F1005)+F984*1000*(F1028)+F986*1000*(F1051)+F996*1000*Pressupostos!$C$94</f>
        <v>148215</v>
      </c>
      <c r="G1108" s="61" t="n">
        <f aca="false">G983*1000*(G1005)+G984*1000*(G1028)+G986*1000*(G1051)+G996*1000*Pressupostos!$C$94</f>
        <v>223950</v>
      </c>
      <c r="H1108" s="2" t="s">
        <v>1298</v>
      </c>
    </row>
    <row r="1109" customFormat="false" ht="15" hidden="false" customHeight="false" outlineLevel="1" collapsed="false">
      <c r="A1109" s="7" t="s">
        <v>117</v>
      </c>
      <c r="B1109" s="8" t="s">
        <v>11</v>
      </c>
      <c r="C1109" s="61" t="n">
        <f aca="false">C983*1000*(C1006)+C984*1000*(C1029)+C986*1000*(C1052)</f>
        <v>492</v>
      </c>
      <c r="D1109" s="61" t="n">
        <f aca="false">D983*1000*(D1006)+D984*1000*(D1029)+D986*1000*(D1052)</f>
        <v>1845</v>
      </c>
      <c r="E1109" s="61" t="n">
        <f aca="false">E983*1000*(E1006)+E984*1000*(E1029)+E986*1000*(E1052)</f>
        <v>4920</v>
      </c>
      <c r="F1109" s="61" t="n">
        <f aca="false">F983*1000*(F1006)+F984*1000*(F1029)+F986*1000*(F1052)</f>
        <v>8610</v>
      </c>
      <c r="G1109" s="61" t="n">
        <f aca="false">G983*1000*(G1006)+G984*1000*(G1029)+G986*1000*(G1052)</f>
        <v>12300</v>
      </c>
      <c r="H1109" s="2" t="s">
        <v>1299</v>
      </c>
    </row>
    <row r="1110" customFormat="false" ht="15" hidden="false" customHeight="false" outlineLevel="1" collapsed="false">
      <c r="A1110" s="7" t="s">
        <v>689</v>
      </c>
      <c r="B1110" s="8" t="s">
        <v>11</v>
      </c>
      <c r="C1110" s="61" t="n">
        <f aca="false">C983*1000*(C1009+C1010)+C984*1000*(C1032+C1033)+C986*1000*(C1055+C1056)</f>
        <v>465.092602739726</v>
      </c>
      <c r="D1110" s="61" t="n">
        <f aca="false">D983*1000*(D1009+D1010)+D984*1000*(D1032+D1033)+D986*1000*(D1055+D1056)</f>
        <v>2515.51643835616</v>
      </c>
      <c r="E1110" s="61" t="n">
        <f aca="false">E983*1000*(E1009+E1010)+E984*1000*(E1032+E1033)+E986*1000*(E1055+E1056)</f>
        <v>3858.10684931507</v>
      </c>
      <c r="F1110" s="61" t="n">
        <f aca="false">F983*1000*(F1009+F1010)+F984*1000*(F1032+F1033)+F986*1000*(F1055+F1056)</f>
        <v>6422.22671232877</v>
      </c>
      <c r="G1110" s="61" t="n">
        <f aca="false">G983*1000*(G1009+G1010)+G984*1000*(G1032+G1033)+G986*1000*(G1055+G1056)</f>
        <v>9633.78767123288</v>
      </c>
      <c r="H1110" s="2" t="s">
        <v>1300</v>
      </c>
    </row>
    <row r="1111" customFormat="false" ht="15" hidden="false" customHeight="false" outlineLevel="1" collapsed="false">
      <c r="A1111" s="7" t="s">
        <v>690</v>
      </c>
      <c r="B1111" s="8" t="s">
        <v>11</v>
      </c>
      <c r="C1111" s="61" t="n">
        <f aca="false">C983*1000*(C1011+C1012+C1013)+C984*1000*(C1034+C1035+C1036)+C986*1000*(C1057+C1058+C1059)</f>
        <v>2675.25</v>
      </c>
      <c r="D1111" s="61" t="n">
        <f aca="false">D983*1000*(D1011+D1012+D1013)+D984*1000*(D1034+D1035+D1036)+D986*1000*(D1057+D1058+D1059)</f>
        <v>16920.1875</v>
      </c>
      <c r="E1111" s="61" t="n">
        <f aca="false">E983*1000*(E1011+E1012+E1013)+E984*1000*(E1034+E1035+E1036)+E986*1000*(E1057+E1058+E1059)</f>
        <v>33722.5</v>
      </c>
      <c r="F1111" s="61" t="n">
        <f aca="false">F983*1000*(F1011+F1012+F1013)+F984*1000*(F1034+F1035+F1036)+F986*1000*(F1057+F1058+F1059)</f>
        <v>56072.625</v>
      </c>
      <c r="G1111" s="61" t="n">
        <f aca="false">G983*1000*(G1011+G1012+G1013)+G984*1000*(G1034+G1035+G1036)+G986*1000*(G1057+G1058+G1059)</f>
        <v>84203.75</v>
      </c>
      <c r="H1111" s="2" t="s">
        <v>1301</v>
      </c>
    </row>
    <row r="1112" customFormat="false" ht="15" hidden="false" customHeight="false" outlineLevel="1" collapsed="false">
      <c r="A1112" s="7" t="s">
        <v>673</v>
      </c>
      <c r="B1112" s="8" t="s">
        <v>11</v>
      </c>
      <c r="C1112" s="61" t="n">
        <f aca="false">C983*1000*(C1014)+C984*1000*(C1037)+C986*1000*(C1060)</f>
        <v>2900</v>
      </c>
      <c r="D1112" s="61" t="n">
        <f aca="false">D983*1000*(D1014)+D984*1000*(D1037)+D986*1000*(D1060)</f>
        <v>17595</v>
      </c>
      <c r="E1112" s="61" t="n">
        <f aca="false">E983*1000*(E1014)+E984*1000*(E1037)+E986*1000*(E1060)</f>
        <v>36880</v>
      </c>
      <c r="F1112" s="61" t="n">
        <f aca="false">F983*1000*(F1014)+F984*1000*(F1037)+F986*1000*(F1060)</f>
        <v>61670</v>
      </c>
      <c r="G1112" s="61" t="n">
        <f aca="false">G983*1000*(G1014)+G984*1000*(G1037)+G986*1000*(G1060)</f>
        <v>92100</v>
      </c>
      <c r="H1112" s="2" t="s">
        <v>1302</v>
      </c>
    </row>
    <row r="1113" customFormat="false" ht="15" hidden="false" customHeight="false" outlineLevel="1" collapsed="false">
      <c r="A1113" s="7" t="s">
        <v>691</v>
      </c>
      <c r="B1113" s="8" t="s">
        <v>11</v>
      </c>
      <c r="C1113" s="61" t="n">
        <f aca="false">C983*1000*(C1015)+C984*1000*(C1038)+C986*1000*(C1061)+C996*1000*Pressupostos!$C$99</f>
        <v>342</v>
      </c>
      <c r="D1113" s="61" t="n">
        <f aca="false">D983*1000*(D1015)+D984*1000*(D1038)+D986*1000*(D1061)+D996*1000*Pressupostos!$C$99</f>
        <v>2122.5</v>
      </c>
      <c r="E1113" s="61" t="n">
        <f aca="false">E983*1000*(E1015)+E984*1000*(E1038)+E986*1000*(E1061)+E996*1000*Pressupostos!$C$99</f>
        <v>4405</v>
      </c>
      <c r="F1113" s="61" t="n">
        <f aca="false">F983*1000*(F1015)+F984*1000*(F1038)+F986*1000*(F1061)+F996*1000*Pressupostos!$C$99</f>
        <v>7950</v>
      </c>
      <c r="G1113" s="61" t="n">
        <f aca="false">G983*1000*(G1015)+G984*1000*(G1038)+G986*1000*(G1061)+G996*1000*Pressupostos!$C$99</f>
        <v>12500</v>
      </c>
      <c r="H1113" s="2" t="s">
        <v>1303</v>
      </c>
    </row>
    <row r="1114" customFormat="false" ht="15" hidden="false" customHeight="false" outlineLevel="1" collapsed="false">
      <c r="A1114" s="7" t="s">
        <v>81</v>
      </c>
      <c r="B1114" s="8" t="s">
        <v>11</v>
      </c>
      <c r="C1114" s="61" t="n">
        <f aca="false">C983*1000*(C1016)+C984*1000*(C1039)+C986*1000*(C1062)+C996*1000*Pressupostos!$C$98*Pressupostos!$C$93</f>
        <v>959.88</v>
      </c>
      <c r="D1114" s="61" t="n">
        <f aca="false">D983*1000*(D1016)+D984*1000*(D1039)+D986*1000*(D1062)+D996*1000*Pressupostos!$C$98*Pressupostos!$C$93</f>
        <v>5842.35</v>
      </c>
      <c r="E1114" s="61" t="n">
        <f aca="false">E983*1000*(E1016)+E984*1000*(E1039)+E986*1000*(E1062)+E996*1000*Pressupostos!$C$98*Pressupostos!$C$93</f>
        <v>12228.75</v>
      </c>
      <c r="F1114" s="61" t="n">
        <f aca="false">F983*1000*(F1016)+F984*1000*(F1039)+F986*1000*(F1062)+F996*1000*Pressupostos!$C$98*Pressupostos!$C$93</f>
        <v>21384.45</v>
      </c>
      <c r="G1114" s="61" t="n">
        <f aca="false">G983*1000*(G1016)+G984*1000*(G1039)+G986*1000*(G1062)+G996*1000*Pressupostos!$C$98*Pressupostos!$C$93</f>
        <v>32893.5</v>
      </c>
      <c r="H1114" s="2" t="s">
        <v>1304</v>
      </c>
    </row>
    <row r="1115" customFormat="false" ht="15" hidden="false" customHeight="false" outlineLevel="1" collapsed="false">
      <c r="A1115" s="7" t="s">
        <v>692</v>
      </c>
      <c r="B1115" s="8" t="s">
        <v>11</v>
      </c>
      <c r="C1115" s="61" t="n">
        <f aca="false">C983*1000*(C1017)+C984*1000*(C1040)+C986*1000*(C1063)+C996*1000*Pressupostos!$F$29*Pressupostos!$C$92</f>
        <v>0</v>
      </c>
      <c r="D1115" s="61" t="n">
        <f aca="false">D983*1000*(D1017)+D984*1000*(D1040)+D986*1000*(D1063)+D996*1000*Pressupostos!$F$29*Pressupostos!$C$92</f>
        <v>0</v>
      </c>
      <c r="E1115" s="61" t="n">
        <f aca="false">E983*1000*(E1017)+E984*1000*(E1040)+E986*1000*(E1063)+E996*1000*Pressupostos!$F$29*Pressupostos!$C$92</f>
        <v>0</v>
      </c>
      <c r="F1115" s="61" t="n">
        <f aca="false">F983*1000*(F1017)+F984*1000*(F1040)+F986*1000*(F1063)+F996*1000*Pressupostos!$F$29*Pressupostos!$C$92</f>
        <v>420</v>
      </c>
      <c r="G1115" s="61" t="n">
        <f aca="false">G983*1000*(G1017)+G984*1000*(G1040)+G986*1000*(G1063)+G996*1000*Pressupostos!$F$29*Pressupostos!$C$92</f>
        <v>1050</v>
      </c>
      <c r="H1115" s="2" t="s">
        <v>1305</v>
      </c>
    </row>
    <row r="1116" customFormat="false" ht="15" hidden="false" customHeight="false" outlineLevel="1" collapsed="false">
      <c r="A1116" s="7" t="s">
        <v>693</v>
      </c>
      <c r="B1116" s="8" t="s">
        <v>11</v>
      </c>
      <c r="C1116" s="61" t="n">
        <f aca="false">C999*1000*Pressupostos!$C$104*Pressupostos!$F$30</f>
        <v>0</v>
      </c>
      <c r="D1116" s="61" t="n">
        <f aca="false">D999*1000*Pressupostos!$C$104*Pressupostos!$F$30</f>
        <v>0</v>
      </c>
      <c r="E1116" s="61" t="n">
        <f aca="false">E999*1000*Pressupostos!$C$104*Pressupostos!$F$30</f>
        <v>0</v>
      </c>
      <c r="F1116" s="61" t="n">
        <f aca="false">F999*1000*Pressupostos!$C$104*Pressupostos!$F$30</f>
        <v>0</v>
      </c>
      <c r="G1116" s="61" t="n">
        <f aca="false">G999*1000*Pressupostos!$C$104*Pressupostos!$F$30</f>
        <v>0</v>
      </c>
      <c r="H1116" s="2" t="s">
        <v>1306</v>
      </c>
    </row>
    <row r="1117" customFormat="false" ht="15" hidden="false" customHeight="false" outlineLevel="1" collapsed="false">
      <c r="A1117" s="7" t="s">
        <v>694</v>
      </c>
      <c r="B1117" s="8" t="s">
        <v>11</v>
      </c>
      <c r="C1117" s="61" t="n">
        <f aca="false">C987*1000*C1071</f>
        <v>0</v>
      </c>
      <c r="D1117" s="61" t="n">
        <f aca="false">D987*1000*D1071</f>
        <v>9500</v>
      </c>
      <c r="E1117" s="61" t="n">
        <f aca="false">E987*1000*E1071</f>
        <v>28500</v>
      </c>
      <c r="F1117" s="61" t="n">
        <f aca="false">F987*1000*F1071</f>
        <v>47500</v>
      </c>
      <c r="G1117" s="61" t="n">
        <f aca="false">G987*1000*G1071</f>
        <v>66500</v>
      </c>
      <c r="H1117" s="2" t="s">
        <v>1307</v>
      </c>
    </row>
    <row r="1118" customFormat="false" ht="15" hidden="false" customHeight="false" outlineLevel="1" collapsed="false">
      <c r="A1118" s="7" t="s">
        <v>695</v>
      </c>
      <c r="B1118" s="8" t="s">
        <v>11</v>
      </c>
      <c r="C1118" s="61" t="n">
        <f aca="false">C1108+C1109+C1110+C1111+C1112+C1113+C1114+C1115+C1116+C1117</f>
        <v>15494.2226027397</v>
      </c>
      <c r="D1118" s="61" t="n">
        <f aca="false">D1108+D1109+D1110+D1111+D1112+D1113+D1114+D1115+D1116+D1117</f>
        <v>101865.553938356</v>
      </c>
      <c r="E1118" s="61" t="n">
        <f aca="false">E1108+E1109+E1110+E1111+E1112+E1113+E1114+E1115+E1116+E1117</f>
        <v>212004.356849315</v>
      </c>
      <c r="F1118" s="61" t="n">
        <f aca="false">F1108+F1109+F1110+F1111+F1112+F1113+F1114+F1115+F1116+F1117</f>
        <v>358244.301712329</v>
      </c>
      <c r="G1118" s="61" t="n">
        <f aca="false">G1108+G1109+G1110+G1111+G1112+G1113+G1114+G1115+G1116+G1117</f>
        <v>535131.037671233</v>
      </c>
      <c r="H1118" s="2" t="s">
        <v>1308</v>
      </c>
    </row>
    <row r="1119" customFormat="false" ht="15" hidden="false" customHeight="false" outlineLevel="1" collapsed="false">
      <c r="A1119" s="7" t="s">
        <v>696</v>
      </c>
      <c r="B1119" s="8" t="s">
        <v>11</v>
      </c>
      <c r="C1119" s="61" t="n">
        <f aca="false">C983*1000*(C1018)+C984*1000*(C1041)+C986*1000*(C1064)</f>
        <v>0</v>
      </c>
      <c r="D1119" s="61" t="n">
        <f aca="false">D983*1000*(D1018)+D984*1000*(D1041)+D986*1000*(D1064)</f>
        <v>21524.1780821918</v>
      </c>
      <c r="E1119" s="61" t="n">
        <f aca="false">E983*1000*(E1018)+E984*1000*(E1041)+E986*1000*(E1064)</f>
        <v>34083.5991010274</v>
      </c>
      <c r="F1119" s="61" t="n">
        <f aca="false">F983*1000*(F1018)+F984*1000*(F1041)+F986*1000*(F1064)</f>
        <v>52796.3463184931</v>
      </c>
      <c r="G1119" s="61" t="n">
        <f aca="false">G983*1000*(G1018)+G984*1000*(G1041)+G986*1000*(G1064)</f>
        <v>79428.2748287671</v>
      </c>
      <c r="H1119" s="2" t="s">
        <v>1309</v>
      </c>
    </row>
    <row r="1120" customFormat="false" ht="15" hidden="false" customHeight="false" outlineLevel="1" collapsed="false">
      <c r="A1120" s="7" t="s">
        <v>697</v>
      </c>
      <c r="B1120" s="8" t="s">
        <v>11</v>
      </c>
      <c r="C1120" s="61" t="n">
        <f aca="false">C996*1000*C1098</f>
        <v>0</v>
      </c>
      <c r="D1120" s="61" t="n">
        <f aca="false">D996*1000*D1098</f>
        <v>0</v>
      </c>
      <c r="E1120" s="61" t="n">
        <f aca="false">E996*1000*E1098</f>
        <v>0</v>
      </c>
      <c r="F1120" s="61" t="n">
        <f aca="false">F996*1000*F1098</f>
        <v>1132.70547945206</v>
      </c>
      <c r="G1120" s="61" t="n">
        <f aca="false">G996*1000*G1098</f>
        <v>2831.76369863014</v>
      </c>
      <c r="H1120" s="2" t="s">
        <v>1310</v>
      </c>
    </row>
    <row r="1121" customFormat="false" ht="15" hidden="false" customHeight="false" outlineLevel="1" collapsed="false">
      <c r="A1121" s="7" t="s">
        <v>698</v>
      </c>
      <c r="B1121" s="8" t="s">
        <v>11</v>
      </c>
      <c r="C1121" s="61" t="n">
        <f aca="false">C1119+C1120</f>
        <v>0</v>
      </c>
      <c r="D1121" s="61" t="n">
        <f aca="false">D1119+D1120</f>
        <v>21524.1780821918</v>
      </c>
      <c r="E1121" s="61" t="n">
        <f aca="false">E1119+E1120</f>
        <v>34083.5991010274</v>
      </c>
      <c r="F1121" s="61" t="n">
        <f aca="false">F1119+F1120</f>
        <v>53929.0517979452</v>
      </c>
      <c r="G1121" s="61" t="n">
        <f aca="false">G1119+G1120</f>
        <v>82260.0385273973</v>
      </c>
      <c r="H1121" s="2" t="s">
        <v>1311</v>
      </c>
    </row>
    <row r="1122" customFormat="false" ht="15" hidden="false" customHeight="false" outlineLevel="1" collapsed="false">
      <c r="A1122" s="8" t="s">
        <v>699</v>
      </c>
      <c r="B1122" s="8" t="s">
        <v>11</v>
      </c>
      <c r="C1122" s="70" t="n">
        <f aca="false">ROUND(C1084-C1107-C1118-C1121-C1103,6)</f>
        <v>0</v>
      </c>
      <c r="D1122" s="70" t="n">
        <f aca="false">ROUND(D1084-D1107-D1118-D1121-D1103,6)</f>
        <v>-0</v>
      </c>
      <c r="E1122" s="70" t="n">
        <f aca="false">ROUND(E1084-E1107-E1118-E1121-E1103,6)</f>
        <v>0</v>
      </c>
      <c r="F1122" s="70" t="n">
        <f aca="false">ROUND(F1084-F1107-F1118-F1121-F1103,6)</f>
        <v>-0</v>
      </c>
      <c r="G1122" s="70" t="n">
        <f aca="false">ROUND(G1084-G1107-G1118-G1121-G1103,6)</f>
        <v>0</v>
      </c>
      <c r="H1122" s="2" t="s">
        <v>1312</v>
      </c>
    </row>
    <row r="1123" customFormat="false" ht="15" hidden="false" customHeight="false" outlineLevel="0" collapsed="false">
      <c r="A1123" s="3" t="s">
        <v>1313</v>
      </c>
      <c r="B1123" s="4"/>
      <c r="C1123" s="4"/>
      <c r="D1123" s="4"/>
      <c r="E1123" s="4"/>
      <c r="F1123" s="4"/>
      <c r="G1123" s="4"/>
      <c r="H1123" s="4"/>
    </row>
    <row r="1124" customFormat="false" ht="15" hidden="false" customHeight="false" outlineLevel="1" collapsed="false">
      <c r="A1124" s="7" t="s">
        <v>638</v>
      </c>
      <c r="B1124" s="8" t="s">
        <v>432</v>
      </c>
      <c r="C1124" s="64" t="n">
        <f aca="false">Pressupostos!$C$334</f>
        <v>1</v>
      </c>
      <c r="D1124" s="64" t="n">
        <f aca="false">Pressupostos!$D$334</f>
        <v>1</v>
      </c>
      <c r="E1124" s="64" t="n">
        <f aca="false">Pressupostos!$E$334</f>
        <v>1</v>
      </c>
      <c r="F1124" s="64" t="n">
        <f aca="false">Pressupostos!$F$334</f>
        <v>1</v>
      </c>
      <c r="G1124" s="64" t="n">
        <f aca="false">Pressupostos!$G$334</f>
        <v>1</v>
      </c>
      <c r="H1124" s="2" t="s">
        <v>1314</v>
      </c>
    </row>
    <row r="1125" customFormat="false" ht="15" hidden="false" customHeight="false" outlineLevel="1" collapsed="false">
      <c r="A1125" s="7" t="s">
        <v>639</v>
      </c>
      <c r="B1125" s="8" t="s">
        <v>432</v>
      </c>
      <c r="C1125" s="64" t="n">
        <f aca="false">Pressupostos!$C$340</f>
        <v>1</v>
      </c>
      <c r="D1125" s="64" t="n">
        <f aca="false">Pressupostos!$D$340</f>
        <v>1</v>
      </c>
      <c r="E1125" s="64" t="n">
        <f aca="false">Pressupostos!$E$340</f>
        <v>1</v>
      </c>
      <c r="F1125" s="64" t="n">
        <f aca="false">Pressupostos!$F$340</f>
        <v>1</v>
      </c>
      <c r="G1125" s="64" t="n">
        <f aca="false">Pressupostos!$G$340</f>
        <v>1</v>
      </c>
      <c r="H1125" s="2" t="s">
        <v>1315</v>
      </c>
    </row>
    <row r="1126" customFormat="false" ht="15" hidden="false" customHeight="false" outlineLevel="1" collapsed="false">
      <c r="A1126" s="7" t="s">
        <v>640</v>
      </c>
      <c r="B1126" s="8" t="s">
        <v>432</v>
      </c>
      <c r="C1126" s="64" t="n">
        <f aca="false">Pressupostos!$C$346</f>
        <v>0</v>
      </c>
      <c r="D1126" s="64" t="n">
        <f aca="false">Pressupostos!$D$346</f>
        <v>1</v>
      </c>
      <c r="E1126" s="64" t="n">
        <f aca="false">Pressupostos!$E$346</f>
        <v>1</v>
      </c>
      <c r="F1126" s="64" t="n">
        <f aca="false">Pressupostos!$F$346</f>
        <v>1</v>
      </c>
      <c r="G1126" s="64" t="n">
        <f aca="false">Pressupostos!$G$346</f>
        <v>1</v>
      </c>
      <c r="H1126" s="2" t="s">
        <v>1316</v>
      </c>
    </row>
    <row r="1127" customFormat="false" ht="15" hidden="false" customHeight="false" outlineLevel="1" collapsed="false">
      <c r="A1127" s="7" t="s">
        <v>641</v>
      </c>
      <c r="B1127" s="8" t="s">
        <v>432</v>
      </c>
      <c r="C1127" s="64" t="n">
        <f aca="false">Pressupostos!$C$352</f>
        <v>0.5</v>
      </c>
      <c r="D1127" s="64" t="n">
        <f aca="false">Pressupostos!$D$352</f>
        <v>1</v>
      </c>
      <c r="E1127" s="64" t="n">
        <f aca="false">Pressupostos!$E$352</f>
        <v>1</v>
      </c>
      <c r="F1127" s="64" t="n">
        <f aca="false">Pressupostos!$F$352</f>
        <v>1</v>
      </c>
      <c r="G1127" s="64" t="n">
        <f aca="false">Pressupostos!$G$352</f>
        <v>1</v>
      </c>
      <c r="H1127" s="2" t="s">
        <v>1317</v>
      </c>
    </row>
    <row r="1128" customFormat="false" ht="15" hidden="false" customHeight="false" outlineLevel="1" collapsed="false">
      <c r="A1128" s="7" t="s">
        <v>642</v>
      </c>
      <c r="B1128" s="8" t="s">
        <v>432</v>
      </c>
      <c r="C1128" s="64" t="n">
        <f aca="false">Pressupostos!$C$358</f>
        <v>0.5</v>
      </c>
      <c r="D1128" s="64" t="n">
        <f aca="false">Pressupostos!$D$358</f>
        <v>0.5</v>
      </c>
      <c r="E1128" s="64" t="n">
        <f aca="false">Pressupostos!$E$358</f>
        <v>0.5</v>
      </c>
      <c r="F1128" s="64" t="n">
        <f aca="false">Pressupostos!$F$358</f>
        <v>1</v>
      </c>
      <c r="G1128" s="64" t="n">
        <f aca="false">Pressupostos!$G$358</f>
        <v>1</v>
      </c>
      <c r="H1128" s="2" t="s">
        <v>1318</v>
      </c>
    </row>
    <row r="1129" customFormat="false" ht="15" hidden="false" customHeight="false" outlineLevel="1" collapsed="false">
      <c r="A1129" s="7" t="s">
        <v>643</v>
      </c>
      <c r="B1129" s="8" t="s">
        <v>432</v>
      </c>
      <c r="C1129" s="64" t="n">
        <f aca="false">Pressupostos!$C$364</f>
        <v>1</v>
      </c>
      <c r="D1129" s="64" t="n">
        <f aca="false">Pressupostos!$D$364</f>
        <v>1</v>
      </c>
      <c r="E1129" s="64" t="n">
        <f aca="false">Pressupostos!$E$364</f>
        <v>1</v>
      </c>
      <c r="F1129" s="64" t="n">
        <f aca="false">Pressupostos!$F$364</f>
        <v>1</v>
      </c>
      <c r="G1129" s="64" t="n">
        <f aca="false">Pressupostos!$G$364</f>
        <v>1</v>
      </c>
      <c r="H1129" s="2" t="s">
        <v>1319</v>
      </c>
    </row>
    <row r="1130" customFormat="false" ht="15" hidden="false" customHeight="false" outlineLevel="1" collapsed="false">
      <c r="A1130" s="7" t="s">
        <v>644</v>
      </c>
      <c r="B1130" s="8" t="s">
        <v>432</v>
      </c>
      <c r="C1130" s="64" t="n">
        <f aca="false">Pressupostos!$C$370</f>
        <v>0.5</v>
      </c>
      <c r="D1130" s="64" t="n">
        <f aca="false">Pressupostos!$D$370</f>
        <v>1</v>
      </c>
      <c r="E1130" s="64" t="n">
        <f aca="false">Pressupostos!$E$370</f>
        <v>1</v>
      </c>
      <c r="F1130" s="64" t="n">
        <f aca="false">Pressupostos!$F$370</f>
        <v>1</v>
      </c>
      <c r="G1130" s="64" t="n">
        <f aca="false">Pressupostos!$G$370</f>
        <v>1</v>
      </c>
      <c r="H1130" s="2" t="s">
        <v>1320</v>
      </c>
    </row>
    <row r="1131" customFormat="false" ht="15" hidden="false" customHeight="false" outlineLevel="1" collapsed="false">
      <c r="A1131" s="7" t="s">
        <v>645</v>
      </c>
      <c r="B1131" s="8" t="s">
        <v>432</v>
      </c>
      <c r="C1131" s="64" t="n">
        <f aca="false">Pressupostos!$C$376</f>
        <v>1</v>
      </c>
      <c r="D1131" s="64" t="n">
        <f aca="false">Pressupostos!$D$376</f>
        <v>1</v>
      </c>
      <c r="E1131" s="64" t="n">
        <f aca="false">Pressupostos!$E$376</f>
        <v>1</v>
      </c>
      <c r="F1131" s="64" t="n">
        <f aca="false">Pressupostos!$F$376</f>
        <v>2</v>
      </c>
      <c r="G1131" s="64" t="n">
        <f aca="false">Pressupostos!$G$376</f>
        <v>3</v>
      </c>
      <c r="H1131" s="2" t="s">
        <v>1321</v>
      </c>
    </row>
    <row r="1132" customFormat="false" ht="15" hidden="false" customHeight="false" outlineLevel="1" collapsed="false">
      <c r="A1132" s="7" t="s">
        <v>646</v>
      </c>
      <c r="B1132" s="8" t="s">
        <v>432</v>
      </c>
      <c r="C1132" s="64" t="n">
        <f aca="false">Pressupostos!$C$382</f>
        <v>0</v>
      </c>
      <c r="D1132" s="64" t="n">
        <f aca="false">Pressupostos!$D$382</f>
        <v>0</v>
      </c>
      <c r="E1132" s="64" t="n">
        <f aca="false">Pressupostos!$E$382</f>
        <v>0</v>
      </c>
      <c r="F1132" s="64" t="n">
        <f aca="false">Pressupostos!$F$382</f>
        <v>0</v>
      </c>
      <c r="G1132" s="64" t="n">
        <f aca="false">Pressupostos!$G$382</f>
        <v>0</v>
      </c>
      <c r="H1132" s="2" t="s">
        <v>1322</v>
      </c>
    </row>
    <row r="1133" customFormat="false" ht="15" hidden="false" customHeight="false" outlineLevel="1" collapsed="false">
      <c r="A1133" s="7" t="s">
        <v>647</v>
      </c>
      <c r="B1133" s="8" t="s">
        <v>432</v>
      </c>
      <c r="C1133" s="64" t="n">
        <f aca="false">Pressupostos!$C$388</f>
        <v>0</v>
      </c>
      <c r="D1133" s="64" t="n">
        <f aca="false">Pressupostos!$D$388</f>
        <v>0</v>
      </c>
      <c r="E1133" s="64" t="n">
        <f aca="false">Pressupostos!$E$388</f>
        <v>0</v>
      </c>
      <c r="F1133" s="64" t="n">
        <f aca="false">Pressupostos!$F$388</f>
        <v>0</v>
      </c>
      <c r="G1133" s="64" t="n">
        <f aca="false">Pressupostos!$G$388</f>
        <v>0</v>
      </c>
      <c r="H1133" s="2" t="s">
        <v>1323</v>
      </c>
    </row>
    <row r="1134" customFormat="false" ht="15" hidden="false" customHeight="false" outlineLevel="1" collapsed="false">
      <c r="A1134" s="7" t="s">
        <v>648</v>
      </c>
      <c r="B1134" s="8" t="s">
        <v>432</v>
      </c>
      <c r="C1134" s="64" t="n">
        <f aca="false">Pressupostos!$C$394</f>
        <v>0</v>
      </c>
      <c r="D1134" s="64" t="n">
        <f aca="false">Pressupostos!$D$394</f>
        <v>0</v>
      </c>
      <c r="E1134" s="64" t="n">
        <f aca="false">Pressupostos!$E$394</f>
        <v>0</v>
      </c>
      <c r="F1134" s="64" t="n">
        <f aca="false">Pressupostos!$F$394</f>
        <v>1</v>
      </c>
      <c r="G1134" s="64" t="n">
        <f aca="false">Pressupostos!$G$394</f>
        <v>1</v>
      </c>
      <c r="H1134" s="2" t="s">
        <v>1324</v>
      </c>
    </row>
    <row r="1135" customFormat="false" ht="15" hidden="false" customHeight="false" outlineLevel="1" collapsed="false">
      <c r="A1135" s="7" t="s">
        <v>649</v>
      </c>
      <c r="B1135" s="8" t="s">
        <v>432</v>
      </c>
      <c r="C1135" s="64" t="n">
        <f aca="false">Pressupostos!$C$400</f>
        <v>0</v>
      </c>
      <c r="D1135" s="64" t="n">
        <f aca="false">Pressupostos!$D$400</f>
        <v>0</v>
      </c>
      <c r="E1135" s="64" t="n">
        <f aca="false">Pressupostos!$E$400</f>
        <v>1</v>
      </c>
      <c r="F1135" s="64" t="n">
        <f aca="false">Pressupostos!$F$400</f>
        <v>1</v>
      </c>
      <c r="G1135" s="64" t="n">
        <f aca="false">Pressupostos!$G$400</f>
        <v>1</v>
      </c>
      <c r="H1135" s="2" t="s">
        <v>1325</v>
      </c>
    </row>
    <row r="1136" customFormat="false" ht="15" hidden="false" customHeight="false" outlineLevel="1" collapsed="false">
      <c r="A1136" s="56" t="s">
        <v>650</v>
      </c>
      <c r="B1136" s="57" t="s">
        <v>432</v>
      </c>
      <c r="C1136" s="65" t="n">
        <f aca="false">C1124+C1125+C1126+C1127+C1128+C1129+C1130+C1131+C1132+C1133+C1134+C1135</f>
        <v>5.5</v>
      </c>
      <c r="D1136" s="65" t="n">
        <f aca="false">D1124+D1125+D1126+D1127+D1128+D1129+D1130+D1131+D1132+D1133+D1134+D1135</f>
        <v>7.5</v>
      </c>
      <c r="E1136" s="65" t="n">
        <f aca="false">E1124+E1125+E1126+E1127+E1128+E1129+E1130+E1131+E1132+E1133+E1134+E1135</f>
        <v>8.5</v>
      </c>
      <c r="F1136" s="65" t="n">
        <f aca="false">F1124+F1125+F1126+F1127+F1128+F1129+F1130+F1131+F1132+F1133+F1134+F1135</f>
        <v>11</v>
      </c>
      <c r="G1136" s="65" t="n">
        <f aca="false">G1124+G1125+G1126+G1127+G1128+G1129+G1130+G1131+G1132+G1133+G1134+G1135</f>
        <v>12</v>
      </c>
      <c r="H1136" s="2" t="s">
        <v>1326</v>
      </c>
    </row>
    <row r="1137" customFormat="false" ht="15" hidden="false" customHeight="false" outlineLevel="0" collapsed="false">
      <c r="A1137" s="3" t="s">
        <v>1327</v>
      </c>
      <c r="B1137" s="4"/>
      <c r="C1137" s="4"/>
      <c r="D1137" s="4"/>
      <c r="E1137" s="4"/>
      <c r="F1137" s="4"/>
      <c r="G1137" s="4"/>
      <c r="H1137" s="4"/>
    </row>
    <row r="1138" customFormat="false" ht="15" hidden="false" customHeight="false" outlineLevel="1" collapsed="false">
      <c r="A1138" s="7" t="s">
        <v>638</v>
      </c>
      <c r="B1138" s="8" t="s">
        <v>11</v>
      </c>
      <c r="C1138" s="61" t="n">
        <f aca="false">C1124*Pressupostos!$C$131*(1+Pressupostos!$C$127)^0*(1+Pressupostos!$C$132)*Pressupostos!$C$128</f>
        <v>43998</v>
      </c>
      <c r="D1138" s="61" t="n">
        <f aca="false">D1124*Pressupostos!$C$131*(1+Pressupostos!$C$127)^1*(1+Pressupostos!$C$132)</f>
        <v>61800</v>
      </c>
      <c r="E1138" s="61" t="n">
        <f aca="false">E1124*Pressupostos!$C$131*(1+Pressupostos!$C$127)^2*(1+Pressupostos!$C$132)</f>
        <v>63654</v>
      </c>
      <c r="F1138" s="61" t="n">
        <f aca="false">F1124*Pressupostos!$C$131*(1+Pressupostos!$C$127)^3*(1+Pressupostos!$C$132)</f>
        <v>65563.62</v>
      </c>
      <c r="G1138" s="61" t="n">
        <f aca="false">G1124*Pressupostos!$C$131*(1+Pressupostos!$C$127)^4*(1+Pressupostos!$C$132)</f>
        <v>67530.5286</v>
      </c>
      <c r="H1138" s="2" t="s">
        <v>1328</v>
      </c>
    </row>
    <row r="1139" customFormat="false" ht="15" hidden="false" customHeight="false" outlineLevel="1" collapsed="false">
      <c r="A1139" s="7" t="s">
        <v>639</v>
      </c>
      <c r="B1139" s="8" t="s">
        <v>11</v>
      </c>
      <c r="C1139" s="61" t="n">
        <f aca="false">C1125*Pressupostos!$C$133*(1+Pressupostos!$C$127)^0*(1+Pressupostos!$C$134)*Pressupostos!$C$128</f>
        <v>47664.5</v>
      </c>
      <c r="D1139" s="61" t="n">
        <f aca="false">D1125*Pressupostos!$C$133*(1+Pressupostos!$C$127)^1*(1+Pressupostos!$C$134)</f>
        <v>66950</v>
      </c>
      <c r="E1139" s="61" t="n">
        <f aca="false">E1125*Pressupostos!$C$133*(1+Pressupostos!$C$127)^2*(1+Pressupostos!$C$134)</f>
        <v>68958.5</v>
      </c>
      <c r="F1139" s="61" t="n">
        <f aca="false">F1125*Pressupostos!$C$133*(1+Pressupostos!$C$127)^3*(1+Pressupostos!$C$134)</f>
        <v>71027.255</v>
      </c>
      <c r="G1139" s="61" t="n">
        <f aca="false">G1125*Pressupostos!$C$133*(1+Pressupostos!$C$127)^4*(1+Pressupostos!$C$134)</f>
        <v>73158.07265</v>
      </c>
      <c r="H1139" s="2" t="s">
        <v>1329</v>
      </c>
    </row>
    <row r="1140" customFormat="false" ht="15" hidden="false" customHeight="false" outlineLevel="1" collapsed="false">
      <c r="A1140" s="7" t="s">
        <v>640</v>
      </c>
      <c r="B1140" s="8" t="s">
        <v>11</v>
      </c>
      <c r="C1140" s="61" t="n">
        <f aca="false">C1126*Pressupostos!$C$135*(1+Pressupostos!$C$127)^0*(1+Pressupostos!$C$136)</f>
        <v>0</v>
      </c>
      <c r="D1140" s="61" t="n">
        <f aca="false">D1126*Pressupostos!$C$135*(1+Pressupostos!$C$127)^1*(1+Pressupostos!$C$136)</f>
        <v>46350</v>
      </c>
      <c r="E1140" s="61" t="n">
        <f aca="false">E1126*Pressupostos!$C$135*(1+Pressupostos!$C$127)^2*(1+Pressupostos!$C$136)</f>
        <v>47740.5</v>
      </c>
      <c r="F1140" s="61" t="n">
        <f aca="false">F1126*Pressupostos!$C$135*(1+Pressupostos!$C$127)^3*(1+Pressupostos!$C$136)</f>
        <v>49172.715</v>
      </c>
      <c r="G1140" s="61" t="n">
        <f aca="false">G1126*Pressupostos!$C$135*(1+Pressupostos!$C$127)^4*(1+Pressupostos!$C$136)</f>
        <v>50647.89645</v>
      </c>
      <c r="H1140" s="2" t="s">
        <v>1330</v>
      </c>
    </row>
    <row r="1141" customFormat="false" ht="15" hidden="false" customHeight="false" outlineLevel="1" collapsed="false">
      <c r="A1141" s="7" t="s">
        <v>641</v>
      </c>
      <c r="B1141" s="8" t="s">
        <v>11</v>
      </c>
      <c r="C1141" s="61" t="n">
        <f aca="false">C1127*Pressupostos!$C$137*(1+Pressupostos!$C$127)^0*(1+Pressupostos!$C$138)</f>
        <v>30000</v>
      </c>
      <c r="D1141" s="61" t="n">
        <f aca="false">D1127*Pressupostos!$C$137*(1+Pressupostos!$C$127)^1*(1+Pressupostos!$C$138)</f>
        <v>61800</v>
      </c>
      <c r="E1141" s="61" t="n">
        <f aca="false">E1127*Pressupostos!$C$137*(1+Pressupostos!$C$127)^2*(1+Pressupostos!$C$138)</f>
        <v>63654</v>
      </c>
      <c r="F1141" s="61" t="n">
        <f aca="false">F1127*Pressupostos!$C$137*(1+Pressupostos!$C$127)^3*(1+Pressupostos!$C$138)</f>
        <v>65563.62</v>
      </c>
      <c r="G1141" s="61" t="n">
        <f aca="false">G1127*Pressupostos!$C$137*(1+Pressupostos!$C$127)^4*(1+Pressupostos!$C$138)</f>
        <v>67530.5286</v>
      </c>
      <c r="H1141" s="2" t="s">
        <v>1331</v>
      </c>
    </row>
    <row r="1142" customFormat="false" ht="15" hidden="false" customHeight="false" outlineLevel="1" collapsed="false">
      <c r="A1142" s="7" t="s">
        <v>642</v>
      </c>
      <c r="B1142" s="8" t="s">
        <v>11</v>
      </c>
      <c r="C1142" s="61" t="n">
        <f aca="false">C1128*Pressupostos!$C$139*(1+Pressupostos!$C$127)^0*(1+Pressupostos!$C$140)</f>
        <v>22500</v>
      </c>
      <c r="D1142" s="61" t="n">
        <f aca="false">D1128*Pressupostos!$C$139*(1+Pressupostos!$C$127)^1*(1+Pressupostos!$C$140)</f>
        <v>23175</v>
      </c>
      <c r="E1142" s="61" t="n">
        <f aca="false">E1128*Pressupostos!$C$139*(1+Pressupostos!$C$127)^2*(1+Pressupostos!$C$140)</f>
        <v>23870.25</v>
      </c>
      <c r="F1142" s="61" t="n">
        <f aca="false">F1128*Pressupostos!$C$139*(1+Pressupostos!$C$127)^3*(1+Pressupostos!$C$140)</f>
        <v>49172.715</v>
      </c>
      <c r="G1142" s="61" t="n">
        <f aca="false">G1128*Pressupostos!$C$139*(1+Pressupostos!$C$127)^4*(1+Pressupostos!$C$140)</f>
        <v>50647.89645</v>
      </c>
      <c r="H1142" s="2" t="s">
        <v>1332</v>
      </c>
    </row>
    <row r="1143" customFormat="false" ht="15" hidden="false" customHeight="false" outlineLevel="1" collapsed="false">
      <c r="A1143" s="7" t="s">
        <v>643</v>
      </c>
      <c r="B1143" s="8" t="s">
        <v>11</v>
      </c>
      <c r="C1143" s="61" t="n">
        <f aca="false">C1129*Pressupostos!$C$141*(1+Pressupostos!$C$127)^0*(1+Pressupostos!$C$142)</f>
        <v>38000</v>
      </c>
      <c r="D1143" s="61" t="n">
        <f aca="false">D1129*Pressupostos!$C$141*(1+Pressupostos!$C$127)^1*(1+Pressupostos!$C$142)</f>
        <v>39140</v>
      </c>
      <c r="E1143" s="61" t="n">
        <f aca="false">E1129*Pressupostos!$C$141*(1+Pressupostos!$C$127)^2*(1+Pressupostos!$C$142)</f>
        <v>40314.2</v>
      </c>
      <c r="F1143" s="61" t="n">
        <f aca="false">F1129*Pressupostos!$C$141*(1+Pressupostos!$C$127)^3*(1+Pressupostos!$C$142)</f>
        <v>41523.626</v>
      </c>
      <c r="G1143" s="61" t="n">
        <f aca="false">G1129*Pressupostos!$C$141*(1+Pressupostos!$C$127)^4*(1+Pressupostos!$C$142)</f>
        <v>42769.33478</v>
      </c>
      <c r="H1143" s="2" t="s">
        <v>1333</v>
      </c>
    </row>
    <row r="1144" customFormat="false" ht="15" hidden="false" customHeight="false" outlineLevel="1" collapsed="false">
      <c r="A1144" s="7" t="s">
        <v>644</v>
      </c>
      <c r="B1144" s="8" t="s">
        <v>11</v>
      </c>
      <c r="C1144" s="61" t="n">
        <f aca="false">C1130*Pressupostos!$C$143*(1+Pressupostos!$C$127)^0*(1+Pressupostos!$C$144)</f>
        <v>16000</v>
      </c>
      <c r="D1144" s="61" t="n">
        <f aca="false">D1130*Pressupostos!$C$143*(1+Pressupostos!$C$127)^1*(1+Pressupostos!$C$144)</f>
        <v>32960</v>
      </c>
      <c r="E1144" s="61" t="n">
        <f aca="false">E1130*Pressupostos!$C$143*(1+Pressupostos!$C$127)^2*(1+Pressupostos!$C$144)</f>
        <v>33948.8</v>
      </c>
      <c r="F1144" s="61" t="n">
        <f aca="false">F1130*Pressupostos!$C$143*(1+Pressupostos!$C$127)^3*(1+Pressupostos!$C$144)</f>
        <v>34967.264</v>
      </c>
      <c r="G1144" s="61" t="n">
        <f aca="false">G1130*Pressupostos!$C$143*(1+Pressupostos!$C$127)^4*(1+Pressupostos!$C$144)</f>
        <v>36016.28192</v>
      </c>
      <c r="H1144" s="2" t="s">
        <v>1334</v>
      </c>
    </row>
    <row r="1145" customFormat="false" ht="15" hidden="false" customHeight="false" outlineLevel="1" collapsed="false">
      <c r="A1145" s="7" t="s">
        <v>645</v>
      </c>
      <c r="B1145" s="8" t="s">
        <v>11</v>
      </c>
      <c r="C1145" s="61" t="n">
        <f aca="false">C1131*Pressupostos!$C$145*(1+Pressupostos!$C$127)^0*(1+Pressupostos!$C$146)</f>
        <v>34500</v>
      </c>
      <c r="D1145" s="61" t="n">
        <f aca="false">D1131*Pressupostos!$C$145*(1+Pressupostos!$C$127)^1*(1+Pressupostos!$C$146)</f>
        <v>35535</v>
      </c>
      <c r="E1145" s="61" t="n">
        <f aca="false">E1131*Pressupostos!$C$145*(1+Pressupostos!$C$127)^2*(1+Pressupostos!$C$146)</f>
        <v>36601.05</v>
      </c>
      <c r="F1145" s="61" t="n">
        <f aca="false">F1131*Pressupostos!$C$145*(1+Pressupostos!$C$127)^3*(1+Pressupostos!$C$146)</f>
        <v>75398.163</v>
      </c>
      <c r="G1145" s="61" t="n">
        <f aca="false">G1131*Pressupostos!$C$145*(1+Pressupostos!$C$127)^4*(1+Pressupostos!$C$146)</f>
        <v>116490.161835</v>
      </c>
      <c r="H1145" s="2" t="s">
        <v>1335</v>
      </c>
    </row>
    <row r="1146" customFormat="false" ht="15" hidden="false" customHeight="false" outlineLevel="1" collapsed="false">
      <c r="A1146" s="7" t="s">
        <v>646</v>
      </c>
      <c r="B1146" s="8" t="s">
        <v>11</v>
      </c>
      <c r="C1146" s="61" t="n">
        <f aca="false">C1132*Pressupostos!$C$147*(1+Pressupostos!$C$127)^0*(1+Pressupostos!$C$148)</f>
        <v>0</v>
      </c>
      <c r="D1146" s="61" t="n">
        <f aca="false">D1132*Pressupostos!$C$147*(1+Pressupostos!$C$127)^1*(1+Pressupostos!$C$148)</f>
        <v>0</v>
      </c>
      <c r="E1146" s="61" t="n">
        <f aca="false">E1132*Pressupostos!$C$147*(1+Pressupostos!$C$127)^2*(1+Pressupostos!$C$148)</f>
        <v>0</v>
      </c>
      <c r="F1146" s="61" t="n">
        <f aca="false">F1132*Pressupostos!$C$147*(1+Pressupostos!$C$127)^3*(1+Pressupostos!$C$148)</f>
        <v>0</v>
      </c>
      <c r="G1146" s="61" t="n">
        <f aca="false">G1132*Pressupostos!$C$147*(1+Pressupostos!$C$127)^4*(1+Pressupostos!$C$148)</f>
        <v>0</v>
      </c>
      <c r="H1146" s="2" t="s">
        <v>1336</v>
      </c>
    </row>
    <row r="1147" customFormat="false" ht="15" hidden="false" customHeight="false" outlineLevel="1" collapsed="false">
      <c r="A1147" s="7" t="s">
        <v>647</v>
      </c>
      <c r="B1147" s="8" t="s">
        <v>11</v>
      </c>
      <c r="C1147" s="61" t="n">
        <f aca="false">C1133*Pressupostos!$C$149*(1+Pressupostos!$C$127)^0*(1+Pressupostos!$C$150)</f>
        <v>0</v>
      </c>
      <c r="D1147" s="61" t="n">
        <f aca="false">D1133*Pressupostos!$C$149*(1+Pressupostos!$C$127)^1*(1+Pressupostos!$C$150)</f>
        <v>0</v>
      </c>
      <c r="E1147" s="61" t="n">
        <f aca="false">E1133*Pressupostos!$C$149*(1+Pressupostos!$C$127)^2*(1+Pressupostos!$C$150)</f>
        <v>0</v>
      </c>
      <c r="F1147" s="61" t="n">
        <f aca="false">F1133*Pressupostos!$C$149*(1+Pressupostos!$C$127)^3*(1+Pressupostos!$C$150)</f>
        <v>0</v>
      </c>
      <c r="G1147" s="61" t="n">
        <f aca="false">G1133*Pressupostos!$C$149*(1+Pressupostos!$C$127)^4*(1+Pressupostos!$C$150)</f>
        <v>0</v>
      </c>
      <c r="H1147" s="2" t="s">
        <v>1337</v>
      </c>
    </row>
    <row r="1148" customFormat="false" ht="15" hidden="false" customHeight="false" outlineLevel="1" collapsed="false">
      <c r="A1148" s="7" t="s">
        <v>648</v>
      </c>
      <c r="B1148" s="8" t="s">
        <v>11</v>
      </c>
      <c r="C1148" s="61" t="n">
        <f aca="false">C1134*Pressupostos!$C$151*(1+Pressupostos!$C$127)^0*(1+Pressupostos!$C$152)</f>
        <v>0</v>
      </c>
      <c r="D1148" s="61" t="n">
        <f aca="false">D1134*Pressupostos!$C$151*(1+Pressupostos!$C$127)^1*(1+Pressupostos!$C$152)</f>
        <v>0</v>
      </c>
      <c r="E1148" s="61" t="n">
        <f aca="false">E1134*Pressupostos!$C$151*(1+Pressupostos!$C$127)^2*(1+Pressupostos!$C$152)</f>
        <v>0</v>
      </c>
      <c r="F1148" s="61" t="n">
        <f aca="false">F1134*Pressupostos!$C$151*(1+Pressupostos!$C$127)^3*(1+Pressupostos!$C$152)</f>
        <v>26225.448</v>
      </c>
      <c r="G1148" s="61" t="n">
        <f aca="false">G1134*Pressupostos!$C$151*(1+Pressupostos!$C$127)^4*(1+Pressupostos!$C$152)</f>
        <v>27012.21144</v>
      </c>
      <c r="H1148" s="2" t="s">
        <v>1338</v>
      </c>
    </row>
    <row r="1149" customFormat="false" ht="15" hidden="false" customHeight="false" outlineLevel="1" collapsed="false">
      <c r="A1149" s="7" t="s">
        <v>649</v>
      </c>
      <c r="B1149" s="8" t="s">
        <v>11</v>
      </c>
      <c r="C1149" s="61" t="n">
        <f aca="false">C1135*Pressupostos!$C$153*(1+Pressupostos!$C$127)^0*(1+Pressupostos!$C$154)</f>
        <v>0</v>
      </c>
      <c r="D1149" s="61" t="n">
        <f aca="false">D1135*Pressupostos!$C$153*(1+Pressupostos!$C$127)^1*(1+Pressupostos!$C$154)</f>
        <v>0</v>
      </c>
      <c r="E1149" s="61" t="n">
        <f aca="false">E1135*Pressupostos!$C$153*(1+Pressupostos!$C$127)^2*(1+Pressupostos!$C$154)</f>
        <v>54901.575</v>
      </c>
      <c r="F1149" s="61" t="n">
        <f aca="false">F1135*Pressupostos!$C$153*(1+Pressupostos!$C$127)^3*(1+Pressupostos!$C$154)</f>
        <v>56548.62225</v>
      </c>
      <c r="G1149" s="61" t="n">
        <f aca="false">G1135*Pressupostos!$C$153*(1+Pressupostos!$C$127)^4*(1+Pressupostos!$C$154)</f>
        <v>58245.0809175</v>
      </c>
      <c r="H1149" s="2" t="s">
        <v>1339</v>
      </c>
    </row>
    <row r="1150" customFormat="false" ht="15" hidden="false" customHeight="false" outlineLevel="1" collapsed="false">
      <c r="A1150" s="7" t="s">
        <v>652</v>
      </c>
      <c r="B1150" s="8" t="s">
        <v>11</v>
      </c>
      <c r="C1150" s="61" t="n">
        <f aca="false">C1138+C1139+C1140+C1141+C1142+C1143+C1144+C1145+C1146+C1147+C1148+C1149</f>
        <v>232662.5</v>
      </c>
      <c r="D1150" s="61" t="n">
        <f aca="false">D1138+D1139+D1140+D1141+D1142+D1143+D1144+D1145+D1146+D1147+D1148+D1149</f>
        <v>367710</v>
      </c>
      <c r="E1150" s="61" t="n">
        <f aca="false">E1138+E1139+E1140+E1141+E1142+E1143+E1144+E1145+E1146+E1147+E1148+E1149</f>
        <v>433642.875</v>
      </c>
      <c r="F1150" s="61" t="n">
        <f aca="false">F1138+F1139+F1140+F1141+F1142+F1143+F1144+F1145+F1146+F1147+F1148+F1149</f>
        <v>535163.04825</v>
      </c>
      <c r="G1150" s="61" t="n">
        <f aca="false">G1138+G1139+G1140+G1141+G1142+G1143+G1144+G1145+G1146+G1147+G1148+G1149</f>
        <v>590047.9936425</v>
      </c>
      <c r="H1150" s="2" t="s">
        <v>1340</v>
      </c>
    </row>
    <row r="1151" customFormat="false" ht="15" hidden="false" customHeight="false" outlineLevel="1" collapsed="false">
      <c r="A1151" s="7" t="s">
        <v>653</v>
      </c>
      <c r="B1151" s="8" t="s">
        <v>11</v>
      </c>
      <c r="C1151" s="61" t="n">
        <f aca="false">C1150*(Pressupostos!$C$124+Pressupostos!$C$125)</f>
        <v>59910.59375</v>
      </c>
      <c r="D1151" s="61" t="n">
        <f aca="false">D1150*(Pressupostos!$C$124+Pressupostos!$C$125)</f>
        <v>94685.325</v>
      </c>
      <c r="E1151" s="61" t="n">
        <f aca="false">E1150*(Pressupostos!$C$124+Pressupostos!$C$125)</f>
        <v>111663.0403125</v>
      </c>
      <c r="F1151" s="61" t="n">
        <f aca="false">F1150*(Pressupostos!$C$124+Pressupostos!$C$125)</f>
        <v>137804.484924375</v>
      </c>
      <c r="G1151" s="61" t="n">
        <f aca="false">G1150*(Pressupostos!$C$124+Pressupostos!$C$125)</f>
        <v>151937.358362944</v>
      </c>
      <c r="H1151" s="2" t="s">
        <v>1341</v>
      </c>
    </row>
    <row r="1152" customFormat="false" ht="15" hidden="false" customHeight="false" outlineLevel="1" collapsed="false">
      <c r="A1152" s="7" t="s">
        <v>654</v>
      </c>
      <c r="B1152" s="8" t="s">
        <v>11</v>
      </c>
      <c r="C1152" s="61" t="n">
        <f aca="false">C1136*Pressupostos!$C$126*(1+Pressupostos!$C$127)^0</f>
        <v>11000</v>
      </c>
      <c r="D1152" s="61" t="n">
        <f aca="false">D1136*Pressupostos!$C$126*(1+Pressupostos!$C$127)^1</f>
        <v>15450</v>
      </c>
      <c r="E1152" s="61" t="n">
        <f aca="false">E1136*Pressupostos!$C$126*(1+Pressupostos!$C$127)^2</f>
        <v>18035.3</v>
      </c>
      <c r="F1152" s="61" t="n">
        <f aca="false">F1136*Pressupostos!$C$126*(1+Pressupostos!$C$127)^3</f>
        <v>24039.994</v>
      </c>
      <c r="G1152" s="61" t="n">
        <f aca="false">G1136*Pressupostos!$C$126*(1+Pressupostos!$C$127)^4</f>
        <v>27012.21144</v>
      </c>
      <c r="H1152" s="2" t="s">
        <v>1342</v>
      </c>
    </row>
    <row r="1153" customFormat="false" ht="15" hidden="false" customHeight="false" outlineLevel="1" collapsed="false">
      <c r="A1153" s="56" t="s">
        <v>655</v>
      </c>
      <c r="B1153" s="57" t="s">
        <v>11</v>
      </c>
      <c r="C1153" s="62" t="n">
        <f aca="false">C1150+C1151+C1152</f>
        <v>303573.09375</v>
      </c>
      <c r="D1153" s="62" t="n">
        <f aca="false">D1150+D1151+D1152</f>
        <v>477845.325</v>
      </c>
      <c r="E1153" s="62" t="n">
        <f aca="false">E1150+E1151+E1152</f>
        <v>563341.2153125</v>
      </c>
      <c r="F1153" s="62" t="n">
        <f aca="false">F1150+F1151+F1152</f>
        <v>697007.527174375</v>
      </c>
      <c r="G1153" s="62" t="n">
        <f aca="false">G1150+G1151+G1152</f>
        <v>768997.563445444</v>
      </c>
      <c r="H1153" s="2" t="s">
        <v>1343</v>
      </c>
    </row>
    <row r="1154" customFormat="false" ht="15" hidden="false" customHeight="false" outlineLevel="1" collapsed="false">
      <c r="A1154" s="2" t="s">
        <v>656</v>
      </c>
      <c r="B1154" s="8" t="s">
        <v>11</v>
      </c>
      <c r="C1154" s="61" t="n">
        <f aca="false">IF(C1136&gt;0,C1153/C1136,0)</f>
        <v>55195.1079545455</v>
      </c>
      <c r="D1154" s="61" t="n">
        <f aca="false">IF(D1136&gt;0,D1153/D1136,0)</f>
        <v>63712.71</v>
      </c>
      <c r="E1154" s="61" t="n">
        <f aca="false">IF(E1136&gt;0,E1153/E1136,0)</f>
        <v>66275.4370955882</v>
      </c>
      <c r="F1154" s="61" t="n">
        <f aca="false">IF(F1136&gt;0,F1153/F1136,0)</f>
        <v>63364.3206522159</v>
      </c>
      <c r="G1154" s="61" t="n">
        <f aca="false">IF(G1136&gt;0,G1153/G1136,0)</f>
        <v>64083.1302871203</v>
      </c>
      <c r="H1154" s="2" t="s">
        <v>1344</v>
      </c>
    </row>
    <row r="1155" customFormat="false" ht="15" hidden="false" customHeight="false" outlineLevel="0" collapsed="false">
      <c r="A1155" s="3" t="s">
        <v>1345</v>
      </c>
      <c r="B1155" s="4"/>
      <c r="C1155" s="4"/>
      <c r="D1155" s="4"/>
      <c r="E1155" s="4"/>
      <c r="F1155" s="4"/>
      <c r="G1155" s="4"/>
      <c r="H1155" s="4"/>
    </row>
    <row r="1156" customFormat="false" ht="15" hidden="false" customHeight="false" outlineLevel="1" collapsed="false">
      <c r="A1156" s="7" t="s">
        <v>449</v>
      </c>
      <c r="B1156" s="8" t="s">
        <v>11</v>
      </c>
      <c r="C1156" s="61" t="n">
        <f aca="false">Pressupostos!$C$407*(1+Pressupostos!$C$156)*(1+Pressupostos!$C$157)^0</f>
        <v>94500</v>
      </c>
      <c r="D1156" s="61" t="n">
        <f aca="false">Pressupostos!$D$407*(1+Pressupostos!$C$156)*(1+Pressupostos!$C$157)^1</f>
        <v>53550</v>
      </c>
      <c r="E1156" s="61" t="n">
        <f aca="false">Pressupostos!$E$407*(1+Pressupostos!$C$156)*(1+Pressupostos!$C$157)^2</f>
        <v>49158.9</v>
      </c>
      <c r="F1156" s="61" t="n">
        <f aca="false">Pressupostos!$F$407*(1+Pressupostos!$C$156)*(1+Pressupostos!$C$157)^3</f>
        <v>50142.078</v>
      </c>
      <c r="G1156" s="61" t="n">
        <f aca="false">Pressupostos!$G$407*(1+Pressupostos!$C$156)*(1+Pressupostos!$C$157)^4</f>
        <v>51144.91956</v>
      </c>
      <c r="H1156" s="2" t="s">
        <v>1346</v>
      </c>
    </row>
    <row r="1157" customFormat="false" ht="15" hidden="false" customHeight="false" outlineLevel="1" collapsed="false">
      <c r="A1157" s="7" t="s">
        <v>451</v>
      </c>
      <c r="B1157" s="8" t="s">
        <v>11</v>
      </c>
      <c r="C1157" s="61" t="n">
        <f aca="false">Pressupostos!$C$413*(1+Pressupostos!$C$156)*(1+Pressupostos!$C$157)^0</f>
        <v>10500</v>
      </c>
      <c r="D1157" s="61" t="n">
        <f aca="false">Pressupostos!$D$413*(1+Pressupostos!$C$156)*(1+Pressupostos!$C$157)^1</f>
        <v>10710</v>
      </c>
      <c r="E1157" s="61" t="n">
        <f aca="false">Pressupostos!$E$413*(1+Pressupostos!$C$156)*(1+Pressupostos!$C$157)^2</f>
        <v>10924.2</v>
      </c>
      <c r="F1157" s="61" t="n">
        <f aca="false">Pressupostos!$F$413*(1+Pressupostos!$C$156)*(1+Pressupostos!$C$157)^3</f>
        <v>11142.684</v>
      </c>
      <c r="G1157" s="61" t="n">
        <f aca="false">Pressupostos!$G$413*(1+Pressupostos!$C$156)*(1+Pressupostos!$C$157)^4</f>
        <v>11365.53768</v>
      </c>
      <c r="H1157" s="2" t="s">
        <v>1347</v>
      </c>
    </row>
    <row r="1158" customFormat="false" ht="15" hidden="false" customHeight="false" outlineLevel="1" collapsed="false">
      <c r="A1158" s="7" t="s">
        <v>452</v>
      </c>
      <c r="B1158" s="8" t="s">
        <v>11</v>
      </c>
      <c r="C1158" s="61" t="n">
        <f aca="false">Pressupostos!$C$419*(1+Pressupostos!$C$156)*(1+Pressupostos!$C$157)^0</f>
        <v>12600</v>
      </c>
      <c r="D1158" s="61" t="n">
        <f aca="false">Pressupostos!$D$419*(1+Pressupostos!$C$156)*(1+Pressupostos!$C$157)^1</f>
        <v>12852</v>
      </c>
      <c r="E1158" s="61" t="n">
        <f aca="false">Pressupostos!$E$419*(1+Pressupostos!$C$156)*(1+Pressupostos!$C$157)^2</f>
        <v>13109.04</v>
      </c>
      <c r="F1158" s="61" t="n">
        <f aca="false">Pressupostos!$F$419*(1+Pressupostos!$C$156)*(1+Pressupostos!$C$157)^3</f>
        <v>13371.2208</v>
      </c>
      <c r="G1158" s="61" t="n">
        <f aca="false">Pressupostos!$G$419*(1+Pressupostos!$C$156)*(1+Pressupostos!$C$157)^4</f>
        <v>13638.645216</v>
      </c>
      <c r="H1158" s="2" t="s">
        <v>1348</v>
      </c>
    </row>
    <row r="1159" customFormat="false" ht="15" hidden="false" customHeight="false" outlineLevel="1" collapsed="false">
      <c r="A1159" s="7" t="s">
        <v>454</v>
      </c>
      <c r="B1159" s="8" t="s">
        <v>11</v>
      </c>
      <c r="C1159" s="61" t="n">
        <f aca="false">Pressupostos!$C$425*(1+Pressupostos!$C$156)*(1+Pressupostos!$C$157)^0</f>
        <v>31500</v>
      </c>
      <c r="D1159" s="61" t="n">
        <f aca="false">Pressupostos!$D$425*(1+Pressupostos!$C$156)*(1+Pressupostos!$C$157)^1</f>
        <v>37485</v>
      </c>
      <c r="E1159" s="61" t="n">
        <f aca="false">Pressupostos!$E$425*(1+Pressupostos!$C$156)*(1+Pressupostos!$C$157)^2</f>
        <v>49158.9</v>
      </c>
      <c r="F1159" s="61" t="n">
        <f aca="false">Pressupostos!$F$425*(1+Pressupostos!$C$156)*(1+Pressupostos!$C$157)^3</f>
        <v>55713.42</v>
      </c>
      <c r="G1159" s="61" t="n">
        <f aca="false">Pressupostos!$G$425*(1+Pressupostos!$C$156)*(1+Pressupostos!$C$157)^4</f>
        <v>62510.45724</v>
      </c>
      <c r="H1159" s="2" t="s">
        <v>1349</v>
      </c>
    </row>
    <row r="1160" customFormat="false" ht="15" hidden="false" customHeight="false" outlineLevel="1" collapsed="false">
      <c r="A1160" s="7" t="s">
        <v>456</v>
      </c>
      <c r="B1160" s="8" t="s">
        <v>11</v>
      </c>
      <c r="C1160" s="61" t="n">
        <f aca="false">Pressupostos!$C$431*(1+Pressupostos!$C$156)*(1+Pressupostos!$C$157)^0</f>
        <v>15750</v>
      </c>
      <c r="D1160" s="61" t="n">
        <f aca="false">Pressupostos!$D$431*(1+Pressupostos!$C$156)*(1+Pressupostos!$C$157)^1</f>
        <v>16065</v>
      </c>
      <c r="E1160" s="61" t="n">
        <f aca="false">Pressupostos!$E$431*(1+Pressupostos!$C$156)*(1+Pressupostos!$C$157)^2</f>
        <v>38234.7</v>
      </c>
      <c r="F1160" s="61" t="n">
        <f aca="false">Pressupostos!$F$431*(1+Pressupostos!$C$156)*(1+Pressupostos!$C$157)^3</f>
        <v>22285.368</v>
      </c>
      <c r="G1160" s="61" t="n">
        <f aca="false">Pressupostos!$G$431*(1+Pressupostos!$C$156)*(1+Pressupostos!$C$157)^4</f>
        <v>22731.07536</v>
      </c>
      <c r="H1160" s="2" t="s">
        <v>1350</v>
      </c>
    </row>
    <row r="1161" customFormat="false" ht="15" hidden="false" customHeight="false" outlineLevel="1" collapsed="false">
      <c r="A1161" s="7" t="s">
        <v>458</v>
      </c>
      <c r="B1161" s="8" t="s">
        <v>11</v>
      </c>
      <c r="C1161" s="61" t="n">
        <f aca="false">Pressupostos!$C$437*(1+Pressupostos!$C$156)*(1+Pressupostos!$C$157)^0</f>
        <v>10500</v>
      </c>
      <c r="D1161" s="61" t="n">
        <f aca="false">Pressupostos!$D$437*(1+Pressupostos!$C$156)*(1+Pressupostos!$C$157)^1</f>
        <v>12852</v>
      </c>
      <c r="E1161" s="61" t="n">
        <f aca="false">Pressupostos!$E$437*(1+Pressupostos!$C$156)*(1+Pressupostos!$C$157)^2</f>
        <v>16386.3</v>
      </c>
      <c r="F1161" s="61" t="n">
        <f aca="false">Pressupostos!$F$437*(1+Pressupostos!$C$156)*(1+Pressupostos!$C$157)^3</f>
        <v>20056.8312</v>
      </c>
      <c r="G1161" s="61" t="n">
        <f aca="false">Pressupostos!$G$437*(1+Pressupostos!$C$156)*(1+Pressupostos!$C$157)^4</f>
        <v>22731.07536</v>
      </c>
      <c r="H1161" s="2" t="s">
        <v>1351</v>
      </c>
    </row>
    <row r="1162" customFormat="false" ht="15" hidden="false" customHeight="false" outlineLevel="1" collapsed="false">
      <c r="A1162" s="7" t="s">
        <v>459</v>
      </c>
      <c r="B1162" s="8" t="s">
        <v>11</v>
      </c>
      <c r="C1162" s="61" t="n">
        <f aca="false">Pressupostos!$C$443*(1+Pressupostos!$C$156)*(1+Pressupostos!$C$157)^0</f>
        <v>31500</v>
      </c>
      <c r="D1162" s="61" t="n">
        <f aca="false">Pressupostos!$D$443*(1+Pressupostos!$C$156)*(1+Pressupostos!$C$157)^1</f>
        <v>37485</v>
      </c>
      <c r="E1162" s="61" t="n">
        <f aca="false">Pressupostos!$E$443*(1+Pressupostos!$C$156)*(1+Pressupostos!$C$157)^2</f>
        <v>49158.9</v>
      </c>
      <c r="F1162" s="61" t="n">
        <f aca="false">Pressupostos!$F$443*(1+Pressupostos!$C$156)*(1+Pressupostos!$C$157)^3</f>
        <v>55713.42</v>
      </c>
      <c r="G1162" s="61" t="n">
        <f aca="false">Pressupostos!$G$443*(1+Pressupostos!$C$156)*(1+Pressupostos!$C$157)^4</f>
        <v>62510.45724</v>
      </c>
      <c r="H1162" s="2" t="s">
        <v>1352</v>
      </c>
    </row>
    <row r="1163" customFormat="false" ht="15" hidden="false" customHeight="false" outlineLevel="1" collapsed="false">
      <c r="A1163" s="7" t="s">
        <v>461</v>
      </c>
      <c r="B1163" s="8" t="s">
        <v>11</v>
      </c>
      <c r="C1163" s="61" t="n">
        <f aca="false">Pressupostos!$C$449*(1+Pressupostos!$C$156)*(1+Pressupostos!$C$157)^0</f>
        <v>6300</v>
      </c>
      <c r="D1163" s="61" t="n">
        <f aca="false">Pressupostos!$D$449*(1+Pressupostos!$C$156)*(1+Pressupostos!$C$157)^1</f>
        <v>8568</v>
      </c>
      <c r="E1163" s="61" t="n">
        <f aca="false">Pressupostos!$E$449*(1+Pressupostos!$C$156)*(1+Pressupostos!$C$157)^2</f>
        <v>13109.04</v>
      </c>
      <c r="F1163" s="61" t="n">
        <f aca="false">Pressupostos!$F$449*(1+Pressupostos!$C$156)*(1+Pressupostos!$C$157)^3</f>
        <v>16714.026</v>
      </c>
      <c r="G1163" s="61" t="n">
        <f aca="false">Pressupostos!$G$449*(1+Pressupostos!$C$156)*(1+Pressupostos!$C$157)^4</f>
        <v>20457.967824</v>
      </c>
      <c r="H1163" s="2" t="s">
        <v>1353</v>
      </c>
    </row>
    <row r="1164" customFormat="false" ht="15" hidden="false" customHeight="false" outlineLevel="1" collapsed="false">
      <c r="A1164" s="7" t="s">
        <v>463</v>
      </c>
      <c r="B1164" s="8" t="s">
        <v>11</v>
      </c>
      <c r="C1164" s="61" t="n">
        <f aca="false">Pressupostos!$C$455*(1+Pressupostos!$C$156)*(1+Pressupostos!$C$157)^0</f>
        <v>15750</v>
      </c>
      <c r="D1164" s="61" t="n">
        <f aca="false">Pressupostos!$D$455*(1+Pressupostos!$C$156)*(1+Pressupostos!$C$157)^1</f>
        <v>21420</v>
      </c>
      <c r="E1164" s="61" t="n">
        <f aca="false">Pressupostos!$E$455*(1+Pressupostos!$C$156)*(1+Pressupostos!$C$157)^2</f>
        <v>30587.76</v>
      </c>
      <c r="F1164" s="61" t="n">
        <f aca="false">Pressupostos!$F$455*(1+Pressupostos!$C$156)*(1+Pressupostos!$C$157)^3</f>
        <v>35656.5888</v>
      </c>
      <c r="G1164" s="61" t="n">
        <f aca="false">Pressupostos!$G$455*(1+Pressupostos!$C$156)*(1+Pressupostos!$C$157)^4</f>
        <v>40915.935648</v>
      </c>
      <c r="H1164" s="2" t="s">
        <v>1354</v>
      </c>
    </row>
    <row r="1165" customFormat="false" ht="15" hidden="false" customHeight="false" outlineLevel="1" collapsed="false">
      <c r="A1165" s="7" t="s">
        <v>464</v>
      </c>
      <c r="B1165" s="8" t="s">
        <v>11</v>
      </c>
      <c r="C1165" s="61" t="n">
        <f aca="false">Pressupostos!$C$461*(1+Pressupostos!$C$156)*(1+Pressupostos!$C$157)^0</f>
        <v>4200</v>
      </c>
      <c r="D1165" s="61" t="n">
        <f aca="false">Pressupostos!$D$461*(1+Pressupostos!$C$156)*(1+Pressupostos!$C$157)^1</f>
        <v>6426</v>
      </c>
      <c r="E1165" s="61" t="n">
        <f aca="false">Pressupostos!$E$461*(1+Pressupostos!$C$156)*(1+Pressupostos!$C$157)^2</f>
        <v>8739.36</v>
      </c>
      <c r="F1165" s="61" t="n">
        <f aca="false">Pressupostos!$F$461*(1+Pressupostos!$C$156)*(1+Pressupostos!$C$157)^3</f>
        <v>8914.1472</v>
      </c>
      <c r="G1165" s="61" t="n">
        <f aca="false">Pressupostos!$G$461*(1+Pressupostos!$C$156)*(1+Pressupostos!$C$157)^4</f>
        <v>9092.430144</v>
      </c>
      <c r="H1165" s="2" t="s">
        <v>1355</v>
      </c>
    </row>
    <row r="1166" customFormat="false" ht="15" hidden="false" customHeight="false" outlineLevel="1" collapsed="false">
      <c r="A1166" s="7" t="s">
        <v>701</v>
      </c>
      <c r="B1166" s="8" t="s">
        <v>11</v>
      </c>
      <c r="C1166" s="61" t="n">
        <f aca="false">C1156+C1157+C1158+C1159+C1160+C1161+C1162+C1163+C1164+C1165</f>
        <v>233100</v>
      </c>
      <c r="D1166" s="61" t="n">
        <f aca="false">D1156+D1157+D1158+D1159+D1160+D1161+D1162+D1163+D1164+D1165</f>
        <v>217413</v>
      </c>
      <c r="E1166" s="61" t="n">
        <f aca="false">E1156+E1157+E1158+E1159+E1160+E1161+E1162+E1163+E1164+E1165</f>
        <v>278567.1</v>
      </c>
      <c r="F1166" s="61" t="n">
        <f aca="false">F1156+F1157+F1158+F1159+F1160+F1161+F1162+F1163+F1164+F1165</f>
        <v>289709.784</v>
      </c>
      <c r="G1166" s="61" t="n">
        <f aca="false">G1156+G1157+G1158+G1159+G1160+G1161+G1162+G1163+G1164+G1165</f>
        <v>317098.501272</v>
      </c>
      <c r="H1166" s="2" t="s">
        <v>1356</v>
      </c>
    </row>
    <row r="1167" customFormat="false" ht="15" hidden="false" customHeight="false" outlineLevel="1" collapsed="false">
      <c r="A1167" s="7" t="s">
        <v>702</v>
      </c>
      <c r="B1167" s="8" t="s">
        <v>11</v>
      </c>
      <c r="C1167" s="61" t="n">
        <f aca="false">Pressupostos!$C$114+Pressupostos!$C$115+Pressupostos!$C$116*Pressupostos!$C$296+Pressupostos!$C$466+Pressupostos!$C$308</f>
        <v>65000</v>
      </c>
      <c r="D1167" s="61" t="n">
        <f aca="false">Pressupostos!$C$115+Pressupostos!$C$116*Pressupostos!$D$296+Pressupostos!$D$466+Pressupostos!$D$308</f>
        <v>75000</v>
      </c>
      <c r="E1167" s="61" t="n">
        <f aca="false">Pressupostos!$C$115+Pressupostos!$C$116*Pressupostos!$E$296+Pressupostos!$E$466+Pressupostos!$E$308</f>
        <v>80000</v>
      </c>
      <c r="F1167" s="61" t="n">
        <f aca="false">Pressupostos!$C$115+Pressupostos!$C$116*Pressupostos!$F$296+Pressupostos!$F$466+Pressupostos!$F$308</f>
        <v>85000</v>
      </c>
      <c r="G1167" s="61" t="n">
        <f aca="false">Pressupostos!$C$115+Pressupostos!$C$116*Pressupostos!$G$296+Pressupostos!$G$466+Pressupostos!$G$308</f>
        <v>90000</v>
      </c>
      <c r="H1167" s="2" t="s">
        <v>1357</v>
      </c>
    </row>
    <row r="1168" customFormat="false" ht="15" hidden="false" customHeight="false" outlineLevel="1" collapsed="false">
      <c r="A1168" s="7" t="s">
        <v>703</v>
      </c>
      <c r="B1168" s="8" t="s">
        <v>11</v>
      </c>
      <c r="C1168" s="61" t="n">
        <f aca="false">IF(C980&lt;Pressupostos!$C$120,0,MAX(Pressupostos!$C$302,Pressupostos!$C$118*(C1074+C1075)+Pressupostos!$C$119*C1076))</f>
        <v>0</v>
      </c>
      <c r="D1168" s="61" t="n">
        <f aca="false">IF(D980&lt;Pressupostos!$C$120,0,MAX(Pressupostos!$D$302,Pressupostos!$C$118*(D1074+D1075)+Pressupostos!$C$119*D1076))</f>
        <v>7125.6</v>
      </c>
      <c r="E1168" s="61" t="n">
        <f aca="false">IF(E980&lt;Pressupostos!$C$120,0,MAX(Pressupostos!$E$302,Pressupostos!$C$118*(E1074+E1075)+Pressupostos!$C$119*E1076))</f>
        <v>14533.8</v>
      </c>
      <c r="F1168" s="61" t="n">
        <f aca="false">IF(F980&lt;Pressupostos!$C$120,0,MAX(Pressupostos!$F$302,Pressupostos!$C$118*(F1074+F1075)+Pressupostos!$C$119*F1076))</f>
        <v>24157</v>
      </c>
      <c r="G1168" s="61" t="n">
        <f aca="false">IF(G980&lt;Pressupostos!$C$120,0,MAX(Pressupostos!$G$302,Pressupostos!$C$118*(G1074+G1075)+Pressupostos!$C$119*G1076))</f>
        <v>36290</v>
      </c>
      <c r="H1168" s="2" t="s">
        <v>1358</v>
      </c>
    </row>
    <row r="1169" customFormat="false" ht="15" hidden="false" customHeight="false" outlineLevel="1" collapsed="false">
      <c r="A1169" s="56" t="s">
        <v>704</v>
      </c>
      <c r="B1169" s="57" t="s">
        <v>11</v>
      </c>
      <c r="C1169" s="62" t="n">
        <f aca="false">C1166+C1167+C1168</f>
        <v>298100</v>
      </c>
      <c r="D1169" s="62" t="n">
        <f aca="false">D1166+D1167+D1168</f>
        <v>299538.6</v>
      </c>
      <c r="E1169" s="62" t="n">
        <f aca="false">E1166+E1167+E1168</f>
        <v>373100.9</v>
      </c>
      <c r="F1169" s="62" t="n">
        <f aca="false">F1166+F1167+F1168</f>
        <v>398866.784</v>
      </c>
      <c r="G1169" s="62" t="n">
        <f aca="false">G1166+G1167+G1168</f>
        <v>443388.501272</v>
      </c>
      <c r="H1169" s="2" t="s">
        <v>1359</v>
      </c>
    </row>
    <row r="1170" customFormat="false" ht="15" hidden="false" customHeight="false" outlineLevel="0" collapsed="false">
      <c r="A1170" s="3" t="s">
        <v>1360</v>
      </c>
      <c r="B1170" s="4"/>
      <c r="C1170" s="4"/>
      <c r="D1170" s="4"/>
      <c r="E1170" s="4"/>
      <c r="F1170" s="4"/>
      <c r="G1170" s="4"/>
      <c r="H1170" s="4"/>
    </row>
    <row r="1171" customFormat="false" ht="15" hidden="false" customHeight="false" outlineLevel="1" collapsed="false">
      <c r="A1171" s="7" t="s">
        <v>706</v>
      </c>
      <c r="B1171" s="8" t="s">
        <v>11</v>
      </c>
      <c r="C1171" s="61" t="n">
        <f aca="false">Pressupostos!$C$165*Pressupostos!$C$315</f>
        <v>18000</v>
      </c>
      <c r="D1171" s="61" t="n">
        <f aca="false">Pressupostos!$C$165*Pressupostos!$D$315</f>
        <v>12000</v>
      </c>
      <c r="E1171" s="61" t="n">
        <f aca="false">Pressupostos!$C$165*Pressupostos!$E$315</f>
        <v>12000</v>
      </c>
      <c r="F1171" s="61" t="n">
        <f aca="false">Pressupostos!$C$165*Pressupostos!$F$315</f>
        <v>12000</v>
      </c>
      <c r="G1171" s="61" t="n">
        <f aca="false">Pressupostos!$C$165*Pressupostos!$G$315</f>
        <v>12000</v>
      </c>
      <c r="H1171" s="2" t="s">
        <v>1361</v>
      </c>
    </row>
    <row r="1172" customFormat="false" ht="15" hidden="false" customHeight="false" outlineLevel="1" collapsed="false">
      <c r="A1172" s="7" t="s">
        <v>707</v>
      </c>
      <c r="B1172" s="8" t="s">
        <v>11</v>
      </c>
      <c r="C1172" s="53" t="n">
        <f aca="false">Pressupostos!$C$321</f>
        <v>60000</v>
      </c>
      <c r="D1172" s="53" t="n">
        <f aca="false">Pressupostos!$D$321</f>
        <v>15000</v>
      </c>
      <c r="E1172" s="53" t="n">
        <f aca="false">Pressupostos!$E$321</f>
        <v>15000</v>
      </c>
      <c r="F1172" s="53" t="n">
        <f aca="false">Pressupostos!$F$321</f>
        <v>10000</v>
      </c>
      <c r="G1172" s="53" t="n">
        <f aca="false">Pressupostos!$G$321</f>
        <v>10000</v>
      </c>
      <c r="H1172" s="2" t="s">
        <v>1362</v>
      </c>
    </row>
    <row r="1173" customFormat="false" ht="15" hidden="false" customHeight="false" outlineLevel="1" collapsed="false">
      <c r="A1173" s="7" t="s">
        <v>708</v>
      </c>
      <c r="B1173" s="8" t="s">
        <v>11</v>
      </c>
      <c r="C1173" s="53" t="n">
        <f aca="false">Pressupostos!$C$327</f>
        <v>0</v>
      </c>
      <c r="D1173" s="53" t="n">
        <f aca="false">Pressupostos!$D$327</f>
        <v>15000</v>
      </c>
      <c r="E1173" s="53" t="n">
        <f aca="false">Pressupostos!$E$327</f>
        <v>15000</v>
      </c>
      <c r="F1173" s="53" t="n">
        <f aca="false">Pressupostos!$F$327</f>
        <v>10000</v>
      </c>
      <c r="G1173" s="53" t="n">
        <f aca="false">Pressupostos!$G$327</f>
        <v>10000</v>
      </c>
      <c r="H1173" s="2" t="s">
        <v>1363</v>
      </c>
    </row>
    <row r="1174" customFormat="false" ht="15" hidden="false" customHeight="false" outlineLevel="1" collapsed="false">
      <c r="A1174" s="7" t="s">
        <v>709</v>
      </c>
      <c r="B1174" s="8" t="s">
        <v>11</v>
      </c>
      <c r="C1174" s="61" t="n">
        <f aca="false">Pressupostos!$C$166*MAX(0,C1136)</f>
        <v>11000</v>
      </c>
      <c r="D1174" s="61" t="n">
        <f aca="false">Pressupostos!$C$166*MAX(0,D1136-C1136)</f>
        <v>4000</v>
      </c>
      <c r="E1174" s="61" t="n">
        <f aca="false">Pressupostos!$C$166*MAX(0,E1136-D1136)</f>
        <v>2000</v>
      </c>
      <c r="F1174" s="61" t="n">
        <f aca="false">Pressupostos!$C$166*MAX(0,F1136-E1136)</f>
        <v>5000</v>
      </c>
      <c r="G1174" s="61" t="n">
        <f aca="false">Pressupostos!$C$166*MAX(0,G1136-F1136)</f>
        <v>2000</v>
      </c>
      <c r="H1174" s="2" t="s">
        <v>1364</v>
      </c>
    </row>
    <row r="1175" customFormat="false" ht="15" hidden="false" customHeight="false" outlineLevel="1" collapsed="false">
      <c r="A1175" s="7" t="s">
        <v>424</v>
      </c>
      <c r="B1175" s="8" t="s">
        <v>11</v>
      </c>
      <c r="C1175" s="61" t="n">
        <f aca="false">C1171+C1172+C1173+C1174</f>
        <v>89000</v>
      </c>
      <c r="D1175" s="61" t="n">
        <f aca="false">D1171+D1172+D1173+D1174</f>
        <v>46000</v>
      </c>
      <c r="E1175" s="61" t="n">
        <f aca="false">E1171+E1172+E1173+E1174</f>
        <v>44000</v>
      </c>
      <c r="F1175" s="61" t="n">
        <f aca="false">F1171+F1172+F1173+F1174</f>
        <v>37000</v>
      </c>
      <c r="G1175" s="61" t="n">
        <f aca="false">G1171+G1172+G1173+G1174</f>
        <v>34000</v>
      </c>
      <c r="H1175" s="2" t="s">
        <v>1365</v>
      </c>
    </row>
    <row r="1176" customFormat="false" ht="15" hidden="false" customHeight="false" outlineLevel="1" collapsed="false">
      <c r="A1176" s="7" t="s">
        <v>710</v>
      </c>
      <c r="B1176" s="8" t="s">
        <v>11</v>
      </c>
      <c r="C1176" s="61" t="n">
        <f aca="false">(C1172*((0)&lt;Pressupostos!$C$167))/Pressupostos!$C$167</f>
        <v>20000</v>
      </c>
      <c r="D1176" s="61" t="n">
        <f aca="false">(C1172*((1)&lt;Pressupostos!$C$167)+D1172*((0)&lt;Pressupostos!$C$167))/Pressupostos!$C$167</f>
        <v>25000</v>
      </c>
      <c r="E1176" s="61" t="n">
        <f aca="false">(C1172*((2)&lt;Pressupostos!$C$167)+D1172*((1)&lt;Pressupostos!$C$167)+E1172*((0)&lt;Pressupostos!$C$167))/Pressupostos!$C$167</f>
        <v>30000</v>
      </c>
      <c r="F1176" s="61" t="n">
        <f aca="false">(C1172*((3)&lt;Pressupostos!$C$167)+D1172*((2)&lt;Pressupostos!$C$167)+E1172*((1)&lt;Pressupostos!$C$167)+F1172*((0)&lt;Pressupostos!$C$167))/Pressupostos!$C$167</f>
        <v>13333.3333333333</v>
      </c>
      <c r="G1176" s="61" t="n">
        <f aca="false">(C1172*((4)&lt;Pressupostos!$C$167)+D1172*((3)&lt;Pressupostos!$C$167)+E1172*((2)&lt;Pressupostos!$C$167)+F1172*((1)&lt;Pressupostos!$C$167)+G1172*((0)&lt;Pressupostos!$C$167))/Pressupostos!$C$167</f>
        <v>11666.6666666667</v>
      </c>
      <c r="H1176" s="2" t="s">
        <v>1366</v>
      </c>
    </row>
    <row r="1177" customFormat="false" ht="15" hidden="false" customHeight="false" outlineLevel="1" collapsed="false">
      <c r="A1177" s="7" t="s">
        <v>711</v>
      </c>
      <c r="B1177" s="8" t="s">
        <v>11</v>
      </c>
      <c r="C1177" s="61" t="n">
        <f aca="false">(C1173*((0)&lt;Pressupostos!$C$167))/Pressupostos!$C$167</f>
        <v>0</v>
      </c>
      <c r="D1177" s="61" t="n">
        <f aca="false">(C1173*((1)&lt;Pressupostos!$C$167)+D1173*((0)&lt;Pressupostos!$C$167))/Pressupostos!$C$167</f>
        <v>5000</v>
      </c>
      <c r="E1177" s="61" t="n">
        <f aca="false">(C1173*((2)&lt;Pressupostos!$C$167)+D1173*((1)&lt;Pressupostos!$C$167)+E1173*((0)&lt;Pressupostos!$C$167))/Pressupostos!$C$167</f>
        <v>10000</v>
      </c>
      <c r="F1177" s="61" t="n">
        <f aca="false">(C1173*((3)&lt;Pressupostos!$C$167)+D1173*((2)&lt;Pressupostos!$C$167)+E1173*((1)&lt;Pressupostos!$C$167)+F1173*((0)&lt;Pressupostos!$C$167))/Pressupostos!$C$167</f>
        <v>13333.3333333333</v>
      </c>
      <c r="G1177" s="61" t="n">
        <f aca="false">(C1173*((4)&lt;Pressupostos!$C$167)+D1173*((3)&lt;Pressupostos!$C$167)+E1173*((2)&lt;Pressupostos!$C$167)+F1173*((1)&lt;Pressupostos!$C$167)+G1173*((0)&lt;Pressupostos!$C$167))/Pressupostos!$C$167</f>
        <v>11666.6666666667</v>
      </c>
      <c r="H1177" s="2" t="s">
        <v>1367</v>
      </c>
    </row>
    <row r="1178" customFormat="false" ht="15" hidden="false" customHeight="false" outlineLevel="1" collapsed="false">
      <c r="A1178" s="7" t="s">
        <v>712</v>
      </c>
      <c r="B1178" s="8" t="s">
        <v>11</v>
      </c>
      <c r="C1178" s="61" t="n">
        <f aca="false">(C1171*((0)&lt;Pressupostos!$C$169))/Pressupostos!$C$169</f>
        <v>3600</v>
      </c>
      <c r="D1178" s="61" t="n">
        <f aca="false">(C1171*((1)&lt;Pressupostos!$C$169)+D1171*((0)&lt;Pressupostos!$C$169))/Pressupostos!$C$169</f>
        <v>6000</v>
      </c>
      <c r="E1178" s="61" t="n">
        <f aca="false">(C1171*((2)&lt;Pressupostos!$C$169)+D1171*((1)&lt;Pressupostos!$C$169)+E1171*((0)&lt;Pressupostos!$C$169))/Pressupostos!$C$169</f>
        <v>8400</v>
      </c>
      <c r="F1178" s="61" t="n">
        <f aca="false">(C1171*((3)&lt;Pressupostos!$C$169)+D1171*((2)&lt;Pressupostos!$C$169)+E1171*((1)&lt;Pressupostos!$C$169)+F1171*((0)&lt;Pressupostos!$C$169))/Pressupostos!$C$169</f>
        <v>10800</v>
      </c>
      <c r="G1178" s="61" t="n">
        <f aca="false">(C1171*((4)&lt;Pressupostos!$C$169)+D1171*((3)&lt;Pressupostos!$C$169)+E1171*((2)&lt;Pressupostos!$C$169)+F1171*((1)&lt;Pressupostos!$C$169)+G1171*((0)&lt;Pressupostos!$C$169))/Pressupostos!$C$169</f>
        <v>13200</v>
      </c>
      <c r="H1178" s="2" t="s">
        <v>1368</v>
      </c>
    </row>
    <row r="1179" customFormat="false" ht="15" hidden="false" customHeight="false" outlineLevel="1" collapsed="false">
      <c r="A1179" s="7" t="s">
        <v>713</v>
      </c>
      <c r="B1179" s="8" t="s">
        <v>11</v>
      </c>
      <c r="C1179" s="61" t="n">
        <f aca="false">(C1174*((0)&lt;Pressupostos!$C$168))/Pressupostos!$C$168</f>
        <v>2750</v>
      </c>
      <c r="D1179" s="61" t="n">
        <f aca="false">(C1174*((1)&lt;Pressupostos!$C$168)+D1174*((0)&lt;Pressupostos!$C$168))/Pressupostos!$C$168</f>
        <v>3750</v>
      </c>
      <c r="E1179" s="61" t="n">
        <f aca="false">(C1174*((2)&lt;Pressupostos!$C$168)+D1174*((1)&lt;Pressupostos!$C$168)+E1174*((0)&lt;Pressupostos!$C$168))/Pressupostos!$C$168</f>
        <v>4250</v>
      </c>
      <c r="F1179" s="61" t="n">
        <f aca="false">(C1174*((3)&lt;Pressupostos!$C$168)+D1174*((2)&lt;Pressupostos!$C$168)+E1174*((1)&lt;Pressupostos!$C$168)+F1174*((0)&lt;Pressupostos!$C$168))/Pressupostos!$C$168</f>
        <v>5500</v>
      </c>
      <c r="G1179" s="61" t="n">
        <f aca="false">(C1174*((4)&lt;Pressupostos!$C$168)+D1174*((3)&lt;Pressupostos!$C$168)+E1174*((2)&lt;Pressupostos!$C$168)+F1174*((1)&lt;Pressupostos!$C$168)+G1174*((0)&lt;Pressupostos!$C$168))/Pressupostos!$C$168</f>
        <v>3250</v>
      </c>
      <c r="H1179" s="2" t="s">
        <v>1369</v>
      </c>
    </row>
    <row r="1180" customFormat="false" ht="15" hidden="false" customHeight="false" outlineLevel="1" collapsed="false">
      <c r="A1180" s="7" t="s">
        <v>714</v>
      </c>
      <c r="B1180" s="8" t="s">
        <v>11</v>
      </c>
      <c r="C1180" s="61" t="n">
        <f aca="false">C1176+C1177+C1178+C1179</f>
        <v>26350</v>
      </c>
      <c r="D1180" s="61" t="n">
        <f aca="false">D1176+D1177+D1178+D1179</f>
        <v>39750</v>
      </c>
      <c r="E1180" s="61" t="n">
        <f aca="false">E1176+E1177+E1178+E1179</f>
        <v>52650</v>
      </c>
      <c r="F1180" s="61" t="n">
        <f aca="false">F1176+F1177+F1178+F1179</f>
        <v>42966.6666666667</v>
      </c>
      <c r="G1180" s="61" t="n">
        <f aca="false">G1176+G1177+G1178+G1179</f>
        <v>39783.3333333333</v>
      </c>
      <c r="H1180" s="2" t="s">
        <v>1370</v>
      </c>
    </row>
    <row r="1181" customFormat="false" ht="15" hidden="false" customHeight="false" outlineLevel="0" collapsed="false">
      <c r="A1181" s="3" t="s">
        <v>1371</v>
      </c>
      <c r="B1181" s="4"/>
      <c r="C1181" s="4"/>
      <c r="D1181" s="4"/>
      <c r="E1181" s="4"/>
      <c r="F1181" s="4"/>
      <c r="G1181" s="4"/>
      <c r="H1181" s="4"/>
    </row>
    <row r="1182" customFormat="false" ht="15" hidden="false" customHeight="false" outlineLevel="1" collapsed="false">
      <c r="A1182" s="56" t="s">
        <v>718</v>
      </c>
      <c r="B1182" s="57" t="s">
        <v>11</v>
      </c>
      <c r="C1182" s="62" t="n">
        <f aca="false">C1084</f>
        <v>275874.4</v>
      </c>
      <c r="D1182" s="62" t="n">
        <f aca="false">D1084</f>
        <v>1805254</v>
      </c>
      <c r="E1182" s="62" t="n">
        <f aca="false">E1084</f>
        <v>3704769</v>
      </c>
      <c r="F1182" s="62" t="n">
        <f aca="false">F1084</f>
        <v>6335277</v>
      </c>
      <c r="G1182" s="62" t="n">
        <f aca="false">G1084</f>
        <v>9691735</v>
      </c>
      <c r="H1182" s="2" t="s">
        <v>1372</v>
      </c>
    </row>
    <row r="1183" customFormat="false" ht="15" hidden="false" customHeight="false" outlineLevel="1" collapsed="false">
      <c r="A1183" s="7" t="s">
        <v>688</v>
      </c>
      <c r="B1183" s="8" t="s">
        <v>11</v>
      </c>
      <c r="C1183" s="61" t="n">
        <f aca="false">-C1107</f>
        <v>-245040</v>
      </c>
      <c r="D1183" s="61" t="n">
        <f aca="false">-D1107</f>
        <v>-1599300</v>
      </c>
      <c r="E1183" s="61" t="n">
        <f aca="false">-E1107</f>
        <v>-3248250</v>
      </c>
      <c r="F1183" s="61" t="n">
        <f aca="false">-F1107</f>
        <v>-5533850</v>
      </c>
      <c r="G1183" s="61" t="n">
        <f aca="false">-G1107</f>
        <v>-8460500</v>
      </c>
      <c r="H1183" s="2" t="s">
        <v>1373</v>
      </c>
    </row>
    <row r="1184" customFormat="false" ht="15" hidden="false" customHeight="false" outlineLevel="1" collapsed="false">
      <c r="A1184" s="56" t="s">
        <v>719</v>
      </c>
      <c r="B1184" s="57" t="s">
        <v>11</v>
      </c>
      <c r="C1184" s="62" t="n">
        <f aca="false">C1182+C1183</f>
        <v>30834.4</v>
      </c>
      <c r="D1184" s="62" t="n">
        <f aca="false">D1182+D1183</f>
        <v>205954</v>
      </c>
      <c r="E1184" s="62" t="n">
        <f aca="false">E1182+E1183</f>
        <v>456519</v>
      </c>
      <c r="F1184" s="62" t="n">
        <f aca="false">F1182+F1183</f>
        <v>801426.999999999</v>
      </c>
      <c r="G1184" s="62" t="n">
        <f aca="false">G1182+G1183</f>
        <v>1231235</v>
      </c>
      <c r="H1184" s="2" t="s">
        <v>1374</v>
      </c>
    </row>
    <row r="1185" customFormat="false" ht="15" hidden="false" customHeight="false" outlineLevel="1" collapsed="false">
      <c r="A1185" s="2" t="s">
        <v>720</v>
      </c>
      <c r="B1185" s="8" t="s">
        <v>76</v>
      </c>
      <c r="C1185" s="59" t="n">
        <f aca="false">IF(C1182&gt;0,C1184/C1182,0)</f>
        <v>0.111769703894236</v>
      </c>
      <c r="D1185" s="59" t="n">
        <f aca="false">IF(D1182&gt;0,D1184/D1182,0)</f>
        <v>0.114085884867171</v>
      </c>
      <c r="E1185" s="59" t="n">
        <f aca="false">IF(E1182&gt;0,E1184/E1182,0)</f>
        <v>0.123224686883312</v>
      </c>
      <c r="F1185" s="59" t="n">
        <f aca="false">IF(F1182&gt;0,F1184/F1182,0)</f>
        <v>0.126502282378497</v>
      </c>
      <c r="G1185" s="59" t="n">
        <f aca="false">IF(G1182&gt;0,G1184/G1182,0)</f>
        <v>0.127039688972098</v>
      </c>
      <c r="H1185" s="2" t="s">
        <v>1375</v>
      </c>
    </row>
    <row r="1186" customFormat="false" ht="15" hidden="false" customHeight="false" outlineLevel="1" collapsed="false">
      <c r="A1186" s="7" t="s">
        <v>721</v>
      </c>
      <c r="B1186" s="8" t="s">
        <v>11</v>
      </c>
      <c r="C1186" s="61" t="n">
        <f aca="false">-C1118</f>
        <v>-15494.2226027397</v>
      </c>
      <c r="D1186" s="61" t="n">
        <f aca="false">-D1118</f>
        <v>-101865.553938356</v>
      </c>
      <c r="E1186" s="61" t="n">
        <f aca="false">-E1118</f>
        <v>-212004.356849315</v>
      </c>
      <c r="F1186" s="61" t="n">
        <f aca="false">-F1118</f>
        <v>-358244.301712329</v>
      </c>
      <c r="G1186" s="61" t="n">
        <f aca="false">-G1118</f>
        <v>-535131.037671233</v>
      </c>
      <c r="H1186" s="2" t="s">
        <v>1376</v>
      </c>
    </row>
    <row r="1187" customFormat="false" ht="15" hidden="false" customHeight="false" outlineLevel="1" collapsed="false">
      <c r="A1187" s="7" t="s">
        <v>698</v>
      </c>
      <c r="B1187" s="8" t="s">
        <v>11</v>
      </c>
      <c r="C1187" s="61" t="n">
        <f aca="false">-C1121</f>
        <v>-0</v>
      </c>
      <c r="D1187" s="61" t="n">
        <f aca="false">-D1121</f>
        <v>-21524.1780821918</v>
      </c>
      <c r="E1187" s="61" t="n">
        <f aca="false">-E1121</f>
        <v>-34083.5991010274</v>
      </c>
      <c r="F1187" s="61" t="n">
        <f aca="false">-F1121</f>
        <v>-53929.0517979452</v>
      </c>
      <c r="G1187" s="61" t="n">
        <f aca="false">-G1121</f>
        <v>-82260.0385273973</v>
      </c>
      <c r="H1187" s="2" t="s">
        <v>1377</v>
      </c>
    </row>
    <row r="1188" customFormat="false" ht="15" hidden="false" customHeight="false" outlineLevel="1" collapsed="false">
      <c r="A1188" s="56" t="s">
        <v>677</v>
      </c>
      <c r="B1188" s="57" t="s">
        <v>11</v>
      </c>
      <c r="C1188" s="62" t="n">
        <f aca="false">C1184+C1186+C1187</f>
        <v>15340.1773972603</v>
      </c>
      <c r="D1188" s="62" t="n">
        <f aca="false">D1184+D1186+D1187</f>
        <v>82564.2679794518</v>
      </c>
      <c r="E1188" s="62" t="n">
        <f aca="false">E1184+E1186+E1187</f>
        <v>210431.044049657</v>
      </c>
      <c r="F1188" s="62" t="n">
        <f aca="false">F1184+F1186+F1187</f>
        <v>389253.646489725</v>
      </c>
      <c r="G1188" s="62" t="n">
        <f aca="false">G1184+G1186+G1187</f>
        <v>613843.92380137</v>
      </c>
      <c r="H1188" s="2" t="s">
        <v>1378</v>
      </c>
    </row>
    <row r="1189" customFormat="false" ht="15" hidden="false" customHeight="false" outlineLevel="1" collapsed="false">
      <c r="A1189" s="7" t="s">
        <v>261</v>
      </c>
      <c r="B1189" s="8" t="s">
        <v>11</v>
      </c>
      <c r="C1189" s="61" t="n">
        <f aca="false">-C1153</f>
        <v>-303573.09375</v>
      </c>
      <c r="D1189" s="61" t="n">
        <f aca="false">-D1153</f>
        <v>-477845.325</v>
      </c>
      <c r="E1189" s="61" t="n">
        <f aca="false">-E1153</f>
        <v>-563341.2153125</v>
      </c>
      <c r="F1189" s="61" t="n">
        <f aca="false">-F1153</f>
        <v>-697007.527174375</v>
      </c>
      <c r="G1189" s="61" t="n">
        <f aca="false">-G1153</f>
        <v>-768997.563445444</v>
      </c>
      <c r="H1189" s="2" t="s">
        <v>1379</v>
      </c>
    </row>
    <row r="1190" customFormat="false" ht="15" hidden="false" customHeight="false" outlineLevel="1" collapsed="false">
      <c r="A1190" s="7" t="s">
        <v>722</v>
      </c>
      <c r="B1190" s="8" t="s">
        <v>11</v>
      </c>
      <c r="C1190" s="61" t="n">
        <f aca="false">-C1169</f>
        <v>-298100</v>
      </c>
      <c r="D1190" s="61" t="n">
        <f aca="false">-D1169</f>
        <v>-299538.6</v>
      </c>
      <c r="E1190" s="61" t="n">
        <f aca="false">-E1169</f>
        <v>-373100.9</v>
      </c>
      <c r="F1190" s="61" t="n">
        <f aca="false">-F1169</f>
        <v>-398866.784</v>
      </c>
      <c r="G1190" s="61" t="n">
        <f aca="false">-G1169</f>
        <v>-443388.501272</v>
      </c>
      <c r="H1190" s="2" t="s">
        <v>1380</v>
      </c>
    </row>
    <row r="1191" customFormat="false" ht="15" hidden="false" customHeight="false" outlineLevel="1" collapsed="false">
      <c r="A1191" s="56" t="s">
        <v>723</v>
      </c>
      <c r="B1191" s="57" t="s">
        <v>11</v>
      </c>
      <c r="C1191" s="62" t="n">
        <f aca="false">C1188+C1189+C1190</f>
        <v>-586332.91635274</v>
      </c>
      <c r="D1191" s="62" t="n">
        <f aca="false">D1188+D1189+D1190</f>
        <v>-694819.657020548</v>
      </c>
      <c r="E1191" s="62" t="n">
        <f aca="false">E1188+E1189+E1190</f>
        <v>-726011.071262843</v>
      </c>
      <c r="F1191" s="62" t="n">
        <f aca="false">F1188+F1189+F1190</f>
        <v>-706620.66468465</v>
      </c>
      <c r="G1191" s="62" t="n">
        <f aca="false">G1188+G1189+G1190</f>
        <v>-598542.140916074</v>
      </c>
      <c r="H1191" s="2" t="s">
        <v>1381</v>
      </c>
    </row>
    <row r="1192" customFormat="false" ht="15" hidden="false" customHeight="false" outlineLevel="1" collapsed="false">
      <c r="A1192" s="2" t="s">
        <v>725</v>
      </c>
      <c r="B1192" s="8" t="s">
        <v>76</v>
      </c>
      <c r="C1192" s="59" t="n">
        <f aca="false">IF(C1182&gt;0,C1191/C1182,0)</f>
        <v>-2.12536181810541</v>
      </c>
      <c r="D1192" s="59" t="n">
        <f aca="false">IF(D1182&gt;0,D1191/D1182,0)</f>
        <v>-0.384887476787504</v>
      </c>
      <c r="E1192" s="59" t="n">
        <f aca="false">IF(E1182&gt;0,E1191/E1182,0)</f>
        <v>-0.19596662336109</v>
      </c>
      <c r="F1192" s="59" t="n">
        <f aca="false">IF(F1182&gt;0,F1191/F1182,0)</f>
        <v>-0.111537453640093</v>
      </c>
      <c r="G1192" s="59" t="n">
        <f aca="false">IF(G1182&gt;0,G1191/G1182,0)</f>
        <v>-0.0617579969856867</v>
      </c>
      <c r="H1192" s="2" t="s">
        <v>1382</v>
      </c>
    </row>
    <row r="1193" customFormat="false" ht="15" hidden="false" customHeight="false" outlineLevel="1" collapsed="false">
      <c r="A1193" s="2" t="s">
        <v>726</v>
      </c>
      <c r="B1193" s="8" t="s">
        <v>11</v>
      </c>
      <c r="C1193" s="61" t="n">
        <f aca="false">C1191+C1121</f>
        <v>-586332.91635274</v>
      </c>
      <c r="D1193" s="61" t="n">
        <f aca="false">D1191+D1121</f>
        <v>-673295.478938356</v>
      </c>
      <c r="E1193" s="61" t="n">
        <f aca="false">E1191+E1121</f>
        <v>-691927.472161816</v>
      </c>
      <c r="F1193" s="61" t="n">
        <f aca="false">F1191+F1121</f>
        <v>-652691.612886705</v>
      </c>
      <c r="G1193" s="61" t="n">
        <f aca="false">G1191+G1121</f>
        <v>-516282.102388677</v>
      </c>
      <c r="H1193" s="2" t="s">
        <v>1383</v>
      </c>
    </row>
    <row r="1194" customFormat="false" ht="15" hidden="false" customHeight="false" outlineLevel="1" collapsed="false">
      <c r="A1194" s="7" t="s">
        <v>714</v>
      </c>
      <c r="B1194" s="8" t="s">
        <v>11</v>
      </c>
      <c r="C1194" s="61" t="n">
        <f aca="false">-C1180</f>
        <v>-26350</v>
      </c>
      <c r="D1194" s="61" t="n">
        <f aca="false">-D1180</f>
        <v>-39750</v>
      </c>
      <c r="E1194" s="61" t="n">
        <f aca="false">-E1180</f>
        <v>-52650</v>
      </c>
      <c r="F1194" s="61" t="n">
        <f aca="false">-F1180</f>
        <v>-42966.6666666667</v>
      </c>
      <c r="G1194" s="61" t="n">
        <f aca="false">-G1180</f>
        <v>-39783.3333333333</v>
      </c>
      <c r="H1194" s="2" t="s">
        <v>1384</v>
      </c>
    </row>
    <row r="1195" customFormat="false" ht="15" hidden="false" customHeight="false" outlineLevel="1" collapsed="false">
      <c r="A1195" s="56" t="s">
        <v>727</v>
      </c>
      <c r="B1195" s="57" t="s">
        <v>11</v>
      </c>
      <c r="C1195" s="62" t="n">
        <f aca="false">C1191+C1194</f>
        <v>-612682.91635274</v>
      </c>
      <c r="D1195" s="62" t="n">
        <f aca="false">D1191+D1194</f>
        <v>-734569.657020548</v>
      </c>
      <c r="E1195" s="62" t="n">
        <f aca="false">E1191+E1194</f>
        <v>-778661.071262843</v>
      </c>
      <c r="F1195" s="62" t="n">
        <f aca="false">F1191+F1194</f>
        <v>-749587.331351316</v>
      </c>
      <c r="G1195" s="62" t="n">
        <f aca="false">G1191+G1194</f>
        <v>-638325.474249407</v>
      </c>
      <c r="H1195" s="2" t="s">
        <v>1385</v>
      </c>
    </row>
    <row r="1196" customFormat="false" ht="15" hidden="false" customHeight="false" outlineLevel="0" collapsed="false">
      <c r="A1196" s="3" t="s">
        <v>1386</v>
      </c>
      <c r="B1196" s="4"/>
      <c r="C1196" s="4"/>
      <c r="D1196" s="4"/>
      <c r="E1196" s="4"/>
      <c r="F1196" s="4"/>
      <c r="G1196" s="4"/>
      <c r="H1196" s="4"/>
    </row>
    <row r="1197" customFormat="false" ht="15" hidden="false" customHeight="false" outlineLevel="1" collapsed="false">
      <c r="A1197" s="7" t="s">
        <v>729</v>
      </c>
      <c r="B1197" s="8" t="s">
        <v>11</v>
      </c>
      <c r="C1197" s="61" t="n">
        <f aca="false">C1195</f>
        <v>-612682.91635274</v>
      </c>
      <c r="D1197" s="61" t="n">
        <f aca="false">D1195</f>
        <v>-734569.657020548</v>
      </c>
      <c r="E1197" s="61" t="n">
        <f aca="false">E1195</f>
        <v>-778661.071262843</v>
      </c>
      <c r="F1197" s="61" t="n">
        <f aca="false">F1195</f>
        <v>-749587.331351316</v>
      </c>
      <c r="G1197" s="61" t="n">
        <f aca="false">G1195</f>
        <v>-638325.474249407</v>
      </c>
      <c r="H1197" s="2" t="s">
        <v>1387</v>
      </c>
    </row>
    <row r="1198" customFormat="false" ht="15" hidden="false" customHeight="false" outlineLevel="1" collapsed="false">
      <c r="A1198" s="7" t="s">
        <v>730</v>
      </c>
      <c r="B1198" s="8" t="s">
        <v>11</v>
      </c>
      <c r="C1198" s="61" t="n">
        <f aca="false">0</f>
        <v>0</v>
      </c>
      <c r="D1198" s="61" t="n">
        <f aca="false">C1201</f>
        <v>612682.91635274</v>
      </c>
      <c r="E1198" s="61" t="n">
        <f aca="false">D1201</f>
        <v>1347252.57337329</v>
      </c>
      <c r="F1198" s="61" t="n">
        <f aca="false">E1201</f>
        <v>2125913.64463613</v>
      </c>
      <c r="G1198" s="61" t="n">
        <f aca="false">F1201</f>
        <v>2875500.97598745</v>
      </c>
      <c r="H1198" s="2" t="s">
        <v>1388</v>
      </c>
    </row>
    <row r="1199" customFormat="false" ht="15" hidden="false" customHeight="false" outlineLevel="1" collapsed="false">
      <c r="A1199" s="7" t="s">
        <v>731</v>
      </c>
      <c r="B1199" s="8" t="s">
        <v>11</v>
      </c>
      <c r="C1199" s="61" t="n">
        <f aca="false">MAX(0,-C1197)</f>
        <v>612682.91635274</v>
      </c>
      <c r="D1199" s="61" t="n">
        <f aca="false">MAX(0,-D1197)</f>
        <v>734569.657020548</v>
      </c>
      <c r="E1199" s="61" t="n">
        <f aca="false">MAX(0,-E1197)</f>
        <v>778661.071262843</v>
      </c>
      <c r="F1199" s="61" t="n">
        <f aca="false">MAX(0,-F1197)</f>
        <v>749587.331351316</v>
      </c>
      <c r="G1199" s="61" t="n">
        <f aca="false">MAX(0,-G1197)</f>
        <v>638325.474249407</v>
      </c>
      <c r="H1199" s="2" t="s">
        <v>1389</v>
      </c>
    </row>
    <row r="1200" customFormat="false" ht="15" hidden="false" customHeight="false" outlineLevel="1" collapsed="false">
      <c r="A1200" s="7" t="s">
        <v>732</v>
      </c>
      <c r="B1200" s="8" t="s">
        <v>11</v>
      </c>
      <c r="C1200" s="61" t="n">
        <f aca="false">MIN(C1198,Pressupostos!$C$181*MAX(0,C1197))</f>
        <v>0</v>
      </c>
      <c r="D1200" s="61" t="n">
        <f aca="false">MIN(D1198,Pressupostos!$C$181*MAX(0,D1197))</f>
        <v>0</v>
      </c>
      <c r="E1200" s="61" t="n">
        <f aca="false">MIN(E1198,Pressupostos!$C$181*MAX(0,E1197))</f>
        <v>0</v>
      </c>
      <c r="F1200" s="61" t="n">
        <f aca="false">MIN(F1198,Pressupostos!$C$181*MAX(0,F1197))</f>
        <v>0</v>
      </c>
      <c r="G1200" s="61" t="n">
        <f aca="false">MIN(G1198,Pressupostos!$C$181*MAX(0,G1197))</f>
        <v>0</v>
      </c>
      <c r="H1200" s="2" t="s">
        <v>1390</v>
      </c>
    </row>
    <row r="1201" customFormat="false" ht="15" hidden="false" customHeight="false" outlineLevel="1" collapsed="false">
      <c r="A1201" s="7" t="s">
        <v>733</v>
      </c>
      <c r="B1201" s="8" t="s">
        <v>11</v>
      </c>
      <c r="C1201" s="61" t="n">
        <f aca="false">C1198+C1199-C1200</f>
        <v>612682.91635274</v>
      </c>
      <c r="D1201" s="61" t="n">
        <f aca="false">D1198+D1199-D1200</f>
        <v>1347252.57337329</v>
      </c>
      <c r="E1201" s="61" t="n">
        <f aca="false">E1198+E1199-E1200</f>
        <v>2125913.64463613</v>
      </c>
      <c r="F1201" s="61" t="n">
        <f aca="false">F1198+F1199-F1200</f>
        <v>2875500.97598745</v>
      </c>
      <c r="G1201" s="61" t="n">
        <f aca="false">G1198+G1199-G1200</f>
        <v>3513826.45023685</v>
      </c>
      <c r="H1201" s="2" t="s">
        <v>1391</v>
      </c>
    </row>
    <row r="1202" customFormat="false" ht="15" hidden="false" customHeight="false" outlineLevel="1" collapsed="false">
      <c r="A1202" s="7" t="s">
        <v>734</v>
      </c>
      <c r="B1202" s="8" t="s">
        <v>11</v>
      </c>
      <c r="C1202" s="61" t="n">
        <f aca="false">MAX(0,C1197)-C1200</f>
        <v>0</v>
      </c>
      <c r="D1202" s="61" t="n">
        <f aca="false">MAX(0,D1197)-D1200</f>
        <v>0</v>
      </c>
      <c r="E1202" s="61" t="n">
        <f aca="false">MAX(0,E1197)-E1200</f>
        <v>0</v>
      </c>
      <c r="F1202" s="61" t="n">
        <f aca="false">MAX(0,F1197)-F1200</f>
        <v>0</v>
      </c>
      <c r="G1202" s="61" t="n">
        <f aca="false">MAX(0,G1197)-G1200</f>
        <v>0</v>
      </c>
      <c r="H1202" s="2" t="s">
        <v>1392</v>
      </c>
    </row>
    <row r="1203" customFormat="false" ht="15" hidden="false" customHeight="false" outlineLevel="1" collapsed="false">
      <c r="A1203" s="7" t="s">
        <v>735</v>
      </c>
      <c r="B1203" s="8" t="s">
        <v>11</v>
      </c>
      <c r="C1203" s="61" t="n">
        <f aca="false">Pressupostos!$C$172*MIN(C1202,Pressupostos!$C$173)+Pressupostos!$C$467*MAX(0,C1202-Pressupostos!$C$173)</f>
        <v>0</v>
      </c>
      <c r="D1203" s="61" t="n">
        <f aca="false">Pressupostos!$C$172*MIN(D1202,Pressupostos!$C$173)+Pressupostos!$D$467*MAX(0,D1202-Pressupostos!$C$173)</f>
        <v>0</v>
      </c>
      <c r="E1203" s="61" t="n">
        <f aca="false">Pressupostos!$C$172*MIN(E1202,Pressupostos!$C$173)+Pressupostos!$E$467*MAX(0,E1202-Pressupostos!$C$173)</f>
        <v>0</v>
      </c>
      <c r="F1203" s="61" t="n">
        <f aca="false">Pressupostos!$C$172*MIN(F1202,Pressupostos!$C$173)+Pressupostos!$F$467*MAX(0,F1202-Pressupostos!$C$173)</f>
        <v>0</v>
      </c>
      <c r="G1203" s="61" t="n">
        <f aca="false">Pressupostos!$C$172*MIN(G1202,Pressupostos!$C$173)+Pressupostos!$G$467*MAX(0,G1202-Pressupostos!$C$173)</f>
        <v>0</v>
      </c>
      <c r="H1203" s="2" t="s">
        <v>1393</v>
      </c>
    </row>
    <row r="1204" customFormat="false" ht="15" hidden="false" customHeight="false" outlineLevel="1" collapsed="false">
      <c r="A1204" s="7" t="s">
        <v>736</v>
      </c>
      <c r="B1204" s="8" t="s">
        <v>11</v>
      </c>
      <c r="C1204" s="61" t="n">
        <f aca="false">Pressupostos!$C$174*MAX(0,C1197)</f>
        <v>0</v>
      </c>
      <c r="D1204" s="61" t="n">
        <f aca="false">Pressupostos!$C$174*MAX(0,D1197)</f>
        <v>0</v>
      </c>
      <c r="E1204" s="61" t="n">
        <f aca="false">Pressupostos!$C$174*MAX(0,E1197)</f>
        <v>0</v>
      </c>
      <c r="F1204" s="61" t="n">
        <f aca="false">Pressupostos!$C$174*MAX(0,F1197)</f>
        <v>0</v>
      </c>
      <c r="G1204" s="61" t="n">
        <f aca="false">Pressupostos!$C$174*MAX(0,G1197)</f>
        <v>0</v>
      </c>
      <c r="H1204" s="2" t="s">
        <v>1394</v>
      </c>
    </row>
    <row r="1205" customFormat="false" ht="15" hidden="false" customHeight="false" outlineLevel="1" collapsed="false">
      <c r="A1205" s="7" t="s">
        <v>737</v>
      </c>
      <c r="B1205" s="8" t="s">
        <v>11</v>
      </c>
      <c r="C1205" s="61" t="n">
        <f aca="false">Pressupostos!$C$176*MAX(0,MIN(C1197,Pressupostos!$C$177)-Pressupostos!$C$175)+Pressupostos!$C$178*MAX(0,MIN(C1197,Pressupostos!$C$179)-Pressupostos!$C$177)+Pressupostos!$C$180*MAX(0,C1197-Pressupostos!$C$179)</f>
        <v>0</v>
      </c>
      <c r="D1205" s="61" t="n">
        <f aca="false">Pressupostos!$C$176*MAX(0,MIN(D1197,Pressupostos!$C$177)-Pressupostos!$C$175)+Pressupostos!$C$178*MAX(0,MIN(D1197,Pressupostos!$C$179)-Pressupostos!$C$177)+Pressupostos!$C$180*MAX(0,D1197-Pressupostos!$C$179)</f>
        <v>0</v>
      </c>
      <c r="E1205" s="61" t="n">
        <f aca="false">Pressupostos!$C$176*MAX(0,MIN(E1197,Pressupostos!$C$177)-Pressupostos!$C$175)+Pressupostos!$C$178*MAX(0,MIN(E1197,Pressupostos!$C$179)-Pressupostos!$C$177)+Pressupostos!$C$180*MAX(0,E1197-Pressupostos!$C$179)</f>
        <v>0</v>
      </c>
      <c r="F1205" s="61" t="n">
        <f aca="false">Pressupostos!$C$176*MAX(0,MIN(F1197,Pressupostos!$C$177)-Pressupostos!$C$175)+Pressupostos!$C$178*MAX(0,MIN(F1197,Pressupostos!$C$179)-Pressupostos!$C$177)+Pressupostos!$C$180*MAX(0,F1197-Pressupostos!$C$179)</f>
        <v>0</v>
      </c>
      <c r="G1205" s="61" t="n">
        <f aca="false">Pressupostos!$C$176*MAX(0,MIN(G1197,Pressupostos!$C$177)-Pressupostos!$C$175)+Pressupostos!$C$178*MAX(0,MIN(G1197,Pressupostos!$C$179)-Pressupostos!$C$177)+Pressupostos!$C$180*MAX(0,G1197-Pressupostos!$C$179)</f>
        <v>0</v>
      </c>
      <c r="H1205" s="2" t="s">
        <v>1395</v>
      </c>
    </row>
    <row r="1206" customFormat="false" ht="15" hidden="false" customHeight="false" outlineLevel="1" collapsed="false">
      <c r="A1206" s="7" t="s">
        <v>738</v>
      </c>
      <c r="B1206" s="8" t="s">
        <v>11</v>
      </c>
      <c r="C1206" s="61" t="n">
        <f aca="false">C1203+C1204+C1205</f>
        <v>0</v>
      </c>
      <c r="D1206" s="61" t="n">
        <f aca="false">D1203+D1204+D1205</f>
        <v>0</v>
      </c>
      <c r="E1206" s="61" t="n">
        <f aca="false">E1203+E1204+E1205</f>
        <v>0</v>
      </c>
      <c r="F1206" s="61" t="n">
        <f aca="false">F1203+F1204+F1205</f>
        <v>0</v>
      </c>
      <c r="G1206" s="61" t="n">
        <f aca="false">G1203+G1204+G1205</f>
        <v>0</v>
      </c>
      <c r="H1206" s="2" t="s">
        <v>1396</v>
      </c>
    </row>
    <row r="1207" customFormat="false" ht="15" hidden="false" customHeight="false" outlineLevel="0" collapsed="false">
      <c r="A1207" s="3" t="s">
        <v>1397</v>
      </c>
      <c r="B1207" s="4"/>
      <c r="C1207" s="4"/>
      <c r="D1207" s="4"/>
      <c r="E1207" s="4"/>
      <c r="F1207" s="4"/>
      <c r="G1207" s="4"/>
      <c r="H1207" s="4"/>
    </row>
    <row r="1208" customFormat="false" ht="15" hidden="false" customHeight="false" outlineLevel="1" collapsed="false">
      <c r="A1208" s="7" t="s">
        <v>738</v>
      </c>
      <c r="B1208" s="8" t="s">
        <v>11</v>
      </c>
      <c r="C1208" s="61" t="n">
        <f aca="false">-C1206</f>
        <v>-0</v>
      </c>
      <c r="D1208" s="61" t="n">
        <f aca="false">-D1206</f>
        <v>-0</v>
      </c>
      <c r="E1208" s="61" t="n">
        <f aca="false">-E1206</f>
        <v>-0</v>
      </c>
      <c r="F1208" s="61" t="n">
        <f aca="false">-F1206</f>
        <v>-0</v>
      </c>
      <c r="G1208" s="61" t="n">
        <f aca="false">-G1206</f>
        <v>-0</v>
      </c>
      <c r="H1208" s="2" t="s">
        <v>1398</v>
      </c>
    </row>
    <row r="1209" customFormat="false" ht="15" hidden="false" customHeight="false" outlineLevel="1" collapsed="false">
      <c r="A1209" s="56" t="s">
        <v>740</v>
      </c>
      <c r="B1209" s="57" t="s">
        <v>11</v>
      </c>
      <c r="C1209" s="62" t="n">
        <f aca="false">C1195+C1208</f>
        <v>-612682.91635274</v>
      </c>
      <c r="D1209" s="62" t="n">
        <f aca="false">D1195+D1208</f>
        <v>-734569.657020548</v>
      </c>
      <c r="E1209" s="62" t="n">
        <f aca="false">E1195+E1208</f>
        <v>-778661.071262843</v>
      </c>
      <c r="F1209" s="62" t="n">
        <f aca="false">F1195+F1208</f>
        <v>-749587.331351316</v>
      </c>
      <c r="G1209" s="62" t="n">
        <f aca="false">G1195+G1208</f>
        <v>-638325.474249407</v>
      </c>
      <c r="H1209" s="2" t="s">
        <v>1399</v>
      </c>
    </row>
    <row r="1210" customFormat="false" ht="15" hidden="false" customHeight="false" outlineLevel="0" collapsed="false">
      <c r="A1210" s="3" t="s">
        <v>1400</v>
      </c>
      <c r="B1210" s="4"/>
      <c r="C1210" s="4"/>
      <c r="D1210" s="4"/>
      <c r="E1210" s="4"/>
      <c r="F1210" s="4"/>
      <c r="G1210" s="4"/>
      <c r="H1210" s="4"/>
    </row>
    <row r="1211" customFormat="false" ht="15" hidden="false" customHeight="false" outlineLevel="1" collapsed="false">
      <c r="A1211" s="7" t="s">
        <v>744</v>
      </c>
      <c r="B1211" s="8" t="s">
        <v>11</v>
      </c>
      <c r="C1211" s="61" t="n">
        <f aca="false">C983*1000*((C1001+C1004)*C1007/365)+C984*1000*((C1024+C1027)*C1030/365)+C986*1000*((C1047+C1050)*C1053/365)</f>
        <v>34293.698630137</v>
      </c>
      <c r="D1211" s="61" t="n">
        <f aca="false">D983*1000*((D1001+D1004)*D1007/365)+D984*1000*((D1024+D1027)*D1030/365)+D986*1000*((D1047+D1050)*D1053/365)</f>
        <v>184524.657534247</v>
      </c>
      <c r="E1211" s="61" t="n">
        <f aca="false">E983*1000*((E1001+E1004)*E1007/365)+E984*1000*((E1024+E1027)*E1030/365)+E986*1000*((E1047+E1050)*E1053/365)</f>
        <v>281132.876712329</v>
      </c>
      <c r="F1211" s="61" t="n">
        <f aca="false">F983*1000*((F1001+F1004)*F1007/365)+F984*1000*((F1024+F1027)*F1030/365)+F986*1000*((F1047+F1050)*F1053/365)</f>
        <v>468098.630136986</v>
      </c>
      <c r="G1211" s="61" t="n">
        <f aca="false">G983*1000*((G1001+G1004)*G1007/365)+G984*1000*((G1024+G1027)*G1030/365)+G986*1000*((G1047+G1050)*G1053/365)</f>
        <v>702000</v>
      </c>
      <c r="H1211" s="2" t="s">
        <v>1401</v>
      </c>
    </row>
    <row r="1212" customFormat="false" ht="15" hidden="false" customHeight="false" outlineLevel="1" collapsed="false">
      <c r="A1212" s="7" t="s">
        <v>745</v>
      </c>
      <c r="B1212" s="8" t="s">
        <v>11</v>
      </c>
      <c r="C1212" s="61" t="n">
        <f aca="false">C1211+C996*1000*Pressupostos!$C$92*Pressupostos!$C$95/365</f>
        <v>34293.698630137</v>
      </c>
      <c r="D1212" s="61" t="n">
        <f aca="false">D1211+D996*1000*Pressupostos!$C$92*Pressupostos!$C$95/365</f>
        <v>184524.657534247</v>
      </c>
      <c r="E1212" s="61" t="n">
        <f aca="false">E1211+E996*1000*Pressupostos!$C$92*Pressupostos!$C$95/365</f>
        <v>281132.876712329</v>
      </c>
      <c r="F1212" s="61" t="n">
        <f aca="false">F1211+F996*1000*Pressupostos!$C$92*Pressupostos!$C$95/365</f>
        <v>485358.904109589</v>
      </c>
      <c r="G1212" s="61" t="n">
        <f aca="false">G1211+G996*1000*Pressupostos!$C$92*Pressupostos!$C$95/365</f>
        <v>745150.684931507</v>
      </c>
      <c r="H1212" s="2" t="s">
        <v>1402</v>
      </c>
    </row>
    <row r="1213" customFormat="false" ht="15" hidden="false" customHeight="false" outlineLevel="1" collapsed="false">
      <c r="A1213" s="7" t="s">
        <v>746</v>
      </c>
      <c r="B1213" s="8" t="s">
        <v>11</v>
      </c>
      <c r="C1213" s="61" t="n">
        <f aca="false">C983*1000*(C1003*C1008/365)+C984*1000*(C1026*C1031/365)+C986*1000*(C1049*C1054/365)+C1078*Pressupostos!$C$96/365+(C1080+C1081)*Pressupostos!$C$82/365</f>
        <v>39130.498630137</v>
      </c>
      <c r="D1213" s="61" t="n">
        <f aca="false">D983*1000*(D1003*D1008/365)+D984*1000*(D1026*D1031/365)+D986*1000*(D1049*D1054/365)+D1078*Pressupostos!$C$96/365+(D1080+D1081)*Pressupostos!$C$82/365</f>
        <v>260470.191780822</v>
      </c>
      <c r="E1213" s="61" t="n">
        <f aca="false">E983*1000*(E1003*E1008/365)+E984*1000*(E1026*E1031/365)+E986*1000*(E1049*E1054/365)+E1078*Pressupostos!$C$96/365+(E1080+E1081)*Pressupostos!$C$82/365</f>
        <v>526639.232876712</v>
      </c>
      <c r="F1213" s="61" t="n">
        <f aca="false">F983*1000*(F1003*F1008/365)+F984*1000*(F1026*F1031/365)+F986*1000*(F1049*F1054/365)+F1078*Pressupostos!$C$96/365+(F1080+F1081)*Pressupostos!$C$82/365</f>
        <v>886141.260273973</v>
      </c>
      <c r="G1213" s="61" t="n">
        <f aca="false">G983*1000*(G1003*G1008/365)+G984*1000*(G1026*G1031/365)+G986*1000*(G1049*G1054/365)+G1078*Pressupostos!$C$96/365+(G1080+G1081)*Pressupostos!$C$82/365</f>
        <v>1346642.60273973</v>
      </c>
      <c r="H1213" s="2" t="s">
        <v>1403</v>
      </c>
    </row>
    <row r="1214" customFormat="false" ht="15" hidden="false" customHeight="false" outlineLevel="1" collapsed="false">
      <c r="A1214" s="7" t="s">
        <v>747</v>
      </c>
      <c r="B1214" s="8" t="s">
        <v>11</v>
      </c>
      <c r="C1214" s="61" t="n">
        <f aca="false">C983*1000*((C1001+C1004)*Pressupostos!$C$72/365)+C984*1000*((C1024+C1027)*Pressupostos!$C$72/365)+C986*1000*((C1047+C1050)*Pressupostos!$C$72/365)+C996*1000*Pressupostos!$C$92*Pressupostos!$C$97/365</f>
        <v>20140.2739726027</v>
      </c>
      <c r="D1214" s="61" t="n">
        <f aca="false">D983*1000*((D1001+D1004)*Pressupostos!$C$72/365)+D984*1000*((D1024+D1027)*Pressupostos!$C$72/365)+D986*1000*((D1047+D1050)*Pressupostos!$C$72/365)+D996*1000*Pressupostos!$C$92*Pressupostos!$C$97/365</f>
        <v>131449.315068493</v>
      </c>
      <c r="E1214" s="61" t="n">
        <f aca="false">E983*1000*((E1001+E1004)*Pressupostos!$C$72/365)+E984*1000*((E1024+E1027)*Pressupostos!$C$72/365)+E986*1000*((E1047+E1050)*Pressupostos!$C$72/365)+E996*1000*Pressupostos!$C$92*Pressupostos!$C$97/365</f>
        <v>266979.452054795</v>
      </c>
      <c r="F1214" s="61" t="n">
        <f aca="false">F983*1000*((F1001+F1004)*Pressupostos!$C$72/365)+F984*1000*((F1024+F1027)*Pressupostos!$C$72/365)+F986*1000*((F1047+F1050)*Pressupostos!$C$72/365)+F996*1000*Pressupostos!$C$92*Pressupostos!$C$97/365</f>
        <v>454836.98630137</v>
      </c>
      <c r="G1214" s="61" t="n">
        <f aca="false">G983*1000*((G1001+G1004)*Pressupostos!$C$72/365)+G984*1000*((G1024+G1027)*Pressupostos!$C$72/365)+G986*1000*((G1047+G1050)*Pressupostos!$C$72/365)+G996*1000*Pressupostos!$C$92*Pressupostos!$C$97/365</f>
        <v>695383.561643836</v>
      </c>
      <c r="H1214" s="2" t="s">
        <v>1404</v>
      </c>
    </row>
    <row r="1215" customFormat="false" ht="15" hidden="false" customHeight="false" outlineLevel="1" collapsed="false">
      <c r="A1215" s="56" t="s">
        <v>748</v>
      </c>
      <c r="B1215" s="57" t="s">
        <v>11</v>
      </c>
      <c r="C1215" s="62" t="n">
        <f aca="false">C1212+C1213-C1214</f>
        <v>53283.9232876712</v>
      </c>
      <c r="D1215" s="62" t="n">
        <f aca="false">D1212+D1213-D1214</f>
        <v>313545.534246575</v>
      </c>
      <c r="E1215" s="62" t="n">
        <f aca="false">E1212+E1213-E1214</f>
        <v>540792.657534246</v>
      </c>
      <c r="F1215" s="62" t="n">
        <f aca="false">F1212+F1213-F1214</f>
        <v>916663.178082192</v>
      </c>
      <c r="G1215" s="62" t="n">
        <f aca="false">G1212+G1213-G1214</f>
        <v>1396409.7260274</v>
      </c>
      <c r="H1215" s="2" t="s">
        <v>1405</v>
      </c>
    </row>
    <row r="1216" customFormat="false" ht="15" hidden="false" customHeight="false" outlineLevel="0" collapsed="false">
      <c r="A1216" s="3" t="s">
        <v>1406</v>
      </c>
      <c r="B1216" s="4"/>
      <c r="C1216" s="4"/>
      <c r="D1216" s="4"/>
      <c r="E1216" s="4"/>
      <c r="F1216" s="4"/>
      <c r="G1216" s="4"/>
      <c r="H1216" s="4"/>
    </row>
    <row r="1217" customFormat="false" ht="15" hidden="false" customHeight="false" outlineLevel="1" collapsed="false">
      <c r="A1217" s="56" t="s">
        <v>750</v>
      </c>
      <c r="B1217" s="57" t="s">
        <v>11</v>
      </c>
      <c r="C1217" s="62" t="n">
        <f aca="false">Pressupostos!$C$284*C1215/Pressupostos!$F$31</f>
        <v>0</v>
      </c>
      <c r="D1217" s="62" t="n">
        <f aca="false">Pressupostos!$D$284*D1215/Pressupostos!$F$31</f>
        <v>293948.938356164</v>
      </c>
      <c r="E1217" s="62" t="n">
        <f aca="false">Pressupostos!$E$284*E1215/Pressupostos!$F$31</f>
        <v>506993.116438356</v>
      </c>
      <c r="F1217" s="62" t="n">
        <f aca="false">Pressupostos!$F$284*F1215/Pressupostos!$F$31</f>
        <v>859371.729452055</v>
      </c>
      <c r="G1217" s="62" t="n">
        <f aca="false">Pressupostos!$G$284*G1215/Pressupostos!$F$31</f>
        <v>1309134.11815068</v>
      </c>
      <c r="H1217" s="2" t="s">
        <v>1407</v>
      </c>
    </row>
    <row r="1218" customFormat="false" ht="15" hidden="false" customHeight="false" outlineLevel="1" collapsed="false">
      <c r="A1218" s="7" t="s">
        <v>751</v>
      </c>
      <c r="B1218" s="8" t="s">
        <v>11</v>
      </c>
      <c r="C1218" s="61" t="n">
        <f aca="false">Pressupostos!$C$284*C1215</f>
        <v>0</v>
      </c>
      <c r="D1218" s="61" t="n">
        <f aca="false">Pressupostos!$D$284*D1215</f>
        <v>235159.150684932</v>
      </c>
      <c r="E1218" s="61" t="n">
        <f aca="false">Pressupostos!$E$284*E1215</f>
        <v>405594.493150685</v>
      </c>
      <c r="F1218" s="61" t="n">
        <f aca="false">Pressupostos!$F$284*F1215</f>
        <v>687497.383561644</v>
      </c>
      <c r="G1218" s="61" t="n">
        <f aca="false">Pressupostos!$G$284*G1215</f>
        <v>1047307.29452055</v>
      </c>
      <c r="H1218" s="2" t="s">
        <v>1408</v>
      </c>
    </row>
    <row r="1219" customFormat="false" ht="15" hidden="false" customHeight="false" outlineLevel="1" collapsed="false">
      <c r="A1219" s="7" t="s">
        <v>752</v>
      </c>
      <c r="B1219" s="8" t="s">
        <v>11</v>
      </c>
      <c r="C1219" s="61" t="n">
        <f aca="false">C1217-C1218</f>
        <v>0</v>
      </c>
      <c r="D1219" s="61" t="n">
        <f aca="false">D1217-D1218</f>
        <v>58789.7876712328</v>
      </c>
      <c r="E1219" s="61" t="n">
        <f aca="false">E1217-E1218</f>
        <v>101398.623287671</v>
      </c>
      <c r="F1219" s="61" t="n">
        <f aca="false">F1217-F1218</f>
        <v>171874.345890411</v>
      </c>
      <c r="G1219" s="61" t="n">
        <f aca="false">G1217-G1218</f>
        <v>261826.823630137</v>
      </c>
      <c r="H1219" s="2" t="s">
        <v>1409</v>
      </c>
    </row>
    <row r="1220" customFormat="false" ht="15" hidden="false" customHeight="false" outlineLevel="1" collapsed="false">
      <c r="A1220" s="7" t="s">
        <v>753</v>
      </c>
      <c r="B1220" s="8" t="s">
        <v>11</v>
      </c>
      <c r="C1220" s="61" t="n">
        <f aca="false">C1215-C1218</f>
        <v>53283.9232876712</v>
      </c>
      <c r="D1220" s="61" t="n">
        <f aca="false">D1215-D1218</f>
        <v>78386.3835616438</v>
      </c>
      <c r="E1220" s="61" t="n">
        <f aca="false">E1215-E1218</f>
        <v>135198.164383562</v>
      </c>
      <c r="F1220" s="61" t="n">
        <f aca="false">F1215-F1218</f>
        <v>229165.794520548</v>
      </c>
      <c r="G1220" s="61" t="n">
        <f aca="false">G1215-G1218</f>
        <v>349102.431506849</v>
      </c>
      <c r="H1220" s="2" t="s">
        <v>1410</v>
      </c>
    </row>
    <row r="1221" customFormat="false" ht="15" hidden="false" customHeight="false" outlineLevel="1" collapsed="false">
      <c r="A1221" s="7" t="s">
        <v>754</v>
      </c>
      <c r="B1221" s="8" t="s">
        <v>11</v>
      </c>
      <c r="C1221" s="61" t="n">
        <f aca="false">MAX(0,Pressupostos!$C$108-C1220)</f>
        <v>0</v>
      </c>
      <c r="D1221" s="61" t="n">
        <f aca="false">MAX(0,Pressupostos!$C$108-D1220)</f>
        <v>0</v>
      </c>
      <c r="E1221" s="61" t="n">
        <f aca="false">MAX(0,Pressupostos!$C$108-E1220)</f>
        <v>0</v>
      </c>
      <c r="F1221" s="61" t="n">
        <f aca="false">MAX(0,Pressupostos!$C$108-F1220)</f>
        <v>0</v>
      </c>
      <c r="G1221" s="61" t="n">
        <f aca="false">MAX(0,Pressupostos!$C$108-G1220)</f>
        <v>0</v>
      </c>
      <c r="H1221" s="2" t="s">
        <v>1411</v>
      </c>
    </row>
    <row r="1222" customFormat="false" ht="15" hidden="false" customHeight="false" outlineLevel="1" collapsed="false">
      <c r="A1222" s="7" t="s">
        <v>755</v>
      </c>
      <c r="B1222" s="8" t="s">
        <v>11</v>
      </c>
      <c r="C1222" s="61" t="n">
        <f aca="false">Pressupostos!$C$109*C1217</f>
        <v>0</v>
      </c>
      <c r="D1222" s="61" t="n">
        <f aca="false">Pressupostos!$C$109*D1217</f>
        <v>14697.4469178082</v>
      </c>
      <c r="E1222" s="61" t="n">
        <f aca="false">Pressupostos!$C$109*E1217</f>
        <v>25349.6558219178</v>
      </c>
      <c r="F1222" s="61" t="n">
        <f aca="false">Pressupostos!$C$109*F1217</f>
        <v>42968.5864726027</v>
      </c>
      <c r="G1222" s="61" t="n">
        <f aca="false">Pressupostos!$C$109*G1217</f>
        <v>65456.7059075342</v>
      </c>
      <c r="H1222" s="2" t="s">
        <v>1412</v>
      </c>
    </row>
    <row r="1223" customFormat="false" ht="15" hidden="false" customHeight="false" outlineLevel="1" collapsed="false">
      <c r="A1223" s="2" t="s">
        <v>756</v>
      </c>
      <c r="B1223" s="8" t="s">
        <v>123</v>
      </c>
      <c r="C1223" s="61" t="n">
        <f aca="false">C1217/Pressupostos!$C$112</f>
        <v>0</v>
      </c>
      <c r="D1223" s="61" t="n">
        <f aca="false">D1217/Pressupostos!$C$112</f>
        <v>5.87897876712329</v>
      </c>
      <c r="E1223" s="61" t="n">
        <f aca="false">E1217/Pressupostos!$C$112</f>
        <v>10.1398623287671</v>
      </c>
      <c r="F1223" s="61" t="n">
        <f aca="false">F1217/Pressupostos!$C$112</f>
        <v>17.1874345890411</v>
      </c>
      <c r="G1223" s="61" t="n">
        <f aca="false">G1217/Pressupostos!$C$112</f>
        <v>26.1826823630137</v>
      </c>
      <c r="H1223" s="2" t="s">
        <v>1413</v>
      </c>
    </row>
    <row r="1224" customFormat="false" ht="15" hidden="false" customHeight="false" outlineLevel="0" collapsed="false">
      <c r="A1224" s="3" t="s">
        <v>1414</v>
      </c>
      <c r="B1224" s="4"/>
      <c r="C1224" s="4"/>
      <c r="D1224" s="4"/>
      <c r="E1224" s="4"/>
      <c r="F1224" s="4"/>
      <c r="G1224" s="4"/>
      <c r="H1224" s="4"/>
    </row>
    <row r="1225" customFormat="false" ht="15" hidden="false" customHeight="false" outlineLevel="1" collapsed="false">
      <c r="A1225" s="7" t="s">
        <v>758</v>
      </c>
      <c r="B1225" s="8" t="s">
        <v>11</v>
      </c>
      <c r="C1225" s="61" t="n">
        <f aca="false">C1191</f>
        <v>-586332.91635274</v>
      </c>
      <c r="D1225" s="61" t="n">
        <f aca="false">D1191</f>
        <v>-694819.657020548</v>
      </c>
      <c r="E1225" s="61" t="n">
        <f aca="false">E1191</f>
        <v>-726011.071262843</v>
      </c>
      <c r="F1225" s="61" t="n">
        <f aca="false">F1191</f>
        <v>-706620.66468465</v>
      </c>
      <c r="G1225" s="61" t="n">
        <f aca="false">G1191</f>
        <v>-598542.140916074</v>
      </c>
      <c r="H1225" s="2" t="s">
        <v>1415</v>
      </c>
    </row>
    <row r="1226" customFormat="false" ht="15" hidden="false" customHeight="false" outlineLevel="1" collapsed="false">
      <c r="A1226" s="7" t="s">
        <v>759</v>
      </c>
      <c r="B1226" s="8" t="s">
        <v>11</v>
      </c>
      <c r="C1226" s="61" t="n">
        <f aca="false">-C1206</f>
        <v>-0</v>
      </c>
      <c r="D1226" s="61" t="n">
        <f aca="false">-D1206</f>
        <v>-0</v>
      </c>
      <c r="E1226" s="61" t="n">
        <f aca="false">-E1206</f>
        <v>-0</v>
      </c>
      <c r="F1226" s="61" t="n">
        <f aca="false">-F1206</f>
        <v>-0</v>
      </c>
      <c r="G1226" s="61" t="n">
        <f aca="false">-G1206</f>
        <v>-0</v>
      </c>
      <c r="H1226" s="2" t="s">
        <v>1416</v>
      </c>
    </row>
    <row r="1227" customFormat="false" ht="15" hidden="false" customHeight="false" outlineLevel="1" collapsed="false">
      <c r="A1227" s="7" t="s">
        <v>760</v>
      </c>
      <c r="B1227" s="8" t="s">
        <v>11</v>
      </c>
      <c r="C1227" s="61" t="n">
        <f aca="false">-C1215</f>
        <v>-53283.9232876712</v>
      </c>
      <c r="D1227" s="61" t="n">
        <f aca="false">-(D1215-C1215)</f>
        <v>-260261.610958904</v>
      </c>
      <c r="E1227" s="61" t="n">
        <f aca="false">-(E1215-D1215)</f>
        <v>-227247.123287671</v>
      </c>
      <c r="F1227" s="61" t="n">
        <f aca="false">-(F1215-E1215)</f>
        <v>-375870.520547945</v>
      </c>
      <c r="G1227" s="61" t="n">
        <f aca="false">-(G1215-F1215)</f>
        <v>-479746.547945205</v>
      </c>
      <c r="H1227" s="2" t="s">
        <v>1417</v>
      </c>
    </row>
    <row r="1228" customFormat="false" ht="15" hidden="false" customHeight="false" outlineLevel="1" collapsed="false">
      <c r="A1228" s="7" t="s">
        <v>424</v>
      </c>
      <c r="B1228" s="8" t="s">
        <v>11</v>
      </c>
      <c r="C1228" s="61" t="n">
        <f aca="false">-C1175</f>
        <v>-89000</v>
      </c>
      <c r="D1228" s="61" t="n">
        <f aca="false">-D1175</f>
        <v>-46000</v>
      </c>
      <c r="E1228" s="61" t="n">
        <f aca="false">-E1175</f>
        <v>-44000</v>
      </c>
      <c r="F1228" s="61" t="n">
        <f aca="false">-F1175</f>
        <v>-37000</v>
      </c>
      <c r="G1228" s="61" t="n">
        <f aca="false">-G1175</f>
        <v>-34000</v>
      </c>
      <c r="H1228" s="2" t="s">
        <v>1418</v>
      </c>
    </row>
    <row r="1229" customFormat="false" ht="15" hidden="false" customHeight="false" outlineLevel="1" collapsed="false">
      <c r="A1229" s="7" t="s">
        <v>761</v>
      </c>
      <c r="B1229" s="8" t="s">
        <v>11</v>
      </c>
      <c r="C1229" s="61" t="n">
        <f aca="false">C1225+C1226+C1227+C1228</f>
        <v>-728616.839640411</v>
      </c>
      <c r="D1229" s="61" t="n">
        <f aca="false">D1225+D1226+D1227+D1228</f>
        <v>-1001081.26797945</v>
      </c>
      <c r="E1229" s="61" t="n">
        <f aca="false">E1225+E1226+E1227+E1228</f>
        <v>-997258.194550514</v>
      </c>
      <c r="F1229" s="61" t="n">
        <f aca="false">F1225+F1226+F1227+F1228</f>
        <v>-1119491.1852326</v>
      </c>
      <c r="G1229" s="61" t="n">
        <f aca="false">G1225+G1226+G1227+G1228</f>
        <v>-1112288.68886128</v>
      </c>
      <c r="H1229" s="2" t="s">
        <v>1419</v>
      </c>
    </row>
    <row r="1230" customFormat="false" ht="15" hidden="false" customHeight="false" outlineLevel="1" collapsed="false">
      <c r="A1230" s="7" t="s">
        <v>762</v>
      </c>
      <c r="B1230" s="8" t="s">
        <v>11</v>
      </c>
      <c r="C1230" s="61" t="n">
        <f aca="false">C1217</f>
        <v>0</v>
      </c>
      <c r="D1230" s="61" t="n">
        <f aca="false">D1217-C1217</f>
        <v>293948.938356164</v>
      </c>
      <c r="E1230" s="61" t="n">
        <f aca="false">E1217-D1217</f>
        <v>213044.178082192</v>
      </c>
      <c r="F1230" s="61" t="n">
        <f aca="false">F1217-E1217</f>
        <v>352378.613013699</v>
      </c>
      <c r="G1230" s="61" t="n">
        <f aca="false">G1217-F1217</f>
        <v>449762.38869863</v>
      </c>
      <c r="H1230" s="2" t="s">
        <v>1420</v>
      </c>
    </row>
    <row r="1231" customFormat="false" ht="15" hidden="false" customHeight="false" outlineLevel="1" collapsed="false">
      <c r="A1231" s="7" t="s">
        <v>763</v>
      </c>
      <c r="B1231" s="8" t="s">
        <v>11</v>
      </c>
      <c r="C1231" s="61" t="n">
        <f aca="false">-C1219</f>
        <v>-0</v>
      </c>
      <c r="D1231" s="61" t="n">
        <f aca="false">-(D1219-C1219)</f>
        <v>-58789.7876712328</v>
      </c>
      <c r="E1231" s="61" t="n">
        <f aca="false">-(E1219-D1219)</f>
        <v>-42608.8356164384</v>
      </c>
      <c r="F1231" s="61" t="n">
        <f aca="false">-(F1219-E1219)</f>
        <v>-70475.7226027398</v>
      </c>
      <c r="G1231" s="61" t="n">
        <f aca="false">-(G1219-F1219)</f>
        <v>-89952.4777397258</v>
      </c>
      <c r="H1231" s="2" t="s">
        <v>1421</v>
      </c>
    </row>
    <row r="1232" customFormat="false" ht="15" hidden="false" customHeight="false" outlineLevel="1" collapsed="false">
      <c r="A1232" s="7" t="s">
        <v>764</v>
      </c>
      <c r="B1232" s="8" t="s">
        <v>11</v>
      </c>
      <c r="C1232" s="61" t="n">
        <f aca="false">-C1222</f>
        <v>-0</v>
      </c>
      <c r="D1232" s="61" t="n">
        <f aca="false">-(D1222-C1222)</f>
        <v>-14697.4469178082</v>
      </c>
      <c r="E1232" s="61" t="n">
        <f aca="false">-(E1222-D1222)</f>
        <v>-10652.2089041096</v>
      </c>
      <c r="F1232" s="61" t="n">
        <f aca="false">-(F1222-E1222)</f>
        <v>-17618.9306506849</v>
      </c>
      <c r="G1232" s="61" t="n">
        <f aca="false">-(G1222-F1222)</f>
        <v>-22488.1194349315</v>
      </c>
      <c r="H1232" s="2" t="s">
        <v>1422</v>
      </c>
    </row>
    <row r="1233" customFormat="false" ht="15" hidden="false" customHeight="false" outlineLevel="1" collapsed="false">
      <c r="A1233" s="7" t="s">
        <v>765</v>
      </c>
      <c r="B1233" s="8" t="s">
        <v>11</v>
      </c>
      <c r="C1233" s="61" t="n">
        <f aca="false">-(C1221-Pressupostos!$C$108)</f>
        <v>50000</v>
      </c>
      <c r="D1233" s="61" t="n">
        <f aca="false">-(D1221-C1221)</f>
        <v>-0</v>
      </c>
      <c r="E1233" s="61" t="n">
        <f aca="false">-(E1221-D1221)</f>
        <v>-0</v>
      </c>
      <c r="F1233" s="61" t="n">
        <f aca="false">-(F1221-E1221)</f>
        <v>-0</v>
      </c>
      <c r="G1233" s="61" t="n">
        <f aca="false">-(G1221-F1221)</f>
        <v>-0</v>
      </c>
      <c r="H1233" s="2" t="s">
        <v>1423</v>
      </c>
    </row>
    <row r="1234" customFormat="false" ht="15" hidden="false" customHeight="false" outlineLevel="1" collapsed="false">
      <c r="A1234" s="56" t="s">
        <v>766</v>
      </c>
      <c r="B1234" s="57" t="s">
        <v>11</v>
      </c>
      <c r="C1234" s="62" t="n">
        <f aca="false">C1229+C1230+C1231+C1232+C1233</f>
        <v>-678616.839640411</v>
      </c>
      <c r="D1234" s="62" t="n">
        <f aca="false">D1229+D1230+D1231+D1232+D1233</f>
        <v>-780619.564212329</v>
      </c>
      <c r="E1234" s="62" t="n">
        <f aca="false">E1229+E1230+E1231+E1232+E1233</f>
        <v>-837475.06098887</v>
      </c>
      <c r="F1234" s="62" t="n">
        <f aca="false">F1229+F1230+F1231+F1232+F1233</f>
        <v>-855207.225472321</v>
      </c>
      <c r="G1234" s="62" t="n">
        <f aca="false">G1229+G1230+G1231+G1232+G1233</f>
        <v>-774966.897337307</v>
      </c>
      <c r="H1234" s="2" t="s">
        <v>1424</v>
      </c>
    </row>
    <row r="1235" customFormat="false" ht="15" hidden="false" customHeight="false" outlineLevel="1" collapsed="false">
      <c r="A1235" s="56" t="s">
        <v>767</v>
      </c>
      <c r="B1235" s="57" t="s">
        <v>11</v>
      </c>
      <c r="C1235" s="62" t="n">
        <f aca="false">C1234</f>
        <v>-678616.839640411</v>
      </c>
      <c r="D1235" s="62" t="n">
        <f aca="false">C1235+D1234</f>
        <v>-1459236.40385274</v>
      </c>
      <c r="E1235" s="62" t="n">
        <f aca="false">D1235+E1234</f>
        <v>-2296711.46484161</v>
      </c>
      <c r="F1235" s="62" t="n">
        <f aca="false">E1235+F1234</f>
        <v>-3151918.69031393</v>
      </c>
      <c r="G1235" s="62" t="n">
        <f aca="false">F1235+G1234</f>
        <v>-3926885.58765124</v>
      </c>
      <c r="H1235" s="2" t="s">
        <v>1425</v>
      </c>
    </row>
    <row r="1236" customFormat="false" ht="15" hidden="false" customHeight="false" outlineLevel="1" collapsed="false">
      <c r="A1236" s="8" t="s">
        <v>768</v>
      </c>
      <c r="B1236" s="8" t="s">
        <v>11</v>
      </c>
      <c r="C1236" s="70" t="n">
        <f aca="false">ROUND(C1191-C1175-C1206-(MAX(C1220,Pressupostos!$C$108)-Pressupostos!$C$108)-(C1222)-C1234,6)</f>
        <v>0</v>
      </c>
      <c r="D1236" s="70" t="n">
        <f aca="false">ROUND(D1191-D1175-D1206-(MAX(D1220,Pressupostos!$C$108)-MAX(C1220,Pressupostos!$C$108))-(D1222-C1222)-D1234,6)</f>
        <v>0</v>
      </c>
      <c r="E1236" s="70" t="n">
        <f aca="false">ROUND(E1191-E1175-E1206-(MAX(E1220,Pressupostos!$C$108)-MAX(D1220,Pressupostos!$C$108))-(E1222-D1222)-E1234,6)</f>
        <v>0</v>
      </c>
      <c r="F1236" s="70" t="n">
        <f aca="false">ROUND(F1191-F1175-F1206-(MAX(F1220,Pressupostos!$C$108)-MAX(E1220,Pressupostos!$C$108))-(F1222-E1222)-F1234,6)</f>
        <v>0</v>
      </c>
      <c r="G1236" s="70" t="n">
        <f aca="false">ROUND(G1191-G1175-G1206-(MAX(G1220,Pressupostos!$C$108)-MAX(F1220,Pressupostos!$C$108))-(G1222-F1222)-G1234,6)</f>
        <v>0</v>
      </c>
      <c r="H1236" s="2" t="s">
        <v>1426</v>
      </c>
    </row>
    <row r="1237" customFormat="false" ht="15" hidden="false" customHeight="false" outlineLevel="0" collapsed="false">
      <c r="A1237" s="3" t="s">
        <v>1427</v>
      </c>
      <c r="B1237" s="4"/>
      <c r="C1237" s="4"/>
      <c r="D1237" s="4"/>
      <c r="E1237" s="4"/>
      <c r="F1237" s="4"/>
      <c r="G1237" s="4"/>
      <c r="H1237" s="4"/>
    </row>
    <row r="1238" customFormat="false" ht="15" hidden="false" customHeight="false" outlineLevel="1" collapsed="false">
      <c r="A1238" s="7" t="s">
        <v>770</v>
      </c>
      <c r="B1238" s="8" t="s">
        <v>11</v>
      </c>
      <c r="C1238" s="61" t="n">
        <f aca="false">0</f>
        <v>0</v>
      </c>
      <c r="D1238" s="61" t="n">
        <f aca="false">C1243</f>
        <v>276383.160359589</v>
      </c>
      <c r="E1238" s="61" t="n">
        <f aca="false">D1243</f>
        <v>150000</v>
      </c>
      <c r="F1238" s="61" t="n">
        <f aca="false">E1243</f>
        <v>150000</v>
      </c>
      <c r="G1238" s="61" t="n">
        <f aca="false">F1243</f>
        <v>150000</v>
      </c>
      <c r="H1238" s="2" t="s">
        <v>1428</v>
      </c>
    </row>
    <row r="1239" customFormat="false" ht="15" hidden="false" customHeight="false" outlineLevel="1" collapsed="false">
      <c r="A1239" s="7" t="s">
        <v>771</v>
      </c>
      <c r="B1239" s="8" t="s">
        <v>11</v>
      </c>
      <c r="C1239" s="61" t="n">
        <f aca="false">-(Pressupostos!$C$159+Pressupostos!$C$160+Pressupostos!$C$161+Pressupostos!$C$162+Pressupostos!$C$163+Pressupostos!$C$108)</f>
        <v>-145000</v>
      </c>
      <c r="D1239" s="61" t="n">
        <f aca="false">0</f>
        <v>0</v>
      </c>
      <c r="E1239" s="61" t="n">
        <f aca="false">0</f>
        <v>0</v>
      </c>
      <c r="F1239" s="61" t="n">
        <f aca="false">0</f>
        <v>0</v>
      </c>
      <c r="G1239" s="61" t="n">
        <f aca="false">0</f>
        <v>0</v>
      </c>
      <c r="H1239" s="2" t="s">
        <v>1429</v>
      </c>
    </row>
    <row r="1240" customFormat="false" ht="15" hidden="false" customHeight="false" outlineLevel="1" collapsed="false">
      <c r="A1240" s="7" t="s">
        <v>772</v>
      </c>
      <c r="B1240" s="8" t="s">
        <v>11</v>
      </c>
      <c r="C1240" s="53" t="n">
        <f aca="false">Pressupostos!$F$32</f>
        <v>1100000</v>
      </c>
      <c r="D1240" s="61" t="n">
        <f aca="false">0</f>
        <v>0</v>
      </c>
      <c r="E1240" s="61" t="n">
        <f aca="false">0</f>
        <v>0</v>
      </c>
      <c r="F1240" s="61" t="n">
        <f aca="false">0</f>
        <v>0</v>
      </c>
      <c r="G1240" s="61" t="n">
        <f aca="false">0</f>
        <v>0</v>
      </c>
      <c r="H1240" s="2" t="s">
        <v>1430</v>
      </c>
    </row>
    <row r="1241" customFormat="false" ht="15" hidden="false" customHeight="false" outlineLevel="1" collapsed="false">
      <c r="A1241" s="7" t="s">
        <v>773</v>
      </c>
      <c r="B1241" s="8" t="s">
        <v>11</v>
      </c>
      <c r="C1241" s="61" t="n">
        <f aca="false">C1238+C1239+C1240+C1234</f>
        <v>276383.160359589</v>
      </c>
      <c r="D1241" s="61" t="n">
        <f aca="false">D1238+D1239+D1240+D1234</f>
        <v>-504236.40385274</v>
      </c>
      <c r="E1241" s="61" t="n">
        <f aca="false">E1238+E1239+E1240+E1234</f>
        <v>-687475.06098887</v>
      </c>
      <c r="F1241" s="61" t="n">
        <f aca="false">F1238+F1239+F1240+F1234</f>
        <v>-705207.225472321</v>
      </c>
      <c r="G1241" s="61" t="n">
        <f aca="false">G1238+G1239+G1240+G1234</f>
        <v>-624966.897337307</v>
      </c>
      <c r="H1241" s="2" t="s">
        <v>1431</v>
      </c>
    </row>
    <row r="1242" customFormat="false" ht="15" hidden="false" customHeight="false" outlineLevel="1" collapsed="false">
      <c r="A1242" s="56" t="s">
        <v>774</v>
      </c>
      <c r="B1242" s="57" t="s">
        <v>11</v>
      </c>
      <c r="C1242" s="62" t="n">
        <f aca="false">MAX(0,Pressupostos!$C$170-C1241)</f>
        <v>0</v>
      </c>
      <c r="D1242" s="62" t="n">
        <f aca="false">MAX(0,Pressupostos!$C$170-D1241)</f>
        <v>654236.40385274</v>
      </c>
      <c r="E1242" s="62" t="n">
        <f aca="false">MAX(0,Pressupostos!$C$170-E1241)</f>
        <v>837475.06098887</v>
      </c>
      <c r="F1242" s="62" t="n">
        <f aca="false">MAX(0,Pressupostos!$C$170-F1241)</f>
        <v>855207.225472321</v>
      </c>
      <c r="G1242" s="62" t="n">
        <f aca="false">MAX(0,Pressupostos!$C$170-G1241)</f>
        <v>774966.897337307</v>
      </c>
      <c r="H1242" s="2" t="s">
        <v>1432</v>
      </c>
    </row>
    <row r="1243" customFormat="false" ht="15" hidden="false" customHeight="false" outlineLevel="1" collapsed="false">
      <c r="A1243" s="56" t="s">
        <v>775</v>
      </c>
      <c r="B1243" s="57" t="s">
        <v>11</v>
      </c>
      <c r="C1243" s="62" t="n">
        <f aca="false">C1241+C1242</f>
        <v>276383.160359589</v>
      </c>
      <c r="D1243" s="62" t="n">
        <f aca="false">D1241+D1242</f>
        <v>150000</v>
      </c>
      <c r="E1243" s="62" t="n">
        <f aca="false">E1241+E1242</f>
        <v>150000</v>
      </c>
      <c r="F1243" s="62" t="n">
        <f aca="false">F1241+F1242</f>
        <v>150000</v>
      </c>
      <c r="G1243" s="62" t="n">
        <f aca="false">G1241+G1242</f>
        <v>150000</v>
      </c>
      <c r="H1243" s="2" t="s">
        <v>1433</v>
      </c>
    </row>
    <row r="1244" customFormat="false" ht="15" hidden="false" customHeight="false" outlineLevel="1" collapsed="false">
      <c r="A1244" s="7" t="s">
        <v>776</v>
      </c>
      <c r="B1244" s="8" t="s">
        <v>11</v>
      </c>
      <c r="C1244" s="61" t="n">
        <f aca="false">C1219+C1222+C1221</f>
        <v>0</v>
      </c>
      <c r="D1244" s="61" t="n">
        <f aca="false">D1219+D1222+D1221</f>
        <v>73487.2345890411</v>
      </c>
      <c r="E1244" s="61" t="n">
        <f aca="false">E1219+E1222+E1221</f>
        <v>126748.279109589</v>
      </c>
      <c r="F1244" s="61" t="n">
        <f aca="false">F1219+F1222+F1221</f>
        <v>214842.932363014</v>
      </c>
      <c r="G1244" s="61" t="n">
        <f aca="false">G1219+G1222+G1221</f>
        <v>327283.529537671</v>
      </c>
      <c r="H1244" s="2" t="s">
        <v>1434</v>
      </c>
    </row>
    <row r="1245" customFormat="false" ht="15" hidden="false" customHeight="false" outlineLevel="1" collapsed="false">
      <c r="A1245" s="7" t="s">
        <v>777</v>
      </c>
      <c r="B1245" s="8" t="s">
        <v>11</v>
      </c>
      <c r="C1245" s="61" t="n">
        <f aca="false">C1243+C1244</f>
        <v>276383.160359589</v>
      </c>
      <c r="D1245" s="61" t="n">
        <f aca="false">D1243+D1244</f>
        <v>223487.234589041</v>
      </c>
      <c r="E1245" s="61" t="n">
        <f aca="false">E1243+E1244</f>
        <v>276748.279109589</v>
      </c>
      <c r="F1245" s="61" t="n">
        <f aca="false">F1243+F1244</f>
        <v>364842.932363014</v>
      </c>
      <c r="G1245" s="61" t="n">
        <f aca="false">G1243+G1244</f>
        <v>477283.529537671</v>
      </c>
      <c r="H1245" s="2" t="s">
        <v>1435</v>
      </c>
    </row>
    <row r="1246" customFormat="false" ht="15" hidden="false" customHeight="false" outlineLevel="1" collapsed="false">
      <c r="A1246" s="7" t="s">
        <v>778</v>
      </c>
      <c r="B1246" s="8" t="s">
        <v>11</v>
      </c>
      <c r="C1246" s="61" t="n">
        <f aca="false">C1240+C1242</f>
        <v>1100000</v>
      </c>
      <c r="D1246" s="61" t="n">
        <f aca="false">C1246+D1240+D1242</f>
        <v>1754236.40385274</v>
      </c>
      <c r="E1246" s="61" t="n">
        <f aca="false">D1246+E1240+E1242</f>
        <v>2591711.46484161</v>
      </c>
      <c r="F1246" s="61" t="n">
        <f aca="false">E1246+F1240+F1242</f>
        <v>3446918.69031393</v>
      </c>
      <c r="G1246" s="61" t="n">
        <f aca="false">F1246+G1240+G1242</f>
        <v>4221885.58765124</v>
      </c>
      <c r="H1246" s="2" t="s">
        <v>1436</v>
      </c>
    </row>
    <row r="1247" customFormat="false" ht="15" hidden="false" customHeight="false" outlineLevel="0" collapsed="false">
      <c r="A1247" s="3" t="s">
        <v>1437</v>
      </c>
      <c r="B1247" s="4"/>
      <c r="C1247" s="4"/>
      <c r="D1247" s="4"/>
      <c r="E1247" s="4"/>
      <c r="F1247" s="4"/>
      <c r="G1247" s="4"/>
      <c r="H1247" s="4"/>
    </row>
    <row r="1248" customFormat="false" ht="15" hidden="false" customHeight="false" outlineLevel="1" collapsed="false">
      <c r="A1248" s="7" t="s">
        <v>782</v>
      </c>
      <c r="B1248" s="8" t="s">
        <v>11</v>
      </c>
      <c r="C1248" s="72" t="n">
        <f aca="false">Pressupostos!$C$159+Pressupostos!$C$160+Pressupostos!$C$161+Pressupostos!$C$162+Pressupostos!$C$163</f>
        <v>95000</v>
      </c>
      <c r="H1248" s="2" t="s">
        <v>1438</v>
      </c>
    </row>
    <row r="1249" customFormat="false" ht="15" hidden="false" customHeight="false" outlineLevel="1" collapsed="false">
      <c r="A1249" s="7" t="s">
        <v>783</v>
      </c>
      <c r="B1249" s="8" t="s">
        <v>11</v>
      </c>
      <c r="C1249" s="73" t="n">
        <f aca="false">Pressupostos!$C$108</f>
        <v>50000</v>
      </c>
      <c r="H1249" s="2" t="s">
        <v>1439</v>
      </c>
    </row>
    <row r="1250" customFormat="false" ht="15" hidden="false" customHeight="false" outlineLevel="1" collapsed="false">
      <c r="A1250" s="7" t="s">
        <v>322</v>
      </c>
      <c r="B1250" s="8" t="s">
        <v>11</v>
      </c>
      <c r="C1250" s="73" t="n">
        <f aca="false">Pressupostos!$C$170</f>
        <v>150000</v>
      </c>
      <c r="H1250" s="2" t="s">
        <v>1440</v>
      </c>
    </row>
    <row r="1251" customFormat="false" ht="15" hidden="false" customHeight="false" outlineLevel="1" collapsed="false">
      <c r="A1251" s="7" t="s">
        <v>784</v>
      </c>
      <c r="B1251" s="8" t="s">
        <v>11</v>
      </c>
      <c r="C1251" s="72" t="n">
        <f aca="false">MAX(0,-MIN($C$1235:$G$1235))</f>
        <v>3926885.58765124</v>
      </c>
      <c r="H1251" s="2" t="s">
        <v>1441</v>
      </c>
    </row>
    <row r="1252" customFormat="false" ht="15" hidden="false" customHeight="false" outlineLevel="1" collapsed="false">
      <c r="A1252" s="56" t="s">
        <v>785</v>
      </c>
      <c r="B1252" s="57" t="s">
        <v>11</v>
      </c>
      <c r="C1252" s="74" t="n">
        <f aca="false">C1248+C1249+C1250+C1251</f>
        <v>4221885.58765124</v>
      </c>
      <c r="H1252" s="2" t="s">
        <v>1442</v>
      </c>
    </row>
    <row r="1253" customFormat="false" ht="15" hidden="false" customHeight="false" outlineLevel="1" collapsed="false">
      <c r="A1253" s="7" t="s">
        <v>786</v>
      </c>
      <c r="B1253" s="8" t="s">
        <v>20</v>
      </c>
      <c r="C1253" s="75" t="n">
        <f aca="false">INDEX($C$980:$G$980,1,MATCH(MIN($C$1235:$G$1235),$C$1235:$G$1235,0))</f>
        <v>2031</v>
      </c>
      <c r="H1253" s="2" t="s">
        <v>1443</v>
      </c>
    </row>
    <row r="1254" customFormat="false" ht="15" hidden="false" customHeight="false" outlineLevel="1" collapsed="false">
      <c r="A1254" s="7" t="s">
        <v>787</v>
      </c>
      <c r="B1254" s="8"/>
      <c r="C1254" s="76" t="str">
        <f aca="false">IF(G1234&lt;0,"sim","não")</f>
        <v>sim</v>
      </c>
      <c r="H1254" s="2" t="s">
        <v>1444</v>
      </c>
    </row>
    <row r="1255" customFormat="false" ht="15" hidden="false" customHeight="false" outlineLevel="1" collapsed="false">
      <c r="A1255" s="7" t="s">
        <v>788</v>
      </c>
      <c r="B1255" s="8" t="s">
        <v>11</v>
      </c>
      <c r="C1255" s="72" t="n">
        <f aca="false">G1246</f>
        <v>4221885.58765124</v>
      </c>
      <c r="H1255" s="2" t="s">
        <v>1445</v>
      </c>
    </row>
    <row r="1256" customFormat="false" ht="15" hidden="false" customHeight="false" outlineLevel="0" collapsed="false">
      <c r="A1256" s="3" t="s">
        <v>1446</v>
      </c>
      <c r="B1256" s="4"/>
      <c r="C1256" s="4"/>
      <c r="D1256" s="4"/>
      <c r="E1256" s="4"/>
      <c r="F1256" s="4"/>
      <c r="G1256" s="4"/>
      <c r="H1256" s="4"/>
    </row>
    <row r="1257" customFormat="false" ht="15" hidden="false" customHeight="false" outlineLevel="1" collapsed="false">
      <c r="A1257" s="7" t="s">
        <v>790</v>
      </c>
      <c r="B1257" s="8" t="s">
        <v>11</v>
      </c>
      <c r="C1257" s="72" t="n">
        <f aca="false">C1248+C1249</f>
        <v>145000</v>
      </c>
      <c r="H1257" s="2" t="s">
        <v>1447</v>
      </c>
    </row>
    <row r="1258" customFormat="false" ht="15" hidden="false" customHeight="false" outlineLevel="1" collapsed="false">
      <c r="A1258" s="7" t="s">
        <v>791</v>
      </c>
      <c r="B1258" s="8" t="s">
        <v>11</v>
      </c>
      <c r="C1258" s="72" t="n">
        <f aca="false">-SUMPRODUCT(($C$980:$G$980&lt;=C1253)*$C$1191:$G$1191)</f>
        <v>3312326.45023685</v>
      </c>
      <c r="H1258" s="2" t="s">
        <v>1448</v>
      </c>
    </row>
    <row r="1259" customFormat="false" ht="15" hidden="false" customHeight="false" outlineLevel="1" collapsed="false">
      <c r="A1259" s="7" t="s">
        <v>424</v>
      </c>
      <c r="B1259" s="8" t="s">
        <v>11</v>
      </c>
      <c r="C1259" s="72" t="n">
        <f aca="false">SUMPRODUCT(($C$980:$G$980&lt;=C1253)*$C$1175:$G$1175)</f>
        <v>250000</v>
      </c>
      <c r="H1259" s="2" t="s">
        <v>1449</v>
      </c>
    </row>
    <row r="1260" customFormat="false" ht="15" hidden="false" customHeight="false" outlineLevel="1" collapsed="false">
      <c r="A1260" s="7" t="s">
        <v>792</v>
      </c>
      <c r="B1260" s="8" t="s">
        <v>11</v>
      </c>
      <c r="C1260" s="72" t="n">
        <f aca="false">SUMPRODUCT(($C$980:$G$980&lt;=C1253)*$C$1206:$G$1206)</f>
        <v>0</v>
      </c>
      <c r="H1260" s="2" t="s">
        <v>1450</v>
      </c>
    </row>
    <row r="1261" customFormat="false" ht="15" hidden="false" customHeight="false" outlineLevel="1" collapsed="false">
      <c r="A1261" s="7" t="s">
        <v>793</v>
      </c>
      <c r="B1261" s="8" t="s">
        <v>11</v>
      </c>
      <c r="C1261" s="72" t="n">
        <f aca="false">C1251-C1258-C1259-C1260</f>
        <v>364559.137414384</v>
      </c>
      <c r="H1261" s="2" t="s">
        <v>1451</v>
      </c>
    </row>
    <row r="1262" customFormat="false" ht="15" hidden="false" customHeight="false" outlineLevel="1" collapsed="false">
      <c r="A1262" s="7" t="s">
        <v>322</v>
      </c>
      <c r="B1262" s="8" t="s">
        <v>11</v>
      </c>
      <c r="C1262" s="72" t="n">
        <f aca="false">C1250</f>
        <v>150000</v>
      </c>
      <c r="H1262" s="2" t="s">
        <v>1452</v>
      </c>
    </row>
    <row r="1263" customFormat="false" ht="15" hidden="false" customHeight="false" outlineLevel="1" collapsed="false">
      <c r="A1263" s="56" t="s">
        <v>794</v>
      </c>
      <c r="B1263" s="57" t="s">
        <v>11</v>
      </c>
      <c r="C1263" s="74" t="n">
        <f aca="false">C1257+C1258+C1259+C1260+C1261+C1262</f>
        <v>4221885.58765124</v>
      </c>
      <c r="H1263" s="2" t="s">
        <v>1453</v>
      </c>
    </row>
    <row r="1264" customFormat="false" ht="15" hidden="false" customHeight="false" outlineLevel="0" collapsed="false">
      <c r="A1264" s="3" t="s">
        <v>1454</v>
      </c>
      <c r="B1264" s="4"/>
      <c r="C1264" s="4"/>
      <c r="D1264" s="4"/>
      <c r="E1264" s="4"/>
      <c r="F1264" s="4"/>
      <c r="G1264" s="4"/>
      <c r="H1264" s="4"/>
    </row>
    <row r="1265" customFormat="false" ht="15" hidden="false" customHeight="false" outlineLevel="1" collapsed="false">
      <c r="A1265" s="7" t="s">
        <v>772</v>
      </c>
      <c r="B1265" s="8" t="s">
        <v>11</v>
      </c>
      <c r="C1265" s="73" t="n">
        <f aca="false">Pressupostos!$F$32</f>
        <v>1100000</v>
      </c>
      <c r="H1265" s="2" t="s">
        <v>1455</v>
      </c>
    </row>
    <row r="1266" customFormat="false" ht="15" hidden="false" customHeight="false" outlineLevel="1" collapsed="false">
      <c r="A1266" s="7" t="s">
        <v>796</v>
      </c>
      <c r="B1266" s="8" t="s">
        <v>11</v>
      </c>
      <c r="C1266" s="72" t="n">
        <f aca="false">C1248+Pressupostos!$C$108+Pressupostos!$C$130/12*((C1150-C1138-C1139+(C1138+C1139)/Pressupostos!$C$128*Pressupostos!$C$129)*(1+Pressupostos!$C$124+Pressupostos!$C$125)+C1136*Pressupostos!$C$126+C1169)+C1175+MAX(0,Pressupostos!$C$183*1000*(C1001+C1004)+Pressupostos!$C$184*1000*(C1024+C1027)-Pressupostos!$C$108)</f>
        <v>652596.666666667</v>
      </c>
      <c r="H1266" s="2" t="s">
        <v>1456</v>
      </c>
    </row>
    <row r="1267" customFormat="false" ht="15" hidden="false" customHeight="false" outlineLevel="1" collapsed="false">
      <c r="A1267" s="7" t="s">
        <v>798</v>
      </c>
      <c r="B1267" s="8" t="s">
        <v>11</v>
      </c>
      <c r="C1267" s="72" t="n">
        <f aca="false">C1248+Pressupostos!$C$108-C1234</f>
        <v>823616.839640411</v>
      </c>
      <c r="H1267" s="2" t="s">
        <v>1457</v>
      </c>
    </row>
    <row r="1268" customFormat="false" ht="15" hidden="false" customHeight="false" outlineLevel="1" collapsed="false">
      <c r="A1268" s="7" t="s">
        <v>799</v>
      </c>
      <c r="B1268" s="8" t="s">
        <v>11</v>
      </c>
      <c r="C1268" s="61" t="n">
        <f aca="false">Pressupostos!$F$32-C1248-Pressupostos!$C$108+C1235</f>
        <v>276383.160359589</v>
      </c>
      <c r="D1268" s="61" t="n">
        <f aca="false">Pressupostos!$F$32-C1248-Pressupostos!$C$108+D1235</f>
        <v>-504236.40385274</v>
      </c>
      <c r="E1268" s="61" t="n">
        <f aca="false">Pressupostos!$F$32-C1248-Pressupostos!$C$108+E1235</f>
        <v>-1341711.46484161</v>
      </c>
      <c r="F1268" s="61" t="n">
        <f aca="false">Pressupostos!$F$32-C1248-Pressupostos!$C$108+F1235</f>
        <v>-2196918.69031393</v>
      </c>
      <c r="G1268" s="61" t="n">
        <f aca="false">Pressupostos!$F$32-C1248-Pressupostos!$C$108+G1235</f>
        <v>-2971885.58765124</v>
      </c>
      <c r="H1268" s="2" t="s">
        <v>1458</v>
      </c>
    </row>
    <row r="1269" customFormat="false" ht="15" hidden="false" customHeight="false" outlineLevel="1" collapsed="false">
      <c r="A1269" s="7" t="s">
        <v>800</v>
      </c>
      <c r="B1269" s="8" t="s">
        <v>18</v>
      </c>
      <c r="C1269" s="77" t="str">
        <f aca="false">IF(AND(Pressupostos!$F$32-C1248-Pressupostos!$C$108&gt;0,C1268&lt;=0),12*(Pressupostos!$F$32-C1248-Pressupostos!$C$108)/(Pressupostos!$F$32-C1248-Pressupostos!$C$108-C1268),"")</f>
        <v/>
      </c>
      <c r="D1269" s="77" t="n">
        <f aca="false">IF(AND(C1268&gt;0,D1268&lt;=0),12+12*C1268/(C1268-D1268),"")</f>
        <v>16.248673843656</v>
      </c>
      <c r="E1269" s="77" t="str">
        <f aca="false">IF(AND(D1268&gt;0,E1268&lt;=0),24+12*D1268/(D1268-E1268),"")</f>
        <v/>
      </c>
      <c r="F1269" s="77" t="str">
        <f aca="false">IF(AND(E1268&gt;0,F1268&lt;=0),36+12*E1268/(E1268-F1268),"")</f>
        <v/>
      </c>
      <c r="G1269" s="77" t="str">
        <f aca="false">IF(AND(F1268&gt;0,G1268&lt;=0),48+12*F1268/(F1268-G1268),"")</f>
        <v/>
      </c>
      <c r="H1269" s="2" t="s">
        <v>1459</v>
      </c>
    </row>
    <row r="1270" customFormat="false" ht="15" hidden="false" customHeight="false" outlineLevel="1" collapsed="false">
      <c r="A1270" s="56" t="s">
        <v>801</v>
      </c>
      <c r="B1270" s="57" t="s">
        <v>274</v>
      </c>
      <c r="C1270" s="78" t="n">
        <f aca="false">IF(COUNT($C$1269:$G$1269)=0,"&gt; 60",MIN($C$1269:$G$1269))</f>
        <v>16.248673843656</v>
      </c>
      <c r="H1270" s="2" t="s">
        <v>1460</v>
      </c>
    </row>
    <row r="1271" customFormat="false" ht="15" hidden="false" customHeight="false" outlineLevel="0" collapsed="false">
      <c r="A1271" s="3" t="s">
        <v>1461</v>
      </c>
      <c r="B1271" s="4"/>
      <c r="C1271" s="4"/>
      <c r="D1271" s="4"/>
      <c r="E1271" s="4"/>
      <c r="F1271" s="4"/>
      <c r="G1271" s="4"/>
      <c r="H1271" s="4"/>
    </row>
    <row r="1272" customFormat="false" ht="15" hidden="false" customHeight="false" outlineLevel="1" collapsed="false">
      <c r="A1272" s="7" t="s">
        <v>803</v>
      </c>
      <c r="B1272" s="8" t="s">
        <v>18</v>
      </c>
      <c r="C1272" s="77" t="str">
        <f aca="false">IF(C1191&gt;=0,1,"")</f>
        <v/>
      </c>
      <c r="D1272" s="77" t="str">
        <f aca="false">IF(AND(C1191&lt;0,D1191&gt;=0),6.5+12*(-C1191)/(D1191-C1191),"")</f>
        <v/>
      </c>
      <c r="E1272" s="77" t="str">
        <f aca="false">IF(AND(D1191&lt;0,E1191&gt;=0),18.5+12*(-D1191)/(E1191-D1191),"")</f>
        <v/>
      </c>
      <c r="F1272" s="77" t="str">
        <f aca="false">IF(AND(E1191&lt;0,F1191&gt;=0),30.5+12*(-E1191)/(F1191-E1191),"")</f>
        <v/>
      </c>
      <c r="G1272" s="77" t="str">
        <f aca="false">IF(AND(F1191&lt;0,G1191&gt;=0),42.5+12*(-F1191)/(G1191-F1191),"")</f>
        <v/>
      </c>
      <c r="H1272" s="2" t="s">
        <v>1462</v>
      </c>
    </row>
    <row r="1273" customFormat="false" ht="15" hidden="false" customHeight="false" outlineLevel="1" collapsed="false">
      <c r="A1273" s="7" t="s">
        <v>804</v>
      </c>
      <c r="B1273" s="8" t="s">
        <v>18</v>
      </c>
      <c r="C1273" s="79" t="str">
        <f aca="false">IF(COUNT($C$1272:$G$1272)=0,"não atinge até 2031",ROUNDUP(MIN($C$1272:$G$1272),0))</f>
        <v>não atinge até 2031</v>
      </c>
      <c r="H1273" s="2" t="s">
        <v>1463</v>
      </c>
    </row>
    <row r="1274" customFormat="false" ht="15" hidden="false" customHeight="false" outlineLevel="1" collapsed="false">
      <c r="A1274" s="56" t="s">
        <v>805</v>
      </c>
      <c r="B1274" s="57" t="s">
        <v>806</v>
      </c>
      <c r="C1274" s="80" t="str">
        <f aca="false">IF(ISNUMBER(C1273),DATE(2027,C1273,1),"não atinge até 2031")</f>
        <v>não atinge até 2031</v>
      </c>
      <c r="H1274" s="2" t="s">
        <v>1464</v>
      </c>
    </row>
    <row r="1275" customFormat="false" ht="15" hidden="false" customHeight="false" outlineLevel="1" collapsed="false">
      <c r="A1275" s="7" t="s">
        <v>807</v>
      </c>
      <c r="B1275" s="8" t="s">
        <v>20</v>
      </c>
      <c r="C1275" s="81" t="str">
        <f aca="false">IF(C1191&gt;=0,C980,"")</f>
        <v/>
      </c>
      <c r="D1275" s="81" t="str">
        <f aca="false">IF(D1191&gt;=0,D980,"")</f>
        <v/>
      </c>
      <c r="E1275" s="81" t="str">
        <f aca="false">IF(E1191&gt;=0,E980,"")</f>
        <v/>
      </c>
      <c r="F1275" s="81" t="str">
        <f aca="false">IF(F1191&gt;=0,F980,"")</f>
        <v/>
      </c>
      <c r="G1275" s="81" t="str">
        <f aca="false">IF(G1191&gt;=0,G980,"")</f>
        <v/>
      </c>
      <c r="H1275" s="2" t="s">
        <v>1465</v>
      </c>
    </row>
    <row r="1276" customFormat="false" ht="15" hidden="false" customHeight="false" outlineLevel="1" collapsed="false">
      <c r="A1276" s="7" t="s">
        <v>808</v>
      </c>
      <c r="B1276" s="8" t="s">
        <v>20</v>
      </c>
      <c r="C1276" s="75" t="str">
        <f aca="false">IF(COUNT($C$1275:$G$1275)=0,"não atinge até 2031",MIN($C$1275:$G$1275))</f>
        <v>não atinge até 2031</v>
      </c>
      <c r="H1276" s="2" t="s">
        <v>1466</v>
      </c>
    </row>
    <row r="1277" customFormat="false" ht="15" hidden="false" customHeight="false" outlineLevel="1" collapsed="false">
      <c r="A1277" s="7" t="s">
        <v>809</v>
      </c>
      <c r="B1277" s="8" t="s">
        <v>20</v>
      </c>
      <c r="C1277" s="81" t="str">
        <f aca="false">IF(C1209&gt;=0,C980,"")</f>
        <v/>
      </c>
      <c r="D1277" s="81" t="str">
        <f aca="false">IF(D1209&gt;=0,D980,"")</f>
        <v/>
      </c>
      <c r="E1277" s="81" t="str">
        <f aca="false">IF(E1209&gt;=0,E980,"")</f>
        <v/>
      </c>
      <c r="F1277" s="81" t="str">
        <f aca="false">IF(F1209&gt;=0,F980,"")</f>
        <v/>
      </c>
      <c r="G1277" s="81" t="str">
        <f aca="false">IF(G1209&gt;=0,G980,"")</f>
        <v/>
      </c>
      <c r="H1277" s="2" t="s">
        <v>1467</v>
      </c>
    </row>
    <row r="1278" customFormat="false" ht="15" hidden="false" customHeight="false" outlineLevel="1" collapsed="false">
      <c r="A1278" s="7" t="s">
        <v>810</v>
      </c>
      <c r="B1278" s="8" t="s">
        <v>20</v>
      </c>
      <c r="C1278" s="75" t="str">
        <f aca="false">IF(COUNT($C$1277:$G$1277)=0,"não atinge até 2031",MIN($C$1277:$G$1277))</f>
        <v>não atinge até 2031</v>
      </c>
      <c r="H1278" s="2" t="s">
        <v>1468</v>
      </c>
    </row>
    <row r="1279" customFormat="false" ht="15" hidden="false" customHeight="false" outlineLevel="1" collapsed="false">
      <c r="A1279" s="7" t="s">
        <v>811</v>
      </c>
      <c r="B1279" s="8" t="s">
        <v>20</v>
      </c>
      <c r="C1279" s="81" t="str">
        <f aca="false">IF(C1234&gt;=0,C980,"")</f>
        <v/>
      </c>
      <c r="D1279" s="81" t="str">
        <f aca="false">IF(D1234&gt;=0,D980,"")</f>
        <v/>
      </c>
      <c r="E1279" s="81" t="str">
        <f aca="false">IF(E1234&gt;=0,E980,"")</f>
        <v/>
      </c>
      <c r="F1279" s="81" t="str">
        <f aca="false">IF(F1234&gt;=0,F980,"")</f>
        <v/>
      </c>
      <c r="G1279" s="81" t="str">
        <f aca="false">IF(G1234&gt;=0,G980,"")</f>
        <v/>
      </c>
      <c r="H1279" s="2" t="s">
        <v>1469</v>
      </c>
    </row>
    <row r="1280" customFormat="false" ht="15" hidden="false" customHeight="false" outlineLevel="1" collapsed="false">
      <c r="A1280" s="7" t="s">
        <v>19</v>
      </c>
      <c r="B1280" s="8" t="s">
        <v>20</v>
      </c>
      <c r="C1280" s="75" t="str">
        <f aca="false">IF(COUNT($C$1279:$G$1279)=0,"não atinge até 2031",MIN($C$1279:$G$1279))</f>
        <v>não atinge até 2031</v>
      </c>
      <c r="H1280" s="2" t="s">
        <v>1470</v>
      </c>
    </row>
    <row r="1281" customFormat="false" ht="15" hidden="false" customHeight="false" outlineLevel="0" collapsed="false">
      <c r="A1281" s="3" t="s">
        <v>1471</v>
      </c>
      <c r="B1281" s="4"/>
      <c r="C1281" s="4"/>
      <c r="D1281" s="4"/>
      <c r="E1281" s="4"/>
      <c r="F1281" s="4"/>
      <c r="G1281" s="4"/>
      <c r="H1281" s="4"/>
    </row>
    <row r="1282" customFormat="false" ht="15" hidden="false" customHeight="false" outlineLevel="1" collapsed="false">
      <c r="A1282" s="7" t="s">
        <v>813</v>
      </c>
      <c r="B1282" s="8" t="s">
        <v>11</v>
      </c>
      <c r="C1282" s="61" t="n">
        <f aca="false">C1217</f>
        <v>0</v>
      </c>
      <c r="D1282" s="61" t="n">
        <f aca="false">D1217</f>
        <v>293948.938356164</v>
      </c>
      <c r="E1282" s="61" t="n">
        <f aca="false">E1217</f>
        <v>506993.116438356</v>
      </c>
      <c r="F1282" s="61" t="n">
        <f aca="false">F1217</f>
        <v>859371.729452055</v>
      </c>
      <c r="G1282" s="61" t="n">
        <f aca="false">G1217</f>
        <v>1309134.11815068</v>
      </c>
      <c r="H1282" s="2" t="s">
        <v>1472</v>
      </c>
    </row>
    <row r="1283" customFormat="false" ht="15" hidden="false" customHeight="false" outlineLevel="1" collapsed="false">
      <c r="A1283" s="7" t="s">
        <v>509</v>
      </c>
      <c r="B1283" s="8" t="s">
        <v>76</v>
      </c>
      <c r="C1283" s="82" t="n">
        <f aca="false">Pressupostos!$C$290</f>
        <v>0.08</v>
      </c>
      <c r="D1283" s="82" t="n">
        <f aca="false">Pressupostos!$D$290</f>
        <v>0.08</v>
      </c>
      <c r="E1283" s="82" t="n">
        <f aca="false">Pressupostos!$E$290</f>
        <v>0.075</v>
      </c>
      <c r="F1283" s="82" t="n">
        <f aca="false">Pressupostos!$F$290</f>
        <v>0.07</v>
      </c>
      <c r="G1283" s="82" t="n">
        <f aca="false">Pressupostos!$G$290</f>
        <v>0.07</v>
      </c>
      <c r="H1283" s="2" t="s">
        <v>1473</v>
      </c>
    </row>
    <row r="1284" customFormat="false" ht="15" hidden="false" customHeight="false" outlineLevel="1" collapsed="false">
      <c r="A1284" s="7" t="s">
        <v>814</v>
      </c>
      <c r="B1284" s="8" t="s">
        <v>76</v>
      </c>
      <c r="C1284" s="60" t="n">
        <f aca="false">Pressupostos!$C$290*(1-Pressupostos!$C$111)</f>
        <v>0.0576</v>
      </c>
      <c r="D1284" s="60" t="n">
        <f aca="false">Pressupostos!$D$290*(1-Pressupostos!$C$111)</f>
        <v>0.0576</v>
      </c>
      <c r="E1284" s="60" t="n">
        <f aca="false">Pressupostos!$E$290*(1-Pressupostos!$C$111)</f>
        <v>0.054</v>
      </c>
      <c r="F1284" s="60" t="n">
        <f aca="false">Pressupostos!$F$290*(1-Pressupostos!$C$111)</f>
        <v>0.0504</v>
      </c>
      <c r="G1284" s="60" t="n">
        <f aca="false">Pressupostos!$G$290*(1-Pressupostos!$C$111)</f>
        <v>0.0504</v>
      </c>
      <c r="H1284" s="2" t="s">
        <v>1474</v>
      </c>
    </row>
    <row r="1285" customFormat="false" ht="15" hidden="false" customHeight="false" outlineLevel="1" collapsed="false">
      <c r="A1285" s="7" t="s">
        <v>815</v>
      </c>
      <c r="B1285" s="8" t="s">
        <v>11</v>
      </c>
      <c r="C1285" s="61" t="n">
        <f aca="false">C1121</f>
        <v>0</v>
      </c>
      <c r="D1285" s="61" t="n">
        <f aca="false">D1121</f>
        <v>21524.1780821918</v>
      </c>
      <c r="E1285" s="61" t="n">
        <f aca="false">E1121</f>
        <v>34083.5991010274</v>
      </c>
      <c r="F1285" s="61" t="n">
        <f aca="false">F1121</f>
        <v>53929.0517979452</v>
      </c>
      <c r="G1285" s="61" t="n">
        <f aca="false">G1121</f>
        <v>82260.0385273973</v>
      </c>
      <c r="H1285" s="2" t="s">
        <v>1475</v>
      </c>
    </row>
    <row r="1286" customFormat="false" ht="15" hidden="false" customHeight="false" outlineLevel="1" collapsed="false">
      <c r="A1286" s="7" t="s">
        <v>816</v>
      </c>
      <c r="B1286" s="8" t="s">
        <v>76</v>
      </c>
      <c r="C1286" s="59" t="n">
        <f aca="false">IF(C1217&gt;0,(C1220+C1222)/C1217,0)</f>
        <v>0</v>
      </c>
      <c r="D1286" s="59" t="n">
        <f aca="false">IF(D1217&gt;0,(D1220+D1222)/D1217,0)</f>
        <v>0.316666666666667</v>
      </c>
      <c r="E1286" s="59" t="n">
        <f aca="false">IF(E1217&gt;0,(E1220+E1222)/E1217,0)</f>
        <v>0.316666666666667</v>
      </c>
      <c r="F1286" s="59" t="n">
        <f aca="false">IF(F1217&gt;0,(F1220+F1222)/F1217,0)</f>
        <v>0.316666666666667</v>
      </c>
      <c r="G1286" s="59" t="n">
        <f aca="false">IF(G1217&gt;0,(G1220+G1222)/G1217,0)</f>
        <v>0.316666666666667</v>
      </c>
      <c r="H1286" s="2" t="s">
        <v>1476</v>
      </c>
    </row>
    <row r="1287" customFormat="false" ht="15" hidden="false" customHeight="false" outlineLevel="1" collapsed="false">
      <c r="A1287" s="7" t="s">
        <v>817</v>
      </c>
      <c r="B1287" s="8" t="s">
        <v>123</v>
      </c>
      <c r="C1287" s="61" t="n">
        <f aca="false">C1223</f>
        <v>0</v>
      </c>
      <c r="D1287" s="61" t="n">
        <f aca="false">D1223</f>
        <v>5.87897876712329</v>
      </c>
      <c r="E1287" s="61" t="n">
        <f aca="false">E1223</f>
        <v>10.1398623287671</v>
      </c>
      <c r="F1287" s="61" t="n">
        <f aca="false">F1223</f>
        <v>17.1874345890411</v>
      </c>
      <c r="G1287" s="61" t="n">
        <f aca="false">G1223</f>
        <v>26.1826823630137</v>
      </c>
      <c r="H1287" s="2" t="s">
        <v>1477</v>
      </c>
    </row>
    <row r="1288" customFormat="false" ht="15" hidden="false" customHeight="false" outlineLevel="1" collapsed="false">
      <c r="A1288" s="7" t="s">
        <v>818</v>
      </c>
      <c r="B1288" s="8" t="s">
        <v>11</v>
      </c>
      <c r="C1288" s="61" t="n">
        <f aca="false">C1121+C1167</f>
        <v>65000</v>
      </c>
      <c r="D1288" s="61" t="n">
        <f aca="false">D1121+D1167</f>
        <v>96524.1780821918</v>
      </c>
      <c r="E1288" s="61" t="n">
        <f aca="false">E1121+E1167</f>
        <v>114083.599101027</v>
      </c>
      <c r="F1288" s="61" t="n">
        <f aca="false">F1121+F1167</f>
        <v>138929.051797945</v>
      </c>
      <c r="G1288" s="61" t="n">
        <f aca="false">G1121+G1167</f>
        <v>172260.038527397</v>
      </c>
      <c r="H1288" s="2" t="s">
        <v>1478</v>
      </c>
    </row>
    <row r="1289" customFormat="false" ht="15" hidden="false" customHeight="false" outlineLevel="1" collapsed="false">
      <c r="A1289" s="7" t="s">
        <v>819</v>
      </c>
      <c r="B1289" s="8" t="s">
        <v>76</v>
      </c>
      <c r="C1289" s="59" t="str">
        <f aca="false">IF(C1217&gt;0,C1288/C1217,"")</f>
        <v/>
      </c>
      <c r="D1289" s="59" t="n">
        <f aca="false">IF(D1217&gt;0,D1288/D1217,"")</f>
        <v>0.328370561982564</v>
      </c>
      <c r="E1289" s="59" t="n">
        <f aca="false">IF(E1217&gt;0,E1288/E1217,"")</f>
        <v>0.225020015858339</v>
      </c>
      <c r="F1289" s="59" t="n">
        <f aca="false">IF(F1217&gt;0,F1288/F1217,"")</f>
        <v>0.161663511885047</v>
      </c>
      <c r="G1289" s="59" t="n">
        <f aca="false">IF(G1217&gt;0,G1288/G1217,"")</f>
        <v>0.131583186274861</v>
      </c>
      <c r="H1289" s="2" t="s">
        <v>1479</v>
      </c>
    </row>
    <row r="1290" customFormat="false" ht="15" hidden="false" customHeight="false" outlineLevel="0" collapsed="false">
      <c r="A1290" s="3" t="s">
        <v>1480</v>
      </c>
      <c r="B1290" s="4"/>
      <c r="C1290" s="4"/>
      <c r="D1290" s="4"/>
      <c r="E1290" s="4"/>
      <c r="F1290" s="4"/>
      <c r="G1290" s="4"/>
      <c r="H1290" s="4"/>
    </row>
    <row r="1291" customFormat="false" ht="15" hidden="false" customHeight="false" outlineLevel="1" collapsed="false">
      <c r="A1291" s="7" t="s">
        <v>821</v>
      </c>
      <c r="B1291" s="8" t="s">
        <v>11</v>
      </c>
      <c r="C1291" s="61" t="n">
        <f aca="false">MAX(0,-C1191)</f>
        <v>586332.91635274</v>
      </c>
      <c r="D1291" s="61" t="n">
        <f aca="false">MAX(0,-D1191)</f>
        <v>694819.657020548</v>
      </c>
      <c r="E1291" s="61" t="n">
        <f aca="false">MAX(0,-E1191)</f>
        <v>726011.071262843</v>
      </c>
      <c r="F1291" s="61" t="n">
        <f aca="false">MAX(0,-F1191)</f>
        <v>706620.66468465</v>
      </c>
      <c r="G1291" s="61" t="n">
        <f aca="false">MAX(0,-G1191)</f>
        <v>598542.140916074</v>
      </c>
      <c r="H1291" s="2" t="s">
        <v>1481</v>
      </c>
    </row>
    <row r="1292" customFormat="false" ht="15" hidden="false" customHeight="false" outlineLevel="1" collapsed="false">
      <c r="A1292" s="2" t="s">
        <v>822</v>
      </c>
      <c r="B1292" s="8"/>
      <c r="C1292" s="61" t="n">
        <f aca="false">IF(AND(C980&gt;=Pressupostos!$C$120,Pressupostos!$C$118*(C1074+C1075)+Pressupostos!$C$119*C1076&gt;Pressupostos!$C$302),1,0)</f>
        <v>0</v>
      </c>
      <c r="D1292" s="61" t="n">
        <f aca="false">IF(AND(D980&gt;=Pressupostos!$C$120,Pressupostos!$C$118*(D1074+D1075)+Pressupostos!$C$119*D1076&gt;Pressupostos!$D$302),1,0)</f>
        <v>1</v>
      </c>
      <c r="E1292" s="61" t="n">
        <f aca="false">IF(AND(E980&gt;=Pressupostos!$C$120,Pressupostos!$C$118*(E1074+E1075)+Pressupostos!$C$119*E1076&gt;Pressupostos!$E$302),1,0)</f>
        <v>1</v>
      </c>
      <c r="F1292" s="61" t="n">
        <f aca="false">IF(AND(F980&gt;=Pressupostos!$C$120,Pressupostos!$C$118*(F1074+F1075)+Pressupostos!$C$119*F1076&gt;Pressupostos!$F$302),1,0)</f>
        <v>1</v>
      </c>
      <c r="G1292" s="61" t="n">
        <f aca="false">IF(AND(G980&gt;=Pressupostos!$C$120,Pressupostos!$C$118*(G1074+G1075)+Pressupostos!$C$119*G1076&gt;Pressupostos!$G$302),1,0)</f>
        <v>1</v>
      </c>
      <c r="H1292" s="2" t="s">
        <v>1482</v>
      </c>
    </row>
    <row r="1293" customFormat="false" ht="15" hidden="false" customHeight="false" outlineLevel="1" collapsed="false">
      <c r="A1293" s="7" t="s">
        <v>823</v>
      </c>
      <c r="B1293" s="8" t="s">
        <v>64</v>
      </c>
      <c r="C1293" s="63" t="n">
        <f aca="false">IF(C984&gt;0,C1291/(C984*1000*(1-Pressupostos!$F$22)*(1-Pressupostos!$F$25-C1292*Pressupostos!$C$118)),"n/a")</f>
        <v>11.309561691859</v>
      </c>
      <c r="D1293" s="63" t="n">
        <f aca="false">IF(D984&gt;0,D1291/(D984*1000*(1-Pressupostos!$F$22)*(1-Pressupostos!$F$25-D1292*Pressupostos!$C$118)),"n/a")</f>
        <v>1.92759691676598</v>
      </c>
      <c r="E1293" s="63" t="n">
        <f aca="false">IF(E984&gt;0,E1291/(E984*1000*(1-Pressupostos!$F$22)*(1-Pressupostos!$F$25-E1292*Pressupostos!$C$118)),"n/a")</f>
        <v>1.01970568212191</v>
      </c>
      <c r="F1293" s="63" t="n">
        <f aca="false">IF(F984&gt;0,F1291/(F984*1000*(1-Pressupostos!$F$22)*(1-Pressupostos!$F$25-F1292*Pressupostos!$C$118)),"n/a")</f>
        <v>0.601523142712981</v>
      </c>
      <c r="G1293" s="63" t="n">
        <f aca="false">IF(G984&gt;0,G1291/(G984*1000*(1-Pressupostos!$F$22)*(1-Pressupostos!$F$25-G1292*Pressupostos!$C$118)),"n/a")</f>
        <v>0.336738252075182</v>
      </c>
      <c r="H1293" s="2" t="s">
        <v>1483</v>
      </c>
    </row>
    <row r="1294" customFormat="false" ht="15" hidden="false" customHeight="false" outlineLevel="1" collapsed="false">
      <c r="A1294" s="7" t="s">
        <v>824</v>
      </c>
      <c r="B1294" s="8" t="s">
        <v>64</v>
      </c>
      <c r="C1294" s="63" t="n">
        <f aca="false">IF(C983&gt;0,Pressupostos!$F$15+C1291/(C983*1000*(1-Pressupostos!$F$16)*(1-Pressupostos!$F$18-C1292*Pressupostos!$C$118)),"n/a")</f>
        <v>85.9284755078901</v>
      </c>
      <c r="D1294" s="63" t="n">
        <f aca="false">IF(D983&gt;0,Pressupostos!$F$15+D1291/(D983*1000*(1-Pressupostos!$F$16)*(1-Pressupostos!$F$18-D1292*Pressupostos!$C$118)),"n/a")</f>
        <v>31.3600013512012</v>
      </c>
      <c r="E1294" s="63" t="n">
        <f aca="false">IF(E983&gt;0,Pressupostos!$F$15+E1291/(E983*1000*(1-Pressupostos!$F$16)*(1-Pressupostos!$F$18-E1292*Pressupostos!$C$118)),"n/a")</f>
        <v>15.9369175667631</v>
      </c>
      <c r="F1294" s="63" t="n">
        <f aca="false">IF(F983&gt;0,Pressupostos!$F$15+F1291/(F983*1000*(1-Pressupostos!$F$16)*(1-Pressupostos!$F$18-F1292*Pressupostos!$C$118)),"n/a")</f>
        <v>11.5265834081008</v>
      </c>
      <c r="G1294" s="63" t="n">
        <f aca="false">IF(G983&gt;0,Pressupostos!$F$15+G1291/(G983*1000*(1-Pressupostos!$F$16)*(1-Pressupostos!$F$18-G1292*Pressupostos!$C$118)),"n/a")</f>
        <v>9.27689984350866</v>
      </c>
      <c r="H1294" s="2" t="s">
        <v>1484</v>
      </c>
    </row>
    <row r="1295" customFormat="false" ht="15" hidden="false" customHeight="false" outlineLevel="1" collapsed="false">
      <c r="A1295" s="7" t="s">
        <v>825</v>
      </c>
      <c r="B1295" s="8" t="s">
        <v>64</v>
      </c>
      <c r="C1295" s="63" t="n">
        <f aca="false">IF(Pressupostos!$F$33=1,C1066-C1292*Pressupostos!$C$119*C1049,C1072)</f>
        <v>0.00725</v>
      </c>
      <c r="D1295" s="63" t="n">
        <f aca="false">IF(Pressupostos!$F$33=1,D1066-D1292*Pressupostos!$C$119*D1049,D1072)</f>
        <v>0.00725</v>
      </c>
      <c r="E1295" s="63" t="n">
        <f aca="false">IF(Pressupostos!$F$33=1,E1066-E1292*Pressupostos!$C$119*E1049,E1072)</f>
        <v>0.00725</v>
      </c>
      <c r="F1295" s="63" t="n">
        <f aca="false">IF(Pressupostos!$F$33=1,F1066-F1292*Pressupostos!$C$119*F1049,F1072)</f>
        <v>0.00725</v>
      </c>
      <c r="G1295" s="63" t="n">
        <f aca="false">IF(Pressupostos!$F$33=1,G1066-G1292*Pressupostos!$C$119*G1049,G1072)</f>
        <v>0.00725</v>
      </c>
      <c r="H1295" s="2" t="s">
        <v>1485</v>
      </c>
    </row>
    <row r="1296" customFormat="false" ht="15" hidden="false" customHeight="false" outlineLevel="1" collapsed="false">
      <c r="A1296" s="7" t="s">
        <v>826</v>
      </c>
      <c r="B1296" s="8" t="s">
        <v>120</v>
      </c>
      <c r="C1296" s="55" t="n">
        <f aca="false">IF(C1295&gt;0,C985+C1291/(C1295*1000),"n/a")</f>
        <v>80873.5057038262</v>
      </c>
      <c r="D1296" s="55" t="n">
        <f aca="false">IF(D1295&gt;0,D985+D1291/(D1295*1000),"n/a")</f>
        <v>96337.1940717998</v>
      </c>
      <c r="E1296" s="55" t="n">
        <f aca="false">IF(E1295&gt;0,E985+E1291/(E1295*1000),"n/a")</f>
        <v>101639.45810522</v>
      </c>
      <c r="F1296" s="55" t="n">
        <f aca="false">IF(F1295&gt;0,F985+F1291/(F1295*1000),"n/a")</f>
        <v>99964.9192668483</v>
      </c>
      <c r="G1296" s="55" t="n">
        <f aca="false">IF(G1295&gt;0,G985+G1291/(G1295*1000),"n/a")</f>
        <v>86057.5366780792</v>
      </c>
      <c r="H1296" s="2" t="s">
        <v>1486</v>
      </c>
    </row>
    <row r="1297" customFormat="false" ht="15" hidden="false" customHeight="false" outlineLevel="1" collapsed="false">
      <c r="A1297" s="7" t="s">
        <v>827</v>
      </c>
      <c r="B1297" s="8" t="s">
        <v>76</v>
      </c>
      <c r="C1297" s="59" t="n">
        <f aca="false">C1291/(C1153+C1166+C1167)</f>
        <v>0.974504132631807</v>
      </c>
      <c r="D1297" s="59" t="n">
        <f aca="false">D1291/(D1153+D1166+D1167)</f>
        <v>0.902060561332522</v>
      </c>
      <c r="E1297" s="59" t="n">
        <f aca="false">E1291/(E1153+E1166+E1167)</f>
        <v>0.787508973727769</v>
      </c>
      <c r="F1297" s="59" t="n">
        <f aca="false">F1291/(F1153+F1166+F1167)</f>
        <v>0.65933493591733</v>
      </c>
      <c r="G1297" s="59" t="n">
        <f aca="false">G1291/(G1153+G1166+G1167)</f>
        <v>0.508922832812873</v>
      </c>
      <c r="H1297" s="2" t="s">
        <v>1487</v>
      </c>
    </row>
    <row r="1298" customFormat="false" ht="15" hidden="false" customHeight="false" outlineLevel="1" collapsed="false">
      <c r="A1298" s="2" t="s">
        <v>828</v>
      </c>
      <c r="B1298" s="8" t="s">
        <v>76</v>
      </c>
      <c r="C1298" s="60" t="n">
        <f aca="false">Pressupostos!$C$101*Pressupostos!$C$102+Pressupostos!$C$103-Pressupostos!$F$30*Pressupostos!$C$104*Pressupostos!$C$102/(Pressupostos!$C$105*Pressupostos!$C$106)</f>
        <v>0.02</v>
      </c>
      <c r="D1298" s="60" t="n">
        <f aca="false">Pressupostos!$C$101*Pressupostos!$C$102+Pressupostos!$C$103-Pressupostos!$F$30*Pressupostos!$C$104*Pressupostos!$C$102/(Pressupostos!$C$105*Pressupostos!$C$106)</f>
        <v>0.02</v>
      </c>
      <c r="E1298" s="60" t="n">
        <f aca="false">Pressupostos!$C$101*Pressupostos!$C$102+Pressupostos!$C$103-Pressupostos!$F$30*Pressupostos!$C$104*Pressupostos!$C$102/(Pressupostos!$C$105*Pressupostos!$C$106)</f>
        <v>0.02</v>
      </c>
      <c r="F1298" s="60" t="n">
        <f aca="false">Pressupostos!$C$101*Pressupostos!$C$102+Pressupostos!$C$103-Pressupostos!$F$30*Pressupostos!$C$104*Pressupostos!$C$102/(Pressupostos!$C$105*Pressupostos!$C$106)</f>
        <v>0.02</v>
      </c>
      <c r="G1298" s="60" t="n">
        <f aca="false">Pressupostos!$C$101*Pressupostos!$C$102+Pressupostos!$C$103-Pressupostos!$F$30*Pressupostos!$C$104*Pressupostos!$C$102/(Pressupostos!$C$105*Pressupostos!$C$106)</f>
        <v>0.02</v>
      </c>
      <c r="H1298" s="2" t="s">
        <v>1488</v>
      </c>
    </row>
    <row r="1299" customFormat="false" ht="15" hidden="false" customHeight="false" outlineLevel="1" collapsed="false">
      <c r="A1299" s="7" t="s">
        <v>829</v>
      </c>
      <c r="B1299" s="8" t="s">
        <v>11</v>
      </c>
      <c r="C1299" s="61" t="n">
        <f aca="false">IF(C1298&gt;0,C998+C1291/C1298,"n/a")</f>
        <v>29316645.817637</v>
      </c>
      <c r="D1299" s="61" t="n">
        <f aca="false">IF(D1298&gt;0,D998+D1291/D1298,"n/a")</f>
        <v>35240982.8510274</v>
      </c>
      <c r="E1299" s="61" t="n">
        <f aca="false">IF(E1298&gt;0,E998+E1291/E1298,"n/a")</f>
        <v>37800553.5631422</v>
      </c>
      <c r="F1299" s="61" t="n">
        <f aca="false">IF(F1298&gt;0,F998+F1291/F1298,"n/a")</f>
        <v>38331033.2342325</v>
      </c>
      <c r="G1299" s="61" t="n">
        <f aca="false">IF(G1298&gt;0,G998+G1291/G1298,"n/a")</f>
        <v>34927107.0458037</v>
      </c>
      <c r="H1299" s="2" t="s">
        <v>1489</v>
      </c>
    </row>
    <row r="1302" customFormat="false" ht="15" hidden="false" customHeight="false" outlineLevel="0" collapsed="false">
      <c r="A1302" s="111" t="s">
        <v>1493</v>
      </c>
      <c r="B1302" s="112"/>
      <c r="C1302" s="112"/>
      <c r="D1302" s="112"/>
      <c r="E1302" s="112"/>
      <c r="F1302" s="112"/>
      <c r="G1302" s="112"/>
      <c r="H1302" s="112"/>
    </row>
    <row r="1303" customFormat="false" ht="15" hidden="false" customHeight="false" outlineLevel="0" collapsed="false">
      <c r="A1303" s="3" t="s">
        <v>1170</v>
      </c>
      <c r="B1303" s="4"/>
      <c r="C1303" s="4"/>
      <c r="D1303" s="4"/>
      <c r="E1303" s="4"/>
      <c r="F1303" s="4"/>
      <c r="G1303" s="4"/>
      <c r="H1303" s="4"/>
    </row>
    <row r="1304" customFormat="false" ht="15" hidden="false" customHeight="false" outlineLevel="1" collapsed="false">
      <c r="A1304" s="7" t="s">
        <v>588</v>
      </c>
      <c r="B1304" s="8"/>
      <c r="C1304" s="52" t="n">
        <v>2027</v>
      </c>
      <c r="D1304" s="52" t="n">
        <v>2028</v>
      </c>
      <c r="E1304" s="52" t="n">
        <v>2029</v>
      </c>
      <c r="F1304" s="52" t="n">
        <v>2030</v>
      </c>
      <c r="G1304" s="52" t="n">
        <v>2031</v>
      </c>
      <c r="H1304" s="2" t="s">
        <v>20</v>
      </c>
    </row>
    <row r="1305" customFormat="false" ht="15" hidden="false" customHeight="false" outlineLevel="0" collapsed="false">
      <c r="A1305" s="3" t="s">
        <v>1171</v>
      </c>
      <c r="B1305" s="4"/>
      <c r="C1305" s="4"/>
      <c r="D1305" s="4"/>
      <c r="E1305" s="4"/>
      <c r="F1305" s="4"/>
      <c r="G1305" s="4"/>
      <c r="H1305" s="4"/>
    </row>
    <row r="1306" customFormat="false" ht="15" hidden="false" customHeight="false" outlineLevel="1" collapsed="false">
      <c r="A1306" s="7" t="s">
        <v>387</v>
      </c>
      <c r="B1306" s="8" t="s">
        <v>123</v>
      </c>
      <c r="C1306" s="53" t="n">
        <f aca="false">Pressupostos!$C$213</f>
        <v>40</v>
      </c>
      <c r="D1306" s="53" t="n">
        <f aca="false">Pressupostos!$D$213</f>
        <v>180</v>
      </c>
      <c r="E1306" s="53" t="n">
        <f aca="false">Pressupostos!$E$213</f>
        <v>650</v>
      </c>
      <c r="F1306" s="53" t="n">
        <f aca="false">Pressupostos!$F$213</f>
        <v>1300</v>
      </c>
      <c r="G1306" s="53" t="n">
        <f aca="false">Pressupostos!$G$213</f>
        <v>2000</v>
      </c>
      <c r="H1306" s="2" t="s">
        <v>1172</v>
      </c>
    </row>
    <row r="1307" customFormat="false" ht="15" hidden="false" customHeight="false" outlineLevel="1" collapsed="false">
      <c r="A1307" s="7" t="s">
        <v>590</v>
      </c>
      <c r="B1307" s="8" t="s">
        <v>120</v>
      </c>
      <c r="C1307" s="54" t="n">
        <f aca="false">Pressupostos!$C$219</f>
        <v>8</v>
      </c>
      <c r="D1307" s="54" t="n">
        <f aca="false">Pressupostos!$D$219</f>
        <v>37</v>
      </c>
      <c r="E1307" s="54" t="n">
        <f aca="false">Pressupostos!$E$219</f>
        <v>133</v>
      </c>
      <c r="F1307" s="54" t="n">
        <f aca="false">Pressupostos!$F$219</f>
        <v>267</v>
      </c>
      <c r="G1307" s="54" t="n">
        <f aca="false">Pressupostos!$G$219</f>
        <v>410</v>
      </c>
      <c r="H1307" s="2" t="s">
        <v>1173</v>
      </c>
    </row>
    <row r="1308" customFormat="false" ht="15" hidden="false" customHeight="false" outlineLevel="1" collapsed="false">
      <c r="A1308" s="7" t="s">
        <v>591</v>
      </c>
      <c r="B1308" s="8" t="s">
        <v>120</v>
      </c>
      <c r="C1308" s="54" t="n">
        <f aca="false">Pressupostos!$C$225</f>
        <v>52</v>
      </c>
      <c r="D1308" s="54" t="n">
        <f aca="false">Pressupostos!$D$225</f>
        <v>363</v>
      </c>
      <c r="E1308" s="54" t="n">
        <f aca="false">Pressupostos!$E$225</f>
        <v>717</v>
      </c>
      <c r="F1308" s="54" t="n">
        <f aca="false">Pressupostos!$F$225</f>
        <v>1183</v>
      </c>
      <c r="G1308" s="54" t="n">
        <f aca="false">Pressupostos!$G$225</f>
        <v>1790</v>
      </c>
      <c r="H1308" s="2" t="s">
        <v>1174</v>
      </c>
    </row>
    <row r="1309" customFormat="false" ht="15" hidden="false" customHeight="false" outlineLevel="1" collapsed="false">
      <c r="A1309" s="7" t="s">
        <v>398</v>
      </c>
      <c r="B1309" s="8" t="s">
        <v>120</v>
      </c>
      <c r="C1309" s="54" t="n">
        <f aca="false">Pressupostos!$C$231</f>
        <v>0</v>
      </c>
      <c r="D1309" s="54" t="n">
        <f aca="false">Pressupostos!$D$231</f>
        <v>0</v>
      </c>
      <c r="E1309" s="54" t="n">
        <f aca="false">Pressupostos!$E$231</f>
        <v>0</v>
      </c>
      <c r="F1309" s="54" t="n">
        <f aca="false">Pressupostos!$F$231</f>
        <v>0</v>
      </c>
      <c r="G1309" s="54" t="n">
        <f aca="false">Pressupostos!$G$231</f>
        <v>0</v>
      </c>
      <c r="H1309" s="2" t="s">
        <v>1175</v>
      </c>
    </row>
    <row r="1310" customFormat="false" ht="15" hidden="false" customHeight="false" outlineLevel="1" collapsed="false">
      <c r="A1310" s="7" t="s">
        <v>592</v>
      </c>
      <c r="B1310" s="8" t="s">
        <v>120</v>
      </c>
      <c r="C1310" s="55" t="n">
        <f aca="false">C1309*Pressupostos!$D$33</f>
        <v>0</v>
      </c>
      <c r="D1310" s="55" t="n">
        <f aca="false">D1309*Pressupostos!$D$33</f>
        <v>0</v>
      </c>
      <c r="E1310" s="55" t="n">
        <f aca="false">E1309*Pressupostos!$D$33</f>
        <v>0</v>
      </c>
      <c r="F1310" s="55" t="n">
        <f aca="false">F1309*Pressupostos!$D$33</f>
        <v>0</v>
      </c>
      <c r="G1310" s="55" t="n">
        <f aca="false">G1309*Pressupostos!$D$33</f>
        <v>0</v>
      </c>
      <c r="H1310" s="2" t="s">
        <v>1176</v>
      </c>
    </row>
    <row r="1311" customFormat="false" ht="15" hidden="false" customHeight="false" outlineLevel="1" collapsed="false">
      <c r="A1311" s="7" t="s">
        <v>593</v>
      </c>
      <c r="B1311" s="8" t="s">
        <v>120</v>
      </c>
      <c r="C1311" s="55" t="n">
        <f aca="false">C1309-C1310</f>
        <v>0</v>
      </c>
      <c r="D1311" s="55" t="n">
        <f aca="false">D1309-D1310</f>
        <v>0</v>
      </c>
      <c r="E1311" s="55" t="n">
        <f aca="false">E1309-E1310</f>
        <v>0</v>
      </c>
      <c r="F1311" s="55" t="n">
        <f aca="false">F1309-F1310</f>
        <v>0</v>
      </c>
      <c r="G1311" s="55" t="n">
        <f aca="false">G1309-G1310</f>
        <v>0</v>
      </c>
      <c r="H1311" s="2" t="s">
        <v>1177</v>
      </c>
    </row>
    <row r="1312" customFormat="false" ht="15" hidden="false" customHeight="false" outlineLevel="1" collapsed="false">
      <c r="A1312" s="56" t="s">
        <v>594</v>
      </c>
      <c r="B1312" s="57" t="s">
        <v>120</v>
      </c>
      <c r="C1312" s="58" t="n">
        <f aca="false">C1307+C1308+C1309</f>
        <v>60</v>
      </c>
      <c r="D1312" s="58" t="n">
        <f aca="false">D1307+D1308+D1309</f>
        <v>400</v>
      </c>
      <c r="E1312" s="58" t="n">
        <f aca="false">E1307+E1308+E1309</f>
        <v>850</v>
      </c>
      <c r="F1312" s="58" t="n">
        <f aca="false">F1307+F1308+F1309</f>
        <v>1450</v>
      </c>
      <c r="G1312" s="58" t="n">
        <f aca="false">G1307+G1308+G1309</f>
        <v>2200</v>
      </c>
      <c r="H1312" s="2" t="s">
        <v>1178</v>
      </c>
    </row>
    <row r="1313" customFormat="false" ht="15" hidden="false" customHeight="false" outlineLevel="1" collapsed="false">
      <c r="A1313" s="7" t="s">
        <v>595</v>
      </c>
      <c r="B1313" s="8" t="s">
        <v>76</v>
      </c>
      <c r="C1313" s="59" t="n">
        <f aca="false">IF(C1312&gt;0,C1307/C1312,0)</f>
        <v>0.133333333333333</v>
      </c>
      <c r="D1313" s="59" t="n">
        <f aca="false">IF(D1312&gt;0,D1307/D1312,0)</f>
        <v>0.0925</v>
      </c>
      <c r="E1313" s="59" t="n">
        <f aca="false">IF(E1312&gt;0,E1307/E1312,0)</f>
        <v>0.156470588235294</v>
      </c>
      <c r="F1313" s="59" t="n">
        <f aca="false">IF(F1312&gt;0,F1307/F1312,0)</f>
        <v>0.184137931034483</v>
      </c>
      <c r="G1313" s="59" t="n">
        <f aca="false">IF(G1312&gt;0,G1307/G1312,0)</f>
        <v>0.186363636363636</v>
      </c>
      <c r="H1313" s="2" t="s">
        <v>1179</v>
      </c>
    </row>
    <row r="1314" customFormat="false" ht="15" hidden="false" customHeight="false" outlineLevel="1" collapsed="false">
      <c r="A1314" s="7" t="s">
        <v>596</v>
      </c>
      <c r="B1314" s="8" t="s">
        <v>76</v>
      </c>
      <c r="C1314" s="60" t="n">
        <f aca="false">C1312/(Pressupostos!$C$76*1000)</f>
        <v>0.000353982300884956</v>
      </c>
      <c r="D1314" s="60" t="n">
        <f aca="false">D1312/(Pressupostos!$C$76*1000)</f>
        <v>0.00235988200589971</v>
      </c>
      <c r="E1314" s="60" t="n">
        <f aca="false">E1312/(Pressupostos!$C$76*1000)</f>
        <v>0.00501474926253687</v>
      </c>
      <c r="F1314" s="60" t="n">
        <f aca="false">F1312/(Pressupostos!$C$76*1000)</f>
        <v>0.00855457227138643</v>
      </c>
      <c r="G1314" s="60" t="n">
        <f aca="false">G1312/(Pressupostos!$C$76*1000)</f>
        <v>0.0129793510324484</v>
      </c>
      <c r="H1314" s="2" t="s">
        <v>1180</v>
      </c>
    </row>
    <row r="1315" customFormat="false" ht="15" hidden="false" customHeight="false" outlineLevel="1" collapsed="false">
      <c r="A1315" s="7" t="s">
        <v>597</v>
      </c>
      <c r="B1315" s="8" t="s">
        <v>123</v>
      </c>
      <c r="C1315" s="55" t="n">
        <f aca="false">C1307/Pressupostos!$C$40+C1308/Pressupostos!$C$47+C1309/Pressupostos!$C$59</f>
        <v>2.13333333333333</v>
      </c>
      <c r="D1315" s="55" t="n">
        <f aca="false">D1307/Pressupostos!$C$40+D1308/Pressupostos!$C$47+D1309/Pressupostos!$C$59</f>
        <v>13.95</v>
      </c>
      <c r="E1315" s="55" t="n">
        <f aca="false">E1307/Pressupostos!$C$40+E1308/Pressupostos!$C$47+E1309/Pressupostos!$C$59</f>
        <v>30.55</v>
      </c>
      <c r="F1315" s="55" t="n">
        <f aca="false">F1307/Pressupostos!$C$40+F1308/Pressupostos!$C$47+F1309/Pressupostos!$C$59</f>
        <v>52.7833333333333</v>
      </c>
      <c r="G1315" s="55" t="n">
        <f aca="false">G1307/Pressupostos!$C$40+G1308/Pressupostos!$C$47+G1309/Pressupostos!$C$59</f>
        <v>80.1666666666667</v>
      </c>
      <c r="H1315" s="2" t="s">
        <v>1181</v>
      </c>
    </row>
    <row r="1316" customFormat="false" ht="15" hidden="false" customHeight="false" outlineLevel="0" collapsed="false">
      <c r="A1316" s="3" t="s">
        <v>1182</v>
      </c>
      <c r="B1316" s="4"/>
      <c r="C1316" s="4"/>
      <c r="D1316" s="4"/>
      <c r="E1316" s="4"/>
      <c r="F1316" s="4"/>
      <c r="G1316" s="4"/>
      <c r="H1316" s="4"/>
    </row>
    <row r="1317" customFormat="false" ht="15" hidden="false" customHeight="false" outlineLevel="1" collapsed="false">
      <c r="A1317" s="7" t="s">
        <v>599</v>
      </c>
      <c r="B1317" s="8" t="s">
        <v>202</v>
      </c>
      <c r="C1317" s="53" t="n">
        <f aca="false">Pressupostos!$C$257</f>
        <v>150</v>
      </c>
      <c r="D1317" s="53" t="n">
        <f aca="false">Pressupostos!$D$257</f>
        <v>600</v>
      </c>
      <c r="E1317" s="53" t="n">
        <f aca="false">Pressupostos!$E$257</f>
        <v>1000</v>
      </c>
      <c r="F1317" s="53" t="n">
        <f aca="false">Pressupostos!$F$257</f>
        <v>1400</v>
      </c>
      <c r="G1317" s="53" t="n">
        <f aca="false">Pressupostos!$G$257</f>
        <v>1800</v>
      </c>
      <c r="H1317" s="2" t="s">
        <v>1183</v>
      </c>
    </row>
    <row r="1318" customFormat="false" ht="15" hidden="false" customHeight="false" outlineLevel="1" collapsed="false">
      <c r="A1318" s="7" t="s">
        <v>599</v>
      </c>
      <c r="B1318" s="8" t="s">
        <v>189</v>
      </c>
      <c r="C1318" s="61" t="n">
        <f aca="false">C1317*Pressupostos!$C$78</f>
        <v>112500</v>
      </c>
      <c r="D1318" s="61" t="n">
        <f aca="false">D1317*Pressupostos!$C$78</f>
        <v>450000</v>
      </c>
      <c r="E1318" s="61" t="n">
        <f aca="false">E1317*Pressupostos!$C$78</f>
        <v>750000</v>
      </c>
      <c r="F1318" s="61" t="n">
        <f aca="false">F1317*Pressupostos!$C$78</f>
        <v>1050000</v>
      </c>
      <c r="G1318" s="61" t="n">
        <f aca="false">G1317*Pressupostos!$C$78</f>
        <v>1350000</v>
      </c>
      <c r="H1318" s="2" t="s">
        <v>1184</v>
      </c>
    </row>
    <row r="1319" customFormat="false" ht="15" hidden="false" customHeight="false" outlineLevel="0" collapsed="false">
      <c r="A1319" s="3" t="s">
        <v>1185</v>
      </c>
      <c r="B1319" s="4"/>
      <c r="C1319" s="4"/>
      <c r="D1319" s="4"/>
      <c r="E1319" s="4"/>
      <c r="F1319" s="4"/>
      <c r="G1319" s="4"/>
      <c r="H1319" s="4"/>
    </row>
    <row r="1320" customFormat="false" ht="15" hidden="false" customHeight="false" outlineLevel="1" collapsed="false">
      <c r="A1320" s="7" t="s">
        <v>601</v>
      </c>
      <c r="B1320" s="8" t="s">
        <v>120</v>
      </c>
      <c r="C1320" s="55" t="n">
        <f aca="false">IF(C1304&lt;Pressupostos!$D$28,0,Pressupostos!$C$263)</f>
        <v>0</v>
      </c>
      <c r="D1320" s="55" t="n">
        <f aca="false">IF(D1304&lt;Pressupostos!$D$28,0,Pressupostos!$D$263)</f>
        <v>0</v>
      </c>
      <c r="E1320" s="55" t="n">
        <f aca="false">IF(E1304&lt;Pressupostos!$D$28,0,Pressupostos!$E$263)</f>
        <v>30</v>
      </c>
      <c r="F1320" s="55" t="n">
        <f aca="false">IF(F1304&lt;Pressupostos!$D$28,0,Pressupostos!$F$263)</f>
        <v>60</v>
      </c>
      <c r="G1320" s="55" t="n">
        <f aca="false">IF(G1304&lt;Pressupostos!$D$28,0,Pressupostos!$G$263)</f>
        <v>100</v>
      </c>
      <c r="H1320" s="2" t="s">
        <v>1186</v>
      </c>
    </row>
    <row r="1321" customFormat="false" ht="15" hidden="false" customHeight="false" outlineLevel="0" collapsed="false">
      <c r="A1321" s="3" t="s">
        <v>1187</v>
      </c>
      <c r="B1321" s="4"/>
      <c r="C1321" s="4"/>
      <c r="D1321" s="4"/>
      <c r="E1321" s="4"/>
      <c r="F1321" s="4"/>
      <c r="G1321" s="4"/>
      <c r="H1321" s="4"/>
    </row>
    <row r="1322" customFormat="false" ht="15" hidden="false" customHeight="false" outlineLevel="1" collapsed="false">
      <c r="A1322" s="7" t="s">
        <v>603</v>
      </c>
      <c r="B1322" s="8" t="s">
        <v>11</v>
      </c>
      <c r="C1322" s="53" t="n">
        <f aca="false">Pressupostos!$C$269</f>
        <v>0</v>
      </c>
      <c r="D1322" s="53" t="n">
        <f aca="false">Pressupostos!$D$269</f>
        <v>500000</v>
      </c>
      <c r="E1322" s="53" t="n">
        <f aca="false">Pressupostos!$E$269</f>
        <v>1500000</v>
      </c>
      <c r="F1322" s="53" t="n">
        <f aca="false">Pressupostos!$F$269</f>
        <v>3000000</v>
      </c>
      <c r="G1322" s="53" t="n">
        <f aca="false">Pressupostos!$G$269</f>
        <v>5000000</v>
      </c>
      <c r="H1322" s="2" t="s">
        <v>1188</v>
      </c>
    </row>
    <row r="1323" customFormat="false" ht="15" hidden="false" customHeight="false" outlineLevel="1" collapsed="false">
      <c r="A1323" s="7" t="s">
        <v>604</v>
      </c>
      <c r="B1323" s="8" t="s">
        <v>120</v>
      </c>
      <c r="C1323" s="55" t="n">
        <f aca="false">C1322/(Pressupostos!$C$105*Pressupostos!$C$106)*Pressupostos!$C$102/1000</f>
        <v>0</v>
      </c>
      <c r="D1323" s="55" t="n">
        <f aca="false">D1322/(Pressupostos!$C$105*Pressupostos!$C$106)*Pressupostos!$C$102/1000</f>
        <v>457.142857142857</v>
      </c>
      <c r="E1323" s="55" t="n">
        <f aca="false">E1322/(Pressupostos!$C$105*Pressupostos!$C$106)*Pressupostos!$C$102/1000</f>
        <v>1371.42857142857</v>
      </c>
      <c r="F1323" s="55" t="n">
        <f aca="false">F1322/(Pressupostos!$C$105*Pressupostos!$C$106)*Pressupostos!$C$102/1000</f>
        <v>2742.85714285714</v>
      </c>
      <c r="G1323" s="55" t="n">
        <f aca="false">G1322/(Pressupostos!$C$105*Pressupostos!$C$106)*Pressupostos!$C$102/1000</f>
        <v>4571.42857142857</v>
      </c>
      <c r="H1323" s="2" t="s">
        <v>1189</v>
      </c>
    </row>
    <row r="1324" customFormat="false" ht="15" hidden="false" customHeight="false" outlineLevel="0" collapsed="false">
      <c r="A1324" s="3" t="s">
        <v>1190</v>
      </c>
      <c r="B1324" s="4"/>
      <c r="C1324" s="4"/>
      <c r="D1324" s="4"/>
      <c r="E1324" s="4"/>
      <c r="F1324" s="4"/>
      <c r="G1324" s="4"/>
      <c r="H1324" s="4"/>
    </row>
    <row r="1325" customFormat="false" ht="15" hidden="false" customHeight="false" outlineLevel="1" collapsed="false">
      <c r="A1325" s="7" t="s">
        <v>669</v>
      </c>
      <c r="B1325" s="8" t="s">
        <v>64</v>
      </c>
      <c r="C1325" s="63" t="n">
        <f aca="false">Pressupostos!$D$10+Pressupostos!$D$11</f>
        <v>3.6</v>
      </c>
      <c r="D1325" s="63" t="n">
        <f aca="false">Pressupostos!$D$10+Pressupostos!$D$11</f>
        <v>3.6</v>
      </c>
      <c r="E1325" s="63" t="n">
        <f aca="false">Pressupostos!$D$10+Pressupostos!$D$11</f>
        <v>3.6</v>
      </c>
      <c r="F1325" s="63" t="n">
        <f aca="false">Pressupostos!$D$10+Pressupostos!$D$11</f>
        <v>3.6</v>
      </c>
      <c r="G1325" s="63" t="n">
        <f aca="false">Pressupostos!$D$10+Pressupostos!$D$11</f>
        <v>3.6</v>
      </c>
      <c r="H1325" s="2" t="s">
        <v>1191</v>
      </c>
    </row>
    <row r="1326" customFormat="false" ht="15" hidden="false" customHeight="false" outlineLevel="1" collapsed="false">
      <c r="A1326" s="7" t="s">
        <v>670</v>
      </c>
      <c r="B1326" s="8" t="s">
        <v>64</v>
      </c>
      <c r="C1326" s="67" t="n">
        <f aca="false">Pressupostos!$D$15</f>
        <v>5.65</v>
      </c>
      <c r="D1326" s="67" t="n">
        <f aca="false">Pressupostos!$D$15</f>
        <v>5.65</v>
      </c>
      <c r="E1326" s="67" t="n">
        <f aca="false">Pressupostos!$D$15</f>
        <v>5.65</v>
      </c>
      <c r="F1326" s="67" t="n">
        <f aca="false">Pressupostos!$D$15</f>
        <v>5.65</v>
      </c>
      <c r="G1326" s="67" t="n">
        <f aca="false">Pressupostos!$D$15</f>
        <v>5.65</v>
      </c>
      <c r="H1326" s="2" t="s">
        <v>1192</v>
      </c>
    </row>
    <row r="1327" customFormat="false" ht="15" hidden="false" customHeight="false" outlineLevel="1" collapsed="false">
      <c r="A1327" s="56" t="s">
        <v>671</v>
      </c>
      <c r="B1327" s="57" t="s">
        <v>64</v>
      </c>
      <c r="C1327" s="68" t="n">
        <f aca="false">C1326*(1-(Pressupostos!$C$191))</f>
        <v>5.085</v>
      </c>
      <c r="D1327" s="68" t="n">
        <f aca="false">D1326*(1-(Pressupostos!$C$191))</f>
        <v>5.085</v>
      </c>
      <c r="E1327" s="68" t="n">
        <f aca="false">E1326*(1-(Pressupostos!$C$191))</f>
        <v>5.085</v>
      </c>
      <c r="F1327" s="68" t="n">
        <f aca="false">F1326*(1-(Pressupostos!$C$191))</f>
        <v>5.085</v>
      </c>
      <c r="G1327" s="68" t="n">
        <f aca="false">G1326*(1-(Pressupostos!$C$191))</f>
        <v>5.085</v>
      </c>
      <c r="H1327" s="2" t="s">
        <v>1193</v>
      </c>
    </row>
    <row r="1328" customFormat="false" ht="15" hidden="false" customHeight="false" outlineLevel="1" collapsed="false">
      <c r="A1328" s="7" t="s">
        <v>144</v>
      </c>
      <c r="B1328" s="8" t="s">
        <v>64</v>
      </c>
      <c r="C1328" s="67" t="n">
        <f aca="false">Pressupostos!$C$38</f>
        <v>0.55</v>
      </c>
      <c r="D1328" s="67" t="n">
        <f aca="false">Pressupostos!$C$38</f>
        <v>0.55</v>
      </c>
      <c r="E1328" s="67" t="n">
        <f aca="false">Pressupostos!$C$38</f>
        <v>0.55</v>
      </c>
      <c r="F1328" s="67" t="n">
        <f aca="false">Pressupostos!$C$38</f>
        <v>0.55</v>
      </c>
      <c r="G1328" s="67" t="n">
        <f aca="false">Pressupostos!$C$38</f>
        <v>0.55</v>
      </c>
      <c r="H1328" s="2" t="s">
        <v>1194</v>
      </c>
    </row>
    <row r="1329" customFormat="false" ht="15" hidden="false" customHeight="false" outlineLevel="1" collapsed="false">
      <c r="A1329" s="7" t="s">
        <v>215</v>
      </c>
      <c r="B1329" s="8" t="s">
        <v>64</v>
      </c>
      <c r="C1329" s="67" t="n">
        <f aca="false">Pressupostos!$C$238</f>
        <v>0.3</v>
      </c>
      <c r="D1329" s="67" t="n">
        <f aca="false">Pressupostos!$D$238</f>
        <v>0.3</v>
      </c>
      <c r="E1329" s="67" t="n">
        <f aca="false">Pressupostos!$E$238</f>
        <v>0.28</v>
      </c>
      <c r="F1329" s="67" t="n">
        <f aca="false">Pressupostos!$F$238</f>
        <v>0.27</v>
      </c>
      <c r="G1329" s="67" t="n">
        <f aca="false">Pressupostos!$G$238</f>
        <v>0.27</v>
      </c>
      <c r="H1329" s="2" t="s">
        <v>1195</v>
      </c>
    </row>
    <row r="1330" customFormat="false" ht="15" hidden="false" customHeight="false" outlineLevel="1" collapsed="false">
      <c r="A1330" s="7" t="s">
        <v>117</v>
      </c>
      <c r="B1330" s="8" t="s">
        <v>64</v>
      </c>
      <c r="C1330" s="67" t="n">
        <f aca="false">Pressupostos!$C$39</f>
        <v>0.06</v>
      </c>
      <c r="D1330" s="67" t="n">
        <f aca="false">Pressupostos!$C$39</f>
        <v>0.06</v>
      </c>
      <c r="E1330" s="67" t="n">
        <f aca="false">Pressupostos!$C$39</f>
        <v>0.06</v>
      </c>
      <c r="F1330" s="67" t="n">
        <f aca="false">Pressupostos!$C$39</f>
        <v>0.06</v>
      </c>
      <c r="G1330" s="67" t="n">
        <f aca="false">Pressupostos!$C$39</f>
        <v>0.06</v>
      </c>
      <c r="H1330" s="2" t="s">
        <v>1196</v>
      </c>
    </row>
    <row r="1331" customFormat="false" ht="15" hidden="false" customHeight="false" outlineLevel="1" collapsed="false">
      <c r="A1331" s="7" t="s">
        <v>91</v>
      </c>
      <c r="B1331" s="8" t="s">
        <v>79</v>
      </c>
      <c r="C1331" s="69" t="n">
        <f aca="false">Pressupostos!$C$244</f>
        <v>180</v>
      </c>
      <c r="D1331" s="69" t="n">
        <f aca="false">Pressupostos!$D$244</f>
        <v>180</v>
      </c>
      <c r="E1331" s="69" t="n">
        <f aca="false">Pressupostos!$E$244</f>
        <v>45</v>
      </c>
      <c r="F1331" s="69" t="n">
        <f aca="false">Pressupostos!$F$244</f>
        <v>45</v>
      </c>
      <c r="G1331" s="69" t="n">
        <f aca="false">Pressupostos!$G$244</f>
        <v>45</v>
      </c>
      <c r="H1331" s="2" t="s">
        <v>1197</v>
      </c>
    </row>
    <row r="1332" customFormat="false" ht="15" hidden="false" customHeight="false" outlineLevel="1" collapsed="false">
      <c r="A1332" s="7" t="s">
        <v>78</v>
      </c>
      <c r="B1332" s="8" t="s">
        <v>79</v>
      </c>
      <c r="C1332" s="69" t="n">
        <f aca="false">Pressupostos!$D$17</f>
        <v>35</v>
      </c>
      <c r="D1332" s="69" t="n">
        <f aca="false">Pressupostos!$D$17</f>
        <v>35</v>
      </c>
      <c r="E1332" s="69" t="n">
        <f aca="false">Pressupostos!$D$17</f>
        <v>35</v>
      </c>
      <c r="F1332" s="69" t="n">
        <f aca="false">Pressupostos!$D$17</f>
        <v>35</v>
      </c>
      <c r="G1332" s="69" t="n">
        <f aca="false">Pressupostos!$D$17</f>
        <v>35</v>
      </c>
      <c r="H1332" s="2" t="s">
        <v>1198</v>
      </c>
    </row>
    <row r="1333" customFormat="false" ht="15" hidden="false" customHeight="false" outlineLevel="1" collapsed="false">
      <c r="A1333" s="7" t="s">
        <v>490</v>
      </c>
      <c r="B1333" s="8" t="s">
        <v>64</v>
      </c>
      <c r="C1333" s="63" t="n">
        <f aca="false">Pressupostos!$C$66*C1331/30/1000</f>
        <v>0.024</v>
      </c>
      <c r="D1333" s="63" t="n">
        <f aca="false">Pressupostos!$C$66*D1331/30/1000</f>
        <v>0.024</v>
      </c>
      <c r="E1333" s="63" t="n">
        <f aca="false">Pressupostos!$C$66*E1331/30/1000</f>
        <v>0.006</v>
      </c>
      <c r="F1333" s="63" t="n">
        <f aca="false">Pressupostos!$C$66*F1331/30/1000</f>
        <v>0.006</v>
      </c>
      <c r="G1333" s="63" t="n">
        <f aca="false">Pressupostos!$C$66*G1331/30/1000</f>
        <v>0.006</v>
      </c>
      <c r="H1333" s="2" t="s">
        <v>1199</v>
      </c>
    </row>
    <row r="1334" customFormat="false" ht="15" hidden="false" customHeight="false" outlineLevel="1" collapsed="false">
      <c r="A1334" s="7" t="s">
        <v>165</v>
      </c>
      <c r="B1334" s="8" t="s">
        <v>64</v>
      </c>
      <c r="C1334" s="63" t="n">
        <f aca="false">C1325*Pressupostos!$C$67*C1331/365</f>
        <v>0.00355068493150685</v>
      </c>
      <c r="D1334" s="63" t="n">
        <f aca="false">D1325*Pressupostos!$C$67*D1331/365</f>
        <v>0.00355068493150685</v>
      </c>
      <c r="E1334" s="63" t="n">
        <f aca="false">E1325*Pressupostos!$C$67*E1331/365</f>
        <v>0.000887671232876712</v>
      </c>
      <c r="F1334" s="63" t="n">
        <f aca="false">F1325*Pressupostos!$C$67*F1331/365</f>
        <v>0.000887671232876712</v>
      </c>
      <c r="G1334" s="63" t="n">
        <f aca="false">G1325*Pressupostos!$C$67*G1331/365</f>
        <v>0.000887671232876712</v>
      </c>
      <c r="H1334" s="2" t="s">
        <v>1200</v>
      </c>
    </row>
    <row r="1335" customFormat="false" ht="15" hidden="false" customHeight="false" outlineLevel="1" collapsed="false">
      <c r="A1335" s="7" t="s">
        <v>672</v>
      </c>
      <c r="B1335" s="8" t="s">
        <v>64</v>
      </c>
      <c r="C1335" s="63" t="n">
        <f aca="false">Pressupostos!$C$41*Pressupostos!$C$68/(Pressupostos!$C$40*1000)</f>
        <v>0.03</v>
      </c>
      <c r="D1335" s="63" t="n">
        <f aca="false">Pressupostos!$C$41*Pressupostos!$C$68/(Pressupostos!$C$40*1000)</f>
        <v>0.03</v>
      </c>
      <c r="E1335" s="63" t="n">
        <f aca="false">Pressupostos!$C$41*Pressupostos!$C$68/(Pressupostos!$C$40*1000)</f>
        <v>0.03</v>
      </c>
      <c r="F1335" s="63" t="n">
        <f aca="false">Pressupostos!$C$41*Pressupostos!$C$68/(Pressupostos!$C$40*1000)</f>
        <v>0.03</v>
      </c>
      <c r="G1335" s="63" t="n">
        <f aca="false">Pressupostos!$C$41*Pressupostos!$C$68/(Pressupostos!$C$40*1000)</f>
        <v>0.03</v>
      </c>
      <c r="H1335" s="2" t="s">
        <v>1201</v>
      </c>
    </row>
    <row r="1336" customFormat="false" ht="15" hidden="false" customHeight="false" outlineLevel="1" collapsed="false">
      <c r="A1336" s="7" t="s">
        <v>492</v>
      </c>
      <c r="B1336" s="8" t="s">
        <v>64</v>
      </c>
      <c r="C1336" s="63" t="n">
        <f aca="false">Pressupostos!$C$69*C1325</f>
        <v>0.018</v>
      </c>
      <c r="D1336" s="63" t="n">
        <f aca="false">Pressupostos!$C$69*D1325</f>
        <v>0.018</v>
      </c>
      <c r="E1336" s="63" t="n">
        <f aca="false">Pressupostos!$C$69*E1325</f>
        <v>0.018</v>
      </c>
      <c r="F1336" s="63" t="n">
        <f aca="false">Pressupostos!$C$69*F1325</f>
        <v>0.018</v>
      </c>
      <c r="G1336" s="63" t="n">
        <f aca="false">Pressupostos!$C$69*G1325</f>
        <v>0.018</v>
      </c>
      <c r="H1336" s="2" t="s">
        <v>1202</v>
      </c>
    </row>
    <row r="1337" customFormat="false" ht="15" hidden="false" customHeight="false" outlineLevel="1" collapsed="false">
      <c r="A1337" s="7" t="s">
        <v>493</v>
      </c>
      <c r="B1337" s="8" t="s">
        <v>64</v>
      </c>
      <c r="C1337" s="63" t="n">
        <f aca="false">Pressupostos!$C$70*Pressupostos!$C$71*C1331/90</f>
        <v>0.018</v>
      </c>
      <c r="D1337" s="63" t="n">
        <f aca="false">Pressupostos!$C$70*Pressupostos!$C$71*D1331/90</f>
        <v>0.018</v>
      </c>
      <c r="E1337" s="63" t="n">
        <f aca="false">Pressupostos!$C$70*Pressupostos!$C$71*E1331/90</f>
        <v>0.0045</v>
      </c>
      <c r="F1337" s="63" t="n">
        <f aca="false">Pressupostos!$C$70*Pressupostos!$C$71*F1331/90</f>
        <v>0.0045</v>
      </c>
      <c r="G1337" s="63" t="n">
        <f aca="false">Pressupostos!$C$70*Pressupostos!$C$71*G1331/90</f>
        <v>0.0045</v>
      </c>
      <c r="H1337" s="2" t="s">
        <v>1203</v>
      </c>
    </row>
    <row r="1338" customFormat="false" ht="15" hidden="false" customHeight="false" outlineLevel="1" collapsed="false">
      <c r="A1338" s="7" t="s">
        <v>673</v>
      </c>
      <c r="B1338" s="8" t="s">
        <v>64</v>
      </c>
      <c r="C1338" s="63" t="n">
        <f aca="false">Pressupostos!$C$42/(Pressupostos!$C$40*1000)</f>
        <v>0.1</v>
      </c>
      <c r="D1338" s="63" t="n">
        <f aca="false">Pressupostos!$C$42/(Pressupostos!$C$40*1000)</f>
        <v>0.1</v>
      </c>
      <c r="E1338" s="63" t="n">
        <f aca="false">Pressupostos!$C$42/(Pressupostos!$C$40*1000)</f>
        <v>0.1</v>
      </c>
      <c r="F1338" s="63" t="n">
        <f aca="false">Pressupostos!$C$42/(Pressupostos!$C$40*1000)</f>
        <v>0.1</v>
      </c>
      <c r="G1338" s="63" t="n">
        <f aca="false">Pressupostos!$C$42/(Pressupostos!$C$40*1000)</f>
        <v>0.1</v>
      </c>
      <c r="H1338" s="2" t="s">
        <v>1204</v>
      </c>
    </row>
    <row r="1339" customFormat="false" ht="15" hidden="false" customHeight="false" outlineLevel="1" collapsed="false">
      <c r="A1339" s="7" t="s">
        <v>139</v>
      </c>
      <c r="B1339" s="8" t="s">
        <v>64</v>
      </c>
      <c r="C1339" s="67" t="n">
        <f aca="false">Pressupostos!$C$43</f>
        <v>0.01</v>
      </c>
      <c r="D1339" s="67" t="n">
        <f aca="false">Pressupostos!$C$43</f>
        <v>0.01</v>
      </c>
      <c r="E1339" s="67" t="n">
        <f aca="false">Pressupostos!$C$43</f>
        <v>0.01</v>
      </c>
      <c r="F1339" s="67" t="n">
        <f aca="false">Pressupostos!$C$43</f>
        <v>0.01</v>
      </c>
      <c r="G1339" s="67" t="n">
        <f aca="false">Pressupostos!$C$43</f>
        <v>0.01</v>
      </c>
      <c r="H1339" s="2" t="s">
        <v>1205</v>
      </c>
    </row>
    <row r="1340" customFormat="false" ht="15" hidden="false" customHeight="false" outlineLevel="1" collapsed="false">
      <c r="A1340" s="7" t="s">
        <v>81</v>
      </c>
      <c r="B1340" s="8" t="s">
        <v>64</v>
      </c>
      <c r="C1340" s="63" t="n">
        <f aca="false">Pressupostos!$D$18*C1327</f>
        <v>0.03051</v>
      </c>
      <c r="D1340" s="63" t="n">
        <f aca="false">Pressupostos!$D$18*D1327</f>
        <v>0.03051</v>
      </c>
      <c r="E1340" s="63" t="n">
        <f aca="false">Pressupostos!$D$18*E1327</f>
        <v>0.03051</v>
      </c>
      <c r="F1340" s="63" t="n">
        <f aca="false">Pressupostos!$D$18*F1327</f>
        <v>0.03051</v>
      </c>
      <c r="G1340" s="63" t="n">
        <f aca="false">Pressupostos!$D$18*G1327</f>
        <v>0.03051</v>
      </c>
      <c r="H1340" s="2" t="s">
        <v>1206</v>
      </c>
    </row>
    <row r="1341" customFormat="false" ht="15" hidden="false" customHeight="false" outlineLevel="1" collapsed="false">
      <c r="A1341" s="7" t="s">
        <v>674</v>
      </c>
      <c r="B1341" s="8" t="s">
        <v>64</v>
      </c>
      <c r="C1341" s="63" t="n">
        <f aca="false">Pressupostos!$C$73*C1327</f>
        <v>0</v>
      </c>
      <c r="D1341" s="63" t="n">
        <f aca="false">Pressupostos!$C$73*D1327</f>
        <v>0</v>
      </c>
      <c r="E1341" s="63" t="n">
        <f aca="false">Pressupostos!$C$73*E1327</f>
        <v>0</v>
      </c>
      <c r="F1341" s="63" t="n">
        <f aca="false">Pressupostos!$C$73*F1327</f>
        <v>0</v>
      </c>
      <c r="G1341" s="63" t="n">
        <f aca="false">Pressupostos!$C$73*G1327</f>
        <v>0</v>
      </c>
      <c r="H1341" s="2" t="s">
        <v>1207</v>
      </c>
    </row>
    <row r="1342" customFormat="false" ht="15" hidden="false" customHeight="false" outlineLevel="1" collapsed="false">
      <c r="A1342" s="7" t="s">
        <v>675</v>
      </c>
      <c r="B1342" s="8" t="s">
        <v>64</v>
      </c>
      <c r="C1342" s="63" t="n">
        <f aca="false">Pressupostos!$C$288*(C1325+C1328)*(C1331+C1332-Pressupostos!$C$72)/365*Pressupostos!$C$282/Pressupostos!$D$31</f>
        <v>0</v>
      </c>
      <c r="D1342" s="63" t="n">
        <f aca="false">Pressupostos!$D$288*(D1325+D1328)*(D1331+D1332-Pressupostos!$C$72)/365*Pressupostos!$D$282/Pressupostos!$D$31</f>
        <v>0.189308219178082</v>
      </c>
      <c r="E1342" s="63" t="n">
        <f aca="false">Pressupostos!$E$288*(E1325+E1328)*(E1331+E1332-Pressupostos!$C$72)/365*Pressupostos!$E$282/Pressupostos!$D$31</f>
        <v>0.0479666095890411</v>
      </c>
      <c r="F1342" s="63" t="n">
        <f aca="false">Pressupostos!$F$288*(F1325+F1328)*(F1331+F1332-Pressupostos!$C$72)/365*Pressupostos!$F$282/Pressupostos!$D$31</f>
        <v>0.0447688356164384</v>
      </c>
      <c r="G1342" s="63" t="n">
        <f aca="false">Pressupostos!$G$288*(G1325+G1328)*(G1331+G1332-Pressupostos!$C$72)/365*Pressupostos!$G$282/Pressupostos!$D$31</f>
        <v>0.0447688356164384</v>
      </c>
      <c r="H1342" s="2" t="s">
        <v>1208</v>
      </c>
    </row>
    <row r="1343" customFormat="false" ht="15" hidden="false" customHeight="false" outlineLevel="1" collapsed="false">
      <c r="A1343" s="7" t="s">
        <v>676</v>
      </c>
      <c r="B1343" s="8" t="s">
        <v>64</v>
      </c>
      <c r="C1343" s="63" t="n">
        <f aca="false">C1325+C1328+C1329+C1330+C1333+C1334+C1335+C1336+C1337+C1338+C1339+C1340+C1341+C1342</f>
        <v>4.74406068493151</v>
      </c>
      <c r="D1343" s="63" t="n">
        <f aca="false">D1325+D1328+D1329+D1330+D1333+D1334+D1335+D1336+D1337+D1338+D1339+D1340+D1341+D1342</f>
        <v>4.93336890410959</v>
      </c>
      <c r="E1343" s="63" t="n">
        <f aca="false">E1325+E1328+E1329+E1330+E1333+E1334+E1335+E1336+E1337+E1338+E1339+E1340+E1341+E1342</f>
        <v>4.73786428082192</v>
      </c>
      <c r="F1343" s="63" t="n">
        <f aca="false">F1325+F1328+F1329+F1330+F1333+F1334+F1335+F1336+F1337+F1338+F1339+F1340+F1341+F1342</f>
        <v>4.72466650684931</v>
      </c>
      <c r="G1343" s="63" t="n">
        <f aca="false">G1325+G1328+G1329+G1330+G1333+G1334+G1335+G1336+G1337+G1338+G1339+G1340+G1341+G1342</f>
        <v>4.72466650684931</v>
      </c>
      <c r="H1343" s="2" t="s">
        <v>1209</v>
      </c>
    </row>
    <row r="1344" customFormat="false" ht="15" hidden="false" customHeight="false" outlineLevel="1" collapsed="false">
      <c r="A1344" s="56" t="s">
        <v>677</v>
      </c>
      <c r="B1344" s="57" t="s">
        <v>64</v>
      </c>
      <c r="C1344" s="68" t="n">
        <f aca="false">C1327-C1343</f>
        <v>0.340939315068495</v>
      </c>
      <c r="D1344" s="68" t="n">
        <f aca="false">D1327-D1343</f>
        <v>0.151631095890413</v>
      </c>
      <c r="E1344" s="68" t="n">
        <f aca="false">E1327-E1343</f>
        <v>0.347135719178083</v>
      </c>
      <c r="F1344" s="68" t="n">
        <f aca="false">F1327-F1343</f>
        <v>0.360333493150686</v>
      </c>
      <c r="G1344" s="68" t="n">
        <f aca="false">G1327-G1343</f>
        <v>0.360333493150686</v>
      </c>
      <c r="H1344" s="2" t="s">
        <v>1210</v>
      </c>
    </row>
    <row r="1345" customFormat="false" ht="15" hidden="false" customHeight="false" outlineLevel="1" collapsed="false">
      <c r="A1345" s="7" t="s">
        <v>678</v>
      </c>
      <c r="B1345" s="8" t="s">
        <v>76</v>
      </c>
      <c r="C1345" s="59" t="n">
        <f aca="false">IF(C1327&gt;0,C1344/C1327,0)</f>
        <v>0.067048046227826</v>
      </c>
      <c r="D1345" s="59" t="n">
        <f aca="false">IF(D1327&gt;0,D1344/D1327,0)</f>
        <v>0.0298192912272199</v>
      </c>
      <c r="E1345" s="59" t="n">
        <f aca="false">IF(E1327&gt;0,E1344/E1327,0)</f>
        <v>0.0682666114411176</v>
      </c>
      <c r="F1345" s="59" t="n">
        <f aca="false">IF(F1327&gt;0,F1344/F1327,0)</f>
        <v>0.0708620438841074</v>
      </c>
      <c r="G1345" s="59" t="n">
        <f aca="false">IF(G1327&gt;0,G1344/G1327,0)</f>
        <v>0.0708620438841074</v>
      </c>
      <c r="H1345" s="2" t="s">
        <v>1211</v>
      </c>
    </row>
    <row r="1346" customFormat="false" ht="15" hidden="false" customHeight="false" outlineLevel="1" collapsed="false">
      <c r="A1346" s="7" t="s">
        <v>679</v>
      </c>
      <c r="B1346" s="8" t="s">
        <v>64</v>
      </c>
      <c r="C1346" s="63" t="n">
        <f aca="false">(C1325+C1328)*(C1331-Pressupostos!$C$72)/365+C1327*C1332/365</f>
        <v>2.19308219178082</v>
      </c>
      <c r="D1346" s="63" t="n">
        <f aca="false">(D1325+D1328)*(D1331-Pressupostos!$C$72)/365+D1327*D1332/365</f>
        <v>2.19308219178082</v>
      </c>
      <c r="E1346" s="63" t="n">
        <f aca="false">(E1325+E1328)*(E1331-Pressupostos!$C$72)/365+E1327*E1332/365</f>
        <v>0.658150684931507</v>
      </c>
      <c r="F1346" s="63" t="n">
        <f aca="false">(F1325+F1328)*(F1331-Pressupostos!$C$72)/365+F1327*F1332/365</f>
        <v>0.658150684931507</v>
      </c>
      <c r="G1346" s="63" t="n">
        <f aca="false">(G1325+G1328)*(G1331-Pressupostos!$C$72)/365+G1327*G1332/365</f>
        <v>0.658150684931507</v>
      </c>
      <c r="H1346" s="2" t="s">
        <v>1212</v>
      </c>
    </row>
    <row r="1347" customFormat="false" ht="15" hidden="false" customHeight="false" outlineLevel="0" collapsed="false">
      <c r="A1347" s="3" t="s">
        <v>1213</v>
      </c>
      <c r="B1347" s="4"/>
      <c r="C1347" s="4"/>
      <c r="D1347" s="4"/>
      <c r="E1347" s="4"/>
      <c r="F1347" s="4"/>
      <c r="G1347" s="4"/>
      <c r="H1347" s="4"/>
    </row>
    <row r="1348" customFormat="false" ht="15" hidden="false" customHeight="false" outlineLevel="1" collapsed="false">
      <c r="A1348" s="7" t="s">
        <v>669</v>
      </c>
      <c r="B1348" s="8" t="s">
        <v>64</v>
      </c>
      <c r="C1348" s="63" t="n">
        <f aca="false">Pressupostos!$D$10+Pressupostos!$D$12</f>
        <v>3.6</v>
      </c>
      <c r="D1348" s="63" t="n">
        <f aca="false">Pressupostos!$D$10+Pressupostos!$D$12</f>
        <v>3.6</v>
      </c>
      <c r="E1348" s="63" t="n">
        <f aca="false">Pressupostos!$D$10+Pressupostos!$D$12</f>
        <v>3.6</v>
      </c>
      <c r="F1348" s="63" t="n">
        <f aca="false">Pressupostos!$D$10+Pressupostos!$D$12</f>
        <v>3.6</v>
      </c>
      <c r="G1348" s="63" t="n">
        <f aca="false">Pressupostos!$D$10+Pressupostos!$D$12</f>
        <v>3.6</v>
      </c>
      <c r="H1348" s="2" t="s">
        <v>1214</v>
      </c>
    </row>
    <row r="1349" customFormat="false" ht="15" hidden="false" customHeight="false" outlineLevel="1" collapsed="false">
      <c r="A1349" s="7" t="s">
        <v>670</v>
      </c>
      <c r="B1349" s="8" t="s">
        <v>64</v>
      </c>
      <c r="C1349" s="63" t="n">
        <f aca="false">Pressupostos!$D$20+Pressupostos!$D$21</f>
        <v>4.35</v>
      </c>
      <c r="D1349" s="63" t="n">
        <f aca="false">Pressupostos!$D$20+Pressupostos!$D$21</f>
        <v>4.35</v>
      </c>
      <c r="E1349" s="63" t="n">
        <f aca="false">Pressupostos!$D$20+Pressupostos!$D$21</f>
        <v>4.35</v>
      </c>
      <c r="F1349" s="63" t="n">
        <f aca="false">Pressupostos!$D$20+Pressupostos!$D$21</f>
        <v>4.35</v>
      </c>
      <c r="G1349" s="63" t="n">
        <f aca="false">Pressupostos!$D$20+Pressupostos!$D$21</f>
        <v>4.35</v>
      </c>
      <c r="H1349" s="2" t="s">
        <v>1215</v>
      </c>
    </row>
    <row r="1350" customFormat="false" ht="15" hidden="false" customHeight="false" outlineLevel="1" collapsed="false">
      <c r="A1350" s="56" t="s">
        <v>671</v>
      </c>
      <c r="B1350" s="57" t="s">
        <v>64</v>
      </c>
      <c r="C1350" s="68" t="n">
        <f aca="false">C1349*(1-Pressupostos!$D$22)</f>
        <v>4.35</v>
      </c>
      <c r="D1350" s="68" t="n">
        <f aca="false">D1349*(1-Pressupostos!$D$22)</f>
        <v>4.35</v>
      </c>
      <c r="E1350" s="68" t="n">
        <f aca="false">E1349*(1-Pressupostos!$D$22)</f>
        <v>4.35</v>
      </c>
      <c r="F1350" s="68" t="n">
        <f aca="false">F1349*(1-Pressupostos!$D$22)</f>
        <v>4.35</v>
      </c>
      <c r="G1350" s="68" t="n">
        <f aca="false">G1349*(1-Pressupostos!$D$22)</f>
        <v>4.35</v>
      </c>
      <c r="H1350" s="2" t="s">
        <v>1216</v>
      </c>
    </row>
    <row r="1351" customFormat="false" ht="15" hidden="false" customHeight="false" outlineLevel="1" collapsed="false">
      <c r="A1351" s="7" t="s">
        <v>144</v>
      </c>
      <c r="B1351" s="8" t="s">
        <v>64</v>
      </c>
      <c r="C1351" s="67" t="n">
        <f aca="false">Pressupostos!$C$45</f>
        <v>0.45</v>
      </c>
      <c r="D1351" s="67" t="n">
        <f aca="false">Pressupostos!$C$45</f>
        <v>0.45</v>
      </c>
      <c r="E1351" s="67" t="n">
        <f aca="false">Pressupostos!$C$45</f>
        <v>0.45</v>
      </c>
      <c r="F1351" s="67" t="n">
        <f aca="false">Pressupostos!$C$45</f>
        <v>0.45</v>
      </c>
      <c r="G1351" s="67" t="n">
        <f aca="false">Pressupostos!$C$45</f>
        <v>0.45</v>
      </c>
      <c r="H1351" s="2" t="s">
        <v>1217</v>
      </c>
    </row>
    <row r="1352" customFormat="false" ht="15" hidden="false" customHeight="false" outlineLevel="1" collapsed="false">
      <c r="A1352" s="7" t="s">
        <v>215</v>
      </c>
      <c r="B1352" s="8" t="s">
        <v>64</v>
      </c>
      <c r="C1352" s="67" t="n">
        <f aca="false">Pressupostos!$C$250</f>
        <v>0.1</v>
      </c>
      <c r="D1352" s="67" t="n">
        <f aca="false">Pressupostos!$D$250</f>
        <v>0.1</v>
      </c>
      <c r="E1352" s="67" t="n">
        <f aca="false">Pressupostos!$E$250</f>
        <v>0.09</v>
      </c>
      <c r="F1352" s="67" t="n">
        <f aca="false">Pressupostos!$F$250</f>
        <v>0.09</v>
      </c>
      <c r="G1352" s="67" t="n">
        <f aca="false">Pressupostos!$G$250</f>
        <v>0.09</v>
      </c>
      <c r="H1352" s="2" t="s">
        <v>1218</v>
      </c>
    </row>
    <row r="1353" customFormat="false" ht="15" hidden="false" customHeight="false" outlineLevel="1" collapsed="false">
      <c r="A1353" s="7" t="s">
        <v>117</v>
      </c>
      <c r="B1353" s="8" t="s">
        <v>64</v>
      </c>
      <c r="C1353" s="67" t="n">
        <f aca="false">Pressupostos!$C$46</f>
        <v>0</v>
      </c>
      <c r="D1353" s="67" t="n">
        <f aca="false">Pressupostos!$C$46</f>
        <v>0</v>
      </c>
      <c r="E1353" s="67" t="n">
        <f aca="false">Pressupostos!$C$46</f>
        <v>0</v>
      </c>
      <c r="F1353" s="67" t="n">
        <f aca="false">Pressupostos!$C$46</f>
        <v>0</v>
      </c>
      <c r="G1353" s="67" t="n">
        <f aca="false">Pressupostos!$C$46</f>
        <v>0</v>
      </c>
      <c r="H1353" s="2" t="s">
        <v>1219</v>
      </c>
    </row>
    <row r="1354" customFormat="false" ht="15" hidden="false" customHeight="false" outlineLevel="1" collapsed="false">
      <c r="A1354" s="7" t="s">
        <v>91</v>
      </c>
      <c r="B1354" s="8" t="s">
        <v>79</v>
      </c>
      <c r="C1354" s="69" t="n">
        <f aca="false">Pressupostos!$D$23</f>
        <v>30</v>
      </c>
      <c r="D1354" s="69" t="n">
        <f aca="false">Pressupostos!$D$23</f>
        <v>30</v>
      </c>
      <c r="E1354" s="69" t="n">
        <f aca="false">Pressupostos!$D$23</f>
        <v>30</v>
      </c>
      <c r="F1354" s="69" t="n">
        <f aca="false">Pressupostos!$D$23</f>
        <v>30</v>
      </c>
      <c r="G1354" s="69" t="n">
        <f aca="false">Pressupostos!$D$23</f>
        <v>30</v>
      </c>
      <c r="H1354" s="2" t="s">
        <v>1220</v>
      </c>
    </row>
    <row r="1355" customFormat="false" ht="15" hidden="false" customHeight="false" outlineLevel="1" collapsed="false">
      <c r="A1355" s="7" t="s">
        <v>78</v>
      </c>
      <c r="B1355" s="8" t="s">
        <v>79</v>
      </c>
      <c r="C1355" s="69" t="n">
        <f aca="false">Pressupostos!$D$24</f>
        <v>45</v>
      </c>
      <c r="D1355" s="69" t="n">
        <f aca="false">Pressupostos!$D$24</f>
        <v>45</v>
      </c>
      <c r="E1355" s="69" t="n">
        <f aca="false">Pressupostos!$D$24</f>
        <v>45</v>
      </c>
      <c r="F1355" s="69" t="n">
        <f aca="false">Pressupostos!$D$24</f>
        <v>45</v>
      </c>
      <c r="G1355" s="69" t="n">
        <f aca="false">Pressupostos!$D$24</f>
        <v>45</v>
      </c>
      <c r="H1355" s="2" t="s">
        <v>1221</v>
      </c>
    </row>
    <row r="1356" customFormat="false" ht="15" hidden="false" customHeight="false" outlineLevel="1" collapsed="false">
      <c r="A1356" s="7" t="s">
        <v>490</v>
      </c>
      <c r="B1356" s="8" t="s">
        <v>64</v>
      </c>
      <c r="C1356" s="63" t="n">
        <f aca="false">Pressupostos!$C$66*C1354/30/1000</f>
        <v>0.004</v>
      </c>
      <c r="D1356" s="63" t="n">
        <f aca="false">Pressupostos!$C$66*D1354/30/1000</f>
        <v>0.004</v>
      </c>
      <c r="E1356" s="63" t="n">
        <f aca="false">Pressupostos!$C$66*E1354/30/1000</f>
        <v>0.004</v>
      </c>
      <c r="F1356" s="63" t="n">
        <f aca="false">Pressupostos!$C$66*F1354/30/1000</f>
        <v>0.004</v>
      </c>
      <c r="G1356" s="63" t="n">
        <f aca="false">Pressupostos!$C$66*G1354/30/1000</f>
        <v>0.004</v>
      </c>
      <c r="H1356" s="2" t="s">
        <v>1222</v>
      </c>
    </row>
    <row r="1357" customFormat="false" ht="15" hidden="false" customHeight="false" outlineLevel="1" collapsed="false">
      <c r="A1357" s="7" t="s">
        <v>165</v>
      </c>
      <c r="B1357" s="8" t="s">
        <v>64</v>
      </c>
      <c r="C1357" s="63" t="n">
        <f aca="false">C1348*Pressupostos!$C$67*C1354/365</f>
        <v>0.000591780821917808</v>
      </c>
      <c r="D1357" s="63" t="n">
        <f aca="false">D1348*Pressupostos!$C$67*D1354/365</f>
        <v>0.000591780821917808</v>
      </c>
      <c r="E1357" s="63" t="n">
        <f aca="false">E1348*Pressupostos!$C$67*E1354/365</f>
        <v>0.000591780821917808</v>
      </c>
      <c r="F1357" s="63" t="n">
        <f aca="false">F1348*Pressupostos!$C$67*F1354/365</f>
        <v>0.000591780821917808</v>
      </c>
      <c r="G1357" s="63" t="n">
        <f aca="false">G1348*Pressupostos!$C$67*G1354/365</f>
        <v>0.000591780821917808</v>
      </c>
      <c r="H1357" s="2" t="s">
        <v>1223</v>
      </c>
    </row>
    <row r="1358" customFormat="false" ht="15" hidden="false" customHeight="false" outlineLevel="1" collapsed="false">
      <c r="A1358" s="7" t="s">
        <v>672</v>
      </c>
      <c r="B1358" s="8" t="s">
        <v>64</v>
      </c>
      <c r="C1358" s="63" t="n">
        <f aca="false">Pressupostos!$C$48*Pressupostos!$C$68/(Pressupostos!$C$47*1000)</f>
        <v>0.02</v>
      </c>
      <c r="D1358" s="63" t="n">
        <f aca="false">Pressupostos!$C$48*Pressupostos!$C$68/(Pressupostos!$C$47*1000)</f>
        <v>0.02</v>
      </c>
      <c r="E1358" s="63" t="n">
        <f aca="false">Pressupostos!$C$48*Pressupostos!$C$68/(Pressupostos!$C$47*1000)</f>
        <v>0.02</v>
      </c>
      <c r="F1358" s="63" t="n">
        <f aca="false">Pressupostos!$C$48*Pressupostos!$C$68/(Pressupostos!$C$47*1000)</f>
        <v>0.02</v>
      </c>
      <c r="G1358" s="63" t="n">
        <f aca="false">Pressupostos!$C$48*Pressupostos!$C$68/(Pressupostos!$C$47*1000)</f>
        <v>0.02</v>
      </c>
      <c r="H1358" s="2" t="s">
        <v>1224</v>
      </c>
    </row>
    <row r="1359" customFormat="false" ht="15" hidden="false" customHeight="false" outlineLevel="1" collapsed="false">
      <c r="A1359" s="7" t="s">
        <v>492</v>
      </c>
      <c r="B1359" s="8" t="s">
        <v>64</v>
      </c>
      <c r="C1359" s="63" t="n">
        <f aca="false">Pressupostos!$C$69*C1348</f>
        <v>0.018</v>
      </c>
      <c r="D1359" s="63" t="n">
        <f aca="false">Pressupostos!$C$69*D1348</f>
        <v>0.018</v>
      </c>
      <c r="E1359" s="63" t="n">
        <f aca="false">Pressupostos!$C$69*E1348</f>
        <v>0.018</v>
      </c>
      <c r="F1359" s="63" t="n">
        <f aca="false">Pressupostos!$C$69*F1348</f>
        <v>0.018</v>
      </c>
      <c r="G1359" s="63" t="n">
        <f aca="false">Pressupostos!$C$69*G1348</f>
        <v>0.018</v>
      </c>
      <c r="H1359" s="2" t="s">
        <v>1225</v>
      </c>
    </row>
    <row r="1360" customFormat="false" ht="15" hidden="false" customHeight="false" outlineLevel="1" collapsed="false">
      <c r="A1360" s="7" t="s">
        <v>493</v>
      </c>
      <c r="B1360" s="8" t="s">
        <v>64</v>
      </c>
      <c r="C1360" s="63" t="n">
        <f aca="false">Pressupostos!$C$70*Pressupostos!$C$71*C1354/90</f>
        <v>0.003</v>
      </c>
      <c r="D1360" s="63" t="n">
        <f aca="false">Pressupostos!$C$70*Pressupostos!$C$71*D1354/90</f>
        <v>0.003</v>
      </c>
      <c r="E1360" s="63" t="n">
        <f aca="false">Pressupostos!$C$70*Pressupostos!$C$71*E1354/90</f>
        <v>0.003</v>
      </c>
      <c r="F1360" s="63" t="n">
        <f aca="false">Pressupostos!$C$70*Pressupostos!$C$71*F1354/90</f>
        <v>0.003</v>
      </c>
      <c r="G1360" s="63" t="n">
        <f aca="false">Pressupostos!$C$70*Pressupostos!$C$71*G1354/90</f>
        <v>0.003</v>
      </c>
      <c r="H1360" s="2" t="s">
        <v>1226</v>
      </c>
    </row>
    <row r="1361" customFormat="false" ht="15" hidden="false" customHeight="false" outlineLevel="1" collapsed="false">
      <c r="A1361" s="7" t="s">
        <v>673</v>
      </c>
      <c r="B1361" s="8" t="s">
        <v>64</v>
      </c>
      <c r="C1361" s="63" t="n">
        <f aca="false">Pressupostos!$C$49/(Pressupostos!$C$47*1000)</f>
        <v>0.04</v>
      </c>
      <c r="D1361" s="63" t="n">
        <f aca="false">Pressupostos!$C$49/(Pressupostos!$C$47*1000)</f>
        <v>0.04</v>
      </c>
      <c r="E1361" s="63" t="n">
        <f aca="false">Pressupostos!$C$49/(Pressupostos!$C$47*1000)</f>
        <v>0.04</v>
      </c>
      <c r="F1361" s="63" t="n">
        <f aca="false">Pressupostos!$C$49/(Pressupostos!$C$47*1000)</f>
        <v>0.04</v>
      </c>
      <c r="G1361" s="63" t="n">
        <f aca="false">Pressupostos!$C$49/(Pressupostos!$C$47*1000)</f>
        <v>0.04</v>
      </c>
      <c r="H1361" s="2" t="s">
        <v>1227</v>
      </c>
    </row>
    <row r="1362" customFormat="false" ht="15" hidden="false" customHeight="false" outlineLevel="1" collapsed="false">
      <c r="A1362" s="7" t="s">
        <v>139</v>
      </c>
      <c r="B1362" s="8" t="s">
        <v>64</v>
      </c>
      <c r="C1362" s="67" t="n">
        <f aca="false">Pressupostos!$C$50</f>
        <v>0.005</v>
      </c>
      <c r="D1362" s="67" t="n">
        <f aca="false">Pressupostos!$C$50</f>
        <v>0.005</v>
      </c>
      <c r="E1362" s="67" t="n">
        <f aca="false">Pressupostos!$C$50</f>
        <v>0.005</v>
      </c>
      <c r="F1362" s="67" t="n">
        <f aca="false">Pressupostos!$C$50</f>
        <v>0.005</v>
      </c>
      <c r="G1362" s="67" t="n">
        <f aca="false">Pressupostos!$C$50</f>
        <v>0.005</v>
      </c>
      <c r="H1362" s="2" t="s">
        <v>1228</v>
      </c>
    </row>
    <row r="1363" customFormat="false" ht="15" hidden="false" customHeight="false" outlineLevel="1" collapsed="false">
      <c r="A1363" s="7" t="s">
        <v>81</v>
      </c>
      <c r="B1363" s="8" t="s">
        <v>64</v>
      </c>
      <c r="C1363" s="63" t="n">
        <f aca="false">Pressupostos!$D$25*C1350</f>
        <v>0.01305</v>
      </c>
      <c r="D1363" s="63" t="n">
        <f aca="false">Pressupostos!$D$25*D1350</f>
        <v>0.01305</v>
      </c>
      <c r="E1363" s="63" t="n">
        <f aca="false">Pressupostos!$D$25*E1350</f>
        <v>0.01305</v>
      </c>
      <c r="F1363" s="63" t="n">
        <f aca="false">Pressupostos!$D$25*F1350</f>
        <v>0.01305</v>
      </c>
      <c r="G1363" s="63" t="n">
        <f aca="false">Pressupostos!$D$25*G1350</f>
        <v>0.01305</v>
      </c>
      <c r="H1363" s="2" t="s">
        <v>1229</v>
      </c>
    </row>
    <row r="1364" customFormat="false" ht="15" hidden="false" customHeight="false" outlineLevel="1" collapsed="false">
      <c r="A1364" s="7" t="s">
        <v>674</v>
      </c>
      <c r="B1364" s="8" t="s">
        <v>64</v>
      </c>
      <c r="C1364" s="63" t="n">
        <f aca="false">Pressupostos!$C$73*C1350</f>
        <v>0</v>
      </c>
      <c r="D1364" s="63" t="n">
        <f aca="false">Pressupostos!$C$73*D1350</f>
        <v>0</v>
      </c>
      <c r="E1364" s="63" t="n">
        <f aca="false">Pressupostos!$C$73*E1350</f>
        <v>0</v>
      </c>
      <c r="F1364" s="63" t="n">
        <f aca="false">Pressupostos!$C$73*F1350</f>
        <v>0</v>
      </c>
      <c r="G1364" s="63" t="n">
        <f aca="false">Pressupostos!$C$73*G1350</f>
        <v>0</v>
      </c>
      <c r="H1364" s="2" t="s">
        <v>1230</v>
      </c>
    </row>
    <row r="1365" customFormat="false" ht="15" hidden="false" customHeight="false" outlineLevel="1" collapsed="false">
      <c r="A1365" s="7" t="s">
        <v>675</v>
      </c>
      <c r="B1365" s="8" t="s">
        <v>64</v>
      </c>
      <c r="C1365" s="63" t="n">
        <f aca="false">Pressupostos!$C$288*(C1348+C1351)*(C1354+C1355-Pressupostos!$C$72)/365*Pressupostos!$C$282/Pressupostos!$D$31</f>
        <v>0</v>
      </c>
      <c r="D1365" s="63" t="n">
        <f aca="false">Pressupostos!$D$288*(D1348+D1351)*(D1354+D1355-Pressupostos!$C$72)/365*Pressupostos!$D$282/Pressupostos!$D$31</f>
        <v>0.0449383561643836</v>
      </c>
      <c r="E1365" s="63" t="n">
        <f aca="false">Pressupostos!$E$288*(E1348+E1351)*(E1354+E1355-Pressupostos!$C$72)/365*Pressupostos!$E$282/Pressupostos!$D$31</f>
        <v>0.0421297089041096</v>
      </c>
      <c r="F1365" s="63" t="n">
        <f aca="false">Pressupostos!$F$288*(F1348+F1351)*(F1354+F1355-Pressupostos!$C$72)/365*Pressupostos!$F$282/Pressupostos!$D$31</f>
        <v>0.0393210616438356</v>
      </c>
      <c r="G1365" s="63" t="n">
        <f aca="false">Pressupostos!$G$288*(G1348+G1351)*(G1354+G1355-Pressupostos!$C$72)/365*Pressupostos!$G$282/Pressupostos!$D$31</f>
        <v>0.0393210616438356</v>
      </c>
      <c r="H1365" s="2" t="s">
        <v>1231</v>
      </c>
    </row>
    <row r="1366" customFormat="false" ht="15" hidden="false" customHeight="false" outlineLevel="1" collapsed="false">
      <c r="A1366" s="7" t="s">
        <v>676</v>
      </c>
      <c r="B1366" s="8" t="s">
        <v>64</v>
      </c>
      <c r="C1366" s="63" t="n">
        <f aca="false">C1348+C1351+C1352+C1353+C1356+C1357+C1358+C1359+C1360+C1361+C1362+C1363+C1364+C1365</f>
        <v>4.25364178082192</v>
      </c>
      <c r="D1366" s="63" t="n">
        <f aca="false">D1348+D1351+D1352+D1353+D1356+D1357+D1358+D1359+D1360+D1361+D1362+D1363+D1364+D1365</f>
        <v>4.2985801369863</v>
      </c>
      <c r="E1366" s="63" t="n">
        <f aca="false">E1348+E1351+E1352+E1353+E1356+E1357+E1358+E1359+E1360+E1361+E1362+E1363+E1364+E1365</f>
        <v>4.28577148972603</v>
      </c>
      <c r="F1366" s="63" t="n">
        <f aca="false">F1348+F1351+F1352+F1353+F1356+F1357+F1358+F1359+F1360+F1361+F1362+F1363+F1364+F1365</f>
        <v>4.28296284246575</v>
      </c>
      <c r="G1366" s="63" t="n">
        <f aca="false">G1348+G1351+G1352+G1353+G1356+G1357+G1358+G1359+G1360+G1361+G1362+G1363+G1364+G1365</f>
        <v>4.28296284246575</v>
      </c>
      <c r="H1366" s="2" t="s">
        <v>1232</v>
      </c>
    </row>
    <row r="1367" customFormat="false" ht="15" hidden="false" customHeight="false" outlineLevel="1" collapsed="false">
      <c r="A1367" s="56" t="s">
        <v>677</v>
      </c>
      <c r="B1367" s="57" t="s">
        <v>64</v>
      </c>
      <c r="C1367" s="68" t="n">
        <f aca="false">C1350-C1366</f>
        <v>0.0963582191780832</v>
      </c>
      <c r="D1367" s="68" t="n">
        <f aca="false">D1350-D1366</f>
        <v>0.0514198630136997</v>
      </c>
      <c r="E1367" s="68" t="n">
        <f aca="false">E1350-E1366</f>
        <v>0.0642285102739733</v>
      </c>
      <c r="F1367" s="68" t="n">
        <f aca="false">F1350-F1366</f>
        <v>0.067037157534247</v>
      </c>
      <c r="G1367" s="68" t="n">
        <f aca="false">G1350-G1366</f>
        <v>0.067037157534247</v>
      </c>
      <c r="H1367" s="2" t="s">
        <v>1233</v>
      </c>
    </row>
    <row r="1368" customFormat="false" ht="15" hidden="false" customHeight="false" outlineLevel="1" collapsed="false">
      <c r="A1368" s="7" t="s">
        <v>678</v>
      </c>
      <c r="B1368" s="8" t="s">
        <v>76</v>
      </c>
      <c r="C1368" s="59" t="n">
        <f aca="false">IF(C1350&gt;0,C1367/C1350,0)</f>
        <v>0.0221513147535823</v>
      </c>
      <c r="D1368" s="59" t="n">
        <f aca="false">IF(D1350&gt;0,D1367/D1350,0)</f>
        <v>0.0118206581640689</v>
      </c>
      <c r="E1368" s="59" t="n">
        <f aca="false">IF(E1350&gt;0,E1367/E1350,0)</f>
        <v>0.014765174775626</v>
      </c>
      <c r="F1368" s="59" t="n">
        <f aca="false">IF(F1350&gt;0,F1367/F1350,0)</f>
        <v>0.0154108408124706</v>
      </c>
      <c r="G1368" s="59" t="n">
        <f aca="false">IF(G1350&gt;0,G1367/G1350,0)</f>
        <v>0.0154108408124706</v>
      </c>
      <c r="H1368" s="2" t="s">
        <v>1234</v>
      </c>
    </row>
    <row r="1369" customFormat="false" ht="15" hidden="false" customHeight="false" outlineLevel="1" collapsed="false">
      <c r="A1369" s="7" t="s">
        <v>679</v>
      </c>
      <c r="B1369" s="8" t="s">
        <v>64</v>
      </c>
      <c r="C1369" s="63" t="n">
        <f aca="false">(C1348+C1351)*(C1354-Pressupostos!$C$72)/365+C1350*C1355/365</f>
        <v>0.536301369863014</v>
      </c>
      <c r="D1369" s="63" t="n">
        <f aca="false">(D1348+D1351)*(D1354-Pressupostos!$C$72)/365+D1350*D1355/365</f>
        <v>0.536301369863014</v>
      </c>
      <c r="E1369" s="63" t="n">
        <f aca="false">(E1348+E1351)*(E1354-Pressupostos!$C$72)/365+E1350*E1355/365</f>
        <v>0.536301369863014</v>
      </c>
      <c r="F1369" s="63" t="n">
        <f aca="false">(F1348+F1351)*(F1354-Pressupostos!$C$72)/365+F1350*F1355/365</f>
        <v>0.536301369863014</v>
      </c>
      <c r="G1369" s="63" t="n">
        <f aca="false">(G1348+G1351)*(G1354-Pressupostos!$C$72)/365+G1350*G1355/365</f>
        <v>0.536301369863014</v>
      </c>
      <c r="H1369" s="2" t="s">
        <v>1235</v>
      </c>
    </row>
    <row r="1370" customFormat="false" ht="15" hidden="false" customHeight="false" outlineLevel="0" collapsed="false">
      <c r="A1370" s="3" t="s">
        <v>1236</v>
      </c>
      <c r="B1370" s="4"/>
      <c r="C1370" s="4"/>
      <c r="D1370" s="4"/>
      <c r="E1370" s="4"/>
      <c r="F1370" s="4"/>
      <c r="G1370" s="4"/>
      <c r="H1370" s="4"/>
    </row>
    <row r="1371" customFormat="false" ht="15" hidden="false" customHeight="false" outlineLevel="1" collapsed="false">
      <c r="A1371" s="7" t="s">
        <v>669</v>
      </c>
      <c r="B1371" s="8" t="s">
        <v>64</v>
      </c>
      <c r="C1371" s="63" t="n">
        <f aca="false">Pressupostos!$D$10+Pressupostos!$D$13</f>
        <v>3.5</v>
      </c>
      <c r="D1371" s="63" t="n">
        <f aca="false">Pressupostos!$D$10+Pressupostos!$D$13</f>
        <v>3.5</v>
      </c>
      <c r="E1371" s="63" t="n">
        <f aca="false">Pressupostos!$D$10+Pressupostos!$D$13</f>
        <v>3.5</v>
      </c>
      <c r="F1371" s="63" t="n">
        <f aca="false">Pressupostos!$D$10+Pressupostos!$D$13</f>
        <v>3.5</v>
      </c>
      <c r="G1371" s="63" t="n">
        <f aca="false">Pressupostos!$D$10+Pressupostos!$D$13</f>
        <v>3.5</v>
      </c>
      <c r="H1371" s="2" t="s">
        <v>1237</v>
      </c>
    </row>
    <row r="1372" customFormat="false" ht="15" hidden="false" customHeight="false" outlineLevel="1" collapsed="false">
      <c r="A1372" s="7" t="s">
        <v>670</v>
      </c>
      <c r="B1372" s="8" t="s">
        <v>64</v>
      </c>
      <c r="C1372" s="63" t="n">
        <f aca="false">Pressupostos!$D$10+Pressupostos!$C$52</f>
        <v>3.65</v>
      </c>
      <c r="D1372" s="63" t="n">
        <f aca="false">Pressupostos!$D$10+Pressupostos!$C$52</f>
        <v>3.65</v>
      </c>
      <c r="E1372" s="63" t="n">
        <f aca="false">Pressupostos!$D$10+Pressupostos!$C$52</f>
        <v>3.65</v>
      </c>
      <c r="F1372" s="63" t="n">
        <f aca="false">Pressupostos!$D$10+Pressupostos!$C$52</f>
        <v>3.65</v>
      </c>
      <c r="G1372" s="63" t="n">
        <f aca="false">Pressupostos!$D$10+Pressupostos!$C$52</f>
        <v>3.65</v>
      </c>
      <c r="H1372" s="2" t="s">
        <v>1238</v>
      </c>
    </row>
    <row r="1373" customFormat="false" ht="15" hidden="false" customHeight="false" outlineLevel="1" collapsed="false">
      <c r="A1373" s="56" t="s">
        <v>671</v>
      </c>
      <c r="B1373" s="57" t="s">
        <v>64</v>
      </c>
      <c r="C1373" s="68" t="n">
        <f aca="false">C1372*(1-Pressupostos!$C$53)</f>
        <v>3.65</v>
      </c>
      <c r="D1373" s="68" t="n">
        <f aca="false">D1372*(1-Pressupostos!$C$53)</f>
        <v>3.65</v>
      </c>
      <c r="E1373" s="68" t="n">
        <f aca="false">E1372*(1-Pressupostos!$C$53)</f>
        <v>3.65</v>
      </c>
      <c r="F1373" s="68" t="n">
        <f aca="false">F1372*(1-Pressupostos!$C$53)</f>
        <v>3.65</v>
      </c>
      <c r="G1373" s="68" t="n">
        <f aca="false">G1372*(1-Pressupostos!$C$53)</f>
        <v>3.65</v>
      </c>
      <c r="H1373" s="2" t="s">
        <v>1239</v>
      </c>
    </row>
    <row r="1374" customFormat="false" ht="15" hidden="false" customHeight="false" outlineLevel="1" collapsed="false">
      <c r="A1374" s="7" t="s">
        <v>144</v>
      </c>
      <c r="B1374" s="8" t="s">
        <v>64</v>
      </c>
      <c r="C1374" s="67" t="n">
        <f aca="false">Pressupostos!$C$54</f>
        <v>0</v>
      </c>
      <c r="D1374" s="67" t="n">
        <f aca="false">Pressupostos!$C$54</f>
        <v>0</v>
      </c>
      <c r="E1374" s="67" t="n">
        <f aca="false">Pressupostos!$C$54</f>
        <v>0</v>
      </c>
      <c r="F1374" s="67" t="n">
        <f aca="false">Pressupostos!$C$54</f>
        <v>0</v>
      </c>
      <c r="G1374" s="67" t="n">
        <f aca="false">Pressupostos!$C$54</f>
        <v>0</v>
      </c>
      <c r="H1374" s="2" t="s">
        <v>1240</v>
      </c>
    </row>
    <row r="1375" customFormat="false" ht="15" hidden="false" customHeight="false" outlineLevel="1" collapsed="false">
      <c r="A1375" s="7" t="s">
        <v>215</v>
      </c>
      <c r="B1375" s="8" t="s">
        <v>64</v>
      </c>
      <c r="C1375" s="67" t="n">
        <f aca="false">Pressupostos!$C$55</f>
        <v>0.04</v>
      </c>
      <c r="D1375" s="67" t="n">
        <f aca="false">Pressupostos!$C$55</f>
        <v>0.04</v>
      </c>
      <c r="E1375" s="67" t="n">
        <f aca="false">Pressupostos!$C$55</f>
        <v>0.04</v>
      </c>
      <c r="F1375" s="67" t="n">
        <f aca="false">Pressupostos!$C$55</f>
        <v>0.04</v>
      </c>
      <c r="G1375" s="67" t="n">
        <f aca="false">Pressupostos!$C$55</f>
        <v>0.04</v>
      </c>
      <c r="H1375" s="2" t="s">
        <v>1241</v>
      </c>
    </row>
    <row r="1376" customFormat="false" ht="15" hidden="false" customHeight="false" outlineLevel="1" collapsed="false">
      <c r="A1376" s="7" t="s">
        <v>117</v>
      </c>
      <c r="B1376" s="8" t="s">
        <v>64</v>
      </c>
      <c r="C1376" s="67" t="n">
        <f aca="false">Pressupostos!$C$56</f>
        <v>0</v>
      </c>
      <c r="D1376" s="67" t="n">
        <f aca="false">Pressupostos!$C$56</f>
        <v>0</v>
      </c>
      <c r="E1376" s="67" t="n">
        <f aca="false">Pressupostos!$C$56</f>
        <v>0</v>
      </c>
      <c r="F1376" s="67" t="n">
        <f aca="false">Pressupostos!$C$56</f>
        <v>0</v>
      </c>
      <c r="G1376" s="67" t="n">
        <f aca="false">Pressupostos!$C$56</f>
        <v>0</v>
      </c>
      <c r="H1376" s="2" t="s">
        <v>1242</v>
      </c>
    </row>
    <row r="1377" customFormat="false" ht="15" hidden="false" customHeight="false" outlineLevel="1" collapsed="false">
      <c r="A1377" s="7" t="s">
        <v>91</v>
      </c>
      <c r="B1377" s="8" t="s">
        <v>79</v>
      </c>
      <c r="C1377" s="69" t="n">
        <f aca="false">Pressupostos!$C$57</f>
        <v>15</v>
      </c>
      <c r="D1377" s="69" t="n">
        <f aca="false">Pressupostos!$C$57</f>
        <v>15</v>
      </c>
      <c r="E1377" s="69" t="n">
        <f aca="false">Pressupostos!$C$57</f>
        <v>15</v>
      </c>
      <c r="F1377" s="69" t="n">
        <f aca="false">Pressupostos!$C$57</f>
        <v>15</v>
      </c>
      <c r="G1377" s="69" t="n">
        <f aca="false">Pressupostos!$C$57</f>
        <v>15</v>
      </c>
      <c r="H1377" s="2" t="s">
        <v>1243</v>
      </c>
    </row>
    <row r="1378" customFormat="false" ht="15" hidden="false" customHeight="false" outlineLevel="1" collapsed="false">
      <c r="A1378" s="7" t="s">
        <v>78</v>
      </c>
      <c r="B1378" s="8" t="s">
        <v>79</v>
      </c>
      <c r="C1378" s="69" t="n">
        <f aca="false">Pressupostos!$C$58</f>
        <v>45</v>
      </c>
      <c r="D1378" s="69" t="n">
        <f aca="false">Pressupostos!$C$58</f>
        <v>45</v>
      </c>
      <c r="E1378" s="69" t="n">
        <f aca="false">Pressupostos!$C$58</f>
        <v>45</v>
      </c>
      <c r="F1378" s="69" t="n">
        <f aca="false">Pressupostos!$C$58</f>
        <v>45</v>
      </c>
      <c r="G1378" s="69" t="n">
        <f aca="false">Pressupostos!$C$58</f>
        <v>45</v>
      </c>
      <c r="H1378" s="2" t="s">
        <v>1244</v>
      </c>
    </row>
    <row r="1379" customFormat="false" ht="15" hidden="false" customHeight="false" outlineLevel="1" collapsed="false">
      <c r="A1379" s="7" t="s">
        <v>490</v>
      </c>
      <c r="B1379" s="8" t="s">
        <v>64</v>
      </c>
      <c r="C1379" s="63" t="n">
        <f aca="false">Pressupostos!$C$66*C1377/30/1000</f>
        <v>0.002</v>
      </c>
      <c r="D1379" s="63" t="n">
        <f aca="false">Pressupostos!$C$66*D1377/30/1000</f>
        <v>0.002</v>
      </c>
      <c r="E1379" s="63" t="n">
        <f aca="false">Pressupostos!$C$66*E1377/30/1000</f>
        <v>0.002</v>
      </c>
      <c r="F1379" s="63" t="n">
        <f aca="false">Pressupostos!$C$66*F1377/30/1000</f>
        <v>0.002</v>
      </c>
      <c r="G1379" s="63" t="n">
        <f aca="false">Pressupostos!$C$66*G1377/30/1000</f>
        <v>0.002</v>
      </c>
      <c r="H1379" s="2" t="s">
        <v>1245</v>
      </c>
    </row>
    <row r="1380" customFormat="false" ht="15" hidden="false" customHeight="false" outlineLevel="1" collapsed="false">
      <c r="A1380" s="7" t="s">
        <v>165</v>
      </c>
      <c r="B1380" s="8" t="s">
        <v>64</v>
      </c>
      <c r="C1380" s="63" t="n">
        <f aca="false">C1371*Pressupostos!$C$67*C1377/365</f>
        <v>0.000287671232876712</v>
      </c>
      <c r="D1380" s="63" t="n">
        <f aca="false">D1371*Pressupostos!$C$67*D1377/365</f>
        <v>0.000287671232876712</v>
      </c>
      <c r="E1380" s="63" t="n">
        <f aca="false">E1371*Pressupostos!$C$67*E1377/365</f>
        <v>0.000287671232876712</v>
      </c>
      <c r="F1380" s="63" t="n">
        <f aca="false">F1371*Pressupostos!$C$67*F1377/365</f>
        <v>0.000287671232876712</v>
      </c>
      <c r="G1380" s="63" t="n">
        <f aca="false">G1371*Pressupostos!$C$67*G1377/365</f>
        <v>0.000287671232876712</v>
      </c>
      <c r="H1380" s="2" t="s">
        <v>1246</v>
      </c>
    </row>
    <row r="1381" customFormat="false" ht="15" hidden="false" customHeight="false" outlineLevel="1" collapsed="false">
      <c r="A1381" s="7" t="s">
        <v>672</v>
      </c>
      <c r="B1381" s="8" t="s">
        <v>64</v>
      </c>
      <c r="C1381" s="63" t="n">
        <f aca="false">Pressupostos!$C$60*Pressupostos!$C$68/(Pressupostos!$C$59*1000)</f>
        <v>0.006</v>
      </c>
      <c r="D1381" s="63" t="n">
        <f aca="false">Pressupostos!$C$60*Pressupostos!$C$68/(Pressupostos!$C$59*1000)</f>
        <v>0.006</v>
      </c>
      <c r="E1381" s="63" t="n">
        <f aca="false">Pressupostos!$C$60*Pressupostos!$C$68/(Pressupostos!$C$59*1000)</f>
        <v>0.006</v>
      </c>
      <c r="F1381" s="63" t="n">
        <f aca="false">Pressupostos!$C$60*Pressupostos!$C$68/(Pressupostos!$C$59*1000)</f>
        <v>0.006</v>
      </c>
      <c r="G1381" s="63" t="n">
        <f aca="false">Pressupostos!$C$60*Pressupostos!$C$68/(Pressupostos!$C$59*1000)</f>
        <v>0.006</v>
      </c>
      <c r="H1381" s="2" t="s">
        <v>1247</v>
      </c>
    </row>
    <row r="1382" customFormat="false" ht="15" hidden="false" customHeight="false" outlineLevel="1" collapsed="false">
      <c r="A1382" s="7" t="s">
        <v>492</v>
      </c>
      <c r="B1382" s="8" t="s">
        <v>64</v>
      </c>
      <c r="C1382" s="63" t="n">
        <f aca="false">Pressupostos!$C$69*C1371</f>
        <v>0.0175</v>
      </c>
      <c r="D1382" s="63" t="n">
        <f aca="false">Pressupostos!$C$69*D1371</f>
        <v>0.0175</v>
      </c>
      <c r="E1382" s="63" t="n">
        <f aca="false">Pressupostos!$C$69*E1371</f>
        <v>0.0175</v>
      </c>
      <c r="F1382" s="63" t="n">
        <f aca="false">Pressupostos!$C$69*F1371</f>
        <v>0.0175</v>
      </c>
      <c r="G1382" s="63" t="n">
        <f aca="false">Pressupostos!$C$69*G1371</f>
        <v>0.0175</v>
      </c>
      <c r="H1382" s="2" t="s">
        <v>1248</v>
      </c>
    </row>
    <row r="1383" customFormat="false" ht="15" hidden="false" customHeight="false" outlineLevel="1" collapsed="false">
      <c r="A1383" s="7" t="s">
        <v>493</v>
      </c>
      <c r="B1383" s="8" t="s">
        <v>64</v>
      </c>
      <c r="C1383" s="63" t="n">
        <f aca="false">Pressupostos!$C$70*Pressupostos!$C$71*C1377/90</f>
        <v>0.0015</v>
      </c>
      <c r="D1383" s="63" t="n">
        <f aca="false">Pressupostos!$C$70*Pressupostos!$C$71*D1377/90</f>
        <v>0.0015</v>
      </c>
      <c r="E1383" s="63" t="n">
        <f aca="false">Pressupostos!$C$70*Pressupostos!$C$71*E1377/90</f>
        <v>0.0015</v>
      </c>
      <c r="F1383" s="63" t="n">
        <f aca="false">Pressupostos!$C$70*Pressupostos!$C$71*F1377/90</f>
        <v>0.0015</v>
      </c>
      <c r="G1383" s="63" t="n">
        <f aca="false">Pressupostos!$C$70*Pressupostos!$C$71*G1377/90</f>
        <v>0.0015</v>
      </c>
      <c r="H1383" s="2" t="s">
        <v>1249</v>
      </c>
    </row>
    <row r="1384" customFormat="false" ht="15" hidden="false" customHeight="false" outlineLevel="1" collapsed="false">
      <c r="A1384" s="7" t="s">
        <v>673</v>
      </c>
      <c r="B1384" s="8" t="s">
        <v>64</v>
      </c>
      <c r="C1384" s="63" t="n">
        <f aca="false">Pressupostos!$C$61/(Pressupostos!$C$59*1000)</f>
        <v>0.012</v>
      </c>
      <c r="D1384" s="63" t="n">
        <f aca="false">Pressupostos!$C$61/(Pressupostos!$C$59*1000)</f>
        <v>0.012</v>
      </c>
      <c r="E1384" s="63" t="n">
        <f aca="false">Pressupostos!$C$61/(Pressupostos!$C$59*1000)</f>
        <v>0.012</v>
      </c>
      <c r="F1384" s="63" t="n">
        <f aca="false">Pressupostos!$C$61/(Pressupostos!$C$59*1000)</f>
        <v>0.012</v>
      </c>
      <c r="G1384" s="63" t="n">
        <f aca="false">Pressupostos!$C$61/(Pressupostos!$C$59*1000)</f>
        <v>0.012</v>
      </c>
      <c r="H1384" s="2" t="s">
        <v>1250</v>
      </c>
    </row>
    <row r="1385" customFormat="false" ht="15" hidden="false" customHeight="false" outlineLevel="1" collapsed="false">
      <c r="A1385" s="7" t="s">
        <v>139</v>
      </c>
      <c r="B1385" s="8" t="s">
        <v>64</v>
      </c>
      <c r="C1385" s="67" t="n">
        <f aca="false">Pressupostos!$C$62</f>
        <v>0.001</v>
      </c>
      <c r="D1385" s="67" t="n">
        <f aca="false">Pressupostos!$C$62</f>
        <v>0.001</v>
      </c>
      <c r="E1385" s="67" t="n">
        <f aca="false">Pressupostos!$C$62</f>
        <v>0.001</v>
      </c>
      <c r="F1385" s="67" t="n">
        <f aca="false">Pressupostos!$C$62</f>
        <v>0.001</v>
      </c>
      <c r="G1385" s="67" t="n">
        <f aca="false">Pressupostos!$C$62</f>
        <v>0.001</v>
      </c>
      <c r="H1385" s="2" t="s">
        <v>1251</v>
      </c>
    </row>
    <row r="1386" customFormat="false" ht="15" hidden="false" customHeight="false" outlineLevel="1" collapsed="false">
      <c r="A1386" s="7" t="s">
        <v>81</v>
      </c>
      <c r="B1386" s="8" t="s">
        <v>64</v>
      </c>
      <c r="C1386" s="63" t="n">
        <f aca="false">Pressupostos!$C$63*C1373</f>
        <v>0.01095</v>
      </c>
      <c r="D1386" s="63" t="n">
        <f aca="false">Pressupostos!$C$63*D1373</f>
        <v>0.01095</v>
      </c>
      <c r="E1386" s="63" t="n">
        <f aca="false">Pressupostos!$C$63*E1373</f>
        <v>0.01095</v>
      </c>
      <c r="F1386" s="63" t="n">
        <f aca="false">Pressupostos!$C$63*F1373</f>
        <v>0.01095</v>
      </c>
      <c r="G1386" s="63" t="n">
        <f aca="false">Pressupostos!$C$63*G1373</f>
        <v>0.01095</v>
      </c>
      <c r="H1386" s="2" t="s">
        <v>1252</v>
      </c>
    </row>
    <row r="1387" customFormat="false" ht="15" hidden="false" customHeight="false" outlineLevel="1" collapsed="false">
      <c r="A1387" s="7" t="s">
        <v>674</v>
      </c>
      <c r="B1387" s="8" t="s">
        <v>64</v>
      </c>
      <c r="C1387" s="63" t="n">
        <f aca="false">Pressupostos!$C$73*C1373</f>
        <v>0</v>
      </c>
      <c r="D1387" s="63" t="n">
        <f aca="false">Pressupostos!$C$73*D1373</f>
        <v>0</v>
      </c>
      <c r="E1387" s="63" t="n">
        <f aca="false">Pressupostos!$C$73*E1373</f>
        <v>0</v>
      </c>
      <c r="F1387" s="63" t="n">
        <f aca="false">Pressupostos!$C$73*F1373</f>
        <v>0</v>
      </c>
      <c r="G1387" s="63" t="n">
        <f aca="false">Pressupostos!$C$73*G1373</f>
        <v>0</v>
      </c>
      <c r="H1387" s="2" t="s">
        <v>1253</v>
      </c>
    </row>
    <row r="1388" customFormat="false" ht="15" hidden="false" customHeight="false" outlineLevel="1" collapsed="false">
      <c r="A1388" s="7" t="s">
        <v>675</v>
      </c>
      <c r="B1388" s="8" t="s">
        <v>64</v>
      </c>
      <c r="C1388" s="63" t="n">
        <f aca="false">Pressupostos!$C$288*(C1371+C1374)*(C1377+C1378-Pressupostos!$C$72)/365*Pressupostos!$C$282/Pressupostos!$D$31</f>
        <v>0</v>
      </c>
      <c r="D1388" s="63" t="n">
        <f aca="false">Pressupostos!$D$288*(D1371+D1374)*(D1377+D1378-Pressupostos!$C$72)/365*Pressupostos!$D$282/Pressupostos!$D$31</f>
        <v>0.0258904109589041</v>
      </c>
      <c r="E1388" s="63" t="n">
        <f aca="false">Pressupostos!$E$288*(E1371+E1374)*(E1377+E1378-Pressupostos!$C$72)/365*Pressupostos!$E$282/Pressupostos!$D$31</f>
        <v>0.0242722602739726</v>
      </c>
      <c r="F1388" s="63" t="n">
        <f aca="false">Pressupostos!$F$288*(F1371+F1374)*(F1377+F1378-Pressupostos!$C$72)/365*Pressupostos!$F$282/Pressupostos!$D$31</f>
        <v>0.0226541095890411</v>
      </c>
      <c r="G1388" s="63" t="n">
        <f aca="false">Pressupostos!$G$288*(G1371+G1374)*(G1377+G1378-Pressupostos!$C$72)/365*Pressupostos!$G$282/Pressupostos!$D$31</f>
        <v>0.0226541095890411</v>
      </c>
      <c r="H1388" s="2" t="s">
        <v>1254</v>
      </c>
    </row>
    <row r="1389" customFormat="false" ht="15" hidden="false" customHeight="false" outlineLevel="1" collapsed="false">
      <c r="A1389" s="7" t="s">
        <v>676</v>
      </c>
      <c r="B1389" s="8" t="s">
        <v>64</v>
      </c>
      <c r="C1389" s="63" t="n">
        <f aca="false">C1371+C1374+C1375+C1376+C1379+C1380+C1381+C1382+C1383+C1384+C1385+C1386+C1387+C1388</f>
        <v>3.59123767123288</v>
      </c>
      <c r="D1389" s="63" t="n">
        <f aca="false">D1371+D1374+D1375+D1376+D1379+D1380+D1381+D1382+D1383+D1384+D1385+D1386+D1387+D1388</f>
        <v>3.61712808219178</v>
      </c>
      <c r="E1389" s="63" t="n">
        <f aca="false">E1371+E1374+E1375+E1376+E1379+E1380+E1381+E1382+E1383+E1384+E1385+E1386+E1387+E1388</f>
        <v>3.61550993150685</v>
      </c>
      <c r="F1389" s="63" t="n">
        <f aca="false">F1371+F1374+F1375+F1376+F1379+F1380+F1381+F1382+F1383+F1384+F1385+F1386+F1387+F1388</f>
        <v>3.61389178082192</v>
      </c>
      <c r="G1389" s="63" t="n">
        <f aca="false">G1371+G1374+G1375+G1376+G1379+G1380+G1381+G1382+G1383+G1384+G1385+G1386+G1387+G1388</f>
        <v>3.61389178082192</v>
      </c>
      <c r="H1389" s="2" t="s">
        <v>1255</v>
      </c>
    </row>
    <row r="1390" customFormat="false" ht="15" hidden="false" customHeight="false" outlineLevel="1" collapsed="false">
      <c r="A1390" s="56" t="s">
        <v>677</v>
      </c>
      <c r="B1390" s="57" t="s">
        <v>64</v>
      </c>
      <c r="C1390" s="68" t="n">
        <f aca="false">C1373-C1389</f>
        <v>0.058762328767124</v>
      </c>
      <c r="D1390" s="68" t="n">
        <f aca="false">D1373-D1389</f>
        <v>0.0328719178082197</v>
      </c>
      <c r="E1390" s="68" t="n">
        <f aca="false">E1373-E1389</f>
        <v>0.0344900684931515</v>
      </c>
      <c r="F1390" s="68" t="n">
        <f aca="false">F1373-F1389</f>
        <v>0.0361082191780828</v>
      </c>
      <c r="G1390" s="68" t="n">
        <f aca="false">G1373-G1389</f>
        <v>0.0361082191780828</v>
      </c>
      <c r="H1390" s="2" t="s">
        <v>1256</v>
      </c>
    </row>
    <row r="1391" customFormat="false" ht="15" hidden="false" customHeight="false" outlineLevel="1" collapsed="false">
      <c r="A1391" s="7" t="s">
        <v>678</v>
      </c>
      <c r="B1391" s="8" t="s">
        <v>76</v>
      </c>
      <c r="C1391" s="59" t="n">
        <f aca="false">IF(C1373&gt;0,C1390/C1373,0)</f>
        <v>0.0160992681553764</v>
      </c>
      <c r="D1391" s="59" t="n">
        <f aca="false">IF(D1373&gt;0,D1390/D1373,0)</f>
        <v>0.00900600487896431</v>
      </c>
      <c r="E1391" s="59" t="n">
        <f aca="false">IF(E1373&gt;0,E1390/E1373,0)</f>
        <v>0.00944933383374014</v>
      </c>
      <c r="F1391" s="59" t="n">
        <f aca="false">IF(F1373&gt;0,F1390/F1373,0)</f>
        <v>0.00989266278851584</v>
      </c>
      <c r="G1391" s="59" t="n">
        <f aca="false">IF(G1373&gt;0,G1390/G1373,0)</f>
        <v>0.00989266278851584</v>
      </c>
      <c r="H1391" s="2" t="s">
        <v>1257</v>
      </c>
    </row>
    <row r="1392" customFormat="false" ht="15" hidden="false" customHeight="false" outlineLevel="1" collapsed="false">
      <c r="A1392" s="7" t="s">
        <v>679</v>
      </c>
      <c r="B1392" s="8" t="s">
        <v>64</v>
      </c>
      <c r="C1392" s="63" t="n">
        <f aca="false">(C1371+C1374)*(C1377-Pressupostos!$C$72)/365+C1373*C1378/365</f>
        <v>0.306164383561644</v>
      </c>
      <c r="D1392" s="63" t="n">
        <f aca="false">(D1371+D1374)*(D1377-Pressupostos!$C$72)/365+D1373*D1378/365</f>
        <v>0.306164383561644</v>
      </c>
      <c r="E1392" s="63" t="n">
        <f aca="false">(E1371+E1374)*(E1377-Pressupostos!$C$72)/365+E1373*E1378/365</f>
        <v>0.306164383561644</v>
      </c>
      <c r="F1392" s="63" t="n">
        <f aca="false">(F1371+F1374)*(F1377-Pressupostos!$C$72)/365+F1373*F1378/365</f>
        <v>0.306164383561644</v>
      </c>
      <c r="G1392" s="63" t="n">
        <f aca="false">(G1371+G1374)*(G1377-Pressupostos!$C$72)/365+G1373*G1378/365</f>
        <v>0.306164383561644</v>
      </c>
      <c r="H1392" s="2" t="s">
        <v>1258</v>
      </c>
    </row>
    <row r="1393" customFormat="false" ht="15" hidden="false" customHeight="false" outlineLevel="0" collapsed="false">
      <c r="A1393" s="3" t="s">
        <v>1259</v>
      </c>
      <c r="B1393" s="4"/>
      <c r="C1393" s="4"/>
      <c r="D1393" s="4"/>
      <c r="E1393" s="4"/>
      <c r="F1393" s="4"/>
      <c r="G1393" s="4"/>
      <c r="H1393" s="4"/>
    </row>
    <row r="1394" customFormat="false" ht="15" hidden="false" customHeight="false" outlineLevel="1" collapsed="false">
      <c r="A1394" s="7" t="s">
        <v>683</v>
      </c>
      <c r="B1394" s="8" t="s">
        <v>64</v>
      </c>
      <c r="C1394" s="63" t="n">
        <f aca="false">Pressupostos!$C$64*Pressupostos!$D$10</f>
        <v>0.02625</v>
      </c>
      <c r="D1394" s="63" t="n">
        <f aca="false">Pressupostos!$C$64*Pressupostos!$D$10</f>
        <v>0.02625</v>
      </c>
      <c r="E1394" s="63" t="n">
        <f aca="false">Pressupostos!$C$64*Pressupostos!$D$10</f>
        <v>0.02625</v>
      </c>
      <c r="F1394" s="63" t="n">
        <f aca="false">Pressupostos!$C$64*Pressupostos!$D$10</f>
        <v>0.02625</v>
      </c>
      <c r="G1394" s="63" t="n">
        <f aca="false">Pressupostos!$C$64*Pressupostos!$D$10</f>
        <v>0.02625</v>
      </c>
      <c r="H1394" s="2" t="s">
        <v>1260</v>
      </c>
    </row>
    <row r="1395" customFormat="false" ht="15" hidden="false" customHeight="false" outlineLevel="1" collapsed="false">
      <c r="A1395" s="7" t="s">
        <v>684</v>
      </c>
      <c r="B1395" s="8" t="s">
        <v>64</v>
      </c>
      <c r="C1395" s="63" t="n">
        <f aca="false">C1384+C1381+C1385</f>
        <v>0.019</v>
      </c>
      <c r="D1395" s="63" t="n">
        <f aca="false">D1384+D1381+D1385</f>
        <v>0.019</v>
      </c>
      <c r="E1395" s="63" t="n">
        <f aca="false">E1384+E1381+E1385</f>
        <v>0.019</v>
      </c>
      <c r="F1395" s="63" t="n">
        <f aca="false">F1384+F1381+F1385</f>
        <v>0.019</v>
      </c>
      <c r="G1395" s="63" t="n">
        <f aca="false">G1384+G1381+G1385</f>
        <v>0.019</v>
      </c>
      <c r="H1395" s="2" t="s">
        <v>1261</v>
      </c>
    </row>
    <row r="1396" customFormat="false" ht="15" hidden="false" customHeight="false" outlineLevel="1" collapsed="false">
      <c r="A1396" s="56" t="s">
        <v>561</v>
      </c>
      <c r="B1396" s="57" t="s">
        <v>64</v>
      </c>
      <c r="C1396" s="68" t="n">
        <f aca="false">C1394-C1395</f>
        <v>0.00725</v>
      </c>
      <c r="D1396" s="68" t="n">
        <f aca="false">D1394-D1395</f>
        <v>0.00725</v>
      </c>
      <c r="E1396" s="68" t="n">
        <f aca="false">E1394-E1395</f>
        <v>0.00725</v>
      </c>
      <c r="F1396" s="68" t="n">
        <f aca="false">F1394-F1395</f>
        <v>0.00725</v>
      </c>
      <c r="G1396" s="68" t="n">
        <f aca="false">G1394-G1395</f>
        <v>0.00725</v>
      </c>
      <c r="H1396" s="2" t="s">
        <v>1262</v>
      </c>
    </row>
    <row r="1397" customFormat="false" ht="15" hidden="false" customHeight="false" outlineLevel="0" collapsed="false">
      <c r="A1397" s="3" t="s">
        <v>1263</v>
      </c>
      <c r="B1397" s="4"/>
      <c r="C1397" s="4"/>
      <c r="D1397" s="4"/>
      <c r="E1397" s="4"/>
      <c r="F1397" s="4"/>
      <c r="G1397" s="4"/>
      <c r="H1397" s="4"/>
    </row>
    <row r="1398" customFormat="false" ht="15" hidden="false" customHeight="false" outlineLevel="1" collapsed="false">
      <c r="A1398" s="7" t="s">
        <v>608</v>
      </c>
      <c r="B1398" s="8" t="s">
        <v>11</v>
      </c>
      <c r="C1398" s="61" t="n">
        <f aca="false">C1307*1000*C1327</f>
        <v>40680</v>
      </c>
      <c r="D1398" s="61" t="n">
        <f aca="false">D1307*1000*D1327</f>
        <v>188145</v>
      </c>
      <c r="E1398" s="61" t="n">
        <f aca="false">E1307*1000*E1327</f>
        <v>676305</v>
      </c>
      <c r="F1398" s="61" t="n">
        <f aca="false">F1307*1000*F1327</f>
        <v>1357695</v>
      </c>
      <c r="G1398" s="61" t="n">
        <f aca="false">G1307*1000*G1327</f>
        <v>2084850</v>
      </c>
      <c r="H1398" s="2" t="s">
        <v>1264</v>
      </c>
    </row>
    <row r="1399" customFormat="false" ht="15" hidden="false" customHeight="false" outlineLevel="1" collapsed="false">
      <c r="A1399" s="7" t="s">
        <v>609</v>
      </c>
      <c r="B1399" s="8" t="s">
        <v>11</v>
      </c>
      <c r="C1399" s="61" t="n">
        <f aca="false">C1308*1000*C1350</f>
        <v>226200</v>
      </c>
      <c r="D1399" s="61" t="n">
        <f aca="false">D1308*1000*D1350</f>
        <v>1579050</v>
      </c>
      <c r="E1399" s="61" t="n">
        <f aca="false">E1308*1000*E1350</f>
        <v>3118950</v>
      </c>
      <c r="F1399" s="61" t="n">
        <f aca="false">F1308*1000*F1350</f>
        <v>5146050</v>
      </c>
      <c r="G1399" s="61" t="n">
        <f aca="false">G1308*1000*G1350</f>
        <v>7786500</v>
      </c>
      <c r="H1399" s="2" t="s">
        <v>1265</v>
      </c>
    </row>
    <row r="1400" customFormat="false" ht="15" hidden="false" customHeight="false" outlineLevel="1" collapsed="false">
      <c r="A1400" s="7" t="s">
        <v>610</v>
      </c>
      <c r="B1400" s="8" t="s">
        <v>11</v>
      </c>
      <c r="C1400" s="61" t="n">
        <f aca="false">C1310*1000*C1373</f>
        <v>0</v>
      </c>
      <c r="D1400" s="61" t="n">
        <f aca="false">D1310*1000*D1373</f>
        <v>0</v>
      </c>
      <c r="E1400" s="61" t="n">
        <f aca="false">E1310*1000*E1373</f>
        <v>0</v>
      </c>
      <c r="F1400" s="61" t="n">
        <f aca="false">F1310*1000*F1373</f>
        <v>0</v>
      </c>
      <c r="G1400" s="61" t="n">
        <f aca="false">G1310*1000*G1373</f>
        <v>0</v>
      </c>
      <c r="H1400" s="2" t="s">
        <v>1266</v>
      </c>
    </row>
    <row r="1401" customFormat="false" ht="15" hidden="false" customHeight="false" outlineLevel="1" collapsed="false">
      <c r="A1401" s="7" t="s">
        <v>611</v>
      </c>
      <c r="B1401" s="8" t="s">
        <v>11</v>
      </c>
      <c r="C1401" s="61" t="n">
        <f aca="false">C1398+C1399+C1400</f>
        <v>266880</v>
      </c>
      <c r="D1401" s="61" t="n">
        <f aca="false">D1398+D1399+D1400</f>
        <v>1767195</v>
      </c>
      <c r="E1401" s="61" t="n">
        <f aca="false">E1398+E1399+E1400</f>
        <v>3795255</v>
      </c>
      <c r="F1401" s="61" t="n">
        <f aca="false">F1398+F1399+F1400</f>
        <v>6503745</v>
      </c>
      <c r="G1401" s="61" t="n">
        <f aca="false">G1398+G1399+G1400</f>
        <v>9871350</v>
      </c>
      <c r="H1401" s="2" t="s">
        <v>1267</v>
      </c>
    </row>
    <row r="1402" customFormat="false" ht="15" hidden="false" customHeight="false" outlineLevel="1" collapsed="false">
      <c r="A1402" s="7" t="s">
        <v>612</v>
      </c>
      <c r="B1402" s="8" t="s">
        <v>11</v>
      </c>
      <c r="C1402" s="61" t="n">
        <f aca="false">C1320*1000*Pressupostos!$C$93</f>
        <v>0</v>
      </c>
      <c r="D1402" s="61" t="n">
        <f aca="false">D1320*1000*Pressupostos!$C$93</f>
        <v>0</v>
      </c>
      <c r="E1402" s="61" t="n">
        <f aca="false">E1320*1000*Pressupostos!$C$93</f>
        <v>235500</v>
      </c>
      <c r="F1402" s="61" t="n">
        <f aca="false">F1320*1000*Pressupostos!$C$93</f>
        <v>471000</v>
      </c>
      <c r="G1402" s="61" t="n">
        <f aca="false">G1320*1000*Pressupostos!$C$93</f>
        <v>785000</v>
      </c>
      <c r="H1402" s="2" t="s">
        <v>1268</v>
      </c>
    </row>
    <row r="1403" customFormat="false" ht="15" hidden="false" customHeight="false" outlineLevel="1" collapsed="false">
      <c r="A1403" s="2" t="s">
        <v>613</v>
      </c>
      <c r="B1403" s="8" t="s">
        <v>11</v>
      </c>
      <c r="C1403" s="61" t="n">
        <f aca="false">C1318*Pressupostos!$C$80*(1-Pressupostos!$C$81)</f>
        <v>40500</v>
      </c>
      <c r="D1403" s="61" t="n">
        <f aca="false">D1318*Pressupostos!$C$80*(1-Pressupostos!$C$81)</f>
        <v>162000</v>
      </c>
      <c r="E1403" s="61" t="n">
        <f aca="false">E1318*Pressupostos!$C$80*(1-Pressupostos!$C$81)</f>
        <v>270000</v>
      </c>
      <c r="F1403" s="61" t="n">
        <f aca="false">F1318*Pressupostos!$C$80*(1-Pressupostos!$C$81)</f>
        <v>378000</v>
      </c>
      <c r="G1403" s="61" t="n">
        <f aca="false">G1318*Pressupostos!$C$80*(1-Pressupostos!$C$81)</f>
        <v>486000</v>
      </c>
      <c r="H1403" s="2" t="s">
        <v>1269</v>
      </c>
    </row>
    <row r="1404" customFormat="false" ht="15" hidden="false" customHeight="false" outlineLevel="1" collapsed="false">
      <c r="A1404" s="7" t="s">
        <v>614</v>
      </c>
      <c r="B1404" s="8" t="s">
        <v>11</v>
      </c>
      <c r="C1404" s="61" t="n">
        <f aca="false">C1403*Pressupostos!$D$27</f>
        <v>810</v>
      </c>
      <c r="D1404" s="61" t="n">
        <f aca="false">D1403*Pressupostos!$D$27</f>
        <v>3240</v>
      </c>
      <c r="E1404" s="61" t="n">
        <f aca="false">E1403*Pressupostos!$D$27</f>
        <v>5400</v>
      </c>
      <c r="F1404" s="61" t="n">
        <f aca="false">F1403*Pressupostos!$D$27</f>
        <v>7560</v>
      </c>
      <c r="G1404" s="61" t="n">
        <f aca="false">G1403*Pressupostos!$D$27</f>
        <v>9720</v>
      </c>
      <c r="H1404" s="2" t="s">
        <v>1270</v>
      </c>
    </row>
    <row r="1405" customFormat="false" ht="15" hidden="false" customHeight="false" outlineLevel="1" collapsed="false">
      <c r="A1405" s="7" t="s">
        <v>615</v>
      </c>
      <c r="B1405" s="8" t="s">
        <v>11</v>
      </c>
      <c r="C1405" s="61" t="n">
        <f aca="false">C1311*1000*C1394</f>
        <v>0</v>
      </c>
      <c r="D1405" s="61" t="n">
        <f aca="false">D1311*1000*D1394</f>
        <v>0</v>
      </c>
      <c r="E1405" s="61" t="n">
        <f aca="false">E1311*1000*E1394</f>
        <v>0</v>
      </c>
      <c r="F1405" s="61" t="n">
        <f aca="false">F1311*1000*F1394</f>
        <v>0</v>
      </c>
      <c r="G1405" s="61" t="n">
        <f aca="false">G1311*1000*G1394</f>
        <v>0</v>
      </c>
      <c r="H1405" s="2" t="s">
        <v>1271</v>
      </c>
    </row>
    <row r="1406" customFormat="false" ht="15" hidden="false" customHeight="false" outlineLevel="1" collapsed="false">
      <c r="A1406" s="7" t="s">
        <v>616</v>
      </c>
      <c r="B1406" s="8" t="s">
        <v>11</v>
      </c>
      <c r="C1406" s="61" t="n">
        <f aca="false">C1322*(Pressupostos!$C$101*Pressupostos!$C$102+Pressupostos!$C$103)</f>
        <v>0</v>
      </c>
      <c r="D1406" s="61" t="n">
        <f aca="false">D1322*(Pressupostos!$C$101*Pressupostos!$C$102+Pressupostos!$C$103)</f>
        <v>10000</v>
      </c>
      <c r="E1406" s="61" t="n">
        <f aca="false">E1322*(Pressupostos!$C$101*Pressupostos!$C$102+Pressupostos!$C$103)</f>
        <v>30000</v>
      </c>
      <c r="F1406" s="61" t="n">
        <f aca="false">F1322*(Pressupostos!$C$101*Pressupostos!$C$102+Pressupostos!$C$103)</f>
        <v>60000</v>
      </c>
      <c r="G1406" s="61" t="n">
        <f aca="false">G1322*(Pressupostos!$C$101*Pressupostos!$C$102+Pressupostos!$C$103)</f>
        <v>100000</v>
      </c>
      <c r="H1406" s="2" t="s">
        <v>1272</v>
      </c>
    </row>
    <row r="1407" customFormat="false" ht="15" hidden="false" customHeight="false" outlineLevel="1" collapsed="false">
      <c r="A1407" s="7" t="s">
        <v>617</v>
      </c>
      <c r="B1407" s="8" t="s">
        <v>11</v>
      </c>
      <c r="C1407" s="53" t="n">
        <f aca="false">Pressupostos!$C$275</f>
        <v>0</v>
      </c>
      <c r="D1407" s="53" t="n">
        <f aca="false">Pressupostos!$D$275</f>
        <v>0</v>
      </c>
      <c r="E1407" s="53" t="n">
        <f aca="false">Pressupostos!$E$275</f>
        <v>0</v>
      </c>
      <c r="F1407" s="53" t="n">
        <f aca="false">Pressupostos!$F$275</f>
        <v>10000</v>
      </c>
      <c r="G1407" s="53" t="n">
        <f aca="false">Pressupostos!$G$275</f>
        <v>30000</v>
      </c>
      <c r="H1407" s="2" t="s">
        <v>1273</v>
      </c>
    </row>
    <row r="1408" customFormat="false" ht="15" hidden="false" customHeight="false" outlineLevel="1" collapsed="false">
      <c r="A1408" s="56" t="s">
        <v>618</v>
      </c>
      <c r="B1408" s="57" t="s">
        <v>11</v>
      </c>
      <c r="C1408" s="62" t="n">
        <f aca="false">C1401+C1402+C1404+C1405+C1406+C1407</f>
        <v>267690</v>
      </c>
      <c r="D1408" s="62" t="n">
        <f aca="false">D1401+D1402+D1404+D1405+D1406+D1407</f>
        <v>1780435</v>
      </c>
      <c r="E1408" s="62" t="n">
        <f aca="false">E1401+E1402+E1404+E1405+E1406+E1407</f>
        <v>4066155</v>
      </c>
      <c r="F1408" s="62" t="n">
        <f aca="false">F1401+F1402+F1404+F1405+F1406+F1407</f>
        <v>7052305</v>
      </c>
      <c r="G1408" s="62" t="n">
        <f aca="false">G1401+G1402+G1404+G1405+G1406+G1407</f>
        <v>10796070</v>
      </c>
      <c r="H1408" s="2" t="s">
        <v>1274</v>
      </c>
    </row>
    <row r="1409" customFormat="false" ht="15" hidden="false" customHeight="false" outlineLevel="0" collapsed="false">
      <c r="A1409" s="3" t="s">
        <v>1275</v>
      </c>
      <c r="B1409" s="4"/>
      <c r="C1409" s="4"/>
      <c r="D1409" s="4"/>
      <c r="E1409" s="4"/>
      <c r="F1409" s="4"/>
      <c r="G1409" s="4"/>
      <c r="H1409" s="4"/>
    </row>
    <row r="1410" customFormat="false" ht="15" hidden="false" customHeight="false" outlineLevel="1" collapsed="false">
      <c r="A1410" s="2" t="s">
        <v>620</v>
      </c>
      <c r="B1410" s="8" t="s">
        <v>11</v>
      </c>
      <c r="C1410" s="61" t="n">
        <f aca="false">C1311*1000*Pressupostos!$D$10</f>
        <v>0</v>
      </c>
      <c r="D1410" s="61" t="n">
        <f aca="false">D1311*1000*Pressupostos!$D$10</f>
        <v>0</v>
      </c>
      <c r="E1410" s="61" t="n">
        <f aca="false">E1311*1000*Pressupostos!$D$10</f>
        <v>0</v>
      </c>
      <c r="F1410" s="61" t="n">
        <f aca="false">F1311*1000*Pressupostos!$D$10</f>
        <v>0</v>
      </c>
      <c r="G1410" s="61" t="n">
        <f aca="false">G1311*1000*Pressupostos!$D$10</f>
        <v>0</v>
      </c>
      <c r="H1410" s="2" t="s">
        <v>1276</v>
      </c>
    </row>
    <row r="1411" customFormat="false" ht="15" hidden="false" customHeight="false" outlineLevel="1" collapsed="false">
      <c r="A1411" s="56" t="s">
        <v>621</v>
      </c>
      <c r="B1411" s="57" t="s">
        <v>11</v>
      </c>
      <c r="C1411" s="62" t="n">
        <f aca="false">C1401+C1402+C1403+C1410</f>
        <v>307380</v>
      </c>
      <c r="D1411" s="62" t="n">
        <f aca="false">D1401+D1402+D1403+D1410</f>
        <v>1929195</v>
      </c>
      <c r="E1411" s="62" t="n">
        <f aca="false">E1401+E1402+E1403+E1410</f>
        <v>4300755</v>
      </c>
      <c r="F1411" s="62" t="n">
        <f aca="false">F1401+F1402+F1403+F1410</f>
        <v>7352745</v>
      </c>
      <c r="G1411" s="62" t="n">
        <f aca="false">G1401+G1402+G1403+G1410</f>
        <v>11142350</v>
      </c>
      <c r="H1411" s="2" t="s">
        <v>1277</v>
      </c>
    </row>
    <row r="1412" customFormat="false" ht="15" hidden="false" customHeight="false" outlineLevel="1" collapsed="false">
      <c r="A1412" s="7" t="s">
        <v>622</v>
      </c>
      <c r="B1412" s="8" t="s">
        <v>11</v>
      </c>
      <c r="C1412" s="61" t="n">
        <f aca="false">C1411-C1410-C1400</f>
        <v>307380</v>
      </c>
      <c r="D1412" s="61" t="n">
        <f aca="false">D1411-D1410-D1400</f>
        <v>1929195</v>
      </c>
      <c r="E1412" s="61" t="n">
        <f aca="false">E1411-E1410-E1400</f>
        <v>4300755</v>
      </c>
      <c r="F1412" s="61" t="n">
        <f aca="false">F1411-F1410-F1400</f>
        <v>7352745</v>
      </c>
      <c r="G1412" s="61" t="n">
        <f aca="false">G1411-G1410-G1400</f>
        <v>11142350</v>
      </c>
      <c r="H1412" s="2" t="s">
        <v>1278</v>
      </c>
    </row>
    <row r="1413" customFormat="false" ht="15" hidden="false" customHeight="false" outlineLevel="1" collapsed="false">
      <c r="A1413" s="7" t="s">
        <v>623</v>
      </c>
      <c r="B1413" s="8" t="s">
        <v>11</v>
      </c>
      <c r="C1413" s="61" t="n">
        <f aca="false">C1307*1000*(C1325+C1328)+C1308*1000*(C1348+C1351)+C1310*1000*(C1371+C1374)+C1320*1000*Pressupostos!$C$92</f>
        <v>243800</v>
      </c>
      <c r="D1413" s="61" t="n">
        <f aca="false">D1307*1000*(D1325+D1328)+D1308*1000*(D1348+D1351)+D1310*1000*(D1371+D1374)+D1320*1000*Pressupostos!$C$92</f>
        <v>1623700</v>
      </c>
      <c r="E1413" s="61" t="n">
        <f aca="false">E1307*1000*(E1325+E1328)+E1308*1000*(E1348+E1351)+E1310*1000*(E1371+E1374)+E1320*1000*Pressupostos!$C$92</f>
        <v>3665800</v>
      </c>
      <c r="F1413" s="61" t="n">
        <f aca="false">F1307*1000*(F1325+F1328)+F1308*1000*(F1348+F1351)+F1310*1000*(F1371+F1374)+F1320*1000*Pressupostos!$C$92</f>
        <v>6319200</v>
      </c>
      <c r="G1413" s="61" t="n">
        <f aca="false">G1307*1000*(G1325+G1328)+G1308*1000*(G1348+G1351)+G1310*1000*(G1371+G1374)+G1320*1000*Pressupostos!$C$92</f>
        <v>9651000</v>
      </c>
      <c r="H1413" s="2" t="s">
        <v>1279</v>
      </c>
    </row>
    <row r="1414" customFormat="false" ht="15" hidden="false" customHeight="false" outlineLevel="1" collapsed="false">
      <c r="A1414" s="7" t="s">
        <v>624</v>
      </c>
      <c r="B1414" s="8" t="s">
        <v>11</v>
      </c>
      <c r="C1414" s="61" t="n">
        <f aca="false">C1413*Pressupostos!$C$282</f>
        <v>0</v>
      </c>
      <c r="D1414" s="61" t="n">
        <f aca="false">D1413*Pressupostos!$D$282</f>
        <v>1461330</v>
      </c>
      <c r="E1414" s="61" t="n">
        <f aca="false">E1413*Pressupostos!$E$282</f>
        <v>3299220</v>
      </c>
      <c r="F1414" s="61" t="n">
        <f aca="false">F1413*Pressupostos!$F$282</f>
        <v>5687280</v>
      </c>
      <c r="G1414" s="61" t="n">
        <f aca="false">G1413*Pressupostos!$G$282</f>
        <v>8685900</v>
      </c>
      <c r="H1414" s="2" t="s">
        <v>1280</v>
      </c>
    </row>
    <row r="1415" customFormat="false" ht="15" hidden="false" customHeight="false" outlineLevel="0" collapsed="false">
      <c r="A1415" s="3" t="s">
        <v>1281</v>
      </c>
      <c r="B1415" s="4"/>
      <c r="C1415" s="4"/>
      <c r="D1415" s="4"/>
      <c r="E1415" s="4"/>
      <c r="F1415" s="4"/>
      <c r="G1415" s="4"/>
      <c r="H1415" s="4"/>
    </row>
    <row r="1416" customFormat="false" ht="15" hidden="false" customHeight="false" outlineLevel="1" collapsed="false">
      <c r="A1416" s="7" t="s">
        <v>626</v>
      </c>
      <c r="B1416" s="8" t="s">
        <v>11</v>
      </c>
      <c r="C1416" s="61" t="n">
        <f aca="false">C1307*1000*C1344</f>
        <v>2727.51452054796</v>
      </c>
      <c r="D1416" s="61" t="n">
        <f aca="false">D1307*1000*D1344</f>
        <v>5610.35054794528</v>
      </c>
      <c r="E1416" s="61" t="n">
        <f aca="false">E1307*1000*E1344</f>
        <v>46169.050650685</v>
      </c>
      <c r="F1416" s="61" t="n">
        <f aca="false">F1307*1000*F1344</f>
        <v>96209.0426712332</v>
      </c>
      <c r="G1416" s="61" t="n">
        <f aca="false">G1307*1000*G1344</f>
        <v>147736.732191781</v>
      </c>
      <c r="H1416" s="2" t="s">
        <v>1282</v>
      </c>
    </row>
    <row r="1417" customFormat="false" ht="15" hidden="false" customHeight="false" outlineLevel="1" collapsed="false">
      <c r="A1417" s="7" t="s">
        <v>627</v>
      </c>
      <c r="B1417" s="8" t="s">
        <v>11</v>
      </c>
      <c r="C1417" s="61" t="n">
        <f aca="false">C1308*1000*C1367</f>
        <v>5010.62739726033</v>
      </c>
      <c r="D1417" s="61" t="n">
        <f aca="false">D1308*1000*D1367</f>
        <v>18665.410273973</v>
      </c>
      <c r="E1417" s="61" t="n">
        <f aca="false">E1308*1000*E1367</f>
        <v>46051.8418664388</v>
      </c>
      <c r="F1417" s="61" t="n">
        <f aca="false">F1308*1000*F1367</f>
        <v>79304.9573630142</v>
      </c>
      <c r="G1417" s="61" t="n">
        <f aca="false">G1308*1000*G1367</f>
        <v>119996.511986302</v>
      </c>
      <c r="H1417" s="2" t="s">
        <v>1283</v>
      </c>
    </row>
    <row r="1418" customFormat="false" ht="15" hidden="false" customHeight="false" outlineLevel="1" collapsed="false">
      <c r="A1418" s="7" t="s">
        <v>628</v>
      </c>
      <c r="B1418" s="8" t="s">
        <v>11</v>
      </c>
      <c r="C1418" s="61" t="n">
        <f aca="false">C1310*1000*C1390+C1311*1000*C1396</f>
        <v>0</v>
      </c>
      <c r="D1418" s="61" t="n">
        <f aca="false">D1310*1000*D1390+D1311*1000*D1396</f>
        <v>0</v>
      </c>
      <c r="E1418" s="61" t="n">
        <f aca="false">E1310*1000*E1390+E1311*1000*E1396</f>
        <v>0</v>
      </c>
      <c r="F1418" s="61" t="n">
        <f aca="false">F1310*1000*F1390+F1311*1000*F1396</f>
        <v>0</v>
      </c>
      <c r="G1418" s="61" t="n">
        <f aca="false">G1310*1000*G1390+G1311*1000*G1396</f>
        <v>0</v>
      </c>
      <c r="H1418" s="2" t="s">
        <v>1284</v>
      </c>
    </row>
    <row r="1419" customFormat="false" ht="15" hidden="false" customHeight="false" outlineLevel="1" collapsed="false">
      <c r="A1419" s="7" t="s">
        <v>629</v>
      </c>
      <c r="B1419" s="8" t="s">
        <v>11</v>
      </c>
      <c r="C1419" s="61" t="n">
        <f aca="false">C1416+C1417+C1418</f>
        <v>7738.14191780829</v>
      </c>
      <c r="D1419" s="61" t="n">
        <f aca="false">D1416+D1417+D1418</f>
        <v>24275.7608219183</v>
      </c>
      <c r="E1419" s="61" t="n">
        <f aca="false">E1416+E1417+E1418</f>
        <v>92220.8925171239</v>
      </c>
      <c r="F1419" s="61" t="n">
        <f aca="false">F1416+F1417+F1418</f>
        <v>175514.000034247</v>
      </c>
      <c r="G1419" s="61" t="n">
        <f aca="false">G1416+G1417+G1418</f>
        <v>267733.244178084</v>
      </c>
      <c r="H1419" s="2" t="s">
        <v>1285</v>
      </c>
    </row>
    <row r="1420" customFormat="false" ht="15" hidden="false" customHeight="false" outlineLevel="1" collapsed="false">
      <c r="A1420" s="7" t="s">
        <v>630</v>
      </c>
      <c r="B1420" s="8" t="s">
        <v>64</v>
      </c>
      <c r="C1420" s="63" t="n">
        <f aca="false">IF(C1312&gt;0,C1419/(C1312*1000),0)</f>
        <v>0.128969031963471</v>
      </c>
      <c r="D1420" s="63" t="n">
        <f aca="false">IF(D1312&gt;0,D1419/(D1312*1000),0)</f>
        <v>0.0606894020547957</v>
      </c>
      <c r="E1420" s="63" t="n">
        <f aca="false">IF(E1312&gt;0,E1419/(E1312*1000),0)</f>
        <v>0.108495167667205</v>
      </c>
      <c r="F1420" s="63" t="n">
        <f aca="false">IF(F1312&gt;0,F1419/(F1312*1000),0)</f>
        <v>0.121044137954653</v>
      </c>
      <c r="G1420" s="63" t="n">
        <f aca="false">IF(G1312&gt;0,G1419/(G1312*1000),0)</f>
        <v>0.121696929171856</v>
      </c>
      <c r="H1420" s="2" t="s">
        <v>1286</v>
      </c>
    </row>
    <row r="1421" customFormat="false" ht="15" hidden="false" customHeight="false" outlineLevel="1" collapsed="false">
      <c r="A1421" s="7" t="s">
        <v>631</v>
      </c>
      <c r="B1421" s="8" t="s">
        <v>76</v>
      </c>
      <c r="C1421" s="59" t="n">
        <f aca="false">IF(C1401&gt;0,C1419/C1401,0)</f>
        <v>0.0289948363227229</v>
      </c>
      <c r="D1421" s="59" t="n">
        <f aca="false">IF(D1401&gt;0,D1419/D1401,0)</f>
        <v>0.0137368885844054</v>
      </c>
      <c r="E1421" s="59" t="n">
        <f aca="false">IF(E1401&gt;0,E1419/E1401,0)</f>
        <v>0.0242989977003189</v>
      </c>
      <c r="F1421" s="59" t="n">
        <f aca="false">IF(F1401&gt;0,F1419/F1401,0)</f>
        <v>0.0269866054149182</v>
      </c>
      <c r="G1421" s="59" t="n">
        <f aca="false">IF(G1401&gt;0,G1419/G1401,0)</f>
        <v>0.0271222521922618</v>
      </c>
      <c r="H1421" s="2" t="s">
        <v>1287</v>
      </c>
    </row>
    <row r="1422" customFormat="false" ht="15" hidden="false" customHeight="false" outlineLevel="1" collapsed="false">
      <c r="A1422" s="2" t="s">
        <v>632</v>
      </c>
      <c r="B1422" s="8" t="s">
        <v>64</v>
      </c>
      <c r="C1422" s="63" t="n">
        <f aca="false">Pressupostos!$C$288*Pressupostos!$C$92*(Pressupostos!$C$95+Pressupostos!$C$96-Pressupostos!$C$97)/365*Pressupostos!$C$282/Pressupostos!$D$31</f>
        <v>0</v>
      </c>
      <c r="D1422" s="63" t="n">
        <f aca="false">Pressupostos!$D$288*Pressupostos!$C$92*(Pressupostos!$C$95+Pressupostos!$C$96-Pressupostos!$C$97)/365*Pressupostos!$D$282/Pressupostos!$D$31</f>
        <v>0.0776712328767123</v>
      </c>
      <c r="E1422" s="63" t="n">
        <f aca="false">Pressupostos!$E$288*Pressupostos!$C$92*(Pressupostos!$C$95+Pressupostos!$C$96-Pressupostos!$C$97)/365*Pressupostos!$E$282/Pressupostos!$D$31</f>
        <v>0.0728167808219178</v>
      </c>
      <c r="F1422" s="63" t="n">
        <f aca="false">Pressupostos!$F$288*Pressupostos!$C$92*(Pressupostos!$C$95+Pressupostos!$C$96-Pressupostos!$C$97)/365*Pressupostos!$F$282/Pressupostos!$D$31</f>
        <v>0.0679623287671233</v>
      </c>
      <c r="G1422" s="63" t="n">
        <f aca="false">Pressupostos!$G$288*Pressupostos!$C$92*(Pressupostos!$C$95+Pressupostos!$C$96-Pressupostos!$C$97)/365*Pressupostos!$G$282/Pressupostos!$D$31</f>
        <v>0.0679623287671233</v>
      </c>
      <c r="H1422" s="2" t="s">
        <v>1288</v>
      </c>
    </row>
    <row r="1423" customFormat="false" ht="15" hidden="false" customHeight="false" outlineLevel="1" collapsed="false">
      <c r="A1423" s="7" t="s">
        <v>600</v>
      </c>
      <c r="B1423" s="8" t="s">
        <v>11</v>
      </c>
      <c r="C1423" s="61" t="n">
        <f aca="false">C1320*1000*(Pressupostos!$C$93-Pressupostos!$C$92-Pressupostos!$C$94-C1422-Pressupostos!$C$98*Pressupostos!$C$93-Pressupostos!$C$99-Pressupostos!$D$29*Pressupostos!$C$92)</f>
        <v>0</v>
      </c>
      <c r="D1423" s="61" t="n">
        <f aca="false">D1320*1000*(Pressupostos!$C$93-Pressupostos!$C$92-Pressupostos!$C$94-D1422-Pressupostos!$C$98*Pressupostos!$C$93-Pressupostos!$C$99-Pressupostos!$D$29*Pressupostos!$C$92)</f>
        <v>0</v>
      </c>
      <c r="E1423" s="61" t="n">
        <f aca="false">E1320*1000*(Pressupostos!$C$93-Pressupostos!$C$92-Pressupostos!$C$94-E1422-Pressupostos!$C$98*Pressupostos!$C$93-Pressupostos!$C$99-Pressupostos!$D$29*Pressupostos!$C$92)</f>
        <v>16502.4965753425</v>
      </c>
      <c r="F1423" s="61" t="n">
        <f aca="false">F1320*1000*(Pressupostos!$C$93-Pressupostos!$C$92-Pressupostos!$C$94-F1422-Pressupostos!$C$98*Pressupostos!$C$93-Pressupostos!$C$99-Pressupostos!$D$29*Pressupostos!$C$92)</f>
        <v>33296.2602739726</v>
      </c>
      <c r="G1423" s="61" t="n">
        <f aca="false">G1320*1000*(Pressupostos!$C$93-Pressupostos!$C$92-Pressupostos!$C$94-G1422-Pressupostos!$C$98*Pressupostos!$C$93-Pressupostos!$C$99-Pressupostos!$D$29*Pressupostos!$C$92)</f>
        <v>55493.7671232876</v>
      </c>
      <c r="H1423" s="2" t="s">
        <v>1289</v>
      </c>
    </row>
    <row r="1424" customFormat="false" ht="15" hidden="false" customHeight="false" outlineLevel="1" collapsed="false">
      <c r="A1424" s="7" t="s">
        <v>633</v>
      </c>
      <c r="B1424" s="8" t="s">
        <v>11</v>
      </c>
      <c r="C1424" s="61" t="n">
        <f aca="false">C1404</f>
        <v>810</v>
      </c>
      <c r="D1424" s="61" t="n">
        <f aca="false">D1404</f>
        <v>3240</v>
      </c>
      <c r="E1424" s="61" t="n">
        <f aca="false">E1404</f>
        <v>5400</v>
      </c>
      <c r="F1424" s="61" t="n">
        <f aca="false">F1404</f>
        <v>7560</v>
      </c>
      <c r="G1424" s="61" t="n">
        <f aca="false">G1404</f>
        <v>9720</v>
      </c>
      <c r="H1424" s="2" t="s">
        <v>1290</v>
      </c>
    </row>
    <row r="1425" customFormat="false" ht="15" hidden="false" customHeight="false" outlineLevel="1" collapsed="false">
      <c r="A1425" s="7" t="s">
        <v>634</v>
      </c>
      <c r="B1425" s="8" t="s">
        <v>11</v>
      </c>
      <c r="C1425" s="61" t="n">
        <f aca="false">C1406-C1440</f>
        <v>0</v>
      </c>
      <c r="D1425" s="61" t="n">
        <f aca="false">D1406-D1440</f>
        <v>1771.42857142857</v>
      </c>
      <c r="E1425" s="61" t="n">
        <f aca="false">E1406-E1440</f>
        <v>5314.28571428572</v>
      </c>
      <c r="F1425" s="61" t="n">
        <f aca="false">F1406-F1440</f>
        <v>10628.5714285714</v>
      </c>
      <c r="G1425" s="61" t="n">
        <f aca="false">G1406-G1440</f>
        <v>17714.2857142857</v>
      </c>
      <c r="H1425" s="2" t="s">
        <v>1291</v>
      </c>
    </row>
    <row r="1426" customFormat="false" ht="15" hidden="false" customHeight="false" outlineLevel="1" collapsed="false">
      <c r="A1426" s="7" t="s">
        <v>617</v>
      </c>
      <c r="B1426" s="8" t="s">
        <v>11</v>
      </c>
      <c r="C1426" s="61" t="n">
        <f aca="false">C1407</f>
        <v>0</v>
      </c>
      <c r="D1426" s="61" t="n">
        <f aca="false">D1407</f>
        <v>0</v>
      </c>
      <c r="E1426" s="61" t="n">
        <f aca="false">E1407</f>
        <v>0</v>
      </c>
      <c r="F1426" s="61" t="n">
        <f aca="false">F1407</f>
        <v>10000</v>
      </c>
      <c r="G1426" s="61" t="n">
        <f aca="false">G1407</f>
        <v>30000</v>
      </c>
      <c r="H1426" s="2" t="s">
        <v>1292</v>
      </c>
    </row>
    <row r="1427" customFormat="false" ht="15" hidden="false" customHeight="false" outlineLevel="1" collapsed="false">
      <c r="A1427" s="56" t="s">
        <v>635</v>
      </c>
      <c r="B1427" s="57" t="s">
        <v>11</v>
      </c>
      <c r="C1427" s="62" t="n">
        <f aca="false">C1419+C1423+C1424+C1425+C1426</f>
        <v>8548.14191780829</v>
      </c>
      <c r="D1427" s="62" t="n">
        <f aca="false">D1419+D1423+D1424+D1425+D1426</f>
        <v>29287.1893933469</v>
      </c>
      <c r="E1427" s="62" t="n">
        <f aca="false">E1419+E1423+E1424+E1425+E1426</f>
        <v>119437.674806752</v>
      </c>
      <c r="F1427" s="62" t="n">
        <f aca="false">F1419+F1423+F1424+F1425+F1426</f>
        <v>236998.831736791</v>
      </c>
      <c r="G1427" s="62" t="n">
        <f aca="false">G1419+G1423+G1424+G1425+G1426</f>
        <v>380661.297015657</v>
      </c>
      <c r="H1427" s="2" t="s">
        <v>1293</v>
      </c>
    </row>
    <row r="1428" customFormat="false" ht="15" hidden="false" customHeight="false" outlineLevel="0" collapsed="false">
      <c r="A1428" s="3" t="s">
        <v>1294</v>
      </c>
      <c r="B1428" s="4"/>
      <c r="C1428" s="4"/>
      <c r="D1428" s="4"/>
      <c r="E1428" s="4"/>
      <c r="F1428" s="4"/>
      <c r="G1428" s="4"/>
      <c r="H1428" s="4"/>
    </row>
    <row r="1429" customFormat="false" ht="15" hidden="false" customHeight="false" outlineLevel="1" collapsed="false">
      <c r="A1429" s="7" t="s">
        <v>686</v>
      </c>
      <c r="B1429" s="8" t="s">
        <v>11</v>
      </c>
      <c r="C1429" s="61" t="n">
        <f aca="false">C1307*1000*(C1325+C1328)+C1308*1000*(C1348+C1351)+C1310*1000*(C1371+C1374)</f>
        <v>243800</v>
      </c>
      <c r="D1429" s="61" t="n">
        <f aca="false">D1307*1000*(D1325+D1328)+D1308*1000*(D1348+D1351)+D1310*1000*(D1371+D1374)</f>
        <v>1623700</v>
      </c>
      <c r="E1429" s="61" t="n">
        <f aca="false">E1307*1000*(E1325+E1328)+E1308*1000*(E1348+E1351)+E1310*1000*(E1371+E1374)</f>
        <v>3455800</v>
      </c>
      <c r="F1429" s="61" t="n">
        <f aca="false">F1307*1000*(F1325+F1328)+F1308*1000*(F1348+F1351)+F1310*1000*(F1371+F1374)</f>
        <v>5899200</v>
      </c>
      <c r="G1429" s="61" t="n">
        <f aca="false">G1307*1000*(G1325+G1328)+G1308*1000*(G1348+G1351)+G1310*1000*(G1371+G1374)</f>
        <v>8951000</v>
      </c>
      <c r="H1429" s="2" t="s">
        <v>1295</v>
      </c>
    </row>
    <row r="1430" customFormat="false" ht="15" hidden="false" customHeight="false" outlineLevel="1" collapsed="false">
      <c r="A1430" s="7" t="s">
        <v>687</v>
      </c>
      <c r="B1430" s="8" t="s">
        <v>11</v>
      </c>
      <c r="C1430" s="61" t="n">
        <f aca="false">C1320*1000*Pressupostos!$C$92</f>
        <v>0</v>
      </c>
      <c r="D1430" s="61" t="n">
        <f aca="false">D1320*1000*Pressupostos!$C$92</f>
        <v>0</v>
      </c>
      <c r="E1430" s="61" t="n">
        <f aca="false">E1320*1000*Pressupostos!$C$92</f>
        <v>210000</v>
      </c>
      <c r="F1430" s="61" t="n">
        <f aca="false">F1320*1000*Pressupostos!$C$92</f>
        <v>420000</v>
      </c>
      <c r="G1430" s="61" t="n">
        <f aca="false">G1320*1000*Pressupostos!$C$92</f>
        <v>700000</v>
      </c>
      <c r="H1430" s="2" t="s">
        <v>1296</v>
      </c>
    </row>
    <row r="1431" customFormat="false" ht="15" hidden="false" customHeight="false" outlineLevel="1" collapsed="false">
      <c r="A1431" s="7" t="s">
        <v>688</v>
      </c>
      <c r="B1431" s="8" t="s">
        <v>11</v>
      </c>
      <c r="C1431" s="61" t="n">
        <f aca="false">C1429+C1430</f>
        <v>243800</v>
      </c>
      <c r="D1431" s="61" t="n">
        <f aca="false">D1429+D1430</f>
        <v>1623700</v>
      </c>
      <c r="E1431" s="61" t="n">
        <f aca="false">E1429+E1430</f>
        <v>3665800</v>
      </c>
      <c r="F1431" s="61" t="n">
        <f aca="false">F1429+F1430</f>
        <v>6319200</v>
      </c>
      <c r="G1431" s="61" t="n">
        <f aca="false">G1429+G1430</f>
        <v>9651000</v>
      </c>
      <c r="H1431" s="2" t="s">
        <v>1297</v>
      </c>
    </row>
    <row r="1432" customFormat="false" ht="15" hidden="false" customHeight="false" outlineLevel="1" collapsed="false">
      <c r="A1432" s="7" t="s">
        <v>215</v>
      </c>
      <c r="B1432" s="8" t="s">
        <v>11</v>
      </c>
      <c r="C1432" s="61" t="n">
        <f aca="false">C1307*1000*(C1329)+C1308*1000*(C1352)+C1310*1000*(C1375)+C1320*1000*Pressupostos!$C$94</f>
        <v>7600</v>
      </c>
      <c r="D1432" s="61" t="n">
        <f aca="false">D1307*1000*(D1329)+D1308*1000*(D1352)+D1310*1000*(D1375)+D1320*1000*Pressupostos!$C$94</f>
        <v>47400</v>
      </c>
      <c r="E1432" s="61" t="n">
        <f aca="false">E1307*1000*(E1329)+E1308*1000*(E1352)+E1310*1000*(E1375)+E1320*1000*Pressupostos!$C$94</f>
        <v>106270</v>
      </c>
      <c r="F1432" s="61" t="n">
        <f aca="false">F1307*1000*(F1329)+F1308*1000*(F1352)+F1310*1000*(F1375)+F1320*1000*Pressupostos!$C$94</f>
        <v>187560</v>
      </c>
      <c r="G1432" s="61" t="n">
        <f aca="false">G1307*1000*(G1329)+G1308*1000*(G1352)+G1310*1000*(G1375)+G1320*1000*Pressupostos!$C$94</f>
        <v>286800</v>
      </c>
      <c r="H1432" s="2" t="s">
        <v>1298</v>
      </c>
    </row>
    <row r="1433" customFormat="false" ht="15" hidden="false" customHeight="false" outlineLevel="1" collapsed="false">
      <c r="A1433" s="7" t="s">
        <v>117</v>
      </c>
      <c r="B1433" s="8" t="s">
        <v>11</v>
      </c>
      <c r="C1433" s="61" t="n">
        <f aca="false">C1307*1000*(C1330)+C1308*1000*(C1353)+C1310*1000*(C1376)</f>
        <v>480</v>
      </c>
      <c r="D1433" s="61" t="n">
        <f aca="false">D1307*1000*(D1330)+D1308*1000*(D1353)+D1310*1000*(D1376)</f>
        <v>2220</v>
      </c>
      <c r="E1433" s="61" t="n">
        <f aca="false">E1307*1000*(E1330)+E1308*1000*(E1353)+E1310*1000*(E1376)</f>
        <v>7980</v>
      </c>
      <c r="F1433" s="61" t="n">
        <f aca="false">F1307*1000*(F1330)+F1308*1000*(F1353)+F1310*1000*(F1376)</f>
        <v>16020</v>
      </c>
      <c r="G1433" s="61" t="n">
        <f aca="false">G1307*1000*(G1330)+G1308*1000*(G1353)+G1310*1000*(G1376)</f>
        <v>24600</v>
      </c>
      <c r="H1433" s="2" t="s">
        <v>1299</v>
      </c>
    </row>
    <row r="1434" customFormat="false" ht="15" hidden="false" customHeight="false" outlineLevel="1" collapsed="false">
      <c r="A1434" s="7" t="s">
        <v>689</v>
      </c>
      <c r="B1434" s="8" t="s">
        <v>11</v>
      </c>
      <c r="C1434" s="61" t="n">
        <f aca="false">C1307*1000*(C1333+C1334)+C1308*1000*(C1356+C1357)+C1310*1000*(C1379+C1380)</f>
        <v>459.178082191781</v>
      </c>
      <c r="D1434" s="61" t="n">
        <f aca="false">D1307*1000*(D1333+D1334)+D1308*1000*(D1356+D1357)+D1310*1000*(D1379+D1380)</f>
        <v>2686.19178082192</v>
      </c>
      <c r="E1434" s="61" t="n">
        <f aca="false">E1307*1000*(E1333+E1334)+E1308*1000*(E1356+E1357)+E1310*1000*(E1379+E1380)</f>
        <v>4208.36712328767</v>
      </c>
      <c r="F1434" s="61" t="n">
        <f aca="false">F1307*1000*(F1333+F1334)+F1308*1000*(F1356+F1357)+F1310*1000*(F1379+F1380)</f>
        <v>7271.08493150685</v>
      </c>
      <c r="G1434" s="61" t="n">
        <f aca="false">G1307*1000*(G1333+G1334)+G1308*1000*(G1356+G1357)+G1310*1000*(G1379+G1380)</f>
        <v>11043.2328767123</v>
      </c>
      <c r="H1434" s="2" t="s">
        <v>1300</v>
      </c>
    </row>
    <row r="1435" customFormat="false" ht="15" hidden="false" customHeight="false" outlineLevel="1" collapsed="false">
      <c r="A1435" s="7" t="s">
        <v>690</v>
      </c>
      <c r="B1435" s="8" t="s">
        <v>11</v>
      </c>
      <c r="C1435" s="61" t="n">
        <f aca="false">C1307*1000*(C1335+C1336+C1337)+C1308*1000*(C1358+C1359+C1360)+C1310*1000*(C1381+C1382+C1383)</f>
        <v>2660</v>
      </c>
      <c r="D1435" s="61" t="n">
        <f aca="false">D1307*1000*(D1335+D1336+D1337)+D1308*1000*(D1358+D1359+D1360)+D1310*1000*(D1381+D1382+D1383)</f>
        <v>17325</v>
      </c>
      <c r="E1435" s="61" t="n">
        <f aca="false">E1307*1000*(E1335+E1336+E1337)+E1308*1000*(E1358+E1359+E1360)+E1310*1000*(E1381+E1382+E1383)</f>
        <v>36379.5</v>
      </c>
      <c r="F1435" s="61" t="n">
        <f aca="false">F1307*1000*(F1335+F1336+F1337)+F1308*1000*(F1358+F1359+F1360)+F1310*1000*(F1381+F1382+F1383)</f>
        <v>62520.5</v>
      </c>
      <c r="G1435" s="61" t="n">
        <f aca="false">G1307*1000*(G1335+G1336+G1337)+G1308*1000*(G1358+G1359+G1360)+G1310*1000*(G1381+G1382+G1383)</f>
        <v>94915</v>
      </c>
      <c r="H1435" s="2" t="s">
        <v>1301</v>
      </c>
    </row>
    <row r="1436" customFormat="false" ht="15" hidden="false" customHeight="false" outlineLevel="1" collapsed="false">
      <c r="A1436" s="7" t="s">
        <v>673</v>
      </c>
      <c r="B1436" s="8" t="s">
        <v>11</v>
      </c>
      <c r="C1436" s="61" t="n">
        <f aca="false">C1307*1000*(C1338)+C1308*1000*(C1361)+C1310*1000*(C1384)</f>
        <v>2880</v>
      </c>
      <c r="D1436" s="61" t="n">
        <f aca="false">D1307*1000*(D1338)+D1308*1000*(D1361)+D1310*1000*(D1384)</f>
        <v>18220</v>
      </c>
      <c r="E1436" s="61" t="n">
        <f aca="false">E1307*1000*(E1338)+E1308*1000*(E1361)+E1310*1000*(E1384)</f>
        <v>41980</v>
      </c>
      <c r="F1436" s="61" t="n">
        <f aca="false">F1307*1000*(F1338)+F1308*1000*(F1361)+F1310*1000*(F1384)</f>
        <v>74020</v>
      </c>
      <c r="G1436" s="61" t="n">
        <f aca="false">G1307*1000*(G1338)+G1308*1000*(G1361)+G1310*1000*(G1384)</f>
        <v>112600</v>
      </c>
      <c r="H1436" s="2" t="s">
        <v>1302</v>
      </c>
    </row>
    <row r="1437" customFormat="false" ht="15" hidden="false" customHeight="false" outlineLevel="1" collapsed="false">
      <c r="A1437" s="7" t="s">
        <v>691</v>
      </c>
      <c r="B1437" s="8" t="s">
        <v>11</v>
      </c>
      <c r="C1437" s="61" t="n">
        <f aca="false">C1307*1000*(C1339)+C1308*1000*(C1362)+C1310*1000*(C1385)+C1320*1000*Pressupostos!$C$99</f>
        <v>340</v>
      </c>
      <c r="D1437" s="61" t="n">
        <f aca="false">D1307*1000*(D1339)+D1308*1000*(D1362)+D1310*1000*(D1385)+D1320*1000*Pressupostos!$C$99</f>
        <v>2185</v>
      </c>
      <c r="E1437" s="61" t="n">
        <f aca="false">E1307*1000*(E1339)+E1308*1000*(E1362)+E1310*1000*(E1385)+E1320*1000*Pressupostos!$C$99</f>
        <v>5815</v>
      </c>
      <c r="F1437" s="61" t="n">
        <f aca="false">F1307*1000*(F1339)+F1308*1000*(F1362)+F1310*1000*(F1385)+F1320*1000*Pressupostos!$C$99</f>
        <v>10385</v>
      </c>
      <c r="G1437" s="61" t="n">
        <f aca="false">G1307*1000*(G1339)+G1308*1000*(G1362)+G1310*1000*(G1385)+G1320*1000*Pressupostos!$C$99</f>
        <v>16050</v>
      </c>
      <c r="H1437" s="2" t="s">
        <v>1303</v>
      </c>
    </row>
    <row r="1438" customFormat="false" ht="15" hidden="false" customHeight="false" outlineLevel="1" collapsed="false">
      <c r="A1438" s="7" t="s">
        <v>81</v>
      </c>
      <c r="B1438" s="8" t="s">
        <v>11</v>
      </c>
      <c r="C1438" s="61" t="n">
        <f aca="false">C1307*1000*(C1340)+C1308*1000*(C1363)+C1310*1000*(C1386)+C1320*1000*Pressupostos!$C$98*Pressupostos!$C$93</f>
        <v>922.68</v>
      </c>
      <c r="D1438" s="61" t="n">
        <f aca="false">D1307*1000*(D1340)+D1308*1000*(D1363)+D1310*1000*(D1386)+D1320*1000*Pressupostos!$C$98*Pressupostos!$C$93</f>
        <v>5866.02</v>
      </c>
      <c r="E1438" s="61" t="n">
        <f aca="false">E1307*1000*(E1340)+E1308*1000*(E1363)+E1310*1000*(E1386)+E1320*1000*Pressupostos!$C$98*Pressupostos!$C$93</f>
        <v>14827.68</v>
      </c>
      <c r="F1438" s="61" t="n">
        <f aca="false">F1307*1000*(F1340)+F1308*1000*(F1363)+F1310*1000*(F1386)+F1320*1000*Pressupostos!$C$98*Pressupostos!$C$93</f>
        <v>26410.32</v>
      </c>
      <c r="G1438" s="61" t="n">
        <f aca="false">G1307*1000*(G1340)+G1308*1000*(G1363)+G1310*1000*(G1386)+G1320*1000*Pressupostos!$C$98*Pressupostos!$C$93</f>
        <v>40578.6</v>
      </c>
      <c r="H1438" s="2" t="s">
        <v>1304</v>
      </c>
    </row>
    <row r="1439" customFormat="false" ht="15" hidden="false" customHeight="false" outlineLevel="1" collapsed="false">
      <c r="A1439" s="7" t="s">
        <v>692</v>
      </c>
      <c r="B1439" s="8" t="s">
        <v>11</v>
      </c>
      <c r="C1439" s="61" t="n">
        <f aca="false">C1307*1000*(C1341)+C1308*1000*(C1364)+C1310*1000*(C1387)+C1320*1000*Pressupostos!$D$29*Pressupostos!$C$92</f>
        <v>0</v>
      </c>
      <c r="D1439" s="61" t="n">
        <f aca="false">D1307*1000*(D1341)+D1308*1000*(D1364)+D1310*1000*(D1387)+D1320*1000*Pressupostos!$D$29*Pressupostos!$C$92</f>
        <v>0</v>
      </c>
      <c r="E1439" s="61" t="n">
        <f aca="false">E1307*1000*(E1341)+E1308*1000*(E1364)+E1310*1000*(E1387)+E1320*1000*Pressupostos!$D$29*Pressupostos!$C$92</f>
        <v>0</v>
      </c>
      <c r="F1439" s="61" t="n">
        <f aca="false">F1307*1000*(F1341)+F1308*1000*(F1364)+F1310*1000*(F1387)+F1320*1000*Pressupostos!$D$29*Pressupostos!$C$92</f>
        <v>0</v>
      </c>
      <c r="G1439" s="61" t="n">
        <f aca="false">G1307*1000*(G1341)+G1308*1000*(G1364)+G1310*1000*(G1387)+G1320*1000*Pressupostos!$D$29*Pressupostos!$C$92</f>
        <v>0</v>
      </c>
      <c r="H1439" s="2" t="s">
        <v>1305</v>
      </c>
    </row>
    <row r="1440" customFormat="false" ht="15" hidden="false" customHeight="false" outlineLevel="1" collapsed="false">
      <c r="A1440" s="7" t="s">
        <v>693</v>
      </c>
      <c r="B1440" s="8" t="s">
        <v>11</v>
      </c>
      <c r="C1440" s="61" t="n">
        <f aca="false">C1323*1000*Pressupostos!$C$104*Pressupostos!$D$30</f>
        <v>0</v>
      </c>
      <c r="D1440" s="61" t="n">
        <f aca="false">D1323*1000*Pressupostos!$C$104*Pressupostos!$D$30</f>
        <v>8228.57142857143</v>
      </c>
      <c r="E1440" s="61" t="n">
        <f aca="false">E1323*1000*Pressupostos!$C$104*Pressupostos!$D$30</f>
        <v>24685.7142857143</v>
      </c>
      <c r="F1440" s="61" t="n">
        <f aca="false">F1323*1000*Pressupostos!$C$104*Pressupostos!$D$30</f>
        <v>49371.4285714286</v>
      </c>
      <c r="G1440" s="61" t="n">
        <f aca="false">G1323*1000*Pressupostos!$C$104*Pressupostos!$D$30</f>
        <v>82285.7142857143</v>
      </c>
      <c r="H1440" s="2" t="s">
        <v>1306</v>
      </c>
    </row>
    <row r="1441" customFormat="false" ht="15" hidden="false" customHeight="false" outlineLevel="1" collapsed="false">
      <c r="A1441" s="7" t="s">
        <v>694</v>
      </c>
      <c r="B1441" s="8" t="s">
        <v>11</v>
      </c>
      <c r="C1441" s="61" t="n">
        <f aca="false">C1311*1000*C1395</f>
        <v>0</v>
      </c>
      <c r="D1441" s="61" t="n">
        <f aca="false">D1311*1000*D1395</f>
        <v>0</v>
      </c>
      <c r="E1441" s="61" t="n">
        <f aca="false">E1311*1000*E1395</f>
        <v>0</v>
      </c>
      <c r="F1441" s="61" t="n">
        <f aca="false">F1311*1000*F1395</f>
        <v>0</v>
      </c>
      <c r="G1441" s="61" t="n">
        <f aca="false">G1311*1000*G1395</f>
        <v>0</v>
      </c>
      <c r="H1441" s="2" t="s">
        <v>1307</v>
      </c>
    </row>
    <row r="1442" customFormat="false" ht="15" hidden="false" customHeight="false" outlineLevel="1" collapsed="false">
      <c r="A1442" s="7" t="s">
        <v>695</v>
      </c>
      <c r="B1442" s="8" t="s">
        <v>11</v>
      </c>
      <c r="C1442" s="61" t="n">
        <f aca="false">C1432+C1433+C1434+C1435+C1436+C1437+C1438+C1439+C1440+C1441</f>
        <v>15341.8580821918</v>
      </c>
      <c r="D1442" s="61" t="n">
        <f aca="false">D1432+D1433+D1434+D1435+D1436+D1437+D1438+D1439+D1440+D1441</f>
        <v>104130.783209393</v>
      </c>
      <c r="E1442" s="61" t="n">
        <f aca="false">E1432+E1433+E1434+E1435+E1436+E1437+E1438+E1439+E1440+E1441</f>
        <v>242146.261409002</v>
      </c>
      <c r="F1442" s="61" t="n">
        <f aca="false">F1432+F1433+F1434+F1435+F1436+F1437+F1438+F1439+F1440+F1441</f>
        <v>433558.333502936</v>
      </c>
      <c r="G1442" s="61" t="n">
        <f aca="false">G1432+G1433+G1434+G1435+G1436+G1437+G1438+G1439+G1440+G1441</f>
        <v>668872.547162427</v>
      </c>
      <c r="H1442" s="2" t="s">
        <v>1308</v>
      </c>
    </row>
    <row r="1443" customFormat="false" ht="15" hidden="false" customHeight="false" outlineLevel="1" collapsed="false">
      <c r="A1443" s="7" t="s">
        <v>696</v>
      </c>
      <c r="B1443" s="8" t="s">
        <v>11</v>
      </c>
      <c r="C1443" s="61" t="n">
        <f aca="false">C1307*1000*(C1342)+C1308*1000*(C1365)+C1310*1000*(C1388)</f>
        <v>0</v>
      </c>
      <c r="D1443" s="61" t="n">
        <f aca="false">D1307*1000*(D1342)+D1308*1000*(D1365)+D1310*1000*(D1388)</f>
        <v>23317.0273972603</v>
      </c>
      <c r="E1443" s="61" t="n">
        <f aca="false">E1307*1000*(E1342)+E1308*1000*(E1365)+E1310*1000*(E1388)</f>
        <v>36586.560359589</v>
      </c>
      <c r="F1443" s="61" t="n">
        <f aca="false">F1307*1000*(F1342)+F1308*1000*(F1365)+F1310*1000*(F1388)</f>
        <v>58470.0950342466</v>
      </c>
      <c r="G1443" s="61" t="n">
        <f aca="false">G1307*1000*(G1342)+G1308*1000*(G1365)+G1310*1000*(G1388)</f>
        <v>88739.9229452055</v>
      </c>
      <c r="H1443" s="2" t="s">
        <v>1309</v>
      </c>
    </row>
    <row r="1444" customFormat="false" ht="15" hidden="false" customHeight="false" outlineLevel="1" collapsed="false">
      <c r="A1444" s="7" t="s">
        <v>697</v>
      </c>
      <c r="B1444" s="8" t="s">
        <v>11</v>
      </c>
      <c r="C1444" s="61" t="n">
        <f aca="false">C1320*1000*C1422</f>
        <v>0</v>
      </c>
      <c r="D1444" s="61" t="n">
        <f aca="false">D1320*1000*D1422</f>
        <v>0</v>
      </c>
      <c r="E1444" s="61" t="n">
        <f aca="false">E1320*1000*E1422</f>
        <v>2184.50342465753</v>
      </c>
      <c r="F1444" s="61" t="n">
        <f aca="false">F1320*1000*F1422</f>
        <v>4077.7397260274</v>
      </c>
      <c r="G1444" s="61" t="n">
        <f aca="false">G1320*1000*G1422</f>
        <v>6796.23287671233</v>
      </c>
      <c r="H1444" s="2" t="s">
        <v>1310</v>
      </c>
    </row>
    <row r="1445" customFormat="false" ht="15" hidden="false" customHeight="false" outlineLevel="1" collapsed="false">
      <c r="A1445" s="7" t="s">
        <v>698</v>
      </c>
      <c r="B1445" s="8" t="s">
        <v>11</v>
      </c>
      <c r="C1445" s="61" t="n">
        <f aca="false">C1443+C1444</f>
        <v>0</v>
      </c>
      <c r="D1445" s="61" t="n">
        <f aca="false">D1443+D1444</f>
        <v>23317.0273972603</v>
      </c>
      <c r="E1445" s="61" t="n">
        <f aca="false">E1443+E1444</f>
        <v>38771.0637842466</v>
      </c>
      <c r="F1445" s="61" t="n">
        <f aca="false">F1443+F1444</f>
        <v>62547.834760274</v>
      </c>
      <c r="G1445" s="61" t="n">
        <f aca="false">G1443+G1444</f>
        <v>95536.1558219178</v>
      </c>
      <c r="H1445" s="2" t="s">
        <v>1311</v>
      </c>
    </row>
    <row r="1446" customFormat="false" ht="15" hidden="false" customHeight="false" outlineLevel="1" collapsed="false">
      <c r="A1446" s="8" t="s">
        <v>699</v>
      </c>
      <c r="B1446" s="8" t="s">
        <v>11</v>
      </c>
      <c r="C1446" s="70" t="n">
        <f aca="false">ROUND(C1408-C1431-C1442-C1445-C1427,6)</f>
        <v>-0</v>
      </c>
      <c r="D1446" s="70" t="n">
        <f aca="false">ROUND(D1408-D1431-D1442-D1445-D1427,6)</f>
        <v>-0</v>
      </c>
      <c r="E1446" s="70" t="n">
        <f aca="false">ROUND(E1408-E1431-E1442-E1445-E1427,6)</f>
        <v>-0</v>
      </c>
      <c r="F1446" s="70" t="n">
        <f aca="false">ROUND(F1408-F1431-F1442-F1445-F1427,6)</f>
        <v>-0</v>
      </c>
      <c r="G1446" s="70" t="n">
        <f aca="false">ROUND(G1408-G1431-G1442-G1445-G1427,6)</f>
        <v>0</v>
      </c>
      <c r="H1446" s="2" t="s">
        <v>1312</v>
      </c>
    </row>
    <row r="1447" customFormat="false" ht="15" hidden="false" customHeight="false" outlineLevel="0" collapsed="false">
      <c r="A1447" s="3" t="s">
        <v>1313</v>
      </c>
      <c r="B1447" s="4"/>
      <c r="C1447" s="4"/>
      <c r="D1447" s="4"/>
      <c r="E1447" s="4"/>
      <c r="F1447" s="4"/>
      <c r="G1447" s="4"/>
      <c r="H1447" s="4"/>
    </row>
    <row r="1448" customFormat="false" ht="15" hidden="false" customHeight="false" outlineLevel="1" collapsed="false">
      <c r="A1448" s="7" t="s">
        <v>638</v>
      </c>
      <c r="B1448" s="8" t="s">
        <v>432</v>
      </c>
      <c r="C1448" s="64" t="n">
        <f aca="false">Pressupostos!$C$332</f>
        <v>1</v>
      </c>
      <c r="D1448" s="64" t="n">
        <f aca="false">Pressupostos!$D$332</f>
        <v>1</v>
      </c>
      <c r="E1448" s="64" t="n">
        <f aca="false">Pressupostos!$E$332</f>
        <v>1</v>
      </c>
      <c r="F1448" s="64" t="n">
        <f aca="false">Pressupostos!$F$332</f>
        <v>1</v>
      </c>
      <c r="G1448" s="64" t="n">
        <f aca="false">Pressupostos!$G$332</f>
        <v>1</v>
      </c>
      <c r="H1448" s="2" t="s">
        <v>1314</v>
      </c>
    </row>
    <row r="1449" customFormat="false" ht="15" hidden="false" customHeight="false" outlineLevel="1" collapsed="false">
      <c r="A1449" s="7" t="s">
        <v>639</v>
      </c>
      <c r="B1449" s="8" t="s">
        <v>432</v>
      </c>
      <c r="C1449" s="64" t="n">
        <f aca="false">Pressupostos!$C$338</f>
        <v>1</v>
      </c>
      <c r="D1449" s="64" t="n">
        <f aca="false">Pressupostos!$D$338</f>
        <v>1</v>
      </c>
      <c r="E1449" s="64" t="n">
        <f aca="false">Pressupostos!$E$338</f>
        <v>1</v>
      </c>
      <c r="F1449" s="64" t="n">
        <f aca="false">Pressupostos!$F$338</f>
        <v>1</v>
      </c>
      <c r="G1449" s="64" t="n">
        <f aca="false">Pressupostos!$G$338</f>
        <v>1</v>
      </c>
      <c r="H1449" s="2" t="s">
        <v>1315</v>
      </c>
    </row>
    <row r="1450" customFormat="false" ht="15" hidden="false" customHeight="false" outlineLevel="1" collapsed="false">
      <c r="A1450" s="7" t="s">
        <v>640</v>
      </c>
      <c r="B1450" s="8" t="s">
        <v>432</v>
      </c>
      <c r="C1450" s="64" t="n">
        <f aca="false">Pressupostos!$C$344</f>
        <v>1</v>
      </c>
      <c r="D1450" s="64" t="n">
        <f aca="false">Pressupostos!$D$344</f>
        <v>1</v>
      </c>
      <c r="E1450" s="64" t="n">
        <f aca="false">Pressupostos!$E$344</f>
        <v>2</v>
      </c>
      <c r="F1450" s="64" t="n">
        <f aca="false">Pressupostos!$F$344</f>
        <v>2</v>
      </c>
      <c r="G1450" s="64" t="n">
        <f aca="false">Pressupostos!$G$344</f>
        <v>2</v>
      </c>
      <c r="H1450" s="2" t="s">
        <v>1316</v>
      </c>
    </row>
    <row r="1451" customFormat="false" ht="15" hidden="false" customHeight="false" outlineLevel="1" collapsed="false">
      <c r="A1451" s="7" t="s">
        <v>641</v>
      </c>
      <c r="B1451" s="8" t="s">
        <v>432</v>
      </c>
      <c r="C1451" s="64" t="n">
        <f aca="false">Pressupostos!$C$350</f>
        <v>1</v>
      </c>
      <c r="D1451" s="64" t="n">
        <f aca="false">Pressupostos!$D$350</f>
        <v>1</v>
      </c>
      <c r="E1451" s="64" t="n">
        <f aca="false">Pressupostos!$E$350</f>
        <v>1</v>
      </c>
      <c r="F1451" s="64" t="n">
        <f aca="false">Pressupostos!$F$350</f>
        <v>1</v>
      </c>
      <c r="G1451" s="64" t="n">
        <f aca="false">Pressupostos!$G$350</f>
        <v>1</v>
      </c>
      <c r="H1451" s="2" t="s">
        <v>1317</v>
      </c>
    </row>
    <row r="1452" customFormat="false" ht="15" hidden="false" customHeight="false" outlineLevel="1" collapsed="false">
      <c r="A1452" s="7" t="s">
        <v>642</v>
      </c>
      <c r="B1452" s="8" t="s">
        <v>432</v>
      </c>
      <c r="C1452" s="64" t="n">
        <f aca="false">Pressupostos!$C$356</f>
        <v>0.5</v>
      </c>
      <c r="D1452" s="64" t="n">
        <f aca="false">Pressupostos!$D$356</f>
        <v>1</v>
      </c>
      <c r="E1452" s="64" t="n">
        <f aca="false">Pressupostos!$E$356</f>
        <v>1</v>
      </c>
      <c r="F1452" s="64" t="n">
        <f aca="false">Pressupostos!$F$356</f>
        <v>1</v>
      </c>
      <c r="G1452" s="64" t="n">
        <f aca="false">Pressupostos!$G$356</f>
        <v>1</v>
      </c>
      <c r="H1452" s="2" t="s">
        <v>1318</v>
      </c>
    </row>
    <row r="1453" customFormat="false" ht="15" hidden="false" customHeight="false" outlineLevel="1" collapsed="false">
      <c r="A1453" s="7" t="s">
        <v>643</v>
      </c>
      <c r="B1453" s="8" t="s">
        <v>432</v>
      </c>
      <c r="C1453" s="64" t="n">
        <f aca="false">Pressupostos!$C$362</f>
        <v>1</v>
      </c>
      <c r="D1453" s="64" t="n">
        <f aca="false">Pressupostos!$D$362</f>
        <v>1</v>
      </c>
      <c r="E1453" s="64" t="n">
        <f aca="false">Pressupostos!$E$362</f>
        <v>1</v>
      </c>
      <c r="F1453" s="64" t="n">
        <f aca="false">Pressupostos!$F$362</f>
        <v>2</v>
      </c>
      <c r="G1453" s="64" t="n">
        <f aca="false">Pressupostos!$G$362</f>
        <v>2</v>
      </c>
      <c r="H1453" s="2" t="s">
        <v>1319</v>
      </c>
    </row>
    <row r="1454" customFormat="false" ht="15" hidden="false" customHeight="false" outlineLevel="1" collapsed="false">
      <c r="A1454" s="7" t="s">
        <v>644</v>
      </c>
      <c r="B1454" s="8" t="s">
        <v>432</v>
      </c>
      <c r="C1454" s="64" t="n">
        <f aca="false">Pressupostos!$C$368</f>
        <v>0.5</v>
      </c>
      <c r="D1454" s="64" t="n">
        <f aca="false">Pressupostos!$D$368</f>
        <v>1</v>
      </c>
      <c r="E1454" s="64" t="n">
        <f aca="false">Pressupostos!$E$368</f>
        <v>1</v>
      </c>
      <c r="F1454" s="64" t="n">
        <f aca="false">Pressupostos!$F$368</f>
        <v>1</v>
      </c>
      <c r="G1454" s="64" t="n">
        <f aca="false">Pressupostos!$G$368</f>
        <v>1</v>
      </c>
      <c r="H1454" s="2" t="s">
        <v>1320</v>
      </c>
    </row>
    <row r="1455" customFormat="false" ht="15" hidden="false" customHeight="false" outlineLevel="1" collapsed="false">
      <c r="A1455" s="7" t="s">
        <v>645</v>
      </c>
      <c r="B1455" s="8" t="s">
        <v>432</v>
      </c>
      <c r="C1455" s="64" t="n">
        <f aca="false">Pressupostos!$C$374</f>
        <v>1</v>
      </c>
      <c r="D1455" s="64" t="n">
        <f aca="false">Pressupostos!$D$374</f>
        <v>1</v>
      </c>
      <c r="E1455" s="64" t="n">
        <f aca="false">Pressupostos!$E$374</f>
        <v>2</v>
      </c>
      <c r="F1455" s="64" t="n">
        <f aca="false">Pressupostos!$F$374</f>
        <v>3</v>
      </c>
      <c r="G1455" s="64" t="n">
        <f aca="false">Pressupostos!$G$374</f>
        <v>5</v>
      </c>
      <c r="H1455" s="2" t="s">
        <v>1321</v>
      </c>
    </row>
    <row r="1456" customFormat="false" ht="15" hidden="false" customHeight="false" outlineLevel="1" collapsed="false">
      <c r="A1456" s="7" t="s">
        <v>646</v>
      </c>
      <c r="B1456" s="8" t="s">
        <v>432</v>
      </c>
      <c r="C1456" s="64" t="n">
        <f aca="false">Pressupostos!$C$380</f>
        <v>0</v>
      </c>
      <c r="D1456" s="64" t="n">
        <f aca="false">Pressupostos!$D$380</f>
        <v>0</v>
      </c>
      <c r="E1456" s="64" t="n">
        <f aca="false">Pressupostos!$E$380</f>
        <v>0</v>
      </c>
      <c r="F1456" s="64" t="n">
        <f aca="false">Pressupostos!$F$380</f>
        <v>1</v>
      </c>
      <c r="G1456" s="64" t="n">
        <f aca="false">Pressupostos!$G$380</f>
        <v>1</v>
      </c>
      <c r="H1456" s="2" t="s">
        <v>1322</v>
      </c>
    </row>
    <row r="1457" customFormat="false" ht="15" hidden="false" customHeight="false" outlineLevel="1" collapsed="false">
      <c r="A1457" s="7" t="s">
        <v>647</v>
      </c>
      <c r="B1457" s="8" t="s">
        <v>432</v>
      </c>
      <c r="C1457" s="64" t="n">
        <f aca="false">Pressupostos!$C$386</f>
        <v>0</v>
      </c>
      <c r="D1457" s="64" t="n">
        <f aca="false">Pressupostos!$D$386</f>
        <v>0</v>
      </c>
      <c r="E1457" s="64" t="n">
        <f aca="false">Pressupostos!$E$386</f>
        <v>0</v>
      </c>
      <c r="F1457" s="64" t="n">
        <f aca="false">Pressupostos!$F$386</f>
        <v>0</v>
      </c>
      <c r="G1457" s="64" t="n">
        <f aca="false">Pressupostos!$G$386</f>
        <v>1</v>
      </c>
      <c r="H1457" s="2" t="s">
        <v>1323</v>
      </c>
    </row>
    <row r="1458" customFormat="false" ht="15" hidden="false" customHeight="false" outlineLevel="1" collapsed="false">
      <c r="A1458" s="7" t="s">
        <v>648</v>
      </c>
      <c r="B1458" s="8" t="s">
        <v>432</v>
      </c>
      <c r="C1458" s="64" t="n">
        <f aca="false">Pressupostos!$C$392</f>
        <v>0</v>
      </c>
      <c r="D1458" s="64" t="n">
        <f aca="false">Pressupostos!$D$392</f>
        <v>0</v>
      </c>
      <c r="E1458" s="64" t="n">
        <f aca="false">Pressupostos!$E$392</f>
        <v>1</v>
      </c>
      <c r="F1458" s="64" t="n">
        <f aca="false">Pressupostos!$F$392</f>
        <v>1</v>
      </c>
      <c r="G1458" s="64" t="n">
        <f aca="false">Pressupostos!$G$392</f>
        <v>1</v>
      </c>
      <c r="H1458" s="2" t="s">
        <v>1324</v>
      </c>
    </row>
    <row r="1459" customFormat="false" ht="15" hidden="false" customHeight="false" outlineLevel="1" collapsed="false">
      <c r="A1459" s="7" t="s">
        <v>649</v>
      </c>
      <c r="B1459" s="8" t="s">
        <v>432</v>
      </c>
      <c r="C1459" s="64" t="n">
        <f aca="false">Pressupostos!$C$398</f>
        <v>0</v>
      </c>
      <c r="D1459" s="64" t="n">
        <f aca="false">Pressupostos!$D$398</f>
        <v>0</v>
      </c>
      <c r="E1459" s="64" t="n">
        <f aca="false">Pressupostos!$E$398</f>
        <v>0</v>
      </c>
      <c r="F1459" s="64" t="n">
        <f aca="false">Pressupostos!$F$398</f>
        <v>0</v>
      </c>
      <c r="G1459" s="64" t="n">
        <f aca="false">Pressupostos!$G$398</f>
        <v>0</v>
      </c>
      <c r="H1459" s="2" t="s">
        <v>1325</v>
      </c>
    </row>
    <row r="1460" customFormat="false" ht="15" hidden="false" customHeight="false" outlineLevel="1" collapsed="false">
      <c r="A1460" s="56" t="s">
        <v>650</v>
      </c>
      <c r="B1460" s="57" t="s">
        <v>432</v>
      </c>
      <c r="C1460" s="65" t="n">
        <f aca="false">C1448+C1449+C1450+C1451+C1452+C1453+C1454+C1455+C1456+C1457+C1458+C1459</f>
        <v>7</v>
      </c>
      <c r="D1460" s="65" t="n">
        <f aca="false">D1448+D1449+D1450+D1451+D1452+D1453+D1454+D1455+D1456+D1457+D1458+D1459</f>
        <v>8</v>
      </c>
      <c r="E1460" s="65" t="n">
        <f aca="false">E1448+E1449+E1450+E1451+E1452+E1453+E1454+E1455+E1456+E1457+E1458+E1459</f>
        <v>11</v>
      </c>
      <c r="F1460" s="65" t="n">
        <f aca="false">F1448+F1449+F1450+F1451+F1452+F1453+F1454+F1455+F1456+F1457+F1458+F1459</f>
        <v>14</v>
      </c>
      <c r="G1460" s="65" t="n">
        <f aca="false">G1448+G1449+G1450+G1451+G1452+G1453+G1454+G1455+G1456+G1457+G1458+G1459</f>
        <v>17</v>
      </c>
      <c r="H1460" s="2" t="s">
        <v>1326</v>
      </c>
    </row>
    <row r="1461" customFormat="false" ht="15" hidden="false" customHeight="false" outlineLevel="0" collapsed="false">
      <c r="A1461" s="3" t="s">
        <v>1327</v>
      </c>
      <c r="B1461" s="4"/>
      <c r="C1461" s="4"/>
      <c r="D1461" s="4"/>
      <c r="E1461" s="4"/>
      <c r="F1461" s="4"/>
      <c r="G1461" s="4"/>
      <c r="H1461" s="4"/>
    </row>
    <row r="1462" customFormat="false" ht="15" hidden="false" customHeight="false" outlineLevel="1" collapsed="false">
      <c r="A1462" s="7" t="s">
        <v>638</v>
      </c>
      <c r="B1462" s="8" t="s">
        <v>11</v>
      </c>
      <c r="C1462" s="61" t="n">
        <f aca="false">C1448*Pressupostos!$C$131*(1+Pressupostos!$C$127)^0*(1+Pressupostos!$C$132)*Pressupostos!$C$128</f>
        <v>43998</v>
      </c>
      <c r="D1462" s="61" t="n">
        <f aca="false">D1448*Pressupostos!$C$131*(1+Pressupostos!$C$127)^1*(1+Pressupostos!$C$132)</f>
        <v>61800</v>
      </c>
      <c r="E1462" s="61" t="n">
        <f aca="false">E1448*Pressupostos!$C$131*(1+Pressupostos!$C$127)^2*(1+Pressupostos!$C$132)</f>
        <v>63654</v>
      </c>
      <c r="F1462" s="61" t="n">
        <f aca="false">F1448*Pressupostos!$C$131*(1+Pressupostos!$C$127)^3*(1+Pressupostos!$C$132)</f>
        <v>65563.62</v>
      </c>
      <c r="G1462" s="61" t="n">
        <f aca="false">G1448*Pressupostos!$C$131*(1+Pressupostos!$C$127)^4*(1+Pressupostos!$C$132)</f>
        <v>67530.5286</v>
      </c>
      <c r="H1462" s="2" t="s">
        <v>1328</v>
      </c>
    </row>
    <row r="1463" customFormat="false" ht="15" hidden="false" customHeight="false" outlineLevel="1" collapsed="false">
      <c r="A1463" s="7" t="s">
        <v>639</v>
      </c>
      <c r="B1463" s="8" t="s">
        <v>11</v>
      </c>
      <c r="C1463" s="61" t="n">
        <f aca="false">C1449*Pressupostos!$C$133*(1+Pressupostos!$C$127)^0*(1+Pressupostos!$C$134)*Pressupostos!$C$128</f>
        <v>47664.5</v>
      </c>
      <c r="D1463" s="61" t="n">
        <f aca="false">D1449*Pressupostos!$C$133*(1+Pressupostos!$C$127)^1*(1+Pressupostos!$C$134)</f>
        <v>66950</v>
      </c>
      <c r="E1463" s="61" t="n">
        <f aca="false">E1449*Pressupostos!$C$133*(1+Pressupostos!$C$127)^2*(1+Pressupostos!$C$134)</f>
        <v>68958.5</v>
      </c>
      <c r="F1463" s="61" t="n">
        <f aca="false">F1449*Pressupostos!$C$133*(1+Pressupostos!$C$127)^3*(1+Pressupostos!$C$134)</f>
        <v>71027.255</v>
      </c>
      <c r="G1463" s="61" t="n">
        <f aca="false">G1449*Pressupostos!$C$133*(1+Pressupostos!$C$127)^4*(1+Pressupostos!$C$134)</f>
        <v>73158.07265</v>
      </c>
      <c r="H1463" s="2" t="s">
        <v>1329</v>
      </c>
    </row>
    <row r="1464" customFormat="false" ht="15" hidden="false" customHeight="false" outlineLevel="1" collapsed="false">
      <c r="A1464" s="7" t="s">
        <v>640</v>
      </c>
      <c r="B1464" s="8" t="s">
        <v>11</v>
      </c>
      <c r="C1464" s="61" t="n">
        <f aca="false">C1450*Pressupostos!$C$135*(1+Pressupostos!$C$127)^0*(1+Pressupostos!$C$136)</f>
        <v>45000</v>
      </c>
      <c r="D1464" s="61" t="n">
        <f aca="false">D1450*Pressupostos!$C$135*(1+Pressupostos!$C$127)^1*(1+Pressupostos!$C$136)</f>
        <v>46350</v>
      </c>
      <c r="E1464" s="61" t="n">
        <f aca="false">E1450*Pressupostos!$C$135*(1+Pressupostos!$C$127)^2*(1+Pressupostos!$C$136)</f>
        <v>95481</v>
      </c>
      <c r="F1464" s="61" t="n">
        <f aca="false">F1450*Pressupostos!$C$135*(1+Pressupostos!$C$127)^3*(1+Pressupostos!$C$136)</f>
        <v>98345.43</v>
      </c>
      <c r="G1464" s="61" t="n">
        <f aca="false">G1450*Pressupostos!$C$135*(1+Pressupostos!$C$127)^4*(1+Pressupostos!$C$136)</f>
        <v>101295.7929</v>
      </c>
      <c r="H1464" s="2" t="s">
        <v>1330</v>
      </c>
    </row>
    <row r="1465" customFormat="false" ht="15" hidden="false" customHeight="false" outlineLevel="1" collapsed="false">
      <c r="A1465" s="7" t="s">
        <v>641</v>
      </c>
      <c r="B1465" s="8" t="s">
        <v>11</v>
      </c>
      <c r="C1465" s="61" t="n">
        <f aca="false">C1451*Pressupostos!$C$137*(1+Pressupostos!$C$127)^0*(1+Pressupostos!$C$138)</f>
        <v>60000</v>
      </c>
      <c r="D1465" s="61" t="n">
        <f aca="false">D1451*Pressupostos!$C$137*(1+Pressupostos!$C$127)^1*(1+Pressupostos!$C$138)</f>
        <v>61800</v>
      </c>
      <c r="E1465" s="61" t="n">
        <f aca="false">E1451*Pressupostos!$C$137*(1+Pressupostos!$C$127)^2*(1+Pressupostos!$C$138)</f>
        <v>63654</v>
      </c>
      <c r="F1465" s="61" t="n">
        <f aca="false">F1451*Pressupostos!$C$137*(1+Pressupostos!$C$127)^3*(1+Pressupostos!$C$138)</f>
        <v>65563.62</v>
      </c>
      <c r="G1465" s="61" t="n">
        <f aca="false">G1451*Pressupostos!$C$137*(1+Pressupostos!$C$127)^4*(1+Pressupostos!$C$138)</f>
        <v>67530.5286</v>
      </c>
      <c r="H1465" s="2" t="s">
        <v>1331</v>
      </c>
    </row>
    <row r="1466" customFormat="false" ht="15" hidden="false" customHeight="false" outlineLevel="1" collapsed="false">
      <c r="A1466" s="7" t="s">
        <v>642</v>
      </c>
      <c r="B1466" s="8" t="s">
        <v>11</v>
      </c>
      <c r="C1466" s="61" t="n">
        <f aca="false">C1452*Pressupostos!$C$139*(1+Pressupostos!$C$127)^0*(1+Pressupostos!$C$140)</f>
        <v>22500</v>
      </c>
      <c r="D1466" s="61" t="n">
        <f aca="false">D1452*Pressupostos!$C$139*(1+Pressupostos!$C$127)^1*(1+Pressupostos!$C$140)</f>
        <v>46350</v>
      </c>
      <c r="E1466" s="61" t="n">
        <f aca="false">E1452*Pressupostos!$C$139*(1+Pressupostos!$C$127)^2*(1+Pressupostos!$C$140)</f>
        <v>47740.5</v>
      </c>
      <c r="F1466" s="61" t="n">
        <f aca="false">F1452*Pressupostos!$C$139*(1+Pressupostos!$C$127)^3*(1+Pressupostos!$C$140)</f>
        <v>49172.715</v>
      </c>
      <c r="G1466" s="61" t="n">
        <f aca="false">G1452*Pressupostos!$C$139*(1+Pressupostos!$C$127)^4*(1+Pressupostos!$C$140)</f>
        <v>50647.89645</v>
      </c>
      <c r="H1466" s="2" t="s">
        <v>1332</v>
      </c>
    </row>
    <row r="1467" customFormat="false" ht="15" hidden="false" customHeight="false" outlineLevel="1" collapsed="false">
      <c r="A1467" s="7" t="s">
        <v>643</v>
      </c>
      <c r="B1467" s="8" t="s">
        <v>11</v>
      </c>
      <c r="C1467" s="61" t="n">
        <f aca="false">C1453*Pressupostos!$C$141*(1+Pressupostos!$C$127)^0*(1+Pressupostos!$C$142)</f>
        <v>38000</v>
      </c>
      <c r="D1467" s="61" t="n">
        <f aca="false">D1453*Pressupostos!$C$141*(1+Pressupostos!$C$127)^1*(1+Pressupostos!$C$142)</f>
        <v>39140</v>
      </c>
      <c r="E1467" s="61" t="n">
        <f aca="false">E1453*Pressupostos!$C$141*(1+Pressupostos!$C$127)^2*(1+Pressupostos!$C$142)</f>
        <v>40314.2</v>
      </c>
      <c r="F1467" s="61" t="n">
        <f aca="false">F1453*Pressupostos!$C$141*(1+Pressupostos!$C$127)^3*(1+Pressupostos!$C$142)</f>
        <v>83047.252</v>
      </c>
      <c r="G1467" s="61" t="n">
        <f aca="false">G1453*Pressupostos!$C$141*(1+Pressupostos!$C$127)^4*(1+Pressupostos!$C$142)</f>
        <v>85538.66956</v>
      </c>
      <c r="H1467" s="2" t="s">
        <v>1333</v>
      </c>
    </row>
    <row r="1468" customFormat="false" ht="15" hidden="false" customHeight="false" outlineLevel="1" collapsed="false">
      <c r="A1468" s="7" t="s">
        <v>644</v>
      </c>
      <c r="B1468" s="8" t="s">
        <v>11</v>
      </c>
      <c r="C1468" s="61" t="n">
        <f aca="false">C1454*Pressupostos!$C$143*(1+Pressupostos!$C$127)^0*(1+Pressupostos!$C$144)</f>
        <v>16000</v>
      </c>
      <c r="D1468" s="61" t="n">
        <f aca="false">D1454*Pressupostos!$C$143*(1+Pressupostos!$C$127)^1*(1+Pressupostos!$C$144)</f>
        <v>32960</v>
      </c>
      <c r="E1468" s="61" t="n">
        <f aca="false">E1454*Pressupostos!$C$143*(1+Pressupostos!$C$127)^2*(1+Pressupostos!$C$144)</f>
        <v>33948.8</v>
      </c>
      <c r="F1468" s="61" t="n">
        <f aca="false">F1454*Pressupostos!$C$143*(1+Pressupostos!$C$127)^3*(1+Pressupostos!$C$144)</f>
        <v>34967.264</v>
      </c>
      <c r="G1468" s="61" t="n">
        <f aca="false">G1454*Pressupostos!$C$143*(1+Pressupostos!$C$127)^4*(1+Pressupostos!$C$144)</f>
        <v>36016.28192</v>
      </c>
      <c r="H1468" s="2" t="s">
        <v>1334</v>
      </c>
    </row>
    <row r="1469" customFormat="false" ht="15" hidden="false" customHeight="false" outlineLevel="1" collapsed="false">
      <c r="A1469" s="7" t="s">
        <v>645</v>
      </c>
      <c r="B1469" s="8" t="s">
        <v>11</v>
      </c>
      <c r="C1469" s="61" t="n">
        <f aca="false">C1455*Pressupostos!$C$145*(1+Pressupostos!$C$127)^0*(1+Pressupostos!$C$146)</f>
        <v>34500</v>
      </c>
      <c r="D1469" s="61" t="n">
        <f aca="false">D1455*Pressupostos!$C$145*(1+Pressupostos!$C$127)^1*(1+Pressupostos!$C$146)</f>
        <v>35535</v>
      </c>
      <c r="E1469" s="61" t="n">
        <f aca="false">E1455*Pressupostos!$C$145*(1+Pressupostos!$C$127)^2*(1+Pressupostos!$C$146)</f>
        <v>73202.1</v>
      </c>
      <c r="F1469" s="61" t="n">
        <f aca="false">F1455*Pressupostos!$C$145*(1+Pressupostos!$C$127)^3*(1+Pressupostos!$C$146)</f>
        <v>113097.2445</v>
      </c>
      <c r="G1469" s="61" t="n">
        <f aca="false">G1455*Pressupostos!$C$145*(1+Pressupostos!$C$127)^4*(1+Pressupostos!$C$146)</f>
        <v>194150.269725</v>
      </c>
      <c r="H1469" s="2" t="s">
        <v>1335</v>
      </c>
    </row>
    <row r="1470" customFormat="false" ht="15" hidden="false" customHeight="false" outlineLevel="1" collapsed="false">
      <c r="A1470" s="7" t="s">
        <v>646</v>
      </c>
      <c r="B1470" s="8" t="s">
        <v>11</v>
      </c>
      <c r="C1470" s="61" t="n">
        <f aca="false">C1456*Pressupostos!$C$147*(1+Pressupostos!$C$127)^0*(1+Pressupostos!$C$148)</f>
        <v>0</v>
      </c>
      <c r="D1470" s="61" t="n">
        <f aca="false">D1456*Pressupostos!$C$147*(1+Pressupostos!$C$127)^1*(1+Pressupostos!$C$148)</f>
        <v>0</v>
      </c>
      <c r="E1470" s="61" t="n">
        <f aca="false">E1456*Pressupostos!$C$147*(1+Pressupostos!$C$127)^2*(1+Pressupostos!$C$148)</f>
        <v>0</v>
      </c>
      <c r="F1470" s="61" t="n">
        <f aca="false">F1456*Pressupostos!$C$147*(1+Pressupostos!$C$127)^3*(1+Pressupostos!$C$148)</f>
        <v>49172.715</v>
      </c>
      <c r="G1470" s="61" t="n">
        <f aca="false">G1456*Pressupostos!$C$147*(1+Pressupostos!$C$127)^4*(1+Pressupostos!$C$148)</f>
        <v>50647.89645</v>
      </c>
      <c r="H1470" s="2" t="s">
        <v>1336</v>
      </c>
    </row>
    <row r="1471" customFormat="false" ht="15" hidden="false" customHeight="false" outlineLevel="1" collapsed="false">
      <c r="A1471" s="7" t="s">
        <v>647</v>
      </c>
      <c r="B1471" s="8" t="s">
        <v>11</v>
      </c>
      <c r="C1471" s="61" t="n">
        <f aca="false">C1457*Pressupostos!$C$149*(1+Pressupostos!$C$127)^0*(1+Pressupostos!$C$150)</f>
        <v>0</v>
      </c>
      <c r="D1471" s="61" t="n">
        <f aca="false">D1457*Pressupostos!$C$149*(1+Pressupostos!$C$127)^1*(1+Pressupostos!$C$150)</f>
        <v>0</v>
      </c>
      <c r="E1471" s="61" t="n">
        <f aca="false">E1457*Pressupostos!$C$149*(1+Pressupostos!$C$127)^2*(1+Pressupostos!$C$150)</f>
        <v>0</v>
      </c>
      <c r="F1471" s="61" t="n">
        <f aca="false">F1457*Pressupostos!$C$149*(1+Pressupostos!$C$127)^3*(1+Pressupostos!$C$150)</f>
        <v>0</v>
      </c>
      <c r="G1471" s="61" t="n">
        <f aca="false">G1457*Pressupostos!$C$149*(1+Pressupostos!$C$127)^4*(1+Pressupostos!$C$150)</f>
        <v>45020.3524</v>
      </c>
      <c r="H1471" s="2" t="s">
        <v>1337</v>
      </c>
    </row>
    <row r="1472" customFormat="false" ht="15" hidden="false" customHeight="false" outlineLevel="1" collapsed="false">
      <c r="A1472" s="7" t="s">
        <v>648</v>
      </c>
      <c r="B1472" s="8" t="s">
        <v>11</v>
      </c>
      <c r="C1472" s="61" t="n">
        <f aca="false">C1458*Pressupostos!$C$151*(1+Pressupostos!$C$127)^0*(1+Pressupostos!$C$152)</f>
        <v>0</v>
      </c>
      <c r="D1472" s="61" t="n">
        <f aca="false">D1458*Pressupostos!$C$151*(1+Pressupostos!$C$127)^1*(1+Pressupostos!$C$152)</f>
        <v>0</v>
      </c>
      <c r="E1472" s="61" t="n">
        <f aca="false">E1458*Pressupostos!$C$151*(1+Pressupostos!$C$127)^2*(1+Pressupostos!$C$152)</f>
        <v>25461.6</v>
      </c>
      <c r="F1472" s="61" t="n">
        <f aca="false">F1458*Pressupostos!$C$151*(1+Pressupostos!$C$127)^3*(1+Pressupostos!$C$152)</f>
        <v>26225.448</v>
      </c>
      <c r="G1472" s="61" t="n">
        <f aca="false">G1458*Pressupostos!$C$151*(1+Pressupostos!$C$127)^4*(1+Pressupostos!$C$152)</f>
        <v>27012.21144</v>
      </c>
      <c r="H1472" s="2" t="s">
        <v>1338</v>
      </c>
    </row>
    <row r="1473" customFormat="false" ht="15" hidden="false" customHeight="false" outlineLevel="1" collapsed="false">
      <c r="A1473" s="7" t="s">
        <v>649</v>
      </c>
      <c r="B1473" s="8" t="s">
        <v>11</v>
      </c>
      <c r="C1473" s="61" t="n">
        <f aca="false">C1459*Pressupostos!$C$153*(1+Pressupostos!$C$127)^0*(1+Pressupostos!$C$154)</f>
        <v>0</v>
      </c>
      <c r="D1473" s="61" t="n">
        <f aca="false">D1459*Pressupostos!$C$153*(1+Pressupostos!$C$127)^1*(1+Pressupostos!$C$154)</f>
        <v>0</v>
      </c>
      <c r="E1473" s="61" t="n">
        <f aca="false">E1459*Pressupostos!$C$153*(1+Pressupostos!$C$127)^2*(1+Pressupostos!$C$154)</f>
        <v>0</v>
      </c>
      <c r="F1473" s="61" t="n">
        <f aca="false">F1459*Pressupostos!$C$153*(1+Pressupostos!$C$127)^3*(1+Pressupostos!$C$154)</f>
        <v>0</v>
      </c>
      <c r="G1473" s="61" t="n">
        <f aca="false">G1459*Pressupostos!$C$153*(1+Pressupostos!$C$127)^4*(1+Pressupostos!$C$154)</f>
        <v>0</v>
      </c>
      <c r="H1473" s="2" t="s">
        <v>1339</v>
      </c>
    </row>
    <row r="1474" customFormat="false" ht="15" hidden="false" customHeight="false" outlineLevel="1" collapsed="false">
      <c r="A1474" s="7" t="s">
        <v>652</v>
      </c>
      <c r="B1474" s="8" t="s">
        <v>11</v>
      </c>
      <c r="C1474" s="61" t="n">
        <f aca="false">C1462+C1463+C1464+C1465+C1466+C1467+C1468+C1469+C1470+C1471+C1472+C1473</f>
        <v>307662.5</v>
      </c>
      <c r="D1474" s="61" t="n">
        <f aca="false">D1462+D1463+D1464+D1465+D1466+D1467+D1468+D1469+D1470+D1471+D1472+D1473</f>
        <v>390885</v>
      </c>
      <c r="E1474" s="61" t="n">
        <f aca="false">E1462+E1463+E1464+E1465+E1466+E1467+E1468+E1469+E1470+E1471+E1472+E1473</f>
        <v>512414.7</v>
      </c>
      <c r="F1474" s="61" t="n">
        <f aca="false">F1462+F1463+F1464+F1465+F1466+F1467+F1468+F1469+F1470+F1471+F1472+F1473</f>
        <v>656182.5635</v>
      </c>
      <c r="G1474" s="61" t="n">
        <f aca="false">G1462+G1463+G1464+G1465+G1466+G1467+G1468+G1469+G1470+G1471+G1472+G1473</f>
        <v>798548.500695</v>
      </c>
      <c r="H1474" s="2" t="s">
        <v>1340</v>
      </c>
    </row>
    <row r="1475" customFormat="false" ht="15" hidden="false" customHeight="false" outlineLevel="1" collapsed="false">
      <c r="A1475" s="7" t="s">
        <v>653</v>
      </c>
      <c r="B1475" s="8" t="s">
        <v>11</v>
      </c>
      <c r="C1475" s="61" t="n">
        <f aca="false">C1474*(Pressupostos!$C$124+Pressupostos!$C$125)</f>
        <v>79223.09375</v>
      </c>
      <c r="D1475" s="61" t="n">
        <f aca="false">D1474*(Pressupostos!$C$124+Pressupostos!$C$125)</f>
        <v>100652.8875</v>
      </c>
      <c r="E1475" s="61" t="n">
        <f aca="false">E1474*(Pressupostos!$C$124+Pressupostos!$C$125)</f>
        <v>131946.78525</v>
      </c>
      <c r="F1475" s="61" t="n">
        <f aca="false">F1474*(Pressupostos!$C$124+Pressupostos!$C$125)</f>
        <v>168967.01010125</v>
      </c>
      <c r="G1475" s="61" t="n">
        <f aca="false">G1474*(Pressupostos!$C$124+Pressupostos!$C$125)</f>
        <v>205626.238928963</v>
      </c>
      <c r="H1475" s="2" t="s">
        <v>1341</v>
      </c>
    </row>
    <row r="1476" customFormat="false" ht="15" hidden="false" customHeight="false" outlineLevel="1" collapsed="false">
      <c r="A1476" s="7" t="s">
        <v>654</v>
      </c>
      <c r="B1476" s="8" t="s">
        <v>11</v>
      </c>
      <c r="C1476" s="61" t="n">
        <f aca="false">C1460*Pressupostos!$C$126*(1+Pressupostos!$C$127)^0</f>
        <v>14000</v>
      </c>
      <c r="D1476" s="61" t="n">
        <f aca="false">D1460*Pressupostos!$C$126*(1+Pressupostos!$C$127)^1</f>
        <v>16480</v>
      </c>
      <c r="E1476" s="61" t="n">
        <f aca="false">E1460*Pressupostos!$C$126*(1+Pressupostos!$C$127)^2</f>
        <v>23339.8</v>
      </c>
      <c r="F1476" s="61" t="n">
        <f aca="false">F1460*Pressupostos!$C$126*(1+Pressupostos!$C$127)^3</f>
        <v>30596.356</v>
      </c>
      <c r="G1476" s="61" t="n">
        <f aca="false">G1460*Pressupostos!$C$126*(1+Pressupostos!$C$127)^4</f>
        <v>38267.29954</v>
      </c>
      <c r="H1476" s="2" t="s">
        <v>1342</v>
      </c>
    </row>
    <row r="1477" customFormat="false" ht="15" hidden="false" customHeight="false" outlineLevel="1" collapsed="false">
      <c r="A1477" s="56" t="s">
        <v>655</v>
      </c>
      <c r="B1477" s="57" t="s">
        <v>11</v>
      </c>
      <c r="C1477" s="62" t="n">
        <f aca="false">C1474+C1475+C1476</f>
        <v>400885.59375</v>
      </c>
      <c r="D1477" s="62" t="n">
        <f aca="false">D1474+D1475+D1476</f>
        <v>508017.8875</v>
      </c>
      <c r="E1477" s="62" t="n">
        <f aca="false">E1474+E1475+E1476</f>
        <v>667701.28525</v>
      </c>
      <c r="F1477" s="62" t="n">
        <f aca="false">F1474+F1475+F1476</f>
        <v>855745.92960125</v>
      </c>
      <c r="G1477" s="62" t="n">
        <f aca="false">G1474+G1475+G1476</f>
        <v>1042442.03916396</v>
      </c>
      <c r="H1477" s="2" t="s">
        <v>1343</v>
      </c>
    </row>
    <row r="1478" customFormat="false" ht="15" hidden="false" customHeight="false" outlineLevel="1" collapsed="false">
      <c r="A1478" s="2" t="s">
        <v>656</v>
      </c>
      <c r="B1478" s="8" t="s">
        <v>11</v>
      </c>
      <c r="C1478" s="61" t="n">
        <f aca="false">IF(C1460&gt;0,C1477/C1460,0)</f>
        <v>57269.3705357143</v>
      </c>
      <c r="D1478" s="61" t="n">
        <f aca="false">IF(D1460&gt;0,D1477/D1460,0)</f>
        <v>63502.2359375</v>
      </c>
      <c r="E1478" s="61" t="n">
        <f aca="false">IF(E1460&gt;0,E1477/E1460,0)</f>
        <v>60700.1168409091</v>
      </c>
      <c r="F1478" s="61" t="n">
        <f aca="false">IF(F1460&gt;0,F1477/F1460,0)</f>
        <v>61124.7092572321</v>
      </c>
      <c r="G1478" s="61" t="n">
        <f aca="false">IF(G1460&gt;0,G1477/G1460,0)</f>
        <v>61320.1199508213</v>
      </c>
      <c r="H1478" s="2" t="s">
        <v>1344</v>
      </c>
    </row>
    <row r="1479" customFormat="false" ht="15" hidden="false" customHeight="false" outlineLevel="0" collapsed="false">
      <c r="A1479" s="3" t="s">
        <v>1345</v>
      </c>
      <c r="B1479" s="4"/>
      <c r="C1479" s="4"/>
      <c r="D1479" s="4"/>
      <c r="E1479" s="4"/>
      <c r="F1479" s="4"/>
      <c r="G1479" s="4"/>
      <c r="H1479" s="4"/>
    </row>
    <row r="1480" customFormat="false" ht="15" hidden="false" customHeight="false" outlineLevel="1" collapsed="false">
      <c r="A1480" s="7" t="s">
        <v>449</v>
      </c>
      <c r="B1480" s="8" t="s">
        <v>11</v>
      </c>
      <c r="C1480" s="61" t="n">
        <f aca="false">Pressupostos!$C$405*(1+Pressupostos!$C$156)*(1+Pressupostos!$C$157)^0</f>
        <v>94500</v>
      </c>
      <c r="D1480" s="61" t="n">
        <f aca="false">Pressupostos!$D$405*(1+Pressupostos!$C$156)*(1+Pressupostos!$C$157)^1</f>
        <v>53550</v>
      </c>
      <c r="E1480" s="61" t="n">
        <f aca="false">Pressupostos!$E$405*(1+Pressupostos!$C$156)*(1+Pressupostos!$C$157)^2</f>
        <v>49158.9</v>
      </c>
      <c r="F1480" s="61" t="n">
        <f aca="false">Pressupostos!$F$405*(1+Pressupostos!$C$156)*(1+Pressupostos!$C$157)^3</f>
        <v>50142.078</v>
      </c>
      <c r="G1480" s="61" t="n">
        <f aca="false">Pressupostos!$G$405*(1+Pressupostos!$C$156)*(1+Pressupostos!$C$157)^4</f>
        <v>51144.91956</v>
      </c>
      <c r="H1480" s="2" t="s">
        <v>1346</v>
      </c>
    </row>
    <row r="1481" customFormat="false" ht="15" hidden="false" customHeight="false" outlineLevel="1" collapsed="false">
      <c r="A1481" s="7" t="s">
        <v>451</v>
      </c>
      <c r="B1481" s="8" t="s">
        <v>11</v>
      </c>
      <c r="C1481" s="61" t="n">
        <f aca="false">Pressupostos!$C$411*(1+Pressupostos!$C$156)*(1+Pressupostos!$C$157)^0</f>
        <v>10500</v>
      </c>
      <c r="D1481" s="61" t="n">
        <f aca="false">Pressupostos!$D$411*(1+Pressupostos!$C$156)*(1+Pressupostos!$C$157)^1</f>
        <v>10710</v>
      </c>
      <c r="E1481" s="61" t="n">
        <f aca="false">Pressupostos!$E$411*(1+Pressupostos!$C$156)*(1+Pressupostos!$C$157)^2</f>
        <v>10924.2</v>
      </c>
      <c r="F1481" s="61" t="n">
        <f aca="false">Pressupostos!$F$411*(1+Pressupostos!$C$156)*(1+Pressupostos!$C$157)^3</f>
        <v>11142.684</v>
      </c>
      <c r="G1481" s="61" t="n">
        <f aca="false">Pressupostos!$G$411*(1+Pressupostos!$C$156)*(1+Pressupostos!$C$157)^4</f>
        <v>11365.53768</v>
      </c>
      <c r="H1481" s="2" t="s">
        <v>1347</v>
      </c>
    </row>
    <row r="1482" customFormat="false" ht="15" hidden="false" customHeight="false" outlineLevel="1" collapsed="false">
      <c r="A1482" s="7" t="s">
        <v>452</v>
      </c>
      <c r="B1482" s="8" t="s">
        <v>11</v>
      </c>
      <c r="C1482" s="61" t="n">
        <f aca="false">Pressupostos!$C$417*(1+Pressupostos!$C$156)*(1+Pressupostos!$C$157)^0</f>
        <v>12600</v>
      </c>
      <c r="D1482" s="61" t="n">
        <f aca="false">Pressupostos!$D$417*(1+Pressupostos!$C$156)*(1+Pressupostos!$C$157)^1</f>
        <v>12852</v>
      </c>
      <c r="E1482" s="61" t="n">
        <f aca="false">Pressupostos!$E$417*(1+Pressupostos!$C$156)*(1+Pressupostos!$C$157)^2</f>
        <v>13109.04</v>
      </c>
      <c r="F1482" s="61" t="n">
        <f aca="false">Pressupostos!$F$417*(1+Pressupostos!$C$156)*(1+Pressupostos!$C$157)^3</f>
        <v>0</v>
      </c>
      <c r="G1482" s="61" t="n">
        <f aca="false">Pressupostos!$G$417*(1+Pressupostos!$C$156)*(1+Pressupostos!$C$157)^4</f>
        <v>0</v>
      </c>
      <c r="H1482" s="2" t="s">
        <v>1348</v>
      </c>
    </row>
    <row r="1483" customFormat="false" ht="15" hidden="false" customHeight="false" outlineLevel="1" collapsed="false">
      <c r="A1483" s="7" t="s">
        <v>454</v>
      </c>
      <c r="B1483" s="8" t="s">
        <v>11</v>
      </c>
      <c r="C1483" s="61" t="n">
        <f aca="false">Pressupostos!$C$423*(1+Pressupostos!$C$156)*(1+Pressupostos!$C$157)^0</f>
        <v>31500</v>
      </c>
      <c r="D1483" s="61" t="n">
        <f aca="false">Pressupostos!$D$423*(1+Pressupostos!$C$156)*(1+Pressupostos!$C$157)^1</f>
        <v>42840</v>
      </c>
      <c r="E1483" s="61" t="n">
        <f aca="false">Pressupostos!$E$423*(1+Pressupostos!$C$156)*(1+Pressupostos!$C$157)^2</f>
        <v>60083.1</v>
      </c>
      <c r="F1483" s="61" t="n">
        <f aca="false">Pressupostos!$F$423*(1+Pressupostos!$C$156)*(1+Pressupostos!$C$157)^3</f>
        <v>77998.788</v>
      </c>
      <c r="G1483" s="61" t="n">
        <f aca="false">Pressupostos!$G$423*(1+Pressupostos!$C$156)*(1+Pressupostos!$C$157)^4</f>
        <v>96607.07028</v>
      </c>
      <c r="H1483" s="2" t="s">
        <v>1349</v>
      </c>
    </row>
    <row r="1484" customFormat="false" ht="15" hidden="false" customHeight="false" outlineLevel="1" collapsed="false">
      <c r="A1484" s="7" t="s">
        <v>456</v>
      </c>
      <c r="B1484" s="8" t="s">
        <v>11</v>
      </c>
      <c r="C1484" s="61" t="n">
        <f aca="false">Pressupostos!$C$429*(1+Pressupostos!$C$156)*(1+Pressupostos!$C$157)^0</f>
        <v>15750</v>
      </c>
      <c r="D1484" s="61" t="n">
        <f aca="false">Pressupostos!$D$429*(1+Pressupostos!$C$156)*(1+Pressupostos!$C$157)^1</f>
        <v>16065</v>
      </c>
      <c r="E1484" s="61" t="n">
        <f aca="false">Pressupostos!$E$429*(1+Pressupostos!$C$156)*(1+Pressupostos!$C$157)^2</f>
        <v>38234.7</v>
      </c>
      <c r="F1484" s="61" t="n">
        <f aca="false">Pressupostos!$F$429*(1+Pressupostos!$C$156)*(1+Pressupostos!$C$157)^3</f>
        <v>22285.368</v>
      </c>
      <c r="G1484" s="61" t="n">
        <f aca="false">Pressupostos!$G$429*(1+Pressupostos!$C$156)*(1+Pressupostos!$C$157)^4</f>
        <v>22731.07536</v>
      </c>
      <c r="H1484" s="2" t="s">
        <v>1350</v>
      </c>
    </row>
    <row r="1485" customFormat="false" ht="15" hidden="false" customHeight="false" outlineLevel="1" collapsed="false">
      <c r="A1485" s="7" t="s">
        <v>458</v>
      </c>
      <c r="B1485" s="8" t="s">
        <v>11</v>
      </c>
      <c r="C1485" s="61" t="n">
        <f aca="false">Pressupostos!$C$435*(1+Pressupostos!$C$156)*(1+Pressupostos!$C$157)^0</f>
        <v>10500</v>
      </c>
      <c r="D1485" s="61" t="n">
        <f aca="false">Pressupostos!$D$435*(1+Pressupostos!$C$156)*(1+Pressupostos!$C$157)^1</f>
        <v>12852</v>
      </c>
      <c r="E1485" s="61" t="n">
        <f aca="false">Pressupostos!$E$435*(1+Pressupostos!$C$156)*(1+Pressupostos!$C$157)^2</f>
        <v>16386.3</v>
      </c>
      <c r="F1485" s="61" t="n">
        <f aca="false">Pressupostos!$F$435*(1+Pressupostos!$C$156)*(1+Pressupostos!$C$157)^3</f>
        <v>20056.8312</v>
      </c>
      <c r="G1485" s="61" t="n">
        <f aca="false">Pressupostos!$G$435*(1+Pressupostos!$C$156)*(1+Pressupostos!$C$157)^4</f>
        <v>22731.07536</v>
      </c>
      <c r="H1485" s="2" t="s">
        <v>1351</v>
      </c>
    </row>
    <row r="1486" customFormat="false" ht="15" hidden="false" customHeight="false" outlineLevel="1" collapsed="false">
      <c r="A1486" s="7" t="s">
        <v>459</v>
      </c>
      <c r="B1486" s="8" t="s">
        <v>11</v>
      </c>
      <c r="C1486" s="61" t="n">
        <f aca="false">Pressupostos!$C$441*(1+Pressupostos!$C$156)*(1+Pressupostos!$C$157)^0</f>
        <v>42000</v>
      </c>
      <c r="D1486" s="61" t="n">
        <f aca="false">Pressupostos!$D$441*(1+Pressupostos!$C$156)*(1+Pressupostos!$C$157)^1</f>
        <v>53550</v>
      </c>
      <c r="E1486" s="61" t="n">
        <f aca="false">Pressupostos!$E$441*(1+Pressupostos!$C$156)*(1+Pressupostos!$C$157)^2</f>
        <v>76469.4</v>
      </c>
      <c r="F1486" s="61" t="n">
        <f aca="false">Pressupostos!$F$441*(1+Pressupostos!$C$156)*(1+Pressupostos!$C$157)^3</f>
        <v>100284.156</v>
      </c>
      <c r="G1486" s="61" t="n">
        <f aca="false">Pressupostos!$G$441*(1+Pressupostos!$C$156)*(1+Pressupostos!$C$157)^4</f>
        <v>125020.91448</v>
      </c>
      <c r="H1486" s="2" t="s">
        <v>1352</v>
      </c>
    </row>
    <row r="1487" customFormat="false" ht="15" hidden="false" customHeight="false" outlineLevel="1" collapsed="false">
      <c r="A1487" s="7" t="s">
        <v>461</v>
      </c>
      <c r="B1487" s="8" t="s">
        <v>11</v>
      </c>
      <c r="C1487" s="61" t="n">
        <f aca="false">Pressupostos!$C$447*(1+Pressupostos!$C$156)*(1+Pressupostos!$C$157)^0</f>
        <v>12600</v>
      </c>
      <c r="D1487" s="61" t="n">
        <f aca="false">Pressupostos!$D$447*(1+Pressupostos!$C$156)*(1+Pressupostos!$C$157)^1</f>
        <v>16065</v>
      </c>
      <c r="E1487" s="61" t="n">
        <f aca="false">Pressupostos!$E$447*(1+Pressupostos!$C$156)*(1+Pressupostos!$C$157)^2</f>
        <v>26218.08</v>
      </c>
      <c r="F1487" s="61" t="n">
        <f aca="false">Pressupostos!$F$447*(1+Pressupostos!$C$156)*(1+Pressupostos!$C$157)^3</f>
        <v>33428.052</v>
      </c>
      <c r="G1487" s="61" t="n">
        <f aca="false">Pressupostos!$G$447*(1+Pressupostos!$C$156)*(1+Pressupostos!$C$157)^4</f>
        <v>40915.935648</v>
      </c>
      <c r="H1487" s="2" t="s">
        <v>1353</v>
      </c>
    </row>
    <row r="1488" customFormat="false" ht="15" hidden="false" customHeight="false" outlineLevel="1" collapsed="false">
      <c r="A1488" s="7" t="s">
        <v>463</v>
      </c>
      <c r="B1488" s="8" t="s">
        <v>11</v>
      </c>
      <c r="C1488" s="61" t="n">
        <f aca="false">Pressupostos!$C$453*(1+Pressupostos!$C$156)*(1+Pressupostos!$C$157)^0</f>
        <v>18900</v>
      </c>
      <c r="D1488" s="61" t="n">
        <f aca="false">Pressupostos!$D$453*(1+Pressupostos!$C$156)*(1+Pressupostos!$C$157)^1</f>
        <v>23562</v>
      </c>
      <c r="E1488" s="61" t="n">
        <f aca="false">Pressupostos!$E$453*(1+Pressupostos!$C$156)*(1+Pressupostos!$C$157)^2</f>
        <v>32772.6</v>
      </c>
      <c r="F1488" s="61" t="n">
        <f aca="false">Pressupostos!$F$453*(1+Pressupostos!$C$156)*(1+Pressupostos!$C$157)^3</f>
        <v>42342.1992</v>
      </c>
      <c r="G1488" s="61" t="n">
        <f aca="false">Pressupostos!$G$453*(1+Pressupostos!$C$156)*(1+Pressupostos!$C$157)^4</f>
        <v>51144.91956</v>
      </c>
      <c r="H1488" s="2" t="s">
        <v>1354</v>
      </c>
    </row>
    <row r="1489" customFormat="false" ht="15" hidden="false" customHeight="false" outlineLevel="1" collapsed="false">
      <c r="A1489" s="7" t="s">
        <v>464</v>
      </c>
      <c r="B1489" s="8" t="s">
        <v>11</v>
      </c>
      <c r="C1489" s="61" t="n">
        <f aca="false">Pressupostos!$C$459*(1+Pressupostos!$C$156)*(1+Pressupostos!$C$157)^0</f>
        <v>5250</v>
      </c>
      <c r="D1489" s="61" t="n">
        <f aca="false">Pressupostos!$D$459*(1+Pressupostos!$C$156)*(1+Pressupostos!$C$157)^1</f>
        <v>8568</v>
      </c>
      <c r="E1489" s="61" t="n">
        <f aca="false">Pressupostos!$E$459*(1+Pressupostos!$C$156)*(1+Pressupostos!$C$157)^2</f>
        <v>13109.04</v>
      </c>
      <c r="F1489" s="61" t="n">
        <f aca="false">Pressupostos!$F$459*(1+Pressupostos!$C$156)*(1+Pressupostos!$C$157)^3</f>
        <v>16714.026</v>
      </c>
      <c r="G1489" s="61" t="n">
        <f aca="false">Pressupostos!$G$459*(1+Pressupostos!$C$156)*(1+Pressupostos!$C$157)^4</f>
        <v>17048.30652</v>
      </c>
      <c r="H1489" s="2" t="s">
        <v>1355</v>
      </c>
    </row>
    <row r="1490" customFormat="false" ht="15" hidden="false" customHeight="false" outlineLevel="1" collapsed="false">
      <c r="A1490" s="7" t="s">
        <v>701</v>
      </c>
      <c r="B1490" s="8" t="s">
        <v>11</v>
      </c>
      <c r="C1490" s="61" t="n">
        <f aca="false">C1480+C1481+C1482+C1483+C1484+C1485+C1486+C1487+C1488+C1489</f>
        <v>254100</v>
      </c>
      <c r="D1490" s="61" t="n">
        <f aca="false">D1480+D1481+D1482+D1483+D1484+D1485+D1486+D1487+D1488+D1489</f>
        <v>250614</v>
      </c>
      <c r="E1490" s="61" t="n">
        <f aca="false">E1480+E1481+E1482+E1483+E1484+E1485+E1486+E1487+E1488+E1489</f>
        <v>336465.36</v>
      </c>
      <c r="F1490" s="61" t="n">
        <f aca="false">F1480+F1481+F1482+F1483+F1484+F1485+F1486+F1487+F1488+F1489</f>
        <v>374394.1824</v>
      </c>
      <c r="G1490" s="61" t="n">
        <f aca="false">G1480+G1481+G1482+G1483+G1484+G1485+G1486+G1487+G1488+G1489</f>
        <v>438709.754448</v>
      </c>
      <c r="H1490" s="2" t="s">
        <v>1356</v>
      </c>
    </row>
    <row r="1491" customFormat="false" ht="15" hidden="false" customHeight="false" outlineLevel="1" collapsed="false">
      <c r="A1491" s="7" t="s">
        <v>702</v>
      </c>
      <c r="B1491" s="8" t="s">
        <v>11</v>
      </c>
      <c r="C1491" s="61" t="n">
        <f aca="false">Pressupostos!$C$114+Pressupostos!$C$115+Pressupostos!$C$116*Pressupostos!$C$294+Pressupostos!$C$466+Pressupostos!$C$306</f>
        <v>65000</v>
      </c>
      <c r="D1491" s="61" t="n">
        <f aca="false">Pressupostos!$C$115+Pressupostos!$C$116*Pressupostos!$D$294+Pressupostos!$D$466+Pressupostos!$D$306</f>
        <v>65000</v>
      </c>
      <c r="E1491" s="61" t="n">
        <f aca="false">Pressupostos!$C$115+Pressupostos!$C$116*Pressupostos!$E$294+Pressupostos!$E$466+Pressupostos!$E$306</f>
        <v>70000</v>
      </c>
      <c r="F1491" s="61" t="n">
        <f aca="false">Pressupostos!$C$115+Pressupostos!$C$116*Pressupostos!$F$294+Pressupostos!$F$466+Pressupostos!$F$306</f>
        <v>75000</v>
      </c>
      <c r="G1491" s="61" t="n">
        <f aca="false">Pressupostos!$C$115+Pressupostos!$C$116*Pressupostos!$G$294+Pressupostos!$G$466+Pressupostos!$G$306</f>
        <v>80000</v>
      </c>
      <c r="H1491" s="2" t="s">
        <v>1357</v>
      </c>
    </row>
    <row r="1492" customFormat="false" ht="15" hidden="false" customHeight="false" outlineLevel="1" collapsed="false">
      <c r="A1492" s="7" t="s">
        <v>703</v>
      </c>
      <c r="B1492" s="8" t="s">
        <v>11</v>
      </c>
      <c r="C1492" s="61" t="n">
        <f aca="false">IF(C1304&lt;Pressupostos!$C$120,0,MAX(Pressupostos!$C$300,Pressupostos!$C$118*(C1398+C1399)+Pressupostos!$C$119*C1400))</f>
        <v>0</v>
      </c>
      <c r="D1492" s="61" t="n">
        <f aca="false">IF(D1304&lt;Pressupostos!$C$120,0,MAX(Pressupostos!$D$300,Pressupostos!$C$118*(D1398+D1399)+Pressupostos!$C$119*D1400))</f>
        <v>7068.78</v>
      </c>
      <c r="E1492" s="61" t="n">
        <f aca="false">IF(E1304&lt;Pressupostos!$C$120,0,MAX(Pressupostos!$E$300,Pressupostos!$C$118*(E1398+E1399)+Pressupostos!$C$119*E1400))</f>
        <v>15181.02</v>
      </c>
      <c r="F1492" s="61" t="n">
        <f aca="false">IF(F1304&lt;Pressupostos!$C$120,0,MAX(Pressupostos!$F$300,Pressupostos!$C$118*(F1398+F1399)+Pressupostos!$C$119*F1400))</f>
        <v>26014.98</v>
      </c>
      <c r="G1492" s="61" t="n">
        <f aca="false">IF(G1304&lt;Pressupostos!$C$120,0,MAX(Pressupostos!$G$300,Pressupostos!$C$118*(G1398+G1399)+Pressupostos!$C$119*G1400))</f>
        <v>39485.4</v>
      </c>
      <c r="H1492" s="2" t="s">
        <v>1358</v>
      </c>
    </row>
    <row r="1493" customFormat="false" ht="15" hidden="false" customHeight="false" outlineLevel="1" collapsed="false">
      <c r="A1493" s="56" t="s">
        <v>704</v>
      </c>
      <c r="B1493" s="57" t="s">
        <v>11</v>
      </c>
      <c r="C1493" s="62" t="n">
        <f aca="false">C1490+C1491+C1492</f>
        <v>319100</v>
      </c>
      <c r="D1493" s="62" t="n">
        <f aca="false">D1490+D1491+D1492</f>
        <v>322682.78</v>
      </c>
      <c r="E1493" s="62" t="n">
        <f aca="false">E1490+E1491+E1492</f>
        <v>421646.38</v>
      </c>
      <c r="F1493" s="62" t="n">
        <f aca="false">F1490+F1491+F1492</f>
        <v>475409.1624</v>
      </c>
      <c r="G1493" s="62" t="n">
        <f aca="false">G1490+G1491+G1492</f>
        <v>558195.154448</v>
      </c>
      <c r="H1493" s="2" t="s">
        <v>1359</v>
      </c>
    </row>
    <row r="1494" customFormat="false" ht="15" hidden="false" customHeight="false" outlineLevel="0" collapsed="false">
      <c r="A1494" s="3" t="s">
        <v>1360</v>
      </c>
      <c r="B1494" s="4"/>
      <c r="C1494" s="4"/>
      <c r="D1494" s="4"/>
      <c r="E1494" s="4"/>
      <c r="F1494" s="4"/>
      <c r="G1494" s="4"/>
      <c r="H1494" s="4"/>
    </row>
    <row r="1495" customFormat="false" ht="15" hidden="false" customHeight="false" outlineLevel="1" collapsed="false">
      <c r="A1495" s="7" t="s">
        <v>706</v>
      </c>
      <c r="B1495" s="8" t="s">
        <v>11</v>
      </c>
      <c r="C1495" s="61" t="n">
        <f aca="false">Pressupostos!$C$165*Pressupostos!$C$313</f>
        <v>18000</v>
      </c>
      <c r="D1495" s="61" t="n">
        <f aca="false">Pressupostos!$C$165*Pressupostos!$D$313</f>
        <v>12000</v>
      </c>
      <c r="E1495" s="61" t="n">
        <f aca="false">Pressupostos!$C$165*Pressupostos!$E$313</f>
        <v>12000</v>
      </c>
      <c r="F1495" s="61" t="n">
        <f aca="false">Pressupostos!$C$165*Pressupostos!$F$313</f>
        <v>12000</v>
      </c>
      <c r="G1495" s="61" t="n">
        <f aca="false">Pressupostos!$C$165*Pressupostos!$G$313</f>
        <v>12000</v>
      </c>
      <c r="H1495" s="2" t="s">
        <v>1361</v>
      </c>
    </row>
    <row r="1496" customFormat="false" ht="15" hidden="false" customHeight="false" outlineLevel="1" collapsed="false">
      <c r="A1496" s="7" t="s">
        <v>707</v>
      </c>
      <c r="B1496" s="8" t="s">
        <v>11</v>
      </c>
      <c r="C1496" s="53" t="n">
        <f aca="false">Pressupostos!$C$319</f>
        <v>60000</v>
      </c>
      <c r="D1496" s="53" t="n">
        <f aca="false">Pressupostos!$D$319</f>
        <v>15000</v>
      </c>
      <c r="E1496" s="53" t="n">
        <f aca="false">Pressupostos!$E$319</f>
        <v>15000</v>
      </c>
      <c r="F1496" s="53" t="n">
        <f aca="false">Pressupostos!$F$319</f>
        <v>10000</v>
      </c>
      <c r="G1496" s="53" t="n">
        <f aca="false">Pressupostos!$G$319</f>
        <v>10000</v>
      </c>
      <c r="H1496" s="2" t="s">
        <v>1362</v>
      </c>
    </row>
    <row r="1497" customFormat="false" ht="15" hidden="false" customHeight="false" outlineLevel="1" collapsed="false">
      <c r="A1497" s="7" t="s">
        <v>708</v>
      </c>
      <c r="B1497" s="8" t="s">
        <v>11</v>
      </c>
      <c r="C1497" s="53" t="n">
        <f aca="false">Pressupostos!$C$325</f>
        <v>0</v>
      </c>
      <c r="D1497" s="53" t="n">
        <f aca="false">Pressupostos!$D$325</f>
        <v>15000</v>
      </c>
      <c r="E1497" s="53" t="n">
        <f aca="false">Pressupostos!$E$325</f>
        <v>15000</v>
      </c>
      <c r="F1497" s="53" t="n">
        <f aca="false">Pressupostos!$F$325</f>
        <v>10000</v>
      </c>
      <c r="G1497" s="53" t="n">
        <f aca="false">Pressupostos!$G$325</f>
        <v>10000</v>
      </c>
      <c r="H1497" s="2" t="s">
        <v>1363</v>
      </c>
    </row>
    <row r="1498" customFormat="false" ht="15" hidden="false" customHeight="false" outlineLevel="1" collapsed="false">
      <c r="A1498" s="7" t="s">
        <v>709</v>
      </c>
      <c r="B1498" s="8" t="s">
        <v>11</v>
      </c>
      <c r="C1498" s="61" t="n">
        <f aca="false">Pressupostos!$C$166*MAX(0,C1460)</f>
        <v>14000</v>
      </c>
      <c r="D1498" s="61" t="n">
        <f aca="false">Pressupostos!$C$166*MAX(0,D1460-C1460)</f>
        <v>2000</v>
      </c>
      <c r="E1498" s="61" t="n">
        <f aca="false">Pressupostos!$C$166*MAX(0,E1460-D1460)</f>
        <v>6000</v>
      </c>
      <c r="F1498" s="61" t="n">
        <f aca="false">Pressupostos!$C$166*MAX(0,F1460-E1460)</f>
        <v>6000</v>
      </c>
      <c r="G1498" s="61" t="n">
        <f aca="false">Pressupostos!$C$166*MAX(0,G1460-F1460)</f>
        <v>6000</v>
      </c>
      <c r="H1498" s="2" t="s">
        <v>1364</v>
      </c>
    </row>
    <row r="1499" customFormat="false" ht="15" hidden="false" customHeight="false" outlineLevel="1" collapsed="false">
      <c r="A1499" s="7" t="s">
        <v>424</v>
      </c>
      <c r="B1499" s="8" t="s">
        <v>11</v>
      </c>
      <c r="C1499" s="61" t="n">
        <f aca="false">C1495+C1496+C1497+C1498</f>
        <v>92000</v>
      </c>
      <c r="D1499" s="61" t="n">
        <f aca="false">D1495+D1496+D1497+D1498</f>
        <v>44000</v>
      </c>
      <c r="E1499" s="61" t="n">
        <f aca="false">E1495+E1496+E1497+E1498</f>
        <v>48000</v>
      </c>
      <c r="F1499" s="61" t="n">
        <f aca="false">F1495+F1496+F1497+F1498</f>
        <v>38000</v>
      </c>
      <c r="G1499" s="61" t="n">
        <f aca="false">G1495+G1496+G1497+G1498</f>
        <v>38000</v>
      </c>
      <c r="H1499" s="2" t="s">
        <v>1365</v>
      </c>
    </row>
    <row r="1500" customFormat="false" ht="15" hidden="false" customHeight="false" outlineLevel="1" collapsed="false">
      <c r="A1500" s="7" t="s">
        <v>710</v>
      </c>
      <c r="B1500" s="8" t="s">
        <v>11</v>
      </c>
      <c r="C1500" s="61" t="n">
        <f aca="false">(C1496*((0)&lt;Pressupostos!$C$167))/Pressupostos!$C$167</f>
        <v>20000</v>
      </c>
      <c r="D1500" s="61" t="n">
        <f aca="false">(C1496*((1)&lt;Pressupostos!$C$167)+D1496*((0)&lt;Pressupostos!$C$167))/Pressupostos!$C$167</f>
        <v>25000</v>
      </c>
      <c r="E1500" s="61" t="n">
        <f aca="false">(C1496*((2)&lt;Pressupostos!$C$167)+D1496*((1)&lt;Pressupostos!$C$167)+E1496*((0)&lt;Pressupostos!$C$167))/Pressupostos!$C$167</f>
        <v>30000</v>
      </c>
      <c r="F1500" s="61" t="n">
        <f aca="false">(C1496*((3)&lt;Pressupostos!$C$167)+D1496*((2)&lt;Pressupostos!$C$167)+E1496*((1)&lt;Pressupostos!$C$167)+F1496*((0)&lt;Pressupostos!$C$167))/Pressupostos!$C$167</f>
        <v>13333.3333333333</v>
      </c>
      <c r="G1500" s="61" t="n">
        <f aca="false">(C1496*((4)&lt;Pressupostos!$C$167)+D1496*((3)&lt;Pressupostos!$C$167)+E1496*((2)&lt;Pressupostos!$C$167)+F1496*((1)&lt;Pressupostos!$C$167)+G1496*((0)&lt;Pressupostos!$C$167))/Pressupostos!$C$167</f>
        <v>11666.6666666667</v>
      </c>
      <c r="H1500" s="2" t="s">
        <v>1366</v>
      </c>
    </row>
    <row r="1501" customFormat="false" ht="15" hidden="false" customHeight="false" outlineLevel="1" collapsed="false">
      <c r="A1501" s="7" t="s">
        <v>711</v>
      </c>
      <c r="B1501" s="8" t="s">
        <v>11</v>
      </c>
      <c r="C1501" s="61" t="n">
        <f aca="false">(C1497*((0)&lt;Pressupostos!$C$167))/Pressupostos!$C$167</f>
        <v>0</v>
      </c>
      <c r="D1501" s="61" t="n">
        <f aca="false">(C1497*((1)&lt;Pressupostos!$C$167)+D1497*((0)&lt;Pressupostos!$C$167))/Pressupostos!$C$167</f>
        <v>5000</v>
      </c>
      <c r="E1501" s="61" t="n">
        <f aca="false">(C1497*((2)&lt;Pressupostos!$C$167)+D1497*((1)&lt;Pressupostos!$C$167)+E1497*((0)&lt;Pressupostos!$C$167))/Pressupostos!$C$167</f>
        <v>10000</v>
      </c>
      <c r="F1501" s="61" t="n">
        <f aca="false">(C1497*((3)&lt;Pressupostos!$C$167)+D1497*((2)&lt;Pressupostos!$C$167)+E1497*((1)&lt;Pressupostos!$C$167)+F1497*((0)&lt;Pressupostos!$C$167))/Pressupostos!$C$167</f>
        <v>13333.3333333333</v>
      </c>
      <c r="G1501" s="61" t="n">
        <f aca="false">(C1497*((4)&lt;Pressupostos!$C$167)+D1497*((3)&lt;Pressupostos!$C$167)+E1497*((2)&lt;Pressupostos!$C$167)+F1497*((1)&lt;Pressupostos!$C$167)+G1497*((0)&lt;Pressupostos!$C$167))/Pressupostos!$C$167</f>
        <v>11666.6666666667</v>
      </c>
      <c r="H1501" s="2" t="s">
        <v>1367</v>
      </c>
    </row>
    <row r="1502" customFormat="false" ht="15" hidden="false" customHeight="false" outlineLevel="1" collapsed="false">
      <c r="A1502" s="7" t="s">
        <v>712</v>
      </c>
      <c r="B1502" s="8" t="s">
        <v>11</v>
      </c>
      <c r="C1502" s="61" t="n">
        <f aca="false">(C1495*((0)&lt;Pressupostos!$C$169))/Pressupostos!$C$169</f>
        <v>3600</v>
      </c>
      <c r="D1502" s="61" t="n">
        <f aca="false">(C1495*((1)&lt;Pressupostos!$C$169)+D1495*((0)&lt;Pressupostos!$C$169))/Pressupostos!$C$169</f>
        <v>6000</v>
      </c>
      <c r="E1502" s="61" t="n">
        <f aca="false">(C1495*((2)&lt;Pressupostos!$C$169)+D1495*((1)&lt;Pressupostos!$C$169)+E1495*((0)&lt;Pressupostos!$C$169))/Pressupostos!$C$169</f>
        <v>8400</v>
      </c>
      <c r="F1502" s="61" t="n">
        <f aca="false">(C1495*((3)&lt;Pressupostos!$C$169)+D1495*((2)&lt;Pressupostos!$C$169)+E1495*((1)&lt;Pressupostos!$C$169)+F1495*((0)&lt;Pressupostos!$C$169))/Pressupostos!$C$169</f>
        <v>10800</v>
      </c>
      <c r="G1502" s="61" t="n">
        <f aca="false">(C1495*((4)&lt;Pressupostos!$C$169)+D1495*((3)&lt;Pressupostos!$C$169)+E1495*((2)&lt;Pressupostos!$C$169)+F1495*((1)&lt;Pressupostos!$C$169)+G1495*((0)&lt;Pressupostos!$C$169))/Pressupostos!$C$169</f>
        <v>13200</v>
      </c>
      <c r="H1502" s="2" t="s">
        <v>1368</v>
      </c>
    </row>
    <row r="1503" customFormat="false" ht="15" hidden="false" customHeight="false" outlineLevel="1" collapsed="false">
      <c r="A1503" s="7" t="s">
        <v>713</v>
      </c>
      <c r="B1503" s="8" t="s">
        <v>11</v>
      </c>
      <c r="C1503" s="61" t="n">
        <f aca="false">(C1498*((0)&lt;Pressupostos!$C$168))/Pressupostos!$C$168</f>
        <v>3500</v>
      </c>
      <c r="D1503" s="61" t="n">
        <f aca="false">(C1498*((1)&lt;Pressupostos!$C$168)+D1498*((0)&lt;Pressupostos!$C$168))/Pressupostos!$C$168</f>
        <v>4000</v>
      </c>
      <c r="E1503" s="61" t="n">
        <f aca="false">(C1498*((2)&lt;Pressupostos!$C$168)+D1498*((1)&lt;Pressupostos!$C$168)+E1498*((0)&lt;Pressupostos!$C$168))/Pressupostos!$C$168</f>
        <v>5500</v>
      </c>
      <c r="F1503" s="61" t="n">
        <f aca="false">(C1498*((3)&lt;Pressupostos!$C$168)+D1498*((2)&lt;Pressupostos!$C$168)+E1498*((1)&lt;Pressupostos!$C$168)+F1498*((0)&lt;Pressupostos!$C$168))/Pressupostos!$C$168</f>
        <v>7000</v>
      </c>
      <c r="G1503" s="61" t="n">
        <f aca="false">(C1498*((4)&lt;Pressupostos!$C$168)+D1498*((3)&lt;Pressupostos!$C$168)+E1498*((2)&lt;Pressupostos!$C$168)+F1498*((1)&lt;Pressupostos!$C$168)+G1498*((0)&lt;Pressupostos!$C$168))/Pressupostos!$C$168</f>
        <v>5000</v>
      </c>
      <c r="H1503" s="2" t="s">
        <v>1369</v>
      </c>
    </row>
    <row r="1504" customFormat="false" ht="15" hidden="false" customHeight="false" outlineLevel="1" collapsed="false">
      <c r="A1504" s="7" t="s">
        <v>714</v>
      </c>
      <c r="B1504" s="8" t="s">
        <v>11</v>
      </c>
      <c r="C1504" s="61" t="n">
        <f aca="false">C1500+C1501+C1502+C1503</f>
        <v>27100</v>
      </c>
      <c r="D1504" s="61" t="n">
        <f aca="false">D1500+D1501+D1502+D1503</f>
        <v>40000</v>
      </c>
      <c r="E1504" s="61" t="n">
        <f aca="false">E1500+E1501+E1502+E1503</f>
        <v>53900</v>
      </c>
      <c r="F1504" s="61" t="n">
        <f aca="false">F1500+F1501+F1502+F1503</f>
        <v>44466.6666666667</v>
      </c>
      <c r="G1504" s="61" t="n">
        <f aca="false">G1500+G1501+G1502+G1503</f>
        <v>41533.3333333333</v>
      </c>
      <c r="H1504" s="2" t="s">
        <v>1370</v>
      </c>
    </row>
    <row r="1505" customFormat="false" ht="15" hidden="false" customHeight="false" outlineLevel="0" collapsed="false">
      <c r="A1505" s="3" t="s">
        <v>1371</v>
      </c>
      <c r="B1505" s="4"/>
      <c r="C1505" s="4"/>
      <c r="D1505" s="4"/>
      <c r="E1505" s="4"/>
      <c r="F1505" s="4"/>
      <c r="G1505" s="4"/>
      <c r="H1505" s="4"/>
    </row>
    <row r="1506" customFormat="false" ht="15" hidden="false" customHeight="false" outlineLevel="1" collapsed="false">
      <c r="A1506" s="56" t="s">
        <v>718</v>
      </c>
      <c r="B1506" s="57" t="s">
        <v>11</v>
      </c>
      <c r="C1506" s="62" t="n">
        <f aca="false">C1408</f>
        <v>267690</v>
      </c>
      <c r="D1506" s="62" t="n">
        <f aca="false">D1408</f>
        <v>1780435</v>
      </c>
      <c r="E1506" s="62" t="n">
        <f aca="false">E1408</f>
        <v>4066155</v>
      </c>
      <c r="F1506" s="62" t="n">
        <f aca="false">F1408</f>
        <v>7052305</v>
      </c>
      <c r="G1506" s="62" t="n">
        <f aca="false">G1408</f>
        <v>10796070</v>
      </c>
      <c r="H1506" s="2" t="s">
        <v>1372</v>
      </c>
    </row>
    <row r="1507" customFormat="false" ht="15" hidden="false" customHeight="false" outlineLevel="1" collapsed="false">
      <c r="A1507" s="7" t="s">
        <v>688</v>
      </c>
      <c r="B1507" s="8" t="s">
        <v>11</v>
      </c>
      <c r="C1507" s="61" t="n">
        <f aca="false">-C1431</f>
        <v>-243800</v>
      </c>
      <c r="D1507" s="61" t="n">
        <f aca="false">-D1431</f>
        <v>-1623700</v>
      </c>
      <c r="E1507" s="61" t="n">
        <f aca="false">-E1431</f>
        <v>-3665800</v>
      </c>
      <c r="F1507" s="61" t="n">
        <f aca="false">-F1431</f>
        <v>-6319200</v>
      </c>
      <c r="G1507" s="61" t="n">
        <f aca="false">-G1431</f>
        <v>-9651000</v>
      </c>
      <c r="H1507" s="2" t="s">
        <v>1373</v>
      </c>
    </row>
    <row r="1508" customFormat="false" ht="15" hidden="false" customHeight="false" outlineLevel="1" collapsed="false">
      <c r="A1508" s="56" t="s">
        <v>719</v>
      </c>
      <c r="B1508" s="57" t="s">
        <v>11</v>
      </c>
      <c r="C1508" s="62" t="n">
        <f aca="false">C1506+C1507</f>
        <v>23890</v>
      </c>
      <c r="D1508" s="62" t="n">
        <f aca="false">D1506+D1507</f>
        <v>156735</v>
      </c>
      <c r="E1508" s="62" t="n">
        <f aca="false">E1506+E1507</f>
        <v>400355</v>
      </c>
      <c r="F1508" s="62" t="n">
        <f aca="false">F1506+F1507</f>
        <v>733105</v>
      </c>
      <c r="G1508" s="62" t="n">
        <f aca="false">G1506+G1507</f>
        <v>1145070</v>
      </c>
      <c r="H1508" s="2" t="s">
        <v>1374</v>
      </c>
    </row>
    <row r="1509" customFormat="false" ht="15" hidden="false" customHeight="false" outlineLevel="1" collapsed="false">
      <c r="A1509" s="2" t="s">
        <v>720</v>
      </c>
      <c r="B1509" s="8" t="s">
        <v>76</v>
      </c>
      <c r="C1509" s="59" t="n">
        <f aca="false">IF(C1506&gt;0,C1508/C1506,0)</f>
        <v>0.0892450222272031</v>
      </c>
      <c r="D1509" s="59" t="n">
        <f aca="false">IF(D1506&gt;0,D1508/D1506,0)</f>
        <v>0.0880318573831675</v>
      </c>
      <c r="E1509" s="59" t="n">
        <f aca="false">IF(E1506&gt;0,E1508/E1506,0)</f>
        <v>0.0984603390672514</v>
      </c>
      <c r="F1509" s="59" t="n">
        <f aca="false">IF(F1506&gt;0,F1508/F1506,0)</f>
        <v>0.103952537503696</v>
      </c>
      <c r="G1509" s="59" t="n">
        <f aca="false">IF(G1506&gt;0,G1508/G1506,0)</f>
        <v>0.106063595363869</v>
      </c>
      <c r="H1509" s="2" t="s">
        <v>1375</v>
      </c>
    </row>
    <row r="1510" customFormat="false" ht="15" hidden="false" customHeight="false" outlineLevel="1" collapsed="false">
      <c r="A1510" s="7" t="s">
        <v>721</v>
      </c>
      <c r="B1510" s="8" t="s">
        <v>11</v>
      </c>
      <c r="C1510" s="61" t="n">
        <f aca="false">-C1442</f>
        <v>-15341.8580821918</v>
      </c>
      <c r="D1510" s="61" t="n">
        <f aca="false">-D1442</f>
        <v>-104130.783209393</v>
      </c>
      <c r="E1510" s="61" t="n">
        <f aca="false">-E1442</f>
        <v>-242146.261409002</v>
      </c>
      <c r="F1510" s="61" t="n">
        <f aca="false">-F1442</f>
        <v>-433558.333502936</v>
      </c>
      <c r="G1510" s="61" t="n">
        <f aca="false">-G1442</f>
        <v>-668872.547162427</v>
      </c>
      <c r="H1510" s="2" t="s">
        <v>1376</v>
      </c>
    </row>
    <row r="1511" customFormat="false" ht="15" hidden="false" customHeight="false" outlineLevel="1" collapsed="false">
      <c r="A1511" s="7" t="s">
        <v>698</v>
      </c>
      <c r="B1511" s="8" t="s">
        <v>11</v>
      </c>
      <c r="C1511" s="61" t="n">
        <f aca="false">-C1445</f>
        <v>-0</v>
      </c>
      <c r="D1511" s="61" t="n">
        <f aca="false">-D1445</f>
        <v>-23317.0273972603</v>
      </c>
      <c r="E1511" s="61" t="n">
        <f aca="false">-E1445</f>
        <v>-38771.0637842466</v>
      </c>
      <c r="F1511" s="61" t="n">
        <f aca="false">-F1445</f>
        <v>-62547.834760274</v>
      </c>
      <c r="G1511" s="61" t="n">
        <f aca="false">-G1445</f>
        <v>-95536.1558219178</v>
      </c>
      <c r="H1511" s="2" t="s">
        <v>1377</v>
      </c>
    </row>
    <row r="1512" customFormat="false" ht="15" hidden="false" customHeight="false" outlineLevel="1" collapsed="false">
      <c r="A1512" s="56" t="s">
        <v>677</v>
      </c>
      <c r="B1512" s="57" t="s">
        <v>11</v>
      </c>
      <c r="C1512" s="62" t="n">
        <f aca="false">C1508+C1510+C1511</f>
        <v>8548.14191780822</v>
      </c>
      <c r="D1512" s="62" t="n">
        <f aca="false">D1508+D1510+D1511</f>
        <v>29287.1893933461</v>
      </c>
      <c r="E1512" s="62" t="n">
        <f aca="false">E1508+E1510+E1511</f>
        <v>119437.674806751</v>
      </c>
      <c r="F1512" s="62" t="n">
        <f aca="false">F1508+F1510+F1511</f>
        <v>236998.831736791</v>
      </c>
      <c r="G1512" s="62" t="n">
        <f aca="false">G1508+G1510+G1511</f>
        <v>380661.297015656</v>
      </c>
      <c r="H1512" s="2" t="s">
        <v>1378</v>
      </c>
    </row>
    <row r="1513" customFormat="false" ht="15" hidden="false" customHeight="false" outlineLevel="1" collapsed="false">
      <c r="A1513" s="7" t="s">
        <v>261</v>
      </c>
      <c r="B1513" s="8" t="s">
        <v>11</v>
      </c>
      <c r="C1513" s="61" t="n">
        <f aca="false">-C1477</f>
        <v>-400885.59375</v>
      </c>
      <c r="D1513" s="61" t="n">
        <f aca="false">-D1477</f>
        <v>-508017.8875</v>
      </c>
      <c r="E1513" s="61" t="n">
        <f aca="false">-E1477</f>
        <v>-667701.28525</v>
      </c>
      <c r="F1513" s="61" t="n">
        <f aca="false">-F1477</f>
        <v>-855745.92960125</v>
      </c>
      <c r="G1513" s="61" t="n">
        <f aca="false">-G1477</f>
        <v>-1042442.03916396</v>
      </c>
      <c r="H1513" s="2" t="s">
        <v>1379</v>
      </c>
    </row>
    <row r="1514" customFormat="false" ht="15" hidden="false" customHeight="false" outlineLevel="1" collapsed="false">
      <c r="A1514" s="7" t="s">
        <v>722</v>
      </c>
      <c r="B1514" s="8" t="s">
        <v>11</v>
      </c>
      <c r="C1514" s="61" t="n">
        <f aca="false">-C1493</f>
        <v>-319100</v>
      </c>
      <c r="D1514" s="61" t="n">
        <f aca="false">-D1493</f>
        <v>-322682.78</v>
      </c>
      <c r="E1514" s="61" t="n">
        <f aca="false">-E1493</f>
        <v>-421646.38</v>
      </c>
      <c r="F1514" s="61" t="n">
        <f aca="false">-F1493</f>
        <v>-475409.1624</v>
      </c>
      <c r="G1514" s="61" t="n">
        <f aca="false">-G1493</f>
        <v>-558195.154448</v>
      </c>
      <c r="H1514" s="2" t="s">
        <v>1380</v>
      </c>
    </row>
    <row r="1515" customFormat="false" ht="15" hidden="false" customHeight="false" outlineLevel="1" collapsed="false">
      <c r="A1515" s="56" t="s">
        <v>723</v>
      </c>
      <c r="B1515" s="57" t="s">
        <v>11</v>
      </c>
      <c r="C1515" s="62" t="n">
        <f aca="false">C1512+C1513+C1514</f>
        <v>-711437.451832192</v>
      </c>
      <c r="D1515" s="62" t="n">
        <f aca="false">D1512+D1513+D1514</f>
        <v>-801413.478106654</v>
      </c>
      <c r="E1515" s="62" t="n">
        <f aca="false">E1512+E1513+E1514</f>
        <v>-969909.990443249</v>
      </c>
      <c r="F1515" s="62" t="n">
        <f aca="false">F1512+F1513+F1514</f>
        <v>-1094156.26026446</v>
      </c>
      <c r="G1515" s="62" t="n">
        <f aca="false">G1512+G1513+G1514</f>
        <v>-1219975.89659631</v>
      </c>
      <c r="H1515" s="2" t="s">
        <v>1381</v>
      </c>
    </row>
    <row r="1516" customFormat="false" ht="15" hidden="false" customHeight="false" outlineLevel="1" collapsed="false">
      <c r="A1516" s="2" t="s">
        <v>725</v>
      </c>
      <c r="B1516" s="8" t="s">
        <v>76</v>
      </c>
      <c r="C1516" s="59" t="n">
        <f aca="false">IF(C1506&gt;0,C1515/C1506,0)</f>
        <v>-2.65769155303594</v>
      </c>
      <c r="D1516" s="59" t="n">
        <f aca="false">IF(D1506&gt;0,D1515/D1506,0)</f>
        <v>-0.450122289275741</v>
      </c>
      <c r="E1516" s="59" t="n">
        <f aca="false">IF(E1506&gt;0,E1515/E1506,0)</f>
        <v>-0.238532468743383</v>
      </c>
      <c r="F1516" s="59" t="n">
        <f aca="false">IF(F1506&gt;0,F1515/F1506,0)</f>
        <v>-0.155148743604319</v>
      </c>
      <c r="G1516" s="59" t="n">
        <f aca="false">IF(G1506&gt;0,G1515/G1506,0)</f>
        <v>-0.113001851284431</v>
      </c>
      <c r="H1516" s="2" t="s">
        <v>1382</v>
      </c>
    </row>
    <row r="1517" customFormat="false" ht="15" hidden="false" customHeight="false" outlineLevel="1" collapsed="false">
      <c r="A1517" s="2" t="s">
        <v>726</v>
      </c>
      <c r="B1517" s="8" t="s">
        <v>11</v>
      </c>
      <c r="C1517" s="61" t="n">
        <f aca="false">C1515+C1445</f>
        <v>-711437.451832192</v>
      </c>
      <c r="D1517" s="61" t="n">
        <f aca="false">D1515+D1445</f>
        <v>-778096.450709394</v>
      </c>
      <c r="E1517" s="61" t="n">
        <f aca="false">E1515+E1445</f>
        <v>-931138.926659002</v>
      </c>
      <c r="F1517" s="61" t="n">
        <f aca="false">F1515+F1445</f>
        <v>-1031608.42550419</v>
      </c>
      <c r="G1517" s="61" t="n">
        <f aca="false">G1515+G1445</f>
        <v>-1124439.74077439</v>
      </c>
      <c r="H1517" s="2" t="s">
        <v>1383</v>
      </c>
    </row>
    <row r="1518" customFormat="false" ht="15" hidden="false" customHeight="false" outlineLevel="1" collapsed="false">
      <c r="A1518" s="7" t="s">
        <v>714</v>
      </c>
      <c r="B1518" s="8" t="s">
        <v>11</v>
      </c>
      <c r="C1518" s="61" t="n">
        <f aca="false">-C1504</f>
        <v>-27100</v>
      </c>
      <c r="D1518" s="61" t="n">
        <f aca="false">-D1504</f>
        <v>-40000</v>
      </c>
      <c r="E1518" s="61" t="n">
        <f aca="false">-E1504</f>
        <v>-53900</v>
      </c>
      <c r="F1518" s="61" t="n">
        <f aca="false">-F1504</f>
        <v>-44466.6666666667</v>
      </c>
      <c r="G1518" s="61" t="n">
        <f aca="false">-G1504</f>
        <v>-41533.3333333333</v>
      </c>
      <c r="H1518" s="2" t="s">
        <v>1384</v>
      </c>
    </row>
    <row r="1519" customFormat="false" ht="15" hidden="false" customHeight="false" outlineLevel="1" collapsed="false">
      <c r="A1519" s="56" t="s">
        <v>727</v>
      </c>
      <c r="B1519" s="57" t="s">
        <v>11</v>
      </c>
      <c r="C1519" s="62" t="n">
        <f aca="false">C1515+C1518</f>
        <v>-738537.451832192</v>
      </c>
      <c r="D1519" s="62" t="n">
        <f aca="false">D1515+D1518</f>
        <v>-841413.478106654</v>
      </c>
      <c r="E1519" s="62" t="n">
        <f aca="false">E1515+E1518</f>
        <v>-1023809.99044325</v>
      </c>
      <c r="F1519" s="62" t="n">
        <f aca="false">F1515+F1518</f>
        <v>-1138622.92693113</v>
      </c>
      <c r="G1519" s="62" t="n">
        <f aca="false">G1515+G1518</f>
        <v>-1261509.22992964</v>
      </c>
      <c r="H1519" s="2" t="s">
        <v>1385</v>
      </c>
    </row>
    <row r="1520" customFormat="false" ht="15" hidden="false" customHeight="false" outlineLevel="0" collapsed="false">
      <c r="A1520" s="3" t="s">
        <v>1386</v>
      </c>
      <c r="B1520" s="4"/>
      <c r="C1520" s="4"/>
      <c r="D1520" s="4"/>
      <c r="E1520" s="4"/>
      <c r="F1520" s="4"/>
      <c r="G1520" s="4"/>
      <c r="H1520" s="4"/>
    </row>
    <row r="1521" customFormat="false" ht="15" hidden="false" customHeight="false" outlineLevel="1" collapsed="false">
      <c r="A1521" s="7" t="s">
        <v>729</v>
      </c>
      <c r="B1521" s="8" t="s">
        <v>11</v>
      </c>
      <c r="C1521" s="61" t="n">
        <f aca="false">C1519</f>
        <v>-738537.451832192</v>
      </c>
      <c r="D1521" s="61" t="n">
        <f aca="false">D1519</f>
        <v>-841413.478106654</v>
      </c>
      <c r="E1521" s="61" t="n">
        <f aca="false">E1519</f>
        <v>-1023809.99044325</v>
      </c>
      <c r="F1521" s="61" t="n">
        <f aca="false">F1519</f>
        <v>-1138622.92693113</v>
      </c>
      <c r="G1521" s="61" t="n">
        <f aca="false">G1519</f>
        <v>-1261509.22992964</v>
      </c>
      <c r="H1521" s="2" t="s">
        <v>1387</v>
      </c>
    </row>
    <row r="1522" customFormat="false" ht="15" hidden="false" customHeight="false" outlineLevel="1" collapsed="false">
      <c r="A1522" s="7" t="s">
        <v>730</v>
      </c>
      <c r="B1522" s="8" t="s">
        <v>11</v>
      </c>
      <c r="C1522" s="61" t="n">
        <f aca="false">0</f>
        <v>0</v>
      </c>
      <c r="D1522" s="61" t="n">
        <f aca="false">C1525</f>
        <v>738537.451832192</v>
      </c>
      <c r="E1522" s="61" t="n">
        <f aca="false">D1525</f>
        <v>1579950.92993885</v>
      </c>
      <c r="F1522" s="61" t="n">
        <f aca="false">E1525</f>
        <v>2603760.92038209</v>
      </c>
      <c r="G1522" s="61" t="n">
        <f aca="false">F1525</f>
        <v>3742383.84731322</v>
      </c>
      <c r="H1522" s="2" t="s">
        <v>1388</v>
      </c>
    </row>
    <row r="1523" customFormat="false" ht="15" hidden="false" customHeight="false" outlineLevel="1" collapsed="false">
      <c r="A1523" s="7" t="s">
        <v>731</v>
      </c>
      <c r="B1523" s="8" t="s">
        <v>11</v>
      </c>
      <c r="C1523" s="61" t="n">
        <f aca="false">MAX(0,-C1521)</f>
        <v>738537.451832192</v>
      </c>
      <c r="D1523" s="61" t="n">
        <f aca="false">MAX(0,-D1521)</f>
        <v>841413.478106654</v>
      </c>
      <c r="E1523" s="61" t="n">
        <f aca="false">MAX(0,-E1521)</f>
        <v>1023809.99044325</v>
      </c>
      <c r="F1523" s="61" t="n">
        <f aca="false">MAX(0,-F1521)</f>
        <v>1138622.92693113</v>
      </c>
      <c r="G1523" s="61" t="n">
        <f aca="false">MAX(0,-G1521)</f>
        <v>1261509.22992964</v>
      </c>
      <c r="H1523" s="2" t="s">
        <v>1389</v>
      </c>
    </row>
    <row r="1524" customFormat="false" ht="15" hidden="false" customHeight="false" outlineLevel="1" collapsed="false">
      <c r="A1524" s="7" t="s">
        <v>732</v>
      </c>
      <c r="B1524" s="8" t="s">
        <v>11</v>
      </c>
      <c r="C1524" s="61" t="n">
        <f aca="false">MIN(C1522,Pressupostos!$C$181*MAX(0,C1521))</f>
        <v>0</v>
      </c>
      <c r="D1524" s="61" t="n">
        <f aca="false">MIN(D1522,Pressupostos!$C$181*MAX(0,D1521))</f>
        <v>0</v>
      </c>
      <c r="E1524" s="61" t="n">
        <f aca="false">MIN(E1522,Pressupostos!$C$181*MAX(0,E1521))</f>
        <v>0</v>
      </c>
      <c r="F1524" s="61" t="n">
        <f aca="false">MIN(F1522,Pressupostos!$C$181*MAX(0,F1521))</f>
        <v>0</v>
      </c>
      <c r="G1524" s="61" t="n">
        <f aca="false">MIN(G1522,Pressupostos!$C$181*MAX(0,G1521))</f>
        <v>0</v>
      </c>
      <c r="H1524" s="2" t="s">
        <v>1390</v>
      </c>
    </row>
    <row r="1525" customFormat="false" ht="15" hidden="false" customHeight="false" outlineLevel="1" collapsed="false">
      <c r="A1525" s="7" t="s">
        <v>733</v>
      </c>
      <c r="B1525" s="8" t="s">
        <v>11</v>
      </c>
      <c r="C1525" s="61" t="n">
        <f aca="false">C1522+C1523-C1524</f>
        <v>738537.451832192</v>
      </c>
      <c r="D1525" s="61" t="n">
        <f aca="false">D1522+D1523-D1524</f>
        <v>1579950.92993885</v>
      </c>
      <c r="E1525" s="61" t="n">
        <f aca="false">E1522+E1523-E1524</f>
        <v>2603760.92038209</v>
      </c>
      <c r="F1525" s="61" t="n">
        <f aca="false">F1522+F1523-F1524</f>
        <v>3742383.84731322</v>
      </c>
      <c r="G1525" s="61" t="n">
        <f aca="false">G1522+G1523-G1524</f>
        <v>5003893.07724286</v>
      </c>
      <c r="H1525" s="2" t="s">
        <v>1391</v>
      </c>
    </row>
    <row r="1526" customFormat="false" ht="15" hidden="false" customHeight="false" outlineLevel="1" collapsed="false">
      <c r="A1526" s="7" t="s">
        <v>734</v>
      </c>
      <c r="B1526" s="8" t="s">
        <v>11</v>
      </c>
      <c r="C1526" s="61" t="n">
        <f aca="false">MAX(0,C1521)-C1524</f>
        <v>0</v>
      </c>
      <c r="D1526" s="61" t="n">
        <f aca="false">MAX(0,D1521)-D1524</f>
        <v>0</v>
      </c>
      <c r="E1526" s="61" t="n">
        <f aca="false">MAX(0,E1521)-E1524</f>
        <v>0</v>
      </c>
      <c r="F1526" s="61" t="n">
        <f aca="false">MAX(0,F1521)-F1524</f>
        <v>0</v>
      </c>
      <c r="G1526" s="61" t="n">
        <f aca="false">MAX(0,G1521)-G1524</f>
        <v>0</v>
      </c>
      <c r="H1526" s="2" t="s">
        <v>1392</v>
      </c>
    </row>
    <row r="1527" customFormat="false" ht="15" hidden="false" customHeight="false" outlineLevel="1" collapsed="false">
      <c r="A1527" s="7" t="s">
        <v>735</v>
      </c>
      <c r="B1527" s="8" t="s">
        <v>11</v>
      </c>
      <c r="C1527" s="61" t="n">
        <f aca="false">Pressupostos!$C$172*MIN(C1526,Pressupostos!$C$173)+Pressupostos!$C$467*MAX(0,C1526-Pressupostos!$C$173)</f>
        <v>0</v>
      </c>
      <c r="D1527" s="61" t="n">
        <f aca="false">Pressupostos!$C$172*MIN(D1526,Pressupostos!$C$173)+Pressupostos!$D$467*MAX(0,D1526-Pressupostos!$C$173)</f>
        <v>0</v>
      </c>
      <c r="E1527" s="61" t="n">
        <f aca="false">Pressupostos!$C$172*MIN(E1526,Pressupostos!$C$173)+Pressupostos!$E$467*MAX(0,E1526-Pressupostos!$C$173)</f>
        <v>0</v>
      </c>
      <c r="F1527" s="61" t="n">
        <f aca="false">Pressupostos!$C$172*MIN(F1526,Pressupostos!$C$173)+Pressupostos!$F$467*MAX(0,F1526-Pressupostos!$C$173)</f>
        <v>0</v>
      </c>
      <c r="G1527" s="61" t="n">
        <f aca="false">Pressupostos!$C$172*MIN(G1526,Pressupostos!$C$173)+Pressupostos!$G$467*MAX(0,G1526-Pressupostos!$C$173)</f>
        <v>0</v>
      </c>
      <c r="H1527" s="2" t="s">
        <v>1393</v>
      </c>
    </row>
    <row r="1528" customFormat="false" ht="15" hidden="false" customHeight="false" outlineLevel="1" collapsed="false">
      <c r="A1528" s="7" t="s">
        <v>736</v>
      </c>
      <c r="B1528" s="8" t="s">
        <v>11</v>
      </c>
      <c r="C1528" s="61" t="n">
        <f aca="false">Pressupostos!$C$174*MAX(0,C1521)</f>
        <v>0</v>
      </c>
      <c r="D1528" s="61" t="n">
        <f aca="false">Pressupostos!$C$174*MAX(0,D1521)</f>
        <v>0</v>
      </c>
      <c r="E1528" s="61" t="n">
        <f aca="false">Pressupostos!$C$174*MAX(0,E1521)</f>
        <v>0</v>
      </c>
      <c r="F1528" s="61" t="n">
        <f aca="false">Pressupostos!$C$174*MAX(0,F1521)</f>
        <v>0</v>
      </c>
      <c r="G1528" s="61" t="n">
        <f aca="false">Pressupostos!$C$174*MAX(0,G1521)</f>
        <v>0</v>
      </c>
      <c r="H1528" s="2" t="s">
        <v>1394</v>
      </c>
    </row>
    <row r="1529" customFormat="false" ht="15" hidden="false" customHeight="false" outlineLevel="1" collapsed="false">
      <c r="A1529" s="7" t="s">
        <v>737</v>
      </c>
      <c r="B1529" s="8" t="s">
        <v>11</v>
      </c>
      <c r="C1529" s="61" t="n">
        <f aca="false">Pressupostos!$C$176*MAX(0,MIN(C1521,Pressupostos!$C$177)-Pressupostos!$C$175)+Pressupostos!$C$178*MAX(0,MIN(C1521,Pressupostos!$C$179)-Pressupostos!$C$177)+Pressupostos!$C$180*MAX(0,C1521-Pressupostos!$C$179)</f>
        <v>0</v>
      </c>
      <c r="D1529" s="61" t="n">
        <f aca="false">Pressupostos!$C$176*MAX(0,MIN(D1521,Pressupostos!$C$177)-Pressupostos!$C$175)+Pressupostos!$C$178*MAX(0,MIN(D1521,Pressupostos!$C$179)-Pressupostos!$C$177)+Pressupostos!$C$180*MAX(0,D1521-Pressupostos!$C$179)</f>
        <v>0</v>
      </c>
      <c r="E1529" s="61" t="n">
        <f aca="false">Pressupostos!$C$176*MAX(0,MIN(E1521,Pressupostos!$C$177)-Pressupostos!$C$175)+Pressupostos!$C$178*MAX(0,MIN(E1521,Pressupostos!$C$179)-Pressupostos!$C$177)+Pressupostos!$C$180*MAX(0,E1521-Pressupostos!$C$179)</f>
        <v>0</v>
      </c>
      <c r="F1529" s="61" t="n">
        <f aca="false">Pressupostos!$C$176*MAX(0,MIN(F1521,Pressupostos!$C$177)-Pressupostos!$C$175)+Pressupostos!$C$178*MAX(0,MIN(F1521,Pressupostos!$C$179)-Pressupostos!$C$177)+Pressupostos!$C$180*MAX(0,F1521-Pressupostos!$C$179)</f>
        <v>0</v>
      </c>
      <c r="G1529" s="61" t="n">
        <f aca="false">Pressupostos!$C$176*MAX(0,MIN(G1521,Pressupostos!$C$177)-Pressupostos!$C$175)+Pressupostos!$C$178*MAX(0,MIN(G1521,Pressupostos!$C$179)-Pressupostos!$C$177)+Pressupostos!$C$180*MAX(0,G1521-Pressupostos!$C$179)</f>
        <v>0</v>
      </c>
      <c r="H1529" s="2" t="s">
        <v>1395</v>
      </c>
    </row>
    <row r="1530" customFormat="false" ht="15" hidden="false" customHeight="false" outlineLevel="1" collapsed="false">
      <c r="A1530" s="7" t="s">
        <v>738</v>
      </c>
      <c r="B1530" s="8" t="s">
        <v>11</v>
      </c>
      <c r="C1530" s="61" t="n">
        <f aca="false">C1527+C1528+C1529</f>
        <v>0</v>
      </c>
      <c r="D1530" s="61" t="n">
        <f aca="false">D1527+D1528+D1529</f>
        <v>0</v>
      </c>
      <c r="E1530" s="61" t="n">
        <f aca="false">E1527+E1528+E1529</f>
        <v>0</v>
      </c>
      <c r="F1530" s="61" t="n">
        <f aca="false">F1527+F1528+F1529</f>
        <v>0</v>
      </c>
      <c r="G1530" s="61" t="n">
        <f aca="false">G1527+G1528+G1529</f>
        <v>0</v>
      </c>
      <c r="H1530" s="2" t="s">
        <v>1396</v>
      </c>
    </row>
    <row r="1531" customFormat="false" ht="15" hidden="false" customHeight="false" outlineLevel="0" collapsed="false">
      <c r="A1531" s="3" t="s">
        <v>1397</v>
      </c>
      <c r="B1531" s="4"/>
      <c r="C1531" s="4"/>
      <c r="D1531" s="4"/>
      <c r="E1531" s="4"/>
      <c r="F1531" s="4"/>
      <c r="G1531" s="4"/>
      <c r="H1531" s="4"/>
    </row>
    <row r="1532" customFormat="false" ht="15" hidden="false" customHeight="false" outlineLevel="1" collapsed="false">
      <c r="A1532" s="7" t="s">
        <v>738</v>
      </c>
      <c r="B1532" s="8" t="s">
        <v>11</v>
      </c>
      <c r="C1532" s="61" t="n">
        <f aca="false">-C1530</f>
        <v>-0</v>
      </c>
      <c r="D1532" s="61" t="n">
        <f aca="false">-D1530</f>
        <v>-0</v>
      </c>
      <c r="E1532" s="61" t="n">
        <f aca="false">-E1530</f>
        <v>-0</v>
      </c>
      <c r="F1532" s="61" t="n">
        <f aca="false">-F1530</f>
        <v>-0</v>
      </c>
      <c r="G1532" s="61" t="n">
        <f aca="false">-G1530</f>
        <v>-0</v>
      </c>
      <c r="H1532" s="2" t="s">
        <v>1398</v>
      </c>
    </row>
    <row r="1533" customFormat="false" ht="15" hidden="false" customHeight="false" outlineLevel="1" collapsed="false">
      <c r="A1533" s="56" t="s">
        <v>740</v>
      </c>
      <c r="B1533" s="57" t="s">
        <v>11</v>
      </c>
      <c r="C1533" s="62" t="n">
        <f aca="false">C1519+C1532</f>
        <v>-738537.451832192</v>
      </c>
      <c r="D1533" s="62" t="n">
        <f aca="false">D1519+D1532</f>
        <v>-841413.478106654</v>
      </c>
      <c r="E1533" s="62" t="n">
        <f aca="false">E1519+E1532</f>
        <v>-1023809.99044325</v>
      </c>
      <c r="F1533" s="62" t="n">
        <f aca="false">F1519+F1532</f>
        <v>-1138622.92693113</v>
      </c>
      <c r="G1533" s="62" t="n">
        <f aca="false">G1519+G1532</f>
        <v>-1261509.22992964</v>
      </c>
      <c r="H1533" s="2" t="s">
        <v>1399</v>
      </c>
    </row>
    <row r="1534" customFormat="false" ht="15" hidden="false" customHeight="false" outlineLevel="0" collapsed="false">
      <c r="A1534" s="3" t="s">
        <v>1400</v>
      </c>
      <c r="B1534" s="4"/>
      <c r="C1534" s="4"/>
      <c r="D1534" s="4"/>
      <c r="E1534" s="4"/>
      <c r="F1534" s="4"/>
      <c r="G1534" s="4"/>
      <c r="H1534" s="4"/>
    </row>
    <row r="1535" customFormat="false" ht="15" hidden="false" customHeight="false" outlineLevel="1" collapsed="false">
      <c r="A1535" s="7" t="s">
        <v>744</v>
      </c>
      <c r="B1535" s="8" t="s">
        <v>11</v>
      </c>
      <c r="C1535" s="61" t="n">
        <f aca="false">C1307*1000*((C1325+C1328)*C1331/365)+C1308*1000*((C1348+C1351)*C1354/365)+C1310*1000*((C1371+C1374)*C1377/365)</f>
        <v>33682.1917808219</v>
      </c>
      <c r="D1535" s="61" t="n">
        <f aca="false">D1307*1000*((D1325+D1328)*D1331/365)+D1308*1000*((D1348+D1351)*D1354/365)+D1310*1000*((D1371+D1374)*D1377/365)</f>
        <v>196557.534246575</v>
      </c>
      <c r="E1535" s="61" t="n">
        <f aca="false">E1307*1000*((E1325+E1328)*E1331/365)+E1308*1000*((E1348+E1351)*E1354/365)+E1310*1000*((E1371+E1374)*E1377/365)</f>
        <v>306721.232876712</v>
      </c>
      <c r="F1535" s="61" t="n">
        <f aca="false">F1307*1000*((F1325+F1328)*F1331/365)+F1308*1000*((F1348+F1351)*F1354/365)+F1310*1000*((F1371+F1374)*F1377/365)</f>
        <v>530402.054794521</v>
      </c>
      <c r="G1535" s="61" t="n">
        <f aca="false">G1307*1000*((G1325+G1328)*G1331/365)+G1308*1000*((G1348+G1351)*G1354/365)+G1310*1000*((G1371+G1374)*G1377/365)</f>
        <v>805623.287671233</v>
      </c>
      <c r="H1535" s="2" t="s">
        <v>1401</v>
      </c>
    </row>
    <row r="1536" customFormat="false" ht="15" hidden="false" customHeight="false" outlineLevel="1" collapsed="false">
      <c r="A1536" s="7" t="s">
        <v>745</v>
      </c>
      <c r="B1536" s="8" t="s">
        <v>11</v>
      </c>
      <c r="C1536" s="61" t="n">
        <f aca="false">C1535+C1320*1000*Pressupostos!$C$92*Pressupostos!$C$95/365</f>
        <v>33682.1917808219</v>
      </c>
      <c r="D1536" s="61" t="n">
        <f aca="false">D1535+D1320*1000*Pressupostos!$C$92*Pressupostos!$C$95/365</f>
        <v>196557.534246575</v>
      </c>
      <c r="E1536" s="61" t="n">
        <f aca="false">E1535+E1320*1000*Pressupostos!$C$92*Pressupostos!$C$95/365</f>
        <v>332611.643835617</v>
      </c>
      <c r="F1536" s="61" t="n">
        <f aca="false">F1535+F1320*1000*Pressupostos!$C$92*Pressupostos!$C$95/365</f>
        <v>582182.876712329</v>
      </c>
      <c r="G1536" s="61" t="n">
        <f aca="false">G1535+G1320*1000*Pressupostos!$C$92*Pressupostos!$C$95/365</f>
        <v>891924.657534247</v>
      </c>
      <c r="H1536" s="2" t="s">
        <v>1402</v>
      </c>
    </row>
    <row r="1537" customFormat="false" ht="15" hidden="false" customHeight="false" outlineLevel="1" collapsed="false">
      <c r="A1537" s="7" t="s">
        <v>746</v>
      </c>
      <c r="B1537" s="8" t="s">
        <v>11</v>
      </c>
      <c r="C1537" s="61" t="n">
        <f aca="false">C1307*1000*(C1327*C1332/365)+C1308*1000*(C1350*C1355/365)+C1310*1000*(C1373*C1378/365)+C1402*Pressupostos!$C$96/365+(C1404+C1405)*Pressupostos!$C$82/365</f>
        <v>31855.0684931507</v>
      </c>
      <c r="D1537" s="61" t="n">
        <f aca="false">D1307*1000*(D1327*D1332/365)+D1308*1000*(D1350*D1355/365)+D1310*1000*(D1373*D1378/365)+D1402*Pressupostos!$C$96/365+(D1404+D1405)*Pressupostos!$C$82/365</f>
        <v>212985</v>
      </c>
      <c r="E1537" s="61" t="n">
        <f aca="false">E1307*1000*(E1327*E1332/365)+E1308*1000*(E1350*E1355/365)+E1310*1000*(E1373*E1378/365)+E1402*Pressupostos!$C$96/365+(E1404+E1405)*Pressupostos!$C$82/365</f>
        <v>469179.246575342</v>
      </c>
      <c r="F1537" s="61" t="n">
        <f aca="false">F1307*1000*(F1327*F1332/365)+F1308*1000*(F1350*F1355/365)+F1310*1000*(F1373*F1378/365)+F1402*Pressupostos!$C$96/365+(F1404+F1405)*Pressupostos!$C$82/365</f>
        <v>803968.150684931</v>
      </c>
      <c r="G1537" s="61" t="n">
        <f aca="false">G1307*1000*(G1327*G1332/365)+G1308*1000*(G1350*G1355/365)+G1310*1000*(G1373*G1378/365)+G1402*Pressupostos!$C$96/365+(G1404+G1405)*Pressupostos!$C$82/365</f>
        <v>1225216.02739726</v>
      </c>
      <c r="H1537" s="2" t="s">
        <v>1403</v>
      </c>
    </row>
    <row r="1538" customFormat="false" ht="15" hidden="false" customHeight="false" outlineLevel="1" collapsed="false">
      <c r="A1538" s="7" t="s">
        <v>747</v>
      </c>
      <c r="B1538" s="8" t="s">
        <v>11</v>
      </c>
      <c r="C1538" s="61" t="n">
        <f aca="false">C1307*1000*((C1325+C1328)*Pressupostos!$C$72/365)+C1308*1000*((C1348+C1351)*Pressupostos!$C$72/365)+C1310*1000*((C1371+C1374)*Pressupostos!$C$72/365)+C1320*1000*Pressupostos!$C$92*Pressupostos!$C$97/365</f>
        <v>20038.3561643836</v>
      </c>
      <c r="D1538" s="61" t="n">
        <f aca="false">D1307*1000*((D1325+D1328)*Pressupostos!$C$72/365)+D1308*1000*((D1348+D1351)*Pressupostos!$C$72/365)+D1310*1000*((D1371+D1374)*Pressupostos!$C$72/365)+D1320*1000*Pressupostos!$C$92*Pressupostos!$C$97/365</f>
        <v>133454.794520548</v>
      </c>
      <c r="E1538" s="61" t="n">
        <f aca="false">E1307*1000*((E1325+E1328)*Pressupostos!$C$72/365)+E1308*1000*((E1348+E1351)*Pressupostos!$C$72/365)+E1310*1000*((E1371+E1374)*Pressupostos!$C$72/365)+E1320*1000*Pressupostos!$C$92*Pressupostos!$C$97/365</f>
        <v>301298.630136986</v>
      </c>
      <c r="F1538" s="61" t="n">
        <f aca="false">F1307*1000*((F1325+F1328)*Pressupostos!$C$72/365)+F1308*1000*((F1348+F1351)*Pressupostos!$C$72/365)+F1310*1000*((F1371+F1374)*Pressupostos!$C$72/365)+F1320*1000*Pressupostos!$C$92*Pressupostos!$C$97/365</f>
        <v>519386.301369863</v>
      </c>
      <c r="G1538" s="61" t="n">
        <f aca="false">G1307*1000*((G1325+G1328)*Pressupostos!$C$72/365)+G1308*1000*((G1348+G1351)*Pressupostos!$C$72/365)+G1310*1000*((G1371+G1374)*Pressupostos!$C$72/365)+G1320*1000*Pressupostos!$C$92*Pressupostos!$C$97/365</f>
        <v>793232.876712329</v>
      </c>
      <c r="H1538" s="2" t="s">
        <v>1404</v>
      </c>
    </row>
    <row r="1539" customFormat="false" ht="15" hidden="false" customHeight="false" outlineLevel="1" collapsed="false">
      <c r="A1539" s="56" t="s">
        <v>748</v>
      </c>
      <c r="B1539" s="57" t="s">
        <v>11</v>
      </c>
      <c r="C1539" s="62" t="n">
        <f aca="false">C1536+C1537-C1538</f>
        <v>45498.904109589</v>
      </c>
      <c r="D1539" s="62" t="n">
        <f aca="false">D1536+D1537-D1538</f>
        <v>276087.739726027</v>
      </c>
      <c r="E1539" s="62" t="n">
        <f aca="false">E1536+E1537-E1538</f>
        <v>500492.260273972</v>
      </c>
      <c r="F1539" s="62" t="n">
        <f aca="false">F1536+F1537-F1538</f>
        <v>866764.726027397</v>
      </c>
      <c r="G1539" s="62" t="n">
        <f aca="false">G1536+G1537-G1538</f>
        <v>1323907.80821918</v>
      </c>
      <c r="H1539" s="2" t="s">
        <v>1405</v>
      </c>
    </row>
    <row r="1540" customFormat="false" ht="15" hidden="false" customHeight="false" outlineLevel="0" collapsed="false">
      <c r="A1540" s="3" t="s">
        <v>1406</v>
      </c>
      <c r="B1540" s="4"/>
      <c r="C1540" s="4"/>
      <c r="D1540" s="4"/>
      <c r="E1540" s="4"/>
      <c r="F1540" s="4"/>
      <c r="G1540" s="4"/>
      <c r="H1540" s="4"/>
    </row>
    <row r="1541" customFormat="false" ht="15" hidden="false" customHeight="false" outlineLevel="1" collapsed="false">
      <c r="A1541" s="56" t="s">
        <v>750</v>
      </c>
      <c r="B1541" s="57" t="s">
        <v>11</v>
      </c>
      <c r="C1541" s="62" t="n">
        <f aca="false">Pressupostos!$C$282*C1539/Pressupostos!$D$31</f>
        <v>0</v>
      </c>
      <c r="D1541" s="62" t="n">
        <f aca="false">Pressupostos!$D$282*D1539/Pressupostos!$D$31</f>
        <v>310598.707191781</v>
      </c>
      <c r="E1541" s="62" t="n">
        <f aca="false">Pressupostos!$E$282*E1539/Pressupostos!$D$31</f>
        <v>563053.792808219</v>
      </c>
      <c r="F1541" s="62" t="n">
        <f aca="false">Pressupostos!$F$282*F1539/Pressupostos!$D$31</f>
        <v>975110.316780822</v>
      </c>
      <c r="G1541" s="62" t="n">
        <f aca="false">Pressupostos!$G$282*G1539/Pressupostos!$D$31</f>
        <v>1489396.28424658</v>
      </c>
      <c r="H1541" s="2" t="s">
        <v>1407</v>
      </c>
    </row>
    <row r="1542" customFormat="false" ht="15" hidden="false" customHeight="false" outlineLevel="1" collapsed="false">
      <c r="A1542" s="7" t="s">
        <v>751</v>
      </c>
      <c r="B1542" s="8" t="s">
        <v>11</v>
      </c>
      <c r="C1542" s="61" t="n">
        <f aca="false">Pressupostos!$C$282*C1539</f>
        <v>0</v>
      </c>
      <c r="D1542" s="61" t="n">
        <f aca="false">Pressupostos!$D$282*D1539</f>
        <v>248478.965753425</v>
      </c>
      <c r="E1542" s="61" t="n">
        <f aca="false">Pressupostos!$E$282*E1539</f>
        <v>450443.034246575</v>
      </c>
      <c r="F1542" s="61" t="n">
        <f aca="false">Pressupostos!$F$282*F1539</f>
        <v>780088.253424658</v>
      </c>
      <c r="G1542" s="61" t="n">
        <f aca="false">Pressupostos!$G$282*G1539</f>
        <v>1191517.02739726</v>
      </c>
      <c r="H1542" s="2" t="s">
        <v>1408</v>
      </c>
    </row>
    <row r="1543" customFormat="false" ht="15" hidden="false" customHeight="false" outlineLevel="1" collapsed="false">
      <c r="A1543" s="7" t="s">
        <v>752</v>
      </c>
      <c r="B1543" s="8" t="s">
        <v>11</v>
      </c>
      <c r="C1543" s="61" t="n">
        <f aca="false">C1541-C1542</f>
        <v>0</v>
      </c>
      <c r="D1543" s="61" t="n">
        <f aca="false">D1541-D1542</f>
        <v>62119.7414383561</v>
      </c>
      <c r="E1543" s="61" t="n">
        <f aca="false">E1541-E1542</f>
        <v>112610.758561644</v>
      </c>
      <c r="F1543" s="61" t="n">
        <f aca="false">F1541-F1542</f>
        <v>195022.063356164</v>
      </c>
      <c r="G1543" s="61" t="n">
        <f aca="false">G1541-G1542</f>
        <v>297879.256849315</v>
      </c>
      <c r="H1543" s="2" t="s">
        <v>1409</v>
      </c>
    </row>
    <row r="1544" customFormat="false" ht="15" hidden="false" customHeight="false" outlineLevel="1" collapsed="false">
      <c r="A1544" s="7" t="s">
        <v>753</v>
      </c>
      <c r="B1544" s="8" t="s">
        <v>11</v>
      </c>
      <c r="C1544" s="61" t="n">
        <f aca="false">C1539-C1542</f>
        <v>45498.904109589</v>
      </c>
      <c r="D1544" s="61" t="n">
        <f aca="false">D1539-D1542</f>
        <v>27608.7739726027</v>
      </c>
      <c r="E1544" s="61" t="n">
        <f aca="false">E1539-E1542</f>
        <v>50049.2260273973</v>
      </c>
      <c r="F1544" s="61" t="n">
        <f aca="false">F1539-F1542</f>
        <v>86676.4726027397</v>
      </c>
      <c r="G1544" s="61" t="n">
        <f aca="false">G1539-G1542</f>
        <v>132390.780821918</v>
      </c>
      <c r="H1544" s="2" t="s">
        <v>1410</v>
      </c>
    </row>
    <row r="1545" customFormat="false" ht="15" hidden="false" customHeight="false" outlineLevel="1" collapsed="false">
      <c r="A1545" s="7" t="s">
        <v>754</v>
      </c>
      <c r="B1545" s="8" t="s">
        <v>11</v>
      </c>
      <c r="C1545" s="61" t="n">
        <f aca="false">MAX(0,Pressupostos!$C$108-C1544)</f>
        <v>4501.09589041097</v>
      </c>
      <c r="D1545" s="61" t="n">
        <f aca="false">MAX(0,Pressupostos!$C$108-D1544)</f>
        <v>22391.2260273973</v>
      </c>
      <c r="E1545" s="61" t="n">
        <f aca="false">MAX(0,Pressupostos!$C$108-E1544)</f>
        <v>0</v>
      </c>
      <c r="F1545" s="61" t="n">
        <f aca="false">MAX(0,Pressupostos!$C$108-F1544)</f>
        <v>0</v>
      </c>
      <c r="G1545" s="61" t="n">
        <f aca="false">MAX(0,Pressupostos!$C$108-G1544)</f>
        <v>0</v>
      </c>
      <c r="H1545" s="2" t="s">
        <v>1411</v>
      </c>
    </row>
    <row r="1546" customFormat="false" ht="15" hidden="false" customHeight="false" outlineLevel="1" collapsed="false">
      <c r="A1546" s="7" t="s">
        <v>755</v>
      </c>
      <c r="B1546" s="8" t="s">
        <v>11</v>
      </c>
      <c r="C1546" s="61" t="n">
        <f aca="false">Pressupostos!$C$109*C1541</f>
        <v>0</v>
      </c>
      <c r="D1546" s="61" t="n">
        <f aca="false">Pressupostos!$C$109*D1541</f>
        <v>15529.935359589</v>
      </c>
      <c r="E1546" s="61" t="n">
        <f aca="false">Pressupostos!$C$109*E1541</f>
        <v>28152.689640411</v>
      </c>
      <c r="F1546" s="61" t="n">
        <f aca="false">Pressupostos!$C$109*F1541</f>
        <v>48755.5158390411</v>
      </c>
      <c r="G1546" s="61" t="n">
        <f aca="false">Pressupostos!$C$109*G1541</f>
        <v>74469.8142123288</v>
      </c>
      <c r="H1546" s="2" t="s">
        <v>1412</v>
      </c>
    </row>
    <row r="1547" customFormat="false" ht="15" hidden="false" customHeight="false" outlineLevel="1" collapsed="false">
      <c r="A1547" s="2" t="s">
        <v>756</v>
      </c>
      <c r="B1547" s="8" t="s">
        <v>123</v>
      </c>
      <c r="C1547" s="61" t="n">
        <f aca="false">C1541/Pressupostos!$C$112</f>
        <v>0</v>
      </c>
      <c r="D1547" s="61" t="n">
        <f aca="false">D1541/Pressupostos!$C$112</f>
        <v>6.21197414383562</v>
      </c>
      <c r="E1547" s="61" t="n">
        <f aca="false">E1541/Pressupostos!$C$112</f>
        <v>11.2610758561644</v>
      </c>
      <c r="F1547" s="61" t="n">
        <f aca="false">F1541/Pressupostos!$C$112</f>
        <v>19.5022063356164</v>
      </c>
      <c r="G1547" s="61" t="n">
        <f aca="false">G1541/Pressupostos!$C$112</f>
        <v>29.7879256849315</v>
      </c>
      <c r="H1547" s="2" t="s">
        <v>1413</v>
      </c>
    </row>
    <row r="1548" customFormat="false" ht="15" hidden="false" customHeight="false" outlineLevel="0" collapsed="false">
      <c r="A1548" s="3" t="s">
        <v>1414</v>
      </c>
      <c r="B1548" s="4"/>
      <c r="C1548" s="4"/>
      <c r="D1548" s="4"/>
      <c r="E1548" s="4"/>
      <c r="F1548" s="4"/>
      <c r="G1548" s="4"/>
      <c r="H1548" s="4"/>
    </row>
    <row r="1549" customFormat="false" ht="15" hidden="false" customHeight="false" outlineLevel="1" collapsed="false">
      <c r="A1549" s="7" t="s">
        <v>758</v>
      </c>
      <c r="B1549" s="8" t="s">
        <v>11</v>
      </c>
      <c r="C1549" s="61" t="n">
        <f aca="false">C1515</f>
        <v>-711437.451832192</v>
      </c>
      <c r="D1549" s="61" t="n">
        <f aca="false">D1515</f>
        <v>-801413.478106654</v>
      </c>
      <c r="E1549" s="61" t="n">
        <f aca="false">E1515</f>
        <v>-969909.990443249</v>
      </c>
      <c r="F1549" s="61" t="n">
        <f aca="false">F1515</f>
        <v>-1094156.26026446</v>
      </c>
      <c r="G1549" s="61" t="n">
        <f aca="false">G1515</f>
        <v>-1219975.89659631</v>
      </c>
      <c r="H1549" s="2" t="s">
        <v>1415</v>
      </c>
    </row>
    <row r="1550" customFormat="false" ht="15" hidden="false" customHeight="false" outlineLevel="1" collapsed="false">
      <c r="A1550" s="7" t="s">
        <v>759</v>
      </c>
      <c r="B1550" s="8" t="s">
        <v>11</v>
      </c>
      <c r="C1550" s="61" t="n">
        <f aca="false">-C1530</f>
        <v>-0</v>
      </c>
      <c r="D1550" s="61" t="n">
        <f aca="false">-D1530</f>
        <v>-0</v>
      </c>
      <c r="E1550" s="61" t="n">
        <f aca="false">-E1530</f>
        <v>-0</v>
      </c>
      <c r="F1550" s="61" t="n">
        <f aca="false">-F1530</f>
        <v>-0</v>
      </c>
      <c r="G1550" s="61" t="n">
        <f aca="false">-G1530</f>
        <v>-0</v>
      </c>
      <c r="H1550" s="2" t="s">
        <v>1416</v>
      </c>
    </row>
    <row r="1551" customFormat="false" ht="15" hidden="false" customHeight="false" outlineLevel="1" collapsed="false">
      <c r="A1551" s="7" t="s">
        <v>760</v>
      </c>
      <c r="B1551" s="8" t="s">
        <v>11</v>
      </c>
      <c r="C1551" s="61" t="n">
        <f aca="false">-C1539</f>
        <v>-45498.904109589</v>
      </c>
      <c r="D1551" s="61" t="n">
        <f aca="false">-(D1539-C1539)</f>
        <v>-230588.835616438</v>
      </c>
      <c r="E1551" s="61" t="n">
        <f aca="false">-(E1539-D1539)</f>
        <v>-224404.520547945</v>
      </c>
      <c r="F1551" s="61" t="n">
        <f aca="false">-(F1539-E1539)</f>
        <v>-366272.465753425</v>
      </c>
      <c r="G1551" s="61" t="n">
        <f aca="false">-(G1539-F1539)</f>
        <v>-457143.082191781</v>
      </c>
      <c r="H1551" s="2" t="s">
        <v>1417</v>
      </c>
    </row>
    <row r="1552" customFormat="false" ht="15" hidden="false" customHeight="false" outlineLevel="1" collapsed="false">
      <c r="A1552" s="7" t="s">
        <v>424</v>
      </c>
      <c r="B1552" s="8" t="s">
        <v>11</v>
      </c>
      <c r="C1552" s="61" t="n">
        <f aca="false">-C1499</f>
        <v>-92000</v>
      </c>
      <c r="D1552" s="61" t="n">
        <f aca="false">-D1499</f>
        <v>-44000</v>
      </c>
      <c r="E1552" s="61" t="n">
        <f aca="false">-E1499</f>
        <v>-48000</v>
      </c>
      <c r="F1552" s="61" t="n">
        <f aca="false">-F1499</f>
        <v>-38000</v>
      </c>
      <c r="G1552" s="61" t="n">
        <f aca="false">-G1499</f>
        <v>-38000</v>
      </c>
      <c r="H1552" s="2" t="s">
        <v>1418</v>
      </c>
    </row>
    <row r="1553" customFormat="false" ht="15" hidden="false" customHeight="false" outlineLevel="1" collapsed="false">
      <c r="A1553" s="7" t="s">
        <v>761</v>
      </c>
      <c r="B1553" s="8" t="s">
        <v>11</v>
      </c>
      <c r="C1553" s="61" t="n">
        <f aca="false">C1549+C1550+C1551+C1552</f>
        <v>-848936.355941781</v>
      </c>
      <c r="D1553" s="61" t="n">
        <f aca="false">D1549+D1550+D1551+D1552</f>
        <v>-1076002.31372309</v>
      </c>
      <c r="E1553" s="61" t="n">
        <f aca="false">E1549+E1550+E1551+E1552</f>
        <v>-1242314.51099119</v>
      </c>
      <c r="F1553" s="61" t="n">
        <f aca="false">F1549+F1550+F1551+F1552</f>
        <v>-1498428.72601788</v>
      </c>
      <c r="G1553" s="61" t="n">
        <f aca="false">G1549+G1550+G1551+G1552</f>
        <v>-1715118.97878809</v>
      </c>
      <c r="H1553" s="2" t="s">
        <v>1419</v>
      </c>
    </row>
    <row r="1554" customFormat="false" ht="15" hidden="false" customHeight="false" outlineLevel="1" collapsed="false">
      <c r="A1554" s="7" t="s">
        <v>762</v>
      </c>
      <c r="B1554" s="8" t="s">
        <v>11</v>
      </c>
      <c r="C1554" s="61" t="n">
        <f aca="false">C1541</f>
        <v>0</v>
      </c>
      <c r="D1554" s="61" t="n">
        <f aca="false">D1541-C1541</f>
        <v>310598.707191781</v>
      </c>
      <c r="E1554" s="61" t="n">
        <f aca="false">E1541-D1541</f>
        <v>252455.085616438</v>
      </c>
      <c r="F1554" s="61" t="n">
        <f aca="false">F1541-E1541</f>
        <v>412056.523972603</v>
      </c>
      <c r="G1554" s="61" t="n">
        <f aca="false">G1541-F1541</f>
        <v>514285.967465753</v>
      </c>
      <c r="H1554" s="2" t="s">
        <v>1420</v>
      </c>
    </row>
    <row r="1555" customFormat="false" ht="15" hidden="false" customHeight="false" outlineLevel="1" collapsed="false">
      <c r="A1555" s="7" t="s">
        <v>763</v>
      </c>
      <c r="B1555" s="8" t="s">
        <v>11</v>
      </c>
      <c r="C1555" s="61" t="n">
        <f aca="false">-C1543</f>
        <v>-0</v>
      </c>
      <c r="D1555" s="61" t="n">
        <f aca="false">-(D1543-C1543)</f>
        <v>-62119.7414383561</v>
      </c>
      <c r="E1555" s="61" t="n">
        <f aca="false">-(E1543-D1543)</f>
        <v>-50491.0171232877</v>
      </c>
      <c r="F1555" s="61" t="n">
        <f aca="false">-(F1543-E1543)</f>
        <v>-82411.3047945206</v>
      </c>
      <c r="G1555" s="61" t="n">
        <f aca="false">-(G1543-F1543)</f>
        <v>-102857.193493151</v>
      </c>
      <c r="H1555" s="2" t="s">
        <v>1421</v>
      </c>
    </row>
    <row r="1556" customFormat="false" ht="15" hidden="false" customHeight="false" outlineLevel="1" collapsed="false">
      <c r="A1556" s="7" t="s">
        <v>764</v>
      </c>
      <c r="B1556" s="8" t="s">
        <v>11</v>
      </c>
      <c r="C1556" s="61" t="n">
        <f aca="false">-C1546</f>
        <v>-0</v>
      </c>
      <c r="D1556" s="61" t="n">
        <f aca="false">-(D1546-C1546)</f>
        <v>-15529.935359589</v>
      </c>
      <c r="E1556" s="61" t="n">
        <f aca="false">-(E1546-D1546)</f>
        <v>-12622.7542808219</v>
      </c>
      <c r="F1556" s="61" t="n">
        <f aca="false">-(F1546-E1546)</f>
        <v>-20602.8261986301</v>
      </c>
      <c r="G1556" s="61" t="n">
        <f aca="false">-(G1546-F1546)</f>
        <v>-25714.2983732877</v>
      </c>
      <c r="H1556" s="2" t="s">
        <v>1422</v>
      </c>
    </row>
    <row r="1557" customFormat="false" ht="15" hidden="false" customHeight="false" outlineLevel="1" collapsed="false">
      <c r="A1557" s="7" t="s">
        <v>765</v>
      </c>
      <c r="B1557" s="8" t="s">
        <v>11</v>
      </c>
      <c r="C1557" s="61" t="n">
        <f aca="false">-(C1545-Pressupostos!$C$108)</f>
        <v>45498.904109589</v>
      </c>
      <c r="D1557" s="61" t="n">
        <f aca="false">-(D1545-C1545)</f>
        <v>-17890.1301369863</v>
      </c>
      <c r="E1557" s="61" t="n">
        <f aca="false">-(E1545-D1545)</f>
        <v>22391.2260273973</v>
      </c>
      <c r="F1557" s="61" t="n">
        <f aca="false">-(F1545-E1545)</f>
        <v>-0</v>
      </c>
      <c r="G1557" s="61" t="n">
        <f aca="false">-(G1545-F1545)</f>
        <v>-0</v>
      </c>
      <c r="H1557" s="2" t="s">
        <v>1423</v>
      </c>
    </row>
    <row r="1558" customFormat="false" ht="15" hidden="false" customHeight="false" outlineLevel="1" collapsed="false">
      <c r="A1558" s="56" t="s">
        <v>766</v>
      </c>
      <c r="B1558" s="57" t="s">
        <v>11</v>
      </c>
      <c r="C1558" s="62" t="n">
        <f aca="false">C1553+C1554+C1555+C1556+C1557</f>
        <v>-803437.451832192</v>
      </c>
      <c r="D1558" s="62" t="n">
        <f aca="false">D1553+D1554+D1555+D1556+D1557</f>
        <v>-860943.413466243</v>
      </c>
      <c r="E1558" s="62" t="n">
        <f aca="false">E1553+E1554+E1555+E1556+E1557</f>
        <v>-1030581.97075147</v>
      </c>
      <c r="F1558" s="62" t="n">
        <f aca="false">F1553+F1554+F1555+F1556+F1557</f>
        <v>-1189386.33303843</v>
      </c>
      <c r="G1558" s="62" t="n">
        <f aca="false">G1553+G1554+G1555+G1556+G1557</f>
        <v>-1329404.50318877</v>
      </c>
      <c r="H1558" s="2" t="s">
        <v>1424</v>
      </c>
    </row>
    <row r="1559" customFormat="false" ht="15" hidden="false" customHeight="false" outlineLevel="1" collapsed="false">
      <c r="A1559" s="56" t="s">
        <v>767</v>
      </c>
      <c r="B1559" s="57" t="s">
        <v>11</v>
      </c>
      <c r="C1559" s="62" t="n">
        <f aca="false">C1558</f>
        <v>-803437.451832192</v>
      </c>
      <c r="D1559" s="62" t="n">
        <f aca="false">C1559+D1558</f>
        <v>-1664380.86529843</v>
      </c>
      <c r="E1559" s="62" t="n">
        <f aca="false">D1559+E1558</f>
        <v>-2694962.8360499</v>
      </c>
      <c r="F1559" s="62" t="n">
        <f aca="false">E1559+F1558</f>
        <v>-3884349.16908834</v>
      </c>
      <c r="G1559" s="62" t="n">
        <f aca="false">F1559+G1558</f>
        <v>-5213753.67227711</v>
      </c>
      <c r="H1559" s="2" t="s">
        <v>1425</v>
      </c>
    </row>
    <row r="1560" customFormat="false" ht="15" hidden="false" customHeight="false" outlineLevel="1" collapsed="false">
      <c r="A1560" s="8" t="s">
        <v>768</v>
      </c>
      <c r="B1560" s="8" t="s">
        <v>11</v>
      </c>
      <c r="C1560" s="70" t="n">
        <f aca="false">ROUND(C1515-C1499-C1530-(MAX(C1544,Pressupostos!$C$108)-Pressupostos!$C$108)-(C1546)-C1558,6)</f>
        <v>0</v>
      </c>
      <c r="D1560" s="70" t="n">
        <f aca="false">ROUND(D1515-D1499-D1530-(MAX(D1544,Pressupostos!$C$108)-MAX(C1544,Pressupostos!$C$108))-(D1546-C1546)-D1558,6)</f>
        <v>0</v>
      </c>
      <c r="E1560" s="70" t="n">
        <f aca="false">ROUND(E1515-E1499-E1530-(MAX(E1544,Pressupostos!$C$108)-MAX(D1544,Pressupostos!$C$108))-(E1546-D1546)-E1558,6)</f>
        <v>0</v>
      </c>
      <c r="F1560" s="70" t="n">
        <f aca="false">ROUND(F1515-F1499-F1530-(MAX(F1544,Pressupostos!$C$108)-MAX(E1544,Pressupostos!$C$108))-(F1546-E1546)-F1558,6)</f>
        <v>0</v>
      </c>
      <c r="G1560" s="70" t="n">
        <f aca="false">ROUND(G1515-G1499-G1530-(MAX(G1544,Pressupostos!$C$108)-MAX(F1544,Pressupostos!$C$108))-(G1546-F1546)-G1558,6)</f>
        <v>0</v>
      </c>
      <c r="H1560" s="2" t="s">
        <v>1426</v>
      </c>
    </row>
    <row r="1561" customFormat="false" ht="15" hidden="false" customHeight="false" outlineLevel="0" collapsed="false">
      <c r="A1561" s="3" t="s">
        <v>1427</v>
      </c>
      <c r="B1561" s="4"/>
      <c r="C1561" s="4"/>
      <c r="D1561" s="4"/>
      <c r="E1561" s="4"/>
      <c r="F1561" s="4"/>
      <c r="G1561" s="4"/>
      <c r="H1561" s="4"/>
    </row>
    <row r="1562" customFormat="false" ht="15" hidden="false" customHeight="false" outlineLevel="1" collapsed="false">
      <c r="A1562" s="7" t="s">
        <v>770</v>
      </c>
      <c r="B1562" s="8" t="s">
        <v>11</v>
      </c>
      <c r="C1562" s="61" t="n">
        <f aca="false">0</f>
        <v>0</v>
      </c>
      <c r="D1562" s="61" t="n">
        <f aca="false">C1567</f>
        <v>151562.548167808</v>
      </c>
      <c r="E1562" s="61" t="n">
        <f aca="false">D1567</f>
        <v>150000</v>
      </c>
      <c r="F1562" s="61" t="n">
        <f aca="false">E1567</f>
        <v>150000</v>
      </c>
      <c r="G1562" s="61" t="n">
        <f aca="false">F1567</f>
        <v>150000</v>
      </c>
      <c r="H1562" s="2" t="s">
        <v>1428</v>
      </c>
    </row>
    <row r="1563" customFormat="false" ht="15" hidden="false" customHeight="false" outlineLevel="1" collapsed="false">
      <c r="A1563" s="7" t="s">
        <v>771</v>
      </c>
      <c r="B1563" s="8" t="s">
        <v>11</v>
      </c>
      <c r="C1563" s="61" t="n">
        <f aca="false">-(Pressupostos!$C$159+Pressupostos!$C$160+Pressupostos!$C$161+Pressupostos!$C$162+Pressupostos!$C$163+Pressupostos!$C$108)</f>
        <v>-145000</v>
      </c>
      <c r="D1563" s="61" t="n">
        <f aca="false">0</f>
        <v>0</v>
      </c>
      <c r="E1563" s="61" t="n">
        <f aca="false">0</f>
        <v>0</v>
      </c>
      <c r="F1563" s="61" t="n">
        <f aca="false">0</f>
        <v>0</v>
      </c>
      <c r="G1563" s="61" t="n">
        <f aca="false">0</f>
        <v>0</v>
      </c>
      <c r="H1563" s="2" t="s">
        <v>1429</v>
      </c>
    </row>
    <row r="1564" customFormat="false" ht="15" hidden="false" customHeight="false" outlineLevel="1" collapsed="false">
      <c r="A1564" s="7" t="s">
        <v>772</v>
      </c>
      <c r="B1564" s="8" t="s">
        <v>11</v>
      </c>
      <c r="C1564" s="53" t="n">
        <f aca="false">Pressupostos!$D$32</f>
        <v>1100000</v>
      </c>
      <c r="D1564" s="61" t="n">
        <f aca="false">0</f>
        <v>0</v>
      </c>
      <c r="E1564" s="61" t="n">
        <f aca="false">0</f>
        <v>0</v>
      </c>
      <c r="F1564" s="61" t="n">
        <f aca="false">0</f>
        <v>0</v>
      </c>
      <c r="G1564" s="61" t="n">
        <f aca="false">0</f>
        <v>0</v>
      </c>
      <c r="H1564" s="2" t="s">
        <v>1430</v>
      </c>
    </row>
    <row r="1565" customFormat="false" ht="15" hidden="false" customHeight="false" outlineLevel="1" collapsed="false">
      <c r="A1565" s="7" t="s">
        <v>773</v>
      </c>
      <c r="B1565" s="8" t="s">
        <v>11</v>
      </c>
      <c r="C1565" s="61" t="n">
        <f aca="false">C1562+C1563+C1564+C1558</f>
        <v>151562.548167808</v>
      </c>
      <c r="D1565" s="61" t="n">
        <f aca="false">D1562+D1563+D1564+D1558</f>
        <v>-709380.865298435</v>
      </c>
      <c r="E1565" s="61" t="n">
        <f aca="false">E1562+E1563+E1564+E1558</f>
        <v>-880581.970751468</v>
      </c>
      <c r="F1565" s="61" t="n">
        <f aca="false">F1562+F1563+F1564+F1558</f>
        <v>-1039386.33303843</v>
      </c>
      <c r="G1565" s="61" t="n">
        <f aca="false">G1562+G1563+G1564+G1558</f>
        <v>-1179404.50318877</v>
      </c>
      <c r="H1565" s="2" t="s">
        <v>1431</v>
      </c>
    </row>
    <row r="1566" customFormat="false" ht="15" hidden="false" customHeight="false" outlineLevel="1" collapsed="false">
      <c r="A1566" s="56" t="s">
        <v>774</v>
      </c>
      <c r="B1566" s="57" t="s">
        <v>11</v>
      </c>
      <c r="C1566" s="62" t="n">
        <f aca="false">MAX(0,Pressupostos!$C$170-C1565)</f>
        <v>0</v>
      </c>
      <c r="D1566" s="62" t="n">
        <f aca="false">MAX(0,Pressupostos!$C$170-D1565)</f>
        <v>859380.865298435</v>
      </c>
      <c r="E1566" s="62" t="n">
        <f aca="false">MAX(0,Pressupostos!$C$170-E1565)</f>
        <v>1030581.97075147</v>
      </c>
      <c r="F1566" s="62" t="n">
        <f aca="false">MAX(0,Pressupostos!$C$170-F1565)</f>
        <v>1189386.33303843</v>
      </c>
      <c r="G1566" s="62" t="n">
        <f aca="false">MAX(0,Pressupostos!$C$170-G1565)</f>
        <v>1329404.50318877</v>
      </c>
      <c r="H1566" s="2" t="s">
        <v>1432</v>
      </c>
    </row>
    <row r="1567" customFormat="false" ht="15" hidden="false" customHeight="false" outlineLevel="1" collapsed="false">
      <c r="A1567" s="56" t="s">
        <v>775</v>
      </c>
      <c r="B1567" s="57" t="s">
        <v>11</v>
      </c>
      <c r="C1567" s="62" t="n">
        <f aca="false">C1565+C1566</f>
        <v>151562.548167808</v>
      </c>
      <c r="D1567" s="62" t="n">
        <f aca="false">D1565+D1566</f>
        <v>150000</v>
      </c>
      <c r="E1567" s="62" t="n">
        <f aca="false">E1565+E1566</f>
        <v>150000</v>
      </c>
      <c r="F1567" s="62" t="n">
        <f aca="false">F1565+F1566</f>
        <v>150000</v>
      </c>
      <c r="G1567" s="62" t="n">
        <f aca="false">G1565+G1566</f>
        <v>150000</v>
      </c>
      <c r="H1567" s="2" t="s">
        <v>1433</v>
      </c>
    </row>
    <row r="1568" customFormat="false" ht="15" hidden="false" customHeight="false" outlineLevel="1" collapsed="false">
      <c r="A1568" s="7" t="s">
        <v>776</v>
      </c>
      <c r="B1568" s="8" t="s">
        <v>11</v>
      </c>
      <c r="C1568" s="61" t="n">
        <f aca="false">C1543+C1546+C1545</f>
        <v>4501.09589041097</v>
      </c>
      <c r="D1568" s="61" t="n">
        <f aca="false">D1543+D1546+D1545</f>
        <v>100040.902825342</v>
      </c>
      <c r="E1568" s="61" t="n">
        <f aca="false">E1543+E1546+E1545</f>
        <v>140763.448202055</v>
      </c>
      <c r="F1568" s="61" t="n">
        <f aca="false">F1543+F1546+F1545</f>
        <v>243777.579195205</v>
      </c>
      <c r="G1568" s="61" t="n">
        <f aca="false">G1543+G1546+G1545</f>
        <v>372349.071061644</v>
      </c>
      <c r="H1568" s="2" t="s">
        <v>1434</v>
      </c>
    </row>
    <row r="1569" customFormat="false" ht="15" hidden="false" customHeight="false" outlineLevel="1" collapsed="false">
      <c r="A1569" s="7" t="s">
        <v>777</v>
      </c>
      <c r="B1569" s="8" t="s">
        <v>11</v>
      </c>
      <c r="C1569" s="61" t="n">
        <f aca="false">C1567+C1568</f>
        <v>156063.644058219</v>
      </c>
      <c r="D1569" s="61" t="n">
        <f aca="false">D1567+D1568</f>
        <v>250040.902825342</v>
      </c>
      <c r="E1569" s="61" t="n">
        <f aca="false">E1567+E1568</f>
        <v>290763.448202055</v>
      </c>
      <c r="F1569" s="61" t="n">
        <f aca="false">F1567+F1568</f>
        <v>393777.579195206</v>
      </c>
      <c r="G1569" s="61" t="n">
        <f aca="false">G1567+G1568</f>
        <v>522349.071061644</v>
      </c>
      <c r="H1569" s="2" t="s">
        <v>1435</v>
      </c>
    </row>
    <row r="1570" customFormat="false" ht="15" hidden="false" customHeight="false" outlineLevel="1" collapsed="false">
      <c r="A1570" s="7" t="s">
        <v>778</v>
      </c>
      <c r="B1570" s="8" t="s">
        <v>11</v>
      </c>
      <c r="C1570" s="61" t="n">
        <f aca="false">C1564+C1566</f>
        <v>1100000</v>
      </c>
      <c r="D1570" s="61" t="n">
        <f aca="false">C1570+D1564+D1566</f>
        <v>1959380.86529843</v>
      </c>
      <c r="E1570" s="61" t="n">
        <f aca="false">D1570+E1564+E1566</f>
        <v>2989962.8360499</v>
      </c>
      <c r="F1570" s="61" t="n">
        <f aca="false">E1570+F1564+F1566</f>
        <v>4179349.16908834</v>
      </c>
      <c r="G1570" s="61" t="n">
        <f aca="false">F1570+G1564+G1566</f>
        <v>5508753.67227711</v>
      </c>
      <c r="H1570" s="2" t="s">
        <v>1436</v>
      </c>
    </row>
    <row r="1571" customFormat="false" ht="15" hidden="false" customHeight="false" outlineLevel="0" collapsed="false">
      <c r="A1571" s="3" t="s">
        <v>1437</v>
      </c>
      <c r="B1571" s="4"/>
      <c r="C1571" s="4"/>
      <c r="D1571" s="4"/>
      <c r="E1571" s="4"/>
      <c r="F1571" s="4"/>
      <c r="G1571" s="4"/>
      <c r="H1571" s="4"/>
    </row>
    <row r="1572" customFormat="false" ht="15" hidden="false" customHeight="false" outlineLevel="1" collapsed="false">
      <c r="A1572" s="7" t="s">
        <v>782</v>
      </c>
      <c r="B1572" s="8" t="s">
        <v>11</v>
      </c>
      <c r="C1572" s="72" t="n">
        <f aca="false">Pressupostos!$C$159+Pressupostos!$C$160+Pressupostos!$C$161+Pressupostos!$C$162+Pressupostos!$C$163</f>
        <v>95000</v>
      </c>
      <c r="H1572" s="2" t="s">
        <v>1438</v>
      </c>
    </row>
    <row r="1573" customFormat="false" ht="15" hidden="false" customHeight="false" outlineLevel="1" collapsed="false">
      <c r="A1573" s="7" t="s">
        <v>783</v>
      </c>
      <c r="B1573" s="8" t="s">
        <v>11</v>
      </c>
      <c r="C1573" s="73" t="n">
        <f aca="false">Pressupostos!$C$108</f>
        <v>50000</v>
      </c>
      <c r="H1573" s="2" t="s">
        <v>1439</v>
      </c>
    </row>
    <row r="1574" customFormat="false" ht="15" hidden="false" customHeight="false" outlineLevel="1" collapsed="false">
      <c r="A1574" s="7" t="s">
        <v>322</v>
      </c>
      <c r="B1574" s="8" t="s">
        <v>11</v>
      </c>
      <c r="C1574" s="73" t="n">
        <f aca="false">Pressupostos!$C$170</f>
        <v>150000</v>
      </c>
      <c r="H1574" s="2" t="s">
        <v>1440</v>
      </c>
    </row>
    <row r="1575" customFormat="false" ht="15" hidden="false" customHeight="false" outlineLevel="1" collapsed="false">
      <c r="A1575" s="7" t="s">
        <v>784</v>
      </c>
      <c r="B1575" s="8" t="s">
        <v>11</v>
      </c>
      <c r="C1575" s="72" t="n">
        <f aca="false">MAX(0,-MIN($C$1559:$G$1559))</f>
        <v>5213753.67227711</v>
      </c>
      <c r="H1575" s="2" t="s">
        <v>1441</v>
      </c>
    </row>
    <row r="1576" customFormat="false" ht="15" hidden="false" customHeight="false" outlineLevel="1" collapsed="false">
      <c r="A1576" s="56" t="s">
        <v>785</v>
      </c>
      <c r="B1576" s="57" t="s">
        <v>11</v>
      </c>
      <c r="C1576" s="74" t="n">
        <f aca="false">C1572+C1573+C1574+C1575</f>
        <v>5508753.67227711</v>
      </c>
      <c r="H1576" s="2" t="s">
        <v>1442</v>
      </c>
    </row>
    <row r="1577" customFormat="false" ht="15" hidden="false" customHeight="false" outlineLevel="1" collapsed="false">
      <c r="A1577" s="7" t="s">
        <v>786</v>
      </c>
      <c r="B1577" s="8" t="s">
        <v>20</v>
      </c>
      <c r="C1577" s="75" t="n">
        <f aca="false">INDEX($C$1304:$G$1304,1,MATCH(MIN($C$1559:$G$1559),$C$1559:$G$1559,0))</f>
        <v>2031</v>
      </c>
      <c r="H1577" s="2" t="s">
        <v>1443</v>
      </c>
    </row>
    <row r="1578" customFormat="false" ht="15" hidden="false" customHeight="false" outlineLevel="1" collapsed="false">
      <c r="A1578" s="7" t="s">
        <v>787</v>
      </c>
      <c r="B1578" s="8"/>
      <c r="C1578" s="76" t="str">
        <f aca="false">IF(G1558&lt;0,"sim","não")</f>
        <v>sim</v>
      </c>
      <c r="H1578" s="2" t="s">
        <v>1444</v>
      </c>
    </row>
    <row r="1579" customFormat="false" ht="15" hidden="false" customHeight="false" outlineLevel="1" collapsed="false">
      <c r="A1579" s="7" t="s">
        <v>788</v>
      </c>
      <c r="B1579" s="8" t="s">
        <v>11</v>
      </c>
      <c r="C1579" s="72" t="n">
        <f aca="false">G1570</f>
        <v>5508753.67227711</v>
      </c>
      <c r="H1579" s="2" t="s">
        <v>1445</v>
      </c>
    </row>
    <row r="1580" customFormat="false" ht="15" hidden="false" customHeight="false" outlineLevel="0" collapsed="false">
      <c r="A1580" s="3" t="s">
        <v>1446</v>
      </c>
      <c r="B1580" s="4"/>
      <c r="C1580" s="4"/>
      <c r="D1580" s="4"/>
      <c r="E1580" s="4"/>
      <c r="F1580" s="4"/>
      <c r="G1580" s="4"/>
      <c r="H1580" s="4"/>
    </row>
    <row r="1581" customFormat="false" ht="15" hidden="false" customHeight="false" outlineLevel="1" collapsed="false">
      <c r="A1581" s="7" t="s">
        <v>790</v>
      </c>
      <c r="B1581" s="8" t="s">
        <v>11</v>
      </c>
      <c r="C1581" s="72" t="n">
        <f aca="false">C1572+C1573</f>
        <v>145000</v>
      </c>
      <c r="H1581" s="2" t="s">
        <v>1447</v>
      </c>
    </row>
    <row r="1582" customFormat="false" ht="15" hidden="false" customHeight="false" outlineLevel="1" collapsed="false">
      <c r="A1582" s="7" t="s">
        <v>791</v>
      </c>
      <c r="B1582" s="8" t="s">
        <v>11</v>
      </c>
      <c r="C1582" s="72" t="n">
        <f aca="false">-SUMPRODUCT(($C$1304:$G$1304&lt;=C1577)*$C$1515:$G$1515)</f>
        <v>4796893.07724286</v>
      </c>
      <c r="H1582" s="2" t="s">
        <v>1448</v>
      </c>
    </row>
    <row r="1583" customFormat="false" ht="15" hidden="false" customHeight="false" outlineLevel="1" collapsed="false">
      <c r="A1583" s="7" t="s">
        <v>424</v>
      </c>
      <c r="B1583" s="8" t="s">
        <v>11</v>
      </c>
      <c r="C1583" s="72" t="n">
        <f aca="false">SUMPRODUCT(($C$1304:$G$1304&lt;=C1577)*$C$1499:$G$1499)</f>
        <v>260000</v>
      </c>
      <c r="H1583" s="2" t="s">
        <v>1449</v>
      </c>
    </row>
    <row r="1584" customFormat="false" ht="15" hidden="false" customHeight="false" outlineLevel="1" collapsed="false">
      <c r="A1584" s="7" t="s">
        <v>792</v>
      </c>
      <c r="B1584" s="8" t="s">
        <v>11</v>
      </c>
      <c r="C1584" s="72" t="n">
        <f aca="false">SUMPRODUCT(($C$1304:$G$1304&lt;=C1577)*$C$1530:$G$1530)</f>
        <v>0</v>
      </c>
      <c r="H1584" s="2" t="s">
        <v>1450</v>
      </c>
    </row>
    <row r="1585" customFormat="false" ht="15" hidden="false" customHeight="false" outlineLevel="1" collapsed="false">
      <c r="A1585" s="7" t="s">
        <v>793</v>
      </c>
      <c r="B1585" s="8" t="s">
        <v>11</v>
      </c>
      <c r="C1585" s="72" t="n">
        <f aca="false">C1575-C1582-C1583-C1584</f>
        <v>156860.595034246</v>
      </c>
      <c r="H1585" s="2" t="s">
        <v>1451</v>
      </c>
    </row>
    <row r="1586" customFormat="false" ht="15" hidden="false" customHeight="false" outlineLevel="1" collapsed="false">
      <c r="A1586" s="7" t="s">
        <v>322</v>
      </c>
      <c r="B1586" s="8" t="s">
        <v>11</v>
      </c>
      <c r="C1586" s="72" t="n">
        <f aca="false">C1574</f>
        <v>150000</v>
      </c>
      <c r="H1586" s="2" t="s">
        <v>1452</v>
      </c>
    </row>
    <row r="1587" customFormat="false" ht="15" hidden="false" customHeight="false" outlineLevel="1" collapsed="false">
      <c r="A1587" s="56" t="s">
        <v>794</v>
      </c>
      <c r="B1587" s="57" t="s">
        <v>11</v>
      </c>
      <c r="C1587" s="74" t="n">
        <f aca="false">C1581+C1582+C1583+C1584+C1585+C1586</f>
        <v>5508753.67227711</v>
      </c>
      <c r="H1587" s="2" t="s">
        <v>1453</v>
      </c>
    </row>
    <row r="1588" customFormat="false" ht="15" hidden="false" customHeight="false" outlineLevel="0" collapsed="false">
      <c r="A1588" s="3" t="s">
        <v>1454</v>
      </c>
      <c r="B1588" s="4"/>
      <c r="C1588" s="4"/>
      <c r="D1588" s="4"/>
      <c r="E1588" s="4"/>
      <c r="F1588" s="4"/>
      <c r="G1588" s="4"/>
      <c r="H1588" s="4"/>
    </row>
    <row r="1589" customFormat="false" ht="15" hidden="false" customHeight="false" outlineLevel="1" collapsed="false">
      <c r="A1589" s="7" t="s">
        <v>772</v>
      </c>
      <c r="B1589" s="8" t="s">
        <v>11</v>
      </c>
      <c r="C1589" s="73" t="n">
        <f aca="false">Pressupostos!$D$32</f>
        <v>1100000</v>
      </c>
      <c r="H1589" s="2" t="s">
        <v>1455</v>
      </c>
    </row>
    <row r="1590" customFormat="false" ht="15" hidden="false" customHeight="false" outlineLevel="1" collapsed="false">
      <c r="A1590" s="7" t="s">
        <v>796</v>
      </c>
      <c r="B1590" s="8" t="s">
        <v>11</v>
      </c>
      <c r="C1590" s="72" t="n">
        <f aca="false">C1572+Pressupostos!$C$108+Pressupostos!$C$130/12*((C1474-C1462-C1463+(C1462+C1463)/Pressupostos!$C$128*Pressupostos!$C$129)*(1+Pressupostos!$C$124+Pressupostos!$C$125)+C1460*Pressupostos!$C$126+C1493)+C1499+MAX(0,Pressupostos!$C$183*1000*(C1325+C1328)+Pressupostos!$C$184*1000*(C1348+C1351)-Pressupostos!$C$108)</f>
        <v>734321.666666667</v>
      </c>
      <c r="H1590" s="2" t="s">
        <v>1456</v>
      </c>
    </row>
    <row r="1591" customFormat="false" ht="15" hidden="false" customHeight="false" outlineLevel="1" collapsed="false">
      <c r="A1591" s="7" t="s">
        <v>798</v>
      </c>
      <c r="B1591" s="8" t="s">
        <v>11</v>
      </c>
      <c r="C1591" s="72" t="n">
        <f aca="false">C1572+Pressupostos!$C$108-C1558</f>
        <v>948437.451832192</v>
      </c>
      <c r="H1591" s="2" t="s">
        <v>1457</v>
      </c>
    </row>
    <row r="1592" customFormat="false" ht="15" hidden="false" customHeight="false" outlineLevel="1" collapsed="false">
      <c r="A1592" s="7" t="s">
        <v>799</v>
      </c>
      <c r="B1592" s="8" t="s">
        <v>11</v>
      </c>
      <c r="C1592" s="61" t="n">
        <f aca="false">Pressupostos!$D$32-C1572-Pressupostos!$C$108+C1559</f>
        <v>151562.548167808</v>
      </c>
      <c r="D1592" s="61" t="n">
        <f aca="false">Pressupostos!$D$32-C1572-Pressupostos!$C$108+D1559</f>
        <v>-709380.865298435</v>
      </c>
      <c r="E1592" s="61" t="n">
        <f aca="false">Pressupostos!$D$32-C1572-Pressupostos!$C$108+E1559</f>
        <v>-1739962.8360499</v>
      </c>
      <c r="F1592" s="61" t="n">
        <f aca="false">Pressupostos!$D$32-C1572-Pressupostos!$C$108+F1559</f>
        <v>-2929349.16908834</v>
      </c>
      <c r="G1592" s="61" t="n">
        <f aca="false">Pressupostos!$D$32-C1572-Pressupostos!$C$108+G1559</f>
        <v>-4258753.67227711</v>
      </c>
      <c r="H1592" s="2" t="s">
        <v>1458</v>
      </c>
    </row>
    <row r="1593" customFormat="false" ht="15" hidden="false" customHeight="false" outlineLevel="1" collapsed="false">
      <c r="A1593" s="7" t="s">
        <v>800</v>
      </c>
      <c r="B1593" s="8" t="s">
        <v>18</v>
      </c>
      <c r="C1593" s="77" t="str">
        <f aca="false">IF(AND(Pressupostos!$D$32-C1572-Pressupostos!$C$108&gt;0,C1592&lt;=0),12*(Pressupostos!$D$32-C1572-Pressupostos!$C$108)/(Pressupostos!$D$32-C1572-Pressupostos!$C$108-C1592),"")</f>
        <v/>
      </c>
      <c r="D1593" s="77" t="n">
        <f aca="false">IF(AND(C1592&gt;0,D1592&lt;=0),12+12*C1592/(C1592-D1592),"")</f>
        <v>14.1125088473483</v>
      </c>
      <c r="E1593" s="77" t="str">
        <f aca="false">IF(AND(D1592&gt;0,E1592&lt;=0),24+12*D1592/(D1592-E1592),"")</f>
        <v/>
      </c>
      <c r="F1593" s="77" t="str">
        <f aca="false">IF(AND(E1592&gt;0,F1592&lt;=0),36+12*E1592/(E1592-F1592),"")</f>
        <v/>
      </c>
      <c r="G1593" s="77" t="str">
        <f aca="false">IF(AND(F1592&gt;0,G1592&lt;=0),48+12*F1592/(F1592-G1592),"")</f>
        <v/>
      </c>
      <c r="H1593" s="2" t="s">
        <v>1459</v>
      </c>
    </row>
    <row r="1594" customFormat="false" ht="15" hidden="false" customHeight="false" outlineLevel="1" collapsed="false">
      <c r="A1594" s="56" t="s">
        <v>801</v>
      </c>
      <c r="B1594" s="57" t="s">
        <v>274</v>
      </c>
      <c r="C1594" s="78" t="n">
        <f aca="false">IF(COUNT($C$1593:$G$1593)=0,"&gt; 60",MIN($C$1593:$G$1593))</f>
        <v>14.1125088473483</v>
      </c>
      <c r="H1594" s="2" t="s">
        <v>1460</v>
      </c>
    </row>
    <row r="1595" customFormat="false" ht="15" hidden="false" customHeight="false" outlineLevel="0" collapsed="false">
      <c r="A1595" s="3" t="s">
        <v>1461</v>
      </c>
      <c r="B1595" s="4"/>
      <c r="C1595" s="4"/>
      <c r="D1595" s="4"/>
      <c r="E1595" s="4"/>
      <c r="F1595" s="4"/>
      <c r="G1595" s="4"/>
      <c r="H1595" s="4"/>
    </row>
    <row r="1596" customFormat="false" ht="15" hidden="false" customHeight="false" outlineLevel="1" collapsed="false">
      <c r="A1596" s="7" t="s">
        <v>803</v>
      </c>
      <c r="B1596" s="8" t="s">
        <v>18</v>
      </c>
      <c r="C1596" s="77" t="str">
        <f aca="false">IF(C1515&gt;=0,1,"")</f>
        <v/>
      </c>
      <c r="D1596" s="77" t="str">
        <f aca="false">IF(AND(C1515&lt;0,D1515&gt;=0),6.5+12*(-C1515)/(D1515-C1515),"")</f>
        <v/>
      </c>
      <c r="E1596" s="77" t="str">
        <f aca="false">IF(AND(D1515&lt;0,E1515&gt;=0),18.5+12*(-D1515)/(E1515-D1515),"")</f>
        <v/>
      </c>
      <c r="F1596" s="77" t="str">
        <f aca="false">IF(AND(E1515&lt;0,F1515&gt;=0),30.5+12*(-E1515)/(F1515-E1515),"")</f>
        <v/>
      </c>
      <c r="G1596" s="77" t="str">
        <f aca="false">IF(AND(F1515&lt;0,G1515&gt;=0),42.5+12*(-F1515)/(G1515-F1515),"")</f>
        <v/>
      </c>
      <c r="H1596" s="2" t="s">
        <v>1462</v>
      </c>
    </row>
    <row r="1597" customFormat="false" ht="15" hidden="false" customHeight="false" outlineLevel="1" collapsed="false">
      <c r="A1597" s="7" t="s">
        <v>804</v>
      </c>
      <c r="B1597" s="8" t="s">
        <v>18</v>
      </c>
      <c r="C1597" s="79" t="str">
        <f aca="false">IF(COUNT($C$1596:$G$1596)=0,"não atinge até 2031",ROUNDUP(MIN($C$1596:$G$1596),0))</f>
        <v>não atinge até 2031</v>
      </c>
      <c r="H1597" s="2" t="s">
        <v>1463</v>
      </c>
    </row>
    <row r="1598" customFormat="false" ht="15" hidden="false" customHeight="false" outlineLevel="1" collapsed="false">
      <c r="A1598" s="56" t="s">
        <v>805</v>
      </c>
      <c r="B1598" s="57" t="s">
        <v>806</v>
      </c>
      <c r="C1598" s="80" t="str">
        <f aca="false">IF(ISNUMBER(C1597),DATE(2027,C1597,1),"não atinge até 2031")</f>
        <v>não atinge até 2031</v>
      </c>
      <c r="H1598" s="2" t="s">
        <v>1464</v>
      </c>
    </row>
    <row r="1599" customFormat="false" ht="15" hidden="false" customHeight="false" outlineLevel="1" collapsed="false">
      <c r="A1599" s="7" t="s">
        <v>807</v>
      </c>
      <c r="B1599" s="8" t="s">
        <v>20</v>
      </c>
      <c r="C1599" s="81" t="str">
        <f aca="false">IF(C1515&gt;=0,C1304,"")</f>
        <v/>
      </c>
      <c r="D1599" s="81" t="str">
        <f aca="false">IF(D1515&gt;=0,D1304,"")</f>
        <v/>
      </c>
      <c r="E1599" s="81" t="str">
        <f aca="false">IF(E1515&gt;=0,E1304,"")</f>
        <v/>
      </c>
      <c r="F1599" s="81" t="str">
        <f aca="false">IF(F1515&gt;=0,F1304,"")</f>
        <v/>
      </c>
      <c r="G1599" s="81" t="str">
        <f aca="false">IF(G1515&gt;=0,G1304,"")</f>
        <v/>
      </c>
      <c r="H1599" s="2" t="s">
        <v>1465</v>
      </c>
    </row>
    <row r="1600" customFormat="false" ht="15" hidden="false" customHeight="false" outlineLevel="1" collapsed="false">
      <c r="A1600" s="7" t="s">
        <v>808</v>
      </c>
      <c r="B1600" s="8" t="s">
        <v>20</v>
      </c>
      <c r="C1600" s="75" t="str">
        <f aca="false">IF(COUNT($C$1599:$G$1599)=0,"não atinge até 2031",MIN($C$1599:$G$1599))</f>
        <v>não atinge até 2031</v>
      </c>
      <c r="H1600" s="2" t="s">
        <v>1466</v>
      </c>
    </row>
    <row r="1601" customFormat="false" ht="15" hidden="false" customHeight="false" outlineLevel="1" collapsed="false">
      <c r="A1601" s="7" t="s">
        <v>809</v>
      </c>
      <c r="B1601" s="8" t="s">
        <v>20</v>
      </c>
      <c r="C1601" s="81" t="str">
        <f aca="false">IF(C1533&gt;=0,C1304,"")</f>
        <v/>
      </c>
      <c r="D1601" s="81" t="str">
        <f aca="false">IF(D1533&gt;=0,D1304,"")</f>
        <v/>
      </c>
      <c r="E1601" s="81" t="str">
        <f aca="false">IF(E1533&gt;=0,E1304,"")</f>
        <v/>
      </c>
      <c r="F1601" s="81" t="str">
        <f aca="false">IF(F1533&gt;=0,F1304,"")</f>
        <v/>
      </c>
      <c r="G1601" s="81" t="str">
        <f aca="false">IF(G1533&gt;=0,G1304,"")</f>
        <v/>
      </c>
      <c r="H1601" s="2" t="s">
        <v>1467</v>
      </c>
    </row>
    <row r="1602" customFormat="false" ht="15" hidden="false" customHeight="false" outlineLevel="1" collapsed="false">
      <c r="A1602" s="7" t="s">
        <v>810</v>
      </c>
      <c r="B1602" s="8" t="s">
        <v>20</v>
      </c>
      <c r="C1602" s="75" t="str">
        <f aca="false">IF(COUNT($C$1601:$G$1601)=0,"não atinge até 2031",MIN($C$1601:$G$1601))</f>
        <v>não atinge até 2031</v>
      </c>
      <c r="H1602" s="2" t="s">
        <v>1468</v>
      </c>
    </row>
    <row r="1603" customFormat="false" ht="15" hidden="false" customHeight="false" outlineLevel="1" collapsed="false">
      <c r="A1603" s="7" t="s">
        <v>811</v>
      </c>
      <c r="B1603" s="8" t="s">
        <v>20</v>
      </c>
      <c r="C1603" s="81" t="str">
        <f aca="false">IF(C1558&gt;=0,C1304,"")</f>
        <v/>
      </c>
      <c r="D1603" s="81" t="str">
        <f aca="false">IF(D1558&gt;=0,D1304,"")</f>
        <v/>
      </c>
      <c r="E1603" s="81" t="str">
        <f aca="false">IF(E1558&gt;=0,E1304,"")</f>
        <v/>
      </c>
      <c r="F1603" s="81" t="str">
        <f aca="false">IF(F1558&gt;=0,F1304,"")</f>
        <v/>
      </c>
      <c r="G1603" s="81" t="str">
        <f aca="false">IF(G1558&gt;=0,G1304,"")</f>
        <v/>
      </c>
      <c r="H1603" s="2" t="s">
        <v>1469</v>
      </c>
    </row>
    <row r="1604" customFormat="false" ht="15" hidden="false" customHeight="false" outlineLevel="1" collapsed="false">
      <c r="A1604" s="7" t="s">
        <v>19</v>
      </c>
      <c r="B1604" s="8" t="s">
        <v>20</v>
      </c>
      <c r="C1604" s="75" t="str">
        <f aca="false">IF(COUNT($C$1603:$G$1603)=0,"não atinge até 2031",MIN($C$1603:$G$1603))</f>
        <v>não atinge até 2031</v>
      </c>
      <c r="H1604" s="2" t="s">
        <v>1470</v>
      </c>
    </row>
    <row r="1605" customFormat="false" ht="15" hidden="false" customHeight="false" outlineLevel="0" collapsed="false">
      <c r="A1605" s="3" t="s">
        <v>1471</v>
      </c>
      <c r="B1605" s="4"/>
      <c r="C1605" s="4"/>
      <c r="D1605" s="4"/>
      <c r="E1605" s="4"/>
      <c r="F1605" s="4"/>
      <c r="G1605" s="4"/>
      <c r="H1605" s="4"/>
    </row>
    <row r="1606" customFormat="false" ht="15" hidden="false" customHeight="false" outlineLevel="1" collapsed="false">
      <c r="A1606" s="7" t="s">
        <v>813</v>
      </c>
      <c r="B1606" s="8" t="s">
        <v>11</v>
      </c>
      <c r="C1606" s="61" t="n">
        <f aca="false">C1541</f>
        <v>0</v>
      </c>
      <c r="D1606" s="61" t="n">
        <f aca="false">D1541</f>
        <v>310598.707191781</v>
      </c>
      <c r="E1606" s="61" t="n">
        <f aca="false">E1541</f>
        <v>563053.792808219</v>
      </c>
      <c r="F1606" s="61" t="n">
        <f aca="false">F1541</f>
        <v>975110.316780822</v>
      </c>
      <c r="G1606" s="61" t="n">
        <f aca="false">G1541</f>
        <v>1489396.28424658</v>
      </c>
      <c r="H1606" s="2" t="s">
        <v>1472</v>
      </c>
    </row>
    <row r="1607" customFormat="false" ht="15" hidden="false" customHeight="false" outlineLevel="1" collapsed="false">
      <c r="A1607" s="7" t="s">
        <v>509</v>
      </c>
      <c r="B1607" s="8" t="s">
        <v>76</v>
      </c>
      <c r="C1607" s="82" t="n">
        <f aca="false">Pressupostos!$C$288</f>
        <v>0.08</v>
      </c>
      <c r="D1607" s="82" t="n">
        <f aca="false">Pressupostos!$D$288</f>
        <v>0.08</v>
      </c>
      <c r="E1607" s="82" t="n">
        <f aca="false">Pressupostos!$E$288</f>
        <v>0.075</v>
      </c>
      <c r="F1607" s="82" t="n">
        <f aca="false">Pressupostos!$F$288</f>
        <v>0.07</v>
      </c>
      <c r="G1607" s="82" t="n">
        <f aca="false">Pressupostos!$G$288</f>
        <v>0.07</v>
      </c>
      <c r="H1607" s="2" t="s">
        <v>1473</v>
      </c>
    </row>
    <row r="1608" customFormat="false" ht="15" hidden="false" customHeight="false" outlineLevel="1" collapsed="false">
      <c r="A1608" s="7" t="s">
        <v>814</v>
      </c>
      <c r="B1608" s="8" t="s">
        <v>76</v>
      </c>
      <c r="C1608" s="60" t="n">
        <f aca="false">Pressupostos!$C$288*(1-Pressupostos!$C$111)</f>
        <v>0.0576</v>
      </c>
      <c r="D1608" s="60" t="n">
        <f aca="false">Pressupostos!$D$288*(1-Pressupostos!$C$111)</f>
        <v>0.0576</v>
      </c>
      <c r="E1608" s="60" t="n">
        <f aca="false">Pressupostos!$E$288*(1-Pressupostos!$C$111)</f>
        <v>0.054</v>
      </c>
      <c r="F1608" s="60" t="n">
        <f aca="false">Pressupostos!$F$288*(1-Pressupostos!$C$111)</f>
        <v>0.0504</v>
      </c>
      <c r="G1608" s="60" t="n">
        <f aca="false">Pressupostos!$G$288*(1-Pressupostos!$C$111)</f>
        <v>0.0504</v>
      </c>
      <c r="H1608" s="2" t="s">
        <v>1474</v>
      </c>
    </row>
    <row r="1609" customFormat="false" ht="15" hidden="false" customHeight="false" outlineLevel="1" collapsed="false">
      <c r="A1609" s="7" t="s">
        <v>815</v>
      </c>
      <c r="B1609" s="8" t="s">
        <v>11</v>
      </c>
      <c r="C1609" s="61" t="n">
        <f aca="false">C1445</f>
        <v>0</v>
      </c>
      <c r="D1609" s="61" t="n">
        <f aca="false">D1445</f>
        <v>23317.0273972603</v>
      </c>
      <c r="E1609" s="61" t="n">
        <f aca="false">E1445</f>
        <v>38771.0637842466</v>
      </c>
      <c r="F1609" s="61" t="n">
        <f aca="false">F1445</f>
        <v>62547.834760274</v>
      </c>
      <c r="G1609" s="61" t="n">
        <f aca="false">G1445</f>
        <v>95536.1558219178</v>
      </c>
      <c r="H1609" s="2" t="s">
        <v>1475</v>
      </c>
    </row>
    <row r="1610" customFormat="false" ht="15" hidden="false" customHeight="false" outlineLevel="1" collapsed="false">
      <c r="A1610" s="7" t="s">
        <v>816</v>
      </c>
      <c r="B1610" s="8" t="s">
        <v>76</v>
      </c>
      <c r="C1610" s="59" t="n">
        <f aca="false">IF(C1541&gt;0,(C1544+C1546)/C1541,0)</f>
        <v>0</v>
      </c>
      <c r="D1610" s="59" t="n">
        <f aca="false">IF(D1541&gt;0,(D1544+D1546)/D1541,0)</f>
        <v>0.138888888888889</v>
      </c>
      <c r="E1610" s="59" t="n">
        <f aca="false">IF(E1541&gt;0,(E1544+E1546)/E1541,0)</f>
        <v>0.138888888888889</v>
      </c>
      <c r="F1610" s="59" t="n">
        <f aca="false">IF(F1541&gt;0,(F1544+F1546)/F1541,0)</f>
        <v>0.138888888888889</v>
      </c>
      <c r="G1610" s="59" t="n">
        <f aca="false">IF(G1541&gt;0,(G1544+G1546)/G1541,0)</f>
        <v>0.138888888888889</v>
      </c>
      <c r="H1610" s="2" t="s">
        <v>1476</v>
      </c>
    </row>
    <row r="1611" customFormat="false" ht="15" hidden="false" customHeight="false" outlineLevel="1" collapsed="false">
      <c r="A1611" s="7" t="s">
        <v>817</v>
      </c>
      <c r="B1611" s="8" t="s">
        <v>123</v>
      </c>
      <c r="C1611" s="61" t="n">
        <f aca="false">C1547</f>
        <v>0</v>
      </c>
      <c r="D1611" s="61" t="n">
        <f aca="false">D1547</f>
        <v>6.21197414383562</v>
      </c>
      <c r="E1611" s="61" t="n">
        <f aca="false">E1547</f>
        <v>11.2610758561644</v>
      </c>
      <c r="F1611" s="61" t="n">
        <f aca="false">F1547</f>
        <v>19.5022063356164</v>
      </c>
      <c r="G1611" s="61" t="n">
        <f aca="false">G1547</f>
        <v>29.7879256849315</v>
      </c>
      <c r="H1611" s="2" t="s">
        <v>1477</v>
      </c>
    </row>
    <row r="1612" customFormat="false" ht="15" hidden="false" customHeight="false" outlineLevel="1" collapsed="false">
      <c r="A1612" s="7" t="s">
        <v>818</v>
      </c>
      <c r="B1612" s="8" t="s">
        <v>11</v>
      </c>
      <c r="C1612" s="61" t="n">
        <f aca="false">C1445+C1491</f>
        <v>65000</v>
      </c>
      <c r="D1612" s="61" t="n">
        <f aca="false">D1445+D1491</f>
        <v>88317.0273972603</v>
      </c>
      <c r="E1612" s="61" t="n">
        <f aca="false">E1445+E1491</f>
        <v>108771.063784247</v>
      </c>
      <c r="F1612" s="61" t="n">
        <f aca="false">F1445+F1491</f>
        <v>137547.834760274</v>
      </c>
      <c r="G1612" s="61" t="n">
        <f aca="false">G1445+G1491</f>
        <v>175536.155821918</v>
      </c>
      <c r="H1612" s="2" t="s">
        <v>1478</v>
      </c>
    </row>
    <row r="1613" customFormat="false" ht="15" hidden="false" customHeight="false" outlineLevel="1" collapsed="false">
      <c r="A1613" s="7" t="s">
        <v>819</v>
      </c>
      <c r="B1613" s="8" t="s">
        <v>76</v>
      </c>
      <c r="C1613" s="59" t="str">
        <f aca="false">IF(C1541&gt;0,C1612/C1541,"")</f>
        <v/>
      </c>
      <c r="D1613" s="59" t="n">
        <f aca="false">IF(D1541&gt;0,D1612/D1541,"")</f>
        <v>0.284344478429295</v>
      </c>
      <c r="E1613" s="59" t="n">
        <f aca="false">IF(E1541&gt;0,E1612/E1541,"")</f>
        <v>0.19318058980076</v>
      </c>
      <c r="F1613" s="59" t="n">
        <f aca="false">IF(F1541&gt;0,F1612/F1541,"")</f>
        <v>0.141058742168135</v>
      </c>
      <c r="G1613" s="59" t="n">
        <f aca="false">IF(G1541&gt;0,G1612/G1541,"")</f>
        <v>0.11785725376018</v>
      </c>
      <c r="H1613" s="2" t="s">
        <v>1479</v>
      </c>
    </row>
    <row r="1614" customFormat="false" ht="15" hidden="false" customHeight="false" outlineLevel="0" collapsed="false">
      <c r="A1614" s="3" t="s">
        <v>1480</v>
      </c>
      <c r="B1614" s="4"/>
      <c r="C1614" s="4"/>
      <c r="D1614" s="4"/>
      <c r="E1614" s="4"/>
      <c r="F1614" s="4"/>
      <c r="G1614" s="4"/>
      <c r="H1614" s="4"/>
    </row>
    <row r="1615" customFormat="false" ht="15" hidden="false" customHeight="false" outlineLevel="1" collapsed="false">
      <c r="A1615" s="7" t="s">
        <v>821</v>
      </c>
      <c r="B1615" s="8" t="s">
        <v>11</v>
      </c>
      <c r="C1615" s="61" t="n">
        <f aca="false">MAX(0,-C1515)</f>
        <v>711437.451832192</v>
      </c>
      <c r="D1615" s="61" t="n">
        <f aca="false">MAX(0,-D1515)</f>
        <v>801413.478106654</v>
      </c>
      <c r="E1615" s="61" t="n">
        <f aca="false">MAX(0,-E1515)</f>
        <v>969909.990443249</v>
      </c>
      <c r="F1615" s="61" t="n">
        <f aca="false">MAX(0,-F1515)</f>
        <v>1094156.26026446</v>
      </c>
      <c r="G1615" s="61" t="n">
        <f aca="false">MAX(0,-G1515)</f>
        <v>1219975.89659631</v>
      </c>
      <c r="H1615" s="2" t="s">
        <v>1481</v>
      </c>
    </row>
    <row r="1616" customFormat="false" ht="15" hidden="false" customHeight="false" outlineLevel="1" collapsed="false">
      <c r="A1616" s="2" t="s">
        <v>822</v>
      </c>
      <c r="B1616" s="8"/>
      <c r="C1616" s="61" t="n">
        <f aca="false">IF(AND(C1304&gt;=Pressupostos!$C$120,Pressupostos!$C$118*(C1398+C1399)+Pressupostos!$C$119*C1400&gt;Pressupostos!$C$300),1,0)</f>
        <v>0</v>
      </c>
      <c r="D1616" s="61" t="n">
        <f aca="false">IF(AND(D1304&gt;=Pressupostos!$C$120,Pressupostos!$C$118*(D1398+D1399)+Pressupostos!$C$119*D1400&gt;Pressupostos!$D$300),1,0)</f>
        <v>1</v>
      </c>
      <c r="E1616" s="61" t="n">
        <f aca="false">IF(AND(E1304&gt;=Pressupostos!$C$120,Pressupostos!$C$118*(E1398+E1399)+Pressupostos!$C$119*E1400&gt;Pressupostos!$E$300),1,0)</f>
        <v>1</v>
      </c>
      <c r="F1616" s="61" t="n">
        <f aca="false">IF(AND(F1304&gt;=Pressupostos!$C$120,Pressupostos!$C$118*(F1398+F1399)+Pressupostos!$C$119*F1400&gt;Pressupostos!$F$300),1,0)</f>
        <v>1</v>
      </c>
      <c r="G1616" s="61" t="n">
        <f aca="false">IF(AND(G1304&gt;=Pressupostos!$C$120,Pressupostos!$C$118*(G1398+G1399)+Pressupostos!$C$119*G1400&gt;Pressupostos!$G$300),1,0)</f>
        <v>1</v>
      </c>
      <c r="H1616" s="2" t="s">
        <v>1482</v>
      </c>
    </row>
    <row r="1617" customFormat="false" ht="15" hidden="false" customHeight="false" outlineLevel="1" collapsed="false">
      <c r="A1617" s="7" t="s">
        <v>823</v>
      </c>
      <c r="B1617" s="8" t="s">
        <v>64</v>
      </c>
      <c r="C1617" s="63" t="n">
        <f aca="false">IF(C1308&gt;0,C1615/(C1308*1000*(1-Pressupostos!$D$22)*(1-Pressupostos!$D$25-C1616*Pressupostos!$C$118)),"n/a")</f>
        <v>13.7226574306032</v>
      </c>
      <c r="D1617" s="63" t="n">
        <f aca="false">IF(D1308&gt;0,D1615/(D1308*1000*(1-Pressupostos!$D$22)*(1-Pressupostos!$D$25-D1616*Pressupostos!$C$118)),"n/a")</f>
        <v>2.22331382516917</v>
      </c>
      <c r="E1617" s="63" t="n">
        <f aca="false">IF(E1308&gt;0,E1615/(E1308*1000*(1-Pressupostos!$D$22)*(1-Pressupostos!$D$25-E1616*Pressupostos!$C$118)),"n/a")</f>
        <v>1.36226948534195</v>
      </c>
      <c r="F1617" s="63" t="n">
        <f aca="false">IF(F1308&gt;0,F1615/(F1308*1000*(1-Pressupostos!$D$22)*(1-Pressupostos!$D$25-F1616*Pressupostos!$C$118)),"n/a")</f>
        <v>0.931419565244505</v>
      </c>
      <c r="G1617" s="63" t="n">
        <f aca="false">IF(G1308&gt;0,G1615/(G1308*1000*(1-Pressupostos!$D$22)*(1-Pressupostos!$D$25-G1616*Pressupostos!$C$118)),"n/a")</f>
        <v>0.686355267091038</v>
      </c>
      <c r="H1617" s="2" t="s">
        <v>1483</v>
      </c>
    </row>
    <row r="1618" customFormat="false" ht="15" hidden="false" customHeight="false" outlineLevel="1" collapsed="false">
      <c r="A1618" s="7" t="s">
        <v>824</v>
      </c>
      <c r="B1618" s="8" t="s">
        <v>64</v>
      </c>
      <c r="C1618" s="63" t="n">
        <f aca="false">IF(C1307&gt;0,Pressupostos!$D$15+C1615/(C1307*1000*(1-(Pressupostos!$C$191))*(1-Pressupostos!$D$18-C1616*Pressupostos!$C$118)),"n/a")</f>
        <v>105.057200401323</v>
      </c>
      <c r="D1618" s="63" t="n">
        <f aca="false">IF(D1307&gt;0,Pressupostos!$D$15+D1615/(D1307*1000*(1-(Pressupostos!$C$191))*(1-Pressupostos!$D$18-D1616*Pressupostos!$C$118)),"n/a")</f>
        <v>29.9595664788016</v>
      </c>
      <c r="E1618" s="63" t="n">
        <f aca="false">IF(E1307&gt;0,Pressupostos!$D$15+E1615/(E1307*1000*(1-(Pressupostos!$C$191))*(1-Pressupostos!$D$18-E1616*Pressupostos!$C$118)),"n/a")</f>
        <v>13.8346872268487</v>
      </c>
      <c r="F1618" s="63" t="n">
        <f aca="false">IF(F1307&gt;0,Pressupostos!$D$15+F1615/(F1307*1000*(1-(Pressupostos!$C$191))*(1-Pressupostos!$D$18-F1616*Pressupostos!$C$118)),"n/a")</f>
        <v>10.2492856583499</v>
      </c>
      <c r="G1618" s="63" t="n">
        <f aca="false">IF(G1307&gt;0,Pressupostos!$D$15+G1615/(G1307*1000*(1-(Pressupostos!$C$191))*(1-Pressupostos!$D$18-G1616*Pressupostos!$C$118)),"n/a")</f>
        <v>8.98956337520546</v>
      </c>
      <c r="H1618" s="2" t="s">
        <v>1484</v>
      </c>
    </row>
    <row r="1619" customFormat="false" ht="15" hidden="false" customHeight="false" outlineLevel="1" collapsed="false">
      <c r="A1619" s="7" t="s">
        <v>825</v>
      </c>
      <c r="B1619" s="8" t="s">
        <v>64</v>
      </c>
      <c r="C1619" s="63" t="n">
        <f aca="false">IF(Pressupostos!$D$33=1,C1390-C1616*Pressupostos!$C$119*C1373,C1396)</f>
        <v>0.00725</v>
      </c>
      <c r="D1619" s="63" t="n">
        <f aca="false">IF(Pressupostos!$D$33=1,D1390-D1616*Pressupostos!$C$119*D1373,D1396)</f>
        <v>0.00725</v>
      </c>
      <c r="E1619" s="63" t="n">
        <f aca="false">IF(Pressupostos!$D$33=1,E1390-E1616*Pressupostos!$C$119*E1373,E1396)</f>
        <v>0.00725</v>
      </c>
      <c r="F1619" s="63" t="n">
        <f aca="false">IF(Pressupostos!$D$33=1,F1390-F1616*Pressupostos!$C$119*F1373,F1396)</f>
        <v>0.00725</v>
      </c>
      <c r="G1619" s="63" t="n">
        <f aca="false">IF(Pressupostos!$D$33=1,G1390-G1616*Pressupostos!$C$119*G1373,G1396)</f>
        <v>0.00725</v>
      </c>
      <c r="H1619" s="2" t="s">
        <v>1485</v>
      </c>
    </row>
    <row r="1620" customFormat="false" ht="15" hidden="false" customHeight="false" outlineLevel="1" collapsed="false">
      <c r="A1620" s="7" t="s">
        <v>826</v>
      </c>
      <c r="B1620" s="8" t="s">
        <v>120</v>
      </c>
      <c r="C1620" s="55" t="n">
        <f aca="false">IF(C1619&gt;0,C1309+C1615/(C1619*1000),"n/a")</f>
        <v>98129.303700992</v>
      </c>
      <c r="D1620" s="55" t="n">
        <f aca="false">IF(D1619&gt;0,D1309+D1615/(D1619*1000),"n/a")</f>
        <v>110539.790083676</v>
      </c>
      <c r="E1620" s="55" t="n">
        <f aca="false">IF(E1619&gt;0,E1309+E1615/(E1619*1000),"n/a")</f>
        <v>133780.688337</v>
      </c>
      <c r="F1620" s="55" t="n">
        <f aca="false">IF(F1619&gt;0,F1309+F1615/(F1619*1000),"n/a")</f>
        <v>150918.104864063</v>
      </c>
      <c r="G1620" s="55" t="n">
        <f aca="false">IF(G1619&gt;0,G1309+G1615/(G1619*1000),"n/a")</f>
        <v>168272.53746156</v>
      </c>
      <c r="H1620" s="2" t="s">
        <v>1486</v>
      </c>
    </row>
    <row r="1621" customFormat="false" ht="15" hidden="false" customHeight="false" outlineLevel="1" collapsed="false">
      <c r="A1621" s="7" t="s">
        <v>827</v>
      </c>
      <c r="B1621" s="8" t="s">
        <v>76</v>
      </c>
      <c r="C1621" s="59" t="n">
        <f aca="false">C1615/(C1477+C1490+C1491)</f>
        <v>0.988127343113512</v>
      </c>
      <c r="D1621" s="59" t="n">
        <f aca="false">D1615/(D1477+D1490+D1491)</f>
        <v>0.973023859650716</v>
      </c>
      <c r="E1621" s="59" t="n">
        <f aca="false">E1615/(E1477+E1490+E1491)</f>
        <v>0.902941824466644</v>
      </c>
      <c r="F1621" s="59" t="n">
        <f aca="false">F1615/(F1477+F1490+F1491)</f>
        <v>0.838343906683493</v>
      </c>
      <c r="G1621" s="59" t="n">
        <f aca="false">G1615/(G1477+G1490+G1491)</f>
        <v>0.781458857228551</v>
      </c>
      <c r="H1621" s="2" t="s">
        <v>1487</v>
      </c>
    </row>
    <row r="1622" customFormat="false" ht="15" hidden="false" customHeight="false" outlineLevel="1" collapsed="false">
      <c r="A1622" s="2" t="s">
        <v>828</v>
      </c>
      <c r="B1622" s="8" t="s">
        <v>76</v>
      </c>
      <c r="C1622" s="60" t="n">
        <f aca="false">Pressupostos!$C$101*Pressupostos!$C$102+Pressupostos!$C$103-Pressupostos!$D$30*Pressupostos!$C$104*Pressupostos!$C$102/(Pressupostos!$C$105*Pressupostos!$C$106)</f>
        <v>0.00354285714285715</v>
      </c>
      <c r="D1622" s="60" t="n">
        <f aca="false">Pressupostos!$C$101*Pressupostos!$C$102+Pressupostos!$C$103-Pressupostos!$D$30*Pressupostos!$C$104*Pressupostos!$C$102/(Pressupostos!$C$105*Pressupostos!$C$106)</f>
        <v>0.00354285714285715</v>
      </c>
      <c r="E1622" s="60" t="n">
        <f aca="false">Pressupostos!$C$101*Pressupostos!$C$102+Pressupostos!$C$103-Pressupostos!$D$30*Pressupostos!$C$104*Pressupostos!$C$102/(Pressupostos!$C$105*Pressupostos!$C$106)</f>
        <v>0.00354285714285715</v>
      </c>
      <c r="F1622" s="60" t="n">
        <f aca="false">Pressupostos!$C$101*Pressupostos!$C$102+Pressupostos!$C$103-Pressupostos!$D$30*Pressupostos!$C$104*Pressupostos!$C$102/(Pressupostos!$C$105*Pressupostos!$C$106)</f>
        <v>0.00354285714285715</v>
      </c>
      <c r="G1622" s="60" t="n">
        <f aca="false">Pressupostos!$C$101*Pressupostos!$C$102+Pressupostos!$C$103-Pressupostos!$D$30*Pressupostos!$C$104*Pressupostos!$C$102/(Pressupostos!$C$105*Pressupostos!$C$106)</f>
        <v>0.00354285714285715</v>
      </c>
      <c r="H1622" s="2" t="s">
        <v>1488</v>
      </c>
    </row>
    <row r="1623" customFormat="false" ht="15" hidden="false" customHeight="false" outlineLevel="1" collapsed="false">
      <c r="A1623" s="7" t="s">
        <v>829</v>
      </c>
      <c r="B1623" s="8" t="s">
        <v>11</v>
      </c>
      <c r="C1623" s="61" t="n">
        <f aca="false">IF(C1622&gt;0,C1322+C1615/C1622,"n/a")</f>
        <v>200808958.178441</v>
      </c>
      <c r="D1623" s="61" t="n">
        <f aca="false">IF(D1622&gt;0,D1322+D1615/D1622,"n/a")</f>
        <v>226705417.207523</v>
      </c>
      <c r="E1623" s="61" t="n">
        <f aca="false">IF(E1622&gt;0,E1322+E1615/E1622,"n/a")</f>
        <v>275264916.657368</v>
      </c>
      <c r="F1623" s="61" t="n">
        <f aca="false">IF(F1622&gt;0,F1322+F1615/F1622,"n/a")</f>
        <v>311834428.300452</v>
      </c>
      <c r="G1623" s="61" t="n">
        <f aca="false">IF(G1622&gt;0,G1322+G1615/G1622,"n/a")</f>
        <v>349348035.329602</v>
      </c>
      <c r="H1623" s="2" t="s">
        <v>1489</v>
      </c>
    </row>
    <row r="1626" customFormat="false" ht="15" hidden="false" customHeight="false" outlineLevel="0" collapsed="false">
      <c r="A1626" s="111" t="s">
        <v>1494</v>
      </c>
      <c r="B1626" s="112"/>
      <c r="C1626" s="112"/>
      <c r="D1626" s="112"/>
      <c r="E1626" s="112"/>
      <c r="F1626" s="112"/>
      <c r="G1626" s="112"/>
      <c r="H1626" s="112"/>
    </row>
    <row r="1627" customFormat="false" ht="15" hidden="false" customHeight="false" outlineLevel="0" collapsed="false">
      <c r="A1627" s="3" t="s">
        <v>1170</v>
      </c>
      <c r="B1627" s="4"/>
      <c r="C1627" s="4"/>
      <c r="D1627" s="4"/>
      <c r="E1627" s="4"/>
      <c r="F1627" s="4"/>
      <c r="G1627" s="4"/>
      <c r="H1627" s="4"/>
    </row>
    <row r="1628" customFormat="false" ht="15" hidden="false" customHeight="false" outlineLevel="1" collapsed="false">
      <c r="A1628" s="7" t="s">
        <v>588</v>
      </c>
      <c r="B1628" s="8"/>
      <c r="C1628" s="52" t="n">
        <v>2027</v>
      </c>
      <c r="D1628" s="52" t="n">
        <v>2028</v>
      </c>
      <c r="E1628" s="52" t="n">
        <v>2029</v>
      </c>
      <c r="F1628" s="52" t="n">
        <v>2030</v>
      </c>
      <c r="G1628" s="52" t="n">
        <v>2031</v>
      </c>
      <c r="H1628" s="2" t="s">
        <v>20</v>
      </c>
    </row>
    <row r="1629" customFormat="false" ht="15" hidden="false" customHeight="false" outlineLevel="0" collapsed="false">
      <c r="A1629" s="3" t="s">
        <v>1171</v>
      </c>
      <c r="B1629" s="4"/>
      <c r="C1629" s="4"/>
      <c r="D1629" s="4"/>
      <c r="E1629" s="4"/>
      <c r="F1629" s="4"/>
      <c r="G1629" s="4"/>
      <c r="H1629" s="4"/>
    </row>
    <row r="1630" customFormat="false" ht="15" hidden="false" customHeight="false" outlineLevel="1" collapsed="false">
      <c r="A1630" s="7" t="s">
        <v>387</v>
      </c>
      <c r="B1630" s="8" t="s">
        <v>123</v>
      </c>
      <c r="C1630" s="53" t="n">
        <f aca="false">Pressupostos!$C$213</f>
        <v>40</v>
      </c>
      <c r="D1630" s="53" t="n">
        <f aca="false">Pressupostos!$D$213</f>
        <v>180</v>
      </c>
      <c r="E1630" s="53" t="n">
        <f aca="false">Pressupostos!$E$213</f>
        <v>650</v>
      </c>
      <c r="F1630" s="53" t="n">
        <f aca="false">Pressupostos!$F$213</f>
        <v>1300</v>
      </c>
      <c r="G1630" s="53" t="n">
        <f aca="false">Pressupostos!$G$213</f>
        <v>2000</v>
      </c>
      <c r="H1630" s="2" t="s">
        <v>1172</v>
      </c>
    </row>
    <row r="1631" customFormat="false" ht="15" hidden="false" customHeight="false" outlineLevel="1" collapsed="false">
      <c r="A1631" s="7" t="s">
        <v>590</v>
      </c>
      <c r="B1631" s="8" t="s">
        <v>120</v>
      </c>
      <c r="C1631" s="54" t="n">
        <f aca="false">Pressupostos!$C$219</f>
        <v>8</v>
      </c>
      <c r="D1631" s="54" t="n">
        <f aca="false">Pressupostos!$D$219</f>
        <v>37</v>
      </c>
      <c r="E1631" s="54" t="n">
        <f aca="false">Pressupostos!$E$219</f>
        <v>133</v>
      </c>
      <c r="F1631" s="54" t="n">
        <f aca="false">Pressupostos!$F$219</f>
        <v>267</v>
      </c>
      <c r="G1631" s="54" t="n">
        <f aca="false">Pressupostos!$G$219</f>
        <v>410</v>
      </c>
      <c r="H1631" s="2" t="s">
        <v>1173</v>
      </c>
    </row>
    <row r="1632" customFormat="false" ht="15" hidden="false" customHeight="false" outlineLevel="1" collapsed="false">
      <c r="A1632" s="7" t="s">
        <v>591</v>
      </c>
      <c r="B1632" s="8" t="s">
        <v>120</v>
      </c>
      <c r="C1632" s="54" t="n">
        <f aca="false">Pressupostos!$C$225</f>
        <v>52</v>
      </c>
      <c r="D1632" s="54" t="n">
        <f aca="false">Pressupostos!$D$225</f>
        <v>363</v>
      </c>
      <c r="E1632" s="54" t="n">
        <f aca="false">Pressupostos!$E$225</f>
        <v>717</v>
      </c>
      <c r="F1632" s="54" t="n">
        <f aca="false">Pressupostos!$F$225</f>
        <v>1183</v>
      </c>
      <c r="G1632" s="54" t="n">
        <f aca="false">Pressupostos!$G$225</f>
        <v>1790</v>
      </c>
      <c r="H1632" s="2" t="s">
        <v>1174</v>
      </c>
    </row>
    <row r="1633" customFormat="false" ht="15" hidden="false" customHeight="false" outlineLevel="1" collapsed="false">
      <c r="A1633" s="7" t="s">
        <v>398</v>
      </c>
      <c r="B1633" s="8" t="s">
        <v>120</v>
      </c>
      <c r="C1633" s="54" t="n">
        <f aca="false">Pressupostos!$C$231</f>
        <v>0</v>
      </c>
      <c r="D1633" s="54" t="n">
        <f aca="false">Pressupostos!$D$231</f>
        <v>0</v>
      </c>
      <c r="E1633" s="54" t="n">
        <f aca="false">Pressupostos!$E$231</f>
        <v>0</v>
      </c>
      <c r="F1633" s="54" t="n">
        <f aca="false">Pressupostos!$F$231</f>
        <v>0</v>
      </c>
      <c r="G1633" s="54" t="n">
        <f aca="false">Pressupostos!$G$231</f>
        <v>0</v>
      </c>
      <c r="H1633" s="2" t="s">
        <v>1175</v>
      </c>
    </row>
    <row r="1634" customFormat="false" ht="15" hidden="false" customHeight="false" outlineLevel="1" collapsed="false">
      <c r="A1634" s="7" t="s">
        <v>592</v>
      </c>
      <c r="B1634" s="8" t="s">
        <v>120</v>
      </c>
      <c r="C1634" s="55" t="n">
        <f aca="false">C1633*Pressupostos!$D$33</f>
        <v>0</v>
      </c>
      <c r="D1634" s="55" t="n">
        <f aca="false">D1633*Pressupostos!$D$33</f>
        <v>0</v>
      </c>
      <c r="E1634" s="55" t="n">
        <f aca="false">E1633*Pressupostos!$D$33</f>
        <v>0</v>
      </c>
      <c r="F1634" s="55" t="n">
        <f aca="false">F1633*Pressupostos!$D$33</f>
        <v>0</v>
      </c>
      <c r="G1634" s="55" t="n">
        <f aca="false">G1633*Pressupostos!$D$33</f>
        <v>0</v>
      </c>
      <c r="H1634" s="2" t="s">
        <v>1176</v>
      </c>
    </row>
    <row r="1635" customFormat="false" ht="15" hidden="false" customHeight="false" outlineLevel="1" collapsed="false">
      <c r="A1635" s="7" t="s">
        <v>593</v>
      </c>
      <c r="B1635" s="8" t="s">
        <v>120</v>
      </c>
      <c r="C1635" s="55" t="n">
        <f aca="false">C1633-C1634</f>
        <v>0</v>
      </c>
      <c r="D1635" s="55" t="n">
        <f aca="false">D1633-D1634</f>
        <v>0</v>
      </c>
      <c r="E1635" s="55" t="n">
        <f aca="false">E1633-E1634</f>
        <v>0</v>
      </c>
      <c r="F1635" s="55" t="n">
        <f aca="false">F1633-F1634</f>
        <v>0</v>
      </c>
      <c r="G1635" s="55" t="n">
        <f aca="false">G1633-G1634</f>
        <v>0</v>
      </c>
      <c r="H1635" s="2" t="s">
        <v>1177</v>
      </c>
    </row>
    <row r="1636" customFormat="false" ht="15" hidden="false" customHeight="false" outlineLevel="1" collapsed="false">
      <c r="A1636" s="56" t="s">
        <v>594</v>
      </c>
      <c r="B1636" s="57" t="s">
        <v>120</v>
      </c>
      <c r="C1636" s="58" t="n">
        <f aca="false">C1631+C1632+C1633</f>
        <v>60</v>
      </c>
      <c r="D1636" s="58" t="n">
        <f aca="false">D1631+D1632+D1633</f>
        <v>400</v>
      </c>
      <c r="E1636" s="58" t="n">
        <f aca="false">E1631+E1632+E1633</f>
        <v>850</v>
      </c>
      <c r="F1636" s="58" t="n">
        <f aca="false">F1631+F1632+F1633</f>
        <v>1450</v>
      </c>
      <c r="G1636" s="58" t="n">
        <f aca="false">G1631+G1632+G1633</f>
        <v>2200</v>
      </c>
      <c r="H1636" s="2" t="s">
        <v>1178</v>
      </c>
    </row>
    <row r="1637" customFormat="false" ht="15" hidden="false" customHeight="false" outlineLevel="1" collapsed="false">
      <c r="A1637" s="7" t="s">
        <v>595</v>
      </c>
      <c r="B1637" s="8" t="s">
        <v>76</v>
      </c>
      <c r="C1637" s="59" t="n">
        <f aca="false">IF(C1636&gt;0,C1631/C1636,0)</f>
        <v>0.133333333333333</v>
      </c>
      <c r="D1637" s="59" t="n">
        <f aca="false">IF(D1636&gt;0,D1631/D1636,0)</f>
        <v>0.0925</v>
      </c>
      <c r="E1637" s="59" t="n">
        <f aca="false">IF(E1636&gt;0,E1631/E1636,0)</f>
        <v>0.156470588235294</v>
      </c>
      <c r="F1637" s="59" t="n">
        <f aca="false">IF(F1636&gt;0,F1631/F1636,0)</f>
        <v>0.184137931034483</v>
      </c>
      <c r="G1637" s="59" t="n">
        <f aca="false">IF(G1636&gt;0,G1631/G1636,0)</f>
        <v>0.186363636363636</v>
      </c>
      <c r="H1637" s="2" t="s">
        <v>1179</v>
      </c>
    </row>
    <row r="1638" customFormat="false" ht="15" hidden="false" customHeight="false" outlineLevel="1" collapsed="false">
      <c r="A1638" s="7" t="s">
        <v>596</v>
      </c>
      <c r="B1638" s="8" t="s">
        <v>76</v>
      </c>
      <c r="C1638" s="60" t="n">
        <f aca="false">C1636/(Pressupostos!$C$76*1000)</f>
        <v>0.000353982300884956</v>
      </c>
      <c r="D1638" s="60" t="n">
        <f aca="false">D1636/(Pressupostos!$C$76*1000)</f>
        <v>0.00235988200589971</v>
      </c>
      <c r="E1638" s="60" t="n">
        <f aca="false">E1636/(Pressupostos!$C$76*1000)</f>
        <v>0.00501474926253687</v>
      </c>
      <c r="F1638" s="60" t="n">
        <f aca="false">F1636/(Pressupostos!$C$76*1000)</f>
        <v>0.00855457227138643</v>
      </c>
      <c r="G1638" s="60" t="n">
        <f aca="false">G1636/(Pressupostos!$C$76*1000)</f>
        <v>0.0129793510324484</v>
      </c>
      <c r="H1638" s="2" t="s">
        <v>1180</v>
      </c>
    </row>
    <row r="1639" customFormat="false" ht="15" hidden="false" customHeight="false" outlineLevel="1" collapsed="false">
      <c r="A1639" s="7" t="s">
        <v>597</v>
      </c>
      <c r="B1639" s="8" t="s">
        <v>123</v>
      </c>
      <c r="C1639" s="55" t="n">
        <f aca="false">C1631/Pressupostos!$C$40+C1632/Pressupostos!$C$47+C1633/Pressupostos!$C$59</f>
        <v>2.13333333333333</v>
      </c>
      <c r="D1639" s="55" t="n">
        <f aca="false">D1631/Pressupostos!$C$40+D1632/Pressupostos!$C$47+D1633/Pressupostos!$C$59</f>
        <v>13.95</v>
      </c>
      <c r="E1639" s="55" t="n">
        <f aca="false">E1631/Pressupostos!$C$40+E1632/Pressupostos!$C$47+E1633/Pressupostos!$C$59</f>
        <v>30.55</v>
      </c>
      <c r="F1639" s="55" t="n">
        <f aca="false">F1631/Pressupostos!$C$40+F1632/Pressupostos!$C$47+F1633/Pressupostos!$C$59</f>
        <v>52.7833333333333</v>
      </c>
      <c r="G1639" s="55" t="n">
        <f aca="false">G1631/Pressupostos!$C$40+G1632/Pressupostos!$C$47+G1633/Pressupostos!$C$59</f>
        <v>80.1666666666667</v>
      </c>
      <c r="H1639" s="2" t="s">
        <v>1181</v>
      </c>
    </row>
    <row r="1640" customFormat="false" ht="15" hidden="false" customHeight="false" outlineLevel="0" collapsed="false">
      <c r="A1640" s="3" t="s">
        <v>1182</v>
      </c>
      <c r="B1640" s="4"/>
      <c r="C1640" s="4"/>
      <c r="D1640" s="4"/>
      <c r="E1640" s="4"/>
      <c r="F1640" s="4"/>
      <c r="G1640" s="4"/>
      <c r="H1640" s="4"/>
    </row>
    <row r="1641" customFormat="false" ht="15" hidden="false" customHeight="false" outlineLevel="1" collapsed="false">
      <c r="A1641" s="7" t="s">
        <v>599</v>
      </c>
      <c r="B1641" s="8" t="s">
        <v>202</v>
      </c>
      <c r="C1641" s="53" t="n">
        <f aca="false">Pressupostos!$C$257</f>
        <v>150</v>
      </c>
      <c r="D1641" s="53" t="n">
        <f aca="false">Pressupostos!$D$257</f>
        <v>600</v>
      </c>
      <c r="E1641" s="53" t="n">
        <f aca="false">Pressupostos!$E$257</f>
        <v>1000</v>
      </c>
      <c r="F1641" s="53" t="n">
        <f aca="false">Pressupostos!$F$257</f>
        <v>1400</v>
      </c>
      <c r="G1641" s="53" t="n">
        <f aca="false">Pressupostos!$G$257</f>
        <v>1800</v>
      </c>
      <c r="H1641" s="2" t="s">
        <v>1183</v>
      </c>
    </row>
    <row r="1642" customFormat="false" ht="15" hidden="false" customHeight="false" outlineLevel="1" collapsed="false">
      <c r="A1642" s="7" t="s">
        <v>599</v>
      </c>
      <c r="B1642" s="8" t="s">
        <v>189</v>
      </c>
      <c r="C1642" s="61" t="n">
        <f aca="false">C1641*Pressupostos!$C$78</f>
        <v>112500</v>
      </c>
      <c r="D1642" s="61" t="n">
        <f aca="false">D1641*Pressupostos!$C$78</f>
        <v>450000</v>
      </c>
      <c r="E1642" s="61" t="n">
        <f aca="false">E1641*Pressupostos!$C$78</f>
        <v>750000</v>
      </c>
      <c r="F1642" s="61" t="n">
        <f aca="false">F1641*Pressupostos!$C$78</f>
        <v>1050000</v>
      </c>
      <c r="G1642" s="61" t="n">
        <f aca="false">G1641*Pressupostos!$C$78</f>
        <v>1350000</v>
      </c>
      <c r="H1642" s="2" t="s">
        <v>1184</v>
      </c>
    </row>
    <row r="1643" customFormat="false" ht="15" hidden="false" customHeight="false" outlineLevel="0" collapsed="false">
      <c r="A1643" s="3" t="s">
        <v>1185</v>
      </c>
      <c r="B1643" s="4"/>
      <c r="C1643" s="4"/>
      <c r="D1643" s="4"/>
      <c r="E1643" s="4"/>
      <c r="F1643" s="4"/>
      <c r="G1643" s="4"/>
      <c r="H1643" s="4"/>
    </row>
    <row r="1644" customFormat="false" ht="15" hidden="false" customHeight="false" outlineLevel="1" collapsed="false">
      <c r="A1644" s="7" t="s">
        <v>601</v>
      </c>
      <c r="B1644" s="8" t="s">
        <v>120</v>
      </c>
      <c r="C1644" s="55" t="n">
        <f aca="false">IF(C1628&lt;Pressupostos!$D$28,0,Pressupostos!$C$263)</f>
        <v>0</v>
      </c>
      <c r="D1644" s="55" t="n">
        <f aca="false">IF(D1628&lt;Pressupostos!$D$28,0,Pressupostos!$D$263)</f>
        <v>0</v>
      </c>
      <c r="E1644" s="55" t="n">
        <f aca="false">IF(E1628&lt;Pressupostos!$D$28,0,Pressupostos!$E$263)</f>
        <v>30</v>
      </c>
      <c r="F1644" s="55" t="n">
        <f aca="false">IF(F1628&lt;Pressupostos!$D$28,0,Pressupostos!$F$263)</f>
        <v>60</v>
      </c>
      <c r="G1644" s="55" t="n">
        <f aca="false">IF(G1628&lt;Pressupostos!$D$28,0,Pressupostos!$G$263)</f>
        <v>100</v>
      </c>
      <c r="H1644" s="2" t="s">
        <v>1186</v>
      </c>
    </row>
    <row r="1645" customFormat="false" ht="15" hidden="false" customHeight="false" outlineLevel="0" collapsed="false">
      <c r="A1645" s="3" t="s">
        <v>1187</v>
      </c>
      <c r="B1645" s="4"/>
      <c r="C1645" s="4"/>
      <c r="D1645" s="4"/>
      <c r="E1645" s="4"/>
      <c r="F1645" s="4"/>
      <c r="G1645" s="4"/>
      <c r="H1645" s="4"/>
    </row>
    <row r="1646" customFormat="false" ht="15" hidden="false" customHeight="false" outlineLevel="1" collapsed="false">
      <c r="A1646" s="7" t="s">
        <v>603</v>
      </c>
      <c r="B1646" s="8" t="s">
        <v>11</v>
      </c>
      <c r="C1646" s="53" t="n">
        <f aca="false">Pressupostos!$C$269</f>
        <v>0</v>
      </c>
      <c r="D1646" s="53" t="n">
        <f aca="false">Pressupostos!$D$269</f>
        <v>500000</v>
      </c>
      <c r="E1646" s="53" t="n">
        <f aca="false">Pressupostos!$E$269</f>
        <v>1500000</v>
      </c>
      <c r="F1646" s="53" t="n">
        <f aca="false">Pressupostos!$F$269</f>
        <v>3000000</v>
      </c>
      <c r="G1646" s="53" t="n">
        <f aca="false">Pressupostos!$G$269</f>
        <v>5000000</v>
      </c>
      <c r="H1646" s="2" t="s">
        <v>1188</v>
      </c>
    </row>
    <row r="1647" customFormat="false" ht="15" hidden="false" customHeight="false" outlineLevel="1" collapsed="false">
      <c r="A1647" s="7" t="s">
        <v>604</v>
      </c>
      <c r="B1647" s="8" t="s">
        <v>120</v>
      </c>
      <c r="C1647" s="55" t="n">
        <f aca="false">C1646/(Pressupostos!$C$105*Pressupostos!$C$106)*Pressupostos!$C$102/1000</f>
        <v>0</v>
      </c>
      <c r="D1647" s="55" t="n">
        <f aca="false">D1646/(Pressupostos!$C$105*Pressupostos!$C$106)*Pressupostos!$C$102/1000</f>
        <v>457.142857142857</v>
      </c>
      <c r="E1647" s="55" t="n">
        <f aca="false">E1646/(Pressupostos!$C$105*Pressupostos!$C$106)*Pressupostos!$C$102/1000</f>
        <v>1371.42857142857</v>
      </c>
      <c r="F1647" s="55" t="n">
        <f aca="false">F1646/(Pressupostos!$C$105*Pressupostos!$C$106)*Pressupostos!$C$102/1000</f>
        <v>2742.85714285714</v>
      </c>
      <c r="G1647" s="55" t="n">
        <f aca="false">G1646/(Pressupostos!$C$105*Pressupostos!$C$106)*Pressupostos!$C$102/1000</f>
        <v>4571.42857142857</v>
      </c>
      <c r="H1647" s="2" t="s">
        <v>1189</v>
      </c>
    </row>
    <row r="1648" customFormat="false" ht="15" hidden="false" customHeight="false" outlineLevel="0" collapsed="false">
      <c r="A1648" s="3" t="s">
        <v>1190</v>
      </c>
      <c r="B1648" s="4"/>
      <c r="C1648" s="4"/>
      <c r="D1648" s="4"/>
      <c r="E1648" s="4"/>
      <c r="F1648" s="4"/>
      <c r="G1648" s="4"/>
      <c r="H1648" s="4"/>
    </row>
    <row r="1649" customFormat="false" ht="15" hidden="false" customHeight="false" outlineLevel="1" collapsed="false">
      <c r="A1649" s="7" t="s">
        <v>669</v>
      </c>
      <c r="B1649" s="8" t="s">
        <v>64</v>
      </c>
      <c r="C1649" s="63" t="n">
        <f aca="false">Pressupostos!$D$10+Pressupostos!$D$11</f>
        <v>3.6</v>
      </c>
      <c r="D1649" s="63" t="n">
        <f aca="false">Pressupostos!$D$10+Pressupostos!$D$11</f>
        <v>3.6</v>
      </c>
      <c r="E1649" s="63" t="n">
        <f aca="false">Pressupostos!$D$10+Pressupostos!$D$11</f>
        <v>3.6</v>
      </c>
      <c r="F1649" s="63" t="n">
        <f aca="false">Pressupostos!$D$10+Pressupostos!$D$11</f>
        <v>3.6</v>
      </c>
      <c r="G1649" s="63" t="n">
        <f aca="false">Pressupostos!$D$10+Pressupostos!$D$11</f>
        <v>3.6</v>
      </c>
      <c r="H1649" s="2" t="s">
        <v>1191</v>
      </c>
    </row>
    <row r="1650" customFormat="false" ht="15" hidden="false" customHeight="false" outlineLevel="1" collapsed="false">
      <c r="A1650" s="7" t="s">
        <v>670</v>
      </c>
      <c r="B1650" s="8" t="s">
        <v>64</v>
      </c>
      <c r="C1650" s="67" t="n">
        <f aca="false">Pressupostos!$D$15</f>
        <v>5.65</v>
      </c>
      <c r="D1650" s="67" t="n">
        <f aca="false">Pressupostos!$D$15</f>
        <v>5.65</v>
      </c>
      <c r="E1650" s="67" t="n">
        <f aca="false">Pressupostos!$D$15</f>
        <v>5.65</v>
      </c>
      <c r="F1650" s="67" t="n">
        <f aca="false">Pressupostos!$D$15</f>
        <v>5.65</v>
      </c>
      <c r="G1650" s="67" t="n">
        <f aca="false">Pressupostos!$D$15</f>
        <v>5.65</v>
      </c>
      <c r="H1650" s="2" t="s">
        <v>1192</v>
      </c>
    </row>
    <row r="1651" customFormat="false" ht="15" hidden="false" customHeight="false" outlineLevel="1" collapsed="false">
      <c r="A1651" s="56" t="s">
        <v>671</v>
      </c>
      <c r="B1651" s="57" t="s">
        <v>64</v>
      </c>
      <c r="C1651" s="68" t="n">
        <f aca="false">C1650*(1-(Pressupostos!$C$192))</f>
        <v>4.94375</v>
      </c>
      <c r="D1651" s="68" t="n">
        <f aca="false">D1650*(1-(Pressupostos!$C$192))</f>
        <v>4.94375</v>
      </c>
      <c r="E1651" s="68" t="n">
        <f aca="false">E1650*(1-(Pressupostos!$C$192))</f>
        <v>4.94375</v>
      </c>
      <c r="F1651" s="68" t="n">
        <f aca="false">F1650*(1-(Pressupostos!$C$192))</f>
        <v>4.94375</v>
      </c>
      <c r="G1651" s="68" t="n">
        <f aca="false">G1650*(1-(Pressupostos!$C$192))</f>
        <v>4.94375</v>
      </c>
      <c r="H1651" s="2" t="s">
        <v>1193</v>
      </c>
    </row>
    <row r="1652" customFormat="false" ht="15" hidden="false" customHeight="false" outlineLevel="1" collapsed="false">
      <c r="A1652" s="7" t="s">
        <v>144</v>
      </c>
      <c r="B1652" s="8" t="s">
        <v>64</v>
      </c>
      <c r="C1652" s="67" t="n">
        <f aca="false">Pressupostos!$C$38</f>
        <v>0.55</v>
      </c>
      <c r="D1652" s="67" t="n">
        <f aca="false">Pressupostos!$C$38</f>
        <v>0.55</v>
      </c>
      <c r="E1652" s="67" t="n">
        <f aca="false">Pressupostos!$C$38</f>
        <v>0.55</v>
      </c>
      <c r="F1652" s="67" t="n">
        <f aca="false">Pressupostos!$C$38</f>
        <v>0.55</v>
      </c>
      <c r="G1652" s="67" t="n">
        <f aca="false">Pressupostos!$C$38</f>
        <v>0.55</v>
      </c>
      <c r="H1652" s="2" t="s">
        <v>1194</v>
      </c>
    </row>
    <row r="1653" customFormat="false" ht="15" hidden="false" customHeight="false" outlineLevel="1" collapsed="false">
      <c r="A1653" s="7" t="s">
        <v>215</v>
      </c>
      <c r="B1653" s="8" t="s">
        <v>64</v>
      </c>
      <c r="C1653" s="67" t="n">
        <f aca="false">Pressupostos!$C$238</f>
        <v>0.3</v>
      </c>
      <c r="D1653" s="67" t="n">
        <f aca="false">Pressupostos!$D$238</f>
        <v>0.3</v>
      </c>
      <c r="E1653" s="67" t="n">
        <f aca="false">Pressupostos!$E$238</f>
        <v>0.28</v>
      </c>
      <c r="F1653" s="67" t="n">
        <f aca="false">Pressupostos!$F$238</f>
        <v>0.27</v>
      </c>
      <c r="G1653" s="67" t="n">
        <f aca="false">Pressupostos!$G$238</f>
        <v>0.27</v>
      </c>
      <c r="H1653" s="2" t="s">
        <v>1195</v>
      </c>
    </row>
    <row r="1654" customFormat="false" ht="15" hidden="false" customHeight="false" outlineLevel="1" collapsed="false">
      <c r="A1654" s="7" t="s">
        <v>117</v>
      </c>
      <c r="B1654" s="8" t="s">
        <v>64</v>
      </c>
      <c r="C1654" s="67" t="n">
        <f aca="false">Pressupostos!$C$39</f>
        <v>0.06</v>
      </c>
      <c r="D1654" s="67" t="n">
        <f aca="false">Pressupostos!$C$39</f>
        <v>0.06</v>
      </c>
      <c r="E1654" s="67" t="n">
        <f aca="false">Pressupostos!$C$39</f>
        <v>0.06</v>
      </c>
      <c r="F1654" s="67" t="n">
        <f aca="false">Pressupostos!$C$39</f>
        <v>0.06</v>
      </c>
      <c r="G1654" s="67" t="n">
        <f aca="false">Pressupostos!$C$39</f>
        <v>0.06</v>
      </c>
      <c r="H1654" s="2" t="s">
        <v>1196</v>
      </c>
    </row>
    <row r="1655" customFormat="false" ht="15" hidden="false" customHeight="false" outlineLevel="1" collapsed="false">
      <c r="A1655" s="7" t="s">
        <v>91</v>
      </c>
      <c r="B1655" s="8" t="s">
        <v>79</v>
      </c>
      <c r="C1655" s="69" t="n">
        <f aca="false">Pressupostos!$C$244</f>
        <v>180</v>
      </c>
      <c r="D1655" s="69" t="n">
        <f aca="false">Pressupostos!$D$244</f>
        <v>180</v>
      </c>
      <c r="E1655" s="69" t="n">
        <f aca="false">Pressupostos!$E$244</f>
        <v>45</v>
      </c>
      <c r="F1655" s="69" t="n">
        <f aca="false">Pressupostos!$F$244</f>
        <v>45</v>
      </c>
      <c r="G1655" s="69" t="n">
        <f aca="false">Pressupostos!$G$244</f>
        <v>45</v>
      </c>
      <c r="H1655" s="2" t="s">
        <v>1197</v>
      </c>
    </row>
    <row r="1656" customFormat="false" ht="15" hidden="false" customHeight="false" outlineLevel="1" collapsed="false">
      <c r="A1656" s="7" t="s">
        <v>78</v>
      </c>
      <c r="B1656" s="8" t="s">
        <v>79</v>
      </c>
      <c r="C1656" s="69" t="n">
        <f aca="false">Pressupostos!$D$17</f>
        <v>35</v>
      </c>
      <c r="D1656" s="69" t="n">
        <f aca="false">Pressupostos!$D$17</f>
        <v>35</v>
      </c>
      <c r="E1656" s="69" t="n">
        <f aca="false">Pressupostos!$D$17</f>
        <v>35</v>
      </c>
      <c r="F1656" s="69" t="n">
        <f aca="false">Pressupostos!$D$17</f>
        <v>35</v>
      </c>
      <c r="G1656" s="69" t="n">
        <f aca="false">Pressupostos!$D$17</f>
        <v>35</v>
      </c>
      <c r="H1656" s="2" t="s">
        <v>1198</v>
      </c>
    </row>
    <row r="1657" customFormat="false" ht="15" hidden="false" customHeight="false" outlineLevel="1" collapsed="false">
      <c r="A1657" s="7" t="s">
        <v>490</v>
      </c>
      <c r="B1657" s="8" t="s">
        <v>64</v>
      </c>
      <c r="C1657" s="63" t="n">
        <f aca="false">Pressupostos!$C$66*C1655/30/1000</f>
        <v>0.024</v>
      </c>
      <c r="D1657" s="63" t="n">
        <f aca="false">Pressupostos!$C$66*D1655/30/1000</f>
        <v>0.024</v>
      </c>
      <c r="E1657" s="63" t="n">
        <f aca="false">Pressupostos!$C$66*E1655/30/1000</f>
        <v>0.006</v>
      </c>
      <c r="F1657" s="63" t="n">
        <f aca="false">Pressupostos!$C$66*F1655/30/1000</f>
        <v>0.006</v>
      </c>
      <c r="G1657" s="63" t="n">
        <f aca="false">Pressupostos!$C$66*G1655/30/1000</f>
        <v>0.006</v>
      </c>
      <c r="H1657" s="2" t="s">
        <v>1199</v>
      </c>
    </row>
    <row r="1658" customFormat="false" ht="15" hidden="false" customHeight="false" outlineLevel="1" collapsed="false">
      <c r="A1658" s="7" t="s">
        <v>165</v>
      </c>
      <c r="B1658" s="8" t="s">
        <v>64</v>
      </c>
      <c r="C1658" s="63" t="n">
        <f aca="false">C1649*Pressupostos!$C$67*C1655/365</f>
        <v>0.00355068493150685</v>
      </c>
      <c r="D1658" s="63" t="n">
        <f aca="false">D1649*Pressupostos!$C$67*D1655/365</f>
        <v>0.00355068493150685</v>
      </c>
      <c r="E1658" s="63" t="n">
        <f aca="false">E1649*Pressupostos!$C$67*E1655/365</f>
        <v>0.000887671232876712</v>
      </c>
      <c r="F1658" s="63" t="n">
        <f aca="false">F1649*Pressupostos!$C$67*F1655/365</f>
        <v>0.000887671232876712</v>
      </c>
      <c r="G1658" s="63" t="n">
        <f aca="false">G1649*Pressupostos!$C$67*G1655/365</f>
        <v>0.000887671232876712</v>
      </c>
      <c r="H1658" s="2" t="s">
        <v>1200</v>
      </c>
    </row>
    <row r="1659" customFormat="false" ht="15" hidden="false" customHeight="false" outlineLevel="1" collapsed="false">
      <c r="A1659" s="7" t="s">
        <v>672</v>
      </c>
      <c r="B1659" s="8" t="s">
        <v>64</v>
      </c>
      <c r="C1659" s="63" t="n">
        <f aca="false">Pressupostos!$C$41*Pressupostos!$C$68/(Pressupostos!$C$40*1000)</f>
        <v>0.03</v>
      </c>
      <c r="D1659" s="63" t="n">
        <f aca="false">Pressupostos!$C$41*Pressupostos!$C$68/(Pressupostos!$C$40*1000)</f>
        <v>0.03</v>
      </c>
      <c r="E1659" s="63" t="n">
        <f aca="false">Pressupostos!$C$41*Pressupostos!$C$68/(Pressupostos!$C$40*1000)</f>
        <v>0.03</v>
      </c>
      <c r="F1659" s="63" t="n">
        <f aca="false">Pressupostos!$C$41*Pressupostos!$C$68/(Pressupostos!$C$40*1000)</f>
        <v>0.03</v>
      </c>
      <c r="G1659" s="63" t="n">
        <f aca="false">Pressupostos!$C$41*Pressupostos!$C$68/(Pressupostos!$C$40*1000)</f>
        <v>0.03</v>
      </c>
      <c r="H1659" s="2" t="s">
        <v>1201</v>
      </c>
    </row>
    <row r="1660" customFormat="false" ht="15" hidden="false" customHeight="false" outlineLevel="1" collapsed="false">
      <c r="A1660" s="7" t="s">
        <v>492</v>
      </c>
      <c r="B1660" s="8" t="s">
        <v>64</v>
      </c>
      <c r="C1660" s="63" t="n">
        <f aca="false">Pressupostos!$C$69*C1649</f>
        <v>0.018</v>
      </c>
      <c r="D1660" s="63" t="n">
        <f aca="false">Pressupostos!$C$69*D1649</f>
        <v>0.018</v>
      </c>
      <c r="E1660" s="63" t="n">
        <f aca="false">Pressupostos!$C$69*E1649</f>
        <v>0.018</v>
      </c>
      <c r="F1660" s="63" t="n">
        <f aca="false">Pressupostos!$C$69*F1649</f>
        <v>0.018</v>
      </c>
      <c r="G1660" s="63" t="n">
        <f aca="false">Pressupostos!$C$69*G1649</f>
        <v>0.018</v>
      </c>
      <c r="H1660" s="2" t="s">
        <v>1202</v>
      </c>
    </row>
    <row r="1661" customFormat="false" ht="15" hidden="false" customHeight="false" outlineLevel="1" collapsed="false">
      <c r="A1661" s="7" t="s">
        <v>493</v>
      </c>
      <c r="B1661" s="8" t="s">
        <v>64</v>
      </c>
      <c r="C1661" s="63" t="n">
        <f aca="false">Pressupostos!$C$70*Pressupostos!$C$71*C1655/90</f>
        <v>0.018</v>
      </c>
      <c r="D1661" s="63" t="n">
        <f aca="false">Pressupostos!$C$70*Pressupostos!$C$71*D1655/90</f>
        <v>0.018</v>
      </c>
      <c r="E1661" s="63" t="n">
        <f aca="false">Pressupostos!$C$70*Pressupostos!$C$71*E1655/90</f>
        <v>0.0045</v>
      </c>
      <c r="F1661" s="63" t="n">
        <f aca="false">Pressupostos!$C$70*Pressupostos!$C$71*F1655/90</f>
        <v>0.0045</v>
      </c>
      <c r="G1661" s="63" t="n">
        <f aca="false">Pressupostos!$C$70*Pressupostos!$C$71*G1655/90</f>
        <v>0.0045</v>
      </c>
      <c r="H1661" s="2" t="s">
        <v>1203</v>
      </c>
    </row>
    <row r="1662" customFormat="false" ht="15" hidden="false" customHeight="false" outlineLevel="1" collapsed="false">
      <c r="A1662" s="7" t="s">
        <v>673</v>
      </c>
      <c r="B1662" s="8" t="s">
        <v>64</v>
      </c>
      <c r="C1662" s="63" t="n">
        <f aca="false">Pressupostos!$C$42/(Pressupostos!$C$40*1000)</f>
        <v>0.1</v>
      </c>
      <c r="D1662" s="63" t="n">
        <f aca="false">Pressupostos!$C$42/(Pressupostos!$C$40*1000)</f>
        <v>0.1</v>
      </c>
      <c r="E1662" s="63" t="n">
        <f aca="false">Pressupostos!$C$42/(Pressupostos!$C$40*1000)</f>
        <v>0.1</v>
      </c>
      <c r="F1662" s="63" t="n">
        <f aca="false">Pressupostos!$C$42/(Pressupostos!$C$40*1000)</f>
        <v>0.1</v>
      </c>
      <c r="G1662" s="63" t="n">
        <f aca="false">Pressupostos!$C$42/(Pressupostos!$C$40*1000)</f>
        <v>0.1</v>
      </c>
      <c r="H1662" s="2" t="s">
        <v>1204</v>
      </c>
    </row>
    <row r="1663" customFormat="false" ht="15" hidden="false" customHeight="false" outlineLevel="1" collapsed="false">
      <c r="A1663" s="7" t="s">
        <v>139</v>
      </c>
      <c r="B1663" s="8" t="s">
        <v>64</v>
      </c>
      <c r="C1663" s="67" t="n">
        <f aca="false">Pressupostos!$C$43</f>
        <v>0.01</v>
      </c>
      <c r="D1663" s="67" t="n">
        <f aca="false">Pressupostos!$C$43</f>
        <v>0.01</v>
      </c>
      <c r="E1663" s="67" t="n">
        <f aca="false">Pressupostos!$C$43</f>
        <v>0.01</v>
      </c>
      <c r="F1663" s="67" t="n">
        <f aca="false">Pressupostos!$C$43</f>
        <v>0.01</v>
      </c>
      <c r="G1663" s="67" t="n">
        <f aca="false">Pressupostos!$C$43</f>
        <v>0.01</v>
      </c>
      <c r="H1663" s="2" t="s">
        <v>1205</v>
      </c>
    </row>
    <row r="1664" customFormat="false" ht="15" hidden="false" customHeight="false" outlineLevel="1" collapsed="false">
      <c r="A1664" s="7" t="s">
        <v>81</v>
      </c>
      <c r="B1664" s="8" t="s">
        <v>64</v>
      </c>
      <c r="C1664" s="63" t="n">
        <f aca="false">Pressupostos!$D$18*C1651</f>
        <v>0.0296625</v>
      </c>
      <c r="D1664" s="63" t="n">
        <f aca="false">Pressupostos!$D$18*D1651</f>
        <v>0.0296625</v>
      </c>
      <c r="E1664" s="63" t="n">
        <f aca="false">Pressupostos!$D$18*E1651</f>
        <v>0.0296625</v>
      </c>
      <c r="F1664" s="63" t="n">
        <f aca="false">Pressupostos!$D$18*F1651</f>
        <v>0.0296625</v>
      </c>
      <c r="G1664" s="63" t="n">
        <f aca="false">Pressupostos!$D$18*G1651</f>
        <v>0.0296625</v>
      </c>
      <c r="H1664" s="2" t="s">
        <v>1206</v>
      </c>
    </row>
    <row r="1665" customFormat="false" ht="15" hidden="false" customHeight="false" outlineLevel="1" collapsed="false">
      <c r="A1665" s="7" t="s">
        <v>674</v>
      </c>
      <c r="B1665" s="8" t="s">
        <v>64</v>
      </c>
      <c r="C1665" s="63" t="n">
        <f aca="false">Pressupostos!$C$73*C1651</f>
        <v>0</v>
      </c>
      <c r="D1665" s="63" t="n">
        <f aca="false">Pressupostos!$C$73*D1651</f>
        <v>0</v>
      </c>
      <c r="E1665" s="63" t="n">
        <f aca="false">Pressupostos!$C$73*E1651</f>
        <v>0</v>
      </c>
      <c r="F1665" s="63" t="n">
        <f aca="false">Pressupostos!$C$73*F1651</f>
        <v>0</v>
      </c>
      <c r="G1665" s="63" t="n">
        <f aca="false">Pressupostos!$C$73*G1651</f>
        <v>0</v>
      </c>
      <c r="H1665" s="2" t="s">
        <v>1207</v>
      </c>
    </row>
    <row r="1666" customFormat="false" ht="15" hidden="false" customHeight="false" outlineLevel="1" collapsed="false">
      <c r="A1666" s="7" t="s">
        <v>675</v>
      </c>
      <c r="B1666" s="8" t="s">
        <v>64</v>
      </c>
      <c r="C1666" s="63" t="n">
        <f aca="false">Pressupostos!$C$288*(C1649+C1652)*(C1655+C1656-Pressupostos!$C$72)/365*Pressupostos!$C$282/Pressupostos!$D$31</f>
        <v>0</v>
      </c>
      <c r="D1666" s="63" t="n">
        <f aca="false">Pressupostos!$D$288*(D1649+D1652)*(D1655+D1656-Pressupostos!$C$72)/365*Pressupostos!$D$282/Pressupostos!$D$31</f>
        <v>0.189308219178082</v>
      </c>
      <c r="E1666" s="63" t="n">
        <f aca="false">Pressupostos!$E$288*(E1649+E1652)*(E1655+E1656-Pressupostos!$C$72)/365*Pressupostos!$E$282/Pressupostos!$D$31</f>
        <v>0.0479666095890411</v>
      </c>
      <c r="F1666" s="63" t="n">
        <f aca="false">Pressupostos!$F$288*(F1649+F1652)*(F1655+F1656-Pressupostos!$C$72)/365*Pressupostos!$F$282/Pressupostos!$D$31</f>
        <v>0.0447688356164384</v>
      </c>
      <c r="G1666" s="63" t="n">
        <f aca="false">Pressupostos!$G$288*(G1649+G1652)*(G1655+G1656-Pressupostos!$C$72)/365*Pressupostos!$G$282/Pressupostos!$D$31</f>
        <v>0.0447688356164384</v>
      </c>
      <c r="H1666" s="2" t="s">
        <v>1208</v>
      </c>
    </row>
    <row r="1667" customFormat="false" ht="15" hidden="false" customHeight="false" outlineLevel="1" collapsed="false">
      <c r="A1667" s="7" t="s">
        <v>676</v>
      </c>
      <c r="B1667" s="8" t="s">
        <v>64</v>
      </c>
      <c r="C1667" s="63" t="n">
        <f aca="false">C1649+C1652+C1653+C1654+C1657+C1658+C1659+C1660+C1661+C1662+C1663+C1664+C1665+C1666</f>
        <v>4.74321318493151</v>
      </c>
      <c r="D1667" s="63" t="n">
        <f aca="false">D1649+D1652+D1653+D1654+D1657+D1658+D1659+D1660+D1661+D1662+D1663+D1664+D1665+D1666</f>
        <v>4.93252140410959</v>
      </c>
      <c r="E1667" s="63" t="n">
        <f aca="false">E1649+E1652+E1653+E1654+E1657+E1658+E1659+E1660+E1661+E1662+E1663+E1664+E1665+E1666</f>
        <v>4.73701678082192</v>
      </c>
      <c r="F1667" s="63" t="n">
        <f aca="false">F1649+F1652+F1653+F1654+F1657+F1658+F1659+F1660+F1661+F1662+F1663+F1664+F1665+F1666</f>
        <v>4.72381900684932</v>
      </c>
      <c r="G1667" s="63" t="n">
        <f aca="false">G1649+G1652+G1653+G1654+G1657+G1658+G1659+G1660+G1661+G1662+G1663+G1664+G1665+G1666</f>
        <v>4.72381900684932</v>
      </c>
      <c r="H1667" s="2" t="s">
        <v>1209</v>
      </c>
    </row>
    <row r="1668" customFormat="false" ht="15" hidden="false" customHeight="false" outlineLevel="1" collapsed="false">
      <c r="A1668" s="56" t="s">
        <v>677</v>
      </c>
      <c r="B1668" s="57" t="s">
        <v>64</v>
      </c>
      <c r="C1668" s="68" t="n">
        <f aca="false">C1651-C1667</f>
        <v>0.200536815068495</v>
      </c>
      <c r="D1668" s="68" t="n">
        <f aca="false">D1651-D1667</f>
        <v>0.0112285958904126</v>
      </c>
      <c r="E1668" s="68" t="n">
        <f aca="false">E1651-E1667</f>
        <v>0.206733219178083</v>
      </c>
      <c r="F1668" s="68" t="n">
        <f aca="false">F1651-F1667</f>
        <v>0.219930993150686</v>
      </c>
      <c r="G1668" s="68" t="n">
        <f aca="false">G1651-G1667</f>
        <v>0.219930993150686</v>
      </c>
      <c r="H1668" s="2" t="s">
        <v>1210</v>
      </c>
    </row>
    <row r="1669" customFormat="false" ht="15" hidden="false" customHeight="false" outlineLevel="1" collapsed="false">
      <c r="A1669" s="7" t="s">
        <v>678</v>
      </c>
      <c r="B1669" s="8" t="s">
        <v>76</v>
      </c>
      <c r="C1669" s="59" t="n">
        <f aca="false">IF(C1651&gt;0,C1668/C1651,0)</f>
        <v>0.0405637046914781</v>
      </c>
      <c r="D1669" s="59" t="n">
        <f aca="false">IF(D1651&gt;0,D1668/D1651,0)</f>
        <v>0.00227127097656892</v>
      </c>
      <c r="E1669" s="59" t="n">
        <f aca="false">IF(E1651&gt;0,E1668/E1651,0)</f>
        <v>0.0418170860537209</v>
      </c>
      <c r="F1669" s="59" t="n">
        <f aca="false">IF(F1651&gt;0,F1668/F1651,0)</f>
        <v>0.0444866737093676</v>
      </c>
      <c r="G1669" s="59" t="n">
        <f aca="false">IF(G1651&gt;0,G1668/G1651,0)</f>
        <v>0.0444866737093676</v>
      </c>
      <c r="H1669" s="2" t="s">
        <v>1211</v>
      </c>
    </row>
    <row r="1670" customFormat="false" ht="15" hidden="false" customHeight="false" outlineLevel="1" collapsed="false">
      <c r="A1670" s="7" t="s">
        <v>679</v>
      </c>
      <c r="B1670" s="8" t="s">
        <v>64</v>
      </c>
      <c r="C1670" s="63" t="n">
        <f aca="false">(C1649+C1652)*(C1655-Pressupostos!$C$72)/365+C1651*C1656/365</f>
        <v>2.17953767123288</v>
      </c>
      <c r="D1670" s="63" t="n">
        <f aca="false">(D1649+D1652)*(D1655-Pressupostos!$C$72)/365+D1651*D1656/365</f>
        <v>2.17953767123288</v>
      </c>
      <c r="E1670" s="63" t="n">
        <f aca="false">(E1649+E1652)*(E1655-Pressupostos!$C$72)/365+E1651*E1656/365</f>
        <v>0.644606164383562</v>
      </c>
      <c r="F1670" s="63" t="n">
        <f aca="false">(F1649+F1652)*(F1655-Pressupostos!$C$72)/365+F1651*F1656/365</f>
        <v>0.644606164383562</v>
      </c>
      <c r="G1670" s="63" t="n">
        <f aca="false">(G1649+G1652)*(G1655-Pressupostos!$C$72)/365+G1651*G1656/365</f>
        <v>0.644606164383562</v>
      </c>
      <c r="H1670" s="2" t="s">
        <v>1212</v>
      </c>
    </row>
    <row r="1671" customFormat="false" ht="15" hidden="false" customHeight="false" outlineLevel="0" collapsed="false">
      <c r="A1671" s="3" t="s">
        <v>1213</v>
      </c>
      <c r="B1671" s="4"/>
      <c r="C1671" s="4"/>
      <c r="D1671" s="4"/>
      <c r="E1671" s="4"/>
      <c r="F1671" s="4"/>
      <c r="G1671" s="4"/>
      <c r="H1671" s="4"/>
    </row>
    <row r="1672" customFormat="false" ht="15" hidden="false" customHeight="false" outlineLevel="1" collapsed="false">
      <c r="A1672" s="7" t="s">
        <v>669</v>
      </c>
      <c r="B1672" s="8" t="s">
        <v>64</v>
      </c>
      <c r="C1672" s="63" t="n">
        <f aca="false">Pressupostos!$D$10+Pressupostos!$D$12</f>
        <v>3.6</v>
      </c>
      <c r="D1672" s="63" t="n">
        <f aca="false">Pressupostos!$D$10+Pressupostos!$D$12</f>
        <v>3.6</v>
      </c>
      <c r="E1672" s="63" t="n">
        <f aca="false">Pressupostos!$D$10+Pressupostos!$D$12</f>
        <v>3.6</v>
      </c>
      <c r="F1672" s="63" t="n">
        <f aca="false">Pressupostos!$D$10+Pressupostos!$D$12</f>
        <v>3.6</v>
      </c>
      <c r="G1672" s="63" t="n">
        <f aca="false">Pressupostos!$D$10+Pressupostos!$D$12</f>
        <v>3.6</v>
      </c>
      <c r="H1672" s="2" t="s">
        <v>1214</v>
      </c>
    </row>
    <row r="1673" customFormat="false" ht="15" hidden="false" customHeight="false" outlineLevel="1" collapsed="false">
      <c r="A1673" s="7" t="s">
        <v>670</v>
      </c>
      <c r="B1673" s="8" t="s">
        <v>64</v>
      </c>
      <c r="C1673" s="63" t="n">
        <f aca="false">Pressupostos!$D$20+Pressupostos!$D$21</f>
        <v>4.35</v>
      </c>
      <c r="D1673" s="63" t="n">
        <f aca="false">Pressupostos!$D$20+Pressupostos!$D$21</f>
        <v>4.35</v>
      </c>
      <c r="E1673" s="63" t="n">
        <f aca="false">Pressupostos!$D$20+Pressupostos!$D$21</f>
        <v>4.35</v>
      </c>
      <c r="F1673" s="63" t="n">
        <f aca="false">Pressupostos!$D$20+Pressupostos!$D$21</f>
        <v>4.35</v>
      </c>
      <c r="G1673" s="63" t="n">
        <f aca="false">Pressupostos!$D$20+Pressupostos!$D$21</f>
        <v>4.35</v>
      </c>
      <c r="H1673" s="2" t="s">
        <v>1215</v>
      </c>
    </row>
    <row r="1674" customFormat="false" ht="15" hidden="false" customHeight="false" outlineLevel="1" collapsed="false">
      <c r="A1674" s="56" t="s">
        <v>671</v>
      </c>
      <c r="B1674" s="57" t="s">
        <v>64</v>
      </c>
      <c r="C1674" s="68" t="n">
        <f aca="false">C1673*(1-Pressupostos!$D$22)</f>
        <v>4.35</v>
      </c>
      <c r="D1674" s="68" t="n">
        <f aca="false">D1673*(1-Pressupostos!$D$22)</f>
        <v>4.35</v>
      </c>
      <c r="E1674" s="68" t="n">
        <f aca="false">E1673*(1-Pressupostos!$D$22)</f>
        <v>4.35</v>
      </c>
      <c r="F1674" s="68" t="n">
        <f aca="false">F1673*(1-Pressupostos!$D$22)</f>
        <v>4.35</v>
      </c>
      <c r="G1674" s="68" t="n">
        <f aca="false">G1673*(1-Pressupostos!$D$22)</f>
        <v>4.35</v>
      </c>
      <c r="H1674" s="2" t="s">
        <v>1216</v>
      </c>
    </row>
    <row r="1675" customFormat="false" ht="15" hidden="false" customHeight="false" outlineLevel="1" collapsed="false">
      <c r="A1675" s="7" t="s">
        <v>144</v>
      </c>
      <c r="B1675" s="8" t="s">
        <v>64</v>
      </c>
      <c r="C1675" s="67" t="n">
        <f aca="false">Pressupostos!$C$45</f>
        <v>0.45</v>
      </c>
      <c r="D1675" s="67" t="n">
        <f aca="false">Pressupostos!$C$45</f>
        <v>0.45</v>
      </c>
      <c r="E1675" s="67" t="n">
        <f aca="false">Pressupostos!$C$45</f>
        <v>0.45</v>
      </c>
      <c r="F1675" s="67" t="n">
        <f aca="false">Pressupostos!$C$45</f>
        <v>0.45</v>
      </c>
      <c r="G1675" s="67" t="n">
        <f aca="false">Pressupostos!$C$45</f>
        <v>0.45</v>
      </c>
      <c r="H1675" s="2" t="s">
        <v>1217</v>
      </c>
    </row>
    <row r="1676" customFormat="false" ht="15" hidden="false" customHeight="false" outlineLevel="1" collapsed="false">
      <c r="A1676" s="7" t="s">
        <v>215</v>
      </c>
      <c r="B1676" s="8" t="s">
        <v>64</v>
      </c>
      <c r="C1676" s="67" t="n">
        <f aca="false">Pressupostos!$C$250</f>
        <v>0.1</v>
      </c>
      <c r="D1676" s="67" t="n">
        <f aca="false">Pressupostos!$D$250</f>
        <v>0.1</v>
      </c>
      <c r="E1676" s="67" t="n">
        <f aca="false">Pressupostos!$E$250</f>
        <v>0.09</v>
      </c>
      <c r="F1676" s="67" t="n">
        <f aca="false">Pressupostos!$F$250</f>
        <v>0.09</v>
      </c>
      <c r="G1676" s="67" t="n">
        <f aca="false">Pressupostos!$G$250</f>
        <v>0.09</v>
      </c>
      <c r="H1676" s="2" t="s">
        <v>1218</v>
      </c>
    </row>
    <row r="1677" customFormat="false" ht="15" hidden="false" customHeight="false" outlineLevel="1" collapsed="false">
      <c r="A1677" s="7" t="s">
        <v>117</v>
      </c>
      <c r="B1677" s="8" t="s">
        <v>64</v>
      </c>
      <c r="C1677" s="67" t="n">
        <f aca="false">Pressupostos!$C$46</f>
        <v>0</v>
      </c>
      <c r="D1677" s="67" t="n">
        <f aca="false">Pressupostos!$C$46</f>
        <v>0</v>
      </c>
      <c r="E1677" s="67" t="n">
        <f aca="false">Pressupostos!$C$46</f>
        <v>0</v>
      </c>
      <c r="F1677" s="67" t="n">
        <f aca="false">Pressupostos!$C$46</f>
        <v>0</v>
      </c>
      <c r="G1677" s="67" t="n">
        <f aca="false">Pressupostos!$C$46</f>
        <v>0</v>
      </c>
      <c r="H1677" s="2" t="s">
        <v>1219</v>
      </c>
    </row>
    <row r="1678" customFormat="false" ht="15" hidden="false" customHeight="false" outlineLevel="1" collapsed="false">
      <c r="A1678" s="7" t="s">
        <v>91</v>
      </c>
      <c r="B1678" s="8" t="s">
        <v>79</v>
      </c>
      <c r="C1678" s="69" t="n">
        <f aca="false">Pressupostos!$D$23</f>
        <v>30</v>
      </c>
      <c r="D1678" s="69" t="n">
        <f aca="false">Pressupostos!$D$23</f>
        <v>30</v>
      </c>
      <c r="E1678" s="69" t="n">
        <f aca="false">Pressupostos!$D$23</f>
        <v>30</v>
      </c>
      <c r="F1678" s="69" t="n">
        <f aca="false">Pressupostos!$D$23</f>
        <v>30</v>
      </c>
      <c r="G1678" s="69" t="n">
        <f aca="false">Pressupostos!$D$23</f>
        <v>30</v>
      </c>
      <c r="H1678" s="2" t="s">
        <v>1220</v>
      </c>
    </row>
    <row r="1679" customFormat="false" ht="15" hidden="false" customHeight="false" outlineLevel="1" collapsed="false">
      <c r="A1679" s="7" t="s">
        <v>78</v>
      </c>
      <c r="B1679" s="8" t="s">
        <v>79</v>
      </c>
      <c r="C1679" s="69" t="n">
        <f aca="false">Pressupostos!$D$24</f>
        <v>45</v>
      </c>
      <c r="D1679" s="69" t="n">
        <f aca="false">Pressupostos!$D$24</f>
        <v>45</v>
      </c>
      <c r="E1679" s="69" t="n">
        <f aca="false">Pressupostos!$D$24</f>
        <v>45</v>
      </c>
      <c r="F1679" s="69" t="n">
        <f aca="false">Pressupostos!$D$24</f>
        <v>45</v>
      </c>
      <c r="G1679" s="69" t="n">
        <f aca="false">Pressupostos!$D$24</f>
        <v>45</v>
      </c>
      <c r="H1679" s="2" t="s">
        <v>1221</v>
      </c>
    </row>
    <row r="1680" customFormat="false" ht="15" hidden="false" customHeight="false" outlineLevel="1" collapsed="false">
      <c r="A1680" s="7" t="s">
        <v>490</v>
      </c>
      <c r="B1680" s="8" t="s">
        <v>64</v>
      </c>
      <c r="C1680" s="63" t="n">
        <f aca="false">Pressupostos!$C$66*C1678/30/1000</f>
        <v>0.004</v>
      </c>
      <c r="D1680" s="63" t="n">
        <f aca="false">Pressupostos!$C$66*D1678/30/1000</f>
        <v>0.004</v>
      </c>
      <c r="E1680" s="63" t="n">
        <f aca="false">Pressupostos!$C$66*E1678/30/1000</f>
        <v>0.004</v>
      </c>
      <c r="F1680" s="63" t="n">
        <f aca="false">Pressupostos!$C$66*F1678/30/1000</f>
        <v>0.004</v>
      </c>
      <c r="G1680" s="63" t="n">
        <f aca="false">Pressupostos!$C$66*G1678/30/1000</f>
        <v>0.004</v>
      </c>
      <c r="H1680" s="2" t="s">
        <v>1222</v>
      </c>
    </row>
    <row r="1681" customFormat="false" ht="15" hidden="false" customHeight="false" outlineLevel="1" collapsed="false">
      <c r="A1681" s="7" t="s">
        <v>165</v>
      </c>
      <c r="B1681" s="8" t="s">
        <v>64</v>
      </c>
      <c r="C1681" s="63" t="n">
        <f aca="false">C1672*Pressupostos!$C$67*C1678/365</f>
        <v>0.000591780821917808</v>
      </c>
      <c r="D1681" s="63" t="n">
        <f aca="false">D1672*Pressupostos!$C$67*D1678/365</f>
        <v>0.000591780821917808</v>
      </c>
      <c r="E1681" s="63" t="n">
        <f aca="false">E1672*Pressupostos!$C$67*E1678/365</f>
        <v>0.000591780821917808</v>
      </c>
      <c r="F1681" s="63" t="n">
        <f aca="false">F1672*Pressupostos!$C$67*F1678/365</f>
        <v>0.000591780821917808</v>
      </c>
      <c r="G1681" s="63" t="n">
        <f aca="false">G1672*Pressupostos!$C$67*G1678/365</f>
        <v>0.000591780821917808</v>
      </c>
      <c r="H1681" s="2" t="s">
        <v>1223</v>
      </c>
    </row>
    <row r="1682" customFormat="false" ht="15" hidden="false" customHeight="false" outlineLevel="1" collapsed="false">
      <c r="A1682" s="7" t="s">
        <v>672</v>
      </c>
      <c r="B1682" s="8" t="s">
        <v>64</v>
      </c>
      <c r="C1682" s="63" t="n">
        <f aca="false">Pressupostos!$C$48*Pressupostos!$C$68/(Pressupostos!$C$47*1000)</f>
        <v>0.02</v>
      </c>
      <c r="D1682" s="63" t="n">
        <f aca="false">Pressupostos!$C$48*Pressupostos!$C$68/(Pressupostos!$C$47*1000)</f>
        <v>0.02</v>
      </c>
      <c r="E1682" s="63" t="n">
        <f aca="false">Pressupostos!$C$48*Pressupostos!$C$68/(Pressupostos!$C$47*1000)</f>
        <v>0.02</v>
      </c>
      <c r="F1682" s="63" t="n">
        <f aca="false">Pressupostos!$C$48*Pressupostos!$C$68/(Pressupostos!$C$47*1000)</f>
        <v>0.02</v>
      </c>
      <c r="G1682" s="63" t="n">
        <f aca="false">Pressupostos!$C$48*Pressupostos!$C$68/(Pressupostos!$C$47*1000)</f>
        <v>0.02</v>
      </c>
      <c r="H1682" s="2" t="s">
        <v>1224</v>
      </c>
    </row>
    <row r="1683" customFormat="false" ht="15" hidden="false" customHeight="false" outlineLevel="1" collapsed="false">
      <c r="A1683" s="7" t="s">
        <v>492</v>
      </c>
      <c r="B1683" s="8" t="s">
        <v>64</v>
      </c>
      <c r="C1683" s="63" t="n">
        <f aca="false">Pressupostos!$C$69*C1672</f>
        <v>0.018</v>
      </c>
      <c r="D1683" s="63" t="n">
        <f aca="false">Pressupostos!$C$69*D1672</f>
        <v>0.018</v>
      </c>
      <c r="E1683" s="63" t="n">
        <f aca="false">Pressupostos!$C$69*E1672</f>
        <v>0.018</v>
      </c>
      <c r="F1683" s="63" t="n">
        <f aca="false">Pressupostos!$C$69*F1672</f>
        <v>0.018</v>
      </c>
      <c r="G1683" s="63" t="n">
        <f aca="false">Pressupostos!$C$69*G1672</f>
        <v>0.018</v>
      </c>
      <c r="H1683" s="2" t="s">
        <v>1225</v>
      </c>
    </row>
    <row r="1684" customFormat="false" ht="15" hidden="false" customHeight="false" outlineLevel="1" collapsed="false">
      <c r="A1684" s="7" t="s">
        <v>493</v>
      </c>
      <c r="B1684" s="8" t="s">
        <v>64</v>
      </c>
      <c r="C1684" s="63" t="n">
        <f aca="false">Pressupostos!$C$70*Pressupostos!$C$71*C1678/90</f>
        <v>0.003</v>
      </c>
      <c r="D1684" s="63" t="n">
        <f aca="false">Pressupostos!$C$70*Pressupostos!$C$71*D1678/90</f>
        <v>0.003</v>
      </c>
      <c r="E1684" s="63" t="n">
        <f aca="false">Pressupostos!$C$70*Pressupostos!$C$71*E1678/90</f>
        <v>0.003</v>
      </c>
      <c r="F1684" s="63" t="n">
        <f aca="false">Pressupostos!$C$70*Pressupostos!$C$71*F1678/90</f>
        <v>0.003</v>
      </c>
      <c r="G1684" s="63" t="n">
        <f aca="false">Pressupostos!$C$70*Pressupostos!$C$71*G1678/90</f>
        <v>0.003</v>
      </c>
      <c r="H1684" s="2" t="s">
        <v>1226</v>
      </c>
    </row>
    <row r="1685" customFormat="false" ht="15" hidden="false" customHeight="false" outlineLevel="1" collapsed="false">
      <c r="A1685" s="7" t="s">
        <v>673</v>
      </c>
      <c r="B1685" s="8" t="s">
        <v>64</v>
      </c>
      <c r="C1685" s="63" t="n">
        <f aca="false">Pressupostos!$C$49/(Pressupostos!$C$47*1000)</f>
        <v>0.04</v>
      </c>
      <c r="D1685" s="63" t="n">
        <f aca="false">Pressupostos!$C$49/(Pressupostos!$C$47*1000)</f>
        <v>0.04</v>
      </c>
      <c r="E1685" s="63" t="n">
        <f aca="false">Pressupostos!$C$49/(Pressupostos!$C$47*1000)</f>
        <v>0.04</v>
      </c>
      <c r="F1685" s="63" t="n">
        <f aca="false">Pressupostos!$C$49/(Pressupostos!$C$47*1000)</f>
        <v>0.04</v>
      </c>
      <c r="G1685" s="63" t="n">
        <f aca="false">Pressupostos!$C$49/(Pressupostos!$C$47*1000)</f>
        <v>0.04</v>
      </c>
      <c r="H1685" s="2" t="s">
        <v>1227</v>
      </c>
    </row>
    <row r="1686" customFormat="false" ht="15" hidden="false" customHeight="false" outlineLevel="1" collapsed="false">
      <c r="A1686" s="7" t="s">
        <v>139</v>
      </c>
      <c r="B1686" s="8" t="s">
        <v>64</v>
      </c>
      <c r="C1686" s="67" t="n">
        <f aca="false">Pressupostos!$C$50</f>
        <v>0.005</v>
      </c>
      <c r="D1686" s="67" t="n">
        <f aca="false">Pressupostos!$C$50</f>
        <v>0.005</v>
      </c>
      <c r="E1686" s="67" t="n">
        <f aca="false">Pressupostos!$C$50</f>
        <v>0.005</v>
      </c>
      <c r="F1686" s="67" t="n">
        <f aca="false">Pressupostos!$C$50</f>
        <v>0.005</v>
      </c>
      <c r="G1686" s="67" t="n">
        <f aca="false">Pressupostos!$C$50</f>
        <v>0.005</v>
      </c>
      <c r="H1686" s="2" t="s">
        <v>1228</v>
      </c>
    </row>
    <row r="1687" customFormat="false" ht="15" hidden="false" customHeight="false" outlineLevel="1" collapsed="false">
      <c r="A1687" s="7" t="s">
        <v>81</v>
      </c>
      <c r="B1687" s="8" t="s">
        <v>64</v>
      </c>
      <c r="C1687" s="63" t="n">
        <f aca="false">Pressupostos!$D$25*C1674</f>
        <v>0.01305</v>
      </c>
      <c r="D1687" s="63" t="n">
        <f aca="false">Pressupostos!$D$25*D1674</f>
        <v>0.01305</v>
      </c>
      <c r="E1687" s="63" t="n">
        <f aca="false">Pressupostos!$D$25*E1674</f>
        <v>0.01305</v>
      </c>
      <c r="F1687" s="63" t="n">
        <f aca="false">Pressupostos!$D$25*F1674</f>
        <v>0.01305</v>
      </c>
      <c r="G1687" s="63" t="n">
        <f aca="false">Pressupostos!$D$25*G1674</f>
        <v>0.01305</v>
      </c>
      <c r="H1687" s="2" t="s">
        <v>1229</v>
      </c>
    </row>
    <row r="1688" customFormat="false" ht="15" hidden="false" customHeight="false" outlineLevel="1" collapsed="false">
      <c r="A1688" s="7" t="s">
        <v>674</v>
      </c>
      <c r="B1688" s="8" t="s">
        <v>64</v>
      </c>
      <c r="C1688" s="63" t="n">
        <f aca="false">Pressupostos!$C$73*C1674</f>
        <v>0</v>
      </c>
      <c r="D1688" s="63" t="n">
        <f aca="false">Pressupostos!$C$73*D1674</f>
        <v>0</v>
      </c>
      <c r="E1688" s="63" t="n">
        <f aca="false">Pressupostos!$C$73*E1674</f>
        <v>0</v>
      </c>
      <c r="F1688" s="63" t="n">
        <f aca="false">Pressupostos!$C$73*F1674</f>
        <v>0</v>
      </c>
      <c r="G1688" s="63" t="n">
        <f aca="false">Pressupostos!$C$73*G1674</f>
        <v>0</v>
      </c>
      <c r="H1688" s="2" t="s">
        <v>1230</v>
      </c>
    </row>
    <row r="1689" customFormat="false" ht="15" hidden="false" customHeight="false" outlineLevel="1" collapsed="false">
      <c r="A1689" s="7" t="s">
        <v>675</v>
      </c>
      <c r="B1689" s="8" t="s">
        <v>64</v>
      </c>
      <c r="C1689" s="63" t="n">
        <f aca="false">Pressupostos!$C$288*(C1672+C1675)*(C1678+C1679-Pressupostos!$C$72)/365*Pressupostos!$C$282/Pressupostos!$D$31</f>
        <v>0</v>
      </c>
      <c r="D1689" s="63" t="n">
        <f aca="false">Pressupostos!$D$288*(D1672+D1675)*(D1678+D1679-Pressupostos!$C$72)/365*Pressupostos!$D$282/Pressupostos!$D$31</f>
        <v>0.0449383561643836</v>
      </c>
      <c r="E1689" s="63" t="n">
        <f aca="false">Pressupostos!$E$288*(E1672+E1675)*(E1678+E1679-Pressupostos!$C$72)/365*Pressupostos!$E$282/Pressupostos!$D$31</f>
        <v>0.0421297089041096</v>
      </c>
      <c r="F1689" s="63" t="n">
        <f aca="false">Pressupostos!$F$288*(F1672+F1675)*(F1678+F1679-Pressupostos!$C$72)/365*Pressupostos!$F$282/Pressupostos!$D$31</f>
        <v>0.0393210616438356</v>
      </c>
      <c r="G1689" s="63" t="n">
        <f aca="false">Pressupostos!$G$288*(G1672+G1675)*(G1678+G1679-Pressupostos!$C$72)/365*Pressupostos!$G$282/Pressupostos!$D$31</f>
        <v>0.0393210616438356</v>
      </c>
      <c r="H1689" s="2" t="s">
        <v>1231</v>
      </c>
    </row>
    <row r="1690" customFormat="false" ht="15" hidden="false" customHeight="false" outlineLevel="1" collapsed="false">
      <c r="A1690" s="7" t="s">
        <v>676</v>
      </c>
      <c r="B1690" s="8" t="s">
        <v>64</v>
      </c>
      <c r="C1690" s="63" t="n">
        <f aca="false">C1672+C1675+C1676+C1677+C1680+C1681+C1682+C1683+C1684+C1685+C1686+C1687+C1688+C1689</f>
        <v>4.25364178082192</v>
      </c>
      <c r="D1690" s="63" t="n">
        <f aca="false">D1672+D1675+D1676+D1677+D1680+D1681+D1682+D1683+D1684+D1685+D1686+D1687+D1688+D1689</f>
        <v>4.2985801369863</v>
      </c>
      <c r="E1690" s="63" t="n">
        <f aca="false">E1672+E1675+E1676+E1677+E1680+E1681+E1682+E1683+E1684+E1685+E1686+E1687+E1688+E1689</f>
        <v>4.28577148972603</v>
      </c>
      <c r="F1690" s="63" t="n">
        <f aca="false">F1672+F1675+F1676+F1677+F1680+F1681+F1682+F1683+F1684+F1685+F1686+F1687+F1688+F1689</f>
        <v>4.28296284246575</v>
      </c>
      <c r="G1690" s="63" t="n">
        <f aca="false">G1672+G1675+G1676+G1677+G1680+G1681+G1682+G1683+G1684+G1685+G1686+G1687+G1688+G1689</f>
        <v>4.28296284246575</v>
      </c>
      <c r="H1690" s="2" t="s">
        <v>1232</v>
      </c>
    </row>
    <row r="1691" customFormat="false" ht="15" hidden="false" customHeight="false" outlineLevel="1" collapsed="false">
      <c r="A1691" s="56" t="s">
        <v>677</v>
      </c>
      <c r="B1691" s="57" t="s">
        <v>64</v>
      </c>
      <c r="C1691" s="68" t="n">
        <f aca="false">C1674-C1690</f>
        <v>0.0963582191780832</v>
      </c>
      <c r="D1691" s="68" t="n">
        <f aca="false">D1674-D1690</f>
        <v>0.0514198630136997</v>
      </c>
      <c r="E1691" s="68" t="n">
        <f aca="false">E1674-E1690</f>
        <v>0.0642285102739733</v>
      </c>
      <c r="F1691" s="68" t="n">
        <f aca="false">F1674-F1690</f>
        <v>0.067037157534247</v>
      </c>
      <c r="G1691" s="68" t="n">
        <f aca="false">G1674-G1690</f>
        <v>0.067037157534247</v>
      </c>
      <c r="H1691" s="2" t="s">
        <v>1233</v>
      </c>
    </row>
    <row r="1692" customFormat="false" ht="15" hidden="false" customHeight="false" outlineLevel="1" collapsed="false">
      <c r="A1692" s="7" t="s">
        <v>678</v>
      </c>
      <c r="B1692" s="8" t="s">
        <v>76</v>
      </c>
      <c r="C1692" s="59" t="n">
        <f aca="false">IF(C1674&gt;0,C1691/C1674,0)</f>
        <v>0.0221513147535823</v>
      </c>
      <c r="D1692" s="59" t="n">
        <f aca="false">IF(D1674&gt;0,D1691/D1674,0)</f>
        <v>0.0118206581640689</v>
      </c>
      <c r="E1692" s="59" t="n">
        <f aca="false">IF(E1674&gt;0,E1691/E1674,0)</f>
        <v>0.014765174775626</v>
      </c>
      <c r="F1692" s="59" t="n">
        <f aca="false">IF(F1674&gt;0,F1691/F1674,0)</f>
        <v>0.0154108408124706</v>
      </c>
      <c r="G1692" s="59" t="n">
        <f aca="false">IF(G1674&gt;0,G1691/G1674,0)</f>
        <v>0.0154108408124706</v>
      </c>
      <c r="H1692" s="2" t="s">
        <v>1234</v>
      </c>
    </row>
    <row r="1693" customFormat="false" ht="15" hidden="false" customHeight="false" outlineLevel="1" collapsed="false">
      <c r="A1693" s="7" t="s">
        <v>679</v>
      </c>
      <c r="B1693" s="8" t="s">
        <v>64</v>
      </c>
      <c r="C1693" s="63" t="n">
        <f aca="false">(C1672+C1675)*(C1678-Pressupostos!$C$72)/365+C1674*C1679/365</f>
        <v>0.536301369863014</v>
      </c>
      <c r="D1693" s="63" t="n">
        <f aca="false">(D1672+D1675)*(D1678-Pressupostos!$C$72)/365+D1674*D1679/365</f>
        <v>0.536301369863014</v>
      </c>
      <c r="E1693" s="63" t="n">
        <f aca="false">(E1672+E1675)*(E1678-Pressupostos!$C$72)/365+E1674*E1679/365</f>
        <v>0.536301369863014</v>
      </c>
      <c r="F1693" s="63" t="n">
        <f aca="false">(F1672+F1675)*(F1678-Pressupostos!$C$72)/365+F1674*F1679/365</f>
        <v>0.536301369863014</v>
      </c>
      <c r="G1693" s="63" t="n">
        <f aca="false">(G1672+G1675)*(G1678-Pressupostos!$C$72)/365+G1674*G1679/365</f>
        <v>0.536301369863014</v>
      </c>
      <c r="H1693" s="2" t="s">
        <v>1235</v>
      </c>
    </row>
    <row r="1694" customFormat="false" ht="15" hidden="false" customHeight="false" outlineLevel="0" collapsed="false">
      <c r="A1694" s="3" t="s">
        <v>1236</v>
      </c>
      <c r="B1694" s="4"/>
      <c r="C1694" s="4"/>
      <c r="D1694" s="4"/>
      <c r="E1694" s="4"/>
      <c r="F1694" s="4"/>
      <c r="G1694" s="4"/>
      <c r="H1694" s="4"/>
    </row>
    <row r="1695" customFormat="false" ht="15" hidden="false" customHeight="false" outlineLevel="1" collapsed="false">
      <c r="A1695" s="7" t="s">
        <v>669</v>
      </c>
      <c r="B1695" s="8" t="s">
        <v>64</v>
      </c>
      <c r="C1695" s="63" t="n">
        <f aca="false">Pressupostos!$D$10+Pressupostos!$D$13</f>
        <v>3.5</v>
      </c>
      <c r="D1695" s="63" t="n">
        <f aca="false">Pressupostos!$D$10+Pressupostos!$D$13</f>
        <v>3.5</v>
      </c>
      <c r="E1695" s="63" t="n">
        <f aca="false">Pressupostos!$D$10+Pressupostos!$D$13</f>
        <v>3.5</v>
      </c>
      <c r="F1695" s="63" t="n">
        <f aca="false">Pressupostos!$D$10+Pressupostos!$D$13</f>
        <v>3.5</v>
      </c>
      <c r="G1695" s="63" t="n">
        <f aca="false">Pressupostos!$D$10+Pressupostos!$D$13</f>
        <v>3.5</v>
      </c>
      <c r="H1695" s="2" t="s">
        <v>1237</v>
      </c>
    </row>
    <row r="1696" customFormat="false" ht="15" hidden="false" customHeight="false" outlineLevel="1" collapsed="false">
      <c r="A1696" s="7" t="s">
        <v>670</v>
      </c>
      <c r="B1696" s="8" t="s">
        <v>64</v>
      </c>
      <c r="C1696" s="63" t="n">
        <f aca="false">Pressupostos!$D$10+Pressupostos!$C$52</f>
        <v>3.65</v>
      </c>
      <c r="D1696" s="63" t="n">
        <f aca="false">Pressupostos!$D$10+Pressupostos!$C$52</f>
        <v>3.65</v>
      </c>
      <c r="E1696" s="63" t="n">
        <f aca="false">Pressupostos!$D$10+Pressupostos!$C$52</f>
        <v>3.65</v>
      </c>
      <c r="F1696" s="63" t="n">
        <f aca="false">Pressupostos!$D$10+Pressupostos!$C$52</f>
        <v>3.65</v>
      </c>
      <c r="G1696" s="63" t="n">
        <f aca="false">Pressupostos!$D$10+Pressupostos!$C$52</f>
        <v>3.65</v>
      </c>
      <c r="H1696" s="2" t="s">
        <v>1238</v>
      </c>
    </row>
    <row r="1697" customFormat="false" ht="15" hidden="false" customHeight="false" outlineLevel="1" collapsed="false">
      <c r="A1697" s="56" t="s">
        <v>671</v>
      </c>
      <c r="B1697" s="57" t="s">
        <v>64</v>
      </c>
      <c r="C1697" s="68" t="n">
        <f aca="false">C1696*(1-Pressupostos!$C$53)</f>
        <v>3.65</v>
      </c>
      <c r="D1697" s="68" t="n">
        <f aca="false">D1696*(1-Pressupostos!$C$53)</f>
        <v>3.65</v>
      </c>
      <c r="E1697" s="68" t="n">
        <f aca="false">E1696*(1-Pressupostos!$C$53)</f>
        <v>3.65</v>
      </c>
      <c r="F1697" s="68" t="n">
        <f aca="false">F1696*(1-Pressupostos!$C$53)</f>
        <v>3.65</v>
      </c>
      <c r="G1697" s="68" t="n">
        <f aca="false">G1696*(1-Pressupostos!$C$53)</f>
        <v>3.65</v>
      </c>
      <c r="H1697" s="2" t="s">
        <v>1239</v>
      </c>
    </row>
    <row r="1698" customFormat="false" ht="15" hidden="false" customHeight="false" outlineLevel="1" collapsed="false">
      <c r="A1698" s="7" t="s">
        <v>144</v>
      </c>
      <c r="B1698" s="8" t="s">
        <v>64</v>
      </c>
      <c r="C1698" s="67" t="n">
        <f aca="false">Pressupostos!$C$54</f>
        <v>0</v>
      </c>
      <c r="D1698" s="67" t="n">
        <f aca="false">Pressupostos!$C$54</f>
        <v>0</v>
      </c>
      <c r="E1698" s="67" t="n">
        <f aca="false">Pressupostos!$C$54</f>
        <v>0</v>
      </c>
      <c r="F1698" s="67" t="n">
        <f aca="false">Pressupostos!$C$54</f>
        <v>0</v>
      </c>
      <c r="G1698" s="67" t="n">
        <f aca="false">Pressupostos!$C$54</f>
        <v>0</v>
      </c>
      <c r="H1698" s="2" t="s">
        <v>1240</v>
      </c>
    </row>
    <row r="1699" customFormat="false" ht="15" hidden="false" customHeight="false" outlineLevel="1" collapsed="false">
      <c r="A1699" s="7" t="s">
        <v>215</v>
      </c>
      <c r="B1699" s="8" t="s">
        <v>64</v>
      </c>
      <c r="C1699" s="67" t="n">
        <f aca="false">Pressupostos!$C$55</f>
        <v>0.04</v>
      </c>
      <c r="D1699" s="67" t="n">
        <f aca="false">Pressupostos!$C$55</f>
        <v>0.04</v>
      </c>
      <c r="E1699" s="67" t="n">
        <f aca="false">Pressupostos!$C$55</f>
        <v>0.04</v>
      </c>
      <c r="F1699" s="67" t="n">
        <f aca="false">Pressupostos!$C$55</f>
        <v>0.04</v>
      </c>
      <c r="G1699" s="67" t="n">
        <f aca="false">Pressupostos!$C$55</f>
        <v>0.04</v>
      </c>
      <c r="H1699" s="2" t="s">
        <v>1241</v>
      </c>
    </row>
    <row r="1700" customFormat="false" ht="15" hidden="false" customHeight="false" outlineLevel="1" collapsed="false">
      <c r="A1700" s="7" t="s">
        <v>117</v>
      </c>
      <c r="B1700" s="8" t="s">
        <v>64</v>
      </c>
      <c r="C1700" s="67" t="n">
        <f aca="false">Pressupostos!$C$56</f>
        <v>0</v>
      </c>
      <c r="D1700" s="67" t="n">
        <f aca="false">Pressupostos!$C$56</f>
        <v>0</v>
      </c>
      <c r="E1700" s="67" t="n">
        <f aca="false">Pressupostos!$C$56</f>
        <v>0</v>
      </c>
      <c r="F1700" s="67" t="n">
        <f aca="false">Pressupostos!$C$56</f>
        <v>0</v>
      </c>
      <c r="G1700" s="67" t="n">
        <f aca="false">Pressupostos!$C$56</f>
        <v>0</v>
      </c>
      <c r="H1700" s="2" t="s">
        <v>1242</v>
      </c>
    </row>
    <row r="1701" customFormat="false" ht="15" hidden="false" customHeight="false" outlineLevel="1" collapsed="false">
      <c r="A1701" s="7" t="s">
        <v>91</v>
      </c>
      <c r="B1701" s="8" t="s">
        <v>79</v>
      </c>
      <c r="C1701" s="69" t="n">
        <f aca="false">Pressupostos!$C$57</f>
        <v>15</v>
      </c>
      <c r="D1701" s="69" t="n">
        <f aca="false">Pressupostos!$C$57</f>
        <v>15</v>
      </c>
      <c r="E1701" s="69" t="n">
        <f aca="false">Pressupostos!$C$57</f>
        <v>15</v>
      </c>
      <c r="F1701" s="69" t="n">
        <f aca="false">Pressupostos!$C$57</f>
        <v>15</v>
      </c>
      <c r="G1701" s="69" t="n">
        <f aca="false">Pressupostos!$C$57</f>
        <v>15</v>
      </c>
      <c r="H1701" s="2" t="s">
        <v>1243</v>
      </c>
    </row>
    <row r="1702" customFormat="false" ht="15" hidden="false" customHeight="false" outlineLevel="1" collapsed="false">
      <c r="A1702" s="7" t="s">
        <v>78</v>
      </c>
      <c r="B1702" s="8" t="s">
        <v>79</v>
      </c>
      <c r="C1702" s="69" t="n">
        <f aca="false">Pressupostos!$C$58</f>
        <v>45</v>
      </c>
      <c r="D1702" s="69" t="n">
        <f aca="false">Pressupostos!$C$58</f>
        <v>45</v>
      </c>
      <c r="E1702" s="69" t="n">
        <f aca="false">Pressupostos!$C$58</f>
        <v>45</v>
      </c>
      <c r="F1702" s="69" t="n">
        <f aca="false">Pressupostos!$C$58</f>
        <v>45</v>
      </c>
      <c r="G1702" s="69" t="n">
        <f aca="false">Pressupostos!$C$58</f>
        <v>45</v>
      </c>
      <c r="H1702" s="2" t="s">
        <v>1244</v>
      </c>
    </row>
    <row r="1703" customFormat="false" ht="15" hidden="false" customHeight="false" outlineLevel="1" collapsed="false">
      <c r="A1703" s="7" t="s">
        <v>490</v>
      </c>
      <c r="B1703" s="8" t="s">
        <v>64</v>
      </c>
      <c r="C1703" s="63" t="n">
        <f aca="false">Pressupostos!$C$66*C1701/30/1000</f>
        <v>0.002</v>
      </c>
      <c r="D1703" s="63" t="n">
        <f aca="false">Pressupostos!$C$66*D1701/30/1000</f>
        <v>0.002</v>
      </c>
      <c r="E1703" s="63" t="n">
        <f aca="false">Pressupostos!$C$66*E1701/30/1000</f>
        <v>0.002</v>
      </c>
      <c r="F1703" s="63" t="n">
        <f aca="false">Pressupostos!$C$66*F1701/30/1000</f>
        <v>0.002</v>
      </c>
      <c r="G1703" s="63" t="n">
        <f aca="false">Pressupostos!$C$66*G1701/30/1000</f>
        <v>0.002</v>
      </c>
      <c r="H1703" s="2" t="s">
        <v>1245</v>
      </c>
    </row>
    <row r="1704" customFormat="false" ht="15" hidden="false" customHeight="false" outlineLevel="1" collapsed="false">
      <c r="A1704" s="7" t="s">
        <v>165</v>
      </c>
      <c r="B1704" s="8" t="s">
        <v>64</v>
      </c>
      <c r="C1704" s="63" t="n">
        <f aca="false">C1695*Pressupostos!$C$67*C1701/365</f>
        <v>0.000287671232876712</v>
      </c>
      <c r="D1704" s="63" t="n">
        <f aca="false">D1695*Pressupostos!$C$67*D1701/365</f>
        <v>0.000287671232876712</v>
      </c>
      <c r="E1704" s="63" t="n">
        <f aca="false">E1695*Pressupostos!$C$67*E1701/365</f>
        <v>0.000287671232876712</v>
      </c>
      <c r="F1704" s="63" t="n">
        <f aca="false">F1695*Pressupostos!$C$67*F1701/365</f>
        <v>0.000287671232876712</v>
      </c>
      <c r="G1704" s="63" t="n">
        <f aca="false">G1695*Pressupostos!$C$67*G1701/365</f>
        <v>0.000287671232876712</v>
      </c>
      <c r="H1704" s="2" t="s">
        <v>1246</v>
      </c>
    </row>
    <row r="1705" customFormat="false" ht="15" hidden="false" customHeight="false" outlineLevel="1" collapsed="false">
      <c r="A1705" s="7" t="s">
        <v>672</v>
      </c>
      <c r="B1705" s="8" t="s">
        <v>64</v>
      </c>
      <c r="C1705" s="63" t="n">
        <f aca="false">Pressupostos!$C$60*Pressupostos!$C$68/(Pressupostos!$C$59*1000)</f>
        <v>0.006</v>
      </c>
      <c r="D1705" s="63" t="n">
        <f aca="false">Pressupostos!$C$60*Pressupostos!$C$68/(Pressupostos!$C$59*1000)</f>
        <v>0.006</v>
      </c>
      <c r="E1705" s="63" t="n">
        <f aca="false">Pressupostos!$C$60*Pressupostos!$C$68/(Pressupostos!$C$59*1000)</f>
        <v>0.006</v>
      </c>
      <c r="F1705" s="63" t="n">
        <f aca="false">Pressupostos!$C$60*Pressupostos!$C$68/(Pressupostos!$C$59*1000)</f>
        <v>0.006</v>
      </c>
      <c r="G1705" s="63" t="n">
        <f aca="false">Pressupostos!$C$60*Pressupostos!$C$68/(Pressupostos!$C$59*1000)</f>
        <v>0.006</v>
      </c>
      <c r="H1705" s="2" t="s">
        <v>1247</v>
      </c>
    </row>
    <row r="1706" customFormat="false" ht="15" hidden="false" customHeight="false" outlineLevel="1" collapsed="false">
      <c r="A1706" s="7" t="s">
        <v>492</v>
      </c>
      <c r="B1706" s="8" t="s">
        <v>64</v>
      </c>
      <c r="C1706" s="63" t="n">
        <f aca="false">Pressupostos!$C$69*C1695</f>
        <v>0.0175</v>
      </c>
      <c r="D1706" s="63" t="n">
        <f aca="false">Pressupostos!$C$69*D1695</f>
        <v>0.0175</v>
      </c>
      <c r="E1706" s="63" t="n">
        <f aca="false">Pressupostos!$C$69*E1695</f>
        <v>0.0175</v>
      </c>
      <c r="F1706" s="63" t="n">
        <f aca="false">Pressupostos!$C$69*F1695</f>
        <v>0.0175</v>
      </c>
      <c r="G1706" s="63" t="n">
        <f aca="false">Pressupostos!$C$69*G1695</f>
        <v>0.0175</v>
      </c>
      <c r="H1706" s="2" t="s">
        <v>1248</v>
      </c>
    </row>
    <row r="1707" customFormat="false" ht="15" hidden="false" customHeight="false" outlineLevel="1" collapsed="false">
      <c r="A1707" s="7" t="s">
        <v>493</v>
      </c>
      <c r="B1707" s="8" t="s">
        <v>64</v>
      </c>
      <c r="C1707" s="63" t="n">
        <f aca="false">Pressupostos!$C$70*Pressupostos!$C$71*C1701/90</f>
        <v>0.0015</v>
      </c>
      <c r="D1707" s="63" t="n">
        <f aca="false">Pressupostos!$C$70*Pressupostos!$C$71*D1701/90</f>
        <v>0.0015</v>
      </c>
      <c r="E1707" s="63" t="n">
        <f aca="false">Pressupostos!$C$70*Pressupostos!$C$71*E1701/90</f>
        <v>0.0015</v>
      </c>
      <c r="F1707" s="63" t="n">
        <f aca="false">Pressupostos!$C$70*Pressupostos!$C$71*F1701/90</f>
        <v>0.0015</v>
      </c>
      <c r="G1707" s="63" t="n">
        <f aca="false">Pressupostos!$C$70*Pressupostos!$C$71*G1701/90</f>
        <v>0.0015</v>
      </c>
      <c r="H1707" s="2" t="s">
        <v>1249</v>
      </c>
    </row>
    <row r="1708" customFormat="false" ht="15" hidden="false" customHeight="false" outlineLevel="1" collapsed="false">
      <c r="A1708" s="7" t="s">
        <v>673</v>
      </c>
      <c r="B1708" s="8" t="s">
        <v>64</v>
      </c>
      <c r="C1708" s="63" t="n">
        <f aca="false">Pressupostos!$C$61/(Pressupostos!$C$59*1000)</f>
        <v>0.012</v>
      </c>
      <c r="D1708" s="63" t="n">
        <f aca="false">Pressupostos!$C$61/(Pressupostos!$C$59*1000)</f>
        <v>0.012</v>
      </c>
      <c r="E1708" s="63" t="n">
        <f aca="false">Pressupostos!$C$61/(Pressupostos!$C$59*1000)</f>
        <v>0.012</v>
      </c>
      <c r="F1708" s="63" t="n">
        <f aca="false">Pressupostos!$C$61/(Pressupostos!$C$59*1000)</f>
        <v>0.012</v>
      </c>
      <c r="G1708" s="63" t="n">
        <f aca="false">Pressupostos!$C$61/(Pressupostos!$C$59*1000)</f>
        <v>0.012</v>
      </c>
      <c r="H1708" s="2" t="s">
        <v>1250</v>
      </c>
    </row>
    <row r="1709" customFormat="false" ht="15" hidden="false" customHeight="false" outlineLevel="1" collapsed="false">
      <c r="A1709" s="7" t="s">
        <v>139</v>
      </c>
      <c r="B1709" s="8" t="s">
        <v>64</v>
      </c>
      <c r="C1709" s="67" t="n">
        <f aca="false">Pressupostos!$C$62</f>
        <v>0.001</v>
      </c>
      <c r="D1709" s="67" t="n">
        <f aca="false">Pressupostos!$C$62</f>
        <v>0.001</v>
      </c>
      <c r="E1709" s="67" t="n">
        <f aca="false">Pressupostos!$C$62</f>
        <v>0.001</v>
      </c>
      <c r="F1709" s="67" t="n">
        <f aca="false">Pressupostos!$C$62</f>
        <v>0.001</v>
      </c>
      <c r="G1709" s="67" t="n">
        <f aca="false">Pressupostos!$C$62</f>
        <v>0.001</v>
      </c>
      <c r="H1709" s="2" t="s">
        <v>1251</v>
      </c>
    </row>
    <row r="1710" customFormat="false" ht="15" hidden="false" customHeight="false" outlineLevel="1" collapsed="false">
      <c r="A1710" s="7" t="s">
        <v>81</v>
      </c>
      <c r="B1710" s="8" t="s">
        <v>64</v>
      </c>
      <c r="C1710" s="63" t="n">
        <f aca="false">Pressupostos!$C$63*C1697</f>
        <v>0.01095</v>
      </c>
      <c r="D1710" s="63" t="n">
        <f aca="false">Pressupostos!$C$63*D1697</f>
        <v>0.01095</v>
      </c>
      <c r="E1710" s="63" t="n">
        <f aca="false">Pressupostos!$C$63*E1697</f>
        <v>0.01095</v>
      </c>
      <c r="F1710" s="63" t="n">
        <f aca="false">Pressupostos!$C$63*F1697</f>
        <v>0.01095</v>
      </c>
      <c r="G1710" s="63" t="n">
        <f aca="false">Pressupostos!$C$63*G1697</f>
        <v>0.01095</v>
      </c>
      <c r="H1710" s="2" t="s">
        <v>1252</v>
      </c>
    </row>
    <row r="1711" customFormat="false" ht="15" hidden="false" customHeight="false" outlineLevel="1" collapsed="false">
      <c r="A1711" s="7" t="s">
        <v>674</v>
      </c>
      <c r="B1711" s="8" t="s">
        <v>64</v>
      </c>
      <c r="C1711" s="63" t="n">
        <f aca="false">Pressupostos!$C$73*C1697</f>
        <v>0</v>
      </c>
      <c r="D1711" s="63" t="n">
        <f aca="false">Pressupostos!$C$73*D1697</f>
        <v>0</v>
      </c>
      <c r="E1711" s="63" t="n">
        <f aca="false">Pressupostos!$C$73*E1697</f>
        <v>0</v>
      </c>
      <c r="F1711" s="63" t="n">
        <f aca="false">Pressupostos!$C$73*F1697</f>
        <v>0</v>
      </c>
      <c r="G1711" s="63" t="n">
        <f aca="false">Pressupostos!$C$73*G1697</f>
        <v>0</v>
      </c>
      <c r="H1711" s="2" t="s">
        <v>1253</v>
      </c>
    </row>
    <row r="1712" customFormat="false" ht="15" hidden="false" customHeight="false" outlineLevel="1" collapsed="false">
      <c r="A1712" s="7" t="s">
        <v>675</v>
      </c>
      <c r="B1712" s="8" t="s">
        <v>64</v>
      </c>
      <c r="C1712" s="63" t="n">
        <f aca="false">Pressupostos!$C$288*(C1695+C1698)*(C1701+C1702-Pressupostos!$C$72)/365*Pressupostos!$C$282/Pressupostos!$D$31</f>
        <v>0</v>
      </c>
      <c r="D1712" s="63" t="n">
        <f aca="false">Pressupostos!$D$288*(D1695+D1698)*(D1701+D1702-Pressupostos!$C$72)/365*Pressupostos!$D$282/Pressupostos!$D$31</f>
        <v>0.0258904109589041</v>
      </c>
      <c r="E1712" s="63" t="n">
        <f aca="false">Pressupostos!$E$288*(E1695+E1698)*(E1701+E1702-Pressupostos!$C$72)/365*Pressupostos!$E$282/Pressupostos!$D$31</f>
        <v>0.0242722602739726</v>
      </c>
      <c r="F1712" s="63" t="n">
        <f aca="false">Pressupostos!$F$288*(F1695+F1698)*(F1701+F1702-Pressupostos!$C$72)/365*Pressupostos!$F$282/Pressupostos!$D$31</f>
        <v>0.0226541095890411</v>
      </c>
      <c r="G1712" s="63" t="n">
        <f aca="false">Pressupostos!$G$288*(G1695+G1698)*(G1701+G1702-Pressupostos!$C$72)/365*Pressupostos!$G$282/Pressupostos!$D$31</f>
        <v>0.0226541095890411</v>
      </c>
      <c r="H1712" s="2" t="s">
        <v>1254</v>
      </c>
    </row>
    <row r="1713" customFormat="false" ht="15" hidden="false" customHeight="false" outlineLevel="1" collapsed="false">
      <c r="A1713" s="7" t="s">
        <v>676</v>
      </c>
      <c r="B1713" s="8" t="s">
        <v>64</v>
      </c>
      <c r="C1713" s="63" t="n">
        <f aca="false">C1695+C1698+C1699+C1700+C1703+C1704+C1705+C1706+C1707+C1708+C1709+C1710+C1711+C1712</f>
        <v>3.59123767123288</v>
      </c>
      <c r="D1713" s="63" t="n">
        <f aca="false">D1695+D1698+D1699+D1700+D1703+D1704+D1705+D1706+D1707+D1708+D1709+D1710+D1711+D1712</f>
        <v>3.61712808219178</v>
      </c>
      <c r="E1713" s="63" t="n">
        <f aca="false">E1695+E1698+E1699+E1700+E1703+E1704+E1705+E1706+E1707+E1708+E1709+E1710+E1711+E1712</f>
        <v>3.61550993150685</v>
      </c>
      <c r="F1713" s="63" t="n">
        <f aca="false">F1695+F1698+F1699+F1700+F1703+F1704+F1705+F1706+F1707+F1708+F1709+F1710+F1711+F1712</f>
        <v>3.61389178082192</v>
      </c>
      <c r="G1713" s="63" t="n">
        <f aca="false">G1695+G1698+G1699+G1700+G1703+G1704+G1705+G1706+G1707+G1708+G1709+G1710+G1711+G1712</f>
        <v>3.61389178082192</v>
      </c>
      <c r="H1713" s="2" t="s">
        <v>1255</v>
      </c>
    </row>
    <row r="1714" customFormat="false" ht="15" hidden="false" customHeight="false" outlineLevel="1" collapsed="false">
      <c r="A1714" s="56" t="s">
        <v>677</v>
      </c>
      <c r="B1714" s="57" t="s">
        <v>64</v>
      </c>
      <c r="C1714" s="68" t="n">
        <f aca="false">C1697-C1713</f>
        <v>0.058762328767124</v>
      </c>
      <c r="D1714" s="68" t="n">
        <f aca="false">D1697-D1713</f>
        <v>0.0328719178082197</v>
      </c>
      <c r="E1714" s="68" t="n">
        <f aca="false">E1697-E1713</f>
        <v>0.0344900684931515</v>
      </c>
      <c r="F1714" s="68" t="n">
        <f aca="false">F1697-F1713</f>
        <v>0.0361082191780828</v>
      </c>
      <c r="G1714" s="68" t="n">
        <f aca="false">G1697-G1713</f>
        <v>0.0361082191780828</v>
      </c>
      <c r="H1714" s="2" t="s">
        <v>1256</v>
      </c>
    </row>
    <row r="1715" customFormat="false" ht="15" hidden="false" customHeight="false" outlineLevel="1" collapsed="false">
      <c r="A1715" s="7" t="s">
        <v>678</v>
      </c>
      <c r="B1715" s="8" t="s">
        <v>76</v>
      </c>
      <c r="C1715" s="59" t="n">
        <f aca="false">IF(C1697&gt;0,C1714/C1697,0)</f>
        <v>0.0160992681553764</v>
      </c>
      <c r="D1715" s="59" t="n">
        <f aca="false">IF(D1697&gt;0,D1714/D1697,0)</f>
        <v>0.00900600487896431</v>
      </c>
      <c r="E1715" s="59" t="n">
        <f aca="false">IF(E1697&gt;0,E1714/E1697,0)</f>
        <v>0.00944933383374014</v>
      </c>
      <c r="F1715" s="59" t="n">
        <f aca="false">IF(F1697&gt;0,F1714/F1697,0)</f>
        <v>0.00989266278851584</v>
      </c>
      <c r="G1715" s="59" t="n">
        <f aca="false">IF(G1697&gt;0,G1714/G1697,0)</f>
        <v>0.00989266278851584</v>
      </c>
      <c r="H1715" s="2" t="s">
        <v>1257</v>
      </c>
    </row>
    <row r="1716" customFormat="false" ht="15" hidden="false" customHeight="false" outlineLevel="1" collapsed="false">
      <c r="A1716" s="7" t="s">
        <v>679</v>
      </c>
      <c r="B1716" s="8" t="s">
        <v>64</v>
      </c>
      <c r="C1716" s="63" t="n">
        <f aca="false">(C1695+C1698)*(C1701-Pressupostos!$C$72)/365+C1697*C1702/365</f>
        <v>0.306164383561644</v>
      </c>
      <c r="D1716" s="63" t="n">
        <f aca="false">(D1695+D1698)*(D1701-Pressupostos!$C$72)/365+D1697*D1702/365</f>
        <v>0.306164383561644</v>
      </c>
      <c r="E1716" s="63" t="n">
        <f aca="false">(E1695+E1698)*(E1701-Pressupostos!$C$72)/365+E1697*E1702/365</f>
        <v>0.306164383561644</v>
      </c>
      <c r="F1716" s="63" t="n">
        <f aca="false">(F1695+F1698)*(F1701-Pressupostos!$C$72)/365+F1697*F1702/365</f>
        <v>0.306164383561644</v>
      </c>
      <c r="G1716" s="63" t="n">
        <f aca="false">(G1695+G1698)*(G1701-Pressupostos!$C$72)/365+G1697*G1702/365</f>
        <v>0.306164383561644</v>
      </c>
      <c r="H1716" s="2" t="s">
        <v>1258</v>
      </c>
    </row>
    <row r="1717" customFormat="false" ht="15" hidden="false" customHeight="false" outlineLevel="0" collapsed="false">
      <c r="A1717" s="3" t="s">
        <v>1259</v>
      </c>
      <c r="B1717" s="4"/>
      <c r="C1717" s="4"/>
      <c r="D1717" s="4"/>
      <c r="E1717" s="4"/>
      <c r="F1717" s="4"/>
      <c r="G1717" s="4"/>
      <c r="H1717" s="4"/>
    </row>
    <row r="1718" customFormat="false" ht="15" hidden="false" customHeight="false" outlineLevel="1" collapsed="false">
      <c r="A1718" s="7" t="s">
        <v>683</v>
      </c>
      <c r="B1718" s="8" t="s">
        <v>64</v>
      </c>
      <c r="C1718" s="63" t="n">
        <f aca="false">Pressupostos!$C$64*Pressupostos!$D$10</f>
        <v>0.02625</v>
      </c>
      <c r="D1718" s="63" t="n">
        <f aca="false">Pressupostos!$C$64*Pressupostos!$D$10</f>
        <v>0.02625</v>
      </c>
      <c r="E1718" s="63" t="n">
        <f aca="false">Pressupostos!$C$64*Pressupostos!$D$10</f>
        <v>0.02625</v>
      </c>
      <c r="F1718" s="63" t="n">
        <f aca="false">Pressupostos!$C$64*Pressupostos!$D$10</f>
        <v>0.02625</v>
      </c>
      <c r="G1718" s="63" t="n">
        <f aca="false">Pressupostos!$C$64*Pressupostos!$D$10</f>
        <v>0.02625</v>
      </c>
      <c r="H1718" s="2" t="s">
        <v>1260</v>
      </c>
    </row>
    <row r="1719" customFormat="false" ht="15" hidden="false" customHeight="false" outlineLevel="1" collapsed="false">
      <c r="A1719" s="7" t="s">
        <v>684</v>
      </c>
      <c r="B1719" s="8" t="s">
        <v>64</v>
      </c>
      <c r="C1719" s="63" t="n">
        <f aca="false">C1708+C1705+C1709</f>
        <v>0.019</v>
      </c>
      <c r="D1719" s="63" t="n">
        <f aca="false">D1708+D1705+D1709</f>
        <v>0.019</v>
      </c>
      <c r="E1719" s="63" t="n">
        <f aca="false">E1708+E1705+E1709</f>
        <v>0.019</v>
      </c>
      <c r="F1719" s="63" t="n">
        <f aca="false">F1708+F1705+F1709</f>
        <v>0.019</v>
      </c>
      <c r="G1719" s="63" t="n">
        <f aca="false">G1708+G1705+G1709</f>
        <v>0.019</v>
      </c>
      <c r="H1719" s="2" t="s">
        <v>1261</v>
      </c>
    </row>
    <row r="1720" customFormat="false" ht="15" hidden="false" customHeight="false" outlineLevel="1" collapsed="false">
      <c r="A1720" s="56" t="s">
        <v>561</v>
      </c>
      <c r="B1720" s="57" t="s">
        <v>64</v>
      </c>
      <c r="C1720" s="68" t="n">
        <f aca="false">C1718-C1719</f>
        <v>0.00725</v>
      </c>
      <c r="D1720" s="68" t="n">
        <f aca="false">D1718-D1719</f>
        <v>0.00725</v>
      </c>
      <c r="E1720" s="68" t="n">
        <f aca="false">E1718-E1719</f>
        <v>0.00725</v>
      </c>
      <c r="F1720" s="68" t="n">
        <f aca="false">F1718-F1719</f>
        <v>0.00725</v>
      </c>
      <c r="G1720" s="68" t="n">
        <f aca="false">G1718-G1719</f>
        <v>0.00725</v>
      </c>
      <c r="H1720" s="2" t="s">
        <v>1262</v>
      </c>
    </row>
    <row r="1721" customFormat="false" ht="15" hidden="false" customHeight="false" outlineLevel="0" collapsed="false">
      <c r="A1721" s="3" t="s">
        <v>1263</v>
      </c>
      <c r="B1721" s="4"/>
      <c r="C1721" s="4"/>
      <c r="D1721" s="4"/>
      <c r="E1721" s="4"/>
      <c r="F1721" s="4"/>
      <c r="G1721" s="4"/>
      <c r="H1721" s="4"/>
    </row>
    <row r="1722" customFormat="false" ht="15" hidden="false" customHeight="false" outlineLevel="1" collapsed="false">
      <c r="A1722" s="7" t="s">
        <v>608</v>
      </c>
      <c r="B1722" s="8" t="s">
        <v>11</v>
      </c>
      <c r="C1722" s="61" t="n">
        <f aca="false">C1631*1000*C1651</f>
        <v>39550</v>
      </c>
      <c r="D1722" s="61" t="n">
        <f aca="false">D1631*1000*D1651</f>
        <v>182918.75</v>
      </c>
      <c r="E1722" s="61" t="n">
        <f aca="false">E1631*1000*E1651</f>
        <v>657518.75</v>
      </c>
      <c r="F1722" s="61" t="n">
        <f aca="false">F1631*1000*F1651</f>
        <v>1319981.25</v>
      </c>
      <c r="G1722" s="61" t="n">
        <f aca="false">G1631*1000*G1651</f>
        <v>2026937.5</v>
      </c>
      <c r="H1722" s="2" t="s">
        <v>1264</v>
      </c>
    </row>
    <row r="1723" customFormat="false" ht="15" hidden="false" customHeight="false" outlineLevel="1" collapsed="false">
      <c r="A1723" s="7" t="s">
        <v>609</v>
      </c>
      <c r="B1723" s="8" t="s">
        <v>11</v>
      </c>
      <c r="C1723" s="61" t="n">
        <f aca="false">C1632*1000*C1674</f>
        <v>226200</v>
      </c>
      <c r="D1723" s="61" t="n">
        <f aca="false">D1632*1000*D1674</f>
        <v>1579050</v>
      </c>
      <c r="E1723" s="61" t="n">
        <f aca="false">E1632*1000*E1674</f>
        <v>3118950</v>
      </c>
      <c r="F1723" s="61" t="n">
        <f aca="false">F1632*1000*F1674</f>
        <v>5146050</v>
      </c>
      <c r="G1723" s="61" t="n">
        <f aca="false">G1632*1000*G1674</f>
        <v>7786500</v>
      </c>
      <c r="H1723" s="2" t="s">
        <v>1265</v>
      </c>
    </row>
    <row r="1724" customFormat="false" ht="15" hidden="false" customHeight="false" outlineLevel="1" collapsed="false">
      <c r="A1724" s="7" t="s">
        <v>610</v>
      </c>
      <c r="B1724" s="8" t="s">
        <v>11</v>
      </c>
      <c r="C1724" s="61" t="n">
        <f aca="false">C1634*1000*C1697</f>
        <v>0</v>
      </c>
      <c r="D1724" s="61" t="n">
        <f aca="false">D1634*1000*D1697</f>
        <v>0</v>
      </c>
      <c r="E1724" s="61" t="n">
        <f aca="false">E1634*1000*E1697</f>
        <v>0</v>
      </c>
      <c r="F1724" s="61" t="n">
        <f aca="false">F1634*1000*F1697</f>
        <v>0</v>
      </c>
      <c r="G1724" s="61" t="n">
        <f aca="false">G1634*1000*G1697</f>
        <v>0</v>
      </c>
      <c r="H1724" s="2" t="s">
        <v>1266</v>
      </c>
    </row>
    <row r="1725" customFormat="false" ht="15" hidden="false" customHeight="false" outlineLevel="1" collapsed="false">
      <c r="A1725" s="7" t="s">
        <v>611</v>
      </c>
      <c r="B1725" s="8" t="s">
        <v>11</v>
      </c>
      <c r="C1725" s="61" t="n">
        <f aca="false">C1722+C1723+C1724</f>
        <v>265750</v>
      </c>
      <c r="D1725" s="61" t="n">
        <f aca="false">D1722+D1723+D1724</f>
        <v>1761968.75</v>
      </c>
      <c r="E1725" s="61" t="n">
        <f aca="false">E1722+E1723+E1724</f>
        <v>3776468.75</v>
      </c>
      <c r="F1725" s="61" t="n">
        <f aca="false">F1722+F1723+F1724</f>
        <v>6466031.25</v>
      </c>
      <c r="G1725" s="61" t="n">
        <f aca="false">G1722+G1723+G1724</f>
        <v>9813437.5</v>
      </c>
      <c r="H1725" s="2" t="s">
        <v>1267</v>
      </c>
    </row>
    <row r="1726" customFormat="false" ht="15" hidden="false" customHeight="false" outlineLevel="1" collapsed="false">
      <c r="A1726" s="7" t="s">
        <v>612</v>
      </c>
      <c r="B1726" s="8" t="s">
        <v>11</v>
      </c>
      <c r="C1726" s="61" t="n">
        <f aca="false">C1644*1000*Pressupostos!$C$93</f>
        <v>0</v>
      </c>
      <c r="D1726" s="61" t="n">
        <f aca="false">D1644*1000*Pressupostos!$C$93</f>
        <v>0</v>
      </c>
      <c r="E1726" s="61" t="n">
        <f aca="false">E1644*1000*Pressupostos!$C$93</f>
        <v>235500</v>
      </c>
      <c r="F1726" s="61" t="n">
        <f aca="false">F1644*1000*Pressupostos!$C$93</f>
        <v>471000</v>
      </c>
      <c r="G1726" s="61" t="n">
        <f aca="false">G1644*1000*Pressupostos!$C$93</f>
        <v>785000</v>
      </c>
      <c r="H1726" s="2" t="s">
        <v>1268</v>
      </c>
    </row>
    <row r="1727" customFormat="false" ht="15" hidden="false" customHeight="false" outlineLevel="1" collapsed="false">
      <c r="A1727" s="2" t="s">
        <v>613</v>
      </c>
      <c r="B1727" s="8" t="s">
        <v>11</v>
      </c>
      <c r="C1727" s="61" t="n">
        <f aca="false">C1642*Pressupostos!$C$80*(1-Pressupostos!$C$81)</f>
        <v>40500</v>
      </c>
      <c r="D1727" s="61" t="n">
        <f aca="false">D1642*Pressupostos!$C$80*(1-Pressupostos!$C$81)</f>
        <v>162000</v>
      </c>
      <c r="E1727" s="61" t="n">
        <f aca="false">E1642*Pressupostos!$C$80*(1-Pressupostos!$C$81)</f>
        <v>270000</v>
      </c>
      <c r="F1727" s="61" t="n">
        <f aca="false">F1642*Pressupostos!$C$80*(1-Pressupostos!$C$81)</f>
        <v>378000</v>
      </c>
      <c r="G1727" s="61" t="n">
        <f aca="false">G1642*Pressupostos!$C$80*(1-Pressupostos!$C$81)</f>
        <v>486000</v>
      </c>
      <c r="H1727" s="2" t="s">
        <v>1269</v>
      </c>
    </row>
    <row r="1728" customFormat="false" ht="15" hidden="false" customHeight="false" outlineLevel="1" collapsed="false">
      <c r="A1728" s="7" t="s">
        <v>614</v>
      </c>
      <c r="B1728" s="8" t="s">
        <v>11</v>
      </c>
      <c r="C1728" s="61" t="n">
        <f aca="false">C1727*Pressupostos!$D$27</f>
        <v>810</v>
      </c>
      <c r="D1728" s="61" t="n">
        <f aca="false">D1727*Pressupostos!$D$27</f>
        <v>3240</v>
      </c>
      <c r="E1728" s="61" t="n">
        <f aca="false">E1727*Pressupostos!$D$27</f>
        <v>5400</v>
      </c>
      <c r="F1728" s="61" t="n">
        <f aca="false">F1727*Pressupostos!$D$27</f>
        <v>7560</v>
      </c>
      <c r="G1728" s="61" t="n">
        <f aca="false">G1727*Pressupostos!$D$27</f>
        <v>9720</v>
      </c>
      <c r="H1728" s="2" t="s">
        <v>1270</v>
      </c>
    </row>
    <row r="1729" customFormat="false" ht="15" hidden="false" customHeight="false" outlineLevel="1" collapsed="false">
      <c r="A1729" s="7" t="s">
        <v>615</v>
      </c>
      <c r="B1729" s="8" t="s">
        <v>11</v>
      </c>
      <c r="C1729" s="61" t="n">
        <f aca="false">C1635*1000*C1718</f>
        <v>0</v>
      </c>
      <c r="D1729" s="61" t="n">
        <f aca="false">D1635*1000*D1718</f>
        <v>0</v>
      </c>
      <c r="E1729" s="61" t="n">
        <f aca="false">E1635*1000*E1718</f>
        <v>0</v>
      </c>
      <c r="F1729" s="61" t="n">
        <f aca="false">F1635*1000*F1718</f>
        <v>0</v>
      </c>
      <c r="G1729" s="61" t="n">
        <f aca="false">G1635*1000*G1718</f>
        <v>0</v>
      </c>
      <c r="H1729" s="2" t="s">
        <v>1271</v>
      </c>
    </row>
    <row r="1730" customFormat="false" ht="15" hidden="false" customHeight="false" outlineLevel="1" collapsed="false">
      <c r="A1730" s="7" t="s">
        <v>616</v>
      </c>
      <c r="B1730" s="8" t="s">
        <v>11</v>
      </c>
      <c r="C1730" s="61" t="n">
        <f aca="false">C1646*(Pressupostos!$C$101*Pressupostos!$C$102+Pressupostos!$C$103)</f>
        <v>0</v>
      </c>
      <c r="D1730" s="61" t="n">
        <f aca="false">D1646*(Pressupostos!$C$101*Pressupostos!$C$102+Pressupostos!$C$103)</f>
        <v>10000</v>
      </c>
      <c r="E1730" s="61" t="n">
        <f aca="false">E1646*(Pressupostos!$C$101*Pressupostos!$C$102+Pressupostos!$C$103)</f>
        <v>30000</v>
      </c>
      <c r="F1730" s="61" t="n">
        <f aca="false">F1646*(Pressupostos!$C$101*Pressupostos!$C$102+Pressupostos!$C$103)</f>
        <v>60000</v>
      </c>
      <c r="G1730" s="61" t="n">
        <f aca="false">G1646*(Pressupostos!$C$101*Pressupostos!$C$102+Pressupostos!$C$103)</f>
        <v>100000</v>
      </c>
      <c r="H1730" s="2" t="s">
        <v>1272</v>
      </c>
    </row>
    <row r="1731" customFormat="false" ht="15" hidden="false" customHeight="false" outlineLevel="1" collapsed="false">
      <c r="A1731" s="7" t="s">
        <v>617</v>
      </c>
      <c r="B1731" s="8" t="s">
        <v>11</v>
      </c>
      <c r="C1731" s="53" t="n">
        <f aca="false">Pressupostos!$C$275</f>
        <v>0</v>
      </c>
      <c r="D1731" s="53" t="n">
        <f aca="false">Pressupostos!$D$275</f>
        <v>0</v>
      </c>
      <c r="E1731" s="53" t="n">
        <f aca="false">Pressupostos!$E$275</f>
        <v>0</v>
      </c>
      <c r="F1731" s="53" t="n">
        <f aca="false">Pressupostos!$F$275</f>
        <v>10000</v>
      </c>
      <c r="G1731" s="53" t="n">
        <f aca="false">Pressupostos!$G$275</f>
        <v>30000</v>
      </c>
      <c r="H1731" s="2" t="s">
        <v>1273</v>
      </c>
    </row>
    <row r="1732" customFormat="false" ht="15" hidden="false" customHeight="false" outlineLevel="1" collapsed="false">
      <c r="A1732" s="56" t="s">
        <v>618</v>
      </c>
      <c r="B1732" s="57" t="s">
        <v>11</v>
      </c>
      <c r="C1732" s="62" t="n">
        <f aca="false">C1725+C1726+C1728+C1729+C1730+C1731</f>
        <v>266560</v>
      </c>
      <c r="D1732" s="62" t="n">
        <f aca="false">D1725+D1726+D1728+D1729+D1730+D1731</f>
        <v>1775208.75</v>
      </c>
      <c r="E1732" s="62" t="n">
        <f aca="false">E1725+E1726+E1728+E1729+E1730+E1731</f>
        <v>4047368.75</v>
      </c>
      <c r="F1732" s="62" t="n">
        <f aca="false">F1725+F1726+F1728+F1729+F1730+F1731</f>
        <v>7014591.25</v>
      </c>
      <c r="G1732" s="62" t="n">
        <f aca="false">G1725+G1726+G1728+G1729+G1730+G1731</f>
        <v>10738157.5</v>
      </c>
      <c r="H1732" s="2" t="s">
        <v>1274</v>
      </c>
    </row>
    <row r="1733" customFormat="false" ht="15" hidden="false" customHeight="false" outlineLevel="0" collapsed="false">
      <c r="A1733" s="3" t="s">
        <v>1275</v>
      </c>
      <c r="B1733" s="4"/>
      <c r="C1733" s="4"/>
      <c r="D1733" s="4"/>
      <c r="E1733" s="4"/>
      <c r="F1733" s="4"/>
      <c r="G1733" s="4"/>
      <c r="H1733" s="4"/>
    </row>
    <row r="1734" customFormat="false" ht="15" hidden="false" customHeight="false" outlineLevel="1" collapsed="false">
      <c r="A1734" s="2" t="s">
        <v>620</v>
      </c>
      <c r="B1734" s="8" t="s">
        <v>11</v>
      </c>
      <c r="C1734" s="61" t="n">
        <f aca="false">C1635*1000*Pressupostos!$D$10</f>
        <v>0</v>
      </c>
      <c r="D1734" s="61" t="n">
        <f aca="false">D1635*1000*Pressupostos!$D$10</f>
        <v>0</v>
      </c>
      <c r="E1734" s="61" t="n">
        <f aca="false">E1635*1000*Pressupostos!$D$10</f>
        <v>0</v>
      </c>
      <c r="F1734" s="61" t="n">
        <f aca="false">F1635*1000*Pressupostos!$D$10</f>
        <v>0</v>
      </c>
      <c r="G1734" s="61" t="n">
        <f aca="false">G1635*1000*Pressupostos!$D$10</f>
        <v>0</v>
      </c>
      <c r="H1734" s="2" t="s">
        <v>1276</v>
      </c>
    </row>
    <row r="1735" customFormat="false" ht="15" hidden="false" customHeight="false" outlineLevel="1" collapsed="false">
      <c r="A1735" s="56" t="s">
        <v>621</v>
      </c>
      <c r="B1735" s="57" t="s">
        <v>11</v>
      </c>
      <c r="C1735" s="62" t="n">
        <f aca="false">C1725+C1726+C1727+C1734</f>
        <v>306250</v>
      </c>
      <c r="D1735" s="62" t="n">
        <f aca="false">D1725+D1726+D1727+D1734</f>
        <v>1923968.75</v>
      </c>
      <c r="E1735" s="62" t="n">
        <f aca="false">E1725+E1726+E1727+E1734</f>
        <v>4281968.75</v>
      </c>
      <c r="F1735" s="62" t="n">
        <f aca="false">F1725+F1726+F1727+F1734</f>
        <v>7315031.25</v>
      </c>
      <c r="G1735" s="62" t="n">
        <f aca="false">G1725+G1726+G1727+G1734</f>
        <v>11084437.5</v>
      </c>
      <c r="H1735" s="2" t="s">
        <v>1277</v>
      </c>
    </row>
    <row r="1736" customFormat="false" ht="15" hidden="false" customHeight="false" outlineLevel="1" collapsed="false">
      <c r="A1736" s="7" t="s">
        <v>622</v>
      </c>
      <c r="B1736" s="8" t="s">
        <v>11</v>
      </c>
      <c r="C1736" s="61" t="n">
        <f aca="false">C1735-C1734-C1724</f>
        <v>306250</v>
      </c>
      <c r="D1736" s="61" t="n">
        <f aca="false">D1735-D1734-D1724</f>
        <v>1923968.75</v>
      </c>
      <c r="E1736" s="61" t="n">
        <f aca="false">E1735-E1734-E1724</f>
        <v>4281968.75</v>
      </c>
      <c r="F1736" s="61" t="n">
        <f aca="false">F1735-F1734-F1724</f>
        <v>7315031.25</v>
      </c>
      <c r="G1736" s="61" t="n">
        <f aca="false">G1735-G1734-G1724</f>
        <v>11084437.5</v>
      </c>
      <c r="H1736" s="2" t="s">
        <v>1278</v>
      </c>
    </row>
    <row r="1737" customFormat="false" ht="15" hidden="false" customHeight="false" outlineLevel="1" collapsed="false">
      <c r="A1737" s="7" t="s">
        <v>623</v>
      </c>
      <c r="B1737" s="8" t="s">
        <v>11</v>
      </c>
      <c r="C1737" s="61" t="n">
        <f aca="false">C1631*1000*(C1649+C1652)+C1632*1000*(C1672+C1675)+C1634*1000*(C1695+C1698)+C1644*1000*Pressupostos!$C$92</f>
        <v>243800</v>
      </c>
      <c r="D1737" s="61" t="n">
        <f aca="false">D1631*1000*(D1649+D1652)+D1632*1000*(D1672+D1675)+D1634*1000*(D1695+D1698)+D1644*1000*Pressupostos!$C$92</f>
        <v>1623700</v>
      </c>
      <c r="E1737" s="61" t="n">
        <f aca="false">E1631*1000*(E1649+E1652)+E1632*1000*(E1672+E1675)+E1634*1000*(E1695+E1698)+E1644*1000*Pressupostos!$C$92</f>
        <v>3665800</v>
      </c>
      <c r="F1737" s="61" t="n">
        <f aca="false">F1631*1000*(F1649+F1652)+F1632*1000*(F1672+F1675)+F1634*1000*(F1695+F1698)+F1644*1000*Pressupostos!$C$92</f>
        <v>6319200</v>
      </c>
      <c r="G1737" s="61" t="n">
        <f aca="false">G1631*1000*(G1649+G1652)+G1632*1000*(G1672+G1675)+G1634*1000*(G1695+G1698)+G1644*1000*Pressupostos!$C$92</f>
        <v>9651000</v>
      </c>
      <c r="H1737" s="2" t="s">
        <v>1279</v>
      </c>
    </row>
    <row r="1738" customFormat="false" ht="15" hidden="false" customHeight="false" outlineLevel="1" collapsed="false">
      <c r="A1738" s="7" t="s">
        <v>624</v>
      </c>
      <c r="B1738" s="8" t="s">
        <v>11</v>
      </c>
      <c r="C1738" s="61" t="n">
        <f aca="false">C1737*Pressupostos!$C$282</f>
        <v>0</v>
      </c>
      <c r="D1738" s="61" t="n">
        <f aca="false">D1737*Pressupostos!$D$282</f>
        <v>1461330</v>
      </c>
      <c r="E1738" s="61" t="n">
        <f aca="false">E1737*Pressupostos!$E$282</f>
        <v>3299220</v>
      </c>
      <c r="F1738" s="61" t="n">
        <f aca="false">F1737*Pressupostos!$F$282</f>
        <v>5687280</v>
      </c>
      <c r="G1738" s="61" t="n">
        <f aca="false">G1737*Pressupostos!$G$282</f>
        <v>8685900</v>
      </c>
      <c r="H1738" s="2" t="s">
        <v>1280</v>
      </c>
    </row>
    <row r="1739" customFormat="false" ht="15" hidden="false" customHeight="false" outlineLevel="0" collapsed="false">
      <c r="A1739" s="3" t="s">
        <v>1281</v>
      </c>
      <c r="B1739" s="4"/>
      <c r="C1739" s="4"/>
      <c r="D1739" s="4"/>
      <c r="E1739" s="4"/>
      <c r="F1739" s="4"/>
      <c r="G1739" s="4"/>
      <c r="H1739" s="4"/>
    </row>
    <row r="1740" customFormat="false" ht="15" hidden="false" customHeight="false" outlineLevel="1" collapsed="false">
      <c r="A1740" s="7" t="s">
        <v>626</v>
      </c>
      <c r="B1740" s="8" t="s">
        <v>11</v>
      </c>
      <c r="C1740" s="61" t="n">
        <f aca="false">C1631*1000*C1668</f>
        <v>1604.29452054796</v>
      </c>
      <c r="D1740" s="61" t="n">
        <f aca="false">D1631*1000*D1668</f>
        <v>415.458047945266</v>
      </c>
      <c r="E1740" s="61" t="n">
        <f aca="false">E1631*1000*E1668</f>
        <v>27495.518150685</v>
      </c>
      <c r="F1740" s="61" t="n">
        <f aca="false">F1631*1000*F1668</f>
        <v>58721.5751712331</v>
      </c>
      <c r="G1740" s="61" t="n">
        <f aca="false">G1631*1000*G1668</f>
        <v>90171.7071917812</v>
      </c>
      <c r="H1740" s="2" t="s">
        <v>1282</v>
      </c>
    </row>
    <row r="1741" customFormat="false" ht="15" hidden="false" customHeight="false" outlineLevel="1" collapsed="false">
      <c r="A1741" s="7" t="s">
        <v>627</v>
      </c>
      <c r="B1741" s="8" t="s">
        <v>11</v>
      </c>
      <c r="C1741" s="61" t="n">
        <f aca="false">C1632*1000*C1691</f>
        <v>5010.62739726033</v>
      </c>
      <c r="D1741" s="61" t="n">
        <f aca="false">D1632*1000*D1691</f>
        <v>18665.410273973</v>
      </c>
      <c r="E1741" s="61" t="n">
        <f aca="false">E1632*1000*E1691</f>
        <v>46051.8418664388</v>
      </c>
      <c r="F1741" s="61" t="n">
        <f aca="false">F1632*1000*F1691</f>
        <v>79304.9573630142</v>
      </c>
      <c r="G1741" s="61" t="n">
        <f aca="false">G1632*1000*G1691</f>
        <v>119996.511986302</v>
      </c>
      <c r="H1741" s="2" t="s">
        <v>1283</v>
      </c>
    </row>
    <row r="1742" customFormat="false" ht="15" hidden="false" customHeight="false" outlineLevel="1" collapsed="false">
      <c r="A1742" s="7" t="s">
        <v>628</v>
      </c>
      <c r="B1742" s="8" t="s">
        <v>11</v>
      </c>
      <c r="C1742" s="61" t="n">
        <f aca="false">C1634*1000*C1714+C1635*1000*C1720</f>
        <v>0</v>
      </c>
      <c r="D1742" s="61" t="n">
        <f aca="false">D1634*1000*D1714+D1635*1000*D1720</f>
        <v>0</v>
      </c>
      <c r="E1742" s="61" t="n">
        <f aca="false">E1634*1000*E1714+E1635*1000*E1720</f>
        <v>0</v>
      </c>
      <c r="F1742" s="61" t="n">
        <f aca="false">F1634*1000*F1714+F1635*1000*F1720</f>
        <v>0</v>
      </c>
      <c r="G1742" s="61" t="n">
        <f aca="false">G1634*1000*G1714+G1635*1000*G1720</f>
        <v>0</v>
      </c>
      <c r="H1742" s="2" t="s">
        <v>1284</v>
      </c>
    </row>
    <row r="1743" customFormat="false" ht="15" hidden="false" customHeight="false" outlineLevel="1" collapsed="false">
      <c r="A1743" s="7" t="s">
        <v>629</v>
      </c>
      <c r="B1743" s="8" t="s">
        <v>11</v>
      </c>
      <c r="C1743" s="61" t="n">
        <f aca="false">C1740+C1741+C1742</f>
        <v>6614.92191780829</v>
      </c>
      <c r="D1743" s="61" t="n">
        <f aca="false">D1740+D1741+D1742</f>
        <v>19080.8683219183</v>
      </c>
      <c r="E1743" s="61" t="n">
        <f aca="false">E1740+E1741+E1742</f>
        <v>73547.3600171238</v>
      </c>
      <c r="F1743" s="61" t="n">
        <f aca="false">F1740+F1741+F1742</f>
        <v>138026.532534247</v>
      </c>
      <c r="G1743" s="61" t="n">
        <f aca="false">G1740+G1741+G1742</f>
        <v>210168.219178083</v>
      </c>
      <c r="H1743" s="2" t="s">
        <v>1285</v>
      </c>
    </row>
    <row r="1744" customFormat="false" ht="15" hidden="false" customHeight="false" outlineLevel="1" collapsed="false">
      <c r="A1744" s="7" t="s">
        <v>630</v>
      </c>
      <c r="B1744" s="8" t="s">
        <v>64</v>
      </c>
      <c r="C1744" s="63" t="n">
        <f aca="false">IF(C1636&gt;0,C1743/(C1636*1000),0)</f>
        <v>0.110248698630138</v>
      </c>
      <c r="D1744" s="63" t="n">
        <f aca="false">IF(D1636&gt;0,D1743/(D1636*1000),0)</f>
        <v>0.0477021708047957</v>
      </c>
      <c r="E1744" s="63" t="n">
        <f aca="false">IF(E1636&gt;0,E1743/(E1636*1000),0)</f>
        <v>0.0865263059024986</v>
      </c>
      <c r="F1744" s="63" t="n">
        <f aca="false">IF(F1636&gt;0,F1743/(F1636*1000),0)</f>
        <v>0.0951907120925844</v>
      </c>
      <c r="G1744" s="63" t="n">
        <f aca="false">IF(G1636&gt;0,G1743/(G1636*1000),0)</f>
        <v>0.0955310087173106</v>
      </c>
      <c r="H1744" s="2" t="s">
        <v>1286</v>
      </c>
    </row>
    <row r="1745" customFormat="false" ht="15" hidden="false" customHeight="false" outlineLevel="1" collapsed="false">
      <c r="A1745" s="7" t="s">
        <v>631</v>
      </c>
      <c r="B1745" s="8" t="s">
        <v>76</v>
      </c>
      <c r="C1745" s="59" t="n">
        <f aca="false">IF(C1725&gt;0,C1743/C1725,0)</f>
        <v>0.0248915217979616</v>
      </c>
      <c r="D1745" s="59" t="n">
        <f aca="false">IF(D1725&gt;0,D1743/D1725,0)</f>
        <v>0.0108292887271232</v>
      </c>
      <c r="E1745" s="59" t="n">
        <f aca="false">IF(E1725&gt;0,E1743/E1725,0)</f>
        <v>0.0194751671166679</v>
      </c>
      <c r="F1745" s="59" t="n">
        <f aca="false">IF(F1725&gt;0,F1743/F1725,0)</f>
        <v>0.0213464066593008</v>
      </c>
      <c r="G1745" s="59" t="n">
        <f aca="false">IF(G1725&gt;0,G1743/G1725,0)</f>
        <v>0.0214163710909743</v>
      </c>
      <c r="H1745" s="2" t="s">
        <v>1287</v>
      </c>
    </row>
    <row r="1746" customFormat="false" ht="15" hidden="false" customHeight="false" outlineLevel="1" collapsed="false">
      <c r="A1746" s="2" t="s">
        <v>632</v>
      </c>
      <c r="B1746" s="8" t="s">
        <v>64</v>
      </c>
      <c r="C1746" s="63" t="n">
        <f aca="false">Pressupostos!$C$288*Pressupostos!$C$92*(Pressupostos!$C$95+Pressupostos!$C$96-Pressupostos!$C$97)/365*Pressupostos!$C$282/Pressupostos!$D$31</f>
        <v>0</v>
      </c>
      <c r="D1746" s="63" t="n">
        <f aca="false">Pressupostos!$D$288*Pressupostos!$C$92*(Pressupostos!$C$95+Pressupostos!$C$96-Pressupostos!$C$97)/365*Pressupostos!$D$282/Pressupostos!$D$31</f>
        <v>0.0776712328767123</v>
      </c>
      <c r="E1746" s="63" t="n">
        <f aca="false">Pressupostos!$E$288*Pressupostos!$C$92*(Pressupostos!$C$95+Pressupostos!$C$96-Pressupostos!$C$97)/365*Pressupostos!$E$282/Pressupostos!$D$31</f>
        <v>0.0728167808219178</v>
      </c>
      <c r="F1746" s="63" t="n">
        <f aca="false">Pressupostos!$F$288*Pressupostos!$C$92*(Pressupostos!$C$95+Pressupostos!$C$96-Pressupostos!$C$97)/365*Pressupostos!$F$282/Pressupostos!$D$31</f>
        <v>0.0679623287671233</v>
      </c>
      <c r="G1746" s="63" t="n">
        <f aca="false">Pressupostos!$G$288*Pressupostos!$C$92*(Pressupostos!$C$95+Pressupostos!$C$96-Pressupostos!$C$97)/365*Pressupostos!$G$282/Pressupostos!$D$31</f>
        <v>0.0679623287671233</v>
      </c>
      <c r="H1746" s="2" t="s">
        <v>1288</v>
      </c>
    </row>
    <row r="1747" customFormat="false" ht="15" hidden="false" customHeight="false" outlineLevel="1" collapsed="false">
      <c r="A1747" s="7" t="s">
        <v>600</v>
      </c>
      <c r="B1747" s="8" t="s">
        <v>11</v>
      </c>
      <c r="C1747" s="61" t="n">
        <f aca="false">C1644*1000*(Pressupostos!$C$93-Pressupostos!$C$92-Pressupostos!$C$94-C1746-Pressupostos!$C$98*Pressupostos!$C$93-Pressupostos!$C$99-Pressupostos!$D$29*Pressupostos!$C$92)</f>
        <v>0</v>
      </c>
      <c r="D1747" s="61" t="n">
        <f aca="false">D1644*1000*(Pressupostos!$C$93-Pressupostos!$C$92-Pressupostos!$C$94-D1746-Pressupostos!$C$98*Pressupostos!$C$93-Pressupostos!$C$99-Pressupostos!$D$29*Pressupostos!$C$92)</f>
        <v>0</v>
      </c>
      <c r="E1747" s="61" t="n">
        <f aca="false">E1644*1000*(Pressupostos!$C$93-Pressupostos!$C$92-Pressupostos!$C$94-E1746-Pressupostos!$C$98*Pressupostos!$C$93-Pressupostos!$C$99-Pressupostos!$D$29*Pressupostos!$C$92)</f>
        <v>16502.4965753425</v>
      </c>
      <c r="F1747" s="61" t="n">
        <f aca="false">F1644*1000*(Pressupostos!$C$93-Pressupostos!$C$92-Pressupostos!$C$94-F1746-Pressupostos!$C$98*Pressupostos!$C$93-Pressupostos!$C$99-Pressupostos!$D$29*Pressupostos!$C$92)</f>
        <v>33296.2602739726</v>
      </c>
      <c r="G1747" s="61" t="n">
        <f aca="false">G1644*1000*(Pressupostos!$C$93-Pressupostos!$C$92-Pressupostos!$C$94-G1746-Pressupostos!$C$98*Pressupostos!$C$93-Pressupostos!$C$99-Pressupostos!$D$29*Pressupostos!$C$92)</f>
        <v>55493.7671232876</v>
      </c>
      <c r="H1747" s="2" t="s">
        <v>1289</v>
      </c>
    </row>
    <row r="1748" customFormat="false" ht="15" hidden="false" customHeight="false" outlineLevel="1" collapsed="false">
      <c r="A1748" s="7" t="s">
        <v>633</v>
      </c>
      <c r="B1748" s="8" t="s">
        <v>11</v>
      </c>
      <c r="C1748" s="61" t="n">
        <f aca="false">C1728</f>
        <v>810</v>
      </c>
      <c r="D1748" s="61" t="n">
        <f aca="false">D1728</f>
        <v>3240</v>
      </c>
      <c r="E1748" s="61" t="n">
        <f aca="false">E1728</f>
        <v>5400</v>
      </c>
      <c r="F1748" s="61" t="n">
        <f aca="false">F1728</f>
        <v>7560</v>
      </c>
      <c r="G1748" s="61" t="n">
        <f aca="false">G1728</f>
        <v>9720</v>
      </c>
      <c r="H1748" s="2" t="s">
        <v>1290</v>
      </c>
    </row>
    <row r="1749" customFormat="false" ht="15" hidden="false" customHeight="false" outlineLevel="1" collapsed="false">
      <c r="A1749" s="7" t="s">
        <v>634</v>
      </c>
      <c r="B1749" s="8" t="s">
        <v>11</v>
      </c>
      <c r="C1749" s="61" t="n">
        <f aca="false">C1730-C1764</f>
        <v>0</v>
      </c>
      <c r="D1749" s="61" t="n">
        <f aca="false">D1730-D1764</f>
        <v>1771.42857142857</v>
      </c>
      <c r="E1749" s="61" t="n">
        <f aca="false">E1730-E1764</f>
        <v>5314.28571428572</v>
      </c>
      <c r="F1749" s="61" t="n">
        <f aca="false">F1730-F1764</f>
        <v>10628.5714285714</v>
      </c>
      <c r="G1749" s="61" t="n">
        <f aca="false">G1730-G1764</f>
        <v>17714.2857142857</v>
      </c>
      <c r="H1749" s="2" t="s">
        <v>1291</v>
      </c>
    </row>
    <row r="1750" customFormat="false" ht="15" hidden="false" customHeight="false" outlineLevel="1" collapsed="false">
      <c r="A1750" s="7" t="s">
        <v>617</v>
      </c>
      <c r="B1750" s="8" t="s">
        <v>11</v>
      </c>
      <c r="C1750" s="61" t="n">
        <f aca="false">C1731</f>
        <v>0</v>
      </c>
      <c r="D1750" s="61" t="n">
        <f aca="false">D1731</f>
        <v>0</v>
      </c>
      <c r="E1750" s="61" t="n">
        <f aca="false">E1731</f>
        <v>0</v>
      </c>
      <c r="F1750" s="61" t="n">
        <f aca="false">F1731</f>
        <v>10000</v>
      </c>
      <c r="G1750" s="61" t="n">
        <f aca="false">G1731</f>
        <v>30000</v>
      </c>
      <c r="H1750" s="2" t="s">
        <v>1292</v>
      </c>
    </row>
    <row r="1751" customFormat="false" ht="15" hidden="false" customHeight="false" outlineLevel="1" collapsed="false">
      <c r="A1751" s="56" t="s">
        <v>635</v>
      </c>
      <c r="B1751" s="57" t="s">
        <v>11</v>
      </c>
      <c r="C1751" s="62" t="n">
        <f aca="false">C1743+C1747+C1748+C1749+C1750</f>
        <v>7424.92191780829</v>
      </c>
      <c r="D1751" s="62" t="n">
        <f aca="false">D1743+D1747+D1748+D1749+D1750</f>
        <v>24092.2968933468</v>
      </c>
      <c r="E1751" s="62" t="n">
        <f aca="false">E1743+E1747+E1748+E1749+E1750</f>
        <v>100764.142306752</v>
      </c>
      <c r="F1751" s="62" t="n">
        <f aca="false">F1743+F1747+F1748+F1749+F1750</f>
        <v>199511.364236791</v>
      </c>
      <c r="G1751" s="62" t="n">
        <f aca="false">G1743+G1747+G1748+G1749+G1750</f>
        <v>323096.272015657</v>
      </c>
      <c r="H1751" s="2" t="s">
        <v>1293</v>
      </c>
    </row>
    <row r="1752" customFormat="false" ht="15" hidden="false" customHeight="false" outlineLevel="0" collapsed="false">
      <c r="A1752" s="3" t="s">
        <v>1294</v>
      </c>
      <c r="B1752" s="4"/>
      <c r="C1752" s="4"/>
      <c r="D1752" s="4"/>
      <c r="E1752" s="4"/>
      <c r="F1752" s="4"/>
      <c r="G1752" s="4"/>
      <c r="H1752" s="4"/>
    </row>
    <row r="1753" customFormat="false" ht="15" hidden="false" customHeight="false" outlineLevel="1" collapsed="false">
      <c r="A1753" s="7" t="s">
        <v>686</v>
      </c>
      <c r="B1753" s="8" t="s">
        <v>11</v>
      </c>
      <c r="C1753" s="61" t="n">
        <f aca="false">C1631*1000*(C1649+C1652)+C1632*1000*(C1672+C1675)+C1634*1000*(C1695+C1698)</f>
        <v>243800</v>
      </c>
      <c r="D1753" s="61" t="n">
        <f aca="false">D1631*1000*(D1649+D1652)+D1632*1000*(D1672+D1675)+D1634*1000*(D1695+D1698)</f>
        <v>1623700</v>
      </c>
      <c r="E1753" s="61" t="n">
        <f aca="false">E1631*1000*(E1649+E1652)+E1632*1000*(E1672+E1675)+E1634*1000*(E1695+E1698)</f>
        <v>3455800</v>
      </c>
      <c r="F1753" s="61" t="n">
        <f aca="false">F1631*1000*(F1649+F1652)+F1632*1000*(F1672+F1675)+F1634*1000*(F1695+F1698)</f>
        <v>5899200</v>
      </c>
      <c r="G1753" s="61" t="n">
        <f aca="false">G1631*1000*(G1649+G1652)+G1632*1000*(G1672+G1675)+G1634*1000*(G1695+G1698)</f>
        <v>8951000</v>
      </c>
      <c r="H1753" s="2" t="s">
        <v>1295</v>
      </c>
    </row>
    <row r="1754" customFormat="false" ht="15" hidden="false" customHeight="false" outlineLevel="1" collapsed="false">
      <c r="A1754" s="7" t="s">
        <v>687</v>
      </c>
      <c r="B1754" s="8" t="s">
        <v>11</v>
      </c>
      <c r="C1754" s="61" t="n">
        <f aca="false">C1644*1000*Pressupostos!$C$92</f>
        <v>0</v>
      </c>
      <c r="D1754" s="61" t="n">
        <f aca="false">D1644*1000*Pressupostos!$C$92</f>
        <v>0</v>
      </c>
      <c r="E1754" s="61" t="n">
        <f aca="false">E1644*1000*Pressupostos!$C$92</f>
        <v>210000</v>
      </c>
      <c r="F1754" s="61" t="n">
        <f aca="false">F1644*1000*Pressupostos!$C$92</f>
        <v>420000</v>
      </c>
      <c r="G1754" s="61" t="n">
        <f aca="false">G1644*1000*Pressupostos!$C$92</f>
        <v>700000</v>
      </c>
      <c r="H1754" s="2" t="s">
        <v>1296</v>
      </c>
    </row>
    <row r="1755" customFormat="false" ht="15" hidden="false" customHeight="false" outlineLevel="1" collapsed="false">
      <c r="A1755" s="7" t="s">
        <v>688</v>
      </c>
      <c r="B1755" s="8" t="s">
        <v>11</v>
      </c>
      <c r="C1755" s="61" t="n">
        <f aca="false">C1753+C1754</f>
        <v>243800</v>
      </c>
      <c r="D1755" s="61" t="n">
        <f aca="false">D1753+D1754</f>
        <v>1623700</v>
      </c>
      <c r="E1755" s="61" t="n">
        <f aca="false">E1753+E1754</f>
        <v>3665800</v>
      </c>
      <c r="F1755" s="61" t="n">
        <f aca="false">F1753+F1754</f>
        <v>6319200</v>
      </c>
      <c r="G1755" s="61" t="n">
        <f aca="false">G1753+G1754</f>
        <v>9651000</v>
      </c>
      <c r="H1755" s="2" t="s">
        <v>1297</v>
      </c>
    </row>
    <row r="1756" customFormat="false" ht="15" hidden="false" customHeight="false" outlineLevel="1" collapsed="false">
      <c r="A1756" s="7" t="s">
        <v>215</v>
      </c>
      <c r="B1756" s="8" t="s">
        <v>11</v>
      </c>
      <c r="C1756" s="61" t="n">
        <f aca="false">C1631*1000*(C1653)+C1632*1000*(C1676)+C1634*1000*(C1699)+C1644*1000*Pressupostos!$C$94</f>
        <v>7600</v>
      </c>
      <c r="D1756" s="61" t="n">
        <f aca="false">D1631*1000*(D1653)+D1632*1000*(D1676)+D1634*1000*(D1699)+D1644*1000*Pressupostos!$C$94</f>
        <v>47400</v>
      </c>
      <c r="E1756" s="61" t="n">
        <f aca="false">E1631*1000*(E1653)+E1632*1000*(E1676)+E1634*1000*(E1699)+E1644*1000*Pressupostos!$C$94</f>
        <v>106270</v>
      </c>
      <c r="F1756" s="61" t="n">
        <f aca="false">F1631*1000*(F1653)+F1632*1000*(F1676)+F1634*1000*(F1699)+F1644*1000*Pressupostos!$C$94</f>
        <v>187560</v>
      </c>
      <c r="G1756" s="61" t="n">
        <f aca="false">G1631*1000*(G1653)+G1632*1000*(G1676)+G1634*1000*(G1699)+G1644*1000*Pressupostos!$C$94</f>
        <v>286800</v>
      </c>
      <c r="H1756" s="2" t="s">
        <v>1298</v>
      </c>
    </row>
    <row r="1757" customFormat="false" ht="15" hidden="false" customHeight="false" outlineLevel="1" collapsed="false">
      <c r="A1757" s="7" t="s">
        <v>117</v>
      </c>
      <c r="B1757" s="8" t="s">
        <v>11</v>
      </c>
      <c r="C1757" s="61" t="n">
        <f aca="false">C1631*1000*(C1654)+C1632*1000*(C1677)+C1634*1000*(C1700)</f>
        <v>480</v>
      </c>
      <c r="D1757" s="61" t="n">
        <f aca="false">D1631*1000*(D1654)+D1632*1000*(D1677)+D1634*1000*(D1700)</f>
        <v>2220</v>
      </c>
      <c r="E1757" s="61" t="n">
        <f aca="false">E1631*1000*(E1654)+E1632*1000*(E1677)+E1634*1000*(E1700)</f>
        <v>7980</v>
      </c>
      <c r="F1757" s="61" t="n">
        <f aca="false">F1631*1000*(F1654)+F1632*1000*(F1677)+F1634*1000*(F1700)</f>
        <v>16020</v>
      </c>
      <c r="G1757" s="61" t="n">
        <f aca="false">G1631*1000*(G1654)+G1632*1000*(G1677)+G1634*1000*(G1700)</f>
        <v>24600</v>
      </c>
      <c r="H1757" s="2" t="s">
        <v>1299</v>
      </c>
    </row>
    <row r="1758" customFormat="false" ht="15" hidden="false" customHeight="false" outlineLevel="1" collapsed="false">
      <c r="A1758" s="7" t="s">
        <v>689</v>
      </c>
      <c r="B1758" s="8" t="s">
        <v>11</v>
      </c>
      <c r="C1758" s="61" t="n">
        <f aca="false">C1631*1000*(C1657+C1658)+C1632*1000*(C1680+C1681)+C1634*1000*(C1703+C1704)</f>
        <v>459.178082191781</v>
      </c>
      <c r="D1758" s="61" t="n">
        <f aca="false">D1631*1000*(D1657+D1658)+D1632*1000*(D1680+D1681)+D1634*1000*(D1703+D1704)</f>
        <v>2686.19178082192</v>
      </c>
      <c r="E1758" s="61" t="n">
        <f aca="false">E1631*1000*(E1657+E1658)+E1632*1000*(E1680+E1681)+E1634*1000*(E1703+E1704)</f>
        <v>4208.36712328767</v>
      </c>
      <c r="F1758" s="61" t="n">
        <f aca="false">F1631*1000*(F1657+F1658)+F1632*1000*(F1680+F1681)+F1634*1000*(F1703+F1704)</f>
        <v>7271.08493150685</v>
      </c>
      <c r="G1758" s="61" t="n">
        <f aca="false">G1631*1000*(G1657+G1658)+G1632*1000*(G1680+G1681)+G1634*1000*(G1703+G1704)</f>
        <v>11043.2328767123</v>
      </c>
      <c r="H1758" s="2" t="s">
        <v>1300</v>
      </c>
    </row>
    <row r="1759" customFormat="false" ht="15" hidden="false" customHeight="false" outlineLevel="1" collapsed="false">
      <c r="A1759" s="7" t="s">
        <v>690</v>
      </c>
      <c r="B1759" s="8" t="s">
        <v>11</v>
      </c>
      <c r="C1759" s="61" t="n">
        <f aca="false">C1631*1000*(C1659+C1660+C1661)+C1632*1000*(C1682+C1683+C1684)+C1634*1000*(C1705+C1706+C1707)</f>
        <v>2660</v>
      </c>
      <c r="D1759" s="61" t="n">
        <f aca="false">D1631*1000*(D1659+D1660+D1661)+D1632*1000*(D1682+D1683+D1684)+D1634*1000*(D1705+D1706+D1707)</f>
        <v>17325</v>
      </c>
      <c r="E1759" s="61" t="n">
        <f aca="false">E1631*1000*(E1659+E1660+E1661)+E1632*1000*(E1682+E1683+E1684)+E1634*1000*(E1705+E1706+E1707)</f>
        <v>36379.5</v>
      </c>
      <c r="F1759" s="61" t="n">
        <f aca="false">F1631*1000*(F1659+F1660+F1661)+F1632*1000*(F1682+F1683+F1684)+F1634*1000*(F1705+F1706+F1707)</f>
        <v>62520.5</v>
      </c>
      <c r="G1759" s="61" t="n">
        <f aca="false">G1631*1000*(G1659+G1660+G1661)+G1632*1000*(G1682+G1683+G1684)+G1634*1000*(G1705+G1706+G1707)</f>
        <v>94915</v>
      </c>
      <c r="H1759" s="2" t="s">
        <v>1301</v>
      </c>
    </row>
    <row r="1760" customFormat="false" ht="15" hidden="false" customHeight="false" outlineLevel="1" collapsed="false">
      <c r="A1760" s="7" t="s">
        <v>673</v>
      </c>
      <c r="B1760" s="8" t="s">
        <v>11</v>
      </c>
      <c r="C1760" s="61" t="n">
        <f aca="false">C1631*1000*(C1662)+C1632*1000*(C1685)+C1634*1000*(C1708)</f>
        <v>2880</v>
      </c>
      <c r="D1760" s="61" t="n">
        <f aca="false">D1631*1000*(D1662)+D1632*1000*(D1685)+D1634*1000*(D1708)</f>
        <v>18220</v>
      </c>
      <c r="E1760" s="61" t="n">
        <f aca="false">E1631*1000*(E1662)+E1632*1000*(E1685)+E1634*1000*(E1708)</f>
        <v>41980</v>
      </c>
      <c r="F1760" s="61" t="n">
        <f aca="false">F1631*1000*(F1662)+F1632*1000*(F1685)+F1634*1000*(F1708)</f>
        <v>74020</v>
      </c>
      <c r="G1760" s="61" t="n">
        <f aca="false">G1631*1000*(G1662)+G1632*1000*(G1685)+G1634*1000*(G1708)</f>
        <v>112600</v>
      </c>
      <c r="H1760" s="2" t="s">
        <v>1302</v>
      </c>
    </row>
    <row r="1761" customFormat="false" ht="15" hidden="false" customHeight="false" outlineLevel="1" collapsed="false">
      <c r="A1761" s="7" t="s">
        <v>691</v>
      </c>
      <c r="B1761" s="8" t="s">
        <v>11</v>
      </c>
      <c r="C1761" s="61" t="n">
        <f aca="false">C1631*1000*(C1663)+C1632*1000*(C1686)+C1634*1000*(C1709)+C1644*1000*Pressupostos!$C$99</f>
        <v>340</v>
      </c>
      <c r="D1761" s="61" t="n">
        <f aca="false">D1631*1000*(D1663)+D1632*1000*(D1686)+D1634*1000*(D1709)+D1644*1000*Pressupostos!$C$99</f>
        <v>2185</v>
      </c>
      <c r="E1761" s="61" t="n">
        <f aca="false">E1631*1000*(E1663)+E1632*1000*(E1686)+E1634*1000*(E1709)+E1644*1000*Pressupostos!$C$99</f>
        <v>5815</v>
      </c>
      <c r="F1761" s="61" t="n">
        <f aca="false">F1631*1000*(F1663)+F1632*1000*(F1686)+F1634*1000*(F1709)+F1644*1000*Pressupostos!$C$99</f>
        <v>10385</v>
      </c>
      <c r="G1761" s="61" t="n">
        <f aca="false">G1631*1000*(G1663)+G1632*1000*(G1686)+G1634*1000*(G1709)+G1644*1000*Pressupostos!$C$99</f>
        <v>16050</v>
      </c>
      <c r="H1761" s="2" t="s">
        <v>1303</v>
      </c>
    </row>
    <row r="1762" customFormat="false" ht="15" hidden="false" customHeight="false" outlineLevel="1" collapsed="false">
      <c r="A1762" s="7" t="s">
        <v>81</v>
      </c>
      <c r="B1762" s="8" t="s">
        <v>11</v>
      </c>
      <c r="C1762" s="61" t="n">
        <f aca="false">C1631*1000*(C1664)+C1632*1000*(C1687)+C1634*1000*(C1710)+C1644*1000*Pressupostos!$C$98*Pressupostos!$C$93</f>
        <v>915.9</v>
      </c>
      <c r="D1762" s="61" t="n">
        <f aca="false">D1631*1000*(D1664)+D1632*1000*(D1687)+D1634*1000*(D1710)+D1644*1000*Pressupostos!$C$98*Pressupostos!$C$93</f>
        <v>5834.6625</v>
      </c>
      <c r="E1762" s="61" t="n">
        <f aca="false">E1631*1000*(E1664)+E1632*1000*(E1687)+E1634*1000*(E1710)+E1644*1000*Pressupostos!$C$98*Pressupostos!$C$93</f>
        <v>14714.9625</v>
      </c>
      <c r="F1762" s="61" t="n">
        <f aca="false">F1631*1000*(F1664)+F1632*1000*(F1687)+F1634*1000*(F1710)+F1644*1000*Pressupostos!$C$98*Pressupostos!$C$93</f>
        <v>26184.0375</v>
      </c>
      <c r="G1762" s="61" t="n">
        <f aca="false">G1631*1000*(G1664)+G1632*1000*(G1687)+G1634*1000*(G1710)+G1644*1000*Pressupostos!$C$98*Pressupostos!$C$93</f>
        <v>40231.125</v>
      </c>
      <c r="H1762" s="2" t="s">
        <v>1304</v>
      </c>
    </row>
    <row r="1763" customFormat="false" ht="15" hidden="false" customHeight="false" outlineLevel="1" collapsed="false">
      <c r="A1763" s="7" t="s">
        <v>692</v>
      </c>
      <c r="B1763" s="8" t="s">
        <v>11</v>
      </c>
      <c r="C1763" s="61" t="n">
        <f aca="false">C1631*1000*(C1665)+C1632*1000*(C1688)+C1634*1000*(C1711)+C1644*1000*Pressupostos!$D$29*Pressupostos!$C$92</f>
        <v>0</v>
      </c>
      <c r="D1763" s="61" t="n">
        <f aca="false">D1631*1000*(D1665)+D1632*1000*(D1688)+D1634*1000*(D1711)+D1644*1000*Pressupostos!$D$29*Pressupostos!$C$92</f>
        <v>0</v>
      </c>
      <c r="E1763" s="61" t="n">
        <f aca="false">E1631*1000*(E1665)+E1632*1000*(E1688)+E1634*1000*(E1711)+E1644*1000*Pressupostos!$D$29*Pressupostos!$C$92</f>
        <v>0</v>
      </c>
      <c r="F1763" s="61" t="n">
        <f aca="false">F1631*1000*(F1665)+F1632*1000*(F1688)+F1634*1000*(F1711)+F1644*1000*Pressupostos!$D$29*Pressupostos!$C$92</f>
        <v>0</v>
      </c>
      <c r="G1763" s="61" t="n">
        <f aca="false">G1631*1000*(G1665)+G1632*1000*(G1688)+G1634*1000*(G1711)+G1644*1000*Pressupostos!$D$29*Pressupostos!$C$92</f>
        <v>0</v>
      </c>
      <c r="H1763" s="2" t="s">
        <v>1305</v>
      </c>
    </row>
    <row r="1764" customFormat="false" ht="15" hidden="false" customHeight="false" outlineLevel="1" collapsed="false">
      <c r="A1764" s="7" t="s">
        <v>693</v>
      </c>
      <c r="B1764" s="8" t="s">
        <v>11</v>
      </c>
      <c r="C1764" s="61" t="n">
        <f aca="false">C1647*1000*Pressupostos!$C$104*Pressupostos!$D$30</f>
        <v>0</v>
      </c>
      <c r="D1764" s="61" t="n">
        <f aca="false">D1647*1000*Pressupostos!$C$104*Pressupostos!$D$30</f>
        <v>8228.57142857143</v>
      </c>
      <c r="E1764" s="61" t="n">
        <f aca="false">E1647*1000*Pressupostos!$C$104*Pressupostos!$D$30</f>
        <v>24685.7142857143</v>
      </c>
      <c r="F1764" s="61" t="n">
        <f aca="false">F1647*1000*Pressupostos!$C$104*Pressupostos!$D$30</f>
        <v>49371.4285714286</v>
      </c>
      <c r="G1764" s="61" t="n">
        <f aca="false">G1647*1000*Pressupostos!$C$104*Pressupostos!$D$30</f>
        <v>82285.7142857143</v>
      </c>
      <c r="H1764" s="2" t="s">
        <v>1306</v>
      </c>
    </row>
    <row r="1765" customFormat="false" ht="15" hidden="false" customHeight="false" outlineLevel="1" collapsed="false">
      <c r="A1765" s="7" t="s">
        <v>694</v>
      </c>
      <c r="B1765" s="8" t="s">
        <v>11</v>
      </c>
      <c r="C1765" s="61" t="n">
        <f aca="false">C1635*1000*C1719</f>
        <v>0</v>
      </c>
      <c r="D1765" s="61" t="n">
        <f aca="false">D1635*1000*D1719</f>
        <v>0</v>
      </c>
      <c r="E1765" s="61" t="n">
        <f aca="false">E1635*1000*E1719</f>
        <v>0</v>
      </c>
      <c r="F1765" s="61" t="n">
        <f aca="false">F1635*1000*F1719</f>
        <v>0</v>
      </c>
      <c r="G1765" s="61" t="n">
        <f aca="false">G1635*1000*G1719</f>
        <v>0</v>
      </c>
      <c r="H1765" s="2" t="s">
        <v>1307</v>
      </c>
    </row>
    <row r="1766" customFormat="false" ht="15" hidden="false" customHeight="false" outlineLevel="1" collapsed="false">
      <c r="A1766" s="7" t="s">
        <v>695</v>
      </c>
      <c r="B1766" s="8" t="s">
        <v>11</v>
      </c>
      <c r="C1766" s="61" t="n">
        <f aca="false">C1756+C1757+C1758+C1759+C1760+C1761+C1762+C1763+C1764+C1765</f>
        <v>15335.0780821918</v>
      </c>
      <c r="D1766" s="61" t="n">
        <f aca="false">D1756+D1757+D1758+D1759+D1760+D1761+D1762+D1763+D1764+D1765</f>
        <v>104099.425709393</v>
      </c>
      <c r="E1766" s="61" t="n">
        <f aca="false">E1756+E1757+E1758+E1759+E1760+E1761+E1762+E1763+E1764+E1765</f>
        <v>242033.543909002</v>
      </c>
      <c r="F1766" s="61" t="n">
        <f aca="false">F1756+F1757+F1758+F1759+F1760+F1761+F1762+F1763+F1764+F1765</f>
        <v>433332.051002935</v>
      </c>
      <c r="G1766" s="61" t="n">
        <f aca="false">G1756+G1757+G1758+G1759+G1760+G1761+G1762+G1763+G1764+G1765</f>
        <v>668525.072162427</v>
      </c>
      <c r="H1766" s="2" t="s">
        <v>1308</v>
      </c>
    </row>
    <row r="1767" customFormat="false" ht="15" hidden="false" customHeight="false" outlineLevel="1" collapsed="false">
      <c r="A1767" s="7" t="s">
        <v>696</v>
      </c>
      <c r="B1767" s="8" t="s">
        <v>11</v>
      </c>
      <c r="C1767" s="61" t="n">
        <f aca="false">C1631*1000*(C1666)+C1632*1000*(C1689)+C1634*1000*(C1712)</f>
        <v>0</v>
      </c>
      <c r="D1767" s="61" t="n">
        <f aca="false">D1631*1000*(D1666)+D1632*1000*(D1689)+D1634*1000*(D1712)</f>
        <v>23317.0273972603</v>
      </c>
      <c r="E1767" s="61" t="n">
        <f aca="false">E1631*1000*(E1666)+E1632*1000*(E1689)+E1634*1000*(E1712)</f>
        <v>36586.560359589</v>
      </c>
      <c r="F1767" s="61" t="n">
        <f aca="false">F1631*1000*(F1666)+F1632*1000*(F1689)+F1634*1000*(F1712)</f>
        <v>58470.0950342466</v>
      </c>
      <c r="G1767" s="61" t="n">
        <f aca="false">G1631*1000*(G1666)+G1632*1000*(G1689)+G1634*1000*(G1712)</f>
        <v>88739.9229452055</v>
      </c>
      <c r="H1767" s="2" t="s">
        <v>1309</v>
      </c>
    </row>
    <row r="1768" customFormat="false" ht="15" hidden="false" customHeight="false" outlineLevel="1" collapsed="false">
      <c r="A1768" s="7" t="s">
        <v>697</v>
      </c>
      <c r="B1768" s="8" t="s">
        <v>11</v>
      </c>
      <c r="C1768" s="61" t="n">
        <f aca="false">C1644*1000*C1746</f>
        <v>0</v>
      </c>
      <c r="D1768" s="61" t="n">
        <f aca="false">D1644*1000*D1746</f>
        <v>0</v>
      </c>
      <c r="E1768" s="61" t="n">
        <f aca="false">E1644*1000*E1746</f>
        <v>2184.50342465753</v>
      </c>
      <c r="F1768" s="61" t="n">
        <f aca="false">F1644*1000*F1746</f>
        <v>4077.7397260274</v>
      </c>
      <c r="G1768" s="61" t="n">
        <f aca="false">G1644*1000*G1746</f>
        <v>6796.23287671233</v>
      </c>
      <c r="H1768" s="2" t="s">
        <v>1310</v>
      </c>
    </row>
    <row r="1769" customFormat="false" ht="15" hidden="false" customHeight="false" outlineLevel="1" collapsed="false">
      <c r="A1769" s="7" t="s">
        <v>698</v>
      </c>
      <c r="B1769" s="8" t="s">
        <v>11</v>
      </c>
      <c r="C1769" s="61" t="n">
        <f aca="false">C1767+C1768</f>
        <v>0</v>
      </c>
      <c r="D1769" s="61" t="n">
        <f aca="false">D1767+D1768</f>
        <v>23317.0273972603</v>
      </c>
      <c r="E1769" s="61" t="n">
        <f aca="false">E1767+E1768</f>
        <v>38771.0637842466</v>
      </c>
      <c r="F1769" s="61" t="n">
        <f aca="false">F1767+F1768</f>
        <v>62547.834760274</v>
      </c>
      <c r="G1769" s="61" t="n">
        <f aca="false">G1767+G1768</f>
        <v>95536.1558219178</v>
      </c>
      <c r="H1769" s="2" t="s">
        <v>1311</v>
      </c>
    </row>
    <row r="1770" customFormat="false" ht="15" hidden="false" customHeight="false" outlineLevel="1" collapsed="false">
      <c r="A1770" s="8" t="s">
        <v>699</v>
      </c>
      <c r="B1770" s="8" t="s">
        <v>11</v>
      </c>
      <c r="C1770" s="70" t="n">
        <f aca="false">ROUND(C1732-C1755-C1766-C1769-C1751,6)</f>
        <v>-0</v>
      </c>
      <c r="D1770" s="70" t="n">
        <f aca="false">ROUND(D1732-D1755-D1766-D1769-D1751,6)</f>
        <v>-0</v>
      </c>
      <c r="E1770" s="70" t="n">
        <f aca="false">ROUND(E1732-E1755-E1766-E1769-E1751,6)</f>
        <v>-0</v>
      </c>
      <c r="F1770" s="70" t="n">
        <f aca="false">ROUND(F1732-F1755-F1766-F1769-F1751,6)</f>
        <v>-0</v>
      </c>
      <c r="G1770" s="70" t="n">
        <f aca="false">ROUND(G1732-G1755-G1766-G1769-G1751,6)</f>
        <v>-0</v>
      </c>
      <c r="H1770" s="2" t="s">
        <v>1312</v>
      </c>
    </row>
    <row r="1771" customFormat="false" ht="15" hidden="false" customHeight="false" outlineLevel="0" collapsed="false">
      <c r="A1771" s="3" t="s">
        <v>1313</v>
      </c>
      <c r="B1771" s="4"/>
      <c r="C1771" s="4"/>
      <c r="D1771" s="4"/>
      <c r="E1771" s="4"/>
      <c r="F1771" s="4"/>
      <c r="G1771" s="4"/>
      <c r="H1771" s="4"/>
    </row>
    <row r="1772" customFormat="false" ht="15" hidden="false" customHeight="false" outlineLevel="1" collapsed="false">
      <c r="A1772" s="7" t="s">
        <v>638</v>
      </c>
      <c r="B1772" s="8" t="s">
        <v>432</v>
      </c>
      <c r="C1772" s="64" t="n">
        <f aca="false">Pressupostos!$C$332</f>
        <v>1</v>
      </c>
      <c r="D1772" s="64" t="n">
        <f aca="false">Pressupostos!$D$332</f>
        <v>1</v>
      </c>
      <c r="E1772" s="64" t="n">
        <f aca="false">Pressupostos!$E$332</f>
        <v>1</v>
      </c>
      <c r="F1772" s="64" t="n">
        <f aca="false">Pressupostos!$F$332</f>
        <v>1</v>
      </c>
      <c r="G1772" s="64" t="n">
        <f aca="false">Pressupostos!$G$332</f>
        <v>1</v>
      </c>
      <c r="H1772" s="2" t="s">
        <v>1314</v>
      </c>
    </row>
    <row r="1773" customFormat="false" ht="15" hidden="false" customHeight="false" outlineLevel="1" collapsed="false">
      <c r="A1773" s="7" t="s">
        <v>639</v>
      </c>
      <c r="B1773" s="8" t="s">
        <v>432</v>
      </c>
      <c r="C1773" s="64" t="n">
        <f aca="false">Pressupostos!$C$338</f>
        <v>1</v>
      </c>
      <c r="D1773" s="64" t="n">
        <f aca="false">Pressupostos!$D$338</f>
        <v>1</v>
      </c>
      <c r="E1773" s="64" t="n">
        <f aca="false">Pressupostos!$E$338</f>
        <v>1</v>
      </c>
      <c r="F1773" s="64" t="n">
        <f aca="false">Pressupostos!$F$338</f>
        <v>1</v>
      </c>
      <c r="G1773" s="64" t="n">
        <f aca="false">Pressupostos!$G$338</f>
        <v>1</v>
      </c>
      <c r="H1773" s="2" t="s">
        <v>1315</v>
      </c>
    </row>
    <row r="1774" customFormat="false" ht="15" hidden="false" customHeight="false" outlineLevel="1" collapsed="false">
      <c r="A1774" s="7" t="s">
        <v>640</v>
      </c>
      <c r="B1774" s="8" t="s">
        <v>432</v>
      </c>
      <c r="C1774" s="64" t="n">
        <f aca="false">Pressupostos!$C$344</f>
        <v>1</v>
      </c>
      <c r="D1774" s="64" t="n">
        <f aca="false">Pressupostos!$D$344</f>
        <v>1</v>
      </c>
      <c r="E1774" s="64" t="n">
        <f aca="false">Pressupostos!$E$344</f>
        <v>2</v>
      </c>
      <c r="F1774" s="64" t="n">
        <f aca="false">Pressupostos!$F$344</f>
        <v>2</v>
      </c>
      <c r="G1774" s="64" t="n">
        <f aca="false">Pressupostos!$G$344</f>
        <v>2</v>
      </c>
      <c r="H1774" s="2" t="s">
        <v>1316</v>
      </c>
    </row>
    <row r="1775" customFormat="false" ht="15" hidden="false" customHeight="false" outlineLevel="1" collapsed="false">
      <c r="A1775" s="7" t="s">
        <v>641</v>
      </c>
      <c r="B1775" s="8" t="s">
        <v>432</v>
      </c>
      <c r="C1775" s="64" t="n">
        <f aca="false">Pressupostos!$C$350</f>
        <v>1</v>
      </c>
      <c r="D1775" s="64" t="n">
        <f aca="false">Pressupostos!$D$350</f>
        <v>1</v>
      </c>
      <c r="E1775" s="64" t="n">
        <f aca="false">Pressupostos!$E$350</f>
        <v>1</v>
      </c>
      <c r="F1775" s="64" t="n">
        <f aca="false">Pressupostos!$F$350</f>
        <v>1</v>
      </c>
      <c r="G1775" s="64" t="n">
        <f aca="false">Pressupostos!$G$350</f>
        <v>1</v>
      </c>
      <c r="H1775" s="2" t="s">
        <v>1317</v>
      </c>
    </row>
    <row r="1776" customFormat="false" ht="15" hidden="false" customHeight="false" outlineLevel="1" collapsed="false">
      <c r="A1776" s="7" t="s">
        <v>642</v>
      </c>
      <c r="B1776" s="8" t="s">
        <v>432</v>
      </c>
      <c r="C1776" s="64" t="n">
        <f aca="false">Pressupostos!$C$356</f>
        <v>0.5</v>
      </c>
      <c r="D1776" s="64" t="n">
        <f aca="false">Pressupostos!$D$356</f>
        <v>1</v>
      </c>
      <c r="E1776" s="64" t="n">
        <f aca="false">Pressupostos!$E$356</f>
        <v>1</v>
      </c>
      <c r="F1776" s="64" t="n">
        <f aca="false">Pressupostos!$F$356</f>
        <v>1</v>
      </c>
      <c r="G1776" s="64" t="n">
        <f aca="false">Pressupostos!$G$356</f>
        <v>1</v>
      </c>
      <c r="H1776" s="2" t="s">
        <v>1318</v>
      </c>
    </row>
    <row r="1777" customFormat="false" ht="15" hidden="false" customHeight="false" outlineLevel="1" collapsed="false">
      <c r="A1777" s="7" t="s">
        <v>643</v>
      </c>
      <c r="B1777" s="8" t="s">
        <v>432</v>
      </c>
      <c r="C1777" s="64" t="n">
        <f aca="false">Pressupostos!$C$362</f>
        <v>1</v>
      </c>
      <c r="D1777" s="64" t="n">
        <f aca="false">Pressupostos!$D$362</f>
        <v>1</v>
      </c>
      <c r="E1777" s="64" t="n">
        <f aca="false">Pressupostos!$E$362</f>
        <v>1</v>
      </c>
      <c r="F1777" s="64" t="n">
        <f aca="false">Pressupostos!$F$362</f>
        <v>2</v>
      </c>
      <c r="G1777" s="64" t="n">
        <f aca="false">Pressupostos!$G$362</f>
        <v>2</v>
      </c>
      <c r="H1777" s="2" t="s">
        <v>1319</v>
      </c>
    </row>
    <row r="1778" customFormat="false" ht="15" hidden="false" customHeight="false" outlineLevel="1" collapsed="false">
      <c r="A1778" s="7" t="s">
        <v>644</v>
      </c>
      <c r="B1778" s="8" t="s">
        <v>432</v>
      </c>
      <c r="C1778" s="64" t="n">
        <f aca="false">Pressupostos!$C$368</f>
        <v>0.5</v>
      </c>
      <c r="D1778" s="64" t="n">
        <f aca="false">Pressupostos!$D$368</f>
        <v>1</v>
      </c>
      <c r="E1778" s="64" t="n">
        <f aca="false">Pressupostos!$E$368</f>
        <v>1</v>
      </c>
      <c r="F1778" s="64" t="n">
        <f aca="false">Pressupostos!$F$368</f>
        <v>1</v>
      </c>
      <c r="G1778" s="64" t="n">
        <f aca="false">Pressupostos!$G$368</f>
        <v>1</v>
      </c>
      <c r="H1778" s="2" t="s">
        <v>1320</v>
      </c>
    </row>
    <row r="1779" customFormat="false" ht="15" hidden="false" customHeight="false" outlineLevel="1" collapsed="false">
      <c r="A1779" s="7" t="s">
        <v>645</v>
      </c>
      <c r="B1779" s="8" t="s">
        <v>432</v>
      </c>
      <c r="C1779" s="64" t="n">
        <f aca="false">Pressupostos!$C$374</f>
        <v>1</v>
      </c>
      <c r="D1779" s="64" t="n">
        <f aca="false">Pressupostos!$D$374</f>
        <v>1</v>
      </c>
      <c r="E1779" s="64" t="n">
        <f aca="false">Pressupostos!$E$374</f>
        <v>2</v>
      </c>
      <c r="F1779" s="64" t="n">
        <f aca="false">Pressupostos!$F$374</f>
        <v>3</v>
      </c>
      <c r="G1779" s="64" t="n">
        <f aca="false">Pressupostos!$G$374</f>
        <v>5</v>
      </c>
      <c r="H1779" s="2" t="s">
        <v>1321</v>
      </c>
    </row>
    <row r="1780" customFormat="false" ht="15" hidden="false" customHeight="false" outlineLevel="1" collapsed="false">
      <c r="A1780" s="7" t="s">
        <v>646</v>
      </c>
      <c r="B1780" s="8" t="s">
        <v>432</v>
      </c>
      <c r="C1780" s="64" t="n">
        <f aca="false">Pressupostos!$C$380</f>
        <v>0</v>
      </c>
      <c r="D1780" s="64" t="n">
        <f aca="false">Pressupostos!$D$380</f>
        <v>0</v>
      </c>
      <c r="E1780" s="64" t="n">
        <f aca="false">Pressupostos!$E$380</f>
        <v>0</v>
      </c>
      <c r="F1780" s="64" t="n">
        <f aca="false">Pressupostos!$F$380</f>
        <v>1</v>
      </c>
      <c r="G1780" s="64" t="n">
        <f aca="false">Pressupostos!$G$380</f>
        <v>1</v>
      </c>
      <c r="H1780" s="2" t="s">
        <v>1322</v>
      </c>
    </row>
    <row r="1781" customFormat="false" ht="15" hidden="false" customHeight="false" outlineLevel="1" collapsed="false">
      <c r="A1781" s="7" t="s">
        <v>647</v>
      </c>
      <c r="B1781" s="8" t="s">
        <v>432</v>
      </c>
      <c r="C1781" s="64" t="n">
        <f aca="false">Pressupostos!$C$386</f>
        <v>0</v>
      </c>
      <c r="D1781" s="64" t="n">
        <f aca="false">Pressupostos!$D$386</f>
        <v>0</v>
      </c>
      <c r="E1781" s="64" t="n">
        <f aca="false">Pressupostos!$E$386</f>
        <v>0</v>
      </c>
      <c r="F1781" s="64" t="n">
        <f aca="false">Pressupostos!$F$386</f>
        <v>0</v>
      </c>
      <c r="G1781" s="64" t="n">
        <f aca="false">Pressupostos!$G$386</f>
        <v>1</v>
      </c>
      <c r="H1781" s="2" t="s">
        <v>1323</v>
      </c>
    </row>
    <row r="1782" customFormat="false" ht="15" hidden="false" customHeight="false" outlineLevel="1" collapsed="false">
      <c r="A1782" s="7" t="s">
        <v>648</v>
      </c>
      <c r="B1782" s="8" t="s">
        <v>432</v>
      </c>
      <c r="C1782" s="64" t="n">
        <f aca="false">Pressupostos!$C$392</f>
        <v>0</v>
      </c>
      <c r="D1782" s="64" t="n">
        <f aca="false">Pressupostos!$D$392</f>
        <v>0</v>
      </c>
      <c r="E1782" s="64" t="n">
        <f aca="false">Pressupostos!$E$392</f>
        <v>1</v>
      </c>
      <c r="F1782" s="64" t="n">
        <f aca="false">Pressupostos!$F$392</f>
        <v>1</v>
      </c>
      <c r="G1782" s="64" t="n">
        <f aca="false">Pressupostos!$G$392</f>
        <v>1</v>
      </c>
      <c r="H1782" s="2" t="s">
        <v>1324</v>
      </c>
    </row>
    <row r="1783" customFormat="false" ht="15" hidden="false" customHeight="false" outlineLevel="1" collapsed="false">
      <c r="A1783" s="7" t="s">
        <v>649</v>
      </c>
      <c r="B1783" s="8" t="s">
        <v>432</v>
      </c>
      <c r="C1783" s="64" t="n">
        <f aca="false">Pressupostos!$C$398</f>
        <v>0</v>
      </c>
      <c r="D1783" s="64" t="n">
        <f aca="false">Pressupostos!$D$398</f>
        <v>0</v>
      </c>
      <c r="E1783" s="64" t="n">
        <f aca="false">Pressupostos!$E$398</f>
        <v>0</v>
      </c>
      <c r="F1783" s="64" t="n">
        <f aca="false">Pressupostos!$F$398</f>
        <v>0</v>
      </c>
      <c r="G1783" s="64" t="n">
        <f aca="false">Pressupostos!$G$398</f>
        <v>0</v>
      </c>
      <c r="H1783" s="2" t="s">
        <v>1325</v>
      </c>
    </row>
    <row r="1784" customFormat="false" ht="15" hidden="false" customHeight="false" outlineLevel="1" collapsed="false">
      <c r="A1784" s="56" t="s">
        <v>650</v>
      </c>
      <c r="B1784" s="57" t="s">
        <v>432</v>
      </c>
      <c r="C1784" s="65" t="n">
        <f aca="false">C1772+C1773+C1774+C1775+C1776+C1777+C1778+C1779+C1780+C1781+C1782+C1783</f>
        <v>7</v>
      </c>
      <c r="D1784" s="65" t="n">
        <f aca="false">D1772+D1773+D1774+D1775+D1776+D1777+D1778+D1779+D1780+D1781+D1782+D1783</f>
        <v>8</v>
      </c>
      <c r="E1784" s="65" t="n">
        <f aca="false">E1772+E1773+E1774+E1775+E1776+E1777+E1778+E1779+E1780+E1781+E1782+E1783</f>
        <v>11</v>
      </c>
      <c r="F1784" s="65" t="n">
        <f aca="false">F1772+F1773+F1774+F1775+F1776+F1777+F1778+F1779+F1780+F1781+F1782+F1783</f>
        <v>14</v>
      </c>
      <c r="G1784" s="65" t="n">
        <f aca="false">G1772+G1773+G1774+G1775+G1776+G1777+G1778+G1779+G1780+G1781+G1782+G1783</f>
        <v>17</v>
      </c>
      <c r="H1784" s="2" t="s">
        <v>1326</v>
      </c>
    </row>
    <row r="1785" customFormat="false" ht="15" hidden="false" customHeight="false" outlineLevel="0" collapsed="false">
      <c r="A1785" s="3" t="s">
        <v>1327</v>
      </c>
      <c r="B1785" s="4"/>
      <c r="C1785" s="4"/>
      <c r="D1785" s="4"/>
      <c r="E1785" s="4"/>
      <c r="F1785" s="4"/>
      <c r="G1785" s="4"/>
      <c r="H1785" s="4"/>
    </row>
    <row r="1786" customFormat="false" ht="15" hidden="false" customHeight="false" outlineLevel="1" collapsed="false">
      <c r="A1786" s="7" t="s">
        <v>638</v>
      </c>
      <c r="B1786" s="8" t="s">
        <v>11</v>
      </c>
      <c r="C1786" s="61" t="n">
        <f aca="false">C1772*Pressupostos!$C$131*(1+Pressupostos!$C$127)^0*(1+Pressupostos!$C$132)*Pressupostos!$C$128</f>
        <v>43998</v>
      </c>
      <c r="D1786" s="61" t="n">
        <f aca="false">D1772*Pressupostos!$C$131*(1+Pressupostos!$C$127)^1*(1+Pressupostos!$C$132)</f>
        <v>61800</v>
      </c>
      <c r="E1786" s="61" t="n">
        <f aca="false">E1772*Pressupostos!$C$131*(1+Pressupostos!$C$127)^2*(1+Pressupostos!$C$132)</f>
        <v>63654</v>
      </c>
      <c r="F1786" s="61" t="n">
        <f aca="false">F1772*Pressupostos!$C$131*(1+Pressupostos!$C$127)^3*(1+Pressupostos!$C$132)</f>
        <v>65563.62</v>
      </c>
      <c r="G1786" s="61" t="n">
        <f aca="false">G1772*Pressupostos!$C$131*(1+Pressupostos!$C$127)^4*(1+Pressupostos!$C$132)</f>
        <v>67530.5286</v>
      </c>
      <c r="H1786" s="2" t="s">
        <v>1328</v>
      </c>
    </row>
    <row r="1787" customFormat="false" ht="15" hidden="false" customHeight="false" outlineLevel="1" collapsed="false">
      <c r="A1787" s="7" t="s">
        <v>639</v>
      </c>
      <c r="B1787" s="8" t="s">
        <v>11</v>
      </c>
      <c r="C1787" s="61" t="n">
        <f aca="false">C1773*Pressupostos!$C$133*(1+Pressupostos!$C$127)^0*(1+Pressupostos!$C$134)*Pressupostos!$C$128</f>
        <v>47664.5</v>
      </c>
      <c r="D1787" s="61" t="n">
        <f aca="false">D1773*Pressupostos!$C$133*(1+Pressupostos!$C$127)^1*(1+Pressupostos!$C$134)</f>
        <v>66950</v>
      </c>
      <c r="E1787" s="61" t="n">
        <f aca="false">E1773*Pressupostos!$C$133*(1+Pressupostos!$C$127)^2*(1+Pressupostos!$C$134)</f>
        <v>68958.5</v>
      </c>
      <c r="F1787" s="61" t="n">
        <f aca="false">F1773*Pressupostos!$C$133*(1+Pressupostos!$C$127)^3*(1+Pressupostos!$C$134)</f>
        <v>71027.255</v>
      </c>
      <c r="G1787" s="61" t="n">
        <f aca="false">G1773*Pressupostos!$C$133*(1+Pressupostos!$C$127)^4*(1+Pressupostos!$C$134)</f>
        <v>73158.07265</v>
      </c>
      <c r="H1787" s="2" t="s">
        <v>1329</v>
      </c>
    </row>
    <row r="1788" customFormat="false" ht="15" hidden="false" customHeight="false" outlineLevel="1" collapsed="false">
      <c r="A1788" s="7" t="s">
        <v>640</v>
      </c>
      <c r="B1788" s="8" t="s">
        <v>11</v>
      </c>
      <c r="C1788" s="61" t="n">
        <f aca="false">C1774*Pressupostos!$C$135*(1+Pressupostos!$C$127)^0*(1+Pressupostos!$C$136)</f>
        <v>45000</v>
      </c>
      <c r="D1788" s="61" t="n">
        <f aca="false">D1774*Pressupostos!$C$135*(1+Pressupostos!$C$127)^1*(1+Pressupostos!$C$136)</f>
        <v>46350</v>
      </c>
      <c r="E1788" s="61" t="n">
        <f aca="false">E1774*Pressupostos!$C$135*(1+Pressupostos!$C$127)^2*(1+Pressupostos!$C$136)</f>
        <v>95481</v>
      </c>
      <c r="F1788" s="61" t="n">
        <f aca="false">F1774*Pressupostos!$C$135*(1+Pressupostos!$C$127)^3*(1+Pressupostos!$C$136)</f>
        <v>98345.43</v>
      </c>
      <c r="G1788" s="61" t="n">
        <f aca="false">G1774*Pressupostos!$C$135*(1+Pressupostos!$C$127)^4*(1+Pressupostos!$C$136)</f>
        <v>101295.7929</v>
      </c>
      <c r="H1788" s="2" t="s">
        <v>1330</v>
      </c>
    </row>
    <row r="1789" customFormat="false" ht="15" hidden="false" customHeight="false" outlineLevel="1" collapsed="false">
      <c r="A1789" s="7" t="s">
        <v>641</v>
      </c>
      <c r="B1789" s="8" t="s">
        <v>11</v>
      </c>
      <c r="C1789" s="61" t="n">
        <f aca="false">C1775*Pressupostos!$C$137*(1+Pressupostos!$C$127)^0*(1+Pressupostos!$C$138)</f>
        <v>60000</v>
      </c>
      <c r="D1789" s="61" t="n">
        <f aca="false">D1775*Pressupostos!$C$137*(1+Pressupostos!$C$127)^1*(1+Pressupostos!$C$138)</f>
        <v>61800</v>
      </c>
      <c r="E1789" s="61" t="n">
        <f aca="false">E1775*Pressupostos!$C$137*(1+Pressupostos!$C$127)^2*(1+Pressupostos!$C$138)</f>
        <v>63654</v>
      </c>
      <c r="F1789" s="61" t="n">
        <f aca="false">F1775*Pressupostos!$C$137*(1+Pressupostos!$C$127)^3*(1+Pressupostos!$C$138)</f>
        <v>65563.62</v>
      </c>
      <c r="G1789" s="61" t="n">
        <f aca="false">G1775*Pressupostos!$C$137*(1+Pressupostos!$C$127)^4*(1+Pressupostos!$C$138)</f>
        <v>67530.5286</v>
      </c>
      <c r="H1789" s="2" t="s">
        <v>1331</v>
      </c>
    </row>
    <row r="1790" customFormat="false" ht="15" hidden="false" customHeight="false" outlineLevel="1" collapsed="false">
      <c r="A1790" s="7" t="s">
        <v>642</v>
      </c>
      <c r="B1790" s="8" t="s">
        <v>11</v>
      </c>
      <c r="C1790" s="61" t="n">
        <f aca="false">C1776*Pressupostos!$C$139*(1+Pressupostos!$C$127)^0*(1+Pressupostos!$C$140)</f>
        <v>22500</v>
      </c>
      <c r="D1790" s="61" t="n">
        <f aca="false">D1776*Pressupostos!$C$139*(1+Pressupostos!$C$127)^1*(1+Pressupostos!$C$140)</f>
        <v>46350</v>
      </c>
      <c r="E1790" s="61" t="n">
        <f aca="false">E1776*Pressupostos!$C$139*(1+Pressupostos!$C$127)^2*(1+Pressupostos!$C$140)</f>
        <v>47740.5</v>
      </c>
      <c r="F1790" s="61" t="n">
        <f aca="false">F1776*Pressupostos!$C$139*(1+Pressupostos!$C$127)^3*(1+Pressupostos!$C$140)</f>
        <v>49172.715</v>
      </c>
      <c r="G1790" s="61" t="n">
        <f aca="false">G1776*Pressupostos!$C$139*(1+Pressupostos!$C$127)^4*(1+Pressupostos!$C$140)</f>
        <v>50647.89645</v>
      </c>
      <c r="H1790" s="2" t="s">
        <v>1332</v>
      </c>
    </row>
    <row r="1791" customFormat="false" ht="15" hidden="false" customHeight="false" outlineLevel="1" collapsed="false">
      <c r="A1791" s="7" t="s">
        <v>643</v>
      </c>
      <c r="B1791" s="8" t="s">
        <v>11</v>
      </c>
      <c r="C1791" s="61" t="n">
        <f aca="false">C1777*Pressupostos!$C$141*(1+Pressupostos!$C$127)^0*(1+Pressupostos!$C$142)</f>
        <v>38000</v>
      </c>
      <c r="D1791" s="61" t="n">
        <f aca="false">D1777*Pressupostos!$C$141*(1+Pressupostos!$C$127)^1*(1+Pressupostos!$C$142)</f>
        <v>39140</v>
      </c>
      <c r="E1791" s="61" t="n">
        <f aca="false">E1777*Pressupostos!$C$141*(1+Pressupostos!$C$127)^2*(1+Pressupostos!$C$142)</f>
        <v>40314.2</v>
      </c>
      <c r="F1791" s="61" t="n">
        <f aca="false">F1777*Pressupostos!$C$141*(1+Pressupostos!$C$127)^3*(1+Pressupostos!$C$142)</f>
        <v>83047.252</v>
      </c>
      <c r="G1791" s="61" t="n">
        <f aca="false">G1777*Pressupostos!$C$141*(1+Pressupostos!$C$127)^4*(1+Pressupostos!$C$142)</f>
        <v>85538.66956</v>
      </c>
      <c r="H1791" s="2" t="s">
        <v>1333</v>
      </c>
    </row>
    <row r="1792" customFormat="false" ht="15" hidden="false" customHeight="false" outlineLevel="1" collapsed="false">
      <c r="A1792" s="7" t="s">
        <v>644</v>
      </c>
      <c r="B1792" s="8" t="s">
        <v>11</v>
      </c>
      <c r="C1792" s="61" t="n">
        <f aca="false">C1778*Pressupostos!$C$143*(1+Pressupostos!$C$127)^0*(1+Pressupostos!$C$144)</f>
        <v>16000</v>
      </c>
      <c r="D1792" s="61" t="n">
        <f aca="false">D1778*Pressupostos!$C$143*(1+Pressupostos!$C$127)^1*(1+Pressupostos!$C$144)</f>
        <v>32960</v>
      </c>
      <c r="E1792" s="61" t="n">
        <f aca="false">E1778*Pressupostos!$C$143*(1+Pressupostos!$C$127)^2*(1+Pressupostos!$C$144)</f>
        <v>33948.8</v>
      </c>
      <c r="F1792" s="61" t="n">
        <f aca="false">F1778*Pressupostos!$C$143*(1+Pressupostos!$C$127)^3*(1+Pressupostos!$C$144)</f>
        <v>34967.264</v>
      </c>
      <c r="G1792" s="61" t="n">
        <f aca="false">G1778*Pressupostos!$C$143*(1+Pressupostos!$C$127)^4*(1+Pressupostos!$C$144)</f>
        <v>36016.28192</v>
      </c>
      <c r="H1792" s="2" t="s">
        <v>1334</v>
      </c>
    </row>
    <row r="1793" customFormat="false" ht="15" hidden="false" customHeight="false" outlineLevel="1" collapsed="false">
      <c r="A1793" s="7" t="s">
        <v>645</v>
      </c>
      <c r="B1793" s="8" t="s">
        <v>11</v>
      </c>
      <c r="C1793" s="61" t="n">
        <f aca="false">C1779*Pressupostos!$C$145*(1+Pressupostos!$C$127)^0*(1+Pressupostos!$C$146)</f>
        <v>34500</v>
      </c>
      <c r="D1793" s="61" t="n">
        <f aca="false">D1779*Pressupostos!$C$145*(1+Pressupostos!$C$127)^1*(1+Pressupostos!$C$146)</f>
        <v>35535</v>
      </c>
      <c r="E1793" s="61" t="n">
        <f aca="false">E1779*Pressupostos!$C$145*(1+Pressupostos!$C$127)^2*(1+Pressupostos!$C$146)</f>
        <v>73202.1</v>
      </c>
      <c r="F1793" s="61" t="n">
        <f aca="false">F1779*Pressupostos!$C$145*(1+Pressupostos!$C$127)^3*(1+Pressupostos!$C$146)</f>
        <v>113097.2445</v>
      </c>
      <c r="G1793" s="61" t="n">
        <f aca="false">G1779*Pressupostos!$C$145*(1+Pressupostos!$C$127)^4*(1+Pressupostos!$C$146)</f>
        <v>194150.269725</v>
      </c>
      <c r="H1793" s="2" t="s">
        <v>1335</v>
      </c>
    </row>
    <row r="1794" customFormat="false" ht="15" hidden="false" customHeight="false" outlineLevel="1" collapsed="false">
      <c r="A1794" s="7" t="s">
        <v>646</v>
      </c>
      <c r="B1794" s="8" t="s">
        <v>11</v>
      </c>
      <c r="C1794" s="61" t="n">
        <f aca="false">C1780*Pressupostos!$C$147*(1+Pressupostos!$C$127)^0*(1+Pressupostos!$C$148)</f>
        <v>0</v>
      </c>
      <c r="D1794" s="61" t="n">
        <f aca="false">D1780*Pressupostos!$C$147*(1+Pressupostos!$C$127)^1*(1+Pressupostos!$C$148)</f>
        <v>0</v>
      </c>
      <c r="E1794" s="61" t="n">
        <f aca="false">E1780*Pressupostos!$C$147*(1+Pressupostos!$C$127)^2*(1+Pressupostos!$C$148)</f>
        <v>0</v>
      </c>
      <c r="F1794" s="61" t="n">
        <f aca="false">F1780*Pressupostos!$C$147*(1+Pressupostos!$C$127)^3*(1+Pressupostos!$C$148)</f>
        <v>49172.715</v>
      </c>
      <c r="G1794" s="61" t="n">
        <f aca="false">G1780*Pressupostos!$C$147*(1+Pressupostos!$C$127)^4*(1+Pressupostos!$C$148)</f>
        <v>50647.89645</v>
      </c>
      <c r="H1794" s="2" t="s">
        <v>1336</v>
      </c>
    </row>
    <row r="1795" customFormat="false" ht="15" hidden="false" customHeight="false" outlineLevel="1" collapsed="false">
      <c r="A1795" s="7" t="s">
        <v>647</v>
      </c>
      <c r="B1795" s="8" t="s">
        <v>11</v>
      </c>
      <c r="C1795" s="61" t="n">
        <f aca="false">C1781*Pressupostos!$C$149*(1+Pressupostos!$C$127)^0*(1+Pressupostos!$C$150)</f>
        <v>0</v>
      </c>
      <c r="D1795" s="61" t="n">
        <f aca="false">D1781*Pressupostos!$C$149*(1+Pressupostos!$C$127)^1*(1+Pressupostos!$C$150)</f>
        <v>0</v>
      </c>
      <c r="E1795" s="61" t="n">
        <f aca="false">E1781*Pressupostos!$C$149*(1+Pressupostos!$C$127)^2*(1+Pressupostos!$C$150)</f>
        <v>0</v>
      </c>
      <c r="F1795" s="61" t="n">
        <f aca="false">F1781*Pressupostos!$C$149*(1+Pressupostos!$C$127)^3*(1+Pressupostos!$C$150)</f>
        <v>0</v>
      </c>
      <c r="G1795" s="61" t="n">
        <f aca="false">G1781*Pressupostos!$C$149*(1+Pressupostos!$C$127)^4*(1+Pressupostos!$C$150)</f>
        <v>45020.3524</v>
      </c>
      <c r="H1795" s="2" t="s">
        <v>1337</v>
      </c>
    </row>
    <row r="1796" customFormat="false" ht="15" hidden="false" customHeight="false" outlineLevel="1" collapsed="false">
      <c r="A1796" s="7" t="s">
        <v>648</v>
      </c>
      <c r="B1796" s="8" t="s">
        <v>11</v>
      </c>
      <c r="C1796" s="61" t="n">
        <f aca="false">C1782*Pressupostos!$C$151*(1+Pressupostos!$C$127)^0*(1+Pressupostos!$C$152)</f>
        <v>0</v>
      </c>
      <c r="D1796" s="61" t="n">
        <f aca="false">D1782*Pressupostos!$C$151*(1+Pressupostos!$C$127)^1*(1+Pressupostos!$C$152)</f>
        <v>0</v>
      </c>
      <c r="E1796" s="61" t="n">
        <f aca="false">E1782*Pressupostos!$C$151*(1+Pressupostos!$C$127)^2*(1+Pressupostos!$C$152)</f>
        <v>25461.6</v>
      </c>
      <c r="F1796" s="61" t="n">
        <f aca="false">F1782*Pressupostos!$C$151*(1+Pressupostos!$C$127)^3*(1+Pressupostos!$C$152)</f>
        <v>26225.448</v>
      </c>
      <c r="G1796" s="61" t="n">
        <f aca="false">G1782*Pressupostos!$C$151*(1+Pressupostos!$C$127)^4*(1+Pressupostos!$C$152)</f>
        <v>27012.21144</v>
      </c>
      <c r="H1796" s="2" t="s">
        <v>1338</v>
      </c>
    </row>
    <row r="1797" customFormat="false" ht="15" hidden="false" customHeight="false" outlineLevel="1" collapsed="false">
      <c r="A1797" s="7" t="s">
        <v>649</v>
      </c>
      <c r="B1797" s="8" t="s">
        <v>11</v>
      </c>
      <c r="C1797" s="61" t="n">
        <f aca="false">C1783*Pressupostos!$C$153*(1+Pressupostos!$C$127)^0*(1+Pressupostos!$C$154)</f>
        <v>0</v>
      </c>
      <c r="D1797" s="61" t="n">
        <f aca="false">D1783*Pressupostos!$C$153*(1+Pressupostos!$C$127)^1*(1+Pressupostos!$C$154)</f>
        <v>0</v>
      </c>
      <c r="E1797" s="61" t="n">
        <f aca="false">E1783*Pressupostos!$C$153*(1+Pressupostos!$C$127)^2*(1+Pressupostos!$C$154)</f>
        <v>0</v>
      </c>
      <c r="F1797" s="61" t="n">
        <f aca="false">F1783*Pressupostos!$C$153*(1+Pressupostos!$C$127)^3*(1+Pressupostos!$C$154)</f>
        <v>0</v>
      </c>
      <c r="G1797" s="61" t="n">
        <f aca="false">G1783*Pressupostos!$C$153*(1+Pressupostos!$C$127)^4*(1+Pressupostos!$C$154)</f>
        <v>0</v>
      </c>
      <c r="H1797" s="2" t="s">
        <v>1339</v>
      </c>
    </row>
    <row r="1798" customFormat="false" ht="15" hidden="false" customHeight="false" outlineLevel="1" collapsed="false">
      <c r="A1798" s="7" t="s">
        <v>652</v>
      </c>
      <c r="B1798" s="8" t="s">
        <v>11</v>
      </c>
      <c r="C1798" s="61" t="n">
        <f aca="false">C1786+C1787+C1788+C1789+C1790+C1791+C1792+C1793+C1794+C1795+C1796+C1797</f>
        <v>307662.5</v>
      </c>
      <c r="D1798" s="61" t="n">
        <f aca="false">D1786+D1787+D1788+D1789+D1790+D1791+D1792+D1793+D1794+D1795+D1796+D1797</f>
        <v>390885</v>
      </c>
      <c r="E1798" s="61" t="n">
        <f aca="false">E1786+E1787+E1788+E1789+E1790+E1791+E1792+E1793+E1794+E1795+E1796+E1797</f>
        <v>512414.7</v>
      </c>
      <c r="F1798" s="61" t="n">
        <f aca="false">F1786+F1787+F1788+F1789+F1790+F1791+F1792+F1793+F1794+F1795+F1796+F1797</f>
        <v>656182.5635</v>
      </c>
      <c r="G1798" s="61" t="n">
        <f aca="false">G1786+G1787+G1788+G1789+G1790+G1791+G1792+G1793+G1794+G1795+G1796+G1797</f>
        <v>798548.500695</v>
      </c>
      <c r="H1798" s="2" t="s">
        <v>1340</v>
      </c>
    </row>
    <row r="1799" customFormat="false" ht="15" hidden="false" customHeight="false" outlineLevel="1" collapsed="false">
      <c r="A1799" s="7" t="s">
        <v>653</v>
      </c>
      <c r="B1799" s="8" t="s">
        <v>11</v>
      </c>
      <c r="C1799" s="61" t="n">
        <f aca="false">C1798*(Pressupostos!$C$124+Pressupostos!$C$125)</f>
        <v>79223.09375</v>
      </c>
      <c r="D1799" s="61" t="n">
        <f aca="false">D1798*(Pressupostos!$C$124+Pressupostos!$C$125)</f>
        <v>100652.8875</v>
      </c>
      <c r="E1799" s="61" t="n">
        <f aca="false">E1798*(Pressupostos!$C$124+Pressupostos!$C$125)</f>
        <v>131946.78525</v>
      </c>
      <c r="F1799" s="61" t="n">
        <f aca="false">F1798*(Pressupostos!$C$124+Pressupostos!$C$125)</f>
        <v>168967.01010125</v>
      </c>
      <c r="G1799" s="61" t="n">
        <f aca="false">G1798*(Pressupostos!$C$124+Pressupostos!$C$125)</f>
        <v>205626.238928963</v>
      </c>
      <c r="H1799" s="2" t="s">
        <v>1341</v>
      </c>
    </row>
    <row r="1800" customFormat="false" ht="15" hidden="false" customHeight="false" outlineLevel="1" collapsed="false">
      <c r="A1800" s="7" t="s">
        <v>654</v>
      </c>
      <c r="B1800" s="8" t="s">
        <v>11</v>
      </c>
      <c r="C1800" s="61" t="n">
        <f aca="false">C1784*Pressupostos!$C$126*(1+Pressupostos!$C$127)^0</f>
        <v>14000</v>
      </c>
      <c r="D1800" s="61" t="n">
        <f aca="false">D1784*Pressupostos!$C$126*(1+Pressupostos!$C$127)^1</f>
        <v>16480</v>
      </c>
      <c r="E1800" s="61" t="n">
        <f aca="false">E1784*Pressupostos!$C$126*(1+Pressupostos!$C$127)^2</f>
        <v>23339.8</v>
      </c>
      <c r="F1800" s="61" t="n">
        <f aca="false">F1784*Pressupostos!$C$126*(1+Pressupostos!$C$127)^3</f>
        <v>30596.356</v>
      </c>
      <c r="G1800" s="61" t="n">
        <f aca="false">G1784*Pressupostos!$C$126*(1+Pressupostos!$C$127)^4</f>
        <v>38267.29954</v>
      </c>
      <c r="H1800" s="2" t="s">
        <v>1342</v>
      </c>
    </row>
    <row r="1801" customFormat="false" ht="15" hidden="false" customHeight="false" outlineLevel="1" collapsed="false">
      <c r="A1801" s="56" t="s">
        <v>655</v>
      </c>
      <c r="B1801" s="57" t="s">
        <v>11</v>
      </c>
      <c r="C1801" s="62" t="n">
        <f aca="false">C1798+C1799+C1800</f>
        <v>400885.59375</v>
      </c>
      <c r="D1801" s="62" t="n">
        <f aca="false">D1798+D1799+D1800</f>
        <v>508017.8875</v>
      </c>
      <c r="E1801" s="62" t="n">
        <f aca="false">E1798+E1799+E1800</f>
        <v>667701.28525</v>
      </c>
      <c r="F1801" s="62" t="n">
        <f aca="false">F1798+F1799+F1800</f>
        <v>855745.92960125</v>
      </c>
      <c r="G1801" s="62" t="n">
        <f aca="false">G1798+G1799+G1800</f>
        <v>1042442.03916396</v>
      </c>
      <c r="H1801" s="2" t="s">
        <v>1343</v>
      </c>
    </row>
    <row r="1802" customFormat="false" ht="15" hidden="false" customHeight="false" outlineLevel="1" collapsed="false">
      <c r="A1802" s="2" t="s">
        <v>656</v>
      </c>
      <c r="B1802" s="8" t="s">
        <v>11</v>
      </c>
      <c r="C1802" s="61" t="n">
        <f aca="false">IF(C1784&gt;0,C1801/C1784,0)</f>
        <v>57269.3705357143</v>
      </c>
      <c r="D1802" s="61" t="n">
        <f aca="false">IF(D1784&gt;0,D1801/D1784,0)</f>
        <v>63502.2359375</v>
      </c>
      <c r="E1802" s="61" t="n">
        <f aca="false">IF(E1784&gt;0,E1801/E1784,0)</f>
        <v>60700.1168409091</v>
      </c>
      <c r="F1802" s="61" t="n">
        <f aca="false">IF(F1784&gt;0,F1801/F1784,0)</f>
        <v>61124.7092572321</v>
      </c>
      <c r="G1802" s="61" t="n">
        <f aca="false">IF(G1784&gt;0,G1801/G1784,0)</f>
        <v>61320.1199508213</v>
      </c>
      <c r="H1802" s="2" t="s">
        <v>1344</v>
      </c>
    </row>
    <row r="1803" customFormat="false" ht="15" hidden="false" customHeight="false" outlineLevel="0" collapsed="false">
      <c r="A1803" s="3" t="s">
        <v>1345</v>
      </c>
      <c r="B1803" s="4"/>
      <c r="C1803" s="4"/>
      <c r="D1803" s="4"/>
      <c r="E1803" s="4"/>
      <c r="F1803" s="4"/>
      <c r="G1803" s="4"/>
      <c r="H1803" s="4"/>
    </row>
    <row r="1804" customFormat="false" ht="15" hidden="false" customHeight="false" outlineLevel="1" collapsed="false">
      <c r="A1804" s="7" t="s">
        <v>449</v>
      </c>
      <c r="B1804" s="8" t="s">
        <v>11</v>
      </c>
      <c r="C1804" s="61" t="n">
        <f aca="false">Pressupostos!$C$405*(1+Pressupostos!$C$156)*(1+Pressupostos!$C$157)^0</f>
        <v>94500</v>
      </c>
      <c r="D1804" s="61" t="n">
        <f aca="false">Pressupostos!$D$405*(1+Pressupostos!$C$156)*(1+Pressupostos!$C$157)^1</f>
        <v>53550</v>
      </c>
      <c r="E1804" s="61" t="n">
        <f aca="false">Pressupostos!$E$405*(1+Pressupostos!$C$156)*(1+Pressupostos!$C$157)^2</f>
        <v>49158.9</v>
      </c>
      <c r="F1804" s="61" t="n">
        <f aca="false">Pressupostos!$F$405*(1+Pressupostos!$C$156)*(1+Pressupostos!$C$157)^3</f>
        <v>50142.078</v>
      </c>
      <c r="G1804" s="61" t="n">
        <f aca="false">Pressupostos!$G$405*(1+Pressupostos!$C$156)*(1+Pressupostos!$C$157)^4</f>
        <v>51144.91956</v>
      </c>
      <c r="H1804" s="2" t="s">
        <v>1346</v>
      </c>
    </row>
    <row r="1805" customFormat="false" ht="15" hidden="false" customHeight="false" outlineLevel="1" collapsed="false">
      <c r="A1805" s="7" t="s">
        <v>451</v>
      </c>
      <c r="B1805" s="8" t="s">
        <v>11</v>
      </c>
      <c r="C1805" s="61" t="n">
        <f aca="false">Pressupostos!$C$411*(1+Pressupostos!$C$156)*(1+Pressupostos!$C$157)^0</f>
        <v>10500</v>
      </c>
      <c r="D1805" s="61" t="n">
        <f aca="false">Pressupostos!$D$411*(1+Pressupostos!$C$156)*(1+Pressupostos!$C$157)^1</f>
        <v>10710</v>
      </c>
      <c r="E1805" s="61" t="n">
        <f aca="false">Pressupostos!$E$411*(1+Pressupostos!$C$156)*(1+Pressupostos!$C$157)^2</f>
        <v>10924.2</v>
      </c>
      <c r="F1805" s="61" t="n">
        <f aca="false">Pressupostos!$F$411*(1+Pressupostos!$C$156)*(1+Pressupostos!$C$157)^3</f>
        <v>11142.684</v>
      </c>
      <c r="G1805" s="61" t="n">
        <f aca="false">Pressupostos!$G$411*(1+Pressupostos!$C$156)*(1+Pressupostos!$C$157)^4</f>
        <v>11365.53768</v>
      </c>
      <c r="H1805" s="2" t="s">
        <v>1347</v>
      </c>
    </row>
    <row r="1806" customFormat="false" ht="15" hidden="false" customHeight="false" outlineLevel="1" collapsed="false">
      <c r="A1806" s="7" t="s">
        <v>452</v>
      </c>
      <c r="B1806" s="8" t="s">
        <v>11</v>
      </c>
      <c r="C1806" s="61" t="n">
        <f aca="false">Pressupostos!$C$417*(1+Pressupostos!$C$156)*(1+Pressupostos!$C$157)^0</f>
        <v>12600</v>
      </c>
      <c r="D1806" s="61" t="n">
        <f aca="false">Pressupostos!$D$417*(1+Pressupostos!$C$156)*(1+Pressupostos!$C$157)^1</f>
        <v>12852</v>
      </c>
      <c r="E1806" s="61" t="n">
        <f aca="false">Pressupostos!$E$417*(1+Pressupostos!$C$156)*(1+Pressupostos!$C$157)^2</f>
        <v>13109.04</v>
      </c>
      <c r="F1806" s="61" t="n">
        <f aca="false">Pressupostos!$F$417*(1+Pressupostos!$C$156)*(1+Pressupostos!$C$157)^3</f>
        <v>0</v>
      </c>
      <c r="G1806" s="61" t="n">
        <f aca="false">Pressupostos!$G$417*(1+Pressupostos!$C$156)*(1+Pressupostos!$C$157)^4</f>
        <v>0</v>
      </c>
      <c r="H1806" s="2" t="s">
        <v>1348</v>
      </c>
    </row>
    <row r="1807" customFormat="false" ht="15" hidden="false" customHeight="false" outlineLevel="1" collapsed="false">
      <c r="A1807" s="7" t="s">
        <v>454</v>
      </c>
      <c r="B1807" s="8" t="s">
        <v>11</v>
      </c>
      <c r="C1807" s="61" t="n">
        <f aca="false">Pressupostos!$C$423*(1+Pressupostos!$C$156)*(1+Pressupostos!$C$157)^0</f>
        <v>31500</v>
      </c>
      <c r="D1807" s="61" t="n">
        <f aca="false">Pressupostos!$D$423*(1+Pressupostos!$C$156)*(1+Pressupostos!$C$157)^1</f>
        <v>42840</v>
      </c>
      <c r="E1807" s="61" t="n">
        <f aca="false">Pressupostos!$E$423*(1+Pressupostos!$C$156)*(1+Pressupostos!$C$157)^2</f>
        <v>60083.1</v>
      </c>
      <c r="F1807" s="61" t="n">
        <f aca="false">Pressupostos!$F$423*(1+Pressupostos!$C$156)*(1+Pressupostos!$C$157)^3</f>
        <v>77998.788</v>
      </c>
      <c r="G1807" s="61" t="n">
        <f aca="false">Pressupostos!$G$423*(1+Pressupostos!$C$156)*(1+Pressupostos!$C$157)^4</f>
        <v>96607.07028</v>
      </c>
      <c r="H1807" s="2" t="s">
        <v>1349</v>
      </c>
    </row>
    <row r="1808" customFormat="false" ht="15" hidden="false" customHeight="false" outlineLevel="1" collapsed="false">
      <c r="A1808" s="7" t="s">
        <v>456</v>
      </c>
      <c r="B1808" s="8" t="s">
        <v>11</v>
      </c>
      <c r="C1808" s="61" t="n">
        <f aca="false">Pressupostos!$C$429*(1+Pressupostos!$C$156)*(1+Pressupostos!$C$157)^0</f>
        <v>15750</v>
      </c>
      <c r="D1808" s="61" t="n">
        <f aca="false">Pressupostos!$D$429*(1+Pressupostos!$C$156)*(1+Pressupostos!$C$157)^1</f>
        <v>16065</v>
      </c>
      <c r="E1808" s="61" t="n">
        <f aca="false">Pressupostos!$E$429*(1+Pressupostos!$C$156)*(1+Pressupostos!$C$157)^2</f>
        <v>38234.7</v>
      </c>
      <c r="F1808" s="61" t="n">
        <f aca="false">Pressupostos!$F$429*(1+Pressupostos!$C$156)*(1+Pressupostos!$C$157)^3</f>
        <v>22285.368</v>
      </c>
      <c r="G1808" s="61" t="n">
        <f aca="false">Pressupostos!$G$429*(1+Pressupostos!$C$156)*(1+Pressupostos!$C$157)^4</f>
        <v>22731.07536</v>
      </c>
      <c r="H1808" s="2" t="s">
        <v>1350</v>
      </c>
    </row>
    <row r="1809" customFormat="false" ht="15" hidden="false" customHeight="false" outlineLevel="1" collapsed="false">
      <c r="A1809" s="7" t="s">
        <v>458</v>
      </c>
      <c r="B1809" s="8" t="s">
        <v>11</v>
      </c>
      <c r="C1809" s="61" t="n">
        <f aca="false">Pressupostos!$C$435*(1+Pressupostos!$C$156)*(1+Pressupostos!$C$157)^0</f>
        <v>10500</v>
      </c>
      <c r="D1809" s="61" t="n">
        <f aca="false">Pressupostos!$D$435*(1+Pressupostos!$C$156)*(1+Pressupostos!$C$157)^1</f>
        <v>12852</v>
      </c>
      <c r="E1809" s="61" t="n">
        <f aca="false">Pressupostos!$E$435*(1+Pressupostos!$C$156)*(1+Pressupostos!$C$157)^2</f>
        <v>16386.3</v>
      </c>
      <c r="F1809" s="61" t="n">
        <f aca="false">Pressupostos!$F$435*(1+Pressupostos!$C$156)*(1+Pressupostos!$C$157)^3</f>
        <v>20056.8312</v>
      </c>
      <c r="G1809" s="61" t="n">
        <f aca="false">Pressupostos!$G$435*(1+Pressupostos!$C$156)*(1+Pressupostos!$C$157)^4</f>
        <v>22731.07536</v>
      </c>
      <c r="H1809" s="2" t="s">
        <v>1351</v>
      </c>
    </row>
    <row r="1810" customFormat="false" ht="15" hidden="false" customHeight="false" outlineLevel="1" collapsed="false">
      <c r="A1810" s="7" t="s">
        <v>459</v>
      </c>
      <c r="B1810" s="8" t="s">
        <v>11</v>
      </c>
      <c r="C1810" s="61" t="n">
        <f aca="false">Pressupostos!$C$441*(1+Pressupostos!$C$156)*(1+Pressupostos!$C$157)^0</f>
        <v>42000</v>
      </c>
      <c r="D1810" s="61" t="n">
        <f aca="false">Pressupostos!$D$441*(1+Pressupostos!$C$156)*(1+Pressupostos!$C$157)^1</f>
        <v>53550</v>
      </c>
      <c r="E1810" s="61" t="n">
        <f aca="false">Pressupostos!$E$441*(1+Pressupostos!$C$156)*(1+Pressupostos!$C$157)^2</f>
        <v>76469.4</v>
      </c>
      <c r="F1810" s="61" t="n">
        <f aca="false">Pressupostos!$F$441*(1+Pressupostos!$C$156)*(1+Pressupostos!$C$157)^3</f>
        <v>100284.156</v>
      </c>
      <c r="G1810" s="61" t="n">
        <f aca="false">Pressupostos!$G$441*(1+Pressupostos!$C$156)*(1+Pressupostos!$C$157)^4</f>
        <v>125020.91448</v>
      </c>
      <c r="H1810" s="2" t="s">
        <v>1352</v>
      </c>
    </row>
    <row r="1811" customFormat="false" ht="15" hidden="false" customHeight="false" outlineLevel="1" collapsed="false">
      <c r="A1811" s="7" t="s">
        <v>461</v>
      </c>
      <c r="B1811" s="8" t="s">
        <v>11</v>
      </c>
      <c r="C1811" s="61" t="n">
        <f aca="false">Pressupostos!$C$447*(1+Pressupostos!$C$156)*(1+Pressupostos!$C$157)^0</f>
        <v>12600</v>
      </c>
      <c r="D1811" s="61" t="n">
        <f aca="false">Pressupostos!$D$447*(1+Pressupostos!$C$156)*(1+Pressupostos!$C$157)^1</f>
        <v>16065</v>
      </c>
      <c r="E1811" s="61" t="n">
        <f aca="false">Pressupostos!$E$447*(1+Pressupostos!$C$156)*(1+Pressupostos!$C$157)^2</f>
        <v>26218.08</v>
      </c>
      <c r="F1811" s="61" t="n">
        <f aca="false">Pressupostos!$F$447*(1+Pressupostos!$C$156)*(1+Pressupostos!$C$157)^3</f>
        <v>33428.052</v>
      </c>
      <c r="G1811" s="61" t="n">
        <f aca="false">Pressupostos!$G$447*(1+Pressupostos!$C$156)*(1+Pressupostos!$C$157)^4</f>
        <v>40915.935648</v>
      </c>
      <c r="H1811" s="2" t="s">
        <v>1353</v>
      </c>
    </row>
    <row r="1812" customFormat="false" ht="15" hidden="false" customHeight="false" outlineLevel="1" collapsed="false">
      <c r="A1812" s="7" t="s">
        <v>463</v>
      </c>
      <c r="B1812" s="8" t="s">
        <v>11</v>
      </c>
      <c r="C1812" s="61" t="n">
        <f aca="false">Pressupostos!$C$453*(1+Pressupostos!$C$156)*(1+Pressupostos!$C$157)^0</f>
        <v>18900</v>
      </c>
      <c r="D1812" s="61" t="n">
        <f aca="false">Pressupostos!$D$453*(1+Pressupostos!$C$156)*(1+Pressupostos!$C$157)^1</f>
        <v>23562</v>
      </c>
      <c r="E1812" s="61" t="n">
        <f aca="false">Pressupostos!$E$453*(1+Pressupostos!$C$156)*(1+Pressupostos!$C$157)^2</f>
        <v>32772.6</v>
      </c>
      <c r="F1812" s="61" t="n">
        <f aca="false">Pressupostos!$F$453*(1+Pressupostos!$C$156)*(1+Pressupostos!$C$157)^3</f>
        <v>42342.1992</v>
      </c>
      <c r="G1812" s="61" t="n">
        <f aca="false">Pressupostos!$G$453*(1+Pressupostos!$C$156)*(1+Pressupostos!$C$157)^4</f>
        <v>51144.91956</v>
      </c>
      <c r="H1812" s="2" t="s">
        <v>1354</v>
      </c>
    </row>
    <row r="1813" customFormat="false" ht="15" hidden="false" customHeight="false" outlineLevel="1" collapsed="false">
      <c r="A1813" s="7" t="s">
        <v>464</v>
      </c>
      <c r="B1813" s="8" t="s">
        <v>11</v>
      </c>
      <c r="C1813" s="61" t="n">
        <f aca="false">Pressupostos!$C$459*(1+Pressupostos!$C$156)*(1+Pressupostos!$C$157)^0</f>
        <v>5250</v>
      </c>
      <c r="D1813" s="61" t="n">
        <f aca="false">Pressupostos!$D$459*(1+Pressupostos!$C$156)*(1+Pressupostos!$C$157)^1</f>
        <v>8568</v>
      </c>
      <c r="E1813" s="61" t="n">
        <f aca="false">Pressupostos!$E$459*(1+Pressupostos!$C$156)*(1+Pressupostos!$C$157)^2</f>
        <v>13109.04</v>
      </c>
      <c r="F1813" s="61" t="n">
        <f aca="false">Pressupostos!$F$459*(1+Pressupostos!$C$156)*(1+Pressupostos!$C$157)^3</f>
        <v>16714.026</v>
      </c>
      <c r="G1813" s="61" t="n">
        <f aca="false">Pressupostos!$G$459*(1+Pressupostos!$C$156)*(1+Pressupostos!$C$157)^4</f>
        <v>17048.30652</v>
      </c>
      <c r="H1813" s="2" t="s">
        <v>1355</v>
      </c>
    </row>
    <row r="1814" customFormat="false" ht="15" hidden="false" customHeight="false" outlineLevel="1" collapsed="false">
      <c r="A1814" s="7" t="s">
        <v>701</v>
      </c>
      <c r="B1814" s="8" t="s">
        <v>11</v>
      </c>
      <c r="C1814" s="61" t="n">
        <f aca="false">C1804+C1805+C1806+C1807+C1808+C1809+C1810+C1811+C1812+C1813</f>
        <v>254100</v>
      </c>
      <c r="D1814" s="61" t="n">
        <f aca="false">D1804+D1805+D1806+D1807+D1808+D1809+D1810+D1811+D1812+D1813</f>
        <v>250614</v>
      </c>
      <c r="E1814" s="61" t="n">
        <f aca="false">E1804+E1805+E1806+E1807+E1808+E1809+E1810+E1811+E1812+E1813</f>
        <v>336465.36</v>
      </c>
      <c r="F1814" s="61" t="n">
        <f aca="false">F1804+F1805+F1806+F1807+F1808+F1809+F1810+F1811+F1812+F1813</f>
        <v>374394.1824</v>
      </c>
      <c r="G1814" s="61" t="n">
        <f aca="false">G1804+G1805+G1806+G1807+G1808+G1809+G1810+G1811+G1812+G1813</f>
        <v>438709.754448</v>
      </c>
      <c r="H1814" s="2" t="s">
        <v>1356</v>
      </c>
    </row>
    <row r="1815" customFormat="false" ht="15" hidden="false" customHeight="false" outlineLevel="1" collapsed="false">
      <c r="A1815" s="7" t="s">
        <v>702</v>
      </c>
      <c r="B1815" s="8" t="s">
        <v>11</v>
      </c>
      <c r="C1815" s="61" t="n">
        <f aca="false">Pressupostos!$C$114+Pressupostos!$C$115+Pressupostos!$C$116*Pressupostos!$C$294+Pressupostos!$C$466+Pressupostos!$C$306</f>
        <v>65000</v>
      </c>
      <c r="D1815" s="61" t="n">
        <f aca="false">Pressupostos!$C$115+Pressupostos!$C$116*Pressupostos!$D$294+Pressupostos!$D$466+Pressupostos!$D$306</f>
        <v>65000</v>
      </c>
      <c r="E1815" s="61" t="n">
        <f aca="false">Pressupostos!$C$115+Pressupostos!$C$116*Pressupostos!$E$294+Pressupostos!$E$466+Pressupostos!$E$306</f>
        <v>70000</v>
      </c>
      <c r="F1815" s="61" t="n">
        <f aca="false">Pressupostos!$C$115+Pressupostos!$C$116*Pressupostos!$F$294+Pressupostos!$F$466+Pressupostos!$F$306</f>
        <v>75000</v>
      </c>
      <c r="G1815" s="61" t="n">
        <f aca="false">Pressupostos!$C$115+Pressupostos!$C$116*Pressupostos!$G$294+Pressupostos!$G$466+Pressupostos!$G$306</f>
        <v>80000</v>
      </c>
      <c r="H1815" s="2" t="s">
        <v>1357</v>
      </c>
    </row>
    <row r="1816" customFormat="false" ht="15" hidden="false" customHeight="false" outlineLevel="1" collapsed="false">
      <c r="A1816" s="7" t="s">
        <v>703</v>
      </c>
      <c r="B1816" s="8" t="s">
        <v>11</v>
      </c>
      <c r="C1816" s="61" t="n">
        <f aca="false">IF(C1628&lt;Pressupostos!$C$120,0,MAX(Pressupostos!$C$300,Pressupostos!$C$118*(C1722+C1723)+Pressupostos!$C$119*C1724))</f>
        <v>0</v>
      </c>
      <c r="D1816" s="61" t="n">
        <f aca="false">IF(D1628&lt;Pressupostos!$C$120,0,MAX(Pressupostos!$D$300,Pressupostos!$C$118*(D1722+D1723)+Pressupostos!$C$119*D1724))</f>
        <v>7047.875</v>
      </c>
      <c r="E1816" s="61" t="n">
        <f aca="false">IF(E1628&lt;Pressupostos!$C$120,0,MAX(Pressupostos!$E$300,Pressupostos!$C$118*(E1722+E1723)+Pressupostos!$C$119*E1724))</f>
        <v>15105.875</v>
      </c>
      <c r="F1816" s="61" t="n">
        <f aca="false">IF(F1628&lt;Pressupostos!$C$120,0,MAX(Pressupostos!$F$300,Pressupostos!$C$118*(F1722+F1723)+Pressupostos!$C$119*F1724))</f>
        <v>25864.125</v>
      </c>
      <c r="G1816" s="61" t="n">
        <f aca="false">IF(G1628&lt;Pressupostos!$C$120,0,MAX(Pressupostos!$G$300,Pressupostos!$C$118*(G1722+G1723)+Pressupostos!$C$119*G1724))</f>
        <v>39253.75</v>
      </c>
      <c r="H1816" s="2" t="s">
        <v>1358</v>
      </c>
    </row>
    <row r="1817" customFormat="false" ht="15" hidden="false" customHeight="false" outlineLevel="1" collapsed="false">
      <c r="A1817" s="56" t="s">
        <v>704</v>
      </c>
      <c r="B1817" s="57" t="s">
        <v>11</v>
      </c>
      <c r="C1817" s="62" t="n">
        <f aca="false">C1814+C1815+C1816</f>
        <v>319100</v>
      </c>
      <c r="D1817" s="62" t="n">
        <f aca="false">D1814+D1815+D1816</f>
        <v>322661.875</v>
      </c>
      <c r="E1817" s="62" t="n">
        <f aca="false">E1814+E1815+E1816</f>
        <v>421571.235</v>
      </c>
      <c r="F1817" s="62" t="n">
        <f aca="false">F1814+F1815+F1816</f>
        <v>475258.3074</v>
      </c>
      <c r="G1817" s="62" t="n">
        <f aca="false">G1814+G1815+G1816</f>
        <v>557963.504448</v>
      </c>
      <c r="H1817" s="2" t="s">
        <v>1359</v>
      </c>
    </row>
    <row r="1818" customFormat="false" ht="15" hidden="false" customHeight="false" outlineLevel="0" collapsed="false">
      <c r="A1818" s="3" t="s">
        <v>1360</v>
      </c>
      <c r="B1818" s="4"/>
      <c r="C1818" s="4"/>
      <c r="D1818" s="4"/>
      <c r="E1818" s="4"/>
      <c r="F1818" s="4"/>
      <c r="G1818" s="4"/>
      <c r="H1818" s="4"/>
    </row>
    <row r="1819" customFormat="false" ht="15" hidden="false" customHeight="false" outlineLevel="1" collapsed="false">
      <c r="A1819" s="7" t="s">
        <v>706</v>
      </c>
      <c r="B1819" s="8" t="s">
        <v>11</v>
      </c>
      <c r="C1819" s="61" t="n">
        <f aca="false">Pressupostos!$C$165*Pressupostos!$C$313</f>
        <v>18000</v>
      </c>
      <c r="D1819" s="61" t="n">
        <f aca="false">Pressupostos!$C$165*Pressupostos!$D$313</f>
        <v>12000</v>
      </c>
      <c r="E1819" s="61" t="n">
        <f aca="false">Pressupostos!$C$165*Pressupostos!$E$313</f>
        <v>12000</v>
      </c>
      <c r="F1819" s="61" t="n">
        <f aca="false">Pressupostos!$C$165*Pressupostos!$F$313</f>
        <v>12000</v>
      </c>
      <c r="G1819" s="61" t="n">
        <f aca="false">Pressupostos!$C$165*Pressupostos!$G$313</f>
        <v>12000</v>
      </c>
      <c r="H1819" s="2" t="s">
        <v>1361</v>
      </c>
    </row>
    <row r="1820" customFormat="false" ht="15" hidden="false" customHeight="false" outlineLevel="1" collapsed="false">
      <c r="A1820" s="7" t="s">
        <v>707</v>
      </c>
      <c r="B1820" s="8" t="s">
        <v>11</v>
      </c>
      <c r="C1820" s="53" t="n">
        <f aca="false">Pressupostos!$C$319</f>
        <v>60000</v>
      </c>
      <c r="D1820" s="53" t="n">
        <f aca="false">Pressupostos!$D$319</f>
        <v>15000</v>
      </c>
      <c r="E1820" s="53" t="n">
        <f aca="false">Pressupostos!$E$319</f>
        <v>15000</v>
      </c>
      <c r="F1820" s="53" t="n">
        <f aca="false">Pressupostos!$F$319</f>
        <v>10000</v>
      </c>
      <c r="G1820" s="53" t="n">
        <f aca="false">Pressupostos!$G$319</f>
        <v>10000</v>
      </c>
      <c r="H1820" s="2" t="s">
        <v>1362</v>
      </c>
    </row>
    <row r="1821" customFormat="false" ht="15" hidden="false" customHeight="false" outlineLevel="1" collapsed="false">
      <c r="A1821" s="7" t="s">
        <v>708</v>
      </c>
      <c r="B1821" s="8" t="s">
        <v>11</v>
      </c>
      <c r="C1821" s="53" t="n">
        <f aca="false">Pressupostos!$C$325</f>
        <v>0</v>
      </c>
      <c r="D1821" s="53" t="n">
        <f aca="false">Pressupostos!$D$325</f>
        <v>15000</v>
      </c>
      <c r="E1821" s="53" t="n">
        <f aca="false">Pressupostos!$E$325</f>
        <v>15000</v>
      </c>
      <c r="F1821" s="53" t="n">
        <f aca="false">Pressupostos!$F$325</f>
        <v>10000</v>
      </c>
      <c r="G1821" s="53" t="n">
        <f aca="false">Pressupostos!$G$325</f>
        <v>10000</v>
      </c>
      <c r="H1821" s="2" t="s">
        <v>1363</v>
      </c>
    </row>
    <row r="1822" customFormat="false" ht="15" hidden="false" customHeight="false" outlineLevel="1" collapsed="false">
      <c r="A1822" s="7" t="s">
        <v>709</v>
      </c>
      <c r="B1822" s="8" t="s">
        <v>11</v>
      </c>
      <c r="C1822" s="61" t="n">
        <f aca="false">Pressupostos!$C$166*MAX(0,C1784)</f>
        <v>14000</v>
      </c>
      <c r="D1822" s="61" t="n">
        <f aca="false">Pressupostos!$C$166*MAX(0,D1784-C1784)</f>
        <v>2000</v>
      </c>
      <c r="E1822" s="61" t="n">
        <f aca="false">Pressupostos!$C$166*MAX(0,E1784-D1784)</f>
        <v>6000</v>
      </c>
      <c r="F1822" s="61" t="n">
        <f aca="false">Pressupostos!$C$166*MAX(0,F1784-E1784)</f>
        <v>6000</v>
      </c>
      <c r="G1822" s="61" t="n">
        <f aca="false">Pressupostos!$C$166*MAX(0,G1784-F1784)</f>
        <v>6000</v>
      </c>
      <c r="H1822" s="2" t="s">
        <v>1364</v>
      </c>
    </row>
    <row r="1823" customFormat="false" ht="15" hidden="false" customHeight="false" outlineLevel="1" collapsed="false">
      <c r="A1823" s="7" t="s">
        <v>424</v>
      </c>
      <c r="B1823" s="8" t="s">
        <v>11</v>
      </c>
      <c r="C1823" s="61" t="n">
        <f aca="false">C1819+C1820+C1821+C1822</f>
        <v>92000</v>
      </c>
      <c r="D1823" s="61" t="n">
        <f aca="false">D1819+D1820+D1821+D1822</f>
        <v>44000</v>
      </c>
      <c r="E1823" s="61" t="n">
        <f aca="false">E1819+E1820+E1821+E1822</f>
        <v>48000</v>
      </c>
      <c r="F1823" s="61" t="n">
        <f aca="false">F1819+F1820+F1821+F1822</f>
        <v>38000</v>
      </c>
      <c r="G1823" s="61" t="n">
        <f aca="false">G1819+G1820+G1821+G1822</f>
        <v>38000</v>
      </c>
      <c r="H1823" s="2" t="s">
        <v>1365</v>
      </c>
    </row>
    <row r="1824" customFormat="false" ht="15" hidden="false" customHeight="false" outlineLevel="1" collapsed="false">
      <c r="A1824" s="7" t="s">
        <v>710</v>
      </c>
      <c r="B1824" s="8" t="s">
        <v>11</v>
      </c>
      <c r="C1824" s="61" t="n">
        <f aca="false">(C1820*((0)&lt;Pressupostos!$C$167))/Pressupostos!$C$167</f>
        <v>20000</v>
      </c>
      <c r="D1824" s="61" t="n">
        <f aca="false">(C1820*((1)&lt;Pressupostos!$C$167)+D1820*((0)&lt;Pressupostos!$C$167))/Pressupostos!$C$167</f>
        <v>25000</v>
      </c>
      <c r="E1824" s="61" t="n">
        <f aca="false">(C1820*((2)&lt;Pressupostos!$C$167)+D1820*((1)&lt;Pressupostos!$C$167)+E1820*((0)&lt;Pressupostos!$C$167))/Pressupostos!$C$167</f>
        <v>30000</v>
      </c>
      <c r="F1824" s="61" t="n">
        <f aca="false">(C1820*((3)&lt;Pressupostos!$C$167)+D1820*((2)&lt;Pressupostos!$C$167)+E1820*((1)&lt;Pressupostos!$C$167)+F1820*((0)&lt;Pressupostos!$C$167))/Pressupostos!$C$167</f>
        <v>13333.3333333333</v>
      </c>
      <c r="G1824" s="61" t="n">
        <f aca="false">(C1820*((4)&lt;Pressupostos!$C$167)+D1820*((3)&lt;Pressupostos!$C$167)+E1820*((2)&lt;Pressupostos!$C$167)+F1820*((1)&lt;Pressupostos!$C$167)+G1820*((0)&lt;Pressupostos!$C$167))/Pressupostos!$C$167</f>
        <v>11666.6666666667</v>
      </c>
      <c r="H1824" s="2" t="s">
        <v>1366</v>
      </c>
    </row>
    <row r="1825" customFormat="false" ht="15" hidden="false" customHeight="false" outlineLevel="1" collapsed="false">
      <c r="A1825" s="7" t="s">
        <v>711</v>
      </c>
      <c r="B1825" s="8" t="s">
        <v>11</v>
      </c>
      <c r="C1825" s="61" t="n">
        <f aca="false">(C1821*((0)&lt;Pressupostos!$C$167))/Pressupostos!$C$167</f>
        <v>0</v>
      </c>
      <c r="D1825" s="61" t="n">
        <f aca="false">(C1821*((1)&lt;Pressupostos!$C$167)+D1821*((0)&lt;Pressupostos!$C$167))/Pressupostos!$C$167</f>
        <v>5000</v>
      </c>
      <c r="E1825" s="61" t="n">
        <f aca="false">(C1821*((2)&lt;Pressupostos!$C$167)+D1821*((1)&lt;Pressupostos!$C$167)+E1821*((0)&lt;Pressupostos!$C$167))/Pressupostos!$C$167</f>
        <v>10000</v>
      </c>
      <c r="F1825" s="61" t="n">
        <f aca="false">(C1821*((3)&lt;Pressupostos!$C$167)+D1821*((2)&lt;Pressupostos!$C$167)+E1821*((1)&lt;Pressupostos!$C$167)+F1821*((0)&lt;Pressupostos!$C$167))/Pressupostos!$C$167</f>
        <v>13333.3333333333</v>
      </c>
      <c r="G1825" s="61" t="n">
        <f aca="false">(C1821*((4)&lt;Pressupostos!$C$167)+D1821*((3)&lt;Pressupostos!$C$167)+E1821*((2)&lt;Pressupostos!$C$167)+F1821*((1)&lt;Pressupostos!$C$167)+G1821*((0)&lt;Pressupostos!$C$167))/Pressupostos!$C$167</f>
        <v>11666.6666666667</v>
      </c>
      <c r="H1825" s="2" t="s">
        <v>1367</v>
      </c>
    </row>
    <row r="1826" customFormat="false" ht="15" hidden="false" customHeight="false" outlineLevel="1" collapsed="false">
      <c r="A1826" s="7" t="s">
        <v>712</v>
      </c>
      <c r="B1826" s="8" t="s">
        <v>11</v>
      </c>
      <c r="C1826" s="61" t="n">
        <f aca="false">(C1819*((0)&lt;Pressupostos!$C$169))/Pressupostos!$C$169</f>
        <v>3600</v>
      </c>
      <c r="D1826" s="61" t="n">
        <f aca="false">(C1819*((1)&lt;Pressupostos!$C$169)+D1819*((0)&lt;Pressupostos!$C$169))/Pressupostos!$C$169</f>
        <v>6000</v>
      </c>
      <c r="E1826" s="61" t="n">
        <f aca="false">(C1819*((2)&lt;Pressupostos!$C$169)+D1819*((1)&lt;Pressupostos!$C$169)+E1819*((0)&lt;Pressupostos!$C$169))/Pressupostos!$C$169</f>
        <v>8400</v>
      </c>
      <c r="F1826" s="61" t="n">
        <f aca="false">(C1819*((3)&lt;Pressupostos!$C$169)+D1819*((2)&lt;Pressupostos!$C$169)+E1819*((1)&lt;Pressupostos!$C$169)+F1819*((0)&lt;Pressupostos!$C$169))/Pressupostos!$C$169</f>
        <v>10800</v>
      </c>
      <c r="G1826" s="61" t="n">
        <f aca="false">(C1819*((4)&lt;Pressupostos!$C$169)+D1819*((3)&lt;Pressupostos!$C$169)+E1819*((2)&lt;Pressupostos!$C$169)+F1819*((1)&lt;Pressupostos!$C$169)+G1819*((0)&lt;Pressupostos!$C$169))/Pressupostos!$C$169</f>
        <v>13200</v>
      </c>
      <c r="H1826" s="2" t="s">
        <v>1368</v>
      </c>
    </row>
    <row r="1827" customFormat="false" ht="15" hidden="false" customHeight="false" outlineLevel="1" collapsed="false">
      <c r="A1827" s="7" t="s">
        <v>713</v>
      </c>
      <c r="B1827" s="8" t="s">
        <v>11</v>
      </c>
      <c r="C1827" s="61" t="n">
        <f aca="false">(C1822*((0)&lt;Pressupostos!$C$168))/Pressupostos!$C$168</f>
        <v>3500</v>
      </c>
      <c r="D1827" s="61" t="n">
        <f aca="false">(C1822*((1)&lt;Pressupostos!$C$168)+D1822*((0)&lt;Pressupostos!$C$168))/Pressupostos!$C$168</f>
        <v>4000</v>
      </c>
      <c r="E1827" s="61" t="n">
        <f aca="false">(C1822*((2)&lt;Pressupostos!$C$168)+D1822*((1)&lt;Pressupostos!$C$168)+E1822*((0)&lt;Pressupostos!$C$168))/Pressupostos!$C$168</f>
        <v>5500</v>
      </c>
      <c r="F1827" s="61" t="n">
        <f aca="false">(C1822*((3)&lt;Pressupostos!$C$168)+D1822*((2)&lt;Pressupostos!$C$168)+E1822*((1)&lt;Pressupostos!$C$168)+F1822*((0)&lt;Pressupostos!$C$168))/Pressupostos!$C$168</f>
        <v>7000</v>
      </c>
      <c r="G1827" s="61" t="n">
        <f aca="false">(C1822*((4)&lt;Pressupostos!$C$168)+D1822*((3)&lt;Pressupostos!$C$168)+E1822*((2)&lt;Pressupostos!$C$168)+F1822*((1)&lt;Pressupostos!$C$168)+G1822*((0)&lt;Pressupostos!$C$168))/Pressupostos!$C$168</f>
        <v>5000</v>
      </c>
      <c r="H1827" s="2" t="s">
        <v>1369</v>
      </c>
    </row>
    <row r="1828" customFormat="false" ht="15" hidden="false" customHeight="false" outlineLevel="1" collapsed="false">
      <c r="A1828" s="7" t="s">
        <v>714</v>
      </c>
      <c r="B1828" s="8" t="s">
        <v>11</v>
      </c>
      <c r="C1828" s="61" t="n">
        <f aca="false">C1824+C1825+C1826+C1827</f>
        <v>27100</v>
      </c>
      <c r="D1828" s="61" t="n">
        <f aca="false">D1824+D1825+D1826+D1827</f>
        <v>40000</v>
      </c>
      <c r="E1828" s="61" t="n">
        <f aca="false">E1824+E1825+E1826+E1827</f>
        <v>53900</v>
      </c>
      <c r="F1828" s="61" t="n">
        <f aca="false">F1824+F1825+F1826+F1827</f>
        <v>44466.6666666667</v>
      </c>
      <c r="G1828" s="61" t="n">
        <f aca="false">G1824+G1825+G1826+G1827</f>
        <v>41533.3333333333</v>
      </c>
      <c r="H1828" s="2" t="s">
        <v>1370</v>
      </c>
    </row>
    <row r="1829" customFormat="false" ht="15" hidden="false" customHeight="false" outlineLevel="0" collapsed="false">
      <c r="A1829" s="3" t="s">
        <v>1371</v>
      </c>
      <c r="B1829" s="4"/>
      <c r="C1829" s="4"/>
      <c r="D1829" s="4"/>
      <c r="E1829" s="4"/>
      <c r="F1829" s="4"/>
      <c r="G1829" s="4"/>
      <c r="H1829" s="4"/>
    </row>
    <row r="1830" customFormat="false" ht="15" hidden="false" customHeight="false" outlineLevel="1" collapsed="false">
      <c r="A1830" s="56" t="s">
        <v>718</v>
      </c>
      <c r="B1830" s="57" t="s">
        <v>11</v>
      </c>
      <c r="C1830" s="62" t="n">
        <f aca="false">C1732</f>
        <v>266560</v>
      </c>
      <c r="D1830" s="62" t="n">
        <f aca="false">D1732</f>
        <v>1775208.75</v>
      </c>
      <c r="E1830" s="62" t="n">
        <f aca="false">E1732</f>
        <v>4047368.75</v>
      </c>
      <c r="F1830" s="62" t="n">
        <f aca="false">F1732</f>
        <v>7014591.25</v>
      </c>
      <c r="G1830" s="62" t="n">
        <f aca="false">G1732</f>
        <v>10738157.5</v>
      </c>
      <c r="H1830" s="2" t="s">
        <v>1372</v>
      </c>
    </row>
    <row r="1831" customFormat="false" ht="15" hidden="false" customHeight="false" outlineLevel="1" collapsed="false">
      <c r="A1831" s="7" t="s">
        <v>688</v>
      </c>
      <c r="B1831" s="8" t="s">
        <v>11</v>
      </c>
      <c r="C1831" s="61" t="n">
        <f aca="false">-C1755</f>
        <v>-243800</v>
      </c>
      <c r="D1831" s="61" t="n">
        <f aca="false">-D1755</f>
        <v>-1623700</v>
      </c>
      <c r="E1831" s="61" t="n">
        <f aca="false">-E1755</f>
        <v>-3665800</v>
      </c>
      <c r="F1831" s="61" t="n">
        <f aca="false">-F1755</f>
        <v>-6319200</v>
      </c>
      <c r="G1831" s="61" t="n">
        <f aca="false">-G1755</f>
        <v>-9651000</v>
      </c>
      <c r="H1831" s="2" t="s">
        <v>1373</v>
      </c>
    </row>
    <row r="1832" customFormat="false" ht="15" hidden="false" customHeight="false" outlineLevel="1" collapsed="false">
      <c r="A1832" s="56" t="s">
        <v>719</v>
      </c>
      <c r="B1832" s="57" t="s">
        <v>11</v>
      </c>
      <c r="C1832" s="62" t="n">
        <f aca="false">C1830+C1831</f>
        <v>22760</v>
      </c>
      <c r="D1832" s="62" t="n">
        <f aca="false">D1830+D1831</f>
        <v>151508.75</v>
      </c>
      <c r="E1832" s="62" t="n">
        <f aca="false">E1830+E1831</f>
        <v>381568.75</v>
      </c>
      <c r="F1832" s="62" t="n">
        <f aca="false">F1830+F1831</f>
        <v>695391.25</v>
      </c>
      <c r="G1832" s="62" t="n">
        <f aca="false">G1830+G1831</f>
        <v>1087157.5</v>
      </c>
      <c r="H1832" s="2" t="s">
        <v>1374</v>
      </c>
    </row>
    <row r="1833" customFormat="false" ht="15" hidden="false" customHeight="false" outlineLevel="1" collapsed="false">
      <c r="A1833" s="2" t="s">
        <v>720</v>
      </c>
      <c r="B1833" s="8" t="s">
        <v>76</v>
      </c>
      <c r="C1833" s="59" t="n">
        <f aca="false">IF(C1830&gt;0,C1832/C1830,0)</f>
        <v>0.0853841536614646</v>
      </c>
      <c r="D1833" s="59" t="n">
        <f aca="false">IF(D1830&gt;0,D1832/D1830,0)</f>
        <v>0.0853470049649089</v>
      </c>
      <c r="E1833" s="59" t="n">
        <f aca="false">IF(E1830&gt;0,E1832/E1830,0)</f>
        <v>0.0942757563169898</v>
      </c>
      <c r="F1833" s="59" t="n">
        <f aca="false">IF(F1830&gt;0,F1832/F1830,0)</f>
        <v>0.0991349638512437</v>
      </c>
      <c r="G1833" s="59" t="n">
        <f aca="false">IF(G1830&gt;0,G1832/G1830,0)</f>
        <v>0.101242461753797</v>
      </c>
      <c r="H1833" s="2" t="s">
        <v>1375</v>
      </c>
    </row>
    <row r="1834" customFormat="false" ht="15" hidden="false" customHeight="false" outlineLevel="1" collapsed="false">
      <c r="A1834" s="7" t="s">
        <v>721</v>
      </c>
      <c r="B1834" s="8" t="s">
        <v>11</v>
      </c>
      <c r="C1834" s="61" t="n">
        <f aca="false">-C1766</f>
        <v>-15335.0780821918</v>
      </c>
      <c r="D1834" s="61" t="n">
        <f aca="false">-D1766</f>
        <v>-104099.425709393</v>
      </c>
      <c r="E1834" s="61" t="n">
        <f aca="false">-E1766</f>
        <v>-242033.543909002</v>
      </c>
      <c r="F1834" s="61" t="n">
        <f aca="false">-F1766</f>
        <v>-433332.051002935</v>
      </c>
      <c r="G1834" s="61" t="n">
        <f aca="false">-G1766</f>
        <v>-668525.072162427</v>
      </c>
      <c r="H1834" s="2" t="s">
        <v>1376</v>
      </c>
    </row>
    <row r="1835" customFormat="false" ht="15" hidden="false" customHeight="false" outlineLevel="1" collapsed="false">
      <c r="A1835" s="7" t="s">
        <v>698</v>
      </c>
      <c r="B1835" s="8" t="s">
        <v>11</v>
      </c>
      <c r="C1835" s="61" t="n">
        <f aca="false">-C1769</f>
        <v>-0</v>
      </c>
      <c r="D1835" s="61" t="n">
        <f aca="false">-D1769</f>
        <v>-23317.0273972603</v>
      </c>
      <c r="E1835" s="61" t="n">
        <f aca="false">-E1769</f>
        <v>-38771.0637842466</v>
      </c>
      <c r="F1835" s="61" t="n">
        <f aca="false">-F1769</f>
        <v>-62547.834760274</v>
      </c>
      <c r="G1835" s="61" t="n">
        <f aca="false">-G1769</f>
        <v>-95536.1558219178</v>
      </c>
      <c r="H1835" s="2" t="s">
        <v>1377</v>
      </c>
    </row>
    <row r="1836" customFormat="false" ht="15" hidden="false" customHeight="false" outlineLevel="1" collapsed="false">
      <c r="A1836" s="56" t="s">
        <v>677</v>
      </c>
      <c r="B1836" s="57" t="s">
        <v>11</v>
      </c>
      <c r="C1836" s="62" t="n">
        <f aca="false">C1832+C1834+C1835</f>
        <v>7424.92191780822</v>
      </c>
      <c r="D1836" s="62" t="n">
        <f aca="false">D1832+D1834+D1835</f>
        <v>24092.2968933462</v>
      </c>
      <c r="E1836" s="62" t="n">
        <f aca="false">E1832+E1834+E1835</f>
        <v>100764.142306751</v>
      </c>
      <c r="F1836" s="62" t="n">
        <f aca="false">F1832+F1834+F1835</f>
        <v>199511.364236791</v>
      </c>
      <c r="G1836" s="62" t="n">
        <f aca="false">G1832+G1834+G1835</f>
        <v>323096.272015656</v>
      </c>
      <c r="H1836" s="2" t="s">
        <v>1378</v>
      </c>
    </row>
    <row r="1837" customFormat="false" ht="15" hidden="false" customHeight="false" outlineLevel="1" collapsed="false">
      <c r="A1837" s="7" t="s">
        <v>261</v>
      </c>
      <c r="B1837" s="8" t="s">
        <v>11</v>
      </c>
      <c r="C1837" s="61" t="n">
        <f aca="false">-C1801</f>
        <v>-400885.59375</v>
      </c>
      <c r="D1837" s="61" t="n">
        <f aca="false">-D1801</f>
        <v>-508017.8875</v>
      </c>
      <c r="E1837" s="61" t="n">
        <f aca="false">-E1801</f>
        <v>-667701.28525</v>
      </c>
      <c r="F1837" s="61" t="n">
        <f aca="false">-F1801</f>
        <v>-855745.92960125</v>
      </c>
      <c r="G1837" s="61" t="n">
        <f aca="false">-G1801</f>
        <v>-1042442.03916396</v>
      </c>
      <c r="H1837" s="2" t="s">
        <v>1379</v>
      </c>
    </row>
    <row r="1838" customFormat="false" ht="15" hidden="false" customHeight="false" outlineLevel="1" collapsed="false">
      <c r="A1838" s="7" t="s">
        <v>722</v>
      </c>
      <c r="B1838" s="8" t="s">
        <v>11</v>
      </c>
      <c r="C1838" s="61" t="n">
        <f aca="false">-C1817</f>
        <v>-319100</v>
      </c>
      <c r="D1838" s="61" t="n">
        <f aca="false">-D1817</f>
        <v>-322661.875</v>
      </c>
      <c r="E1838" s="61" t="n">
        <f aca="false">-E1817</f>
        <v>-421571.235</v>
      </c>
      <c r="F1838" s="61" t="n">
        <f aca="false">-F1817</f>
        <v>-475258.3074</v>
      </c>
      <c r="G1838" s="61" t="n">
        <f aca="false">-G1817</f>
        <v>-557963.504448</v>
      </c>
      <c r="H1838" s="2" t="s">
        <v>1380</v>
      </c>
    </row>
    <row r="1839" customFormat="false" ht="15" hidden="false" customHeight="false" outlineLevel="1" collapsed="false">
      <c r="A1839" s="56" t="s">
        <v>723</v>
      </c>
      <c r="B1839" s="57" t="s">
        <v>11</v>
      </c>
      <c r="C1839" s="62" t="n">
        <f aca="false">C1836+C1837+C1838</f>
        <v>-712560.671832192</v>
      </c>
      <c r="D1839" s="62" t="n">
        <f aca="false">D1836+D1837+D1838</f>
        <v>-806587.465606654</v>
      </c>
      <c r="E1839" s="62" t="n">
        <f aca="false">E1836+E1837+E1838</f>
        <v>-988508.377943249</v>
      </c>
      <c r="F1839" s="62" t="n">
        <f aca="false">F1836+F1837+F1838</f>
        <v>-1131492.87276446</v>
      </c>
      <c r="G1839" s="62" t="n">
        <f aca="false">G1836+G1837+G1838</f>
        <v>-1277309.27159631</v>
      </c>
      <c r="H1839" s="2" t="s">
        <v>1381</v>
      </c>
    </row>
    <row r="1840" customFormat="false" ht="15" hidden="false" customHeight="false" outlineLevel="1" collapsed="false">
      <c r="A1840" s="2" t="s">
        <v>725</v>
      </c>
      <c r="B1840" s="8" t="s">
        <v>76</v>
      </c>
      <c r="C1840" s="59" t="n">
        <f aca="false">IF(C1830&gt;0,C1839/C1830,0)</f>
        <v>-2.67317178808595</v>
      </c>
      <c r="D1840" s="59" t="n">
        <f aca="false">IF(D1830&gt;0,D1839/D1830,0)</f>
        <v>-0.454362038045753</v>
      </c>
      <c r="E1840" s="59" t="n">
        <f aca="false">IF(E1830&gt;0,E1839/E1830,0)</f>
        <v>-0.24423481995389</v>
      </c>
      <c r="F1840" s="59" t="n">
        <f aca="false">IF(F1830&gt;0,F1839/F1830,0)</f>
        <v>-0.161305603197401</v>
      </c>
      <c r="G1840" s="59" t="n">
        <f aca="false">IF(G1830&gt;0,G1839/G1830,0)</f>
        <v>-0.118950506322552</v>
      </c>
      <c r="H1840" s="2" t="s">
        <v>1382</v>
      </c>
    </row>
    <row r="1841" customFormat="false" ht="15" hidden="false" customHeight="false" outlineLevel="1" collapsed="false">
      <c r="A1841" s="2" t="s">
        <v>726</v>
      </c>
      <c r="B1841" s="8" t="s">
        <v>11</v>
      </c>
      <c r="C1841" s="61" t="n">
        <f aca="false">C1839+C1769</f>
        <v>-712560.671832192</v>
      </c>
      <c r="D1841" s="61" t="n">
        <f aca="false">D1839+D1769</f>
        <v>-783270.438209394</v>
      </c>
      <c r="E1841" s="61" t="n">
        <f aca="false">E1839+E1769</f>
        <v>-949737.314159002</v>
      </c>
      <c r="F1841" s="61" t="n">
        <f aca="false">F1839+F1769</f>
        <v>-1068945.03800419</v>
      </c>
      <c r="G1841" s="61" t="n">
        <f aca="false">G1839+G1769</f>
        <v>-1181773.11577439</v>
      </c>
      <c r="H1841" s="2" t="s">
        <v>1383</v>
      </c>
    </row>
    <row r="1842" customFormat="false" ht="15" hidden="false" customHeight="false" outlineLevel="1" collapsed="false">
      <c r="A1842" s="7" t="s">
        <v>714</v>
      </c>
      <c r="B1842" s="8" t="s">
        <v>11</v>
      </c>
      <c r="C1842" s="61" t="n">
        <f aca="false">-C1828</f>
        <v>-27100</v>
      </c>
      <c r="D1842" s="61" t="n">
        <f aca="false">-D1828</f>
        <v>-40000</v>
      </c>
      <c r="E1842" s="61" t="n">
        <f aca="false">-E1828</f>
        <v>-53900</v>
      </c>
      <c r="F1842" s="61" t="n">
        <f aca="false">-F1828</f>
        <v>-44466.6666666667</v>
      </c>
      <c r="G1842" s="61" t="n">
        <f aca="false">-G1828</f>
        <v>-41533.3333333333</v>
      </c>
      <c r="H1842" s="2" t="s">
        <v>1384</v>
      </c>
    </row>
    <row r="1843" customFormat="false" ht="15" hidden="false" customHeight="false" outlineLevel="1" collapsed="false">
      <c r="A1843" s="56" t="s">
        <v>727</v>
      </c>
      <c r="B1843" s="57" t="s">
        <v>11</v>
      </c>
      <c r="C1843" s="62" t="n">
        <f aca="false">C1839+C1842</f>
        <v>-739660.671832192</v>
      </c>
      <c r="D1843" s="62" t="n">
        <f aca="false">D1839+D1842</f>
        <v>-846587.465606654</v>
      </c>
      <c r="E1843" s="62" t="n">
        <f aca="false">E1839+E1842</f>
        <v>-1042408.37794325</v>
      </c>
      <c r="F1843" s="62" t="n">
        <f aca="false">F1839+F1842</f>
        <v>-1175959.53943113</v>
      </c>
      <c r="G1843" s="62" t="n">
        <f aca="false">G1839+G1842</f>
        <v>-1318842.60492964</v>
      </c>
      <c r="H1843" s="2" t="s">
        <v>1385</v>
      </c>
    </row>
    <row r="1844" customFormat="false" ht="15" hidden="false" customHeight="false" outlineLevel="0" collapsed="false">
      <c r="A1844" s="3" t="s">
        <v>1386</v>
      </c>
      <c r="B1844" s="4"/>
      <c r="C1844" s="4"/>
      <c r="D1844" s="4"/>
      <c r="E1844" s="4"/>
      <c r="F1844" s="4"/>
      <c r="G1844" s="4"/>
      <c r="H1844" s="4"/>
    </row>
    <row r="1845" customFormat="false" ht="15" hidden="false" customHeight="false" outlineLevel="1" collapsed="false">
      <c r="A1845" s="7" t="s">
        <v>729</v>
      </c>
      <c r="B1845" s="8" t="s">
        <v>11</v>
      </c>
      <c r="C1845" s="61" t="n">
        <f aca="false">C1843</f>
        <v>-739660.671832192</v>
      </c>
      <c r="D1845" s="61" t="n">
        <f aca="false">D1843</f>
        <v>-846587.465606654</v>
      </c>
      <c r="E1845" s="61" t="n">
        <f aca="false">E1843</f>
        <v>-1042408.37794325</v>
      </c>
      <c r="F1845" s="61" t="n">
        <f aca="false">F1843</f>
        <v>-1175959.53943113</v>
      </c>
      <c r="G1845" s="61" t="n">
        <f aca="false">G1843</f>
        <v>-1318842.60492964</v>
      </c>
      <c r="H1845" s="2" t="s">
        <v>1387</v>
      </c>
    </row>
    <row r="1846" customFormat="false" ht="15" hidden="false" customHeight="false" outlineLevel="1" collapsed="false">
      <c r="A1846" s="7" t="s">
        <v>730</v>
      </c>
      <c r="B1846" s="8" t="s">
        <v>11</v>
      </c>
      <c r="C1846" s="61" t="n">
        <f aca="false">0</f>
        <v>0</v>
      </c>
      <c r="D1846" s="61" t="n">
        <f aca="false">C1849</f>
        <v>739660.671832192</v>
      </c>
      <c r="E1846" s="61" t="n">
        <f aca="false">D1849</f>
        <v>1586248.13743885</v>
      </c>
      <c r="F1846" s="61" t="n">
        <f aca="false">E1849</f>
        <v>2628656.51538209</v>
      </c>
      <c r="G1846" s="61" t="n">
        <f aca="false">F1849</f>
        <v>3804616.05481322</v>
      </c>
      <c r="H1846" s="2" t="s">
        <v>1388</v>
      </c>
    </row>
    <row r="1847" customFormat="false" ht="15" hidden="false" customHeight="false" outlineLevel="1" collapsed="false">
      <c r="A1847" s="7" t="s">
        <v>731</v>
      </c>
      <c r="B1847" s="8" t="s">
        <v>11</v>
      </c>
      <c r="C1847" s="61" t="n">
        <f aca="false">MAX(0,-C1845)</f>
        <v>739660.671832192</v>
      </c>
      <c r="D1847" s="61" t="n">
        <f aca="false">MAX(0,-D1845)</f>
        <v>846587.465606654</v>
      </c>
      <c r="E1847" s="61" t="n">
        <f aca="false">MAX(0,-E1845)</f>
        <v>1042408.37794325</v>
      </c>
      <c r="F1847" s="61" t="n">
        <f aca="false">MAX(0,-F1845)</f>
        <v>1175959.53943113</v>
      </c>
      <c r="G1847" s="61" t="n">
        <f aca="false">MAX(0,-G1845)</f>
        <v>1318842.60492964</v>
      </c>
      <c r="H1847" s="2" t="s">
        <v>1389</v>
      </c>
    </row>
    <row r="1848" customFormat="false" ht="15" hidden="false" customHeight="false" outlineLevel="1" collapsed="false">
      <c r="A1848" s="7" t="s">
        <v>732</v>
      </c>
      <c r="B1848" s="8" t="s">
        <v>11</v>
      </c>
      <c r="C1848" s="61" t="n">
        <f aca="false">MIN(C1846,Pressupostos!$C$181*MAX(0,C1845))</f>
        <v>0</v>
      </c>
      <c r="D1848" s="61" t="n">
        <f aca="false">MIN(D1846,Pressupostos!$C$181*MAX(0,D1845))</f>
        <v>0</v>
      </c>
      <c r="E1848" s="61" t="n">
        <f aca="false">MIN(E1846,Pressupostos!$C$181*MAX(0,E1845))</f>
        <v>0</v>
      </c>
      <c r="F1848" s="61" t="n">
        <f aca="false">MIN(F1846,Pressupostos!$C$181*MAX(0,F1845))</f>
        <v>0</v>
      </c>
      <c r="G1848" s="61" t="n">
        <f aca="false">MIN(G1846,Pressupostos!$C$181*MAX(0,G1845))</f>
        <v>0</v>
      </c>
      <c r="H1848" s="2" t="s">
        <v>1390</v>
      </c>
    </row>
    <row r="1849" customFormat="false" ht="15" hidden="false" customHeight="false" outlineLevel="1" collapsed="false">
      <c r="A1849" s="7" t="s">
        <v>733</v>
      </c>
      <c r="B1849" s="8" t="s">
        <v>11</v>
      </c>
      <c r="C1849" s="61" t="n">
        <f aca="false">C1846+C1847-C1848</f>
        <v>739660.671832192</v>
      </c>
      <c r="D1849" s="61" t="n">
        <f aca="false">D1846+D1847-D1848</f>
        <v>1586248.13743885</v>
      </c>
      <c r="E1849" s="61" t="n">
        <f aca="false">E1846+E1847-E1848</f>
        <v>2628656.51538209</v>
      </c>
      <c r="F1849" s="61" t="n">
        <f aca="false">F1846+F1847-F1848</f>
        <v>3804616.05481322</v>
      </c>
      <c r="G1849" s="61" t="n">
        <f aca="false">G1846+G1847-G1848</f>
        <v>5123458.65974286</v>
      </c>
      <c r="H1849" s="2" t="s">
        <v>1391</v>
      </c>
    </row>
    <row r="1850" customFormat="false" ht="15" hidden="false" customHeight="false" outlineLevel="1" collapsed="false">
      <c r="A1850" s="7" t="s">
        <v>734</v>
      </c>
      <c r="B1850" s="8" t="s">
        <v>11</v>
      </c>
      <c r="C1850" s="61" t="n">
        <f aca="false">MAX(0,C1845)-C1848</f>
        <v>0</v>
      </c>
      <c r="D1850" s="61" t="n">
        <f aca="false">MAX(0,D1845)-D1848</f>
        <v>0</v>
      </c>
      <c r="E1850" s="61" t="n">
        <f aca="false">MAX(0,E1845)-E1848</f>
        <v>0</v>
      </c>
      <c r="F1850" s="61" t="n">
        <f aca="false">MAX(0,F1845)-F1848</f>
        <v>0</v>
      </c>
      <c r="G1850" s="61" t="n">
        <f aca="false">MAX(0,G1845)-G1848</f>
        <v>0</v>
      </c>
      <c r="H1850" s="2" t="s">
        <v>1392</v>
      </c>
    </row>
    <row r="1851" customFormat="false" ht="15" hidden="false" customHeight="false" outlineLevel="1" collapsed="false">
      <c r="A1851" s="7" t="s">
        <v>735</v>
      </c>
      <c r="B1851" s="8" t="s">
        <v>11</v>
      </c>
      <c r="C1851" s="61" t="n">
        <f aca="false">Pressupostos!$C$172*MIN(C1850,Pressupostos!$C$173)+Pressupostos!$C$467*MAX(0,C1850-Pressupostos!$C$173)</f>
        <v>0</v>
      </c>
      <c r="D1851" s="61" t="n">
        <f aca="false">Pressupostos!$C$172*MIN(D1850,Pressupostos!$C$173)+Pressupostos!$D$467*MAX(0,D1850-Pressupostos!$C$173)</f>
        <v>0</v>
      </c>
      <c r="E1851" s="61" t="n">
        <f aca="false">Pressupostos!$C$172*MIN(E1850,Pressupostos!$C$173)+Pressupostos!$E$467*MAX(0,E1850-Pressupostos!$C$173)</f>
        <v>0</v>
      </c>
      <c r="F1851" s="61" t="n">
        <f aca="false">Pressupostos!$C$172*MIN(F1850,Pressupostos!$C$173)+Pressupostos!$F$467*MAX(0,F1850-Pressupostos!$C$173)</f>
        <v>0</v>
      </c>
      <c r="G1851" s="61" t="n">
        <f aca="false">Pressupostos!$C$172*MIN(G1850,Pressupostos!$C$173)+Pressupostos!$G$467*MAX(0,G1850-Pressupostos!$C$173)</f>
        <v>0</v>
      </c>
      <c r="H1851" s="2" t="s">
        <v>1393</v>
      </c>
    </row>
    <row r="1852" customFormat="false" ht="15" hidden="false" customHeight="false" outlineLevel="1" collapsed="false">
      <c r="A1852" s="7" t="s">
        <v>736</v>
      </c>
      <c r="B1852" s="8" t="s">
        <v>11</v>
      </c>
      <c r="C1852" s="61" t="n">
        <f aca="false">Pressupostos!$C$174*MAX(0,C1845)</f>
        <v>0</v>
      </c>
      <c r="D1852" s="61" t="n">
        <f aca="false">Pressupostos!$C$174*MAX(0,D1845)</f>
        <v>0</v>
      </c>
      <c r="E1852" s="61" t="n">
        <f aca="false">Pressupostos!$C$174*MAX(0,E1845)</f>
        <v>0</v>
      </c>
      <c r="F1852" s="61" t="n">
        <f aca="false">Pressupostos!$C$174*MAX(0,F1845)</f>
        <v>0</v>
      </c>
      <c r="G1852" s="61" t="n">
        <f aca="false">Pressupostos!$C$174*MAX(0,G1845)</f>
        <v>0</v>
      </c>
      <c r="H1852" s="2" t="s">
        <v>1394</v>
      </c>
    </row>
    <row r="1853" customFormat="false" ht="15" hidden="false" customHeight="false" outlineLevel="1" collapsed="false">
      <c r="A1853" s="7" t="s">
        <v>737</v>
      </c>
      <c r="B1853" s="8" t="s">
        <v>11</v>
      </c>
      <c r="C1853" s="61" t="n">
        <f aca="false">Pressupostos!$C$176*MAX(0,MIN(C1845,Pressupostos!$C$177)-Pressupostos!$C$175)+Pressupostos!$C$178*MAX(0,MIN(C1845,Pressupostos!$C$179)-Pressupostos!$C$177)+Pressupostos!$C$180*MAX(0,C1845-Pressupostos!$C$179)</f>
        <v>0</v>
      </c>
      <c r="D1853" s="61" t="n">
        <f aca="false">Pressupostos!$C$176*MAX(0,MIN(D1845,Pressupostos!$C$177)-Pressupostos!$C$175)+Pressupostos!$C$178*MAX(0,MIN(D1845,Pressupostos!$C$179)-Pressupostos!$C$177)+Pressupostos!$C$180*MAX(0,D1845-Pressupostos!$C$179)</f>
        <v>0</v>
      </c>
      <c r="E1853" s="61" t="n">
        <f aca="false">Pressupostos!$C$176*MAX(0,MIN(E1845,Pressupostos!$C$177)-Pressupostos!$C$175)+Pressupostos!$C$178*MAX(0,MIN(E1845,Pressupostos!$C$179)-Pressupostos!$C$177)+Pressupostos!$C$180*MAX(0,E1845-Pressupostos!$C$179)</f>
        <v>0</v>
      </c>
      <c r="F1853" s="61" t="n">
        <f aca="false">Pressupostos!$C$176*MAX(0,MIN(F1845,Pressupostos!$C$177)-Pressupostos!$C$175)+Pressupostos!$C$178*MAX(0,MIN(F1845,Pressupostos!$C$179)-Pressupostos!$C$177)+Pressupostos!$C$180*MAX(0,F1845-Pressupostos!$C$179)</f>
        <v>0</v>
      </c>
      <c r="G1853" s="61" t="n">
        <f aca="false">Pressupostos!$C$176*MAX(0,MIN(G1845,Pressupostos!$C$177)-Pressupostos!$C$175)+Pressupostos!$C$178*MAX(0,MIN(G1845,Pressupostos!$C$179)-Pressupostos!$C$177)+Pressupostos!$C$180*MAX(0,G1845-Pressupostos!$C$179)</f>
        <v>0</v>
      </c>
      <c r="H1853" s="2" t="s">
        <v>1395</v>
      </c>
    </row>
    <row r="1854" customFormat="false" ht="15" hidden="false" customHeight="false" outlineLevel="1" collapsed="false">
      <c r="A1854" s="7" t="s">
        <v>738</v>
      </c>
      <c r="B1854" s="8" t="s">
        <v>11</v>
      </c>
      <c r="C1854" s="61" t="n">
        <f aca="false">C1851+C1852+C1853</f>
        <v>0</v>
      </c>
      <c r="D1854" s="61" t="n">
        <f aca="false">D1851+D1852+D1853</f>
        <v>0</v>
      </c>
      <c r="E1854" s="61" t="n">
        <f aca="false">E1851+E1852+E1853</f>
        <v>0</v>
      </c>
      <c r="F1854" s="61" t="n">
        <f aca="false">F1851+F1852+F1853</f>
        <v>0</v>
      </c>
      <c r="G1854" s="61" t="n">
        <f aca="false">G1851+G1852+G1853</f>
        <v>0</v>
      </c>
      <c r="H1854" s="2" t="s">
        <v>1396</v>
      </c>
    </row>
    <row r="1855" customFormat="false" ht="15" hidden="false" customHeight="false" outlineLevel="0" collapsed="false">
      <c r="A1855" s="3" t="s">
        <v>1397</v>
      </c>
      <c r="B1855" s="4"/>
      <c r="C1855" s="4"/>
      <c r="D1855" s="4"/>
      <c r="E1855" s="4"/>
      <c r="F1855" s="4"/>
      <c r="G1855" s="4"/>
      <c r="H1855" s="4"/>
    </row>
    <row r="1856" customFormat="false" ht="15" hidden="false" customHeight="false" outlineLevel="1" collapsed="false">
      <c r="A1856" s="7" t="s">
        <v>738</v>
      </c>
      <c r="B1856" s="8" t="s">
        <v>11</v>
      </c>
      <c r="C1856" s="61" t="n">
        <f aca="false">-C1854</f>
        <v>-0</v>
      </c>
      <c r="D1856" s="61" t="n">
        <f aca="false">-D1854</f>
        <v>-0</v>
      </c>
      <c r="E1856" s="61" t="n">
        <f aca="false">-E1854</f>
        <v>-0</v>
      </c>
      <c r="F1856" s="61" t="n">
        <f aca="false">-F1854</f>
        <v>-0</v>
      </c>
      <c r="G1856" s="61" t="n">
        <f aca="false">-G1854</f>
        <v>-0</v>
      </c>
      <c r="H1856" s="2" t="s">
        <v>1398</v>
      </c>
    </row>
    <row r="1857" customFormat="false" ht="15" hidden="false" customHeight="false" outlineLevel="1" collapsed="false">
      <c r="A1857" s="56" t="s">
        <v>740</v>
      </c>
      <c r="B1857" s="57" t="s">
        <v>11</v>
      </c>
      <c r="C1857" s="62" t="n">
        <f aca="false">C1843+C1856</f>
        <v>-739660.671832192</v>
      </c>
      <c r="D1857" s="62" t="n">
        <f aca="false">D1843+D1856</f>
        <v>-846587.465606654</v>
      </c>
      <c r="E1857" s="62" t="n">
        <f aca="false">E1843+E1856</f>
        <v>-1042408.37794325</v>
      </c>
      <c r="F1857" s="62" t="n">
        <f aca="false">F1843+F1856</f>
        <v>-1175959.53943113</v>
      </c>
      <c r="G1857" s="62" t="n">
        <f aca="false">G1843+G1856</f>
        <v>-1318842.60492964</v>
      </c>
      <c r="H1857" s="2" t="s">
        <v>1399</v>
      </c>
    </row>
    <row r="1858" customFormat="false" ht="15" hidden="false" customHeight="false" outlineLevel="0" collapsed="false">
      <c r="A1858" s="3" t="s">
        <v>1400</v>
      </c>
      <c r="B1858" s="4"/>
      <c r="C1858" s="4"/>
      <c r="D1858" s="4"/>
      <c r="E1858" s="4"/>
      <c r="F1858" s="4"/>
      <c r="G1858" s="4"/>
      <c r="H1858" s="4"/>
    </row>
    <row r="1859" customFormat="false" ht="15" hidden="false" customHeight="false" outlineLevel="1" collapsed="false">
      <c r="A1859" s="7" t="s">
        <v>744</v>
      </c>
      <c r="B1859" s="8" t="s">
        <v>11</v>
      </c>
      <c r="C1859" s="61" t="n">
        <f aca="false">C1631*1000*((C1649+C1652)*C1655/365)+C1632*1000*((C1672+C1675)*C1678/365)+C1634*1000*((C1695+C1698)*C1701/365)</f>
        <v>33682.1917808219</v>
      </c>
      <c r="D1859" s="61" t="n">
        <f aca="false">D1631*1000*((D1649+D1652)*D1655/365)+D1632*1000*((D1672+D1675)*D1678/365)+D1634*1000*((D1695+D1698)*D1701/365)</f>
        <v>196557.534246575</v>
      </c>
      <c r="E1859" s="61" t="n">
        <f aca="false">E1631*1000*((E1649+E1652)*E1655/365)+E1632*1000*((E1672+E1675)*E1678/365)+E1634*1000*((E1695+E1698)*E1701/365)</f>
        <v>306721.232876712</v>
      </c>
      <c r="F1859" s="61" t="n">
        <f aca="false">F1631*1000*((F1649+F1652)*F1655/365)+F1632*1000*((F1672+F1675)*F1678/365)+F1634*1000*((F1695+F1698)*F1701/365)</f>
        <v>530402.054794521</v>
      </c>
      <c r="G1859" s="61" t="n">
        <f aca="false">G1631*1000*((G1649+G1652)*G1655/365)+G1632*1000*((G1672+G1675)*G1678/365)+G1634*1000*((G1695+G1698)*G1701/365)</f>
        <v>805623.287671233</v>
      </c>
      <c r="H1859" s="2" t="s">
        <v>1401</v>
      </c>
    </row>
    <row r="1860" customFormat="false" ht="15" hidden="false" customHeight="false" outlineLevel="1" collapsed="false">
      <c r="A1860" s="7" t="s">
        <v>745</v>
      </c>
      <c r="B1860" s="8" t="s">
        <v>11</v>
      </c>
      <c r="C1860" s="61" t="n">
        <f aca="false">C1859+C1644*1000*Pressupostos!$C$92*Pressupostos!$C$95/365</f>
        <v>33682.1917808219</v>
      </c>
      <c r="D1860" s="61" t="n">
        <f aca="false">D1859+D1644*1000*Pressupostos!$C$92*Pressupostos!$C$95/365</f>
        <v>196557.534246575</v>
      </c>
      <c r="E1860" s="61" t="n">
        <f aca="false">E1859+E1644*1000*Pressupostos!$C$92*Pressupostos!$C$95/365</f>
        <v>332611.643835617</v>
      </c>
      <c r="F1860" s="61" t="n">
        <f aca="false">F1859+F1644*1000*Pressupostos!$C$92*Pressupostos!$C$95/365</f>
        <v>582182.876712329</v>
      </c>
      <c r="G1860" s="61" t="n">
        <f aca="false">G1859+G1644*1000*Pressupostos!$C$92*Pressupostos!$C$95/365</f>
        <v>891924.657534247</v>
      </c>
      <c r="H1860" s="2" t="s">
        <v>1402</v>
      </c>
    </row>
    <row r="1861" customFormat="false" ht="15" hidden="false" customHeight="false" outlineLevel="1" collapsed="false">
      <c r="A1861" s="7" t="s">
        <v>746</v>
      </c>
      <c r="B1861" s="8" t="s">
        <v>11</v>
      </c>
      <c r="C1861" s="61" t="n">
        <f aca="false">C1631*1000*(C1651*C1656/365)+C1632*1000*(C1674*C1679/365)+C1634*1000*(C1697*C1702/365)+C1726*Pressupostos!$C$96/365+(C1728+C1729)*Pressupostos!$C$82/365</f>
        <v>31746.7123287671</v>
      </c>
      <c r="D1861" s="61" t="n">
        <f aca="false">D1631*1000*(D1651*D1656/365)+D1632*1000*(D1674*D1679/365)+D1634*1000*(D1697*D1702/365)+D1726*Pressupostos!$C$96/365+(D1728+D1729)*Pressupostos!$C$82/365</f>
        <v>212483.852739726</v>
      </c>
      <c r="E1861" s="61" t="n">
        <f aca="false">E1631*1000*(E1651*E1656/365)+E1632*1000*(E1674*E1679/365)+E1634*1000*(E1697*E1702/365)+E1726*Pressupostos!$C$96/365+(E1728+E1729)*Pressupostos!$C$82/365</f>
        <v>467377.825342466</v>
      </c>
      <c r="F1861" s="61" t="n">
        <f aca="false">F1631*1000*(F1651*F1656/365)+F1632*1000*(F1674*F1679/365)+F1634*1000*(F1697*F1702/365)+F1726*Pressupostos!$C$96/365+(F1728+F1729)*Pressupostos!$C$82/365</f>
        <v>800351.76369863</v>
      </c>
      <c r="G1861" s="61" t="n">
        <f aca="false">G1631*1000*(G1651*G1656/365)+G1632*1000*(G1674*G1679/365)+G1634*1000*(G1697*G1702/365)+G1726*Pressupostos!$C$96/365+(G1728+G1729)*Pressupostos!$C$82/365</f>
        <v>1219662.7739726</v>
      </c>
      <c r="H1861" s="2" t="s">
        <v>1403</v>
      </c>
    </row>
    <row r="1862" customFormat="false" ht="15" hidden="false" customHeight="false" outlineLevel="1" collapsed="false">
      <c r="A1862" s="7" t="s">
        <v>747</v>
      </c>
      <c r="B1862" s="8" t="s">
        <v>11</v>
      </c>
      <c r="C1862" s="61" t="n">
        <f aca="false">C1631*1000*((C1649+C1652)*Pressupostos!$C$72/365)+C1632*1000*((C1672+C1675)*Pressupostos!$C$72/365)+C1634*1000*((C1695+C1698)*Pressupostos!$C$72/365)+C1644*1000*Pressupostos!$C$92*Pressupostos!$C$97/365</f>
        <v>20038.3561643836</v>
      </c>
      <c r="D1862" s="61" t="n">
        <f aca="false">D1631*1000*((D1649+D1652)*Pressupostos!$C$72/365)+D1632*1000*((D1672+D1675)*Pressupostos!$C$72/365)+D1634*1000*((D1695+D1698)*Pressupostos!$C$72/365)+D1644*1000*Pressupostos!$C$92*Pressupostos!$C$97/365</f>
        <v>133454.794520548</v>
      </c>
      <c r="E1862" s="61" t="n">
        <f aca="false">E1631*1000*((E1649+E1652)*Pressupostos!$C$72/365)+E1632*1000*((E1672+E1675)*Pressupostos!$C$72/365)+E1634*1000*((E1695+E1698)*Pressupostos!$C$72/365)+E1644*1000*Pressupostos!$C$92*Pressupostos!$C$97/365</f>
        <v>301298.630136986</v>
      </c>
      <c r="F1862" s="61" t="n">
        <f aca="false">F1631*1000*((F1649+F1652)*Pressupostos!$C$72/365)+F1632*1000*((F1672+F1675)*Pressupostos!$C$72/365)+F1634*1000*((F1695+F1698)*Pressupostos!$C$72/365)+F1644*1000*Pressupostos!$C$92*Pressupostos!$C$97/365</f>
        <v>519386.301369863</v>
      </c>
      <c r="G1862" s="61" t="n">
        <f aca="false">G1631*1000*((G1649+G1652)*Pressupostos!$C$72/365)+G1632*1000*((G1672+G1675)*Pressupostos!$C$72/365)+G1634*1000*((G1695+G1698)*Pressupostos!$C$72/365)+G1644*1000*Pressupostos!$C$92*Pressupostos!$C$97/365</f>
        <v>793232.876712329</v>
      </c>
      <c r="H1862" s="2" t="s">
        <v>1404</v>
      </c>
    </row>
    <row r="1863" customFormat="false" ht="15" hidden="false" customHeight="false" outlineLevel="1" collapsed="false">
      <c r="A1863" s="56" t="s">
        <v>748</v>
      </c>
      <c r="B1863" s="57" t="s">
        <v>11</v>
      </c>
      <c r="C1863" s="62" t="n">
        <f aca="false">C1860+C1861-C1862</f>
        <v>45390.5479452055</v>
      </c>
      <c r="D1863" s="62" t="n">
        <f aca="false">D1860+D1861-D1862</f>
        <v>275586.592465753</v>
      </c>
      <c r="E1863" s="62" t="n">
        <f aca="false">E1860+E1861-E1862</f>
        <v>498690.839041096</v>
      </c>
      <c r="F1863" s="62" t="n">
        <f aca="false">F1860+F1861-F1862</f>
        <v>863148.339041096</v>
      </c>
      <c r="G1863" s="62" t="n">
        <f aca="false">G1860+G1861-G1862</f>
        <v>1318354.55479452</v>
      </c>
      <c r="H1863" s="2" t="s">
        <v>1405</v>
      </c>
    </row>
    <row r="1864" customFormat="false" ht="15" hidden="false" customHeight="false" outlineLevel="0" collapsed="false">
      <c r="A1864" s="3" t="s">
        <v>1406</v>
      </c>
      <c r="B1864" s="4"/>
      <c r="C1864" s="4"/>
      <c r="D1864" s="4"/>
      <c r="E1864" s="4"/>
      <c r="F1864" s="4"/>
      <c r="G1864" s="4"/>
      <c r="H1864" s="4"/>
    </row>
    <row r="1865" customFormat="false" ht="15" hidden="false" customHeight="false" outlineLevel="1" collapsed="false">
      <c r="A1865" s="56" t="s">
        <v>750</v>
      </c>
      <c r="B1865" s="57" t="s">
        <v>11</v>
      </c>
      <c r="C1865" s="62" t="n">
        <f aca="false">Pressupostos!$C$282*C1863/Pressupostos!$D$31</f>
        <v>0</v>
      </c>
      <c r="D1865" s="62" t="n">
        <f aca="false">Pressupostos!$D$282*D1863/Pressupostos!$D$31</f>
        <v>310034.916523973</v>
      </c>
      <c r="E1865" s="62" t="n">
        <f aca="false">Pressupostos!$E$282*E1863/Pressupostos!$D$31</f>
        <v>561027.193921233</v>
      </c>
      <c r="F1865" s="62" t="n">
        <f aca="false">Pressupostos!$F$282*F1863/Pressupostos!$D$31</f>
        <v>971041.881421233</v>
      </c>
      <c r="G1865" s="62" t="n">
        <f aca="false">Pressupostos!$G$282*G1863/Pressupostos!$D$31</f>
        <v>1483148.87414384</v>
      </c>
      <c r="H1865" s="2" t="s">
        <v>1407</v>
      </c>
    </row>
    <row r="1866" customFormat="false" ht="15" hidden="false" customHeight="false" outlineLevel="1" collapsed="false">
      <c r="A1866" s="7" t="s">
        <v>751</v>
      </c>
      <c r="B1866" s="8" t="s">
        <v>11</v>
      </c>
      <c r="C1866" s="61" t="n">
        <f aca="false">Pressupostos!$C$282*C1863</f>
        <v>0</v>
      </c>
      <c r="D1866" s="61" t="n">
        <f aca="false">Pressupostos!$D$282*D1863</f>
        <v>248027.933219178</v>
      </c>
      <c r="E1866" s="61" t="n">
        <f aca="false">Pressupostos!$E$282*E1863</f>
        <v>448821.755136986</v>
      </c>
      <c r="F1866" s="61" t="n">
        <f aca="false">Pressupostos!$F$282*F1863</f>
        <v>776833.505136986</v>
      </c>
      <c r="G1866" s="61" t="n">
        <f aca="false">Pressupostos!$G$282*G1863</f>
        <v>1186519.09931507</v>
      </c>
      <c r="H1866" s="2" t="s">
        <v>1408</v>
      </c>
    </row>
    <row r="1867" customFormat="false" ht="15" hidden="false" customHeight="false" outlineLevel="1" collapsed="false">
      <c r="A1867" s="7" t="s">
        <v>752</v>
      </c>
      <c r="B1867" s="8" t="s">
        <v>11</v>
      </c>
      <c r="C1867" s="61" t="n">
        <f aca="false">C1865-C1866</f>
        <v>0</v>
      </c>
      <c r="D1867" s="61" t="n">
        <f aca="false">D1865-D1866</f>
        <v>62006.9833047945</v>
      </c>
      <c r="E1867" s="61" t="n">
        <f aca="false">E1865-E1866</f>
        <v>112205.438784247</v>
      </c>
      <c r="F1867" s="61" t="n">
        <f aca="false">F1865-F1866</f>
        <v>194208.376284246</v>
      </c>
      <c r="G1867" s="61" t="n">
        <f aca="false">G1865-G1866</f>
        <v>296629.774828767</v>
      </c>
      <c r="H1867" s="2" t="s">
        <v>1409</v>
      </c>
    </row>
    <row r="1868" customFormat="false" ht="15" hidden="false" customHeight="false" outlineLevel="1" collapsed="false">
      <c r="A1868" s="7" t="s">
        <v>753</v>
      </c>
      <c r="B1868" s="8" t="s">
        <v>11</v>
      </c>
      <c r="C1868" s="61" t="n">
        <f aca="false">C1863-C1866</f>
        <v>45390.5479452055</v>
      </c>
      <c r="D1868" s="61" t="n">
        <f aca="false">D1863-D1866</f>
        <v>27558.6592465754</v>
      </c>
      <c r="E1868" s="61" t="n">
        <f aca="false">E1863-E1866</f>
        <v>49869.0839041096</v>
      </c>
      <c r="F1868" s="61" t="n">
        <f aca="false">F1863-F1866</f>
        <v>86314.8339041096</v>
      </c>
      <c r="G1868" s="61" t="n">
        <f aca="false">G1863-G1866</f>
        <v>131835.455479452</v>
      </c>
      <c r="H1868" s="2" t="s">
        <v>1410</v>
      </c>
    </row>
    <row r="1869" customFormat="false" ht="15" hidden="false" customHeight="false" outlineLevel="1" collapsed="false">
      <c r="A1869" s="7" t="s">
        <v>754</v>
      </c>
      <c r="B1869" s="8" t="s">
        <v>11</v>
      </c>
      <c r="C1869" s="61" t="n">
        <f aca="false">MAX(0,Pressupostos!$C$108-C1868)</f>
        <v>4609.45205479452</v>
      </c>
      <c r="D1869" s="61" t="n">
        <f aca="false">MAX(0,Pressupostos!$C$108-D1868)</f>
        <v>22441.3407534247</v>
      </c>
      <c r="E1869" s="61" t="n">
        <f aca="false">MAX(0,Pressupostos!$C$108-E1868)</f>
        <v>130.916095890396</v>
      </c>
      <c r="F1869" s="61" t="n">
        <f aca="false">MAX(0,Pressupostos!$C$108-F1868)</f>
        <v>0</v>
      </c>
      <c r="G1869" s="61" t="n">
        <f aca="false">MAX(0,Pressupostos!$C$108-G1868)</f>
        <v>0</v>
      </c>
      <c r="H1869" s="2" t="s">
        <v>1411</v>
      </c>
    </row>
    <row r="1870" customFormat="false" ht="15" hidden="false" customHeight="false" outlineLevel="1" collapsed="false">
      <c r="A1870" s="7" t="s">
        <v>755</v>
      </c>
      <c r="B1870" s="8" t="s">
        <v>11</v>
      </c>
      <c r="C1870" s="61" t="n">
        <f aca="false">Pressupostos!$C$109*C1865</f>
        <v>0</v>
      </c>
      <c r="D1870" s="61" t="n">
        <f aca="false">Pressupostos!$C$109*D1865</f>
        <v>15501.7458261986</v>
      </c>
      <c r="E1870" s="61" t="n">
        <f aca="false">Pressupostos!$C$109*E1865</f>
        <v>28051.3596960616</v>
      </c>
      <c r="F1870" s="61" t="n">
        <f aca="false">Pressupostos!$C$109*F1865</f>
        <v>48552.0940710616</v>
      </c>
      <c r="G1870" s="61" t="n">
        <f aca="false">Pressupostos!$C$109*G1865</f>
        <v>74157.4437071918</v>
      </c>
      <c r="H1870" s="2" t="s">
        <v>1412</v>
      </c>
    </row>
    <row r="1871" customFormat="false" ht="15" hidden="false" customHeight="false" outlineLevel="1" collapsed="false">
      <c r="A1871" s="2" t="s">
        <v>756</v>
      </c>
      <c r="B1871" s="8" t="s">
        <v>123</v>
      </c>
      <c r="C1871" s="61" t="n">
        <f aca="false">C1865/Pressupostos!$C$112</f>
        <v>0</v>
      </c>
      <c r="D1871" s="61" t="n">
        <f aca="false">D1865/Pressupostos!$C$112</f>
        <v>6.20069833047945</v>
      </c>
      <c r="E1871" s="61" t="n">
        <f aca="false">E1865/Pressupostos!$C$112</f>
        <v>11.2205438784247</v>
      </c>
      <c r="F1871" s="61" t="n">
        <f aca="false">F1865/Pressupostos!$C$112</f>
        <v>19.4208376284247</v>
      </c>
      <c r="G1871" s="61" t="n">
        <f aca="false">G1865/Pressupostos!$C$112</f>
        <v>29.6629774828767</v>
      </c>
      <c r="H1871" s="2" t="s">
        <v>1413</v>
      </c>
    </row>
    <row r="1872" customFormat="false" ht="15" hidden="false" customHeight="false" outlineLevel="0" collapsed="false">
      <c r="A1872" s="3" t="s">
        <v>1414</v>
      </c>
      <c r="B1872" s="4"/>
      <c r="C1872" s="4"/>
      <c r="D1872" s="4"/>
      <c r="E1872" s="4"/>
      <c r="F1872" s="4"/>
      <c r="G1872" s="4"/>
      <c r="H1872" s="4"/>
    </row>
    <row r="1873" customFormat="false" ht="15" hidden="false" customHeight="false" outlineLevel="1" collapsed="false">
      <c r="A1873" s="7" t="s">
        <v>758</v>
      </c>
      <c r="B1873" s="8" t="s">
        <v>11</v>
      </c>
      <c r="C1873" s="61" t="n">
        <f aca="false">C1839</f>
        <v>-712560.671832192</v>
      </c>
      <c r="D1873" s="61" t="n">
        <f aca="false">D1839</f>
        <v>-806587.465606654</v>
      </c>
      <c r="E1873" s="61" t="n">
        <f aca="false">E1839</f>
        <v>-988508.377943249</v>
      </c>
      <c r="F1873" s="61" t="n">
        <f aca="false">F1839</f>
        <v>-1131492.87276446</v>
      </c>
      <c r="G1873" s="61" t="n">
        <f aca="false">G1839</f>
        <v>-1277309.27159631</v>
      </c>
      <c r="H1873" s="2" t="s">
        <v>1415</v>
      </c>
    </row>
    <row r="1874" customFormat="false" ht="15" hidden="false" customHeight="false" outlineLevel="1" collapsed="false">
      <c r="A1874" s="7" t="s">
        <v>759</v>
      </c>
      <c r="B1874" s="8" t="s">
        <v>11</v>
      </c>
      <c r="C1874" s="61" t="n">
        <f aca="false">-C1854</f>
        <v>-0</v>
      </c>
      <c r="D1874" s="61" t="n">
        <f aca="false">-D1854</f>
        <v>-0</v>
      </c>
      <c r="E1874" s="61" t="n">
        <f aca="false">-E1854</f>
        <v>-0</v>
      </c>
      <c r="F1874" s="61" t="n">
        <f aca="false">-F1854</f>
        <v>-0</v>
      </c>
      <c r="G1874" s="61" t="n">
        <f aca="false">-G1854</f>
        <v>-0</v>
      </c>
      <c r="H1874" s="2" t="s">
        <v>1416</v>
      </c>
    </row>
    <row r="1875" customFormat="false" ht="15" hidden="false" customHeight="false" outlineLevel="1" collapsed="false">
      <c r="A1875" s="7" t="s">
        <v>760</v>
      </c>
      <c r="B1875" s="8" t="s">
        <v>11</v>
      </c>
      <c r="C1875" s="61" t="n">
        <f aca="false">-C1863</f>
        <v>-45390.5479452055</v>
      </c>
      <c r="D1875" s="61" t="n">
        <f aca="false">-(D1863-C1863)</f>
        <v>-230196.044520548</v>
      </c>
      <c r="E1875" s="61" t="n">
        <f aca="false">-(E1863-D1863)</f>
        <v>-223104.246575342</v>
      </c>
      <c r="F1875" s="61" t="n">
        <f aca="false">-(F1863-E1863)</f>
        <v>-364457.5</v>
      </c>
      <c r="G1875" s="61" t="n">
        <f aca="false">-(G1863-F1863)</f>
        <v>-455206.215753425</v>
      </c>
      <c r="H1875" s="2" t="s">
        <v>1417</v>
      </c>
    </row>
    <row r="1876" customFormat="false" ht="15" hidden="false" customHeight="false" outlineLevel="1" collapsed="false">
      <c r="A1876" s="7" t="s">
        <v>424</v>
      </c>
      <c r="B1876" s="8" t="s">
        <v>11</v>
      </c>
      <c r="C1876" s="61" t="n">
        <f aca="false">-C1823</f>
        <v>-92000</v>
      </c>
      <c r="D1876" s="61" t="n">
        <f aca="false">-D1823</f>
        <v>-44000</v>
      </c>
      <c r="E1876" s="61" t="n">
        <f aca="false">-E1823</f>
        <v>-48000</v>
      </c>
      <c r="F1876" s="61" t="n">
        <f aca="false">-F1823</f>
        <v>-38000</v>
      </c>
      <c r="G1876" s="61" t="n">
        <f aca="false">-G1823</f>
        <v>-38000</v>
      </c>
      <c r="H1876" s="2" t="s">
        <v>1418</v>
      </c>
    </row>
    <row r="1877" customFormat="false" ht="15" hidden="false" customHeight="false" outlineLevel="1" collapsed="false">
      <c r="A1877" s="7" t="s">
        <v>761</v>
      </c>
      <c r="B1877" s="8" t="s">
        <v>11</v>
      </c>
      <c r="C1877" s="61" t="n">
        <f aca="false">C1873+C1874+C1875+C1876</f>
        <v>-849951.219777397</v>
      </c>
      <c r="D1877" s="61" t="n">
        <f aca="false">D1873+D1874+D1875+D1876</f>
        <v>-1080783.5101272</v>
      </c>
      <c r="E1877" s="61" t="n">
        <f aca="false">E1873+E1874+E1875+E1876</f>
        <v>-1259612.62451859</v>
      </c>
      <c r="F1877" s="61" t="n">
        <f aca="false">F1873+F1874+F1875+F1876</f>
        <v>-1533950.37276446</v>
      </c>
      <c r="G1877" s="61" t="n">
        <f aca="false">G1873+G1874+G1875+G1876</f>
        <v>-1770515.48734973</v>
      </c>
      <c r="H1877" s="2" t="s">
        <v>1419</v>
      </c>
    </row>
    <row r="1878" customFormat="false" ht="15" hidden="false" customHeight="false" outlineLevel="1" collapsed="false">
      <c r="A1878" s="7" t="s">
        <v>762</v>
      </c>
      <c r="B1878" s="8" t="s">
        <v>11</v>
      </c>
      <c r="C1878" s="61" t="n">
        <f aca="false">C1865</f>
        <v>0</v>
      </c>
      <c r="D1878" s="61" t="n">
        <f aca="false">D1865-C1865</f>
        <v>310034.916523973</v>
      </c>
      <c r="E1878" s="61" t="n">
        <f aca="false">E1865-D1865</f>
        <v>250992.27739726</v>
      </c>
      <c r="F1878" s="61" t="n">
        <f aca="false">F1865-E1865</f>
        <v>410014.6875</v>
      </c>
      <c r="G1878" s="61" t="n">
        <f aca="false">G1865-F1865</f>
        <v>512106.992722603</v>
      </c>
      <c r="H1878" s="2" t="s">
        <v>1420</v>
      </c>
    </row>
    <row r="1879" customFormat="false" ht="15" hidden="false" customHeight="false" outlineLevel="1" collapsed="false">
      <c r="A1879" s="7" t="s">
        <v>763</v>
      </c>
      <c r="B1879" s="8" t="s">
        <v>11</v>
      </c>
      <c r="C1879" s="61" t="n">
        <f aca="false">-C1867</f>
        <v>-0</v>
      </c>
      <c r="D1879" s="61" t="n">
        <f aca="false">-(D1867-C1867)</f>
        <v>-62006.9833047945</v>
      </c>
      <c r="E1879" s="61" t="n">
        <f aca="false">-(E1867-D1867)</f>
        <v>-50198.4554794521</v>
      </c>
      <c r="F1879" s="61" t="n">
        <f aca="false">-(F1867-E1867)</f>
        <v>-82002.9374999999</v>
      </c>
      <c r="G1879" s="61" t="n">
        <f aca="false">-(G1867-F1867)</f>
        <v>-102421.398544521</v>
      </c>
      <c r="H1879" s="2" t="s">
        <v>1421</v>
      </c>
    </row>
    <row r="1880" customFormat="false" ht="15" hidden="false" customHeight="false" outlineLevel="1" collapsed="false">
      <c r="A1880" s="7" t="s">
        <v>764</v>
      </c>
      <c r="B1880" s="8" t="s">
        <v>11</v>
      </c>
      <c r="C1880" s="61" t="n">
        <f aca="false">-C1870</f>
        <v>-0</v>
      </c>
      <c r="D1880" s="61" t="n">
        <f aca="false">-(D1870-C1870)</f>
        <v>-15501.7458261986</v>
      </c>
      <c r="E1880" s="61" t="n">
        <f aca="false">-(E1870-D1870)</f>
        <v>-12549.613869863</v>
      </c>
      <c r="F1880" s="61" t="n">
        <f aca="false">-(F1870-E1870)</f>
        <v>-20500.734375</v>
      </c>
      <c r="G1880" s="61" t="n">
        <f aca="false">-(G1870-F1870)</f>
        <v>-25605.3496361302</v>
      </c>
      <c r="H1880" s="2" t="s">
        <v>1422</v>
      </c>
    </row>
    <row r="1881" customFormat="false" ht="15" hidden="false" customHeight="false" outlineLevel="1" collapsed="false">
      <c r="A1881" s="7" t="s">
        <v>765</v>
      </c>
      <c r="B1881" s="8" t="s">
        <v>11</v>
      </c>
      <c r="C1881" s="61" t="n">
        <f aca="false">-(C1869-Pressupostos!$C$108)</f>
        <v>45390.5479452055</v>
      </c>
      <c r="D1881" s="61" t="n">
        <f aca="false">-(D1869-C1869)</f>
        <v>-17831.8886986301</v>
      </c>
      <c r="E1881" s="61" t="n">
        <f aca="false">-(E1869-D1869)</f>
        <v>22310.4246575343</v>
      </c>
      <c r="F1881" s="61" t="n">
        <f aca="false">-(F1869-E1869)</f>
        <v>130.916095890396</v>
      </c>
      <c r="G1881" s="61" t="n">
        <f aca="false">-(G1869-F1869)</f>
        <v>-0</v>
      </c>
      <c r="H1881" s="2" t="s">
        <v>1423</v>
      </c>
    </row>
    <row r="1882" customFormat="false" ht="15" hidden="false" customHeight="false" outlineLevel="1" collapsed="false">
      <c r="A1882" s="56" t="s">
        <v>766</v>
      </c>
      <c r="B1882" s="57" t="s">
        <v>11</v>
      </c>
      <c r="C1882" s="62" t="n">
        <f aca="false">C1877+C1878+C1879+C1880+C1881</f>
        <v>-804560.671832192</v>
      </c>
      <c r="D1882" s="62" t="n">
        <f aca="false">D1877+D1878+D1879+D1880+D1881</f>
        <v>-866089.211432852</v>
      </c>
      <c r="E1882" s="62" t="n">
        <f aca="false">E1877+E1878+E1879+E1880+E1881</f>
        <v>-1049057.99181311</v>
      </c>
      <c r="F1882" s="62" t="n">
        <f aca="false">F1877+F1878+F1879+F1880+F1881</f>
        <v>-1226308.44104357</v>
      </c>
      <c r="G1882" s="62" t="n">
        <f aca="false">G1877+G1878+G1879+G1880+G1881</f>
        <v>-1386435.24280778</v>
      </c>
      <c r="H1882" s="2" t="s">
        <v>1424</v>
      </c>
    </row>
    <row r="1883" customFormat="false" ht="15" hidden="false" customHeight="false" outlineLevel="1" collapsed="false">
      <c r="A1883" s="56" t="s">
        <v>767</v>
      </c>
      <c r="B1883" s="57" t="s">
        <v>11</v>
      </c>
      <c r="C1883" s="62" t="n">
        <f aca="false">C1882</f>
        <v>-804560.671832192</v>
      </c>
      <c r="D1883" s="62" t="n">
        <f aca="false">C1883+D1882</f>
        <v>-1670649.88326504</v>
      </c>
      <c r="E1883" s="62" t="n">
        <f aca="false">D1883+E1882</f>
        <v>-2719707.87507816</v>
      </c>
      <c r="F1883" s="62" t="n">
        <f aca="false">E1883+F1882</f>
        <v>-3946016.31612173</v>
      </c>
      <c r="G1883" s="62" t="n">
        <f aca="false">F1883+G1882</f>
        <v>-5332451.55892951</v>
      </c>
      <c r="H1883" s="2" t="s">
        <v>1425</v>
      </c>
    </row>
    <row r="1884" customFormat="false" ht="15" hidden="false" customHeight="false" outlineLevel="1" collapsed="false">
      <c r="A1884" s="8" t="s">
        <v>768</v>
      </c>
      <c r="B1884" s="8" t="s">
        <v>11</v>
      </c>
      <c r="C1884" s="70" t="n">
        <f aca="false">ROUND(C1839-C1823-C1854-(MAX(C1868,Pressupostos!$C$108)-Pressupostos!$C$108)-(C1870)-C1882,6)</f>
        <v>0</v>
      </c>
      <c r="D1884" s="70" t="n">
        <f aca="false">ROUND(D1839-D1823-D1854-(MAX(D1868,Pressupostos!$C$108)-MAX(C1868,Pressupostos!$C$108))-(D1870-C1870)-D1882,6)</f>
        <v>0</v>
      </c>
      <c r="E1884" s="70" t="n">
        <f aca="false">ROUND(E1839-E1823-E1854-(MAX(E1868,Pressupostos!$C$108)-MAX(D1868,Pressupostos!$C$108))-(E1870-D1870)-E1882,6)</f>
        <v>0</v>
      </c>
      <c r="F1884" s="70" t="n">
        <f aca="false">ROUND(F1839-F1823-F1854-(MAX(F1868,Pressupostos!$C$108)-MAX(E1868,Pressupostos!$C$108))-(F1870-E1870)-F1882,6)</f>
        <v>0</v>
      </c>
      <c r="G1884" s="70" t="n">
        <f aca="false">ROUND(G1839-G1823-G1854-(MAX(G1868,Pressupostos!$C$108)-MAX(F1868,Pressupostos!$C$108))-(G1870-F1870)-G1882,6)</f>
        <v>0</v>
      </c>
      <c r="H1884" s="2" t="s">
        <v>1426</v>
      </c>
    </row>
    <row r="1885" customFormat="false" ht="15" hidden="false" customHeight="false" outlineLevel="0" collapsed="false">
      <c r="A1885" s="3" t="s">
        <v>1427</v>
      </c>
      <c r="B1885" s="4"/>
      <c r="C1885" s="4"/>
      <c r="D1885" s="4"/>
      <c r="E1885" s="4"/>
      <c r="F1885" s="4"/>
      <c r="G1885" s="4"/>
      <c r="H1885" s="4"/>
    </row>
    <row r="1886" customFormat="false" ht="15" hidden="false" customHeight="false" outlineLevel="1" collapsed="false">
      <c r="A1886" s="7" t="s">
        <v>770</v>
      </c>
      <c r="B1886" s="8" t="s">
        <v>11</v>
      </c>
      <c r="C1886" s="61" t="n">
        <f aca="false">0</f>
        <v>0</v>
      </c>
      <c r="D1886" s="61" t="n">
        <f aca="false">C1891</f>
        <v>150439.328167808</v>
      </c>
      <c r="E1886" s="61" t="n">
        <f aca="false">D1891</f>
        <v>150000</v>
      </c>
      <c r="F1886" s="61" t="n">
        <f aca="false">E1891</f>
        <v>150000</v>
      </c>
      <c r="G1886" s="61" t="n">
        <f aca="false">F1891</f>
        <v>150000</v>
      </c>
      <c r="H1886" s="2" t="s">
        <v>1428</v>
      </c>
    </row>
    <row r="1887" customFormat="false" ht="15" hidden="false" customHeight="false" outlineLevel="1" collapsed="false">
      <c r="A1887" s="7" t="s">
        <v>771</v>
      </c>
      <c r="B1887" s="8" t="s">
        <v>11</v>
      </c>
      <c r="C1887" s="61" t="n">
        <f aca="false">-(Pressupostos!$C$159+Pressupostos!$C$160+Pressupostos!$C$161+Pressupostos!$C$162+Pressupostos!$C$163+Pressupostos!$C$108)</f>
        <v>-145000</v>
      </c>
      <c r="D1887" s="61" t="n">
        <f aca="false">0</f>
        <v>0</v>
      </c>
      <c r="E1887" s="61" t="n">
        <f aca="false">0</f>
        <v>0</v>
      </c>
      <c r="F1887" s="61" t="n">
        <f aca="false">0</f>
        <v>0</v>
      </c>
      <c r="G1887" s="61" t="n">
        <f aca="false">0</f>
        <v>0</v>
      </c>
      <c r="H1887" s="2" t="s">
        <v>1429</v>
      </c>
    </row>
    <row r="1888" customFormat="false" ht="15" hidden="false" customHeight="false" outlineLevel="1" collapsed="false">
      <c r="A1888" s="7" t="s">
        <v>772</v>
      </c>
      <c r="B1888" s="8" t="s">
        <v>11</v>
      </c>
      <c r="C1888" s="53" t="n">
        <f aca="false">Pressupostos!$D$32</f>
        <v>1100000</v>
      </c>
      <c r="D1888" s="61" t="n">
        <f aca="false">0</f>
        <v>0</v>
      </c>
      <c r="E1888" s="61" t="n">
        <f aca="false">0</f>
        <v>0</v>
      </c>
      <c r="F1888" s="61" t="n">
        <f aca="false">0</f>
        <v>0</v>
      </c>
      <c r="G1888" s="61" t="n">
        <f aca="false">0</f>
        <v>0</v>
      </c>
      <c r="H1888" s="2" t="s">
        <v>1430</v>
      </c>
    </row>
    <row r="1889" customFormat="false" ht="15" hidden="false" customHeight="false" outlineLevel="1" collapsed="false">
      <c r="A1889" s="7" t="s">
        <v>773</v>
      </c>
      <c r="B1889" s="8" t="s">
        <v>11</v>
      </c>
      <c r="C1889" s="61" t="n">
        <f aca="false">C1886+C1887+C1888+C1882</f>
        <v>150439.328167808</v>
      </c>
      <c r="D1889" s="61" t="n">
        <f aca="false">D1886+D1887+D1888+D1882</f>
        <v>-715649.883265044</v>
      </c>
      <c r="E1889" s="61" t="n">
        <f aca="false">E1886+E1887+E1888+E1882</f>
        <v>-899057.991813112</v>
      </c>
      <c r="F1889" s="61" t="n">
        <f aca="false">F1886+F1887+F1888+F1882</f>
        <v>-1076308.44104357</v>
      </c>
      <c r="G1889" s="61" t="n">
        <f aca="false">G1886+G1887+G1888+G1882</f>
        <v>-1236435.24280778</v>
      </c>
      <c r="H1889" s="2" t="s">
        <v>1431</v>
      </c>
    </row>
    <row r="1890" customFormat="false" ht="15" hidden="false" customHeight="false" outlineLevel="1" collapsed="false">
      <c r="A1890" s="56" t="s">
        <v>774</v>
      </c>
      <c r="B1890" s="57" t="s">
        <v>11</v>
      </c>
      <c r="C1890" s="62" t="n">
        <f aca="false">MAX(0,Pressupostos!$C$170-C1889)</f>
        <v>0</v>
      </c>
      <c r="D1890" s="62" t="n">
        <f aca="false">MAX(0,Pressupostos!$C$170-D1889)</f>
        <v>865649.883265044</v>
      </c>
      <c r="E1890" s="62" t="n">
        <f aca="false">MAX(0,Pressupostos!$C$170-E1889)</f>
        <v>1049057.99181311</v>
      </c>
      <c r="F1890" s="62" t="n">
        <f aca="false">MAX(0,Pressupostos!$C$170-F1889)</f>
        <v>1226308.44104357</v>
      </c>
      <c r="G1890" s="62" t="n">
        <f aca="false">MAX(0,Pressupostos!$C$170-G1889)</f>
        <v>1386435.24280778</v>
      </c>
      <c r="H1890" s="2" t="s">
        <v>1432</v>
      </c>
    </row>
    <row r="1891" customFormat="false" ht="15" hidden="false" customHeight="false" outlineLevel="1" collapsed="false">
      <c r="A1891" s="56" t="s">
        <v>775</v>
      </c>
      <c r="B1891" s="57" t="s">
        <v>11</v>
      </c>
      <c r="C1891" s="62" t="n">
        <f aca="false">C1889+C1890</f>
        <v>150439.328167808</v>
      </c>
      <c r="D1891" s="62" t="n">
        <f aca="false">D1889+D1890</f>
        <v>150000</v>
      </c>
      <c r="E1891" s="62" t="n">
        <f aca="false">E1889+E1890</f>
        <v>150000</v>
      </c>
      <c r="F1891" s="62" t="n">
        <f aca="false">F1889+F1890</f>
        <v>150000</v>
      </c>
      <c r="G1891" s="62" t="n">
        <f aca="false">G1889+G1890</f>
        <v>150000</v>
      </c>
      <c r="H1891" s="2" t="s">
        <v>1433</v>
      </c>
    </row>
    <row r="1892" customFormat="false" ht="15" hidden="false" customHeight="false" outlineLevel="1" collapsed="false">
      <c r="A1892" s="7" t="s">
        <v>776</v>
      </c>
      <c r="B1892" s="8" t="s">
        <v>11</v>
      </c>
      <c r="C1892" s="61" t="n">
        <f aca="false">C1867+C1870+C1869</f>
        <v>4609.45205479452</v>
      </c>
      <c r="D1892" s="61" t="n">
        <f aca="false">D1867+D1870+D1869</f>
        <v>99950.0698844178</v>
      </c>
      <c r="E1892" s="61" t="n">
        <f aca="false">E1867+E1870+E1869</f>
        <v>140387.714576199</v>
      </c>
      <c r="F1892" s="61" t="n">
        <f aca="false">F1867+F1870+F1869</f>
        <v>242760.470355308</v>
      </c>
      <c r="G1892" s="61" t="n">
        <f aca="false">G1867+G1870+G1869</f>
        <v>370787.218535959</v>
      </c>
      <c r="H1892" s="2" t="s">
        <v>1434</v>
      </c>
    </row>
    <row r="1893" customFormat="false" ht="15" hidden="false" customHeight="false" outlineLevel="1" collapsed="false">
      <c r="A1893" s="7" t="s">
        <v>777</v>
      </c>
      <c r="B1893" s="8" t="s">
        <v>11</v>
      </c>
      <c r="C1893" s="61" t="n">
        <f aca="false">C1891+C1892</f>
        <v>155048.780222603</v>
      </c>
      <c r="D1893" s="61" t="n">
        <f aca="false">D1891+D1892</f>
        <v>249950.069884418</v>
      </c>
      <c r="E1893" s="61" t="n">
        <f aca="false">E1891+E1892</f>
        <v>290387.714576199</v>
      </c>
      <c r="F1893" s="61" t="n">
        <f aca="false">F1891+F1892</f>
        <v>392760.470355308</v>
      </c>
      <c r="G1893" s="61" t="n">
        <f aca="false">G1891+G1892</f>
        <v>520787.218535959</v>
      </c>
      <c r="H1893" s="2" t="s">
        <v>1435</v>
      </c>
    </row>
    <row r="1894" customFormat="false" ht="15" hidden="false" customHeight="false" outlineLevel="1" collapsed="false">
      <c r="A1894" s="7" t="s">
        <v>778</v>
      </c>
      <c r="B1894" s="8" t="s">
        <v>11</v>
      </c>
      <c r="C1894" s="61" t="n">
        <f aca="false">C1888+C1890</f>
        <v>1100000</v>
      </c>
      <c r="D1894" s="61" t="n">
        <f aca="false">C1894+D1888+D1890</f>
        <v>1965649.88326504</v>
      </c>
      <c r="E1894" s="61" t="n">
        <f aca="false">D1894+E1888+E1890</f>
        <v>3014707.87507816</v>
      </c>
      <c r="F1894" s="61" t="n">
        <f aca="false">E1894+F1888+F1890</f>
        <v>4241016.31612173</v>
      </c>
      <c r="G1894" s="61" t="n">
        <f aca="false">F1894+G1888+G1890</f>
        <v>5627451.55892951</v>
      </c>
      <c r="H1894" s="2" t="s">
        <v>1436</v>
      </c>
    </row>
    <row r="1895" customFormat="false" ht="15" hidden="false" customHeight="false" outlineLevel="0" collapsed="false">
      <c r="A1895" s="3" t="s">
        <v>1437</v>
      </c>
      <c r="B1895" s="4"/>
      <c r="C1895" s="4"/>
      <c r="D1895" s="4"/>
      <c r="E1895" s="4"/>
      <c r="F1895" s="4"/>
      <c r="G1895" s="4"/>
      <c r="H1895" s="4"/>
    </row>
    <row r="1896" customFormat="false" ht="15" hidden="false" customHeight="false" outlineLevel="1" collapsed="false">
      <c r="A1896" s="7" t="s">
        <v>782</v>
      </c>
      <c r="B1896" s="8" t="s">
        <v>11</v>
      </c>
      <c r="C1896" s="72" t="n">
        <f aca="false">Pressupostos!$C$159+Pressupostos!$C$160+Pressupostos!$C$161+Pressupostos!$C$162+Pressupostos!$C$163</f>
        <v>95000</v>
      </c>
      <c r="H1896" s="2" t="s">
        <v>1438</v>
      </c>
    </row>
    <row r="1897" customFormat="false" ht="15" hidden="false" customHeight="false" outlineLevel="1" collapsed="false">
      <c r="A1897" s="7" t="s">
        <v>783</v>
      </c>
      <c r="B1897" s="8" t="s">
        <v>11</v>
      </c>
      <c r="C1897" s="73" t="n">
        <f aca="false">Pressupostos!$C$108</f>
        <v>50000</v>
      </c>
      <c r="H1897" s="2" t="s">
        <v>1439</v>
      </c>
    </row>
    <row r="1898" customFormat="false" ht="15" hidden="false" customHeight="false" outlineLevel="1" collapsed="false">
      <c r="A1898" s="7" t="s">
        <v>322</v>
      </c>
      <c r="B1898" s="8" t="s">
        <v>11</v>
      </c>
      <c r="C1898" s="73" t="n">
        <f aca="false">Pressupostos!$C$170</f>
        <v>150000</v>
      </c>
      <c r="H1898" s="2" t="s">
        <v>1440</v>
      </c>
    </row>
    <row r="1899" customFormat="false" ht="15" hidden="false" customHeight="false" outlineLevel="1" collapsed="false">
      <c r="A1899" s="7" t="s">
        <v>784</v>
      </c>
      <c r="B1899" s="8" t="s">
        <v>11</v>
      </c>
      <c r="C1899" s="72" t="n">
        <f aca="false">MAX(0,-MIN($C$1883:$G$1883))</f>
        <v>5332451.55892951</v>
      </c>
      <c r="H1899" s="2" t="s">
        <v>1441</v>
      </c>
    </row>
    <row r="1900" customFormat="false" ht="15" hidden="false" customHeight="false" outlineLevel="1" collapsed="false">
      <c r="A1900" s="56" t="s">
        <v>785</v>
      </c>
      <c r="B1900" s="57" t="s">
        <v>11</v>
      </c>
      <c r="C1900" s="74" t="n">
        <f aca="false">C1896+C1897+C1898+C1899</f>
        <v>5627451.55892951</v>
      </c>
      <c r="H1900" s="2" t="s">
        <v>1442</v>
      </c>
    </row>
    <row r="1901" customFormat="false" ht="15" hidden="false" customHeight="false" outlineLevel="1" collapsed="false">
      <c r="A1901" s="7" t="s">
        <v>786</v>
      </c>
      <c r="B1901" s="8" t="s">
        <v>20</v>
      </c>
      <c r="C1901" s="75" t="n">
        <f aca="false">INDEX($C$1628:$G$1628,1,MATCH(MIN($C$1883:$G$1883),$C$1883:$G$1883,0))</f>
        <v>2031</v>
      </c>
      <c r="H1901" s="2" t="s">
        <v>1443</v>
      </c>
    </row>
    <row r="1902" customFormat="false" ht="15" hidden="false" customHeight="false" outlineLevel="1" collapsed="false">
      <c r="A1902" s="7" t="s">
        <v>787</v>
      </c>
      <c r="B1902" s="8"/>
      <c r="C1902" s="76" t="str">
        <f aca="false">IF(G1882&lt;0,"sim","não")</f>
        <v>sim</v>
      </c>
      <c r="H1902" s="2" t="s">
        <v>1444</v>
      </c>
    </row>
    <row r="1903" customFormat="false" ht="15" hidden="false" customHeight="false" outlineLevel="1" collapsed="false">
      <c r="A1903" s="7" t="s">
        <v>788</v>
      </c>
      <c r="B1903" s="8" t="s">
        <v>11</v>
      </c>
      <c r="C1903" s="72" t="n">
        <f aca="false">G1894</f>
        <v>5627451.55892951</v>
      </c>
      <c r="H1903" s="2" t="s">
        <v>1445</v>
      </c>
    </row>
    <row r="1904" customFormat="false" ht="15" hidden="false" customHeight="false" outlineLevel="0" collapsed="false">
      <c r="A1904" s="3" t="s">
        <v>1446</v>
      </c>
      <c r="B1904" s="4"/>
      <c r="C1904" s="4"/>
      <c r="D1904" s="4"/>
      <c r="E1904" s="4"/>
      <c r="F1904" s="4"/>
      <c r="G1904" s="4"/>
      <c r="H1904" s="4"/>
    </row>
    <row r="1905" customFormat="false" ht="15" hidden="false" customHeight="false" outlineLevel="1" collapsed="false">
      <c r="A1905" s="7" t="s">
        <v>790</v>
      </c>
      <c r="B1905" s="8" t="s">
        <v>11</v>
      </c>
      <c r="C1905" s="72" t="n">
        <f aca="false">C1896+C1897</f>
        <v>145000</v>
      </c>
      <c r="H1905" s="2" t="s">
        <v>1447</v>
      </c>
    </row>
    <row r="1906" customFormat="false" ht="15" hidden="false" customHeight="false" outlineLevel="1" collapsed="false">
      <c r="A1906" s="7" t="s">
        <v>791</v>
      </c>
      <c r="B1906" s="8" t="s">
        <v>11</v>
      </c>
      <c r="C1906" s="72" t="n">
        <f aca="false">-SUMPRODUCT(($C$1628:$G$1628&lt;=C1901)*$C$1839:$G$1839)</f>
        <v>4916458.65974286</v>
      </c>
      <c r="H1906" s="2" t="s">
        <v>1448</v>
      </c>
    </row>
    <row r="1907" customFormat="false" ht="15" hidden="false" customHeight="false" outlineLevel="1" collapsed="false">
      <c r="A1907" s="7" t="s">
        <v>424</v>
      </c>
      <c r="B1907" s="8" t="s">
        <v>11</v>
      </c>
      <c r="C1907" s="72" t="n">
        <f aca="false">SUMPRODUCT(($C$1628:$G$1628&lt;=C1901)*$C$1823:$G$1823)</f>
        <v>260000</v>
      </c>
      <c r="H1907" s="2" t="s">
        <v>1449</v>
      </c>
    </row>
    <row r="1908" customFormat="false" ht="15" hidden="false" customHeight="false" outlineLevel="1" collapsed="false">
      <c r="A1908" s="7" t="s">
        <v>792</v>
      </c>
      <c r="B1908" s="8" t="s">
        <v>11</v>
      </c>
      <c r="C1908" s="72" t="n">
        <f aca="false">SUMPRODUCT(($C$1628:$G$1628&lt;=C1901)*$C$1854:$G$1854)</f>
        <v>0</v>
      </c>
      <c r="H1908" s="2" t="s">
        <v>1450</v>
      </c>
    </row>
    <row r="1909" customFormat="false" ht="15" hidden="false" customHeight="false" outlineLevel="1" collapsed="false">
      <c r="A1909" s="7" t="s">
        <v>793</v>
      </c>
      <c r="B1909" s="8" t="s">
        <v>11</v>
      </c>
      <c r="C1909" s="72" t="n">
        <f aca="false">C1899-C1906-C1907-C1908</f>
        <v>155992.899186644</v>
      </c>
      <c r="H1909" s="2" t="s">
        <v>1451</v>
      </c>
    </row>
    <row r="1910" customFormat="false" ht="15" hidden="false" customHeight="false" outlineLevel="1" collapsed="false">
      <c r="A1910" s="7" t="s">
        <v>322</v>
      </c>
      <c r="B1910" s="8" t="s">
        <v>11</v>
      </c>
      <c r="C1910" s="72" t="n">
        <f aca="false">C1898</f>
        <v>150000</v>
      </c>
      <c r="H1910" s="2" t="s">
        <v>1452</v>
      </c>
    </row>
    <row r="1911" customFormat="false" ht="15" hidden="false" customHeight="false" outlineLevel="1" collapsed="false">
      <c r="A1911" s="56" t="s">
        <v>794</v>
      </c>
      <c r="B1911" s="57" t="s">
        <v>11</v>
      </c>
      <c r="C1911" s="74" t="n">
        <f aca="false">C1905+C1906+C1907+C1908+C1909+C1910</f>
        <v>5627451.55892951</v>
      </c>
      <c r="H1911" s="2" t="s">
        <v>1453</v>
      </c>
    </row>
    <row r="1912" customFormat="false" ht="15" hidden="false" customHeight="false" outlineLevel="0" collapsed="false">
      <c r="A1912" s="3" t="s">
        <v>1454</v>
      </c>
      <c r="B1912" s="4"/>
      <c r="C1912" s="4"/>
      <c r="D1912" s="4"/>
      <c r="E1912" s="4"/>
      <c r="F1912" s="4"/>
      <c r="G1912" s="4"/>
      <c r="H1912" s="4"/>
    </row>
    <row r="1913" customFormat="false" ht="15" hidden="false" customHeight="false" outlineLevel="1" collapsed="false">
      <c r="A1913" s="7" t="s">
        <v>772</v>
      </c>
      <c r="B1913" s="8" t="s">
        <v>11</v>
      </c>
      <c r="C1913" s="73" t="n">
        <f aca="false">Pressupostos!$D$32</f>
        <v>1100000</v>
      </c>
      <c r="H1913" s="2" t="s">
        <v>1455</v>
      </c>
    </row>
    <row r="1914" customFormat="false" ht="15" hidden="false" customHeight="false" outlineLevel="1" collapsed="false">
      <c r="A1914" s="7" t="s">
        <v>796</v>
      </c>
      <c r="B1914" s="8" t="s">
        <v>11</v>
      </c>
      <c r="C1914" s="72" t="n">
        <f aca="false">C1896+Pressupostos!$C$108+Pressupostos!$C$130/12*((C1798-C1786-C1787+(C1786+C1787)/Pressupostos!$C$128*Pressupostos!$C$129)*(1+Pressupostos!$C$124+Pressupostos!$C$125)+C1784*Pressupostos!$C$126+C1817)+C1823+MAX(0,Pressupostos!$C$183*1000*(C1649+C1652)+Pressupostos!$C$184*1000*(C1672+C1675)-Pressupostos!$C$108)</f>
        <v>734321.666666667</v>
      </c>
      <c r="H1914" s="2" t="s">
        <v>1456</v>
      </c>
    </row>
    <row r="1915" customFormat="false" ht="15" hidden="false" customHeight="false" outlineLevel="1" collapsed="false">
      <c r="A1915" s="7" t="s">
        <v>798</v>
      </c>
      <c r="B1915" s="8" t="s">
        <v>11</v>
      </c>
      <c r="C1915" s="72" t="n">
        <f aca="false">C1896+Pressupostos!$C$108-C1882</f>
        <v>949560.671832192</v>
      </c>
      <c r="H1915" s="2" t="s">
        <v>1457</v>
      </c>
    </row>
    <row r="1916" customFormat="false" ht="15" hidden="false" customHeight="false" outlineLevel="1" collapsed="false">
      <c r="A1916" s="7" t="s">
        <v>799</v>
      </c>
      <c r="B1916" s="8" t="s">
        <v>11</v>
      </c>
      <c r="C1916" s="61" t="n">
        <f aca="false">Pressupostos!$D$32-C1896-Pressupostos!$C$108+C1883</f>
        <v>150439.328167808</v>
      </c>
      <c r="D1916" s="61" t="n">
        <f aca="false">Pressupostos!$D$32-C1896-Pressupostos!$C$108+D1883</f>
        <v>-715649.883265044</v>
      </c>
      <c r="E1916" s="61" t="n">
        <f aca="false">Pressupostos!$D$32-C1896-Pressupostos!$C$108+E1883</f>
        <v>-1764707.87507816</v>
      </c>
      <c r="F1916" s="61" t="n">
        <f aca="false">Pressupostos!$D$32-C1896-Pressupostos!$C$108+F1883</f>
        <v>-2991016.31612173</v>
      </c>
      <c r="G1916" s="61" t="n">
        <f aca="false">Pressupostos!$D$32-C1896-Pressupostos!$C$108+G1883</f>
        <v>-4377451.55892951</v>
      </c>
      <c r="H1916" s="2" t="s">
        <v>1458</v>
      </c>
    </row>
    <row r="1917" customFormat="false" ht="15" hidden="false" customHeight="false" outlineLevel="1" collapsed="false">
      <c r="A1917" s="7" t="s">
        <v>800</v>
      </c>
      <c r="B1917" s="8" t="s">
        <v>18</v>
      </c>
      <c r="C1917" s="77" t="str">
        <f aca="false">IF(AND(Pressupostos!$D$32-C1896-Pressupostos!$C$108&gt;0,C1916&lt;=0),12*(Pressupostos!$D$32-C1896-Pressupostos!$C$108)/(Pressupostos!$D$32-C1896-Pressupostos!$C$108-C1916),"")</f>
        <v/>
      </c>
      <c r="D1917" s="77" t="n">
        <f aca="false">IF(AND(C1916&gt;0,D1916&lt;=0),12+12*C1916/(C1916-D1916),"")</f>
        <v>14.0843949031845</v>
      </c>
      <c r="E1917" s="77" t="str">
        <f aca="false">IF(AND(D1916&gt;0,E1916&lt;=0),24+12*D1916/(D1916-E1916),"")</f>
        <v/>
      </c>
      <c r="F1917" s="77" t="str">
        <f aca="false">IF(AND(E1916&gt;0,F1916&lt;=0),36+12*E1916/(E1916-F1916),"")</f>
        <v/>
      </c>
      <c r="G1917" s="77" t="str">
        <f aca="false">IF(AND(F1916&gt;0,G1916&lt;=0),48+12*F1916/(F1916-G1916),"")</f>
        <v/>
      </c>
      <c r="H1917" s="2" t="s">
        <v>1459</v>
      </c>
    </row>
    <row r="1918" customFormat="false" ht="15" hidden="false" customHeight="false" outlineLevel="1" collapsed="false">
      <c r="A1918" s="56" t="s">
        <v>801</v>
      </c>
      <c r="B1918" s="57" t="s">
        <v>274</v>
      </c>
      <c r="C1918" s="78" t="n">
        <f aca="false">IF(COUNT($C$1917:$G$1917)=0,"&gt; 60",MIN($C$1917:$G$1917))</f>
        <v>14.0843949031845</v>
      </c>
      <c r="H1918" s="2" t="s">
        <v>1460</v>
      </c>
    </row>
    <row r="1919" customFormat="false" ht="15" hidden="false" customHeight="false" outlineLevel="0" collapsed="false">
      <c r="A1919" s="3" t="s">
        <v>1461</v>
      </c>
      <c r="B1919" s="4"/>
      <c r="C1919" s="4"/>
      <c r="D1919" s="4"/>
      <c r="E1919" s="4"/>
      <c r="F1919" s="4"/>
      <c r="G1919" s="4"/>
      <c r="H1919" s="4"/>
    </row>
    <row r="1920" customFormat="false" ht="15" hidden="false" customHeight="false" outlineLevel="1" collapsed="false">
      <c r="A1920" s="7" t="s">
        <v>803</v>
      </c>
      <c r="B1920" s="8" t="s">
        <v>18</v>
      </c>
      <c r="C1920" s="77" t="str">
        <f aca="false">IF(C1839&gt;=0,1,"")</f>
        <v/>
      </c>
      <c r="D1920" s="77" t="str">
        <f aca="false">IF(AND(C1839&lt;0,D1839&gt;=0),6.5+12*(-C1839)/(D1839-C1839),"")</f>
        <v/>
      </c>
      <c r="E1920" s="77" t="str">
        <f aca="false">IF(AND(D1839&lt;0,E1839&gt;=0),18.5+12*(-D1839)/(E1839-D1839),"")</f>
        <v/>
      </c>
      <c r="F1920" s="77" t="str">
        <f aca="false">IF(AND(E1839&lt;0,F1839&gt;=0),30.5+12*(-E1839)/(F1839-E1839),"")</f>
        <v/>
      </c>
      <c r="G1920" s="77" t="str">
        <f aca="false">IF(AND(F1839&lt;0,G1839&gt;=0),42.5+12*(-F1839)/(G1839-F1839),"")</f>
        <v/>
      </c>
      <c r="H1920" s="2" t="s">
        <v>1462</v>
      </c>
    </row>
    <row r="1921" customFormat="false" ht="15" hidden="false" customHeight="false" outlineLevel="1" collapsed="false">
      <c r="A1921" s="7" t="s">
        <v>804</v>
      </c>
      <c r="B1921" s="8" t="s">
        <v>18</v>
      </c>
      <c r="C1921" s="79" t="str">
        <f aca="false">IF(COUNT($C$1920:$G$1920)=0,"não atinge até 2031",ROUNDUP(MIN($C$1920:$G$1920),0))</f>
        <v>não atinge até 2031</v>
      </c>
      <c r="H1921" s="2" t="s">
        <v>1463</v>
      </c>
    </row>
    <row r="1922" customFormat="false" ht="15" hidden="false" customHeight="false" outlineLevel="1" collapsed="false">
      <c r="A1922" s="56" t="s">
        <v>805</v>
      </c>
      <c r="B1922" s="57" t="s">
        <v>806</v>
      </c>
      <c r="C1922" s="80" t="str">
        <f aca="false">IF(ISNUMBER(C1921),DATE(2027,C1921,1),"não atinge até 2031")</f>
        <v>não atinge até 2031</v>
      </c>
      <c r="H1922" s="2" t="s">
        <v>1464</v>
      </c>
    </row>
    <row r="1923" customFormat="false" ht="15" hidden="false" customHeight="false" outlineLevel="1" collapsed="false">
      <c r="A1923" s="7" t="s">
        <v>807</v>
      </c>
      <c r="B1923" s="8" t="s">
        <v>20</v>
      </c>
      <c r="C1923" s="81" t="str">
        <f aca="false">IF(C1839&gt;=0,C1628,"")</f>
        <v/>
      </c>
      <c r="D1923" s="81" t="str">
        <f aca="false">IF(D1839&gt;=0,D1628,"")</f>
        <v/>
      </c>
      <c r="E1923" s="81" t="str">
        <f aca="false">IF(E1839&gt;=0,E1628,"")</f>
        <v/>
      </c>
      <c r="F1923" s="81" t="str">
        <f aca="false">IF(F1839&gt;=0,F1628,"")</f>
        <v/>
      </c>
      <c r="G1923" s="81" t="str">
        <f aca="false">IF(G1839&gt;=0,G1628,"")</f>
        <v/>
      </c>
      <c r="H1923" s="2" t="s">
        <v>1465</v>
      </c>
    </row>
    <row r="1924" customFormat="false" ht="15" hidden="false" customHeight="false" outlineLevel="1" collapsed="false">
      <c r="A1924" s="7" t="s">
        <v>808</v>
      </c>
      <c r="B1924" s="8" t="s">
        <v>20</v>
      </c>
      <c r="C1924" s="75" t="str">
        <f aca="false">IF(COUNT($C$1923:$G$1923)=0,"não atinge até 2031",MIN($C$1923:$G$1923))</f>
        <v>não atinge até 2031</v>
      </c>
      <c r="H1924" s="2" t="s">
        <v>1466</v>
      </c>
    </row>
    <row r="1925" customFormat="false" ht="15" hidden="false" customHeight="false" outlineLevel="1" collapsed="false">
      <c r="A1925" s="7" t="s">
        <v>809</v>
      </c>
      <c r="B1925" s="8" t="s">
        <v>20</v>
      </c>
      <c r="C1925" s="81" t="str">
        <f aca="false">IF(C1857&gt;=0,C1628,"")</f>
        <v/>
      </c>
      <c r="D1925" s="81" t="str">
        <f aca="false">IF(D1857&gt;=0,D1628,"")</f>
        <v/>
      </c>
      <c r="E1925" s="81" t="str">
        <f aca="false">IF(E1857&gt;=0,E1628,"")</f>
        <v/>
      </c>
      <c r="F1925" s="81" t="str">
        <f aca="false">IF(F1857&gt;=0,F1628,"")</f>
        <v/>
      </c>
      <c r="G1925" s="81" t="str">
        <f aca="false">IF(G1857&gt;=0,G1628,"")</f>
        <v/>
      </c>
      <c r="H1925" s="2" t="s">
        <v>1467</v>
      </c>
    </row>
    <row r="1926" customFormat="false" ht="15" hidden="false" customHeight="false" outlineLevel="1" collapsed="false">
      <c r="A1926" s="7" t="s">
        <v>810</v>
      </c>
      <c r="B1926" s="8" t="s">
        <v>20</v>
      </c>
      <c r="C1926" s="75" t="str">
        <f aca="false">IF(COUNT($C$1925:$G$1925)=0,"não atinge até 2031",MIN($C$1925:$G$1925))</f>
        <v>não atinge até 2031</v>
      </c>
      <c r="H1926" s="2" t="s">
        <v>1468</v>
      </c>
    </row>
    <row r="1927" customFormat="false" ht="15" hidden="false" customHeight="false" outlineLevel="1" collapsed="false">
      <c r="A1927" s="7" t="s">
        <v>811</v>
      </c>
      <c r="B1927" s="8" t="s">
        <v>20</v>
      </c>
      <c r="C1927" s="81" t="str">
        <f aca="false">IF(C1882&gt;=0,C1628,"")</f>
        <v/>
      </c>
      <c r="D1927" s="81" t="str">
        <f aca="false">IF(D1882&gt;=0,D1628,"")</f>
        <v/>
      </c>
      <c r="E1927" s="81" t="str">
        <f aca="false">IF(E1882&gt;=0,E1628,"")</f>
        <v/>
      </c>
      <c r="F1927" s="81" t="str">
        <f aca="false">IF(F1882&gt;=0,F1628,"")</f>
        <v/>
      </c>
      <c r="G1927" s="81" t="str">
        <f aca="false">IF(G1882&gt;=0,G1628,"")</f>
        <v/>
      </c>
      <c r="H1927" s="2" t="s">
        <v>1469</v>
      </c>
    </row>
    <row r="1928" customFormat="false" ht="15" hidden="false" customHeight="false" outlineLevel="1" collapsed="false">
      <c r="A1928" s="7" t="s">
        <v>19</v>
      </c>
      <c r="B1928" s="8" t="s">
        <v>20</v>
      </c>
      <c r="C1928" s="75" t="str">
        <f aca="false">IF(COUNT($C$1927:$G$1927)=0,"não atinge até 2031",MIN($C$1927:$G$1927))</f>
        <v>não atinge até 2031</v>
      </c>
      <c r="H1928" s="2" t="s">
        <v>1470</v>
      </c>
    </row>
    <row r="1929" customFormat="false" ht="15" hidden="false" customHeight="false" outlineLevel="0" collapsed="false">
      <c r="A1929" s="3" t="s">
        <v>1471</v>
      </c>
      <c r="B1929" s="4"/>
      <c r="C1929" s="4"/>
      <c r="D1929" s="4"/>
      <c r="E1929" s="4"/>
      <c r="F1929" s="4"/>
      <c r="G1929" s="4"/>
      <c r="H1929" s="4"/>
    </row>
    <row r="1930" customFormat="false" ht="15" hidden="false" customHeight="false" outlineLevel="1" collapsed="false">
      <c r="A1930" s="7" t="s">
        <v>813</v>
      </c>
      <c r="B1930" s="8" t="s">
        <v>11</v>
      </c>
      <c r="C1930" s="61" t="n">
        <f aca="false">C1865</f>
        <v>0</v>
      </c>
      <c r="D1930" s="61" t="n">
        <f aca="false">D1865</f>
        <v>310034.916523973</v>
      </c>
      <c r="E1930" s="61" t="n">
        <f aca="false">E1865</f>
        <v>561027.193921233</v>
      </c>
      <c r="F1930" s="61" t="n">
        <f aca="false">F1865</f>
        <v>971041.881421233</v>
      </c>
      <c r="G1930" s="61" t="n">
        <f aca="false">G1865</f>
        <v>1483148.87414384</v>
      </c>
      <c r="H1930" s="2" t="s">
        <v>1472</v>
      </c>
    </row>
    <row r="1931" customFormat="false" ht="15" hidden="false" customHeight="false" outlineLevel="1" collapsed="false">
      <c r="A1931" s="7" t="s">
        <v>509</v>
      </c>
      <c r="B1931" s="8" t="s">
        <v>76</v>
      </c>
      <c r="C1931" s="82" t="n">
        <f aca="false">Pressupostos!$C$288</f>
        <v>0.08</v>
      </c>
      <c r="D1931" s="82" t="n">
        <f aca="false">Pressupostos!$D$288</f>
        <v>0.08</v>
      </c>
      <c r="E1931" s="82" t="n">
        <f aca="false">Pressupostos!$E$288</f>
        <v>0.075</v>
      </c>
      <c r="F1931" s="82" t="n">
        <f aca="false">Pressupostos!$F$288</f>
        <v>0.07</v>
      </c>
      <c r="G1931" s="82" t="n">
        <f aca="false">Pressupostos!$G$288</f>
        <v>0.07</v>
      </c>
      <c r="H1931" s="2" t="s">
        <v>1473</v>
      </c>
    </row>
    <row r="1932" customFormat="false" ht="15" hidden="false" customHeight="false" outlineLevel="1" collapsed="false">
      <c r="A1932" s="7" t="s">
        <v>814</v>
      </c>
      <c r="B1932" s="8" t="s">
        <v>76</v>
      </c>
      <c r="C1932" s="60" t="n">
        <f aca="false">Pressupostos!$C$288*(1-Pressupostos!$C$111)</f>
        <v>0.0576</v>
      </c>
      <c r="D1932" s="60" t="n">
        <f aca="false">Pressupostos!$D$288*(1-Pressupostos!$C$111)</f>
        <v>0.0576</v>
      </c>
      <c r="E1932" s="60" t="n">
        <f aca="false">Pressupostos!$E$288*(1-Pressupostos!$C$111)</f>
        <v>0.054</v>
      </c>
      <c r="F1932" s="60" t="n">
        <f aca="false">Pressupostos!$F$288*(1-Pressupostos!$C$111)</f>
        <v>0.0504</v>
      </c>
      <c r="G1932" s="60" t="n">
        <f aca="false">Pressupostos!$G$288*(1-Pressupostos!$C$111)</f>
        <v>0.0504</v>
      </c>
      <c r="H1932" s="2" t="s">
        <v>1474</v>
      </c>
    </row>
    <row r="1933" customFormat="false" ht="15" hidden="false" customHeight="false" outlineLevel="1" collapsed="false">
      <c r="A1933" s="7" t="s">
        <v>815</v>
      </c>
      <c r="B1933" s="8" t="s">
        <v>11</v>
      </c>
      <c r="C1933" s="61" t="n">
        <f aca="false">C1769</f>
        <v>0</v>
      </c>
      <c r="D1933" s="61" t="n">
        <f aca="false">D1769</f>
        <v>23317.0273972603</v>
      </c>
      <c r="E1933" s="61" t="n">
        <f aca="false">E1769</f>
        <v>38771.0637842466</v>
      </c>
      <c r="F1933" s="61" t="n">
        <f aca="false">F1769</f>
        <v>62547.834760274</v>
      </c>
      <c r="G1933" s="61" t="n">
        <f aca="false">G1769</f>
        <v>95536.1558219178</v>
      </c>
      <c r="H1933" s="2" t="s">
        <v>1475</v>
      </c>
    </row>
    <row r="1934" customFormat="false" ht="15" hidden="false" customHeight="false" outlineLevel="1" collapsed="false">
      <c r="A1934" s="7" t="s">
        <v>816</v>
      </c>
      <c r="B1934" s="8" t="s">
        <v>76</v>
      </c>
      <c r="C1934" s="59" t="n">
        <f aca="false">IF(C1865&gt;0,(C1868+C1870)/C1865,0)</f>
        <v>0</v>
      </c>
      <c r="D1934" s="59" t="n">
        <f aca="false">IF(D1865&gt;0,(D1868+D1870)/D1865,0)</f>
        <v>0.138888888888889</v>
      </c>
      <c r="E1934" s="59" t="n">
        <f aca="false">IF(E1865&gt;0,(E1868+E1870)/E1865,0)</f>
        <v>0.138888888888889</v>
      </c>
      <c r="F1934" s="59" t="n">
        <f aca="false">IF(F1865&gt;0,(F1868+F1870)/F1865,0)</f>
        <v>0.138888888888889</v>
      </c>
      <c r="G1934" s="59" t="n">
        <f aca="false">IF(G1865&gt;0,(G1868+G1870)/G1865,0)</f>
        <v>0.138888888888889</v>
      </c>
      <c r="H1934" s="2" t="s">
        <v>1476</v>
      </c>
    </row>
    <row r="1935" customFormat="false" ht="15" hidden="false" customHeight="false" outlineLevel="1" collapsed="false">
      <c r="A1935" s="7" t="s">
        <v>817</v>
      </c>
      <c r="B1935" s="8" t="s">
        <v>123</v>
      </c>
      <c r="C1935" s="61" t="n">
        <f aca="false">C1871</f>
        <v>0</v>
      </c>
      <c r="D1935" s="61" t="n">
        <f aca="false">D1871</f>
        <v>6.20069833047945</v>
      </c>
      <c r="E1935" s="61" t="n">
        <f aca="false">E1871</f>
        <v>11.2205438784247</v>
      </c>
      <c r="F1935" s="61" t="n">
        <f aca="false">F1871</f>
        <v>19.4208376284247</v>
      </c>
      <c r="G1935" s="61" t="n">
        <f aca="false">G1871</f>
        <v>29.6629774828767</v>
      </c>
      <c r="H1935" s="2" t="s">
        <v>1477</v>
      </c>
    </row>
    <row r="1936" customFormat="false" ht="15" hidden="false" customHeight="false" outlineLevel="1" collapsed="false">
      <c r="A1936" s="7" t="s">
        <v>818</v>
      </c>
      <c r="B1936" s="8" t="s">
        <v>11</v>
      </c>
      <c r="C1936" s="61" t="n">
        <f aca="false">C1769+C1815</f>
        <v>65000</v>
      </c>
      <c r="D1936" s="61" t="n">
        <f aca="false">D1769+D1815</f>
        <v>88317.0273972603</v>
      </c>
      <c r="E1936" s="61" t="n">
        <f aca="false">E1769+E1815</f>
        <v>108771.063784247</v>
      </c>
      <c r="F1936" s="61" t="n">
        <f aca="false">F1769+F1815</f>
        <v>137547.834760274</v>
      </c>
      <c r="G1936" s="61" t="n">
        <f aca="false">G1769+G1815</f>
        <v>175536.155821918</v>
      </c>
      <c r="H1936" s="2" t="s">
        <v>1478</v>
      </c>
    </row>
    <row r="1937" customFormat="false" ht="15" hidden="false" customHeight="false" outlineLevel="1" collapsed="false">
      <c r="A1937" s="7" t="s">
        <v>819</v>
      </c>
      <c r="B1937" s="8" t="s">
        <v>76</v>
      </c>
      <c r="C1937" s="59" t="str">
        <f aca="false">IF(C1865&gt;0,C1936/C1865,"")</f>
        <v/>
      </c>
      <c r="D1937" s="59" t="n">
        <f aca="false">IF(D1865&gt;0,D1936/D1865,"")</f>
        <v>0.284861551684071</v>
      </c>
      <c r="E1937" s="59" t="n">
        <f aca="false">IF(E1865&gt;0,E1936/E1865,"")</f>
        <v>0.193878416167324</v>
      </c>
      <c r="F1937" s="59" t="n">
        <f aca="false">IF(F1865&gt;0,F1936/F1865,"")</f>
        <v>0.141649744868838</v>
      </c>
      <c r="G1937" s="59" t="n">
        <f aca="false">IF(G1865&gt;0,G1936/G1865,"")</f>
        <v>0.118353699269231</v>
      </c>
      <c r="H1937" s="2" t="s">
        <v>1479</v>
      </c>
    </row>
    <row r="1938" customFormat="false" ht="15" hidden="false" customHeight="false" outlineLevel="0" collapsed="false">
      <c r="A1938" s="3" t="s">
        <v>1480</v>
      </c>
      <c r="B1938" s="4"/>
      <c r="C1938" s="4"/>
      <c r="D1938" s="4"/>
      <c r="E1938" s="4"/>
      <c r="F1938" s="4"/>
      <c r="G1938" s="4"/>
      <c r="H1938" s="4"/>
    </row>
    <row r="1939" customFormat="false" ht="15" hidden="false" customHeight="false" outlineLevel="1" collapsed="false">
      <c r="A1939" s="7" t="s">
        <v>821</v>
      </c>
      <c r="B1939" s="8" t="s">
        <v>11</v>
      </c>
      <c r="C1939" s="61" t="n">
        <f aca="false">MAX(0,-C1839)</f>
        <v>712560.671832192</v>
      </c>
      <c r="D1939" s="61" t="n">
        <f aca="false">MAX(0,-D1839)</f>
        <v>806587.465606654</v>
      </c>
      <c r="E1939" s="61" t="n">
        <f aca="false">MAX(0,-E1839)</f>
        <v>988508.377943249</v>
      </c>
      <c r="F1939" s="61" t="n">
        <f aca="false">MAX(0,-F1839)</f>
        <v>1131492.87276446</v>
      </c>
      <c r="G1939" s="61" t="n">
        <f aca="false">MAX(0,-G1839)</f>
        <v>1277309.27159631</v>
      </c>
      <c r="H1939" s="2" t="s">
        <v>1481</v>
      </c>
    </row>
    <row r="1940" customFormat="false" ht="15" hidden="false" customHeight="false" outlineLevel="1" collapsed="false">
      <c r="A1940" s="2" t="s">
        <v>822</v>
      </c>
      <c r="B1940" s="8"/>
      <c r="C1940" s="61" t="n">
        <f aca="false">IF(AND(C1628&gt;=Pressupostos!$C$120,Pressupostos!$C$118*(C1722+C1723)+Pressupostos!$C$119*C1724&gt;Pressupostos!$C$300),1,0)</f>
        <v>0</v>
      </c>
      <c r="D1940" s="61" t="n">
        <f aca="false">IF(AND(D1628&gt;=Pressupostos!$C$120,Pressupostos!$C$118*(D1722+D1723)+Pressupostos!$C$119*D1724&gt;Pressupostos!$D$300),1,0)</f>
        <v>1</v>
      </c>
      <c r="E1940" s="61" t="n">
        <f aca="false">IF(AND(E1628&gt;=Pressupostos!$C$120,Pressupostos!$C$118*(E1722+E1723)+Pressupostos!$C$119*E1724&gt;Pressupostos!$E$300),1,0)</f>
        <v>1</v>
      </c>
      <c r="F1940" s="61" t="n">
        <f aca="false">IF(AND(F1628&gt;=Pressupostos!$C$120,Pressupostos!$C$118*(F1722+F1723)+Pressupostos!$C$119*F1724&gt;Pressupostos!$F$300),1,0)</f>
        <v>1</v>
      </c>
      <c r="G1940" s="61" t="n">
        <f aca="false">IF(AND(G1628&gt;=Pressupostos!$C$120,Pressupostos!$C$118*(G1722+G1723)+Pressupostos!$C$119*G1724&gt;Pressupostos!$G$300),1,0)</f>
        <v>1</v>
      </c>
      <c r="H1940" s="2" t="s">
        <v>1482</v>
      </c>
    </row>
    <row r="1941" customFormat="false" ht="15" hidden="false" customHeight="false" outlineLevel="1" collapsed="false">
      <c r="A1941" s="7" t="s">
        <v>823</v>
      </c>
      <c r="B1941" s="8" t="s">
        <v>64</v>
      </c>
      <c r="C1941" s="63" t="n">
        <f aca="false">IF(C1632&gt;0,C1939/(C1632*1000*(1-Pressupostos!$D$22)*(1-Pressupostos!$D$25-C1940*Pressupostos!$C$118)),"n/a")</f>
        <v>13.7443228113608</v>
      </c>
      <c r="D1941" s="63" t="n">
        <f aca="false">IF(D1632&gt;0,D1939/(D1632*1000*(1-Pressupostos!$D$22)*(1-Pressupostos!$D$25-D1940*Pressupostos!$C$118)),"n/a")</f>
        <v>2.23766771146414</v>
      </c>
      <c r="E1941" s="63" t="n">
        <f aca="false">IF(E1632&gt;0,E1939/(E1632*1000*(1-Pressupostos!$D$22)*(1-Pressupostos!$D$25-E1940*Pressupostos!$C$118)),"n/a")</f>
        <v>1.38839151317697</v>
      </c>
      <c r="F1941" s="63" t="n">
        <f aca="false">IF(F1632&gt;0,F1939/(F1632*1000*(1-Pressupostos!$D$22)*(1-Pressupostos!$D$25-F1940*Pressupostos!$C$118)),"n/a")</f>
        <v>0.963203006646236</v>
      </c>
      <c r="G1941" s="63" t="n">
        <f aca="false">IF(G1632&gt;0,G1939/(G1632*1000*(1-Pressupostos!$D$22)*(1-Pressupostos!$D$25-G1940*Pressupostos!$C$118)),"n/a")</f>
        <v>0.718610874780619</v>
      </c>
      <c r="H1941" s="2" t="s">
        <v>1483</v>
      </c>
    </row>
    <row r="1942" customFormat="false" ht="15" hidden="false" customHeight="false" outlineLevel="1" collapsed="false">
      <c r="A1942" s="7" t="s">
        <v>824</v>
      </c>
      <c r="B1942" s="8" t="s">
        <v>64</v>
      </c>
      <c r="C1942" s="63" t="n">
        <f aca="false">IF(C1631&gt;0,Pressupostos!$D$15+C1939/(C1631*1000*(1-(Pressupostos!$C$192))*(1-Pressupostos!$D$18-C1940*Pressupostos!$C$118)),"n/a")</f>
        <v>108.058834698504</v>
      </c>
      <c r="D1942" s="63" t="n">
        <f aca="false">IF(D1631&gt;0,Pressupostos!$D$15+D1939/(D1631*1000*(1-(Pressupostos!$C$192))*(1-Pressupostos!$D$18-D1940*Pressupostos!$C$118)),"n/a")</f>
        <v>30.8155540924817</v>
      </c>
      <c r="E1942" s="63" t="n">
        <f aca="false">IF(E1631&gt;0,Pressupostos!$D$15+E1939/(E1631*1000*(1-(Pressupostos!$C$192))*(1-Pressupostos!$D$18-E1940*Pressupostos!$C$118)),"n/a")</f>
        <v>14.2299640047586</v>
      </c>
      <c r="F1942" s="63" t="n">
        <f aca="false">IF(F1631&gt;0,Pressupostos!$D$15+F1939/(F1631*1000*(1-(Pressupostos!$C$192))*(1-Pressupostos!$D$18-F1940*Pressupostos!$C$118)),"n/a")</f>
        <v>10.5421223914456</v>
      </c>
      <c r="G1942" s="63" t="n">
        <f aca="false">IF(G1631&gt;0,Pressupostos!$D$15+G1939/(G1631*1000*(1-(Pressupostos!$C$192))*(1-Pressupostos!$D$18-G1940*Pressupostos!$C$118)),"n/a")</f>
        <v>9.24640804306847</v>
      </c>
      <c r="H1942" s="2" t="s">
        <v>1484</v>
      </c>
    </row>
    <row r="1943" customFormat="false" ht="15" hidden="false" customHeight="false" outlineLevel="1" collapsed="false">
      <c r="A1943" s="7" t="s">
        <v>825</v>
      </c>
      <c r="B1943" s="8" t="s">
        <v>64</v>
      </c>
      <c r="C1943" s="63" t="n">
        <f aca="false">IF(Pressupostos!$D$33=1,C1714-C1940*Pressupostos!$C$119*C1697,C1720)</f>
        <v>0.00725</v>
      </c>
      <c r="D1943" s="63" t="n">
        <f aca="false">IF(Pressupostos!$D$33=1,D1714-D1940*Pressupostos!$C$119*D1697,D1720)</f>
        <v>0.00725</v>
      </c>
      <c r="E1943" s="63" t="n">
        <f aca="false">IF(Pressupostos!$D$33=1,E1714-E1940*Pressupostos!$C$119*E1697,E1720)</f>
        <v>0.00725</v>
      </c>
      <c r="F1943" s="63" t="n">
        <f aca="false">IF(Pressupostos!$D$33=1,F1714-F1940*Pressupostos!$C$119*F1697,F1720)</f>
        <v>0.00725</v>
      </c>
      <c r="G1943" s="63" t="n">
        <f aca="false">IF(Pressupostos!$D$33=1,G1714-G1940*Pressupostos!$C$119*G1697,G1720)</f>
        <v>0.00725</v>
      </c>
      <c r="H1943" s="2" t="s">
        <v>1485</v>
      </c>
    </row>
    <row r="1944" customFormat="false" ht="15" hidden="false" customHeight="false" outlineLevel="1" collapsed="false">
      <c r="A1944" s="7" t="s">
        <v>826</v>
      </c>
      <c r="B1944" s="8" t="s">
        <v>120</v>
      </c>
      <c r="C1944" s="55" t="n">
        <f aca="false">IF(C1943&gt;0,C1633+C1939/(C1943*1000),"n/a")</f>
        <v>98284.2305975437</v>
      </c>
      <c r="D1944" s="55" t="n">
        <f aca="false">IF(D1943&gt;0,D1633+D1939/(D1943*1000),"n/a")</f>
        <v>111253.443531952</v>
      </c>
      <c r="E1944" s="55" t="n">
        <f aca="false">IF(E1943&gt;0,E1633+E1939/(E1943*1000),"n/a")</f>
        <v>136345.983164586</v>
      </c>
      <c r="F1944" s="55" t="n">
        <f aca="false">IF(F1943&gt;0,F1633+F1939/(F1943*1000),"n/a")</f>
        <v>156067.98245027</v>
      </c>
      <c r="G1944" s="55" t="n">
        <f aca="false">IF(G1943&gt;0,G1633+G1939/(G1943*1000),"n/a")</f>
        <v>176180.589185698</v>
      </c>
      <c r="H1944" s="2" t="s">
        <v>1486</v>
      </c>
    </row>
    <row r="1945" customFormat="false" ht="15" hidden="false" customHeight="false" outlineLevel="1" collapsed="false">
      <c r="A1945" s="7" t="s">
        <v>827</v>
      </c>
      <c r="B1945" s="8" t="s">
        <v>76</v>
      </c>
      <c r="C1945" s="59" t="n">
        <f aca="false">C1939/(C1801+C1814+C1815)</f>
        <v>0.989687402106012</v>
      </c>
      <c r="D1945" s="59" t="n">
        <f aca="false">D1939/(D1801+D1814+D1815)</f>
        <v>0.979305777068586</v>
      </c>
      <c r="E1945" s="59" t="n">
        <f aca="false">E1939/(E1801+E1814+E1815)</f>
        <v>0.92025607229052</v>
      </c>
      <c r="F1945" s="59" t="n">
        <f aca="false">F1939/(F1801+F1814+F1815)</f>
        <v>0.866951266273989</v>
      </c>
      <c r="G1945" s="59" t="n">
        <f aca="false">G1939/(G1801+G1814+G1815)</f>
        <v>0.818183905513158</v>
      </c>
      <c r="H1945" s="2" t="s">
        <v>1487</v>
      </c>
    </row>
    <row r="1946" customFormat="false" ht="15" hidden="false" customHeight="false" outlineLevel="1" collapsed="false">
      <c r="A1946" s="2" t="s">
        <v>828</v>
      </c>
      <c r="B1946" s="8" t="s">
        <v>76</v>
      </c>
      <c r="C1946" s="60" t="n">
        <f aca="false">Pressupostos!$C$101*Pressupostos!$C$102+Pressupostos!$C$103-Pressupostos!$D$30*Pressupostos!$C$104*Pressupostos!$C$102/(Pressupostos!$C$105*Pressupostos!$C$106)</f>
        <v>0.00354285714285715</v>
      </c>
      <c r="D1946" s="60" t="n">
        <f aca="false">Pressupostos!$C$101*Pressupostos!$C$102+Pressupostos!$C$103-Pressupostos!$D$30*Pressupostos!$C$104*Pressupostos!$C$102/(Pressupostos!$C$105*Pressupostos!$C$106)</f>
        <v>0.00354285714285715</v>
      </c>
      <c r="E1946" s="60" t="n">
        <f aca="false">Pressupostos!$C$101*Pressupostos!$C$102+Pressupostos!$C$103-Pressupostos!$D$30*Pressupostos!$C$104*Pressupostos!$C$102/(Pressupostos!$C$105*Pressupostos!$C$106)</f>
        <v>0.00354285714285715</v>
      </c>
      <c r="F1946" s="60" t="n">
        <f aca="false">Pressupostos!$C$101*Pressupostos!$C$102+Pressupostos!$C$103-Pressupostos!$D$30*Pressupostos!$C$104*Pressupostos!$C$102/(Pressupostos!$C$105*Pressupostos!$C$106)</f>
        <v>0.00354285714285715</v>
      </c>
      <c r="G1946" s="60" t="n">
        <f aca="false">Pressupostos!$C$101*Pressupostos!$C$102+Pressupostos!$C$103-Pressupostos!$D$30*Pressupostos!$C$104*Pressupostos!$C$102/(Pressupostos!$C$105*Pressupostos!$C$106)</f>
        <v>0.00354285714285715</v>
      </c>
      <c r="H1946" s="2" t="s">
        <v>1488</v>
      </c>
    </row>
    <row r="1947" customFormat="false" ht="15" hidden="false" customHeight="false" outlineLevel="1" collapsed="false">
      <c r="A1947" s="7" t="s">
        <v>829</v>
      </c>
      <c r="B1947" s="8" t="s">
        <v>11</v>
      </c>
      <c r="C1947" s="61" t="n">
        <f aca="false">IF(C1946&gt;0,C1646+C1939/C1946,"n/a")</f>
        <v>201125996.081667</v>
      </c>
      <c r="D1947" s="61" t="n">
        <f aca="false">IF(D1946&gt;0,D1646+D1939/D1946,"n/a")</f>
        <v>228165816.905104</v>
      </c>
      <c r="E1947" s="61" t="n">
        <f aca="false">IF(E1946&gt;0,E1646+E1939/E1946,"n/a")</f>
        <v>280514461.516239</v>
      </c>
      <c r="F1947" s="61" t="n">
        <f aca="false">IF(F1946&gt;0,F1646+F1939/F1946,"n/a")</f>
        <v>322372988.280291</v>
      </c>
      <c r="G1947" s="61" t="n">
        <f aca="false">IF(G1946&gt;0,G1646+G1939/G1946,"n/a")</f>
        <v>365530842.78928</v>
      </c>
      <c r="H1947" s="2" t="s">
        <v>1489</v>
      </c>
    </row>
    <row r="1950" customFormat="false" ht="15" hidden="false" customHeight="false" outlineLevel="0" collapsed="false">
      <c r="A1950" s="111" t="s">
        <v>1495</v>
      </c>
      <c r="B1950" s="112"/>
      <c r="C1950" s="112"/>
      <c r="D1950" s="112"/>
      <c r="E1950" s="112"/>
      <c r="F1950" s="112"/>
      <c r="G1950" s="112"/>
      <c r="H1950" s="112"/>
    </row>
    <row r="1951" customFormat="false" ht="15" hidden="false" customHeight="false" outlineLevel="0" collapsed="false">
      <c r="A1951" s="3" t="s">
        <v>1170</v>
      </c>
      <c r="B1951" s="4"/>
      <c r="C1951" s="4"/>
      <c r="D1951" s="4"/>
      <c r="E1951" s="4"/>
      <c r="F1951" s="4"/>
      <c r="G1951" s="4"/>
      <c r="H1951" s="4"/>
    </row>
    <row r="1952" customFormat="false" ht="15" hidden="false" customHeight="false" outlineLevel="1" collapsed="false">
      <c r="A1952" s="7" t="s">
        <v>588</v>
      </c>
      <c r="B1952" s="8"/>
      <c r="C1952" s="52" t="n">
        <v>2027</v>
      </c>
      <c r="D1952" s="52" t="n">
        <v>2028</v>
      </c>
      <c r="E1952" s="52" t="n">
        <v>2029</v>
      </c>
      <c r="F1952" s="52" t="n">
        <v>2030</v>
      </c>
      <c r="G1952" s="52" t="n">
        <v>2031</v>
      </c>
      <c r="H1952" s="2" t="s">
        <v>20</v>
      </c>
    </row>
    <row r="1953" customFormat="false" ht="15" hidden="false" customHeight="false" outlineLevel="0" collapsed="false">
      <c r="A1953" s="3" t="s">
        <v>1171</v>
      </c>
      <c r="B1953" s="4"/>
      <c r="C1953" s="4"/>
      <c r="D1953" s="4"/>
      <c r="E1953" s="4"/>
      <c r="F1953" s="4"/>
      <c r="G1953" s="4"/>
      <c r="H1953" s="4"/>
    </row>
    <row r="1954" customFormat="false" ht="15" hidden="false" customHeight="false" outlineLevel="1" collapsed="false">
      <c r="A1954" s="7" t="s">
        <v>387</v>
      </c>
      <c r="B1954" s="8" t="s">
        <v>123</v>
      </c>
      <c r="C1954" s="53" t="n">
        <f aca="false">Pressupostos!$C$213</f>
        <v>40</v>
      </c>
      <c r="D1954" s="53" t="n">
        <f aca="false">Pressupostos!$D$213</f>
        <v>180</v>
      </c>
      <c r="E1954" s="53" t="n">
        <f aca="false">Pressupostos!$E$213</f>
        <v>650</v>
      </c>
      <c r="F1954" s="53" t="n">
        <f aca="false">Pressupostos!$F$213</f>
        <v>1300</v>
      </c>
      <c r="G1954" s="53" t="n">
        <f aca="false">Pressupostos!$G$213</f>
        <v>2000</v>
      </c>
      <c r="H1954" s="2" t="s">
        <v>1172</v>
      </c>
    </row>
    <row r="1955" customFormat="false" ht="15" hidden="false" customHeight="false" outlineLevel="1" collapsed="false">
      <c r="A1955" s="7" t="s">
        <v>590</v>
      </c>
      <c r="B1955" s="8" t="s">
        <v>120</v>
      </c>
      <c r="C1955" s="54" t="n">
        <f aca="false">Pressupostos!$C$219</f>
        <v>8</v>
      </c>
      <c r="D1955" s="54" t="n">
        <f aca="false">Pressupostos!$D$219</f>
        <v>37</v>
      </c>
      <c r="E1955" s="54" t="n">
        <f aca="false">Pressupostos!$E$219</f>
        <v>133</v>
      </c>
      <c r="F1955" s="54" t="n">
        <f aca="false">Pressupostos!$F$219</f>
        <v>267</v>
      </c>
      <c r="G1955" s="54" t="n">
        <f aca="false">Pressupostos!$G$219</f>
        <v>410</v>
      </c>
      <c r="H1955" s="2" t="s">
        <v>1173</v>
      </c>
    </row>
    <row r="1956" customFormat="false" ht="15" hidden="false" customHeight="false" outlineLevel="1" collapsed="false">
      <c r="A1956" s="7" t="s">
        <v>591</v>
      </c>
      <c r="B1956" s="8" t="s">
        <v>120</v>
      </c>
      <c r="C1956" s="54" t="n">
        <f aca="false">Pressupostos!$C$225</f>
        <v>52</v>
      </c>
      <c r="D1956" s="54" t="n">
        <f aca="false">Pressupostos!$D$225</f>
        <v>363</v>
      </c>
      <c r="E1956" s="54" t="n">
        <f aca="false">Pressupostos!$E$225</f>
        <v>717</v>
      </c>
      <c r="F1956" s="54" t="n">
        <f aca="false">Pressupostos!$F$225</f>
        <v>1183</v>
      </c>
      <c r="G1956" s="54" t="n">
        <f aca="false">Pressupostos!$G$225</f>
        <v>1790</v>
      </c>
      <c r="H1956" s="2" t="s">
        <v>1174</v>
      </c>
    </row>
    <row r="1957" customFormat="false" ht="15" hidden="false" customHeight="false" outlineLevel="1" collapsed="false">
      <c r="A1957" s="7" t="s">
        <v>398</v>
      </c>
      <c r="B1957" s="8" t="s">
        <v>120</v>
      </c>
      <c r="C1957" s="54" t="n">
        <f aca="false">Pressupostos!$C$231</f>
        <v>0</v>
      </c>
      <c r="D1957" s="54" t="n">
        <f aca="false">Pressupostos!$D$231</f>
        <v>0</v>
      </c>
      <c r="E1957" s="54" t="n">
        <f aca="false">Pressupostos!$E$231</f>
        <v>0</v>
      </c>
      <c r="F1957" s="54" t="n">
        <f aca="false">Pressupostos!$F$231</f>
        <v>0</v>
      </c>
      <c r="G1957" s="54" t="n">
        <f aca="false">Pressupostos!$G$231</f>
        <v>0</v>
      </c>
      <c r="H1957" s="2" t="s">
        <v>1175</v>
      </c>
    </row>
    <row r="1958" customFormat="false" ht="15" hidden="false" customHeight="false" outlineLevel="1" collapsed="false">
      <c r="A1958" s="7" t="s">
        <v>592</v>
      </c>
      <c r="B1958" s="8" t="s">
        <v>120</v>
      </c>
      <c r="C1958" s="55" t="n">
        <f aca="false">C1957*Pressupostos!$D$33</f>
        <v>0</v>
      </c>
      <c r="D1958" s="55" t="n">
        <f aca="false">D1957*Pressupostos!$D$33</f>
        <v>0</v>
      </c>
      <c r="E1958" s="55" t="n">
        <f aca="false">E1957*Pressupostos!$D$33</f>
        <v>0</v>
      </c>
      <c r="F1958" s="55" t="n">
        <f aca="false">F1957*Pressupostos!$D$33</f>
        <v>0</v>
      </c>
      <c r="G1958" s="55" t="n">
        <f aca="false">G1957*Pressupostos!$D$33</f>
        <v>0</v>
      </c>
      <c r="H1958" s="2" t="s">
        <v>1176</v>
      </c>
    </row>
    <row r="1959" customFormat="false" ht="15" hidden="false" customHeight="false" outlineLevel="1" collapsed="false">
      <c r="A1959" s="7" t="s">
        <v>593</v>
      </c>
      <c r="B1959" s="8" t="s">
        <v>120</v>
      </c>
      <c r="C1959" s="55" t="n">
        <f aca="false">C1957-C1958</f>
        <v>0</v>
      </c>
      <c r="D1959" s="55" t="n">
        <f aca="false">D1957-D1958</f>
        <v>0</v>
      </c>
      <c r="E1959" s="55" t="n">
        <f aca="false">E1957-E1958</f>
        <v>0</v>
      </c>
      <c r="F1959" s="55" t="n">
        <f aca="false">F1957-F1958</f>
        <v>0</v>
      </c>
      <c r="G1959" s="55" t="n">
        <f aca="false">G1957-G1958</f>
        <v>0</v>
      </c>
      <c r="H1959" s="2" t="s">
        <v>1177</v>
      </c>
    </row>
    <row r="1960" customFormat="false" ht="15" hidden="false" customHeight="false" outlineLevel="1" collapsed="false">
      <c r="A1960" s="56" t="s">
        <v>594</v>
      </c>
      <c r="B1960" s="57" t="s">
        <v>120</v>
      </c>
      <c r="C1960" s="58" t="n">
        <f aca="false">C1955+C1956+C1957</f>
        <v>60</v>
      </c>
      <c r="D1960" s="58" t="n">
        <f aca="false">D1955+D1956+D1957</f>
        <v>400</v>
      </c>
      <c r="E1960" s="58" t="n">
        <f aca="false">E1955+E1956+E1957</f>
        <v>850</v>
      </c>
      <c r="F1960" s="58" t="n">
        <f aca="false">F1955+F1956+F1957</f>
        <v>1450</v>
      </c>
      <c r="G1960" s="58" t="n">
        <f aca="false">G1955+G1956+G1957</f>
        <v>2200</v>
      </c>
      <c r="H1960" s="2" t="s">
        <v>1178</v>
      </c>
    </row>
    <row r="1961" customFormat="false" ht="15" hidden="false" customHeight="false" outlineLevel="1" collapsed="false">
      <c r="A1961" s="7" t="s">
        <v>595</v>
      </c>
      <c r="B1961" s="8" t="s">
        <v>76</v>
      </c>
      <c r="C1961" s="59" t="n">
        <f aca="false">IF(C1960&gt;0,C1955/C1960,0)</f>
        <v>0.133333333333333</v>
      </c>
      <c r="D1961" s="59" t="n">
        <f aca="false">IF(D1960&gt;0,D1955/D1960,0)</f>
        <v>0.0925</v>
      </c>
      <c r="E1961" s="59" t="n">
        <f aca="false">IF(E1960&gt;0,E1955/E1960,0)</f>
        <v>0.156470588235294</v>
      </c>
      <c r="F1961" s="59" t="n">
        <f aca="false">IF(F1960&gt;0,F1955/F1960,0)</f>
        <v>0.184137931034483</v>
      </c>
      <c r="G1961" s="59" t="n">
        <f aca="false">IF(G1960&gt;0,G1955/G1960,0)</f>
        <v>0.186363636363636</v>
      </c>
      <c r="H1961" s="2" t="s">
        <v>1179</v>
      </c>
    </row>
    <row r="1962" customFormat="false" ht="15" hidden="false" customHeight="false" outlineLevel="1" collapsed="false">
      <c r="A1962" s="7" t="s">
        <v>596</v>
      </c>
      <c r="B1962" s="8" t="s">
        <v>76</v>
      </c>
      <c r="C1962" s="60" t="n">
        <f aca="false">C1960/(Pressupostos!$C$76*1000)</f>
        <v>0.000353982300884956</v>
      </c>
      <c r="D1962" s="60" t="n">
        <f aca="false">D1960/(Pressupostos!$C$76*1000)</f>
        <v>0.00235988200589971</v>
      </c>
      <c r="E1962" s="60" t="n">
        <f aca="false">E1960/(Pressupostos!$C$76*1000)</f>
        <v>0.00501474926253687</v>
      </c>
      <c r="F1962" s="60" t="n">
        <f aca="false">F1960/(Pressupostos!$C$76*1000)</f>
        <v>0.00855457227138643</v>
      </c>
      <c r="G1962" s="60" t="n">
        <f aca="false">G1960/(Pressupostos!$C$76*1000)</f>
        <v>0.0129793510324484</v>
      </c>
      <c r="H1962" s="2" t="s">
        <v>1180</v>
      </c>
    </row>
    <row r="1963" customFormat="false" ht="15" hidden="false" customHeight="false" outlineLevel="1" collapsed="false">
      <c r="A1963" s="7" t="s">
        <v>597</v>
      </c>
      <c r="B1963" s="8" t="s">
        <v>123</v>
      </c>
      <c r="C1963" s="55" t="n">
        <f aca="false">C1955/Pressupostos!$C$40+C1956/Pressupostos!$C$47+C1957/Pressupostos!$C$59</f>
        <v>2.13333333333333</v>
      </c>
      <c r="D1963" s="55" t="n">
        <f aca="false">D1955/Pressupostos!$C$40+D1956/Pressupostos!$C$47+D1957/Pressupostos!$C$59</f>
        <v>13.95</v>
      </c>
      <c r="E1963" s="55" t="n">
        <f aca="false">E1955/Pressupostos!$C$40+E1956/Pressupostos!$C$47+E1957/Pressupostos!$C$59</f>
        <v>30.55</v>
      </c>
      <c r="F1963" s="55" t="n">
        <f aca="false">F1955/Pressupostos!$C$40+F1956/Pressupostos!$C$47+F1957/Pressupostos!$C$59</f>
        <v>52.7833333333333</v>
      </c>
      <c r="G1963" s="55" t="n">
        <f aca="false">G1955/Pressupostos!$C$40+G1956/Pressupostos!$C$47+G1957/Pressupostos!$C$59</f>
        <v>80.1666666666667</v>
      </c>
      <c r="H1963" s="2" t="s">
        <v>1181</v>
      </c>
    </row>
    <row r="1964" customFormat="false" ht="15" hidden="false" customHeight="false" outlineLevel="0" collapsed="false">
      <c r="A1964" s="3" t="s">
        <v>1182</v>
      </c>
      <c r="B1964" s="4"/>
      <c r="C1964" s="4"/>
      <c r="D1964" s="4"/>
      <c r="E1964" s="4"/>
      <c r="F1964" s="4"/>
      <c r="G1964" s="4"/>
      <c r="H1964" s="4"/>
    </row>
    <row r="1965" customFormat="false" ht="15" hidden="false" customHeight="false" outlineLevel="1" collapsed="false">
      <c r="A1965" s="7" t="s">
        <v>599</v>
      </c>
      <c r="B1965" s="8" t="s">
        <v>202</v>
      </c>
      <c r="C1965" s="53" t="n">
        <f aca="false">Pressupostos!$C$257</f>
        <v>150</v>
      </c>
      <c r="D1965" s="53" t="n">
        <f aca="false">Pressupostos!$D$257</f>
        <v>600</v>
      </c>
      <c r="E1965" s="53" t="n">
        <f aca="false">Pressupostos!$E$257</f>
        <v>1000</v>
      </c>
      <c r="F1965" s="53" t="n">
        <f aca="false">Pressupostos!$F$257</f>
        <v>1400</v>
      </c>
      <c r="G1965" s="53" t="n">
        <f aca="false">Pressupostos!$G$257</f>
        <v>1800</v>
      </c>
      <c r="H1965" s="2" t="s">
        <v>1183</v>
      </c>
    </row>
    <row r="1966" customFormat="false" ht="15" hidden="false" customHeight="false" outlineLevel="1" collapsed="false">
      <c r="A1966" s="7" t="s">
        <v>599</v>
      </c>
      <c r="B1966" s="8" t="s">
        <v>189</v>
      </c>
      <c r="C1966" s="61" t="n">
        <f aca="false">C1965*Pressupostos!$C$78</f>
        <v>112500</v>
      </c>
      <c r="D1966" s="61" t="n">
        <f aca="false">D1965*Pressupostos!$C$78</f>
        <v>450000</v>
      </c>
      <c r="E1966" s="61" t="n">
        <f aca="false">E1965*Pressupostos!$C$78</f>
        <v>750000</v>
      </c>
      <c r="F1966" s="61" t="n">
        <f aca="false">F1965*Pressupostos!$C$78</f>
        <v>1050000</v>
      </c>
      <c r="G1966" s="61" t="n">
        <f aca="false">G1965*Pressupostos!$C$78</f>
        <v>1350000</v>
      </c>
      <c r="H1966" s="2" t="s">
        <v>1184</v>
      </c>
    </row>
    <row r="1967" customFormat="false" ht="15" hidden="false" customHeight="false" outlineLevel="0" collapsed="false">
      <c r="A1967" s="3" t="s">
        <v>1185</v>
      </c>
      <c r="B1967" s="4"/>
      <c r="C1967" s="4"/>
      <c r="D1967" s="4"/>
      <c r="E1967" s="4"/>
      <c r="F1967" s="4"/>
      <c r="G1967" s="4"/>
      <c r="H1967" s="4"/>
    </row>
    <row r="1968" customFormat="false" ht="15" hidden="false" customHeight="false" outlineLevel="1" collapsed="false">
      <c r="A1968" s="7" t="s">
        <v>601</v>
      </c>
      <c r="B1968" s="8" t="s">
        <v>120</v>
      </c>
      <c r="C1968" s="55" t="n">
        <f aca="false">IF(C1952&lt;Pressupostos!$D$28,0,Pressupostos!$C$263)</f>
        <v>0</v>
      </c>
      <c r="D1968" s="55" t="n">
        <f aca="false">IF(D1952&lt;Pressupostos!$D$28,0,Pressupostos!$D$263)</f>
        <v>0</v>
      </c>
      <c r="E1968" s="55" t="n">
        <f aca="false">IF(E1952&lt;Pressupostos!$D$28,0,Pressupostos!$E$263)</f>
        <v>30</v>
      </c>
      <c r="F1968" s="55" t="n">
        <f aca="false">IF(F1952&lt;Pressupostos!$D$28,0,Pressupostos!$F$263)</f>
        <v>60</v>
      </c>
      <c r="G1968" s="55" t="n">
        <f aca="false">IF(G1952&lt;Pressupostos!$D$28,0,Pressupostos!$G$263)</f>
        <v>100</v>
      </c>
      <c r="H1968" s="2" t="s">
        <v>1186</v>
      </c>
    </row>
    <row r="1969" customFormat="false" ht="15" hidden="false" customHeight="false" outlineLevel="0" collapsed="false">
      <c r="A1969" s="3" t="s">
        <v>1187</v>
      </c>
      <c r="B1969" s="4"/>
      <c r="C1969" s="4"/>
      <c r="D1969" s="4"/>
      <c r="E1969" s="4"/>
      <c r="F1969" s="4"/>
      <c r="G1969" s="4"/>
      <c r="H1969" s="4"/>
    </row>
    <row r="1970" customFormat="false" ht="15" hidden="false" customHeight="false" outlineLevel="1" collapsed="false">
      <c r="A1970" s="7" t="s">
        <v>603</v>
      </c>
      <c r="B1970" s="8" t="s">
        <v>11</v>
      </c>
      <c r="C1970" s="53" t="n">
        <f aca="false">Pressupostos!$C$269</f>
        <v>0</v>
      </c>
      <c r="D1970" s="53" t="n">
        <f aca="false">Pressupostos!$D$269</f>
        <v>500000</v>
      </c>
      <c r="E1970" s="53" t="n">
        <f aca="false">Pressupostos!$E$269</f>
        <v>1500000</v>
      </c>
      <c r="F1970" s="53" t="n">
        <f aca="false">Pressupostos!$F$269</f>
        <v>3000000</v>
      </c>
      <c r="G1970" s="53" t="n">
        <f aca="false">Pressupostos!$G$269</f>
        <v>5000000</v>
      </c>
      <c r="H1970" s="2" t="s">
        <v>1188</v>
      </c>
    </row>
    <row r="1971" customFormat="false" ht="15" hidden="false" customHeight="false" outlineLevel="1" collapsed="false">
      <c r="A1971" s="7" t="s">
        <v>604</v>
      </c>
      <c r="B1971" s="8" t="s">
        <v>120</v>
      </c>
      <c r="C1971" s="55" t="n">
        <f aca="false">C1970/(Pressupostos!$C$105*Pressupostos!$C$106)*Pressupostos!$C$102/1000</f>
        <v>0</v>
      </c>
      <c r="D1971" s="55" t="n">
        <f aca="false">D1970/(Pressupostos!$C$105*Pressupostos!$C$106)*Pressupostos!$C$102/1000</f>
        <v>457.142857142857</v>
      </c>
      <c r="E1971" s="55" t="n">
        <f aca="false">E1970/(Pressupostos!$C$105*Pressupostos!$C$106)*Pressupostos!$C$102/1000</f>
        <v>1371.42857142857</v>
      </c>
      <c r="F1971" s="55" t="n">
        <f aca="false">F1970/(Pressupostos!$C$105*Pressupostos!$C$106)*Pressupostos!$C$102/1000</f>
        <v>2742.85714285714</v>
      </c>
      <c r="G1971" s="55" t="n">
        <f aca="false">G1970/(Pressupostos!$C$105*Pressupostos!$C$106)*Pressupostos!$C$102/1000</f>
        <v>4571.42857142857</v>
      </c>
      <c r="H1971" s="2" t="s">
        <v>1189</v>
      </c>
    </row>
    <row r="1972" customFormat="false" ht="15" hidden="false" customHeight="false" outlineLevel="0" collapsed="false">
      <c r="A1972" s="3" t="s">
        <v>1190</v>
      </c>
      <c r="B1972" s="4"/>
      <c r="C1972" s="4"/>
      <c r="D1972" s="4"/>
      <c r="E1972" s="4"/>
      <c r="F1972" s="4"/>
      <c r="G1972" s="4"/>
      <c r="H1972" s="4"/>
    </row>
    <row r="1973" customFormat="false" ht="15" hidden="false" customHeight="false" outlineLevel="1" collapsed="false">
      <c r="A1973" s="7" t="s">
        <v>669</v>
      </c>
      <c r="B1973" s="8" t="s">
        <v>64</v>
      </c>
      <c r="C1973" s="63" t="n">
        <f aca="false">Pressupostos!$D$10+Pressupostos!$D$11</f>
        <v>3.6</v>
      </c>
      <c r="D1973" s="63" t="n">
        <f aca="false">Pressupostos!$D$10+Pressupostos!$D$11</f>
        <v>3.6</v>
      </c>
      <c r="E1973" s="63" t="n">
        <f aca="false">Pressupostos!$D$10+Pressupostos!$D$11</f>
        <v>3.6</v>
      </c>
      <c r="F1973" s="63" t="n">
        <f aca="false">Pressupostos!$D$10+Pressupostos!$D$11</f>
        <v>3.6</v>
      </c>
      <c r="G1973" s="63" t="n">
        <f aca="false">Pressupostos!$D$10+Pressupostos!$D$11</f>
        <v>3.6</v>
      </c>
      <c r="H1973" s="2" t="s">
        <v>1191</v>
      </c>
    </row>
    <row r="1974" customFormat="false" ht="15" hidden="false" customHeight="false" outlineLevel="1" collapsed="false">
      <c r="A1974" s="7" t="s">
        <v>670</v>
      </c>
      <c r="B1974" s="8" t="s">
        <v>64</v>
      </c>
      <c r="C1974" s="67" t="n">
        <f aca="false">Pressupostos!$D$15</f>
        <v>5.65</v>
      </c>
      <c r="D1974" s="67" t="n">
        <f aca="false">Pressupostos!$D$15</f>
        <v>5.65</v>
      </c>
      <c r="E1974" s="67" t="n">
        <f aca="false">Pressupostos!$D$15</f>
        <v>5.65</v>
      </c>
      <c r="F1974" s="67" t="n">
        <f aca="false">Pressupostos!$D$15</f>
        <v>5.65</v>
      </c>
      <c r="G1974" s="67" t="n">
        <f aca="false">Pressupostos!$D$15</f>
        <v>5.65</v>
      </c>
      <c r="H1974" s="2" t="s">
        <v>1192</v>
      </c>
    </row>
    <row r="1975" customFormat="false" ht="15" hidden="false" customHeight="false" outlineLevel="1" collapsed="false">
      <c r="A1975" s="56" t="s">
        <v>671</v>
      </c>
      <c r="B1975" s="57" t="s">
        <v>64</v>
      </c>
      <c r="C1975" s="68" t="n">
        <f aca="false">C1974*(1-(Pressupostos!$C$193))</f>
        <v>4.8025</v>
      </c>
      <c r="D1975" s="68" t="n">
        <f aca="false">D1974*(1-(Pressupostos!$C$193))</f>
        <v>4.8025</v>
      </c>
      <c r="E1975" s="68" t="n">
        <f aca="false">E1974*(1-(Pressupostos!$C$193))</f>
        <v>4.8025</v>
      </c>
      <c r="F1975" s="68" t="n">
        <f aca="false">F1974*(1-(Pressupostos!$C$193))</f>
        <v>4.8025</v>
      </c>
      <c r="G1975" s="68" t="n">
        <f aca="false">G1974*(1-(Pressupostos!$C$193))</f>
        <v>4.8025</v>
      </c>
      <c r="H1975" s="2" t="s">
        <v>1193</v>
      </c>
    </row>
    <row r="1976" customFormat="false" ht="15" hidden="false" customHeight="false" outlineLevel="1" collapsed="false">
      <c r="A1976" s="7" t="s">
        <v>144</v>
      </c>
      <c r="B1976" s="8" t="s">
        <v>64</v>
      </c>
      <c r="C1976" s="67" t="n">
        <f aca="false">Pressupostos!$C$38</f>
        <v>0.55</v>
      </c>
      <c r="D1976" s="67" t="n">
        <f aca="false">Pressupostos!$C$38</f>
        <v>0.55</v>
      </c>
      <c r="E1976" s="67" t="n">
        <f aca="false">Pressupostos!$C$38</f>
        <v>0.55</v>
      </c>
      <c r="F1976" s="67" t="n">
        <f aca="false">Pressupostos!$C$38</f>
        <v>0.55</v>
      </c>
      <c r="G1976" s="67" t="n">
        <f aca="false">Pressupostos!$C$38</f>
        <v>0.55</v>
      </c>
      <c r="H1976" s="2" t="s">
        <v>1194</v>
      </c>
    </row>
    <row r="1977" customFormat="false" ht="15" hidden="false" customHeight="false" outlineLevel="1" collapsed="false">
      <c r="A1977" s="7" t="s">
        <v>215</v>
      </c>
      <c r="B1977" s="8" t="s">
        <v>64</v>
      </c>
      <c r="C1977" s="67" t="n">
        <f aca="false">Pressupostos!$C$238</f>
        <v>0.3</v>
      </c>
      <c r="D1977" s="67" t="n">
        <f aca="false">Pressupostos!$D$238</f>
        <v>0.3</v>
      </c>
      <c r="E1977" s="67" t="n">
        <f aca="false">Pressupostos!$E$238</f>
        <v>0.28</v>
      </c>
      <c r="F1977" s="67" t="n">
        <f aca="false">Pressupostos!$F$238</f>
        <v>0.27</v>
      </c>
      <c r="G1977" s="67" t="n">
        <f aca="false">Pressupostos!$G$238</f>
        <v>0.27</v>
      </c>
      <c r="H1977" s="2" t="s">
        <v>1195</v>
      </c>
    </row>
    <row r="1978" customFormat="false" ht="15" hidden="false" customHeight="false" outlineLevel="1" collapsed="false">
      <c r="A1978" s="7" t="s">
        <v>117</v>
      </c>
      <c r="B1978" s="8" t="s">
        <v>64</v>
      </c>
      <c r="C1978" s="67" t="n">
        <f aca="false">Pressupostos!$C$39</f>
        <v>0.06</v>
      </c>
      <c r="D1978" s="67" t="n">
        <f aca="false">Pressupostos!$C$39</f>
        <v>0.06</v>
      </c>
      <c r="E1978" s="67" t="n">
        <f aca="false">Pressupostos!$C$39</f>
        <v>0.06</v>
      </c>
      <c r="F1978" s="67" t="n">
        <f aca="false">Pressupostos!$C$39</f>
        <v>0.06</v>
      </c>
      <c r="G1978" s="67" t="n">
        <f aca="false">Pressupostos!$C$39</f>
        <v>0.06</v>
      </c>
      <c r="H1978" s="2" t="s">
        <v>1196</v>
      </c>
    </row>
    <row r="1979" customFormat="false" ht="15" hidden="false" customHeight="false" outlineLevel="1" collapsed="false">
      <c r="A1979" s="7" t="s">
        <v>91</v>
      </c>
      <c r="B1979" s="8" t="s">
        <v>79</v>
      </c>
      <c r="C1979" s="69" t="n">
        <f aca="false">Pressupostos!$C$244</f>
        <v>180</v>
      </c>
      <c r="D1979" s="69" t="n">
        <f aca="false">Pressupostos!$D$244</f>
        <v>180</v>
      </c>
      <c r="E1979" s="69" t="n">
        <f aca="false">Pressupostos!$E$244</f>
        <v>45</v>
      </c>
      <c r="F1979" s="69" t="n">
        <f aca="false">Pressupostos!$F$244</f>
        <v>45</v>
      </c>
      <c r="G1979" s="69" t="n">
        <f aca="false">Pressupostos!$G$244</f>
        <v>45</v>
      </c>
      <c r="H1979" s="2" t="s">
        <v>1197</v>
      </c>
    </row>
    <row r="1980" customFormat="false" ht="15" hidden="false" customHeight="false" outlineLevel="1" collapsed="false">
      <c r="A1980" s="7" t="s">
        <v>78</v>
      </c>
      <c r="B1980" s="8" t="s">
        <v>79</v>
      </c>
      <c r="C1980" s="69" t="n">
        <f aca="false">Pressupostos!$D$17</f>
        <v>35</v>
      </c>
      <c r="D1980" s="69" t="n">
        <f aca="false">Pressupostos!$D$17</f>
        <v>35</v>
      </c>
      <c r="E1980" s="69" t="n">
        <f aca="false">Pressupostos!$D$17</f>
        <v>35</v>
      </c>
      <c r="F1980" s="69" t="n">
        <f aca="false">Pressupostos!$D$17</f>
        <v>35</v>
      </c>
      <c r="G1980" s="69" t="n">
        <f aca="false">Pressupostos!$D$17</f>
        <v>35</v>
      </c>
      <c r="H1980" s="2" t="s">
        <v>1198</v>
      </c>
    </row>
    <row r="1981" customFormat="false" ht="15" hidden="false" customHeight="false" outlineLevel="1" collapsed="false">
      <c r="A1981" s="7" t="s">
        <v>490</v>
      </c>
      <c r="B1981" s="8" t="s">
        <v>64</v>
      </c>
      <c r="C1981" s="63" t="n">
        <f aca="false">Pressupostos!$C$66*C1979/30/1000</f>
        <v>0.024</v>
      </c>
      <c r="D1981" s="63" t="n">
        <f aca="false">Pressupostos!$C$66*D1979/30/1000</f>
        <v>0.024</v>
      </c>
      <c r="E1981" s="63" t="n">
        <f aca="false">Pressupostos!$C$66*E1979/30/1000</f>
        <v>0.006</v>
      </c>
      <c r="F1981" s="63" t="n">
        <f aca="false">Pressupostos!$C$66*F1979/30/1000</f>
        <v>0.006</v>
      </c>
      <c r="G1981" s="63" t="n">
        <f aca="false">Pressupostos!$C$66*G1979/30/1000</f>
        <v>0.006</v>
      </c>
      <c r="H1981" s="2" t="s">
        <v>1199</v>
      </c>
    </row>
    <row r="1982" customFormat="false" ht="15" hidden="false" customHeight="false" outlineLevel="1" collapsed="false">
      <c r="A1982" s="7" t="s">
        <v>165</v>
      </c>
      <c r="B1982" s="8" t="s">
        <v>64</v>
      </c>
      <c r="C1982" s="63" t="n">
        <f aca="false">C1973*Pressupostos!$C$67*C1979/365</f>
        <v>0.00355068493150685</v>
      </c>
      <c r="D1982" s="63" t="n">
        <f aca="false">D1973*Pressupostos!$C$67*D1979/365</f>
        <v>0.00355068493150685</v>
      </c>
      <c r="E1982" s="63" t="n">
        <f aca="false">E1973*Pressupostos!$C$67*E1979/365</f>
        <v>0.000887671232876712</v>
      </c>
      <c r="F1982" s="63" t="n">
        <f aca="false">F1973*Pressupostos!$C$67*F1979/365</f>
        <v>0.000887671232876712</v>
      </c>
      <c r="G1982" s="63" t="n">
        <f aca="false">G1973*Pressupostos!$C$67*G1979/365</f>
        <v>0.000887671232876712</v>
      </c>
      <c r="H1982" s="2" t="s">
        <v>1200</v>
      </c>
    </row>
    <row r="1983" customFormat="false" ht="15" hidden="false" customHeight="false" outlineLevel="1" collapsed="false">
      <c r="A1983" s="7" t="s">
        <v>672</v>
      </c>
      <c r="B1983" s="8" t="s">
        <v>64</v>
      </c>
      <c r="C1983" s="63" t="n">
        <f aca="false">Pressupostos!$C$41*Pressupostos!$C$68/(Pressupostos!$C$40*1000)</f>
        <v>0.03</v>
      </c>
      <c r="D1983" s="63" t="n">
        <f aca="false">Pressupostos!$C$41*Pressupostos!$C$68/(Pressupostos!$C$40*1000)</f>
        <v>0.03</v>
      </c>
      <c r="E1983" s="63" t="n">
        <f aca="false">Pressupostos!$C$41*Pressupostos!$C$68/(Pressupostos!$C$40*1000)</f>
        <v>0.03</v>
      </c>
      <c r="F1983" s="63" t="n">
        <f aca="false">Pressupostos!$C$41*Pressupostos!$C$68/(Pressupostos!$C$40*1000)</f>
        <v>0.03</v>
      </c>
      <c r="G1983" s="63" t="n">
        <f aca="false">Pressupostos!$C$41*Pressupostos!$C$68/(Pressupostos!$C$40*1000)</f>
        <v>0.03</v>
      </c>
      <c r="H1983" s="2" t="s">
        <v>1201</v>
      </c>
    </row>
    <row r="1984" customFormat="false" ht="15" hidden="false" customHeight="false" outlineLevel="1" collapsed="false">
      <c r="A1984" s="7" t="s">
        <v>492</v>
      </c>
      <c r="B1984" s="8" t="s">
        <v>64</v>
      </c>
      <c r="C1984" s="63" t="n">
        <f aca="false">Pressupostos!$C$69*C1973</f>
        <v>0.018</v>
      </c>
      <c r="D1984" s="63" t="n">
        <f aca="false">Pressupostos!$C$69*D1973</f>
        <v>0.018</v>
      </c>
      <c r="E1984" s="63" t="n">
        <f aca="false">Pressupostos!$C$69*E1973</f>
        <v>0.018</v>
      </c>
      <c r="F1984" s="63" t="n">
        <f aca="false">Pressupostos!$C$69*F1973</f>
        <v>0.018</v>
      </c>
      <c r="G1984" s="63" t="n">
        <f aca="false">Pressupostos!$C$69*G1973</f>
        <v>0.018</v>
      </c>
      <c r="H1984" s="2" t="s">
        <v>1202</v>
      </c>
    </row>
    <row r="1985" customFormat="false" ht="15" hidden="false" customHeight="false" outlineLevel="1" collapsed="false">
      <c r="A1985" s="7" t="s">
        <v>493</v>
      </c>
      <c r="B1985" s="8" t="s">
        <v>64</v>
      </c>
      <c r="C1985" s="63" t="n">
        <f aca="false">Pressupostos!$C$70*Pressupostos!$C$71*C1979/90</f>
        <v>0.018</v>
      </c>
      <c r="D1985" s="63" t="n">
        <f aca="false">Pressupostos!$C$70*Pressupostos!$C$71*D1979/90</f>
        <v>0.018</v>
      </c>
      <c r="E1985" s="63" t="n">
        <f aca="false">Pressupostos!$C$70*Pressupostos!$C$71*E1979/90</f>
        <v>0.0045</v>
      </c>
      <c r="F1985" s="63" t="n">
        <f aca="false">Pressupostos!$C$70*Pressupostos!$C$71*F1979/90</f>
        <v>0.0045</v>
      </c>
      <c r="G1985" s="63" t="n">
        <f aca="false">Pressupostos!$C$70*Pressupostos!$C$71*G1979/90</f>
        <v>0.0045</v>
      </c>
      <c r="H1985" s="2" t="s">
        <v>1203</v>
      </c>
    </row>
    <row r="1986" customFormat="false" ht="15" hidden="false" customHeight="false" outlineLevel="1" collapsed="false">
      <c r="A1986" s="7" t="s">
        <v>673</v>
      </c>
      <c r="B1986" s="8" t="s">
        <v>64</v>
      </c>
      <c r="C1986" s="63" t="n">
        <f aca="false">Pressupostos!$C$42/(Pressupostos!$C$40*1000)</f>
        <v>0.1</v>
      </c>
      <c r="D1986" s="63" t="n">
        <f aca="false">Pressupostos!$C$42/(Pressupostos!$C$40*1000)</f>
        <v>0.1</v>
      </c>
      <c r="E1986" s="63" t="n">
        <f aca="false">Pressupostos!$C$42/(Pressupostos!$C$40*1000)</f>
        <v>0.1</v>
      </c>
      <c r="F1986" s="63" t="n">
        <f aca="false">Pressupostos!$C$42/(Pressupostos!$C$40*1000)</f>
        <v>0.1</v>
      </c>
      <c r="G1986" s="63" t="n">
        <f aca="false">Pressupostos!$C$42/(Pressupostos!$C$40*1000)</f>
        <v>0.1</v>
      </c>
      <c r="H1986" s="2" t="s">
        <v>1204</v>
      </c>
    </row>
    <row r="1987" customFormat="false" ht="15" hidden="false" customHeight="false" outlineLevel="1" collapsed="false">
      <c r="A1987" s="7" t="s">
        <v>139</v>
      </c>
      <c r="B1987" s="8" t="s">
        <v>64</v>
      </c>
      <c r="C1987" s="67" t="n">
        <f aca="false">Pressupostos!$C$43</f>
        <v>0.01</v>
      </c>
      <c r="D1987" s="67" t="n">
        <f aca="false">Pressupostos!$C$43</f>
        <v>0.01</v>
      </c>
      <c r="E1987" s="67" t="n">
        <f aca="false">Pressupostos!$C$43</f>
        <v>0.01</v>
      </c>
      <c r="F1987" s="67" t="n">
        <f aca="false">Pressupostos!$C$43</f>
        <v>0.01</v>
      </c>
      <c r="G1987" s="67" t="n">
        <f aca="false">Pressupostos!$C$43</f>
        <v>0.01</v>
      </c>
      <c r="H1987" s="2" t="s">
        <v>1205</v>
      </c>
    </row>
    <row r="1988" customFormat="false" ht="15" hidden="false" customHeight="false" outlineLevel="1" collapsed="false">
      <c r="A1988" s="7" t="s">
        <v>81</v>
      </c>
      <c r="B1988" s="8" t="s">
        <v>64</v>
      </c>
      <c r="C1988" s="63" t="n">
        <f aca="false">Pressupostos!$D$18*C1975</f>
        <v>0.028815</v>
      </c>
      <c r="D1988" s="63" t="n">
        <f aca="false">Pressupostos!$D$18*D1975</f>
        <v>0.028815</v>
      </c>
      <c r="E1988" s="63" t="n">
        <f aca="false">Pressupostos!$D$18*E1975</f>
        <v>0.028815</v>
      </c>
      <c r="F1988" s="63" t="n">
        <f aca="false">Pressupostos!$D$18*F1975</f>
        <v>0.028815</v>
      </c>
      <c r="G1988" s="63" t="n">
        <f aca="false">Pressupostos!$D$18*G1975</f>
        <v>0.028815</v>
      </c>
      <c r="H1988" s="2" t="s">
        <v>1206</v>
      </c>
    </row>
    <row r="1989" customFormat="false" ht="15" hidden="false" customHeight="false" outlineLevel="1" collapsed="false">
      <c r="A1989" s="7" t="s">
        <v>674</v>
      </c>
      <c r="B1989" s="8" t="s">
        <v>64</v>
      </c>
      <c r="C1989" s="63" t="n">
        <f aca="false">Pressupostos!$C$73*C1975</f>
        <v>0</v>
      </c>
      <c r="D1989" s="63" t="n">
        <f aca="false">Pressupostos!$C$73*D1975</f>
        <v>0</v>
      </c>
      <c r="E1989" s="63" t="n">
        <f aca="false">Pressupostos!$C$73*E1975</f>
        <v>0</v>
      </c>
      <c r="F1989" s="63" t="n">
        <f aca="false">Pressupostos!$C$73*F1975</f>
        <v>0</v>
      </c>
      <c r="G1989" s="63" t="n">
        <f aca="false">Pressupostos!$C$73*G1975</f>
        <v>0</v>
      </c>
      <c r="H1989" s="2" t="s">
        <v>1207</v>
      </c>
    </row>
    <row r="1990" customFormat="false" ht="15" hidden="false" customHeight="false" outlineLevel="1" collapsed="false">
      <c r="A1990" s="7" t="s">
        <v>675</v>
      </c>
      <c r="B1990" s="8" t="s">
        <v>64</v>
      </c>
      <c r="C1990" s="63" t="n">
        <f aca="false">Pressupostos!$C$288*(C1973+C1976)*(C1979+C1980-Pressupostos!$C$72)/365*Pressupostos!$C$282/Pressupostos!$D$31</f>
        <v>0</v>
      </c>
      <c r="D1990" s="63" t="n">
        <f aca="false">Pressupostos!$D$288*(D1973+D1976)*(D1979+D1980-Pressupostos!$C$72)/365*Pressupostos!$D$282/Pressupostos!$D$31</f>
        <v>0.189308219178082</v>
      </c>
      <c r="E1990" s="63" t="n">
        <f aca="false">Pressupostos!$E$288*(E1973+E1976)*(E1979+E1980-Pressupostos!$C$72)/365*Pressupostos!$E$282/Pressupostos!$D$31</f>
        <v>0.0479666095890411</v>
      </c>
      <c r="F1990" s="63" t="n">
        <f aca="false">Pressupostos!$F$288*(F1973+F1976)*(F1979+F1980-Pressupostos!$C$72)/365*Pressupostos!$F$282/Pressupostos!$D$31</f>
        <v>0.0447688356164384</v>
      </c>
      <c r="G1990" s="63" t="n">
        <f aca="false">Pressupostos!$G$288*(G1973+G1976)*(G1979+G1980-Pressupostos!$C$72)/365*Pressupostos!$G$282/Pressupostos!$D$31</f>
        <v>0.0447688356164384</v>
      </c>
      <c r="H1990" s="2" t="s">
        <v>1208</v>
      </c>
    </row>
    <row r="1991" customFormat="false" ht="15" hidden="false" customHeight="false" outlineLevel="1" collapsed="false">
      <c r="A1991" s="7" t="s">
        <v>676</v>
      </c>
      <c r="B1991" s="8" t="s">
        <v>64</v>
      </c>
      <c r="C1991" s="63" t="n">
        <f aca="false">C1973+C1976+C1977+C1978+C1981+C1982+C1983+C1984+C1985+C1986+C1987+C1988+C1989+C1990</f>
        <v>4.74236568493151</v>
      </c>
      <c r="D1991" s="63" t="n">
        <f aca="false">D1973+D1976+D1977+D1978+D1981+D1982+D1983+D1984+D1985+D1986+D1987+D1988+D1989+D1990</f>
        <v>4.93167390410959</v>
      </c>
      <c r="E1991" s="63" t="n">
        <f aca="false">E1973+E1976+E1977+E1978+E1981+E1982+E1983+E1984+E1985+E1986+E1987+E1988+E1989+E1990</f>
        <v>4.73616928082192</v>
      </c>
      <c r="F1991" s="63" t="n">
        <f aca="false">F1973+F1976+F1977+F1978+F1981+F1982+F1983+F1984+F1985+F1986+F1987+F1988+F1989+F1990</f>
        <v>4.72297150684932</v>
      </c>
      <c r="G1991" s="63" t="n">
        <f aca="false">G1973+G1976+G1977+G1978+G1981+G1982+G1983+G1984+G1985+G1986+G1987+G1988+G1989+G1990</f>
        <v>4.72297150684932</v>
      </c>
      <c r="H1991" s="2" t="s">
        <v>1209</v>
      </c>
    </row>
    <row r="1992" customFormat="false" ht="15" hidden="false" customHeight="false" outlineLevel="1" collapsed="false">
      <c r="A1992" s="56" t="s">
        <v>677</v>
      </c>
      <c r="B1992" s="57" t="s">
        <v>64</v>
      </c>
      <c r="C1992" s="68" t="n">
        <f aca="false">C1975-C1991</f>
        <v>0.0601343150684945</v>
      </c>
      <c r="D1992" s="68" t="n">
        <f aca="false">D1975-D1991</f>
        <v>-0.129173904109588</v>
      </c>
      <c r="E1992" s="68" t="n">
        <f aca="false">E1975-E1991</f>
        <v>0.0663307191780822</v>
      </c>
      <c r="F1992" s="68" t="n">
        <f aca="false">F1975-F1991</f>
        <v>0.0795284931506854</v>
      </c>
      <c r="G1992" s="68" t="n">
        <f aca="false">G1975-G1991</f>
        <v>0.0795284931506854</v>
      </c>
      <c r="H1992" s="2" t="s">
        <v>1210</v>
      </c>
    </row>
    <row r="1993" customFormat="false" ht="15" hidden="false" customHeight="false" outlineLevel="1" collapsed="false">
      <c r="A1993" s="7" t="s">
        <v>678</v>
      </c>
      <c r="B1993" s="8" t="s">
        <v>76</v>
      </c>
      <c r="C1993" s="59" t="n">
        <f aca="false">IF(C1975&gt;0,C1992/C1975,0)</f>
        <v>0.0125214607118156</v>
      </c>
      <c r="D1993" s="59" t="n">
        <f aca="false">IF(D1975&gt;0,D1992/D1975,0)</f>
        <v>-0.0268972210535321</v>
      </c>
      <c r="E1993" s="59" t="n">
        <f aca="false">IF(E1975&gt;0,E1992/E1975,0)</f>
        <v>0.0138117062317714</v>
      </c>
      <c r="F1993" s="59" t="n">
        <f aca="false">IF(F1975&gt;0,F1992/F1975,0)</f>
        <v>0.0165598111714077</v>
      </c>
      <c r="G1993" s="59" t="n">
        <f aca="false">IF(G1975&gt;0,G1992/G1975,0)</f>
        <v>0.0165598111714077</v>
      </c>
      <c r="H1993" s="2" t="s">
        <v>1211</v>
      </c>
    </row>
    <row r="1994" customFormat="false" ht="15" hidden="false" customHeight="false" outlineLevel="1" collapsed="false">
      <c r="A1994" s="7" t="s">
        <v>679</v>
      </c>
      <c r="B1994" s="8" t="s">
        <v>64</v>
      </c>
      <c r="C1994" s="63" t="n">
        <f aca="false">(C1973+C1976)*(C1979-Pressupostos!$C$72)/365+C1975*C1980/365</f>
        <v>2.16599315068493</v>
      </c>
      <c r="D1994" s="63" t="n">
        <f aca="false">(D1973+D1976)*(D1979-Pressupostos!$C$72)/365+D1975*D1980/365</f>
        <v>2.16599315068493</v>
      </c>
      <c r="E1994" s="63" t="n">
        <f aca="false">(E1973+E1976)*(E1979-Pressupostos!$C$72)/365+E1975*E1980/365</f>
        <v>0.631061643835617</v>
      </c>
      <c r="F1994" s="63" t="n">
        <f aca="false">(F1973+F1976)*(F1979-Pressupostos!$C$72)/365+F1975*F1980/365</f>
        <v>0.631061643835617</v>
      </c>
      <c r="G1994" s="63" t="n">
        <f aca="false">(G1973+G1976)*(G1979-Pressupostos!$C$72)/365+G1975*G1980/365</f>
        <v>0.631061643835617</v>
      </c>
      <c r="H1994" s="2" t="s">
        <v>1212</v>
      </c>
    </row>
    <row r="1995" customFormat="false" ht="15" hidden="false" customHeight="false" outlineLevel="0" collapsed="false">
      <c r="A1995" s="3" t="s">
        <v>1213</v>
      </c>
      <c r="B1995" s="4"/>
      <c r="C1995" s="4"/>
      <c r="D1995" s="4"/>
      <c r="E1995" s="4"/>
      <c r="F1995" s="4"/>
      <c r="G1995" s="4"/>
      <c r="H1995" s="4"/>
    </row>
    <row r="1996" customFormat="false" ht="15" hidden="false" customHeight="false" outlineLevel="1" collapsed="false">
      <c r="A1996" s="7" t="s">
        <v>669</v>
      </c>
      <c r="B1996" s="8" t="s">
        <v>64</v>
      </c>
      <c r="C1996" s="63" t="n">
        <f aca="false">Pressupostos!$D$10+Pressupostos!$D$12</f>
        <v>3.6</v>
      </c>
      <c r="D1996" s="63" t="n">
        <f aca="false">Pressupostos!$D$10+Pressupostos!$D$12</f>
        <v>3.6</v>
      </c>
      <c r="E1996" s="63" t="n">
        <f aca="false">Pressupostos!$D$10+Pressupostos!$D$12</f>
        <v>3.6</v>
      </c>
      <c r="F1996" s="63" t="n">
        <f aca="false">Pressupostos!$D$10+Pressupostos!$D$12</f>
        <v>3.6</v>
      </c>
      <c r="G1996" s="63" t="n">
        <f aca="false">Pressupostos!$D$10+Pressupostos!$D$12</f>
        <v>3.6</v>
      </c>
      <c r="H1996" s="2" t="s">
        <v>1214</v>
      </c>
    </row>
    <row r="1997" customFormat="false" ht="15" hidden="false" customHeight="false" outlineLevel="1" collapsed="false">
      <c r="A1997" s="7" t="s">
        <v>670</v>
      </c>
      <c r="B1997" s="8" t="s">
        <v>64</v>
      </c>
      <c r="C1997" s="63" t="n">
        <f aca="false">Pressupostos!$D$20+Pressupostos!$D$21</f>
        <v>4.35</v>
      </c>
      <c r="D1997" s="63" t="n">
        <f aca="false">Pressupostos!$D$20+Pressupostos!$D$21</f>
        <v>4.35</v>
      </c>
      <c r="E1997" s="63" t="n">
        <f aca="false">Pressupostos!$D$20+Pressupostos!$D$21</f>
        <v>4.35</v>
      </c>
      <c r="F1997" s="63" t="n">
        <f aca="false">Pressupostos!$D$20+Pressupostos!$D$21</f>
        <v>4.35</v>
      </c>
      <c r="G1997" s="63" t="n">
        <f aca="false">Pressupostos!$D$20+Pressupostos!$D$21</f>
        <v>4.35</v>
      </c>
      <c r="H1997" s="2" t="s">
        <v>1215</v>
      </c>
    </row>
    <row r="1998" customFormat="false" ht="15" hidden="false" customHeight="false" outlineLevel="1" collapsed="false">
      <c r="A1998" s="56" t="s">
        <v>671</v>
      </c>
      <c r="B1998" s="57" t="s">
        <v>64</v>
      </c>
      <c r="C1998" s="68" t="n">
        <f aca="false">C1997*(1-Pressupostos!$D$22)</f>
        <v>4.35</v>
      </c>
      <c r="D1998" s="68" t="n">
        <f aca="false">D1997*(1-Pressupostos!$D$22)</f>
        <v>4.35</v>
      </c>
      <c r="E1998" s="68" t="n">
        <f aca="false">E1997*(1-Pressupostos!$D$22)</f>
        <v>4.35</v>
      </c>
      <c r="F1998" s="68" t="n">
        <f aca="false">F1997*(1-Pressupostos!$D$22)</f>
        <v>4.35</v>
      </c>
      <c r="G1998" s="68" t="n">
        <f aca="false">G1997*(1-Pressupostos!$D$22)</f>
        <v>4.35</v>
      </c>
      <c r="H1998" s="2" t="s">
        <v>1216</v>
      </c>
    </row>
    <row r="1999" customFormat="false" ht="15" hidden="false" customHeight="false" outlineLevel="1" collapsed="false">
      <c r="A1999" s="7" t="s">
        <v>144</v>
      </c>
      <c r="B1999" s="8" t="s">
        <v>64</v>
      </c>
      <c r="C1999" s="67" t="n">
        <f aca="false">Pressupostos!$C$45</f>
        <v>0.45</v>
      </c>
      <c r="D1999" s="67" t="n">
        <f aca="false">Pressupostos!$C$45</f>
        <v>0.45</v>
      </c>
      <c r="E1999" s="67" t="n">
        <f aca="false">Pressupostos!$C$45</f>
        <v>0.45</v>
      </c>
      <c r="F1999" s="67" t="n">
        <f aca="false">Pressupostos!$C$45</f>
        <v>0.45</v>
      </c>
      <c r="G1999" s="67" t="n">
        <f aca="false">Pressupostos!$C$45</f>
        <v>0.45</v>
      </c>
      <c r="H1999" s="2" t="s">
        <v>1217</v>
      </c>
    </row>
    <row r="2000" customFormat="false" ht="15" hidden="false" customHeight="false" outlineLevel="1" collapsed="false">
      <c r="A2000" s="7" t="s">
        <v>215</v>
      </c>
      <c r="B2000" s="8" t="s">
        <v>64</v>
      </c>
      <c r="C2000" s="67" t="n">
        <f aca="false">Pressupostos!$C$250</f>
        <v>0.1</v>
      </c>
      <c r="D2000" s="67" t="n">
        <f aca="false">Pressupostos!$D$250</f>
        <v>0.1</v>
      </c>
      <c r="E2000" s="67" t="n">
        <f aca="false">Pressupostos!$E$250</f>
        <v>0.09</v>
      </c>
      <c r="F2000" s="67" t="n">
        <f aca="false">Pressupostos!$F$250</f>
        <v>0.09</v>
      </c>
      <c r="G2000" s="67" t="n">
        <f aca="false">Pressupostos!$G$250</f>
        <v>0.09</v>
      </c>
      <c r="H2000" s="2" t="s">
        <v>1218</v>
      </c>
    </row>
    <row r="2001" customFormat="false" ht="15" hidden="false" customHeight="false" outlineLevel="1" collapsed="false">
      <c r="A2001" s="7" t="s">
        <v>117</v>
      </c>
      <c r="B2001" s="8" t="s">
        <v>64</v>
      </c>
      <c r="C2001" s="67" t="n">
        <f aca="false">Pressupostos!$C$46</f>
        <v>0</v>
      </c>
      <c r="D2001" s="67" t="n">
        <f aca="false">Pressupostos!$C$46</f>
        <v>0</v>
      </c>
      <c r="E2001" s="67" t="n">
        <f aca="false">Pressupostos!$C$46</f>
        <v>0</v>
      </c>
      <c r="F2001" s="67" t="n">
        <f aca="false">Pressupostos!$C$46</f>
        <v>0</v>
      </c>
      <c r="G2001" s="67" t="n">
        <f aca="false">Pressupostos!$C$46</f>
        <v>0</v>
      </c>
      <c r="H2001" s="2" t="s">
        <v>1219</v>
      </c>
    </row>
    <row r="2002" customFormat="false" ht="15" hidden="false" customHeight="false" outlineLevel="1" collapsed="false">
      <c r="A2002" s="7" t="s">
        <v>91</v>
      </c>
      <c r="B2002" s="8" t="s">
        <v>79</v>
      </c>
      <c r="C2002" s="69" t="n">
        <f aca="false">Pressupostos!$D$23</f>
        <v>30</v>
      </c>
      <c r="D2002" s="69" t="n">
        <f aca="false">Pressupostos!$D$23</f>
        <v>30</v>
      </c>
      <c r="E2002" s="69" t="n">
        <f aca="false">Pressupostos!$D$23</f>
        <v>30</v>
      </c>
      <c r="F2002" s="69" t="n">
        <f aca="false">Pressupostos!$D$23</f>
        <v>30</v>
      </c>
      <c r="G2002" s="69" t="n">
        <f aca="false">Pressupostos!$D$23</f>
        <v>30</v>
      </c>
      <c r="H2002" s="2" t="s">
        <v>1220</v>
      </c>
    </row>
    <row r="2003" customFormat="false" ht="15" hidden="false" customHeight="false" outlineLevel="1" collapsed="false">
      <c r="A2003" s="7" t="s">
        <v>78</v>
      </c>
      <c r="B2003" s="8" t="s">
        <v>79</v>
      </c>
      <c r="C2003" s="69" t="n">
        <f aca="false">Pressupostos!$D$24</f>
        <v>45</v>
      </c>
      <c r="D2003" s="69" t="n">
        <f aca="false">Pressupostos!$D$24</f>
        <v>45</v>
      </c>
      <c r="E2003" s="69" t="n">
        <f aca="false">Pressupostos!$D$24</f>
        <v>45</v>
      </c>
      <c r="F2003" s="69" t="n">
        <f aca="false">Pressupostos!$D$24</f>
        <v>45</v>
      </c>
      <c r="G2003" s="69" t="n">
        <f aca="false">Pressupostos!$D$24</f>
        <v>45</v>
      </c>
      <c r="H2003" s="2" t="s">
        <v>1221</v>
      </c>
    </row>
    <row r="2004" customFormat="false" ht="15" hidden="false" customHeight="false" outlineLevel="1" collapsed="false">
      <c r="A2004" s="7" t="s">
        <v>490</v>
      </c>
      <c r="B2004" s="8" t="s">
        <v>64</v>
      </c>
      <c r="C2004" s="63" t="n">
        <f aca="false">Pressupostos!$C$66*C2002/30/1000</f>
        <v>0.004</v>
      </c>
      <c r="D2004" s="63" t="n">
        <f aca="false">Pressupostos!$C$66*D2002/30/1000</f>
        <v>0.004</v>
      </c>
      <c r="E2004" s="63" t="n">
        <f aca="false">Pressupostos!$C$66*E2002/30/1000</f>
        <v>0.004</v>
      </c>
      <c r="F2004" s="63" t="n">
        <f aca="false">Pressupostos!$C$66*F2002/30/1000</f>
        <v>0.004</v>
      </c>
      <c r="G2004" s="63" t="n">
        <f aca="false">Pressupostos!$C$66*G2002/30/1000</f>
        <v>0.004</v>
      </c>
      <c r="H2004" s="2" t="s">
        <v>1222</v>
      </c>
    </row>
    <row r="2005" customFormat="false" ht="15" hidden="false" customHeight="false" outlineLevel="1" collapsed="false">
      <c r="A2005" s="7" t="s">
        <v>165</v>
      </c>
      <c r="B2005" s="8" t="s">
        <v>64</v>
      </c>
      <c r="C2005" s="63" t="n">
        <f aca="false">C1996*Pressupostos!$C$67*C2002/365</f>
        <v>0.000591780821917808</v>
      </c>
      <c r="D2005" s="63" t="n">
        <f aca="false">D1996*Pressupostos!$C$67*D2002/365</f>
        <v>0.000591780821917808</v>
      </c>
      <c r="E2005" s="63" t="n">
        <f aca="false">E1996*Pressupostos!$C$67*E2002/365</f>
        <v>0.000591780821917808</v>
      </c>
      <c r="F2005" s="63" t="n">
        <f aca="false">F1996*Pressupostos!$C$67*F2002/365</f>
        <v>0.000591780821917808</v>
      </c>
      <c r="G2005" s="63" t="n">
        <f aca="false">G1996*Pressupostos!$C$67*G2002/365</f>
        <v>0.000591780821917808</v>
      </c>
      <c r="H2005" s="2" t="s">
        <v>1223</v>
      </c>
    </row>
    <row r="2006" customFormat="false" ht="15" hidden="false" customHeight="false" outlineLevel="1" collapsed="false">
      <c r="A2006" s="7" t="s">
        <v>672</v>
      </c>
      <c r="B2006" s="8" t="s">
        <v>64</v>
      </c>
      <c r="C2006" s="63" t="n">
        <f aca="false">Pressupostos!$C$48*Pressupostos!$C$68/(Pressupostos!$C$47*1000)</f>
        <v>0.02</v>
      </c>
      <c r="D2006" s="63" t="n">
        <f aca="false">Pressupostos!$C$48*Pressupostos!$C$68/(Pressupostos!$C$47*1000)</f>
        <v>0.02</v>
      </c>
      <c r="E2006" s="63" t="n">
        <f aca="false">Pressupostos!$C$48*Pressupostos!$C$68/(Pressupostos!$C$47*1000)</f>
        <v>0.02</v>
      </c>
      <c r="F2006" s="63" t="n">
        <f aca="false">Pressupostos!$C$48*Pressupostos!$C$68/(Pressupostos!$C$47*1000)</f>
        <v>0.02</v>
      </c>
      <c r="G2006" s="63" t="n">
        <f aca="false">Pressupostos!$C$48*Pressupostos!$C$68/(Pressupostos!$C$47*1000)</f>
        <v>0.02</v>
      </c>
      <c r="H2006" s="2" t="s">
        <v>1224</v>
      </c>
    </row>
    <row r="2007" customFormat="false" ht="15" hidden="false" customHeight="false" outlineLevel="1" collapsed="false">
      <c r="A2007" s="7" t="s">
        <v>492</v>
      </c>
      <c r="B2007" s="8" t="s">
        <v>64</v>
      </c>
      <c r="C2007" s="63" t="n">
        <f aca="false">Pressupostos!$C$69*C1996</f>
        <v>0.018</v>
      </c>
      <c r="D2007" s="63" t="n">
        <f aca="false">Pressupostos!$C$69*D1996</f>
        <v>0.018</v>
      </c>
      <c r="E2007" s="63" t="n">
        <f aca="false">Pressupostos!$C$69*E1996</f>
        <v>0.018</v>
      </c>
      <c r="F2007" s="63" t="n">
        <f aca="false">Pressupostos!$C$69*F1996</f>
        <v>0.018</v>
      </c>
      <c r="G2007" s="63" t="n">
        <f aca="false">Pressupostos!$C$69*G1996</f>
        <v>0.018</v>
      </c>
      <c r="H2007" s="2" t="s">
        <v>1225</v>
      </c>
    </row>
    <row r="2008" customFormat="false" ht="15" hidden="false" customHeight="false" outlineLevel="1" collapsed="false">
      <c r="A2008" s="7" t="s">
        <v>493</v>
      </c>
      <c r="B2008" s="8" t="s">
        <v>64</v>
      </c>
      <c r="C2008" s="63" t="n">
        <f aca="false">Pressupostos!$C$70*Pressupostos!$C$71*C2002/90</f>
        <v>0.003</v>
      </c>
      <c r="D2008" s="63" t="n">
        <f aca="false">Pressupostos!$C$70*Pressupostos!$C$71*D2002/90</f>
        <v>0.003</v>
      </c>
      <c r="E2008" s="63" t="n">
        <f aca="false">Pressupostos!$C$70*Pressupostos!$C$71*E2002/90</f>
        <v>0.003</v>
      </c>
      <c r="F2008" s="63" t="n">
        <f aca="false">Pressupostos!$C$70*Pressupostos!$C$71*F2002/90</f>
        <v>0.003</v>
      </c>
      <c r="G2008" s="63" t="n">
        <f aca="false">Pressupostos!$C$70*Pressupostos!$C$71*G2002/90</f>
        <v>0.003</v>
      </c>
      <c r="H2008" s="2" t="s">
        <v>1226</v>
      </c>
    </row>
    <row r="2009" customFormat="false" ht="15" hidden="false" customHeight="false" outlineLevel="1" collapsed="false">
      <c r="A2009" s="7" t="s">
        <v>673</v>
      </c>
      <c r="B2009" s="8" t="s">
        <v>64</v>
      </c>
      <c r="C2009" s="63" t="n">
        <f aca="false">Pressupostos!$C$49/(Pressupostos!$C$47*1000)</f>
        <v>0.04</v>
      </c>
      <c r="D2009" s="63" t="n">
        <f aca="false">Pressupostos!$C$49/(Pressupostos!$C$47*1000)</f>
        <v>0.04</v>
      </c>
      <c r="E2009" s="63" t="n">
        <f aca="false">Pressupostos!$C$49/(Pressupostos!$C$47*1000)</f>
        <v>0.04</v>
      </c>
      <c r="F2009" s="63" t="n">
        <f aca="false">Pressupostos!$C$49/(Pressupostos!$C$47*1000)</f>
        <v>0.04</v>
      </c>
      <c r="G2009" s="63" t="n">
        <f aca="false">Pressupostos!$C$49/(Pressupostos!$C$47*1000)</f>
        <v>0.04</v>
      </c>
      <c r="H2009" s="2" t="s">
        <v>1227</v>
      </c>
    </row>
    <row r="2010" customFormat="false" ht="15" hidden="false" customHeight="false" outlineLevel="1" collapsed="false">
      <c r="A2010" s="7" t="s">
        <v>139</v>
      </c>
      <c r="B2010" s="8" t="s">
        <v>64</v>
      </c>
      <c r="C2010" s="67" t="n">
        <f aca="false">Pressupostos!$C$50</f>
        <v>0.005</v>
      </c>
      <c r="D2010" s="67" t="n">
        <f aca="false">Pressupostos!$C$50</f>
        <v>0.005</v>
      </c>
      <c r="E2010" s="67" t="n">
        <f aca="false">Pressupostos!$C$50</f>
        <v>0.005</v>
      </c>
      <c r="F2010" s="67" t="n">
        <f aca="false">Pressupostos!$C$50</f>
        <v>0.005</v>
      </c>
      <c r="G2010" s="67" t="n">
        <f aca="false">Pressupostos!$C$50</f>
        <v>0.005</v>
      </c>
      <c r="H2010" s="2" t="s">
        <v>1228</v>
      </c>
    </row>
    <row r="2011" customFormat="false" ht="15" hidden="false" customHeight="false" outlineLevel="1" collapsed="false">
      <c r="A2011" s="7" t="s">
        <v>81</v>
      </c>
      <c r="B2011" s="8" t="s">
        <v>64</v>
      </c>
      <c r="C2011" s="63" t="n">
        <f aca="false">Pressupostos!$D$25*C1998</f>
        <v>0.01305</v>
      </c>
      <c r="D2011" s="63" t="n">
        <f aca="false">Pressupostos!$D$25*D1998</f>
        <v>0.01305</v>
      </c>
      <c r="E2011" s="63" t="n">
        <f aca="false">Pressupostos!$D$25*E1998</f>
        <v>0.01305</v>
      </c>
      <c r="F2011" s="63" t="n">
        <f aca="false">Pressupostos!$D$25*F1998</f>
        <v>0.01305</v>
      </c>
      <c r="G2011" s="63" t="n">
        <f aca="false">Pressupostos!$D$25*G1998</f>
        <v>0.01305</v>
      </c>
      <c r="H2011" s="2" t="s">
        <v>1229</v>
      </c>
    </row>
    <row r="2012" customFormat="false" ht="15" hidden="false" customHeight="false" outlineLevel="1" collapsed="false">
      <c r="A2012" s="7" t="s">
        <v>674</v>
      </c>
      <c r="B2012" s="8" t="s">
        <v>64</v>
      </c>
      <c r="C2012" s="63" t="n">
        <f aca="false">Pressupostos!$C$73*C1998</f>
        <v>0</v>
      </c>
      <c r="D2012" s="63" t="n">
        <f aca="false">Pressupostos!$C$73*D1998</f>
        <v>0</v>
      </c>
      <c r="E2012" s="63" t="n">
        <f aca="false">Pressupostos!$C$73*E1998</f>
        <v>0</v>
      </c>
      <c r="F2012" s="63" t="n">
        <f aca="false">Pressupostos!$C$73*F1998</f>
        <v>0</v>
      </c>
      <c r="G2012" s="63" t="n">
        <f aca="false">Pressupostos!$C$73*G1998</f>
        <v>0</v>
      </c>
      <c r="H2012" s="2" t="s">
        <v>1230</v>
      </c>
    </row>
    <row r="2013" customFormat="false" ht="15" hidden="false" customHeight="false" outlineLevel="1" collapsed="false">
      <c r="A2013" s="7" t="s">
        <v>675</v>
      </c>
      <c r="B2013" s="8" t="s">
        <v>64</v>
      </c>
      <c r="C2013" s="63" t="n">
        <f aca="false">Pressupostos!$C$288*(C1996+C1999)*(C2002+C2003-Pressupostos!$C$72)/365*Pressupostos!$C$282/Pressupostos!$D$31</f>
        <v>0</v>
      </c>
      <c r="D2013" s="63" t="n">
        <f aca="false">Pressupostos!$D$288*(D1996+D1999)*(D2002+D2003-Pressupostos!$C$72)/365*Pressupostos!$D$282/Pressupostos!$D$31</f>
        <v>0.0449383561643836</v>
      </c>
      <c r="E2013" s="63" t="n">
        <f aca="false">Pressupostos!$E$288*(E1996+E1999)*(E2002+E2003-Pressupostos!$C$72)/365*Pressupostos!$E$282/Pressupostos!$D$31</f>
        <v>0.0421297089041096</v>
      </c>
      <c r="F2013" s="63" t="n">
        <f aca="false">Pressupostos!$F$288*(F1996+F1999)*(F2002+F2003-Pressupostos!$C$72)/365*Pressupostos!$F$282/Pressupostos!$D$31</f>
        <v>0.0393210616438356</v>
      </c>
      <c r="G2013" s="63" t="n">
        <f aca="false">Pressupostos!$G$288*(G1996+G1999)*(G2002+G2003-Pressupostos!$C$72)/365*Pressupostos!$G$282/Pressupostos!$D$31</f>
        <v>0.0393210616438356</v>
      </c>
      <c r="H2013" s="2" t="s">
        <v>1231</v>
      </c>
    </row>
    <row r="2014" customFormat="false" ht="15" hidden="false" customHeight="false" outlineLevel="1" collapsed="false">
      <c r="A2014" s="7" t="s">
        <v>676</v>
      </c>
      <c r="B2014" s="8" t="s">
        <v>64</v>
      </c>
      <c r="C2014" s="63" t="n">
        <f aca="false">C1996+C1999+C2000+C2001+C2004+C2005+C2006+C2007+C2008+C2009+C2010+C2011+C2012+C2013</f>
        <v>4.25364178082192</v>
      </c>
      <c r="D2014" s="63" t="n">
        <f aca="false">D1996+D1999+D2000+D2001+D2004+D2005+D2006+D2007+D2008+D2009+D2010+D2011+D2012+D2013</f>
        <v>4.2985801369863</v>
      </c>
      <c r="E2014" s="63" t="n">
        <f aca="false">E1996+E1999+E2000+E2001+E2004+E2005+E2006+E2007+E2008+E2009+E2010+E2011+E2012+E2013</f>
        <v>4.28577148972603</v>
      </c>
      <c r="F2014" s="63" t="n">
        <f aca="false">F1996+F1999+F2000+F2001+F2004+F2005+F2006+F2007+F2008+F2009+F2010+F2011+F2012+F2013</f>
        <v>4.28296284246575</v>
      </c>
      <c r="G2014" s="63" t="n">
        <f aca="false">G1996+G1999+G2000+G2001+G2004+G2005+G2006+G2007+G2008+G2009+G2010+G2011+G2012+G2013</f>
        <v>4.28296284246575</v>
      </c>
      <c r="H2014" s="2" t="s">
        <v>1232</v>
      </c>
    </row>
    <row r="2015" customFormat="false" ht="15" hidden="false" customHeight="false" outlineLevel="1" collapsed="false">
      <c r="A2015" s="56" t="s">
        <v>677</v>
      </c>
      <c r="B2015" s="57" t="s">
        <v>64</v>
      </c>
      <c r="C2015" s="68" t="n">
        <f aca="false">C1998-C2014</f>
        <v>0.0963582191780832</v>
      </c>
      <c r="D2015" s="68" t="n">
        <f aca="false">D1998-D2014</f>
        <v>0.0514198630136997</v>
      </c>
      <c r="E2015" s="68" t="n">
        <f aca="false">E1998-E2014</f>
        <v>0.0642285102739733</v>
      </c>
      <c r="F2015" s="68" t="n">
        <f aca="false">F1998-F2014</f>
        <v>0.067037157534247</v>
      </c>
      <c r="G2015" s="68" t="n">
        <f aca="false">G1998-G2014</f>
        <v>0.067037157534247</v>
      </c>
      <c r="H2015" s="2" t="s">
        <v>1233</v>
      </c>
    </row>
    <row r="2016" customFormat="false" ht="15" hidden="false" customHeight="false" outlineLevel="1" collapsed="false">
      <c r="A2016" s="7" t="s">
        <v>678</v>
      </c>
      <c r="B2016" s="8" t="s">
        <v>76</v>
      </c>
      <c r="C2016" s="59" t="n">
        <f aca="false">IF(C1998&gt;0,C2015/C1998,0)</f>
        <v>0.0221513147535823</v>
      </c>
      <c r="D2016" s="59" t="n">
        <f aca="false">IF(D1998&gt;0,D2015/D1998,0)</f>
        <v>0.0118206581640689</v>
      </c>
      <c r="E2016" s="59" t="n">
        <f aca="false">IF(E1998&gt;0,E2015/E1998,0)</f>
        <v>0.014765174775626</v>
      </c>
      <c r="F2016" s="59" t="n">
        <f aca="false">IF(F1998&gt;0,F2015/F1998,0)</f>
        <v>0.0154108408124706</v>
      </c>
      <c r="G2016" s="59" t="n">
        <f aca="false">IF(G1998&gt;0,G2015/G1998,0)</f>
        <v>0.0154108408124706</v>
      </c>
      <c r="H2016" s="2" t="s">
        <v>1234</v>
      </c>
    </row>
    <row r="2017" customFormat="false" ht="15" hidden="false" customHeight="false" outlineLevel="1" collapsed="false">
      <c r="A2017" s="7" t="s">
        <v>679</v>
      </c>
      <c r="B2017" s="8" t="s">
        <v>64</v>
      </c>
      <c r="C2017" s="63" t="n">
        <f aca="false">(C1996+C1999)*(C2002-Pressupostos!$C$72)/365+C1998*C2003/365</f>
        <v>0.536301369863014</v>
      </c>
      <c r="D2017" s="63" t="n">
        <f aca="false">(D1996+D1999)*(D2002-Pressupostos!$C$72)/365+D1998*D2003/365</f>
        <v>0.536301369863014</v>
      </c>
      <c r="E2017" s="63" t="n">
        <f aca="false">(E1996+E1999)*(E2002-Pressupostos!$C$72)/365+E1998*E2003/365</f>
        <v>0.536301369863014</v>
      </c>
      <c r="F2017" s="63" t="n">
        <f aca="false">(F1996+F1999)*(F2002-Pressupostos!$C$72)/365+F1998*F2003/365</f>
        <v>0.536301369863014</v>
      </c>
      <c r="G2017" s="63" t="n">
        <f aca="false">(G1996+G1999)*(G2002-Pressupostos!$C$72)/365+G1998*G2003/365</f>
        <v>0.536301369863014</v>
      </c>
      <c r="H2017" s="2" t="s">
        <v>1235</v>
      </c>
    </row>
    <row r="2018" customFormat="false" ht="15" hidden="false" customHeight="false" outlineLevel="0" collapsed="false">
      <c r="A2018" s="3" t="s">
        <v>1236</v>
      </c>
      <c r="B2018" s="4"/>
      <c r="C2018" s="4"/>
      <c r="D2018" s="4"/>
      <c r="E2018" s="4"/>
      <c r="F2018" s="4"/>
      <c r="G2018" s="4"/>
      <c r="H2018" s="4"/>
    </row>
    <row r="2019" customFormat="false" ht="15" hidden="false" customHeight="false" outlineLevel="1" collapsed="false">
      <c r="A2019" s="7" t="s">
        <v>669</v>
      </c>
      <c r="B2019" s="8" t="s">
        <v>64</v>
      </c>
      <c r="C2019" s="63" t="n">
        <f aca="false">Pressupostos!$D$10+Pressupostos!$D$13</f>
        <v>3.5</v>
      </c>
      <c r="D2019" s="63" t="n">
        <f aca="false">Pressupostos!$D$10+Pressupostos!$D$13</f>
        <v>3.5</v>
      </c>
      <c r="E2019" s="63" t="n">
        <f aca="false">Pressupostos!$D$10+Pressupostos!$D$13</f>
        <v>3.5</v>
      </c>
      <c r="F2019" s="63" t="n">
        <f aca="false">Pressupostos!$D$10+Pressupostos!$D$13</f>
        <v>3.5</v>
      </c>
      <c r="G2019" s="63" t="n">
        <f aca="false">Pressupostos!$D$10+Pressupostos!$D$13</f>
        <v>3.5</v>
      </c>
      <c r="H2019" s="2" t="s">
        <v>1237</v>
      </c>
    </row>
    <row r="2020" customFormat="false" ht="15" hidden="false" customHeight="false" outlineLevel="1" collapsed="false">
      <c r="A2020" s="7" t="s">
        <v>670</v>
      </c>
      <c r="B2020" s="8" t="s">
        <v>64</v>
      </c>
      <c r="C2020" s="63" t="n">
        <f aca="false">Pressupostos!$D$10+Pressupostos!$C$52</f>
        <v>3.65</v>
      </c>
      <c r="D2020" s="63" t="n">
        <f aca="false">Pressupostos!$D$10+Pressupostos!$C$52</f>
        <v>3.65</v>
      </c>
      <c r="E2020" s="63" t="n">
        <f aca="false">Pressupostos!$D$10+Pressupostos!$C$52</f>
        <v>3.65</v>
      </c>
      <c r="F2020" s="63" t="n">
        <f aca="false">Pressupostos!$D$10+Pressupostos!$C$52</f>
        <v>3.65</v>
      </c>
      <c r="G2020" s="63" t="n">
        <f aca="false">Pressupostos!$D$10+Pressupostos!$C$52</f>
        <v>3.65</v>
      </c>
      <c r="H2020" s="2" t="s">
        <v>1238</v>
      </c>
    </row>
    <row r="2021" customFormat="false" ht="15" hidden="false" customHeight="false" outlineLevel="1" collapsed="false">
      <c r="A2021" s="56" t="s">
        <v>671</v>
      </c>
      <c r="B2021" s="57" t="s">
        <v>64</v>
      </c>
      <c r="C2021" s="68" t="n">
        <f aca="false">C2020*(1-Pressupostos!$C$53)</f>
        <v>3.65</v>
      </c>
      <c r="D2021" s="68" t="n">
        <f aca="false">D2020*(1-Pressupostos!$C$53)</f>
        <v>3.65</v>
      </c>
      <c r="E2021" s="68" t="n">
        <f aca="false">E2020*(1-Pressupostos!$C$53)</f>
        <v>3.65</v>
      </c>
      <c r="F2021" s="68" t="n">
        <f aca="false">F2020*(1-Pressupostos!$C$53)</f>
        <v>3.65</v>
      </c>
      <c r="G2021" s="68" t="n">
        <f aca="false">G2020*(1-Pressupostos!$C$53)</f>
        <v>3.65</v>
      </c>
      <c r="H2021" s="2" t="s">
        <v>1239</v>
      </c>
    </row>
    <row r="2022" customFormat="false" ht="15" hidden="false" customHeight="false" outlineLevel="1" collapsed="false">
      <c r="A2022" s="7" t="s">
        <v>144</v>
      </c>
      <c r="B2022" s="8" t="s">
        <v>64</v>
      </c>
      <c r="C2022" s="67" t="n">
        <f aca="false">Pressupostos!$C$54</f>
        <v>0</v>
      </c>
      <c r="D2022" s="67" t="n">
        <f aca="false">Pressupostos!$C$54</f>
        <v>0</v>
      </c>
      <c r="E2022" s="67" t="n">
        <f aca="false">Pressupostos!$C$54</f>
        <v>0</v>
      </c>
      <c r="F2022" s="67" t="n">
        <f aca="false">Pressupostos!$C$54</f>
        <v>0</v>
      </c>
      <c r="G2022" s="67" t="n">
        <f aca="false">Pressupostos!$C$54</f>
        <v>0</v>
      </c>
      <c r="H2022" s="2" t="s">
        <v>1240</v>
      </c>
    </row>
    <row r="2023" customFormat="false" ht="15" hidden="false" customHeight="false" outlineLevel="1" collapsed="false">
      <c r="A2023" s="7" t="s">
        <v>215</v>
      </c>
      <c r="B2023" s="8" t="s">
        <v>64</v>
      </c>
      <c r="C2023" s="67" t="n">
        <f aca="false">Pressupostos!$C$55</f>
        <v>0.04</v>
      </c>
      <c r="D2023" s="67" t="n">
        <f aca="false">Pressupostos!$C$55</f>
        <v>0.04</v>
      </c>
      <c r="E2023" s="67" t="n">
        <f aca="false">Pressupostos!$C$55</f>
        <v>0.04</v>
      </c>
      <c r="F2023" s="67" t="n">
        <f aca="false">Pressupostos!$C$55</f>
        <v>0.04</v>
      </c>
      <c r="G2023" s="67" t="n">
        <f aca="false">Pressupostos!$C$55</f>
        <v>0.04</v>
      </c>
      <c r="H2023" s="2" t="s">
        <v>1241</v>
      </c>
    </row>
    <row r="2024" customFormat="false" ht="15" hidden="false" customHeight="false" outlineLevel="1" collapsed="false">
      <c r="A2024" s="7" t="s">
        <v>117</v>
      </c>
      <c r="B2024" s="8" t="s">
        <v>64</v>
      </c>
      <c r="C2024" s="67" t="n">
        <f aca="false">Pressupostos!$C$56</f>
        <v>0</v>
      </c>
      <c r="D2024" s="67" t="n">
        <f aca="false">Pressupostos!$C$56</f>
        <v>0</v>
      </c>
      <c r="E2024" s="67" t="n">
        <f aca="false">Pressupostos!$C$56</f>
        <v>0</v>
      </c>
      <c r="F2024" s="67" t="n">
        <f aca="false">Pressupostos!$C$56</f>
        <v>0</v>
      </c>
      <c r="G2024" s="67" t="n">
        <f aca="false">Pressupostos!$C$56</f>
        <v>0</v>
      </c>
      <c r="H2024" s="2" t="s">
        <v>1242</v>
      </c>
    </row>
    <row r="2025" customFormat="false" ht="15" hidden="false" customHeight="false" outlineLevel="1" collapsed="false">
      <c r="A2025" s="7" t="s">
        <v>91</v>
      </c>
      <c r="B2025" s="8" t="s">
        <v>79</v>
      </c>
      <c r="C2025" s="69" t="n">
        <f aca="false">Pressupostos!$C$57</f>
        <v>15</v>
      </c>
      <c r="D2025" s="69" t="n">
        <f aca="false">Pressupostos!$C$57</f>
        <v>15</v>
      </c>
      <c r="E2025" s="69" t="n">
        <f aca="false">Pressupostos!$C$57</f>
        <v>15</v>
      </c>
      <c r="F2025" s="69" t="n">
        <f aca="false">Pressupostos!$C$57</f>
        <v>15</v>
      </c>
      <c r="G2025" s="69" t="n">
        <f aca="false">Pressupostos!$C$57</f>
        <v>15</v>
      </c>
      <c r="H2025" s="2" t="s">
        <v>1243</v>
      </c>
    </row>
    <row r="2026" customFormat="false" ht="15" hidden="false" customHeight="false" outlineLevel="1" collapsed="false">
      <c r="A2026" s="7" t="s">
        <v>78</v>
      </c>
      <c r="B2026" s="8" t="s">
        <v>79</v>
      </c>
      <c r="C2026" s="69" t="n">
        <f aca="false">Pressupostos!$C$58</f>
        <v>45</v>
      </c>
      <c r="D2026" s="69" t="n">
        <f aca="false">Pressupostos!$C$58</f>
        <v>45</v>
      </c>
      <c r="E2026" s="69" t="n">
        <f aca="false">Pressupostos!$C$58</f>
        <v>45</v>
      </c>
      <c r="F2026" s="69" t="n">
        <f aca="false">Pressupostos!$C$58</f>
        <v>45</v>
      </c>
      <c r="G2026" s="69" t="n">
        <f aca="false">Pressupostos!$C$58</f>
        <v>45</v>
      </c>
      <c r="H2026" s="2" t="s">
        <v>1244</v>
      </c>
    </row>
    <row r="2027" customFormat="false" ht="15" hidden="false" customHeight="false" outlineLevel="1" collapsed="false">
      <c r="A2027" s="7" t="s">
        <v>490</v>
      </c>
      <c r="B2027" s="8" t="s">
        <v>64</v>
      </c>
      <c r="C2027" s="63" t="n">
        <f aca="false">Pressupostos!$C$66*C2025/30/1000</f>
        <v>0.002</v>
      </c>
      <c r="D2027" s="63" t="n">
        <f aca="false">Pressupostos!$C$66*D2025/30/1000</f>
        <v>0.002</v>
      </c>
      <c r="E2027" s="63" t="n">
        <f aca="false">Pressupostos!$C$66*E2025/30/1000</f>
        <v>0.002</v>
      </c>
      <c r="F2027" s="63" t="n">
        <f aca="false">Pressupostos!$C$66*F2025/30/1000</f>
        <v>0.002</v>
      </c>
      <c r="G2027" s="63" t="n">
        <f aca="false">Pressupostos!$C$66*G2025/30/1000</f>
        <v>0.002</v>
      </c>
      <c r="H2027" s="2" t="s">
        <v>1245</v>
      </c>
    </row>
    <row r="2028" customFormat="false" ht="15" hidden="false" customHeight="false" outlineLevel="1" collapsed="false">
      <c r="A2028" s="7" t="s">
        <v>165</v>
      </c>
      <c r="B2028" s="8" t="s">
        <v>64</v>
      </c>
      <c r="C2028" s="63" t="n">
        <f aca="false">C2019*Pressupostos!$C$67*C2025/365</f>
        <v>0.000287671232876712</v>
      </c>
      <c r="D2028" s="63" t="n">
        <f aca="false">D2019*Pressupostos!$C$67*D2025/365</f>
        <v>0.000287671232876712</v>
      </c>
      <c r="E2028" s="63" t="n">
        <f aca="false">E2019*Pressupostos!$C$67*E2025/365</f>
        <v>0.000287671232876712</v>
      </c>
      <c r="F2028" s="63" t="n">
        <f aca="false">F2019*Pressupostos!$C$67*F2025/365</f>
        <v>0.000287671232876712</v>
      </c>
      <c r="G2028" s="63" t="n">
        <f aca="false">G2019*Pressupostos!$C$67*G2025/365</f>
        <v>0.000287671232876712</v>
      </c>
      <c r="H2028" s="2" t="s">
        <v>1246</v>
      </c>
    </row>
    <row r="2029" customFormat="false" ht="15" hidden="false" customHeight="false" outlineLevel="1" collapsed="false">
      <c r="A2029" s="7" t="s">
        <v>672</v>
      </c>
      <c r="B2029" s="8" t="s">
        <v>64</v>
      </c>
      <c r="C2029" s="63" t="n">
        <f aca="false">Pressupostos!$C$60*Pressupostos!$C$68/(Pressupostos!$C$59*1000)</f>
        <v>0.006</v>
      </c>
      <c r="D2029" s="63" t="n">
        <f aca="false">Pressupostos!$C$60*Pressupostos!$C$68/(Pressupostos!$C$59*1000)</f>
        <v>0.006</v>
      </c>
      <c r="E2029" s="63" t="n">
        <f aca="false">Pressupostos!$C$60*Pressupostos!$C$68/(Pressupostos!$C$59*1000)</f>
        <v>0.006</v>
      </c>
      <c r="F2029" s="63" t="n">
        <f aca="false">Pressupostos!$C$60*Pressupostos!$C$68/(Pressupostos!$C$59*1000)</f>
        <v>0.006</v>
      </c>
      <c r="G2029" s="63" t="n">
        <f aca="false">Pressupostos!$C$60*Pressupostos!$C$68/(Pressupostos!$C$59*1000)</f>
        <v>0.006</v>
      </c>
      <c r="H2029" s="2" t="s">
        <v>1247</v>
      </c>
    </row>
    <row r="2030" customFormat="false" ht="15" hidden="false" customHeight="false" outlineLevel="1" collapsed="false">
      <c r="A2030" s="7" t="s">
        <v>492</v>
      </c>
      <c r="B2030" s="8" t="s">
        <v>64</v>
      </c>
      <c r="C2030" s="63" t="n">
        <f aca="false">Pressupostos!$C$69*C2019</f>
        <v>0.0175</v>
      </c>
      <c r="D2030" s="63" t="n">
        <f aca="false">Pressupostos!$C$69*D2019</f>
        <v>0.0175</v>
      </c>
      <c r="E2030" s="63" t="n">
        <f aca="false">Pressupostos!$C$69*E2019</f>
        <v>0.0175</v>
      </c>
      <c r="F2030" s="63" t="n">
        <f aca="false">Pressupostos!$C$69*F2019</f>
        <v>0.0175</v>
      </c>
      <c r="G2030" s="63" t="n">
        <f aca="false">Pressupostos!$C$69*G2019</f>
        <v>0.0175</v>
      </c>
      <c r="H2030" s="2" t="s">
        <v>1248</v>
      </c>
    </row>
    <row r="2031" customFormat="false" ht="15" hidden="false" customHeight="false" outlineLevel="1" collapsed="false">
      <c r="A2031" s="7" t="s">
        <v>493</v>
      </c>
      <c r="B2031" s="8" t="s">
        <v>64</v>
      </c>
      <c r="C2031" s="63" t="n">
        <f aca="false">Pressupostos!$C$70*Pressupostos!$C$71*C2025/90</f>
        <v>0.0015</v>
      </c>
      <c r="D2031" s="63" t="n">
        <f aca="false">Pressupostos!$C$70*Pressupostos!$C$71*D2025/90</f>
        <v>0.0015</v>
      </c>
      <c r="E2031" s="63" t="n">
        <f aca="false">Pressupostos!$C$70*Pressupostos!$C$71*E2025/90</f>
        <v>0.0015</v>
      </c>
      <c r="F2031" s="63" t="n">
        <f aca="false">Pressupostos!$C$70*Pressupostos!$C$71*F2025/90</f>
        <v>0.0015</v>
      </c>
      <c r="G2031" s="63" t="n">
        <f aca="false">Pressupostos!$C$70*Pressupostos!$C$71*G2025/90</f>
        <v>0.0015</v>
      </c>
      <c r="H2031" s="2" t="s">
        <v>1249</v>
      </c>
    </row>
    <row r="2032" customFormat="false" ht="15" hidden="false" customHeight="false" outlineLevel="1" collapsed="false">
      <c r="A2032" s="7" t="s">
        <v>673</v>
      </c>
      <c r="B2032" s="8" t="s">
        <v>64</v>
      </c>
      <c r="C2032" s="63" t="n">
        <f aca="false">Pressupostos!$C$61/(Pressupostos!$C$59*1000)</f>
        <v>0.012</v>
      </c>
      <c r="D2032" s="63" t="n">
        <f aca="false">Pressupostos!$C$61/(Pressupostos!$C$59*1000)</f>
        <v>0.012</v>
      </c>
      <c r="E2032" s="63" t="n">
        <f aca="false">Pressupostos!$C$61/(Pressupostos!$C$59*1000)</f>
        <v>0.012</v>
      </c>
      <c r="F2032" s="63" t="n">
        <f aca="false">Pressupostos!$C$61/(Pressupostos!$C$59*1000)</f>
        <v>0.012</v>
      </c>
      <c r="G2032" s="63" t="n">
        <f aca="false">Pressupostos!$C$61/(Pressupostos!$C$59*1000)</f>
        <v>0.012</v>
      </c>
      <c r="H2032" s="2" t="s">
        <v>1250</v>
      </c>
    </row>
    <row r="2033" customFormat="false" ht="15" hidden="false" customHeight="false" outlineLevel="1" collapsed="false">
      <c r="A2033" s="7" t="s">
        <v>139</v>
      </c>
      <c r="B2033" s="8" t="s">
        <v>64</v>
      </c>
      <c r="C2033" s="67" t="n">
        <f aca="false">Pressupostos!$C$62</f>
        <v>0.001</v>
      </c>
      <c r="D2033" s="67" t="n">
        <f aca="false">Pressupostos!$C$62</f>
        <v>0.001</v>
      </c>
      <c r="E2033" s="67" t="n">
        <f aca="false">Pressupostos!$C$62</f>
        <v>0.001</v>
      </c>
      <c r="F2033" s="67" t="n">
        <f aca="false">Pressupostos!$C$62</f>
        <v>0.001</v>
      </c>
      <c r="G2033" s="67" t="n">
        <f aca="false">Pressupostos!$C$62</f>
        <v>0.001</v>
      </c>
      <c r="H2033" s="2" t="s">
        <v>1251</v>
      </c>
    </row>
    <row r="2034" customFormat="false" ht="15" hidden="false" customHeight="false" outlineLevel="1" collapsed="false">
      <c r="A2034" s="7" t="s">
        <v>81</v>
      </c>
      <c r="B2034" s="8" t="s">
        <v>64</v>
      </c>
      <c r="C2034" s="63" t="n">
        <f aca="false">Pressupostos!$C$63*C2021</f>
        <v>0.01095</v>
      </c>
      <c r="D2034" s="63" t="n">
        <f aca="false">Pressupostos!$C$63*D2021</f>
        <v>0.01095</v>
      </c>
      <c r="E2034" s="63" t="n">
        <f aca="false">Pressupostos!$C$63*E2021</f>
        <v>0.01095</v>
      </c>
      <c r="F2034" s="63" t="n">
        <f aca="false">Pressupostos!$C$63*F2021</f>
        <v>0.01095</v>
      </c>
      <c r="G2034" s="63" t="n">
        <f aca="false">Pressupostos!$C$63*G2021</f>
        <v>0.01095</v>
      </c>
      <c r="H2034" s="2" t="s">
        <v>1252</v>
      </c>
    </row>
    <row r="2035" customFormat="false" ht="15" hidden="false" customHeight="false" outlineLevel="1" collapsed="false">
      <c r="A2035" s="7" t="s">
        <v>674</v>
      </c>
      <c r="B2035" s="8" t="s">
        <v>64</v>
      </c>
      <c r="C2035" s="63" t="n">
        <f aca="false">Pressupostos!$C$73*C2021</f>
        <v>0</v>
      </c>
      <c r="D2035" s="63" t="n">
        <f aca="false">Pressupostos!$C$73*D2021</f>
        <v>0</v>
      </c>
      <c r="E2035" s="63" t="n">
        <f aca="false">Pressupostos!$C$73*E2021</f>
        <v>0</v>
      </c>
      <c r="F2035" s="63" t="n">
        <f aca="false">Pressupostos!$C$73*F2021</f>
        <v>0</v>
      </c>
      <c r="G2035" s="63" t="n">
        <f aca="false">Pressupostos!$C$73*G2021</f>
        <v>0</v>
      </c>
      <c r="H2035" s="2" t="s">
        <v>1253</v>
      </c>
    </row>
    <row r="2036" customFormat="false" ht="15" hidden="false" customHeight="false" outlineLevel="1" collapsed="false">
      <c r="A2036" s="7" t="s">
        <v>675</v>
      </c>
      <c r="B2036" s="8" t="s">
        <v>64</v>
      </c>
      <c r="C2036" s="63" t="n">
        <f aca="false">Pressupostos!$C$288*(C2019+C2022)*(C2025+C2026-Pressupostos!$C$72)/365*Pressupostos!$C$282/Pressupostos!$D$31</f>
        <v>0</v>
      </c>
      <c r="D2036" s="63" t="n">
        <f aca="false">Pressupostos!$D$288*(D2019+D2022)*(D2025+D2026-Pressupostos!$C$72)/365*Pressupostos!$D$282/Pressupostos!$D$31</f>
        <v>0.0258904109589041</v>
      </c>
      <c r="E2036" s="63" t="n">
        <f aca="false">Pressupostos!$E$288*(E2019+E2022)*(E2025+E2026-Pressupostos!$C$72)/365*Pressupostos!$E$282/Pressupostos!$D$31</f>
        <v>0.0242722602739726</v>
      </c>
      <c r="F2036" s="63" t="n">
        <f aca="false">Pressupostos!$F$288*(F2019+F2022)*(F2025+F2026-Pressupostos!$C$72)/365*Pressupostos!$F$282/Pressupostos!$D$31</f>
        <v>0.0226541095890411</v>
      </c>
      <c r="G2036" s="63" t="n">
        <f aca="false">Pressupostos!$G$288*(G2019+G2022)*(G2025+G2026-Pressupostos!$C$72)/365*Pressupostos!$G$282/Pressupostos!$D$31</f>
        <v>0.0226541095890411</v>
      </c>
      <c r="H2036" s="2" t="s">
        <v>1254</v>
      </c>
    </row>
    <row r="2037" customFormat="false" ht="15" hidden="false" customHeight="false" outlineLevel="1" collapsed="false">
      <c r="A2037" s="7" t="s">
        <v>676</v>
      </c>
      <c r="B2037" s="8" t="s">
        <v>64</v>
      </c>
      <c r="C2037" s="63" t="n">
        <f aca="false">C2019+C2022+C2023+C2024+C2027+C2028+C2029+C2030+C2031+C2032+C2033+C2034+C2035+C2036</f>
        <v>3.59123767123288</v>
      </c>
      <c r="D2037" s="63" t="n">
        <f aca="false">D2019+D2022+D2023+D2024+D2027+D2028+D2029+D2030+D2031+D2032+D2033+D2034+D2035+D2036</f>
        <v>3.61712808219178</v>
      </c>
      <c r="E2037" s="63" t="n">
        <f aca="false">E2019+E2022+E2023+E2024+E2027+E2028+E2029+E2030+E2031+E2032+E2033+E2034+E2035+E2036</f>
        <v>3.61550993150685</v>
      </c>
      <c r="F2037" s="63" t="n">
        <f aca="false">F2019+F2022+F2023+F2024+F2027+F2028+F2029+F2030+F2031+F2032+F2033+F2034+F2035+F2036</f>
        <v>3.61389178082192</v>
      </c>
      <c r="G2037" s="63" t="n">
        <f aca="false">G2019+G2022+G2023+G2024+G2027+G2028+G2029+G2030+G2031+G2032+G2033+G2034+G2035+G2036</f>
        <v>3.61389178082192</v>
      </c>
      <c r="H2037" s="2" t="s">
        <v>1255</v>
      </c>
    </row>
    <row r="2038" customFormat="false" ht="15" hidden="false" customHeight="false" outlineLevel="1" collapsed="false">
      <c r="A2038" s="56" t="s">
        <v>677</v>
      </c>
      <c r="B2038" s="57" t="s">
        <v>64</v>
      </c>
      <c r="C2038" s="68" t="n">
        <f aca="false">C2021-C2037</f>
        <v>0.058762328767124</v>
      </c>
      <c r="D2038" s="68" t="n">
        <f aca="false">D2021-D2037</f>
        <v>0.0328719178082197</v>
      </c>
      <c r="E2038" s="68" t="n">
        <f aca="false">E2021-E2037</f>
        <v>0.0344900684931515</v>
      </c>
      <c r="F2038" s="68" t="n">
        <f aca="false">F2021-F2037</f>
        <v>0.0361082191780828</v>
      </c>
      <c r="G2038" s="68" t="n">
        <f aca="false">G2021-G2037</f>
        <v>0.0361082191780828</v>
      </c>
      <c r="H2038" s="2" t="s">
        <v>1256</v>
      </c>
    </row>
    <row r="2039" customFormat="false" ht="15" hidden="false" customHeight="false" outlineLevel="1" collapsed="false">
      <c r="A2039" s="7" t="s">
        <v>678</v>
      </c>
      <c r="B2039" s="8" t="s">
        <v>76</v>
      </c>
      <c r="C2039" s="59" t="n">
        <f aca="false">IF(C2021&gt;0,C2038/C2021,0)</f>
        <v>0.0160992681553764</v>
      </c>
      <c r="D2039" s="59" t="n">
        <f aca="false">IF(D2021&gt;0,D2038/D2021,0)</f>
        <v>0.00900600487896431</v>
      </c>
      <c r="E2039" s="59" t="n">
        <f aca="false">IF(E2021&gt;0,E2038/E2021,0)</f>
        <v>0.00944933383374014</v>
      </c>
      <c r="F2039" s="59" t="n">
        <f aca="false">IF(F2021&gt;0,F2038/F2021,0)</f>
        <v>0.00989266278851584</v>
      </c>
      <c r="G2039" s="59" t="n">
        <f aca="false">IF(G2021&gt;0,G2038/G2021,0)</f>
        <v>0.00989266278851584</v>
      </c>
      <c r="H2039" s="2" t="s">
        <v>1257</v>
      </c>
    </row>
    <row r="2040" customFormat="false" ht="15" hidden="false" customHeight="false" outlineLevel="1" collapsed="false">
      <c r="A2040" s="7" t="s">
        <v>679</v>
      </c>
      <c r="B2040" s="8" t="s">
        <v>64</v>
      </c>
      <c r="C2040" s="63" t="n">
        <f aca="false">(C2019+C2022)*(C2025-Pressupostos!$C$72)/365+C2021*C2026/365</f>
        <v>0.306164383561644</v>
      </c>
      <c r="D2040" s="63" t="n">
        <f aca="false">(D2019+D2022)*(D2025-Pressupostos!$C$72)/365+D2021*D2026/365</f>
        <v>0.306164383561644</v>
      </c>
      <c r="E2040" s="63" t="n">
        <f aca="false">(E2019+E2022)*(E2025-Pressupostos!$C$72)/365+E2021*E2026/365</f>
        <v>0.306164383561644</v>
      </c>
      <c r="F2040" s="63" t="n">
        <f aca="false">(F2019+F2022)*(F2025-Pressupostos!$C$72)/365+F2021*F2026/365</f>
        <v>0.306164383561644</v>
      </c>
      <c r="G2040" s="63" t="n">
        <f aca="false">(G2019+G2022)*(G2025-Pressupostos!$C$72)/365+G2021*G2026/365</f>
        <v>0.306164383561644</v>
      </c>
      <c r="H2040" s="2" t="s">
        <v>1258</v>
      </c>
    </row>
    <row r="2041" customFormat="false" ht="15" hidden="false" customHeight="false" outlineLevel="0" collapsed="false">
      <c r="A2041" s="3" t="s">
        <v>1259</v>
      </c>
      <c r="B2041" s="4"/>
      <c r="C2041" s="4"/>
      <c r="D2041" s="4"/>
      <c r="E2041" s="4"/>
      <c r="F2041" s="4"/>
      <c r="G2041" s="4"/>
      <c r="H2041" s="4"/>
    </row>
    <row r="2042" customFormat="false" ht="15" hidden="false" customHeight="false" outlineLevel="1" collapsed="false">
      <c r="A2042" s="7" t="s">
        <v>683</v>
      </c>
      <c r="B2042" s="8" t="s">
        <v>64</v>
      </c>
      <c r="C2042" s="63" t="n">
        <f aca="false">Pressupostos!$C$64*Pressupostos!$D$10</f>
        <v>0.02625</v>
      </c>
      <c r="D2042" s="63" t="n">
        <f aca="false">Pressupostos!$C$64*Pressupostos!$D$10</f>
        <v>0.02625</v>
      </c>
      <c r="E2042" s="63" t="n">
        <f aca="false">Pressupostos!$C$64*Pressupostos!$D$10</f>
        <v>0.02625</v>
      </c>
      <c r="F2042" s="63" t="n">
        <f aca="false">Pressupostos!$C$64*Pressupostos!$D$10</f>
        <v>0.02625</v>
      </c>
      <c r="G2042" s="63" t="n">
        <f aca="false">Pressupostos!$C$64*Pressupostos!$D$10</f>
        <v>0.02625</v>
      </c>
      <c r="H2042" s="2" t="s">
        <v>1260</v>
      </c>
    </row>
    <row r="2043" customFormat="false" ht="15" hidden="false" customHeight="false" outlineLevel="1" collapsed="false">
      <c r="A2043" s="7" t="s">
        <v>684</v>
      </c>
      <c r="B2043" s="8" t="s">
        <v>64</v>
      </c>
      <c r="C2043" s="63" t="n">
        <f aca="false">C2032+C2029+C2033</f>
        <v>0.019</v>
      </c>
      <c r="D2043" s="63" t="n">
        <f aca="false">D2032+D2029+D2033</f>
        <v>0.019</v>
      </c>
      <c r="E2043" s="63" t="n">
        <f aca="false">E2032+E2029+E2033</f>
        <v>0.019</v>
      </c>
      <c r="F2043" s="63" t="n">
        <f aca="false">F2032+F2029+F2033</f>
        <v>0.019</v>
      </c>
      <c r="G2043" s="63" t="n">
        <f aca="false">G2032+G2029+G2033</f>
        <v>0.019</v>
      </c>
      <c r="H2043" s="2" t="s">
        <v>1261</v>
      </c>
    </row>
    <row r="2044" customFormat="false" ht="15" hidden="false" customHeight="false" outlineLevel="1" collapsed="false">
      <c r="A2044" s="56" t="s">
        <v>561</v>
      </c>
      <c r="B2044" s="57" t="s">
        <v>64</v>
      </c>
      <c r="C2044" s="68" t="n">
        <f aca="false">C2042-C2043</f>
        <v>0.00725</v>
      </c>
      <c r="D2044" s="68" t="n">
        <f aca="false">D2042-D2043</f>
        <v>0.00725</v>
      </c>
      <c r="E2044" s="68" t="n">
        <f aca="false">E2042-E2043</f>
        <v>0.00725</v>
      </c>
      <c r="F2044" s="68" t="n">
        <f aca="false">F2042-F2043</f>
        <v>0.00725</v>
      </c>
      <c r="G2044" s="68" t="n">
        <f aca="false">G2042-G2043</f>
        <v>0.00725</v>
      </c>
      <c r="H2044" s="2" t="s">
        <v>1262</v>
      </c>
    </row>
    <row r="2045" customFormat="false" ht="15" hidden="false" customHeight="false" outlineLevel="0" collapsed="false">
      <c r="A2045" s="3" t="s">
        <v>1263</v>
      </c>
      <c r="B2045" s="4"/>
      <c r="C2045" s="4"/>
      <c r="D2045" s="4"/>
      <c r="E2045" s="4"/>
      <c r="F2045" s="4"/>
      <c r="G2045" s="4"/>
      <c r="H2045" s="4"/>
    </row>
    <row r="2046" customFormat="false" ht="15" hidden="false" customHeight="false" outlineLevel="1" collapsed="false">
      <c r="A2046" s="7" t="s">
        <v>608</v>
      </c>
      <c r="B2046" s="8" t="s">
        <v>11</v>
      </c>
      <c r="C2046" s="61" t="n">
        <f aca="false">C1955*1000*C1975</f>
        <v>38420</v>
      </c>
      <c r="D2046" s="61" t="n">
        <f aca="false">D1955*1000*D1975</f>
        <v>177692.5</v>
      </c>
      <c r="E2046" s="61" t="n">
        <f aca="false">E1955*1000*E1975</f>
        <v>638732.5</v>
      </c>
      <c r="F2046" s="61" t="n">
        <f aca="false">F1955*1000*F1975</f>
        <v>1282267.5</v>
      </c>
      <c r="G2046" s="61" t="n">
        <f aca="false">G1955*1000*G1975</f>
        <v>1969025</v>
      </c>
      <c r="H2046" s="2" t="s">
        <v>1264</v>
      </c>
    </row>
    <row r="2047" customFormat="false" ht="15" hidden="false" customHeight="false" outlineLevel="1" collapsed="false">
      <c r="A2047" s="7" t="s">
        <v>609</v>
      </c>
      <c r="B2047" s="8" t="s">
        <v>11</v>
      </c>
      <c r="C2047" s="61" t="n">
        <f aca="false">C1956*1000*C1998</f>
        <v>226200</v>
      </c>
      <c r="D2047" s="61" t="n">
        <f aca="false">D1956*1000*D1998</f>
        <v>1579050</v>
      </c>
      <c r="E2047" s="61" t="n">
        <f aca="false">E1956*1000*E1998</f>
        <v>3118950</v>
      </c>
      <c r="F2047" s="61" t="n">
        <f aca="false">F1956*1000*F1998</f>
        <v>5146050</v>
      </c>
      <c r="G2047" s="61" t="n">
        <f aca="false">G1956*1000*G1998</f>
        <v>7786500</v>
      </c>
      <c r="H2047" s="2" t="s">
        <v>1265</v>
      </c>
    </row>
    <row r="2048" customFormat="false" ht="15" hidden="false" customHeight="false" outlineLevel="1" collapsed="false">
      <c r="A2048" s="7" t="s">
        <v>610</v>
      </c>
      <c r="B2048" s="8" t="s">
        <v>11</v>
      </c>
      <c r="C2048" s="61" t="n">
        <f aca="false">C1958*1000*C2021</f>
        <v>0</v>
      </c>
      <c r="D2048" s="61" t="n">
        <f aca="false">D1958*1000*D2021</f>
        <v>0</v>
      </c>
      <c r="E2048" s="61" t="n">
        <f aca="false">E1958*1000*E2021</f>
        <v>0</v>
      </c>
      <c r="F2048" s="61" t="n">
        <f aca="false">F1958*1000*F2021</f>
        <v>0</v>
      </c>
      <c r="G2048" s="61" t="n">
        <f aca="false">G1958*1000*G2021</f>
        <v>0</v>
      </c>
      <c r="H2048" s="2" t="s">
        <v>1266</v>
      </c>
    </row>
    <row r="2049" customFormat="false" ht="15" hidden="false" customHeight="false" outlineLevel="1" collapsed="false">
      <c r="A2049" s="7" t="s">
        <v>611</v>
      </c>
      <c r="B2049" s="8" t="s">
        <v>11</v>
      </c>
      <c r="C2049" s="61" t="n">
        <f aca="false">C2046+C2047+C2048</f>
        <v>264620</v>
      </c>
      <c r="D2049" s="61" t="n">
        <f aca="false">D2046+D2047+D2048</f>
        <v>1756742.5</v>
      </c>
      <c r="E2049" s="61" t="n">
        <f aca="false">E2046+E2047+E2048</f>
        <v>3757682.5</v>
      </c>
      <c r="F2049" s="61" t="n">
        <f aca="false">F2046+F2047+F2048</f>
        <v>6428317.5</v>
      </c>
      <c r="G2049" s="61" t="n">
        <f aca="false">G2046+G2047+G2048</f>
        <v>9755525</v>
      </c>
      <c r="H2049" s="2" t="s">
        <v>1267</v>
      </c>
    </row>
    <row r="2050" customFormat="false" ht="15" hidden="false" customHeight="false" outlineLevel="1" collapsed="false">
      <c r="A2050" s="7" t="s">
        <v>612</v>
      </c>
      <c r="B2050" s="8" t="s">
        <v>11</v>
      </c>
      <c r="C2050" s="61" t="n">
        <f aca="false">C1968*1000*Pressupostos!$C$93</f>
        <v>0</v>
      </c>
      <c r="D2050" s="61" t="n">
        <f aca="false">D1968*1000*Pressupostos!$C$93</f>
        <v>0</v>
      </c>
      <c r="E2050" s="61" t="n">
        <f aca="false">E1968*1000*Pressupostos!$C$93</f>
        <v>235500</v>
      </c>
      <c r="F2050" s="61" t="n">
        <f aca="false">F1968*1000*Pressupostos!$C$93</f>
        <v>471000</v>
      </c>
      <c r="G2050" s="61" t="n">
        <f aca="false">G1968*1000*Pressupostos!$C$93</f>
        <v>785000</v>
      </c>
      <c r="H2050" s="2" t="s">
        <v>1268</v>
      </c>
    </row>
    <row r="2051" customFormat="false" ht="15" hidden="false" customHeight="false" outlineLevel="1" collapsed="false">
      <c r="A2051" s="2" t="s">
        <v>613</v>
      </c>
      <c r="B2051" s="8" t="s">
        <v>11</v>
      </c>
      <c r="C2051" s="61" t="n">
        <f aca="false">C1966*Pressupostos!$C$80*(1-Pressupostos!$C$81)</f>
        <v>40500</v>
      </c>
      <c r="D2051" s="61" t="n">
        <f aca="false">D1966*Pressupostos!$C$80*(1-Pressupostos!$C$81)</f>
        <v>162000</v>
      </c>
      <c r="E2051" s="61" t="n">
        <f aca="false">E1966*Pressupostos!$C$80*(1-Pressupostos!$C$81)</f>
        <v>270000</v>
      </c>
      <c r="F2051" s="61" t="n">
        <f aca="false">F1966*Pressupostos!$C$80*(1-Pressupostos!$C$81)</f>
        <v>378000</v>
      </c>
      <c r="G2051" s="61" t="n">
        <f aca="false">G1966*Pressupostos!$C$80*(1-Pressupostos!$C$81)</f>
        <v>486000</v>
      </c>
      <c r="H2051" s="2" t="s">
        <v>1269</v>
      </c>
    </row>
    <row r="2052" customFormat="false" ht="15" hidden="false" customHeight="false" outlineLevel="1" collapsed="false">
      <c r="A2052" s="7" t="s">
        <v>614</v>
      </c>
      <c r="B2052" s="8" t="s">
        <v>11</v>
      </c>
      <c r="C2052" s="61" t="n">
        <f aca="false">C2051*Pressupostos!$D$27</f>
        <v>810</v>
      </c>
      <c r="D2052" s="61" t="n">
        <f aca="false">D2051*Pressupostos!$D$27</f>
        <v>3240</v>
      </c>
      <c r="E2052" s="61" t="n">
        <f aca="false">E2051*Pressupostos!$D$27</f>
        <v>5400</v>
      </c>
      <c r="F2052" s="61" t="n">
        <f aca="false">F2051*Pressupostos!$D$27</f>
        <v>7560</v>
      </c>
      <c r="G2052" s="61" t="n">
        <f aca="false">G2051*Pressupostos!$D$27</f>
        <v>9720</v>
      </c>
      <c r="H2052" s="2" t="s">
        <v>1270</v>
      </c>
    </row>
    <row r="2053" customFormat="false" ht="15" hidden="false" customHeight="false" outlineLevel="1" collapsed="false">
      <c r="A2053" s="7" t="s">
        <v>615</v>
      </c>
      <c r="B2053" s="8" t="s">
        <v>11</v>
      </c>
      <c r="C2053" s="61" t="n">
        <f aca="false">C1959*1000*C2042</f>
        <v>0</v>
      </c>
      <c r="D2053" s="61" t="n">
        <f aca="false">D1959*1000*D2042</f>
        <v>0</v>
      </c>
      <c r="E2053" s="61" t="n">
        <f aca="false">E1959*1000*E2042</f>
        <v>0</v>
      </c>
      <c r="F2053" s="61" t="n">
        <f aca="false">F1959*1000*F2042</f>
        <v>0</v>
      </c>
      <c r="G2053" s="61" t="n">
        <f aca="false">G1959*1000*G2042</f>
        <v>0</v>
      </c>
      <c r="H2053" s="2" t="s">
        <v>1271</v>
      </c>
    </row>
    <row r="2054" customFormat="false" ht="15" hidden="false" customHeight="false" outlineLevel="1" collapsed="false">
      <c r="A2054" s="7" t="s">
        <v>616</v>
      </c>
      <c r="B2054" s="8" t="s">
        <v>11</v>
      </c>
      <c r="C2054" s="61" t="n">
        <f aca="false">C1970*(Pressupostos!$C$101*Pressupostos!$C$102+Pressupostos!$C$103)</f>
        <v>0</v>
      </c>
      <c r="D2054" s="61" t="n">
        <f aca="false">D1970*(Pressupostos!$C$101*Pressupostos!$C$102+Pressupostos!$C$103)</f>
        <v>10000</v>
      </c>
      <c r="E2054" s="61" t="n">
        <f aca="false">E1970*(Pressupostos!$C$101*Pressupostos!$C$102+Pressupostos!$C$103)</f>
        <v>30000</v>
      </c>
      <c r="F2054" s="61" t="n">
        <f aca="false">F1970*(Pressupostos!$C$101*Pressupostos!$C$102+Pressupostos!$C$103)</f>
        <v>60000</v>
      </c>
      <c r="G2054" s="61" t="n">
        <f aca="false">G1970*(Pressupostos!$C$101*Pressupostos!$C$102+Pressupostos!$C$103)</f>
        <v>100000</v>
      </c>
      <c r="H2054" s="2" t="s">
        <v>1272</v>
      </c>
    </row>
    <row r="2055" customFormat="false" ht="15" hidden="false" customHeight="false" outlineLevel="1" collapsed="false">
      <c r="A2055" s="7" t="s">
        <v>617</v>
      </c>
      <c r="B2055" s="8" t="s">
        <v>11</v>
      </c>
      <c r="C2055" s="53" t="n">
        <f aca="false">Pressupostos!$C$275</f>
        <v>0</v>
      </c>
      <c r="D2055" s="53" t="n">
        <f aca="false">Pressupostos!$D$275</f>
        <v>0</v>
      </c>
      <c r="E2055" s="53" t="n">
        <f aca="false">Pressupostos!$E$275</f>
        <v>0</v>
      </c>
      <c r="F2055" s="53" t="n">
        <f aca="false">Pressupostos!$F$275</f>
        <v>10000</v>
      </c>
      <c r="G2055" s="53" t="n">
        <f aca="false">Pressupostos!$G$275</f>
        <v>30000</v>
      </c>
      <c r="H2055" s="2" t="s">
        <v>1273</v>
      </c>
    </row>
    <row r="2056" customFormat="false" ht="15" hidden="false" customHeight="false" outlineLevel="1" collapsed="false">
      <c r="A2056" s="56" t="s">
        <v>618</v>
      </c>
      <c r="B2056" s="57" t="s">
        <v>11</v>
      </c>
      <c r="C2056" s="62" t="n">
        <f aca="false">C2049+C2050+C2052+C2053+C2054+C2055</f>
        <v>265430</v>
      </c>
      <c r="D2056" s="62" t="n">
        <f aca="false">D2049+D2050+D2052+D2053+D2054+D2055</f>
        <v>1769982.5</v>
      </c>
      <c r="E2056" s="62" t="n">
        <f aca="false">E2049+E2050+E2052+E2053+E2054+E2055</f>
        <v>4028582.5</v>
      </c>
      <c r="F2056" s="62" t="n">
        <f aca="false">F2049+F2050+F2052+F2053+F2054+F2055</f>
        <v>6976877.5</v>
      </c>
      <c r="G2056" s="62" t="n">
        <f aca="false">G2049+G2050+G2052+G2053+G2054+G2055</f>
        <v>10680245</v>
      </c>
      <c r="H2056" s="2" t="s">
        <v>1274</v>
      </c>
    </row>
    <row r="2057" customFormat="false" ht="15" hidden="false" customHeight="false" outlineLevel="0" collapsed="false">
      <c r="A2057" s="3" t="s">
        <v>1275</v>
      </c>
      <c r="B2057" s="4"/>
      <c r="C2057" s="4"/>
      <c r="D2057" s="4"/>
      <c r="E2057" s="4"/>
      <c r="F2057" s="4"/>
      <c r="G2057" s="4"/>
      <c r="H2057" s="4"/>
    </row>
    <row r="2058" customFormat="false" ht="15" hidden="false" customHeight="false" outlineLevel="1" collapsed="false">
      <c r="A2058" s="2" t="s">
        <v>620</v>
      </c>
      <c r="B2058" s="8" t="s">
        <v>11</v>
      </c>
      <c r="C2058" s="61" t="n">
        <f aca="false">C1959*1000*Pressupostos!$D$10</f>
        <v>0</v>
      </c>
      <c r="D2058" s="61" t="n">
        <f aca="false">D1959*1000*Pressupostos!$D$10</f>
        <v>0</v>
      </c>
      <c r="E2058" s="61" t="n">
        <f aca="false">E1959*1000*Pressupostos!$D$10</f>
        <v>0</v>
      </c>
      <c r="F2058" s="61" t="n">
        <f aca="false">F1959*1000*Pressupostos!$D$10</f>
        <v>0</v>
      </c>
      <c r="G2058" s="61" t="n">
        <f aca="false">G1959*1000*Pressupostos!$D$10</f>
        <v>0</v>
      </c>
      <c r="H2058" s="2" t="s">
        <v>1276</v>
      </c>
    </row>
    <row r="2059" customFormat="false" ht="15" hidden="false" customHeight="false" outlineLevel="1" collapsed="false">
      <c r="A2059" s="56" t="s">
        <v>621</v>
      </c>
      <c r="B2059" s="57" t="s">
        <v>11</v>
      </c>
      <c r="C2059" s="62" t="n">
        <f aca="false">C2049+C2050+C2051+C2058</f>
        <v>305120</v>
      </c>
      <c r="D2059" s="62" t="n">
        <f aca="false">D2049+D2050+D2051+D2058</f>
        <v>1918742.5</v>
      </c>
      <c r="E2059" s="62" t="n">
        <f aca="false">E2049+E2050+E2051+E2058</f>
        <v>4263182.5</v>
      </c>
      <c r="F2059" s="62" t="n">
        <f aca="false">F2049+F2050+F2051+F2058</f>
        <v>7277317.5</v>
      </c>
      <c r="G2059" s="62" t="n">
        <f aca="false">G2049+G2050+G2051+G2058</f>
        <v>11026525</v>
      </c>
      <c r="H2059" s="2" t="s">
        <v>1277</v>
      </c>
    </row>
    <row r="2060" customFormat="false" ht="15" hidden="false" customHeight="false" outlineLevel="1" collapsed="false">
      <c r="A2060" s="7" t="s">
        <v>622</v>
      </c>
      <c r="B2060" s="8" t="s">
        <v>11</v>
      </c>
      <c r="C2060" s="61" t="n">
        <f aca="false">C2059-C2058-C2048</f>
        <v>305120</v>
      </c>
      <c r="D2060" s="61" t="n">
        <f aca="false">D2059-D2058-D2048</f>
        <v>1918742.5</v>
      </c>
      <c r="E2060" s="61" t="n">
        <f aca="false">E2059-E2058-E2048</f>
        <v>4263182.5</v>
      </c>
      <c r="F2060" s="61" t="n">
        <f aca="false">F2059-F2058-F2048</f>
        <v>7277317.5</v>
      </c>
      <c r="G2060" s="61" t="n">
        <f aca="false">G2059-G2058-G2048</f>
        <v>11026525</v>
      </c>
      <c r="H2060" s="2" t="s">
        <v>1278</v>
      </c>
    </row>
    <row r="2061" customFormat="false" ht="15" hidden="false" customHeight="false" outlineLevel="1" collapsed="false">
      <c r="A2061" s="7" t="s">
        <v>623</v>
      </c>
      <c r="B2061" s="8" t="s">
        <v>11</v>
      </c>
      <c r="C2061" s="61" t="n">
        <f aca="false">C1955*1000*(C1973+C1976)+C1956*1000*(C1996+C1999)+C1958*1000*(C2019+C2022)+C1968*1000*Pressupostos!$C$92</f>
        <v>243800</v>
      </c>
      <c r="D2061" s="61" t="n">
        <f aca="false">D1955*1000*(D1973+D1976)+D1956*1000*(D1996+D1999)+D1958*1000*(D2019+D2022)+D1968*1000*Pressupostos!$C$92</f>
        <v>1623700</v>
      </c>
      <c r="E2061" s="61" t="n">
        <f aca="false">E1955*1000*(E1973+E1976)+E1956*1000*(E1996+E1999)+E1958*1000*(E2019+E2022)+E1968*1000*Pressupostos!$C$92</f>
        <v>3665800</v>
      </c>
      <c r="F2061" s="61" t="n">
        <f aca="false">F1955*1000*(F1973+F1976)+F1956*1000*(F1996+F1999)+F1958*1000*(F2019+F2022)+F1968*1000*Pressupostos!$C$92</f>
        <v>6319200</v>
      </c>
      <c r="G2061" s="61" t="n">
        <f aca="false">G1955*1000*(G1973+G1976)+G1956*1000*(G1996+G1999)+G1958*1000*(G2019+G2022)+G1968*1000*Pressupostos!$C$92</f>
        <v>9651000</v>
      </c>
      <c r="H2061" s="2" t="s">
        <v>1279</v>
      </c>
    </row>
    <row r="2062" customFormat="false" ht="15" hidden="false" customHeight="false" outlineLevel="1" collapsed="false">
      <c r="A2062" s="7" t="s">
        <v>624</v>
      </c>
      <c r="B2062" s="8" t="s">
        <v>11</v>
      </c>
      <c r="C2062" s="61" t="n">
        <f aca="false">C2061*Pressupostos!$C$282</f>
        <v>0</v>
      </c>
      <c r="D2062" s="61" t="n">
        <f aca="false">D2061*Pressupostos!$D$282</f>
        <v>1461330</v>
      </c>
      <c r="E2062" s="61" t="n">
        <f aca="false">E2061*Pressupostos!$E$282</f>
        <v>3299220</v>
      </c>
      <c r="F2062" s="61" t="n">
        <f aca="false">F2061*Pressupostos!$F$282</f>
        <v>5687280</v>
      </c>
      <c r="G2062" s="61" t="n">
        <f aca="false">G2061*Pressupostos!$G$282</f>
        <v>8685900</v>
      </c>
      <c r="H2062" s="2" t="s">
        <v>1280</v>
      </c>
    </row>
    <row r="2063" customFormat="false" ht="15" hidden="false" customHeight="false" outlineLevel="0" collapsed="false">
      <c r="A2063" s="3" t="s">
        <v>1281</v>
      </c>
      <c r="B2063" s="4"/>
      <c r="C2063" s="4"/>
      <c r="D2063" s="4"/>
      <c r="E2063" s="4"/>
      <c r="F2063" s="4"/>
      <c r="G2063" s="4"/>
      <c r="H2063" s="4"/>
    </row>
    <row r="2064" customFormat="false" ht="15" hidden="false" customHeight="false" outlineLevel="1" collapsed="false">
      <c r="A2064" s="7" t="s">
        <v>626</v>
      </c>
      <c r="B2064" s="8" t="s">
        <v>11</v>
      </c>
      <c r="C2064" s="61" t="n">
        <f aca="false">C1955*1000*C1992</f>
        <v>481.074520547956</v>
      </c>
      <c r="D2064" s="61" t="n">
        <f aca="false">D1955*1000*D1992</f>
        <v>-4779.43445205475</v>
      </c>
      <c r="E2064" s="61" t="n">
        <f aca="false">E1955*1000*E1992</f>
        <v>8821.98565068493</v>
      </c>
      <c r="F2064" s="61" t="n">
        <f aca="false">F1955*1000*F1992</f>
        <v>21234.107671233</v>
      </c>
      <c r="G2064" s="61" t="n">
        <f aca="false">G1955*1000*G1992</f>
        <v>32606.682191781</v>
      </c>
      <c r="H2064" s="2" t="s">
        <v>1282</v>
      </c>
    </row>
    <row r="2065" customFormat="false" ht="15" hidden="false" customHeight="false" outlineLevel="1" collapsed="false">
      <c r="A2065" s="7" t="s">
        <v>627</v>
      </c>
      <c r="B2065" s="8" t="s">
        <v>11</v>
      </c>
      <c r="C2065" s="61" t="n">
        <f aca="false">C1956*1000*C2015</f>
        <v>5010.62739726033</v>
      </c>
      <c r="D2065" s="61" t="n">
        <f aca="false">D1956*1000*D2015</f>
        <v>18665.410273973</v>
      </c>
      <c r="E2065" s="61" t="n">
        <f aca="false">E1956*1000*E2015</f>
        <v>46051.8418664388</v>
      </c>
      <c r="F2065" s="61" t="n">
        <f aca="false">F1956*1000*F2015</f>
        <v>79304.9573630142</v>
      </c>
      <c r="G2065" s="61" t="n">
        <f aca="false">G1956*1000*G2015</f>
        <v>119996.511986302</v>
      </c>
      <c r="H2065" s="2" t="s">
        <v>1283</v>
      </c>
    </row>
    <row r="2066" customFormat="false" ht="15" hidden="false" customHeight="false" outlineLevel="1" collapsed="false">
      <c r="A2066" s="7" t="s">
        <v>628</v>
      </c>
      <c r="B2066" s="8" t="s">
        <v>11</v>
      </c>
      <c r="C2066" s="61" t="n">
        <f aca="false">C1958*1000*C2038+C1959*1000*C2044</f>
        <v>0</v>
      </c>
      <c r="D2066" s="61" t="n">
        <f aca="false">D1958*1000*D2038+D1959*1000*D2044</f>
        <v>0</v>
      </c>
      <c r="E2066" s="61" t="n">
        <f aca="false">E1958*1000*E2038+E1959*1000*E2044</f>
        <v>0</v>
      </c>
      <c r="F2066" s="61" t="n">
        <f aca="false">F1958*1000*F2038+F1959*1000*F2044</f>
        <v>0</v>
      </c>
      <c r="G2066" s="61" t="n">
        <f aca="false">G1958*1000*G2038+G1959*1000*G2044</f>
        <v>0</v>
      </c>
      <c r="H2066" s="2" t="s">
        <v>1284</v>
      </c>
    </row>
    <row r="2067" customFormat="false" ht="15" hidden="false" customHeight="false" outlineLevel="1" collapsed="false">
      <c r="A2067" s="7" t="s">
        <v>629</v>
      </c>
      <c r="B2067" s="8" t="s">
        <v>11</v>
      </c>
      <c r="C2067" s="61" t="n">
        <f aca="false">C2064+C2065+C2066</f>
        <v>5491.70191780828</v>
      </c>
      <c r="D2067" s="61" t="n">
        <f aca="false">D2064+D2065+D2066</f>
        <v>13885.9758219182</v>
      </c>
      <c r="E2067" s="61" t="n">
        <f aca="false">E2064+E2065+E2066</f>
        <v>54873.8275171238</v>
      </c>
      <c r="F2067" s="61" t="n">
        <f aca="false">F2064+F2065+F2066</f>
        <v>100539.065034247</v>
      </c>
      <c r="G2067" s="61" t="n">
        <f aca="false">G2064+G2065+G2066</f>
        <v>152603.194178083</v>
      </c>
      <c r="H2067" s="2" t="s">
        <v>1285</v>
      </c>
    </row>
    <row r="2068" customFormat="false" ht="15" hidden="false" customHeight="false" outlineLevel="1" collapsed="false">
      <c r="A2068" s="7" t="s">
        <v>630</v>
      </c>
      <c r="B2068" s="8" t="s">
        <v>64</v>
      </c>
      <c r="C2068" s="63" t="n">
        <f aca="false">IF(C1960&gt;0,C2067/(C1960*1000),0)</f>
        <v>0.0915283652968047</v>
      </c>
      <c r="D2068" s="63" t="n">
        <f aca="false">IF(D1960&gt;0,D2067/(D1960*1000),0)</f>
        <v>0.0347149395547956</v>
      </c>
      <c r="E2068" s="63" t="n">
        <f aca="false">IF(E1960&gt;0,E2067/(E1960*1000),0)</f>
        <v>0.0645574441377927</v>
      </c>
      <c r="F2068" s="63" t="n">
        <f aca="false">IF(F1960&gt;0,F2067/(F1960*1000),0)</f>
        <v>0.0693372862305153</v>
      </c>
      <c r="G2068" s="63" t="n">
        <f aca="false">IF(G1960&gt;0,G2067/(G1960*1000),0)</f>
        <v>0.0693650882627651</v>
      </c>
      <c r="H2068" s="2" t="s">
        <v>1286</v>
      </c>
    </row>
    <row r="2069" customFormat="false" ht="15" hidden="false" customHeight="false" outlineLevel="1" collapsed="false">
      <c r="A2069" s="7" t="s">
        <v>631</v>
      </c>
      <c r="B2069" s="8" t="s">
        <v>76</v>
      </c>
      <c r="C2069" s="59" t="n">
        <f aca="false">IF(C2049&gt;0,C2067/C2049,0)</f>
        <v>0.0207531627156235</v>
      </c>
      <c r="D2069" s="59" t="n">
        <f aca="false">IF(D2049&gt;0,D2067/D2049,0)</f>
        <v>0.00790438884578602</v>
      </c>
      <c r="E2069" s="59" t="n">
        <f aca="false">IF(E2049&gt;0,E2067/E2049,0)</f>
        <v>0.0146031037792905</v>
      </c>
      <c r="F2069" s="59" t="n">
        <f aca="false">IF(F2049&gt;0,F2067/F2049,0)</f>
        <v>0.0156400278975404</v>
      </c>
      <c r="G2069" s="59" t="n">
        <f aca="false">IF(G2049&gt;0,G2067/G2049,0)</f>
        <v>0.0156427454368764</v>
      </c>
      <c r="H2069" s="2" t="s">
        <v>1287</v>
      </c>
    </row>
    <row r="2070" customFormat="false" ht="15" hidden="false" customHeight="false" outlineLevel="1" collapsed="false">
      <c r="A2070" s="2" t="s">
        <v>632</v>
      </c>
      <c r="B2070" s="8" t="s">
        <v>64</v>
      </c>
      <c r="C2070" s="63" t="n">
        <f aca="false">Pressupostos!$C$288*Pressupostos!$C$92*(Pressupostos!$C$95+Pressupostos!$C$96-Pressupostos!$C$97)/365*Pressupostos!$C$282/Pressupostos!$D$31</f>
        <v>0</v>
      </c>
      <c r="D2070" s="63" t="n">
        <f aca="false">Pressupostos!$D$288*Pressupostos!$C$92*(Pressupostos!$C$95+Pressupostos!$C$96-Pressupostos!$C$97)/365*Pressupostos!$D$282/Pressupostos!$D$31</f>
        <v>0.0776712328767123</v>
      </c>
      <c r="E2070" s="63" t="n">
        <f aca="false">Pressupostos!$E$288*Pressupostos!$C$92*(Pressupostos!$C$95+Pressupostos!$C$96-Pressupostos!$C$97)/365*Pressupostos!$E$282/Pressupostos!$D$31</f>
        <v>0.0728167808219178</v>
      </c>
      <c r="F2070" s="63" t="n">
        <f aca="false">Pressupostos!$F$288*Pressupostos!$C$92*(Pressupostos!$C$95+Pressupostos!$C$96-Pressupostos!$C$97)/365*Pressupostos!$F$282/Pressupostos!$D$31</f>
        <v>0.0679623287671233</v>
      </c>
      <c r="G2070" s="63" t="n">
        <f aca="false">Pressupostos!$G$288*Pressupostos!$C$92*(Pressupostos!$C$95+Pressupostos!$C$96-Pressupostos!$C$97)/365*Pressupostos!$G$282/Pressupostos!$D$31</f>
        <v>0.0679623287671233</v>
      </c>
      <c r="H2070" s="2" t="s">
        <v>1288</v>
      </c>
    </row>
    <row r="2071" customFormat="false" ht="15" hidden="false" customHeight="false" outlineLevel="1" collapsed="false">
      <c r="A2071" s="7" t="s">
        <v>600</v>
      </c>
      <c r="B2071" s="8" t="s">
        <v>11</v>
      </c>
      <c r="C2071" s="61" t="n">
        <f aca="false">C1968*1000*(Pressupostos!$C$93-Pressupostos!$C$92-Pressupostos!$C$94-C2070-Pressupostos!$C$98*Pressupostos!$C$93-Pressupostos!$C$99-Pressupostos!$D$29*Pressupostos!$C$92)</f>
        <v>0</v>
      </c>
      <c r="D2071" s="61" t="n">
        <f aca="false">D1968*1000*(Pressupostos!$C$93-Pressupostos!$C$92-Pressupostos!$C$94-D2070-Pressupostos!$C$98*Pressupostos!$C$93-Pressupostos!$C$99-Pressupostos!$D$29*Pressupostos!$C$92)</f>
        <v>0</v>
      </c>
      <c r="E2071" s="61" t="n">
        <f aca="false">E1968*1000*(Pressupostos!$C$93-Pressupostos!$C$92-Pressupostos!$C$94-E2070-Pressupostos!$C$98*Pressupostos!$C$93-Pressupostos!$C$99-Pressupostos!$D$29*Pressupostos!$C$92)</f>
        <v>16502.4965753425</v>
      </c>
      <c r="F2071" s="61" t="n">
        <f aca="false">F1968*1000*(Pressupostos!$C$93-Pressupostos!$C$92-Pressupostos!$C$94-F2070-Pressupostos!$C$98*Pressupostos!$C$93-Pressupostos!$C$99-Pressupostos!$D$29*Pressupostos!$C$92)</f>
        <v>33296.2602739726</v>
      </c>
      <c r="G2071" s="61" t="n">
        <f aca="false">G1968*1000*(Pressupostos!$C$93-Pressupostos!$C$92-Pressupostos!$C$94-G2070-Pressupostos!$C$98*Pressupostos!$C$93-Pressupostos!$C$99-Pressupostos!$D$29*Pressupostos!$C$92)</f>
        <v>55493.7671232876</v>
      </c>
      <c r="H2071" s="2" t="s">
        <v>1289</v>
      </c>
    </row>
    <row r="2072" customFormat="false" ht="15" hidden="false" customHeight="false" outlineLevel="1" collapsed="false">
      <c r="A2072" s="7" t="s">
        <v>633</v>
      </c>
      <c r="B2072" s="8" t="s">
        <v>11</v>
      </c>
      <c r="C2072" s="61" t="n">
        <f aca="false">C2052</f>
        <v>810</v>
      </c>
      <c r="D2072" s="61" t="n">
        <f aca="false">D2052</f>
        <v>3240</v>
      </c>
      <c r="E2072" s="61" t="n">
        <f aca="false">E2052</f>
        <v>5400</v>
      </c>
      <c r="F2072" s="61" t="n">
        <f aca="false">F2052</f>
        <v>7560</v>
      </c>
      <c r="G2072" s="61" t="n">
        <f aca="false">G2052</f>
        <v>9720</v>
      </c>
      <c r="H2072" s="2" t="s">
        <v>1290</v>
      </c>
    </row>
    <row r="2073" customFormat="false" ht="15" hidden="false" customHeight="false" outlineLevel="1" collapsed="false">
      <c r="A2073" s="7" t="s">
        <v>634</v>
      </c>
      <c r="B2073" s="8" t="s">
        <v>11</v>
      </c>
      <c r="C2073" s="61" t="n">
        <f aca="false">C2054-C2088</f>
        <v>0</v>
      </c>
      <c r="D2073" s="61" t="n">
        <f aca="false">D2054-D2088</f>
        <v>1771.42857142857</v>
      </c>
      <c r="E2073" s="61" t="n">
        <f aca="false">E2054-E2088</f>
        <v>5314.28571428572</v>
      </c>
      <c r="F2073" s="61" t="n">
        <f aca="false">F2054-F2088</f>
        <v>10628.5714285714</v>
      </c>
      <c r="G2073" s="61" t="n">
        <f aca="false">G2054-G2088</f>
        <v>17714.2857142857</v>
      </c>
      <c r="H2073" s="2" t="s">
        <v>1291</v>
      </c>
    </row>
    <row r="2074" customFormat="false" ht="15" hidden="false" customHeight="false" outlineLevel="1" collapsed="false">
      <c r="A2074" s="7" t="s">
        <v>617</v>
      </c>
      <c r="B2074" s="8" t="s">
        <v>11</v>
      </c>
      <c r="C2074" s="61" t="n">
        <f aca="false">C2055</f>
        <v>0</v>
      </c>
      <c r="D2074" s="61" t="n">
        <f aca="false">D2055</f>
        <v>0</v>
      </c>
      <c r="E2074" s="61" t="n">
        <f aca="false">E2055</f>
        <v>0</v>
      </c>
      <c r="F2074" s="61" t="n">
        <f aca="false">F2055</f>
        <v>10000</v>
      </c>
      <c r="G2074" s="61" t="n">
        <f aca="false">G2055</f>
        <v>30000</v>
      </c>
      <c r="H2074" s="2" t="s">
        <v>1292</v>
      </c>
    </row>
    <row r="2075" customFormat="false" ht="15" hidden="false" customHeight="false" outlineLevel="1" collapsed="false">
      <c r="A2075" s="56" t="s">
        <v>635</v>
      </c>
      <c r="B2075" s="57" t="s">
        <v>11</v>
      </c>
      <c r="C2075" s="62" t="n">
        <f aca="false">C2067+C2071+C2072+C2073+C2074</f>
        <v>6301.70191780828</v>
      </c>
      <c r="D2075" s="62" t="n">
        <f aca="false">D2067+D2071+D2072+D2073+D2074</f>
        <v>18897.4043933468</v>
      </c>
      <c r="E2075" s="62" t="n">
        <f aca="false">E2067+E2071+E2072+E2073+E2074</f>
        <v>82090.6098067519</v>
      </c>
      <c r="F2075" s="62" t="n">
        <f aca="false">F2067+F2071+F2072+F2073+F2074</f>
        <v>162023.896736791</v>
      </c>
      <c r="G2075" s="62" t="n">
        <f aca="false">G2067+G2071+G2072+G2073+G2074</f>
        <v>265531.247015657</v>
      </c>
      <c r="H2075" s="2" t="s">
        <v>1293</v>
      </c>
    </row>
    <row r="2076" customFormat="false" ht="15" hidden="false" customHeight="false" outlineLevel="0" collapsed="false">
      <c r="A2076" s="3" t="s">
        <v>1294</v>
      </c>
      <c r="B2076" s="4"/>
      <c r="C2076" s="4"/>
      <c r="D2076" s="4"/>
      <c r="E2076" s="4"/>
      <c r="F2076" s="4"/>
      <c r="G2076" s="4"/>
      <c r="H2076" s="4"/>
    </row>
    <row r="2077" customFormat="false" ht="15" hidden="false" customHeight="false" outlineLevel="1" collapsed="false">
      <c r="A2077" s="7" t="s">
        <v>686</v>
      </c>
      <c r="B2077" s="8" t="s">
        <v>11</v>
      </c>
      <c r="C2077" s="61" t="n">
        <f aca="false">C1955*1000*(C1973+C1976)+C1956*1000*(C1996+C1999)+C1958*1000*(C2019+C2022)</f>
        <v>243800</v>
      </c>
      <c r="D2077" s="61" t="n">
        <f aca="false">D1955*1000*(D1973+D1976)+D1956*1000*(D1996+D1999)+D1958*1000*(D2019+D2022)</f>
        <v>1623700</v>
      </c>
      <c r="E2077" s="61" t="n">
        <f aca="false">E1955*1000*(E1973+E1976)+E1956*1000*(E1996+E1999)+E1958*1000*(E2019+E2022)</f>
        <v>3455800</v>
      </c>
      <c r="F2077" s="61" t="n">
        <f aca="false">F1955*1000*(F1973+F1976)+F1956*1000*(F1996+F1999)+F1958*1000*(F2019+F2022)</f>
        <v>5899200</v>
      </c>
      <c r="G2077" s="61" t="n">
        <f aca="false">G1955*1000*(G1973+G1976)+G1956*1000*(G1996+G1999)+G1958*1000*(G2019+G2022)</f>
        <v>8951000</v>
      </c>
      <c r="H2077" s="2" t="s">
        <v>1295</v>
      </c>
    </row>
    <row r="2078" customFormat="false" ht="15" hidden="false" customHeight="false" outlineLevel="1" collapsed="false">
      <c r="A2078" s="7" t="s">
        <v>687</v>
      </c>
      <c r="B2078" s="8" t="s">
        <v>11</v>
      </c>
      <c r="C2078" s="61" t="n">
        <f aca="false">C1968*1000*Pressupostos!$C$92</f>
        <v>0</v>
      </c>
      <c r="D2078" s="61" t="n">
        <f aca="false">D1968*1000*Pressupostos!$C$92</f>
        <v>0</v>
      </c>
      <c r="E2078" s="61" t="n">
        <f aca="false">E1968*1000*Pressupostos!$C$92</f>
        <v>210000</v>
      </c>
      <c r="F2078" s="61" t="n">
        <f aca="false">F1968*1000*Pressupostos!$C$92</f>
        <v>420000</v>
      </c>
      <c r="G2078" s="61" t="n">
        <f aca="false">G1968*1000*Pressupostos!$C$92</f>
        <v>700000</v>
      </c>
      <c r="H2078" s="2" t="s">
        <v>1296</v>
      </c>
    </row>
    <row r="2079" customFormat="false" ht="15" hidden="false" customHeight="false" outlineLevel="1" collapsed="false">
      <c r="A2079" s="7" t="s">
        <v>688</v>
      </c>
      <c r="B2079" s="8" t="s">
        <v>11</v>
      </c>
      <c r="C2079" s="61" t="n">
        <f aca="false">C2077+C2078</f>
        <v>243800</v>
      </c>
      <c r="D2079" s="61" t="n">
        <f aca="false">D2077+D2078</f>
        <v>1623700</v>
      </c>
      <c r="E2079" s="61" t="n">
        <f aca="false">E2077+E2078</f>
        <v>3665800</v>
      </c>
      <c r="F2079" s="61" t="n">
        <f aca="false">F2077+F2078</f>
        <v>6319200</v>
      </c>
      <c r="G2079" s="61" t="n">
        <f aca="false">G2077+G2078</f>
        <v>9651000</v>
      </c>
      <c r="H2079" s="2" t="s">
        <v>1297</v>
      </c>
    </row>
    <row r="2080" customFormat="false" ht="15" hidden="false" customHeight="false" outlineLevel="1" collapsed="false">
      <c r="A2080" s="7" t="s">
        <v>215</v>
      </c>
      <c r="B2080" s="8" t="s">
        <v>11</v>
      </c>
      <c r="C2080" s="61" t="n">
        <f aca="false">C1955*1000*(C1977)+C1956*1000*(C2000)+C1958*1000*(C2023)+C1968*1000*Pressupostos!$C$94</f>
        <v>7600</v>
      </c>
      <c r="D2080" s="61" t="n">
        <f aca="false">D1955*1000*(D1977)+D1956*1000*(D2000)+D1958*1000*(D2023)+D1968*1000*Pressupostos!$C$94</f>
        <v>47400</v>
      </c>
      <c r="E2080" s="61" t="n">
        <f aca="false">E1955*1000*(E1977)+E1956*1000*(E2000)+E1958*1000*(E2023)+E1968*1000*Pressupostos!$C$94</f>
        <v>106270</v>
      </c>
      <c r="F2080" s="61" t="n">
        <f aca="false">F1955*1000*(F1977)+F1956*1000*(F2000)+F1958*1000*(F2023)+F1968*1000*Pressupostos!$C$94</f>
        <v>187560</v>
      </c>
      <c r="G2080" s="61" t="n">
        <f aca="false">G1955*1000*(G1977)+G1956*1000*(G2000)+G1958*1000*(G2023)+G1968*1000*Pressupostos!$C$94</f>
        <v>286800</v>
      </c>
      <c r="H2080" s="2" t="s">
        <v>1298</v>
      </c>
    </row>
    <row r="2081" customFormat="false" ht="15" hidden="false" customHeight="false" outlineLevel="1" collapsed="false">
      <c r="A2081" s="7" t="s">
        <v>117</v>
      </c>
      <c r="B2081" s="8" t="s">
        <v>11</v>
      </c>
      <c r="C2081" s="61" t="n">
        <f aca="false">C1955*1000*(C1978)+C1956*1000*(C2001)+C1958*1000*(C2024)</f>
        <v>480</v>
      </c>
      <c r="D2081" s="61" t="n">
        <f aca="false">D1955*1000*(D1978)+D1956*1000*(D2001)+D1958*1000*(D2024)</f>
        <v>2220</v>
      </c>
      <c r="E2081" s="61" t="n">
        <f aca="false">E1955*1000*(E1978)+E1956*1000*(E2001)+E1958*1000*(E2024)</f>
        <v>7980</v>
      </c>
      <c r="F2081" s="61" t="n">
        <f aca="false">F1955*1000*(F1978)+F1956*1000*(F2001)+F1958*1000*(F2024)</f>
        <v>16020</v>
      </c>
      <c r="G2081" s="61" t="n">
        <f aca="false">G1955*1000*(G1978)+G1956*1000*(G2001)+G1958*1000*(G2024)</f>
        <v>24600</v>
      </c>
      <c r="H2081" s="2" t="s">
        <v>1299</v>
      </c>
    </row>
    <row r="2082" customFormat="false" ht="15" hidden="false" customHeight="false" outlineLevel="1" collapsed="false">
      <c r="A2082" s="7" t="s">
        <v>689</v>
      </c>
      <c r="B2082" s="8" t="s">
        <v>11</v>
      </c>
      <c r="C2082" s="61" t="n">
        <f aca="false">C1955*1000*(C1981+C1982)+C1956*1000*(C2004+C2005)+C1958*1000*(C2027+C2028)</f>
        <v>459.178082191781</v>
      </c>
      <c r="D2082" s="61" t="n">
        <f aca="false">D1955*1000*(D1981+D1982)+D1956*1000*(D2004+D2005)+D1958*1000*(D2027+D2028)</f>
        <v>2686.19178082192</v>
      </c>
      <c r="E2082" s="61" t="n">
        <f aca="false">E1955*1000*(E1981+E1982)+E1956*1000*(E2004+E2005)+E1958*1000*(E2027+E2028)</f>
        <v>4208.36712328767</v>
      </c>
      <c r="F2082" s="61" t="n">
        <f aca="false">F1955*1000*(F1981+F1982)+F1956*1000*(F2004+F2005)+F1958*1000*(F2027+F2028)</f>
        <v>7271.08493150685</v>
      </c>
      <c r="G2082" s="61" t="n">
        <f aca="false">G1955*1000*(G1981+G1982)+G1956*1000*(G2004+G2005)+G1958*1000*(G2027+G2028)</f>
        <v>11043.2328767123</v>
      </c>
      <c r="H2082" s="2" t="s">
        <v>1300</v>
      </c>
    </row>
    <row r="2083" customFormat="false" ht="15" hidden="false" customHeight="false" outlineLevel="1" collapsed="false">
      <c r="A2083" s="7" t="s">
        <v>690</v>
      </c>
      <c r="B2083" s="8" t="s">
        <v>11</v>
      </c>
      <c r="C2083" s="61" t="n">
        <f aca="false">C1955*1000*(C1983+C1984+C1985)+C1956*1000*(C2006+C2007+C2008)+C1958*1000*(C2029+C2030+C2031)</f>
        <v>2660</v>
      </c>
      <c r="D2083" s="61" t="n">
        <f aca="false">D1955*1000*(D1983+D1984+D1985)+D1956*1000*(D2006+D2007+D2008)+D1958*1000*(D2029+D2030+D2031)</f>
        <v>17325</v>
      </c>
      <c r="E2083" s="61" t="n">
        <f aca="false">E1955*1000*(E1983+E1984+E1985)+E1956*1000*(E2006+E2007+E2008)+E1958*1000*(E2029+E2030+E2031)</f>
        <v>36379.5</v>
      </c>
      <c r="F2083" s="61" t="n">
        <f aca="false">F1955*1000*(F1983+F1984+F1985)+F1956*1000*(F2006+F2007+F2008)+F1958*1000*(F2029+F2030+F2031)</f>
        <v>62520.5</v>
      </c>
      <c r="G2083" s="61" t="n">
        <f aca="false">G1955*1000*(G1983+G1984+G1985)+G1956*1000*(G2006+G2007+G2008)+G1958*1000*(G2029+G2030+G2031)</f>
        <v>94915</v>
      </c>
      <c r="H2083" s="2" t="s">
        <v>1301</v>
      </c>
    </row>
    <row r="2084" customFormat="false" ht="15" hidden="false" customHeight="false" outlineLevel="1" collapsed="false">
      <c r="A2084" s="7" t="s">
        <v>673</v>
      </c>
      <c r="B2084" s="8" t="s">
        <v>11</v>
      </c>
      <c r="C2084" s="61" t="n">
        <f aca="false">C1955*1000*(C1986)+C1956*1000*(C2009)+C1958*1000*(C2032)</f>
        <v>2880</v>
      </c>
      <c r="D2084" s="61" t="n">
        <f aca="false">D1955*1000*(D1986)+D1956*1000*(D2009)+D1958*1000*(D2032)</f>
        <v>18220</v>
      </c>
      <c r="E2084" s="61" t="n">
        <f aca="false">E1955*1000*(E1986)+E1956*1000*(E2009)+E1958*1000*(E2032)</f>
        <v>41980</v>
      </c>
      <c r="F2084" s="61" t="n">
        <f aca="false">F1955*1000*(F1986)+F1956*1000*(F2009)+F1958*1000*(F2032)</f>
        <v>74020</v>
      </c>
      <c r="G2084" s="61" t="n">
        <f aca="false">G1955*1000*(G1986)+G1956*1000*(G2009)+G1958*1000*(G2032)</f>
        <v>112600</v>
      </c>
      <c r="H2084" s="2" t="s">
        <v>1302</v>
      </c>
    </row>
    <row r="2085" customFormat="false" ht="15" hidden="false" customHeight="false" outlineLevel="1" collapsed="false">
      <c r="A2085" s="7" t="s">
        <v>691</v>
      </c>
      <c r="B2085" s="8" t="s">
        <v>11</v>
      </c>
      <c r="C2085" s="61" t="n">
        <f aca="false">C1955*1000*(C1987)+C1956*1000*(C2010)+C1958*1000*(C2033)+C1968*1000*Pressupostos!$C$99</f>
        <v>340</v>
      </c>
      <c r="D2085" s="61" t="n">
        <f aca="false">D1955*1000*(D1987)+D1956*1000*(D2010)+D1958*1000*(D2033)+D1968*1000*Pressupostos!$C$99</f>
        <v>2185</v>
      </c>
      <c r="E2085" s="61" t="n">
        <f aca="false">E1955*1000*(E1987)+E1956*1000*(E2010)+E1958*1000*(E2033)+E1968*1000*Pressupostos!$C$99</f>
        <v>5815</v>
      </c>
      <c r="F2085" s="61" t="n">
        <f aca="false">F1955*1000*(F1987)+F1956*1000*(F2010)+F1958*1000*(F2033)+F1968*1000*Pressupostos!$C$99</f>
        <v>10385</v>
      </c>
      <c r="G2085" s="61" t="n">
        <f aca="false">G1955*1000*(G1987)+G1956*1000*(G2010)+G1958*1000*(G2033)+G1968*1000*Pressupostos!$C$99</f>
        <v>16050</v>
      </c>
      <c r="H2085" s="2" t="s">
        <v>1303</v>
      </c>
    </row>
    <row r="2086" customFormat="false" ht="15" hidden="false" customHeight="false" outlineLevel="1" collapsed="false">
      <c r="A2086" s="7" t="s">
        <v>81</v>
      </c>
      <c r="B2086" s="8" t="s">
        <v>11</v>
      </c>
      <c r="C2086" s="61" t="n">
        <f aca="false">C1955*1000*(C1988)+C1956*1000*(C2011)+C1958*1000*(C2034)+C1968*1000*Pressupostos!$C$98*Pressupostos!$C$93</f>
        <v>909.12</v>
      </c>
      <c r="D2086" s="61" t="n">
        <f aca="false">D1955*1000*(D1988)+D1956*1000*(D2011)+D1958*1000*(D2034)+D1968*1000*Pressupostos!$C$98*Pressupostos!$C$93</f>
        <v>5803.305</v>
      </c>
      <c r="E2086" s="61" t="n">
        <f aca="false">E1955*1000*(E1988)+E1956*1000*(E2011)+E1958*1000*(E2034)+E1968*1000*Pressupostos!$C$98*Pressupostos!$C$93</f>
        <v>14602.245</v>
      </c>
      <c r="F2086" s="61" t="n">
        <f aca="false">F1955*1000*(F1988)+F1956*1000*(F2011)+F1958*1000*(F2034)+F1968*1000*Pressupostos!$C$98*Pressupostos!$C$93</f>
        <v>25957.755</v>
      </c>
      <c r="G2086" s="61" t="n">
        <f aca="false">G1955*1000*(G1988)+G1956*1000*(G2011)+G1958*1000*(G2034)+G1968*1000*Pressupostos!$C$98*Pressupostos!$C$93</f>
        <v>39883.65</v>
      </c>
      <c r="H2086" s="2" t="s">
        <v>1304</v>
      </c>
    </row>
    <row r="2087" customFormat="false" ht="15" hidden="false" customHeight="false" outlineLevel="1" collapsed="false">
      <c r="A2087" s="7" t="s">
        <v>692</v>
      </c>
      <c r="B2087" s="8" t="s">
        <v>11</v>
      </c>
      <c r="C2087" s="61" t="n">
        <f aca="false">C1955*1000*(C1989)+C1956*1000*(C2012)+C1958*1000*(C2035)+C1968*1000*Pressupostos!$D$29*Pressupostos!$C$92</f>
        <v>0</v>
      </c>
      <c r="D2087" s="61" t="n">
        <f aca="false">D1955*1000*(D1989)+D1956*1000*(D2012)+D1958*1000*(D2035)+D1968*1000*Pressupostos!$D$29*Pressupostos!$C$92</f>
        <v>0</v>
      </c>
      <c r="E2087" s="61" t="n">
        <f aca="false">E1955*1000*(E1989)+E1956*1000*(E2012)+E1958*1000*(E2035)+E1968*1000*Pressupostos!$D$29*Pressupostos!$C$92</f>
        <v>0</v>
      </c>
      <c r="F2087" s="61" t="n">
        <f aca="false">F1955*1000*(F1989)+F1956*1000*(F2012)+F1958*1000*(F2035)+F1968*1000*Pressupostos!$D$29*Pressupostos!$C$92</f>
        <v>0</v>
      </c>
      <c r="G2087" s="61" t="n">
        <f aca="false">G1955*1000*(G1989)+G1956*1000*(G2012)+G1958*1000*(G2035)+G1968*1000*Pressupostos!$D$29*Pressupostos!$C$92</f>
        <v>0</v>
      </c>
      <c r="H2087" s="2" t="s">
        <v>1305</v>
      </c>
    </row>
    <row r="2088" customFormat="false" ht="15" hidden="false" customHeight="false" outlineLevel="1" collapsed="false">
      <c r="A2088" s="7" t="s">
        <v>693</v>
      </c>
      <c r="B2088" s="8" t="s">
        <v>11</v>
      </c>
      <c r="C2088" s="61" t="n">
        <f aca="false">C1971*1000*Pressupostos!$C$104*Pressupostos!$D$30</f>
        <v>0</v>
      </c>
      <c r="D2088" s="61" t="n">
        <f aca="false">D1971*1000*Pressupostos!$C$104*Pressupostos!$D$30</f>
        <v>8228.57142857143</v>
      </c>
      <c r="E2088" s="61" t="n">
        <f aca="false">E1971*1000*Pressupostos!$C$104*Pressupostos!$D$30</f>
        <v>24685.7142857143</v>
      </c>
      <c r="F2088" s="61" t="n">
        <f aca="false">F1971*1000*Pressupostos!$C$104*Pressupostos!$D$30</f>
        <v>49371.4285714286</v>
      </c>
      <c r="G2088" s="61" t="n">
        <f aca="false">G1971*1000*Pressupostos!$C$104*Pressupostos!$D$30</f>
        <v>82285.7142857143</v>
      </c>
      <c r="H2088" s="2" t="s">
        <v>1306</v>
      </c>
    </row>
    <row r="2089" customFormat="false" ht="15" hidden="false" customHeight="false" outlineLevel="1" collapsed="false">
      <c r="A2089" s="7" t="s">
        <v>694</v>
      </c>
      <c r="B2089" s="8" t="s">
        <v>11</v>
      </c>
      <c r="C2089" s="61" t="n">
        <f aca="false">C1959*1000*C2043</f>
        <v>0</v>
      </c>
      <c r="D2089" s="61" t="n">
        <f aca="false">D1959*1000*D2043</f>
        <v>0</v>
      </c>
      <c r="E2089" s="61" t="n">
        <f aca="false">E1959*1000*E2043</f>
        <v>0</v>
      </c>
      <c r="F2089" s="61" t="n">
        <f aca="false">F1959*1000*F2043</f>
        <v>0</v>
      </c>
      <c r="G2089" s="61" t="n">
        <f aca="false">G1959*1000*G2043</f>
        <v>0</v>
      </c>
      <c r="H2089" s="2" t="s">
        <v>1307</v>
      </c>
    </row>
    <row r="2090" customFormat="false" ht="15" hidden="false" customHeight="false" outlineLevel="1" collapsed="false">
      <c r="A2090" s="7" t="s">
        <v>695</v>
      </c>
      <c r="B2090" s="8" t="s">
        <v>11</v>
      </c>
      <c r="C2090" s="61" t="n">
        <f aca="false">C2080+C2081+C2082+C2083+C2084+C2085+C2086+C2087+C2088+C2089</f>
        <v>15328.2980821918</v>
      </c>
      <c r="D2090" s="61" t="n">
        <f aca="false">D2080+D2081+D2082+D2083+D2084+D2085+D2086+D2087+D2088+D2089</f>
        <v>104068.068209393</v>
      </c>
      <c r="E2090" s="61" t="n">
        <f aca="false">E2080+E2081+E2082+E2083+E2084+E2085+E2086+E2087+E2088+E2089</f>
        <v>241920.826409002</v>
      </c>
      <c r="F2090" s="61" t="n">
        <f aca="false">F2080+F2081+F2082+F2083+F2084+F2085+F2086+F2087+F2088+F2089</f>
        <v>433105.768502936</v>
      </c>
      <c r="G2090" s="61" t="n">
        <f aca="false">G2080+G2081+G2082+G2083+G2084+G2085+G2086+G2087+G2088+G2089</f>
        <v>668177.597162427</v>
      </c>
      <c r="H2090" s="2" t="s">
        <v>1308</v>
      </c>
    </row>
    <row r="2091" customFormat="false" ht="15" hidden="false" customHeight="false" outlineLevel="1" collapsed="false">
      <c r="A2091" s="7" t="s">
        <v>696</v>
      </c>
      <c r="B2091" s="8" t="s">
        <v>11</v>
      </c>
      <c r="C2091" s="61" t="n">
        <f aca="false">C1955*1000*(C1990)+C1956*1000*(C2013)+C1958*1000*(C2036)</f>
        <v>0</v>
      </c>
      <c r="D2091" s="61" t="n">
        <f aca="false">D1955*1000*(D1990)+D1956*1000*(D2013)+D1958*1000*(D2036)</f>
        <v>23317.0273972603</v>
      </c>
      <c r="E2091" s="61" t="n">
        <f aca="false">E1955*1000*(E1990)+E1956*1000*(E2013)+E1958*1000*(E2036)</f>
        <v>36586.560359589</v>
      </c>
      <c r="F2091" s="61" t="n">
        <f aca="false">F1955*1000*(F1990)+F1956*1000*(F2013)+F1958*1000*(F2036)</f>
        <v>58470.0950342466</v>
      </c>
      <c r="G2091" s="61" t="n">
        <f aca="false">G1955*1000*(G1990)+G1956*1000*(G2013)+G1958*1000*(G2036)</f>
        <v>88739.9229452055</v>
      </c>
      <c r="H2091" s="2" t="s">
        <v>1309</v>
      </c>
    </row>
    <row r="2092" customFormat="false" ht="15" hidden="false" customHeight="false" outlineLevel="1" collapsed="false">
      <c r="A2092" s="7" t="s">
        <v>697</v>
      </c>
      <c r="B2092" s="8" t="s">
        <v>11</v>
      </c>
      <c r="C2092" s="61" t="n">
        <f aca="false">C1968*1000*C2070</f>
        <v>0</v>
      </c>
      <c r="D2092" s="61" t="n">
        <f aca="false">D1968*1000*D2070</f>
        <v>0</v>
      </c>
      <c r="E2092" s="61" t="n">
        <f aca="false">E1968*1000*E2070</f>
        <v>2184.50342465753</v>
      </c>
      <c r="F2092" s="61" t="n">
        <f aca="false">F1968*1000*F2070</f>
        <v>4077.7397260274</v>
      </c>
      <c r="G2092" s="61" t="n">
        <f aca="false">G1968*1000*G2070</f>
        <v>6796.23287671233</v>
      </c>
      <c r="H2092" s="2" t="s">
        <v>1310</v>
      </c>
    </row>
    <row r="2093" customFormat="false" ht="15" hidden="false" customHeight="false" outlineLevel="1" collapsed="false">
      <c r="A2093" s="7" t="s">
        <v>698</v>
      </c>
      <c r="B2093" s="8" t="s">
        <v>11</v>
      </c>
      <c r="C2093" s="61" t="n">
        <f aca="false">C2091+C2092</f>
        <v>0</v>
      </c>
      <c r="D2093" s="61" t="n">
        <f aca="false">D2091+D2092</f>
        <v>23317.0273972603</v>
      </c>
      <c r="E2093" s="61" t="n">
        <f aca="false">E2091+E2092</f>
        <v>38771.0637842466</v>
      </c>
      <c r="F2093" s="61" t="n">
        <f aca="false">F2091+F2092</f>
        <v>62547.834760274</v>
      </c>
      <c r="G2093" s="61" t="n">
        <f aca="false">G2091+G2092</f>
        <v>95536.1558219178</v>
      </c>
      <c r="H2093" s="2" t="s">
        <v>1311</v>
      </c>
    </row>
    <row r="2094" customFormat="false" ht="15" hidden="false" customHeight="false" outlineLevel="1" collapsed="false">
      <c r="A2094" s="8" t="s">
        <v>699</v>
      </c>
      <c r="B2094" s="8" t="s">
        <v>11</v>
      </c>
      <c r="C2094" s="70" t="n">
        <f aca="false">ROUND(C2056-C2079-C2090-C2093-C2075,6)</f>
        <v>-0</v>
      </c>
      <c r="D2094" s="70" t="n">
        <f aca="false">ROUND(D2056-D2079-D2090-D2093-D2075,6)</f>
        <v>-0</v>
      </c>
      <c r="E2094" s="70" t="n">
        <f aca="false">ROUND(E2056-E2079-E2090-E2093-E2075,6)</f>
        <v>-0</v>
      </c>
      <c r="F2094" s="70" t="n">
        <f aca="false">ROUND(F2056-F2079-F2090-F2093-F2075,6)</f>
        <v>-0</v>
      </c>
      <c r="G2094" s="70" t="n">
        <f aca="false">ROUND(G2056-G2079-G2090-G2093-G2075,6)</f>
        <v>-0</v>
      </c>
      <c r="H2094" s="2" t="s">
        <v>1312</v>
      </c>
    </row>
    <row r="2095" customFormat="false" ht="15" hidden="false" customHeight="false" outlineLevel="0" collapsed="false">
      <c r="A2095" s="3" t="s">
        <v>1313</v>
      </c>
      <c r="B2095" s="4"/>
      <c r="C2095" s="4"/>
      <c r="D2095" s="4"/>
      <c r="E2095" s="4"/>
      <c r="F2095" s="4"/>
      <c r="G2095" s="4"/>
      <c r="H2095" s="4"/>
    </row>
    <row r="2096" customFormat="false" ht="15" hidden="false" customHeight="false" outlineLevel="1" collapsed="false">
      <c r="A2096" s="7" t="s">
        <v>638</v>
      </c>
      <c r="B2096" s="8" t="s">
        <v>432</v>
      </c>
      <c r="C2096" s="64" t="n">
        <f aca="false">Pressupostos!$C$332</f>
        <v>1</v>
      </c>
      <c r="D2096" s="64" t="n">
        <f aca="false">Pressupostos!$D$332</f>
        <v>1</v>
      </c>
      <c r="E2096" s="64" t="n">
        <f aca="false">Pressupostos!$E$332</f>
        <v>1</v>
      </c>
      <c r="F2096" s="64" t="n">
        <f aca="false">Pressupostos!$F$332</f>
        <v>1</v>
      </c>
      <c r="G2096" s="64" t="n">
        <f aca="false">Pressupostos!$G$332</f>
        <v>1</v>
      </c>
      <c r="H2096" s="2" t="s">
        <v>1314</v>
      </c>
    </row>
    <row r="2097" customFormat="false" ht="15" hidden="false" customHeight="false" outlineLevel="1" collapsed="false">
      <c r="A2097" s="7" t="s">
        <v>639</v>
      </c>
      <c r="B2097" s="8" t="s">
        <v>432</v>
      </c>
      <c r="C2097" s="64" t="n">
        <f aca="false">Pressupostos!$C$338</f>
        <v>1</v>
      </c>
      <c r="D2097" s="64" t="n">
        <f aca="false">Pressupostos!$D$338</f>
        <v>1</v>
      </c>
      <c r="E2097" s="64" t="n">
        <f aca="false">Pressupostos!$E$338</f>
        <v>1</v>
      </c>
      <c r="F2097" s="64" t="n">
        <f aca="false">Pressupostos!$F$338</f>
        <v>1</v>
      </c>
      <c r="G2097" s="64" t="n">
        <f aca="false">Pressupostos!$G$338</f>
        <v>1</v>
      </c>
      <c r="H2097" s="2" t="s">
        <v>1315</v>
      </c>
    </row>
    <row r="2098" customFormat="false" ht="15" hidden="false" customHeight="false" outlineLevel="1" collapsed="false">
      <c r="A2098" s="7" t="s">
        <v>640</v>
      </c>
      <c r="B2098" s="8" t="s">
        <v>432</v>
      </c>
      <c r="C2098" s="64" t="n">
        <f aca="false">Pressupostos!$C$344</f>
        <v>1</v>
      </c>
      <c r="D2098" s="64" t="n">
        <f aca="false">Pressupostos!$D$344</f>
        <v>1</v>
      </c>
      <c r="E2098" s="64" t="n">
        <f aca="false">Pressupostos!$E$344</f>
        <v>2</v>
      </c>
      <c r="F2098" s="64" t="n">
        <f aca="false">Pressupostos!$F$344</f>
        <v>2</v>
      </c>
      <c r="G2098" s="64" t="n">
        <f aca="false">Pressupostos!$G$344</f>
        <v>2</v>
      </c>
      <c r="H2098" s="2" t="s">
        <v>1316</v>
      </c>
    </row>
    <row r="2099" customFormat="false" ht="15" hidden="false" customHeight="false" outlineLevel="1" collapsed="false">
      <c r="A2099" s="7" t="s">
        <v>641</v>
      </c>
      <c r="B2099" s="8" t="s">
        <v>432</v>
      </c>
      <c r="C2099" s="64" t="n">
        <f aca="false">Pressupostos!$C$350</f>
        <v>1</v>
      </c>
      <c r="D2099" s="64" t="n">
        <f aca="false">Pressupostos!$D$350</f>
        <v>1</v>
      </c>
      <c r="E2099" s="64" t="n">
        <f aca="false">Pressupostos!$E$350</f>
        <v>1</v>
      </c>
      <c r="F2099" s="64" t="n">
        <f aca="false">Pressupostos!$F$350</f>
        <v>1</v>
      </c>
      <c r="G2099" s="64" t="n">
        <f aca="false">Pressupostos!$G$350</f>
        <v>1</v>
      </c>
      <c r="H2099" s="2" t="s">
        <v>1317</v>
      </c>
    </row>
    <row r="2100" customFormat="false" ht="15" hidden="false" customHeight="false" outlineLevel="1" collapsed="false">
      <c r="A2100" s="7" t="s">
        <v>642</v>
      </c>
      <c r="B2100" s="8" t="s">
        <v>432</v>
      </c>
      <c r="C2100" s="64" t="n">
        <f aca="false">Pressupostos!$C$356</f>
        <v>0.5</v>
      </c>
      <c r="D2100" s="64" t="n">
        <f aca="false">Pressupostos!$D$356</f>
        <v>1</v>
      </c>
      <c r="E2100" s="64" t="n">
        <f aca="false">Pressupostos!$E$356</f>
        <v>1</v>
      </c>
      <c r="F2100" s="64" t="n">
        <f aca="false">Pressupostos!$F$356</f>
        <v>1</v>
      </c>
      <c r="G2100" s="64" t="n">
        <f aca="false">Pressupostos!$G$356</f>
        <v>1</v>
      </c>
      <c r="H2100" s="2" t="s">
        <v>1318</v>
      </c>
    </row>
    <row r="2101" customFormat="false" ht="15" hidden="false" customHeight="false" outlineLevel="1" collapsed="false">
      <c r="A2101" s="7" t="s">
        <v>643</v>
      </c>
      <c r="B2101" s="8" t="s">
        <v>432</v>
      </c>
      <c r="C2101" s="64" t="n">
        <f aca="false">Pressupostos!$C$362</f>
        <v>1</v>
      </c>
      <c r="D2101" s="64" t="n">
        <f aca="false">Pressupostos!$D$362</f>
        <v>1</v>
      </c>
      <c r="E2101" s="64" t="n">
        <f aca="false">Pressupostos!$E$362</f>
        <v>1</v>
      </c>
      <c r="F2101" s="64" t="n">
        <f aca="false">Pressupostos!$F$362</f>
        <v>2</v>
      </c>
      <c r="G2101" s="64" t="n">
        <f aca="false">Pressupostos!$G$362</f>
        <v>2</v>
      </c>
      <c r="H2101" s="2" t="s">
        <v>1319</v>
      </c>
    </row>
    <row r="2102" customFormat="false" ht="15" hidden="false" customHeight="false" outlineLevel="1" collapsed="false">
      <c r="A2102" s="7" t="s">
        <v>644</v>
      </c>
      <c r="B2102" s="8" t="s">
        <v>432</v>
      </c>
      <c r="C2102" s="64" t="n">
        <f aca="false">Pressupostos!$C$368</f>
        <v>0.5</v>
      </c>
      <c r="D2102" s="64" t="n">
        <f aca="false">Pressupostos!$D$368</f>
        <v>1</v>
      </c>
      <c r="E2102" s="64" t="n">
        <f aca="false">Pressupostos!$E$368</f>
        <v>1</v>
      </c>
      <c r="F2102" s="64" t="n">
        <f aca="false">Pressupostos!$F$368</f>
        <v>1</v>
      </c>
      <c r="G2102" s="64" t="n">
        <f aca="false">Pressupostos!$G$368</f>
        <v>1</v>
      </c>
      <c r="H2102" s="2" t="s">
        <v>1320</v>
      </c>
    </row>
    <row r="2103" customFormat="false" ht="15" hidden="false" customHeight="false" outlineLevel="1" collapsed="false">
      <c r="A2103" s="7" t="s">
        <v>645</v>
      </c>
      <c r="B2103" s="8" t="s">
        <v>432</v>
      </c>
      <c r="C2103" s="64" t="n">
        <f aca="false">Pressupostos!$C$374</f>
        <v>1</v>
      </c>
      <c r="D2103" s="64" t="n">
        <f aca="false">Pressupostos!$D$374</f>
        <v>1</v>
      </c>
      <c r="E2103" s="64" t="n">
        <f aca="false">Pressupostos!$E$374</f>
        <v>2</v>
      </c>
      <c r="F2103" s="64" t="n">
        <f aca="false">Pressupostos!$F$374</f>
        <v>3</v>
      </c>
      <c r="G2103" s="64" t="n">
        <f aca="false">Pressupostos!$G$374</f>
        <v>5</v>
      </c>
      <c r="H2103" s="2" t="s">
        <v>1321</v>
      </c>
    </row>
    <row r="2104" customFormat="false" ht="15" hidden="false" customHeight="false" outlineLevel="1" collapsed="false">
      <c r="A2104" s="7" t="s">
        <v>646</v>
      </c>
      <c r="B2104" s="8" t="s">
        <v>432</v>
      </c>
      <c r="C2104" s="64" t="n">
        <f aca="false">Pressupostos!$C$380</f>
        <v>0</v>
      </c>
      <c r="D2104" s="64" t="n">
        <f aca="false">Pressupostos!$D$380</f>
        <v>0</v>
      </c>
      <c r="E2104" s="64" t="n">
        <f aca="false">Pressupostos!$E$380</f>
        <v>0</v>
      </c>
      <c r="F2104" s="64" t="n">
        <f aca="false">Pressupostos!$F$380</f>
        <v>1</v>
      </c>
      <c r="G2104" s="64" t="n">
        <f aca="false">Pressupostos!$G$380</f>
        <v>1</v>
      </c>
      <c r="H2104" s="2" t="s">
        <v>1322</v>
      </c>
    </row>
    <row r="2105" customFormat="false" ht="15" hidden="false" customHeight="false" outlineLevel="1" collapsed="false">
      <c r="A2105" s="7" t="s">
        <v>647</v>
      </c>
      <c r="B2105" s="8" t="s">
        <v>432</v>
      </c>
      <c r="C2105" s="64" t="n">
        <f aca="false">Pressupostos!$C$386</f>
        <v>0</v>
      </c>
      <c r="D2105" s="64" t="n">
        <f aca="false">Pressupostos!$D$386</f>
        <v>0</v>
      </c>
      <c r="E2105" s="64" t="n">
        <f aca="false">Pressupostos!$E$386</f>
        <v>0</v>
      </c>
      <c r="F2105" s="64" t="n">
        <f aca="false">Pressupostos!$F$386</f>
        <v>0</v>
      </c>
      <c r="G2105" s="64" t="n">
        <f aca="false">Pressupostos!$G$386</f>
        <v>1</v>
      </c>
      <c r="H2105" s="2" t="s">
        <v>1323</v>
      </c>
    </row>
    <row r="2106" customFormat="false" ht="15" hidden="false" customHeight="false" outlineLevel="1" collapsed="false">
      <c r="A2106" s="7" t="s">
        <v>648</v>
      </c>
      <c r="B2106" s="8" t="s">
        <v>432</v>
      </c>
      <c r="C2106" s="64" t="n">
        <f aca="false">Pressupostos!$C$392</f>
        <v>0</v>
      </c>
      <c r="D2106" s="64" t="n">
        <f aca="false">Pressupostos!$D$392</f>
        <v>0</v>
      </c>
      <c r="E2106" s="64" t="n">
        <f aca="false">Pressupostos!$E$392</f>
        <v>1</v>
      </c>
      <c r="F2106" s="64" t="n">
        <f aca="false">Pressupostos!$F$392</f>
        <v>1</v>
      </c>
      <c r="G2106" s="64" t="n">
        <f aca="false">Pressupostos!$G$392</f>
        <v>1</v>
      </c>
      <c r="H2106" s="2" t="s">
        <v>1324</v>
      </c>
    </row>
    <row r="2107" customFormat="false" ht="15" hidden="false" customHeight="false" outlineLevel="1" collapsed="false">
      <c r="A2107" s="7" t="s">
        <v>649</v>
      </c>
      <c r="B2107" s="8" t="s">
        <v>432</v>
      </c>
      <c r="C2107" s="64" t="n">
        <f aca="false">Pressupostos!$C$398</f>
        <v>0</v>
      </c>
      <c r="D2107" s="64" t="n">
        <f aca="false">Pressupostos!$D$398</f>
        <v>0</v>
      </c>
      <c r="E2107" s="64" t="n">
        <f aca="false">Pressupostos!$E$398</f>
        <v>0</v>
      </c>
      <c r="F2107" s="64" t="n">
        <f aca="false">Pressupostos!$F$398</f>
        <v>0</v>
      </c>
      <c r="G2107" s="64" t="n">
        <f aca="false">Pressupostos!$G$398</f>
        <v>0</v>
      </c>
      <c r="H2107" s="2" t="s">
        <v>1325</v>
      </c>
    </row>
    <row r="2108" customFormat="false" ht="15" hidden="false" customHeight="false" outlineLevel="1" collapsed="false">
      <c r="A2108" s="56" t="s">
        <v>650</v>
      </c>
      <c r="B2108" s="57" t="s">
        <v>432</v>
      </c>
      <c r="C2108" s="65" t="n">
        <f aca="false">C2096+C2097+C2098+C2099+C2100+C2101+C2102+C2103+C2104+C2105+C2106+C2107</f>
        <v>7</v>
      </c>
      <c r="D2108" s="65" t="n">
        <f aca="false">D2096+D2097+D2098+D2099+D2100+D2101+D2102+D2103+D2104+D2105+D2106+D2107</f>
        <v>8</v>
      </c>
      <c r="E2108" s="65" t="n">
        <f aca="false">E2096+E2097+E2098+E2099+E2100+E2101+E2102+E2103+E2104+E2105+E2106+E2107</f>
        <v>11</v>
      </c>
      <c r="F2108" s="65" t="n">
        <f aca="false">F2096+F2097+F2098+F2099+F2100+F2101+F2102+F2103+F2104+F2105+F2106+F2107</f>
        <v>14</v>
      </c>
      <c r="G2108" s="65" t="n">
        <f aca="false">G2096+G2097+G2098+G2099+G2100+G2101+G2102+G2103+G2104+G2105+G2106+G2107</f>
        <v>17</v>
      </c>
      <c r="H2108" s="2" t="s">
        <v>1326</v>
      </c>
    </row>
    <row r="2109" customFormat="false" ht="15" hidden="false" customHeight="false" outlineLevel="0" collapsed="false">
      <c r="A2109" s="3" t="s">
        <v>1327</v>
      </c>
      <c r="B2109" s="4"/>
      <c r="C2109" s="4"/>
      <c r="D2109" s="4"/>
      <c r="E2109" s="4"/>
      <c r="F2109" s="4"/>
      <c r="G2109" s="4"/>
      <c r="H2109" s="4"/>
    </row>
    <row r="2110" customFormat="false" ht="15" hidden="false" customHeight="false" outlineLevel="1" collapsed="false">
      <c r="A2110" s="7" t="s">
        <v>638</v>
      </c>
      <c r="B2110" s="8" t="s">
        <v>11</v>
      </c>
      <c r="C2110" s="61" t="n">
        <f aca="false">C2096*Pressupostos!$C$131*(1+Pressupostos!$C$127)^0*(1+Pressupostos!$C$132)*Pressupostos!$C$128</f>
        <v>43998</v>
      </c>
      <c r="D2110" s="61" t="n">
        <f aca="false">D2096*Pressupostos!$C$131*(1+Pressupostos!$C$127)^1*(1+Pressupostos!$C$132)</f>
        <v>61800</v>
      </c>
      <c r="E2110" s="61" t="n">
        <f aca="false">E2096*Pressupostos!$C$131*(1+Pressupostos!$C$127)^2*(1+Pressupostos!$C$132)</f>
        <v>63654</v>
      </c>
      <c r="F2110" s="61" t="n">
        <f aca="false">F2096*Pressupostos!$C$131*(1+Pressupostos!$C$127)^3*(1+Pressupostos!$C$132)</f>
        <v>65563.62</v>
      </c>
      <c r="G2110" s="61" t="n">
        <f aca="false">G2096*Pressupostos!$C$131*(1+Pressupostos!$C$127)^4*(1+Pressupostos!$C$132)</f>
        <v>67530.5286</v>
      </c>
      <c r="H2110" s="2" t="s">
        <v>1328</v>
      </c>
    </row>
    <row r="2111" customFormat="false" ht="15" hidden="false" customHeight="false" outlineLevel="1" collapsed="false">
      <c r="A2111" s="7" t="s">
        <v>639</v>
      </c>
      <c r="B2111" s="8" t="s">
        <v>11</v>
      </c>
      <c r="C2111" s="61" t="n">
        <f aca="false">C2097*Pressupostos!$C$133*(1+Pressupostos!$C$127)^0*(1+Pressupostos!$C$134)*Pressupostos!$C$128</f>
        <v>47664.5</v>
      </c>
      <c r="D2111" s="61" t="n">
        <f aca="false">D2097*Pressupostos!$C$133*(1+Pressupostos!$C$127)^1*(1+Pressupostos!$C$134)</f>
        <v>66950</v>
      </c>
      <c r="E2111" s="61" t="n">
        <f aca="false">E2097*Pressupostos!$C$133*(1+Pressupostos!$C$127)^2*(1+Pressupostos!$C$134)</f>
        <v>68958.5</v>
      </c>
      <c r="F2111" s="61" t="n">
        <f aca="false">F2097*Pressupostos!$C$133*(1+Pressupostos!$C$127)^3*(1+Pressupostos!$C$134)</f>
        <v>71027.255</v>
      </c>
      <c r="G2111" s="61" t="n">
        <f aca="false">G2097*Pressupostos!$C$133*(1+Pressupostos!$C$127)^4*(1+Pressupostos!$C$134)</f>
        <v>73158.07265</v>
      </c>
      <c r="H2111" s="2" t="s">
        <v>1329</v>
      </c>
    </row>
    <row r="2112" customFormat="false" ht="15" hidden="false" customHeight="false" outlineLevel="1" collapsed="false">
      <c r="A2112" s="7" t="s">
        <v>640</v>
      </c>
      <c r="B2112" s="8" t="s">
        <v>11</v>
      </c>
      <c r="C2112" s="61" t="n">
        <f aca="false">C2098*Pressupostos!$C$135*(1+Pressupostos!$C$127)^0*(1+Pressupostos!$C$136)</f>
        <v>45000</v>
      </c>
      <c r="D2112" s="61" t="n">
        <f aca="false">D2098*Pressupostos!$C$135*(1+Pressupostos!$C$127)^1*(1+Pressupostos!$C$136)</f>
        <v>46350</v>
      </c>
      <c r="E2112" s="61" t="n">
        <f aca="false">E2098*Pressupostos!$C$135*(1+Pressupostos!$C$127)^2*(1+Pressupostos!$C$136)</f>
        <v>95481</v>
      </c>
      <c r="F2112" s="61" t="n">
        <f aca="false">F2098*Pressupostos!$C$135*(1+Pressupostos!$C$127)^3*(1+Pressupostos!$C$136)</f>
        <v>98345.43</v>
      </c>
      <c r="G2112" s="61" t="n">
        <f aca="false">G2098*Pressupostos!$C$135*(1+Pressupostos!$C$127)^4*(1+Pressupostos!$C$136)</f>
        <v>101295.7929</v>
      </c>
      <c r="H2112" s="2" t="s">
        <v>1330</v>
      </c>
    </row>
    <row r="2113" customFormat="false" ht="15" hidden="false" customHeight="false" outlineLevel="1" collapsed="false">
      <c r="A2113" s="7" t="s">
        <v>641</v>
      </c>
      <c r="B2113" s="8" t="s">
        <v>11</v>
      </c>
      <c r="C2113" s="61" t="n">
        <f aca="false">C2099*Pressupostos!$C$137*(1+Pressupostos!$C$127)^0*(1+Pressupostos!$C$138)</f>
        <v>60000</v>
      </c>
      <c r="D2113" s="61" t="n">
        <f aca="false">D2099*Pressupostos!$C$137*(1+Pressupostos!$C$127)^1*(1+Pressupostos!$C$138)</f>
        <v>61800</v>
      </c>
      <c r="E2113" s="61" t="n">
        <f aca="false">E2099*Pressupostos!$C$137*(1+Pressupostos!$C$127)^2*(1+Pressupostos!$C$138)</f>
        <v>63654</v>
      </c>
      <c r="F2113" s="61" t="n">
        <f aca="false">F2099*Pressupostos!$C$137*(1+Pressupostos!$C$127)^3*(1+Pressupostos!$C$138)</f>
        <v>65563.62</v>
      </c>
      <c r="G2113" s="61" t="n">
        <f aca="false">G2099*Pressupostos!$C$137*(1+Pressupostos!$C$127)^4*(1+Pressupostos!$C$138)</f>
        <v>67530.5286</v>
      </c>
      <c r="H2113" s="2" t="s">
        <v>1331</v>
      </c>
    </row>
    <row r="2114" customFormat="false" ht="15" hidden="false" customHeight="false" outlineLevel="1" collapsed="false">
      <c r="A2114" s="7" t="s">
        <v>642</v>
      </c>
      <c r="B2114" s="8" t="s">
        <v>11</v>
      </c>
      <c r="C2114" s="61" t="n">
        <f aca="false">C2100*Pressupostos!$C$139*(1+Pressupostos!$C$127)^0*(1+Pressupostos!$C$140)</f>
        <v>22500</v>
      </c>
      <c r="D2114" s="61" t="n">
        <f aca="false">D2100*Pressupostos!$C$139*(1+Pressupostos!$C$127)^1*(1+Pressupostos!$C$140)</f>
        <v>46350</v>
      </c>
      <c r="E2114" s="61" t="n">
        <f aca="false">E2100*Pressupostos!$C$139*(1+Pressupostos!$C$127)^2*(1+Pressupostos!$C$140)</f>
        <v>47740.5</v>
      </c>
      <c r="F2114" s="61" t="n">
        <f aca="false">F2100*Pressupostos!$C$139*(1+Pressupostos!$C$127)^3*(1+Pressupostos!$C$140)</f>
        <v>49172.715</v>
      </c>
      <c r="G2114" s="61" t="n">
        <f aca="false">G2100*Pressupostos!$C$139*(1+Pressupostos!$C$127)^4*(1+Pressupostos!$C$140)</f>
        <v>50647.89645</v>
      </c>
      <c r="H2114" s="2" t="s">
        <v>1332</v>
      </c>
    </row>
    <row r="2115" customFormat="false" ht="15" hidden="false" customHeight="false" outlineLevel="1" collapsed="false">
      <c r="A2115" s="7" t="s">
        <v>643</v>
      </c>
      <c r="B2115" s="8" t="s">
        <v>11</v>
      </c>
      <c r="C2115" s="61" t="n">
        <f aca="false">C2101*Pressupostos!$C$141*(1+Pressupostos!$C$127)^0*(1+Pressupostos!$C$142)</f>
        <v>38000</v>
      </c>
      <c r="D2115" s="61" t="n">
        <f aca="false">D2101*Pressupostos!$C$141*(1+Pressupostos!$C$127)^1*(1+Pressupostos!$C$142)</f>
        <v>39140</v>
      </c>
      <c r="E2115" s="61" t="n">
        <f aca="false">E2101*Pressupostos!$C$141*(1+Pressupostos!$C$127)^2*(1+Pressupostos!$C$142)</f>
        <v>40314.2</v>
      </c>
      <c r="F2115" s="61" t="n">
        <f aca="false">F2101*Pressupostos!$C$141*(1+Pressupostos!$C$127)^3*(1+Pressupostos!$C$142)</f>
        <v>83047.252</v>
      </c>
      <c r="G2115" s="61" t="n">
        <f aca="false">G2101*Pressupostos!$C$141*(1+Pressupostos!$C$127)^4*(1+Pressupostos!$C$142)</f>
        <v>85538.66956</v>
      </c>
      <c r="H2115" s="2" t="s">
        <v>1333</v>
      </c>
    </row>
    <row r="2116" customFormat="false" ht="15" hidden="false" customHeight="false" outlineLevel="1" collapsed="false">
      <c r="A2116" s="7" t="s">
        <v>644</v>
      </c>
      <c r="B2116" s="8" t="s">
        <v>11</v>
      </c>
      <c r="C2116" s="61" t="n">
        <f aca="false">C2102*Pressupostos!$C$143*(1+Pressupostos!$C$127)^0*(1+Pressupostos!$C$144)</f>
        <v>16000</v>
      </c>
      <c r="D2116" s="61" t="n">
        <f aca="false">D2102*Pressupostos!$C$143*(1+Pressupostos!$C$127)^1*(1+Pressupostos!$C$144)</f>
        <v>32960</v>
      </c>
      <c r="E2116" s="61" t="n">
        <f aca="false">E2102*Pressupostos!$C$143*(1+Pressupostos!$C$127)^2*(1+Pressupostos!$C$144)</f>
        <v>33948.8</v>
      </c>
      <c r="F2116" s="61" t="n">
        <f aca="false">F2102*Pressupostos!$C$143*(1+Pressupostos!$C$127)^3*(1+Pressupostos!$C$144)</f>
        <v>34967.264</v>
      </c>
      <c r="G2116" s="61" t="n">
        <f aca="false">G2102*Pressupostos!$C$143*(1+Pressupostos!$C$127)^4*(1+Pressupostos!$C$144)</f>
        <v>36016.28192</v>
      </c>
      <c r="H2116" s="2" t="s">
        <v>1334</v>
      </c>
    </row>
    <row r="2117" customFormat="false" ht="15" hidden="false" customHeight="false" outlineLevel="1" collapsed="false">
      <c r="A2117" s="7" t="s">
        <v>645</v>
      </c>
      <c r="B2117" s="8" t="s">
        <v>11</v>
      </c>
      <c r="C2117" s="61" t="n">
        <f aca="false">C2103*Pressupostos!$C$145*(1+Pressupostos!$C$127)^0*(1+Pressupostos!$C$146)</f>
        <v>34500</v>
      </c>
      <c r="D2117" s="61" t="n">
        <f aca="false">D2103*Pressupostos!$C$145*(1+Pressupostos!$C$127)^1*(1+Pressupostos!$C$146)</f>
        <v>35535</v>
      </c>
      <c r="E2117" s="61" t="n">
        <f aca="false">E2103*Pressupostos!$C$145*(1+Pressupostos!$C$127)^2*(1+Pressupostos!$C$146)</f>
        <v>73202.1</v>
      </c>
      <c r="F2117" s="61" t="n">
        <f aca="false">F2103*Pressupostos!$C$145*(1+Pressupostos!$C$127)^3*(1+Pressupostos!$C$146)</f>
        <v>113097.2445</v>
      </c>
      <c r="G2117" s="61" t="n">
        <f aca="false">G2103*Pressupostos!$C$145*(1+Pressupostos!$C$127)^4*(1+Pressupostos!$C$146)</f>
        <v>194150.269725</v>
      </c>
      <c r="H2117" s="2" t="s">
        <v>1335</v>
      </c>
    </row>
    <row r="2118" customFormat="false" ht="15" hidden="false" customHeight="false" outlineLevel="1" collapsed="false">
      <c r="A2118" s="7" t="s">
        <v>646</v>
      </c>
      <c r="B2118" s="8" t="s">
        <v>11</v>
      </c>
      <c r="C2118" s="61" t="n">
        <f aca="false">C2104*Pressupostos!$C$147*(1+Pressupostos!$C$127)^0*(1+Pressupostos!$C$148)</f>
        <v>0</v>
      </c>
      <c r="D2118" s="61" t="n">
        <f aca="false">D2104*Pressupostos!$C$147*(1+Pressupostos!$C$127)^1*(1+Pressupostos!$C$148)</f>
        <v>0</v>
      </c>
      <c r="E2118" s="61" t="n">
        <f aca="false">E2104*Pressupostos!$C$147*(1+Pressupostos!$C$127)^2*(1+Pressupostos!$C$148)</f>
        <v>0</v>
      </c>
      <c r="F2118" s="61" t="n">
        <f aca="false">F2104*Pressupostos!$C$147*(1+Pressupostos!$C$127)^3*(1+Pressupostos!$C$148)</f>
        <v>49172.715</v>
      </c>
      <c r="G2118" s="61" t="n">
        <f aca="false">G2104*Pressupostos!$C$147*(1+Pressupostos!$C$127)^4*(1+Pressupostos!$C$148)</f>
        <v>50647.89645</v>
      </c>
      <c r="H2118" s="2" t="s">
        <v>1336</v>
      </c>
    </row>
    <row r="2119" customFormat="false" ht="15" hidden="false" customHeight="false" outlineLevel="1" collapsed="false">
      <c r="A2119" s="7" t="s">
        <v>647</v>
      </c>
      <c r="B2119" s="8" t="s">
        <v>11</v>
      </c>
      <c r="C2119" s="61" t="n">
        <f aca="false">C2105*Pressupostos!$C$149*(1+Pressupostos!$C$127)^0*(1+Pressupostos!$C$150)</f>
        <v>0</v>
      </c>
      <c r="D2119" s="61" t="n">
        <f aca="false">D2105*Pressupostos!$C$149*(1+Pressupostos!$C$127)^1*(1+Pressupostos!$C$150)</f>
        <v>0</v>
      </c>
      <c r="E2119" s="61" t="n">
        <f aca="false">E2105*Pressupostos!$C$149*(1+Pressupostos!$C$127)^2*(1+Pressupostos!$C$150)</f>
        <v>0</v>
      </c>
      <c r="F2119" s="61" t="n">
        <f aca="false">F2105*Pressupostos!$C$149*(1+Pressupostos!$C$127)^3*(1+Pressupostos!$C$150)</f>
        <v>0</v>
      </c>
      <c r="G2119" s="61" t="n">
        <f aca="false">G2105*Pressupostos!$C$149*(1+Pressupostos!$C$127)^4*(1+Pressupostos!$C$150)</f>
        <v>45020.3524</v>
      </c>
      <c r="H2119" s="2" t="s">
        <v>1337</v>
      </c>
    </row>
    <row r="2120" customFormat="false" ht="15" hidden="false" customHeight="false" outlineLevel="1" collapsed="false">
      <c r="A2120" s="7" t="s">
        <v>648</v>
      </c>
      <c r="B2120" s="8" t="s">
        <v>11</v>
      </c>
      <c r="C2120" s="61" t="n">
        <f aca="false">C2106*Pressupostos!$C$151*(1+Pressupostos!$C$127)^0*(1+Pressupostos!$C$152)</f>
        <v>0</v>
      </c>
      <c r="D2120" s="61" t="n">
        <f aca="false">D2106*Pressupostos!$C$151*(1+Pressupostos!$C$127)^1*(1+Pressupostos!$C$152)</f>
        <v>0</v>
      </c>
      <c r="E2120" s="61" t="n">
        <f aca="false">E2106*Pressupostos!$C$151*(1+Pressupostos!$C$127)^2*(1+Pressupostos!$C$152)</f>
        <v>25461.6</v>
      </c>
      <c r="F2120" s="61" t="n">
        <f aca="false">F2106*Pressupostos!$C$151*(1+Pressupostos!$C$127)^3*(1+Pressupostos!$C$152)</f>
        <v>26225.448</v>
      </c>
      <c r="G2120" s="61" t="n">
        <f aca="false">G2106*Pressupostos!$C$151*(1+Pressupostos!$C$127)^4*(1+Pressupostos!$C$152)</f>
        <v>27012.21144</v>
      </c>
      <c r="H2120" s="2" t="s">
        <v>1338</v>
      </c>
    </row>
    <row r="2121" customFormat="false" ht="15" hidden="false" customHeight="false" outlineLevel="1" collapsed="false">
      <c r="A2121" s="7" t="s">
        <v>649</v>
      </c>
      <c r="B2121" s="8" t="s">
        <v>11</v>
      </c>
      <c r="C2121" s="61" t="n">
        <f aca="false">C2107*Pressupostos!$C$153*(1+Pressupostos!$C$127)^0*(1+Pressupostos!$C$154)</f>
        <v>0</v>
      </c>
      <c r="D2121" s="61" t="n">
        <f aca="false">D2107*Pressupostos!$C$153*(1+Pressupostos!$C$127)^1*(1+Pressupostos!$C$154)</f>
        <v>0</v>
      </c>
      <c r="E2121" s="61" t="n">
        <f aca="false">E2107*Pressupostos!$C$153*(1+Pressupostos!$C$127)^2*(1+Pressupostos!$C$154)</f>
        <v>0</v>
      </c>
      <c r="F2121" s="61" t="n">
        <f aca="false">F2107*Pressupostos!$C$153*(1+Pressupostos!$C$127)^3*(1+Pressupostos!$C$154)</f>
        <v>0</v>
      </c>
      <c r="G2121" s="61" t="n">
        <f aca="false">G2107*Pressupostos!$C$153*(1+Pressupostos!$C$127)^4*(1+Pressupostos!$C$154)</f>
        <v>0</v>
      </c>
      <c r="H2121" s="2" t="s">
        <v>1339</v>
      </c>
    </row>
    <row r="2122" customFormat="false" ht="15" hidden="false" customHeight="false" outlineLevel="1" collapsed="false">
      <c r="A2122" s="7" t="s">
        <v>652</v>
      </c>
      <c r="B2122" s="8" t="s">
        <v>11</v>
      </c>
      <c r="C2122" s="61" t="n">
        <f aca="false">C2110+C2111+C2112+C2113+C2114+C2115+C2116+C2117+C2118+C2119+C2120+C2121</f>
        <v>307662.5</v>
      </c>
      <c r="D2122" s="61" t="n">
        <f aca="false">D2110+D2111+D2112+D2113+D2114+D2115+D2116+D2117+D2118+D2119+D2120+D2121</f>
        <v>390885</v>
      </c>
      <c r="E2122" s="61" t="n">
        <f aca="false">E2110+E2111+E2112+E2113+E2114+E2115+E2116+E2117+E2118+E2119+E2120+E2121</f>
        <v>512414.7</v>
      </c>
      <c r="F2122" s="61" t="n">
        <f aca="false">F2110+F2111+F2112+F2113+F2114+F2115+F2116+F2117+F2118+F2119+F2120+F2121</f>
        <v>656182.5635</v>
      </c>
      <c r="G2122" s="61" t="n">
        <f aca="false">G2110+G2111+G2112+G2113+G2114+G2115+G2116+G2117+G2118+G2119+G2120+G2121</f>
        <v>798548.500695</v>
      </c>
      <c r="H2122" s="2" t="s">
        <v>1340</v>
      </c>
    </row>
    <row r="2123" customFormat="false" ht="15" hidden="false" customHeight="false" outlineLevel="1" collapsed="false">
      <c r="A2123" s="7" t="s">
        <v>653</v>
      </c>
      <c r="B2123" s="8" t="s">
        <v>11</v>
      </c>
      <c r="C2123" s="61" t="n">
        <f aca="false">C2122*(Pressupostos!$C$124+Pressupostos!$C$125)</f>
        <v>79223.09375</v>
      </c>
      <c r="D2123" s="61" t="n">
        <f aca="false">D2122*(Pressupostos!$C$124+Pressupostos!$C$125)</f>
        <v>100652.8875</v>
      </c>
      <c r="E2123" s="61" t="n">
        <f aca="false">E2122*(Pressupostos!$C$124+Pressupostos!$C$125)</f>
        <v>131946.78525</v>
      </c>
      <c r="F2123" s="61" t="n">
        <f aca="false">F2122*(Pressupostos!$C$124+Pressupostos!$C$125)</f>
        <v>168967.01010125</v>
      </c>
      <c r="G2123" s="61" t="n">
        <f aca="false">G2122*(Pressupostos!$C$124+Pressupostos!$C$125)</f>
        <v>205626.238928963</v>
      </c>
      <c r="H2123" s="2" t="s">
        <v>1341</v>
      </c>
    </row>
    <row r="2124" customFormat="false" ht="15" hidden="false" customHeight="false" outlineLevel="1" collapsed="false">
      <c r="A2124" s="7" t="s">
        <v>654</v>
      </c>
      <c r="B2124" s="8" t="s">
        <v>11</v>
      </c>
      <c r="C2124" s="61" t="n">
        <f aca="false">C2108*Pressupostos!$C$126*(1+Pressupostos!$C$127)^0</f>
        <v>14000</v>
      </c>
      <c r="D2124" s="61" t="n">
        <f aca="false">D2108*Pressupostos!$C$126*(1+Pressupostos!$C$127)^1</f>
        <v>16480</v>
      </c>
      <c r="E2124" s="61" t="n">
        <f aca="false">E2108*Pressupostos!$C$126*(1+Pressupostos!$C$127)^2</f>
        <v>23339.8</v>
      </c>
      <c r="F2124" s="61" t="n">
        <f aca="false">F2108*Pressupostos!$C$126*(1+Pressupostos!$C$127)^3</f>
        <v>30596.356</v>
      </c>
      <c r="G2124" s="61" t="n">
        <f aca="false">G2108*Pressupostos!$C$126*(1+Pressupostos!$C$127)^4</f>
        <v>38267.29954</v>
      </c>
      <c r="H2124" s="2" t="s">
        <v>1342</v>
      </c>
    </row>
    <row r="2125" customFormat="false" ht="15" hidden="false" customHeight="false" outlineLevel="1" collapsed="false">
      <c r="A2125" s="56" t="s">
        <v>655</v>
      </c>
      <c r="B2125" s="57" t="s">
        <v>11</v>
      </c>
      <c r="C2125" s="62" t="n">
        <f aca="false">C2122+C2123+C2124</f>
        <v>400885.59375</v>
      </c>
      <c r="D2125" s="62" t="n">
        <f aca="false">D2122+D2123+D2124</f>
        <v>508017.8875</v>
      </c>
      <c r="E2125" s="62" t="n">
        <f aca="false">E2122+E2123+E2124</f>
        <v>667701.28525</v>
      </c>
      <c r="F2125" s="62" t="n">
        <f aca="false">F2122+F2123+F2124</f>
        <v>855745.92960125</v>
      </c>
      <c r="G2125" s="62" t="n">
        <f aca="false">G2122+G2123+G2124</f>
        <v>1042442.03916396</v>
      </c>
      <c r="H2125" s="2" t="s">
        <v>1343</v>
      </c>
    </row>
    <row r="2126" customFormat="false" ht="15" hidden="false" customHeight="false" outlineLevel="1" collapsed="false">
      <c r="A2126" s="2" t="s">
        <v>656</v>
      </c>
      <c r="B2126" s="8" t="s">
        <v>11</v>
      </c>
      <c r="C2126" s="61" t="n">
        <f aca="false">IF(C2108&gt;0,C2125/C2108,0)</f>
        <v>57269.3705357143</v>
      </c>
      <c r="D2126" s="61" t="n">
        <f aca="false">IF(D2108&gt;0,D2125/D2108,0)</f>
        <v>63502.2359375</v>
      </c>
      <c r="E2126" s="61" t="n">
        <f aca="false">IF(E2108&gt;0,E2125/E2108,0)</f>
        <v>60700.1168409091</v>
      </c>
      <c r="F2126" s="61" t="n">
        <f aca="false">IF(F2108&gt;0,F2125/F2108,0)</f>
        <v>61124.7092572321</v>
      </c>
      <c r="G2126" s="61" t="n">
        <f aca="false">IF(G2108&gt;0,G2125/G2108,0)</f>
        <v>61320.1199508213</v>
      </c>
      <c r="H2126" s="2" t="s">
        <v>1344</v>
      </c>
    </row>
    <row r="2127" customFormat="false" ht="15" hidden="false" customHeight="false" outlineLevel="0" collapsed="false">
      <c r="A2127" s="3" t="s">
        <v>1345</v>
      </c>
      <c r="B2127" s="4"/>
      <c r="C2127" s="4"/>
      <c r="D2127" s="4"/>
      <c r="E2127" s="4"/>
      <c r="F2127" s="4"/>
      <c r="G2127" s="4"/>
      <c r="H2127" s="4"/>
    </row>
    <row r="2128" customFormat="false" ht="15" hidden="false" customHeight="false" outlineLevel="1" collapsed="false">
      <c r="A2128" s="7" t="s">
        <v>449</v>
      </c>
      <c r="B2128" s="8" t="s">
        <v>11</v>
      </c>
      <c r="C2128" s="61" t="n">
        <f aca="false">Pressupostos!$C$405*(1+Pressupostos!$C$156)*(1+Pressupostos!$C$157)^0</f>
        <v>94500</v>
      </c>
      <c r="D2128" s="61" t="n">
        <f aca="false">Pressupostos!$D$405*(1+Pressupostos!$C$156)*(1+Pressupostos!$C$157)^1</f>
        <v>53550</v>
      </c>
      <c r="E2128" s="61" t="n">
        <f aca="false">Pressupostos!$E$405*(1+Pressupostos!$C$156)*(1+Pressupostos!$C$157)^2</f>
        <v>49158.9</v>
      </c>
      <c r="F2128" s="61" t="n">
        <f aca="false">Pressupostos!$F$405*(1+Pressupostos!$C$156)*(1+Pressupostos!$C$157)^3</f>
        <v>50142.078</v>
      </c>
      <c r="G2128" s="61" t="n">
        <f aca="false">Pressupostos!$G$405*(1+Pressupostos!$C$156)*(1+Pressupostos!$C$157)^4</f>
        <v>51144.91956</v>
      </c>
      <c r="H2128" s="2" t="s">
        <v>1346</v>
      </c>
    </row>
    <row r="2129" customFormat="false" ht="15" hidden="false" customHeight="false" outlineLevel="1" collapsed="false">
      <c r="A2129" s="7" t="s">
        <v>451</v>
      </c>
      <c r="B2129" s="8" t="s">
        <v>11</v>
      </c>
      <c r="C2129" s="61" t="n">
        <f aca="false">Pressupostos!$C$411*(1+Pressupostos!$C$156)*(1+Pressupostos!$C$157)^0</f>
        <v>10500</v>
      </c>
      <c r="D2129" s="61" t="n">
        <f aca="false">Pressupostos!$D$411*(1+Pressupostos!$C$156)*(1+Pressupostos!$C$157)^1</f>
        <v>10710</v>
      </c>
      <c r="E2129" s="61" t="n">
        <f aca="false">Pressupostos!$E$411*(1+Pressupostos!$C$156)*(1+Pressupostos!$C$157)^2</f>
        <v>10924.2</v>
      </c>
      <c r="F2129" s="61" t="n">
        <f aca="false">Pressupostos!$F$411*(1+Pressupostos!$C$156)*(1+Pressupostos!$C$157)^3</f>
        <v>11142.684</v>
      </c>
      <c r="G2129" s="61" t="n">
        <f aca="false">Pressupostos!$G$411*(1+Pressupostos!$C$156)*(1+Pressupostos!$C$157)^4</f>
        <v>11365.53768</v>
      </c>
      <c r="H2129" s="2" t="s">
        <v>1347</v>
      </c>
    </row>
    <row r="2130" customFormat="false" ht="15" hidden="false" customHeight="false" outlineLevel="1" collapsed="false">
      <c r="A2130" s="7" t="s">
        <v>452</v>
      </c>
      <c r="B2130" s="8" t="s">
        <v>11</v>
      </c>
      <c r="C2130" s="61" t="n">
        <f aca="false">Pressupostos!$C$417*(1+Pressupostos!$C$156)*(1+Pressupostos!$C$157)^0</f>
        <v>12600</v>
      </c>
      <c r="D2130" s="61" t="n">
        <f aca="false">Pressupostos!$D$417*(1+Pressupostos!$C$156)*(1+Pressupostos!$C$157)^1</f>
        <v>12852</v>
      </c>
      <c r="E2130" s="61" t="n">
        <f aca="false">Pressupostos!$E$417*(1+Pressupostos!$C$156)*(1+Pressupostos!$C$157)^2</f>
        <v>13109.04</v>
      </c>
      <c r="F2130" s="61" t="n">
        <f aca="false">Pressupostos!$F$417*(1+Pressupostos!$C$156)*(1+Pressupostos!$C$157)^3</f>
        <v>0</v>
      </c>
      <c r="G2130" s="61" t="n">
        <f aca="false">Pressupostos!$G$417*(1+Pressupostos!$C$156)*(1+Pressupostos!$C$157)^4</f>
        <v>0</v>
      </c>
      <c r="H2130" s="2" t="s">
        <v>1348</v>
      </c>
    </row>
    <row r="2131" customFormat="false" ht="15" hidden="false" customHeight="false" outlineLevel="1" collapsed="false">
      <c r="A2131" s="7" t="s">
        <v>454</v>
      </c>
      <c r="B2131" s="8" t="s">
        <v>11</v>
      </c>
      <c r="C2131" s="61" t="n">
        <f aca="false">Pressupostos!$C$423*(1+Pressupostos!$C$156)*(1+Pressupostos!$C$157)^0</f>
        <v>31500</v>
      </c>
      <c r="D2131" s="61" t="n">
        <f aca="false">Pressupostos!$D$423*(1+Pressupostos!$C$156)*(1+Pressupostos!$C$157)^1</f>
        <v>42840</v>
      </c>
      <c r="E2131" s="61" t="n">
        <f aca="false">Pressupostos!$E$423*(1+Pressupostos!$C$156)*(1+Pressupostos!$C$157)^2</f>
        <v>60083.1</v>
      </c>
      <c r="F2131" s="61" t="n">
        <f aca="false">Pressupostos!$F$423*(1+Pressupostos!$C$156)*(1+Pressupostos!$C$157)^3</f>
        <v>77998.788</v>
      </c>
      <c r="G2131" s="61" t="n">
        <f aca="false">Pressupostos!$G$423*(1+Pressupostos!$C$156)*(1+Pressupostos!$C$157)^4</f>
        <v>96607.07028</v>
      </c>
      <c r="H2131" s="2" t="s">
        <v>1349</v>
      </c>
    </row>
    <row r="2132" customFormat="false" ht="15" hidden="false" customHeight="false" outlineLevel="1" collapsed="false">
      <c r="A2132" s="7" t="s">
        <v>456</v>
      </c>
      <c r="B2132" s="8" t="s">
        <v>11</v>
      </c>
      <c r="C2132" s="61" t="n">
        <f aca="false">Pressupostos!$C$429*(1+Pressupostos!$C$156)*(1+Pressupostos!$C$157)^0</f>
        <v>15750</v>
      </c>
      <c r="D2132" s="61" t="n">
        <f aca="false">Pressupostos!$D$429*(1+Pressupostos!$C$156)*(1+Pressupostos!$C$157)^1</f>
        <v>16065</v>
      </c>
      <c r="E2132" s="61" t="n">
        <f aca="false">Pressupostos!$E$429*(1+Pressupostos!$C$156)*(1+Pressupostos!$C$157)^2</f>
        <v>38234.7</v>
      </c>
      <c r="F2132" s="61" t="n">
        <f aca="false">Pressupostos!$F$429*(1+Pressupostos!$C$156)*(1+Pressupostos!$C$157)^3</f>
        <v>22285.368</v>
      </c>
      <c r="G2132" s="61" t="n">
        <f aca="false">Pressupostos!$G$429*(1+Pressupostos!$C$156)*(1+Pressupostos!$C$157)^4</f>
        <v>22731.07536</v>
      </c>
      <c r="H2132" s="2" t="s">
        <v>1350</v>
      </c>
    </row>
    <row r="2133" customFormat="false" ht="15" hidden="false" customHeight="false" outlineLevel="1" collapsed="false">
      <c r="A2133" s="7" t="s">
        <v>458</v>
      </c>
      <c r="B2133" s="8" t="s">
        <v>11</v>
      </c>
      <c r="C2133" s="61" t="n">
        <f aca="false">Pressupostos!$C$435*(1+Pressupostos!$C$156)*(1+Pressupostos!$C$157)^0</f>
        <v>10500</v>
      </c>
      <c r="D2133" s="61" t="n">
        <f aca="false">Pressupostos!$D$435*(1+Pressupostos!$C$156)*(1+Pressupostos!$C$157)^1</f>
        <v>12852</v>
      </c>
      <c r="E2133" s="61" t="n">
        <f aca="false">Pressupostos!$E$435*(1+Pressupostos!$C$156)*(1+Pressupostos!$C$157)^2</f>
        <v>16386.3</v>
      </c>
      <c r="F2133" s="61" t="n">
        <f aca="false">Pressupostos!$F$435*(1+Pressupostos!$C$156)*(1+Pressupostos!$C$157)^3</f>
        <v>20056.8312</v>
      </c>
      <c r="G2133" s="61" t="n">
        <f aca="false">Pressupostos!$G$435*(1+Pressupostos!$C$156)*(1+Pressupostos!$C$157)^4</f>
        <v>22731.07536</v>
      </c>
      <c r="H2133" s="2" t="s">
        <v>1351</v>
      </c>
    </row>
    <row r="2134" customFormat="false" ht="15" hidden="false" customHeight="false" outlineLevel="1" collapsed="false">
      <c r="A2134" s="7" t="s">
        <v>459</v>
      </c>
      <c r="B2134" s="8" t="s">
        <v>11</v>
      </c>
      <c r="C2134" s="61" t="n">
        <f aca="false">Pressupostos!$C$441*(1+Pressupostos!$C$156)*(1+Pressupostos!$C$157)^0</f>
        <v>42000</v>
      </c>
      <c r="D2134" s="61" t="n">
        <f aca="false">Pressupostos!$D$441*(1+Pressupostos!$C$156)*(1+Pressupostos!$C$157)^1</f>
        <v>53550</v>
      </c>
      <c r="E2134" s="61" t="n">
        <f aca="false">Pressupostos!$E$441*(1+Pressupostos!$C$156)*(1+Pressupostos!$C$157)^2</f>
        <v>76469.4</v>
      </c>
      <c r="F2134" s="61" t="n">
        <f aca="false">Pressupostos!$F$441*(1+Pressupostos!$C$156)*(1+Pressupostos!$C$157)^3</f>
        <v>100284.156</v>
      </c>
      <c r="G2134" s="61" t="n">
        <f aca="false">Pressupostos!$G$441*(1+Pressupostos!$C$156)*(1+Pressupostos!$C$157)^4</f>
        <v>125020.91448</v>
      </c>
      <c r="H2134" s="2" t="s">
        <v>1352</v>
      </c>
    </row>
    <row r="2135" customFormat="false" ht="15" hidden="false" customHeight="false" outlineLevel="1" collapsed="false">
      <c r="A2135" s="7" t="s">
        <v>461</v>
      </c>
      <c r="B2135" s="8" t="s">
        <v>11</v>
      </c>
      <c r="C2135" s="61" t="n">
        <f aca="false">Pressupostos!$C$447*(1+Pressupostos!$C$156)*(1+Pressupostos!$C$157)^0</f>
        <v>12600</v>
      </c>
      <c r="D2135" s="61" t="n">
        <f aca="false">Pressupostos!$D$447*(1+Pressupostos!$C$156)*(1+Pressupostos!$C$157)^1</f>
        <v>16065</v>
      </c>
      <c r="E2135" s="61" t="n">
        <f aca="false">Pressupostos!$E$447*(1+Pressupostos!$C$156)*(1+Pressupostos!$C$157)^2</f>
        <v>26218.08</v>
      </c>
      <c r="F2135" s="61" t="n">
        <f aca="false">Pressupostos!$F$447*(1+Pressupostos!$C$156)*(1+Pressupostos!$C$157)^3</f>
        <v>33428.052</v>
      </c>
      <c r="G2135" s="61" t="n">
        <f aca="false">Pressupostos!$G$447*(1+Pressupostos!$C$156)*(1+Pressupostos!$C$157)^4</f>
        <v>40915.935648</v>
      </c>
      <c r="H2135" s="2" t="s">
        <v>1353</v>
      </c>
    </row>
    <row r="2136" customFormat="false" ht="15" hidden="false" customHeight="false" outlineLevel="1" collapsed="false">
      <c r="A2136" s="7" t="s">
        <v>463</v>
      </c>
      <c r="B2136" s="8" t="s">
        <v>11</v>
      </c>
      <c r="C2136" s="61" t="n">
        <f aca="false">Pressupostos!$C$453*(1+Pressupostos!$C$156)*(1+Pressupostos!$C$157)^0</f>
        <v>18900</v>
      </c>
      <c r="D2136" s="61" t="n">
        <f aca="false">Pressupostos!$D$453*(1+Pressupostos!$C$156)*(1+Pressupostos!$C$157)^1</f>
        <v>23562</v>
      </c>
      <c r="E2136" s="61" t="n">
        <f aca="false">Pressupostos!$E$453*(1+Pressupostos!$C$156)*(1+Pressupostos!$C$157)^2</f>
        <v>32772.6</v>
      </c>
      <c r="F2136" s="61" t="n">
        <f aca="false">Pressupostos!$F$453*(1+Pressupostos!$C$156)*(1+Pressupostos!$C$157)^3</f>
        <v>42342.1992</v>
      </c>
      <c r="G2136" s="61" t="n">
        <f aca="false">Pressupostos!$G$453*(1+Pressupostos!$C$156)*(1+Pressupostos!$C$157)^4</f>
        <v>51144.91956</v>
      </c>
      <c r="H2136" s="2" t="s">
        <v>1354</v>
      </c>
    </row>
    <row r="2137" customFormat="false" ht="15" hidden="false" customHeight="false" outlineLevel="1" collapsed="false">
      <c r="A2137" s="7" t="s">
        <v>464</v>
      </c>
      <c r="B2137" s="8" t="s">
        <v>11</v>
      </c>
      <c r="C2137" s="61" t="n">
        <f aca="false">Pressupostos!$C$459*(1+Pressupostos!$C$156)*(1+Pressupostos!$C$157)^0</f>
        <v>5250</v>
      </c>
      <c r="D2137" s="61" t="n">
        <f aca="false">Pressupostos!$D$459*(1+Pressupostos!$C$156)*(1+Pressupostos!$C$157)^1</f>
        <v>8568</v>
      </c>
      <c r="E2137" s="61" t="n">
        <f aca="false">Pressupostos!$E$459*(1+Pressupostos!$C$156)*(1+Pressupostos!$C$157)^2</f>
        <v>13109.04</v>
      </c>
      <c r="F2137" s="61" t="n">
        <f aca="false">Pressupostos!$F$459*(1+Pressupostos!$C$156)*(1+Pressupostos!$C$157)^3</f>
        <v>16714.026</v>
      </c>
      <c r="G2137" s="61" t="n">
        <f aca="false">Pressupostos!$G$459*(1+Pressupostos!$C$156)*(1+Pressupostos!$C$157)^4</f>
        <v>17048.30652</v>
      </c>
      <c r="H2137" s="2" t="s">
        <v>1355</v>
      </c>
    </row>
    <row r="2138" customFormat="false" ht="15" hidden="false" customHeight="false" outlineLevel="1" collapsed="false">
      <c r="A2138" s="7" t="s">
        <v>701</v>
      </c>
      <c r="B2138" s="8" t="s">
        <v>11</v>
      </c>
      <c r="C2138" s="61" t="n">
        <f aca="false">C2128+C2129+C2130+C2131+C2132+C2133+C2134+C2135+C2136+C2137</f>
        <v>254100</v>
      </c>
      <c r="D2138" s="61" t="n">
        <f aca="false">D2128+D2129+D2130+D2131+D2132+D2133+D2134+D2135+D2136+D2137</f>
        <v>250614</v>
      </c>
      <c r="E2138" s="61" t="n">
        <f aca="false">E2128+E2129+E2130+E2131+E2132+E2133+E2134+E2135+E2136+E2137</f>
        <v>336465.36</v>
      </c>
      <c r="F2138" s="61" t="n">
        <f aca="false">F2128+F2129+F2130+F2131+F2132+F2133+F2134+F2135+F2136+F2137</f>
        <v>374394.1824</v>
      </c>
      <c r="G2138" s="61" t="n">
        <f aca="false">G2128+G2129+G2130+G2131+G2132+G2133+G2134+G2135+G2136+G2137</f>
        <v>438709.754448</v>
      </c>
      <c r="H2138" s="2" t="s">
        <v>1356</v>
      </c>
    </row>
    <row r="2139" customFormat="false" ht="15" hidden="false" customHeight="false" outlineLevel="1" collapsed="false">
      <c r="A2139" s="7" t="s">
        <v>702</v>
      </c>
      <c r="B2139" s="8" t="s">
        <v>11</v>
      </c>
      <c r="C2139" s="61" t="n">
        <f aca="false">Pressupostos!$C$114+Pressupostos!$C$115+Pressupostos!$C$116*Pressupostos!$C$294+Pressupostos!$C$466+Pressupostos!$C$306</f>
        <v>65000</v>
      </c>
      <c r="D2139" s="61" t="n">
        <f aca="false">Pressupostos!$C$115+Pressupostos!$C$116*Pressupostos!$D$294+Pressupostos!$D$466+Pressupostos!$D$306</f>
        <v>65000</v>
      </c>
      <c r="E2139" s="61" t="n">
        <f aca="false">Pressupostos!$C$115+Pressupostos!$C$116*Pressupostos!$E$294+Pressupostos!$E$466+Pressupostos!$E$306</f>
        <v>70000</v>
      </c>
      <c r="F2139" s="61" t="n">
        <f aca="false">Pressupostos!$C$115+Pressupostos!$C$116*Pressupostos!$F$294+Pressupostos!$F$466+Pressupostos!$F$306</f>
        <v>75000</v>
      </c>
      <c r="G2139" s="61" t="n">
        <f aca="false">Pressupostos!$C$115+Pressupostos!$C$116*Pressupostos!$G$294+Pressupostos!$G$466+Pressupostos!$G$306</f>
        <v>80000</v>
      </c>
      <c r="H2139" s="2" t="s">
        <v>1357</v>
      </c>
    </row>
    <row r="2140" customFormat="false" ht="15" hidden="false" customHeight="false" outlineLevel="1" collapsed="false">
      <c r="A2140" s="7" t="s">
        <v>703</v>
      </c>
      <c r="B2140" s="8" t="s">
        <v>11</v>
      </c>
      <c r="C2140" s="61" t="n">
        <f aca="false">IF(C1952&lt;Pressupostos!$C$120,0,MAX(Pressupostos!$C$300,Pressupostos!$C$118*(C2046+C2047)+Pressupostos!$C$119*C2048))</f>
        <v>0</v>
      </c>
      <c r="D2140" s="61" t="n">
        <f aca="false">IF(D1952&lt;Pressupostos!$C$120,0,MAX(Pressupostos!$D$300,Pressupostos!$C$118*(D2046+D2047)+Pressupostos!$C$119*D2048))</f>
        <v>7026.97</v>
      </c>
      <c r="E2140" s="61" t="n">
        <f aca="false">IF(E1952&lt;Pressupostos!$C$120,0,MAX(Pressupostos!$E$300,Pressupostos!$C$118*(E2046+E2047)+Pressupostos!$C$119*E2048))</f>
        <v>15030.73</v>
      </c>
      <c r="F2140" s="61" t="n">
        <f aca="false">IF(F1952&lt;Pressupostos!$C$120,0,MAX(Pressupostos!$F$300,Pressupostos!$C$118*(F2046+F2047)+Pressupostos!$C$119*F2048))</f>
        <v>25713.27</v>
      </c>
      <c r="G2140" s="61" t="n">
        <f aca="false">IF(G1952&lt;Pressupostos!$C$120,0,MAX(Pressupostos!$G$300,Pressupostos!$C$118*(G2046+G2047)+Pressupostos!$C$119*G2048))</f>
        <v>39022.1</v>
      </c>
      <c r="H2140" s="2" t="s">
        <v>1358</v>
      </c>
    </row>
    <row r="2141" customFormat="false" ht="15" hidden="false" customHeight="false" outlineLevel="1" collapsed="false">
      <c r="A2141" s="56" t="s">
        <v>704</v>
      </c>
      <c r="B2141" s="57" t="s">
        <v>11</v>
      </c>
      <c r="C2141" s="62" t="n">
        <f aca="false">C2138+C2139+C2140</f>
        <v>319100</v>
      </c>
      <c r="D2141" s="62" t="n">
        <f aca="false">D2138+D2139+D2140</f>
        <v>322640.97</v>
      </c>
      <c r="E2141" s="62" t="n">
        <f aca="false">E2138+E2139+E2140</f>
        <v>421496.09</v>
      </c>
      <c r="F2141" s="62" t="n">
        <f aca="false">F2138+F2139+F2140</f>
        <v>475107.4524</v>
      </c>
      <c r="G2141" s="62" t="n">
        <f aca="false">G2138+G2139+G2140</f>
        <v>557731.854448</v>
      </c>
      <c r="H2141" s="2" t="s">
        <v>1359</v>
      </c>
    </row>
    <row r="2142" customFormat="false" ht="15" hidden="false" customHeight="false" outlineLevel="0" collapsed="false">
      <c r="A2142" s="3" t="s">
        <v>1360</v>
      </c>
      <c r="B2142" s="4"/>
      <c r="C2142" s="4"/>
      <c r="D2142" s="4"/>
      <c r="E2142" s="4"/>
      <c r="F2142" s="4"/>
      <c r="G2142" s="4"/>
      <c r="H2142" s="4"/>
    </row>
    <row r="2143" customFormat="false" ht="15" hidden="false" customHeight="false" outlineLevel="1" collapsed="false">
      <c r="A2143" s="7" t="s">
        <v>706</v>
      </c>
      <c r="B2143" s="8" t="s">
        <v>11</v>
      </c>
      <c r="C2143" s="61" t="n">
        <f aca="false">Pressupostos!$C$165*Pressupostos!$C$313</f>
        <v>18000</v>
      </c>
      <c r="D2143" s="61" t="n">
        <f aca="false">Pressupostos!$C$165*Pressupostos!$D$313</f>
        <v>12000</v>
      </c>
      <c r="E2143" s="61" t="n">
        <f aca="false">Pressupostos!$C$165*Pressupostos!$E$313</f>
        <v>12000</v>
      </c>
      <c r="F2143" s="61" t="n">
        <f aca="false">Pressupostos!$C$165*Pressupostos!$F$313</f>
        <v>12000</v>
      </c>
      <c r="G2143" s="61" t="n">
        <f aca="false">Pressupostos!$C$165*Pressupostos!$G$313</f>
        <v>12000</v>
      </c>
      <c r="H2143" s="2" t="s">
        <v>1361</v>
      </c>
    </row>
    <row r="2144" customFormat="false" ht="15" hidden="false" customHeight="false" outlineLevel="1" collapsed="false">
      <c r="A2144" s="7" t="s">
        <v>707</v>
      </c>
      <c r="B2144" s="8" t="s">
        <v>11</v>
      </c>
      <c r="C2144" s="53" t="n">
        <f aca="false">Pressupostos!$C$319</f>
        <v>60000</v>
      </c>
      <c r="D2144" s="53" t="n">
        <f aca="false">Pressupostos!$D$319</f>
        <v>15000</v>
      </c>
      <c r="E2144" s="53" t="n">
        <f aca="false">Pressupostos!$E$319</f>
        <v>15000</v>
      </c>
      <c r="F2144" s="53" t="n">
        <f aca="false">Pressupostos!$F$319</f>
        <v>10000</v>
      </c>
      <c r="G2144" s="53" t="n">
        <f aca="false">Pressupostos!$G$319</f>
        <v>10000</v>
      </c>
      <c r="H2144" s="2" t="s">
        <v>1362</v>
      </c>
    </row>
    <row r="2145" customFormat="false" ht="15" hidden="false" customHeight="false" outlineLevel="1" collapsed="false">
      <c r="A2145" s="7" t="s">
        <v>708</v>
      </c>
      <c r="B2145" s="8" t="s">
        <v>11</v>
      </c>
      <c r="C2145" s="53" t="n">
        <f aca="false">Pressupostos!$C$325</f>
        <v>0</v>
      </c>
      <c r="D2145" s="53" t="n">
        <f aca="false">Pressupostos!$D$325</f>
        <v>15000</v>
      </c>
      <c r="E2145" s="53" t="n">
        <f aca="false">Pressupostos!$E$325</f>
        <v>15000</v>
      </c>
      <c r="F2145" s="53" t="n">
        <f aca="false">Pressupostos!$F$325</f>
        <v>10000</v>
      </c>
      <c r="G2145" s="53" t="n">
        <f aca="false">Pressupostos!$G$325</f>
        <v>10000</v>
      </c>
      <c r="H2145" s="2" t="s">
        <v>1363</v>
      </c>
    </row>
    <row r="2146" customFormat="false" ht="15" hidden="false" customHeight="false" outlineLevel="1" collapsed="false">
      <c r="A2146" s="7" t="s">
        <v>709</v>
      </c>
      <c r="B2146" s="8" t="s">
        <v>11</v>
      </c>
      <c r="C2146" s="61" t="n">
        <f aca="false">Pressupostos!$C$166*MAX(0,C2108)</f>
        <v>14000</v>
      </c>
      <c r="D2146" s="61" t="n">
        <f aca="false">Pressupostos!$C$166*MAX(0,D2108-C2108)</f>
        <v>2000</v>
      </c>
      <c r="E2146" s="61" t="n">
        <f aca="false">Pressupostos!$C$166*MAX(0,E2108-D2108)</f>
        <v>6000</v>
      </c>
      <c r="F2146" s="61" t="n">
        <f aca="false">Pressupostos!$C$166*MAX(0,F2108-E2108)</f>
        <v>6000</v>
      </c>
      <c r="G2146" s="61" t="n">
        <f aca="false">Pressupostos!$C$166*MAX(0,G2108-F2108)</f>
        <v>6000</v>
      </c>
      <c r="H2146" s="2" t="s">
        <v>1364</v>
      </c>
    </row>
    <row r="2147" customFormat="false" ht="15" hidden="false" customHeight="false" outlineLevel="1" collapsed="false">
      <c r="A2147" s="7" t="s">
        <v>424</v>
      </c>
      <c r="B2147" s="8" t="s">
        <v>11</v>
      </c>
      <c r="C2147" s="61" t="n">
        <f aca="false">C2143+C2144+C2145+C2146</f>
        <v>92000</v>
      </c>
      <c r="D2147" s="61" t="n">
        <f aca="false">D2143+D2144+D2145+D2146</f>
        <v>44000</v>
      </c>
      <c r="E2147" s="61" t="n">
        <f aca="false">E2143+E2144+E2145+E2146</f>
        <v>48000</v>
      </c>
      <c r="F2147" s="61" t="n">
        <f aca="false">F2143+F2144+F2145+F2146</f>
        <v>38000</v>
      </c>
      <c r="G2147" s="61" t="n">
        <f aca="false">G2143+G2144+G2145+G2146</f>
        <v>38000</v>
      </c>
      <c r="H2147" s="2" t="s">
        <v>1365</v>
      </c>
    </row>
    <row r="2148" customFormat="false" ht="15" hidden="false" customHeight="false" outlineLevel="1" collapsed="false">
      <c r="A2148" s="7" t="s">
        <v>710</v>
      </c>
      <c r="B2148" s="8" t="s">
        <v>11</v>
      </c>
      <c r="C2148" s="61" t="n">
        <f aca="false">(C2144*((0)&lt;Pressupostos!$C$167))/Pressupostos!$C$167</f>
        <v>20000</v>
      </c>
      <c r="D2148" s="61" t="n">
        <f aca="false">(C2144*((1)&lt;Pressupostos!$C$167)+D2144*((0)&lt;Pressupostos!$C$167))/Pressupostos!$C$167</f>
        <v>25000</v>
      </c>
      <c r="E2148" s="61" t="n">
        <f aca="false">(C2144*((2)&lt;Pressupostos!$C$167)+D2144*((1)&lt;Pressupostos!$C$167)+E2144*((0)&lt;Pressupostos!$C$167))/Pressupostos!$C$167</f>
        <v>30000</v>
      </c>
      <c r="F2148" s="61" t="n">
        <f aca="false">(C2144*((3)&lt;Pressupostos!$C$167)+D2144*((2)&lt;Pressupostos!$C$167)+E2144*((1)&lt;Pressupostos!$C$167)+F2144*((0)&lt;Pressupostos!$C$167))/Pressupostos!$C$167</f>
        <v>13333.3333333333</v>
      </c>
      <c r="G2148" s="61" t="n">
        <f aca="false">(C2144*((4)&lt;Pressupostos!$C$167)+D2144*((3)&lt;Pressupostos!$C$167)+E2144*((2)&lt;Pressupostos!$C$167)+F2144*((1)&lt;Pressupostos!$C$167)+G2144*((0)&lt;Pressupostos!$C$167))/Pressupostos!$C$167</f>
        <v>11666.6666666667</v>
      </c>
      <c r="H2148" s="2" t="s">
        <v>1366</v>
      </c>
    </row>
    <row r="2149" customFormat="false" ht="15" hidden="false" customHeight="false" outlineLevel="1" collapsed="false">
      <c r="A2149" s="7" t="s">
        <v>711</v>
      </c>
      <c r="B2149" s="8" t="s">
        <v>11</v>
      </c>
      <c r="C2149" s="61" t="n">
        <f aca="false">(C2145*((0)&lt;Pressupostos!$C$167))/Pressupostos!$C$167</f>
        <v>0</v>
      </c>
      <c r="D2149" s="61" t="n">
        <f aca="false">(C2145*((1)&lt;Pressupostos!$C$167)+D2145*((0)&lt;Pressupostos!$C$167))/Pressupostos!$C$167</f>
        <v>5000</v>
      </c>
      <c r="E2149" s="61" t="n">
        <f aca="false">(C2145*((2)&lt;Pressupostos!$C$167)+D2145*((1)&lt;Pressupostos!$C$167)+E2145*((0)&lt;Pressupostos!$C$167))/Pressupostos!$C$167</f>
        <v>10000</v>
      </c>
      <c r="F2149" s="61" t="n">
        <f aca="false">(C2145*((3)&lt;Pressupostos!$C$167)+D2145*((2)&lt;Pressupostos!$C$167)+E2145*((1)&lt;Pressupostos!$C$167)+F2145*((0)&lt;Pressupostos!$C$167))/Pressupostos!$C$167</f>
        <v>13333.3333333333</v>
      </c>
      <c r="G2149" s="61" t="n">
        <f aca="false">(C2145*((4)&lt;Pressupostos!$C$167)+D2145*((3)&lt;Pressupostos!$C$167)+E2145*((2)&lt;Pressupostos!$C$167)+F2145*((1)&lt;Pressupostos!$C$167)+G2145*((0)&lt;Pressupostos!$C$167))/Pressupostos!$C$167</f>
        <v>11666.6666666667</v>
      </c>
      <c r="H2149" s="2" t="s">
        <v>1367</v>
      </c>
    </row>
    <row r="2150" customFormat="false" ht="15" hidden="false" customHeight="false" outlineLevel="1" collapsed="false">
      <c r="A2150" s="7" t="s">
        <v>712</v>
      </c>
      <c r="B2150" s="8" t="s">
        <v>11</v>
      </c>
      <c r="C2150" s="61" t="n">
        <f aca="false">(C2143*((0)&lt;Pressupostos!$C$169))/Pressupostos!$C$169</f>
        <v>3600</v>
      </c>
      <c r="D2150" s="61" t="n">
        <f aca="false">(C2143*((1)&lt;Pressupostos!$C$169)+D2143*((0)&lt;Pressupostos!$C$169))/Pressupostos!$C$169</f>
        <v>6000</v>
      </c>
      <c r="E2150" s="61" t="n">
        <f aca="false">(C2143*((2)&lt;Pressupostos!$C$169)+D2143*((1)&lt;Pressupostos!$C$169)+E2143*((0)&lt;Pressupostos!$C$169))/Pressupostos!$C$169</f>
        <v>8400</v>
      </c>
      <c r="F2150" s="61" t="n">
        <f aca="false">(C2143*((3)&lt;Pressupostos!$C$169)+D2143*((2)&lt;Pressupostos!$C$169)+E2143*((1)&lt;Pressupostos!$C$169)+F2143*((0)&lt;Pressupostos!$C$169))/Pressupostos!$C$169</f>
        <v>10800</v>
      </c>
      <c r="G2150" s="61" t="n">
        <f aca="false">(C2143*((4)&lt;Pressupostos!$C$169)+D2143*((3)&lt;Pressupostos!$C$169)+E2143*((2)&lt;Pressupostos!$C$169)+F2143*((1)&lt;Pressupostos!$C$169)+G2143*((0)&lt;Pressupostos!$C$169))/Pressupostos!$C$169</f>
        <v>13200</v>
      </c>
      <c r="H2150" s="2" t="s">
        <v>1368</v>
      </c>
    </row>
    <row r="2151" customFormat="false" ht="15" hidden="false" customHeight="false" outlineLevel="1" collapsed="false">
      <c r="A2151" s="7" t="s">
        <v>713</v>
      </c>
      <c r="B2151" s="8" t="s">
        <v>11</v>
      </c>
      <c r="C2151" s="61" t="n">
        <f aca="false">(C2146*((0)&lt;Pressupostos!$C$168))/Pressupostos!$C$168</f>
        <v>3500</v>
      </c>
      <c r="D2151" s="61" t="n">
        <f aca="false">(C2146*((1)&lt;Pressupostos!$C$168)+D2146*((0)&lt;Pressupostos!$C$168))/Pressupostos!$C$168</f>
        <v>4000</v>
      </c>
      <c r="E2151" s="61" t="n">
        <f aca="false">(C2146*((2)&lt;Pressupostos!$C$168)+D2146*((1)&lt;Pressupostos!$C$168)+E2146*((0)&lt;Pressupostos!$C$168))/Pressupostos!$C$168</f>
        <v>5500</v>
      </c>
      <c r="F2151" s="61" t="n">
        <f aca="false">(C2146*((3)&lt;Pressupostos!$C$168)+D2146*((2)&lt;Pressupostos!$C$168)+E2146*((1)&lt;Pressupostos!$C$168)+F2146*((0)&lt;Pressupostos!$C$168))/Pressupostos!$C$168</f>
        <v>7000</v>
      </c>
      <c r="G2151" s="61" t="n">
        <f aca="false">(C2146*((4)&lt;Pressupostos!$C$168)+D2146*((3)&lt;Pressupostos!$C$168)+E2146*((2)&lt;Pressupostos!$C$168)+F2146*((1)&lt;Pressupostos!$C$168)+G2146*((0)&lt;Pressupostos!$C$168))/Pressupostos!$C$168</f>
        <v>5000</v>
      </c>
      <c r="H2151" s="2" t="s">
        <v>1369</v>
      </c>
    </row>
    <row r="2152" customFormat="false" ht="15" hidden="false" customHeight="false" outlineLevel="1" collapsed="false">
      <c r="A2152" s="7" t="s">
        <v>714</v>
      </c>
      <c r="B2152" s="8" t="s">
        <v>11</v>
      </c>
      <c r="C2152" s="61" t="n">
        <f aca="false">C2148+C2149+C2150+C2151</f>
        <v>27100</v>
      </c>
      <c r="D2152" s="61" t="n">
        <f aca="false">D2148+D2149+D2150+D2151</f>
        <v>40000</v>
      </c>
      <c r="E2152" s="61" t="n">
        <f aca="false">E2148+E2149+E2150+E2151</f>
        <v>53900</v>
      </c>
      <c r="F2152" s="61" t="n">
        <f aca="false">F2148+F2149+F2150+F2151</f>
        <v>44466.6666666667</v>
      </c>
      <c r="G2152" s="61" t="n">
        <f aca="false">G2148+G2149+G2150+G2151</f>
        <v>41533.3333333333</v>
      </c>
      <c r="H2152" s="2" t="s">
        <v>1370</v>
      </c>
    </row>
    <row r="2153" customFormat="false" ht="15" hidden="false" customHeight="false" outlineLevel="0" collapsed="false">
      <c r="A2153" s="3" t="s">
        <v>1371</v>
      </c>
      <c r="B2153" s="4"/>
      <c r="C2153" s="4"/>
      <c r="D2153" s="4"/>
      <c r="E2153" s="4"/>
      <c r="F2153" s="4"/>
      <c r="G2153" s="4"/>
      <c r="H2153" s="4"/>
    </row>
    <row r="2154" customFormat="false" ht="15" hidden="false" customHeight="false" outlineLevel="1" collapsed="false">
      <c r="A2154" s="56" t="s">
        <v>718</v>
      </c>
      <c r="B2154" s="57" t="s">
        <v>11</v>
      </c>
      <c r="C2154" s="62" t="n">
        <f aca="false">C2056</f>
        <v>265430</v>
      </c>
      <c r="D2154" s="62" t="n">
        <f aca="false">D2056</f>
        <v>1769982.5</v>
      </c>
      <c r="E2154" s="62" t="n">
        <f aca="false">E2056</f>
        <v>4028582.5</v>
      </c>
      <c r="F2154" s="62" t="n">
        <f aca="false">F2056</f>
        <v>6976877.5</v>
      </c>
      <c r="G2154" s="62" t="n">
        <f aca="false">G2056</f>
        <v>10680245</v>
      </c>
      <c r="H2154" s="2" t="s">
        <v>1372</v>
      </c>
    </row>
    <row r="2155" customFormat="false" ht="15" hidden="false" customHeight="false" outlineLevel="1" collapsed="false">
      <c r="A2155" s="7" t="s">
        <v>688</v>
      </c>
      <c r="B2155" s="8" t="s">
        <v>11</v>
      </c>
      <c r="C2155" s="61" t="n">
        <f aca="false">-C2079</f>
        <v>-243800</v>
      </c>
      <c r="D2155" s="61" t="n">
        <f aca="false">-D2079</f>
        <v>-1623700</v>
      </c>
      <c r="E2155" s="61" t="n">
        <f aca="false">-E2079</f>
        <v>-3665800</v>
      </c>
      <c r="F2155" s="61" t="n">
        <f aca="false">-F2079</f>
        <v>-6319200</v>
      </c>
      <c r="G2155" s="61" t="n">
        <f aca="false">-G2079</f>
        <v>-9651000</v>
      </c>
      <c r="H2155" s="2" t="s">
        <v>1373</v>
      </c>
    </row>
    <row r="2156" customFormat="false" ht="15" hidden="false" customHeight="false" outlineLevel="1" collapsed="false">
      <c r="A2156" s="56" t="s">
        <v>719</v>
      </c>
      <c r="B2156" s="57" t="s">
        <v>11</v>
      </c>
      <c r="C2156" s="62" t="n">
        <f aca="false">C2154+C2155</f>
        <v>21630</v>
      </c>
      <c r="D2156" s="62" t="n">
        <f aca="false">D2154+D2155</f>
        <v>146282.5</v>
      </c>
      <c r="E2156" s="62" t="n">
        <f aca="false">E2154+E2155</f>
        <v>362782.5</v>
      </c>
      <c r="F2156" s="62" t="n">
        <f aca="false">F2154+F2155</f>
        <v>657677.5</v>
      </c>
      <c r="G2156" s="62" t="n">
        <f aca="false">G2154+G2155</f>
        <v>1029245</v>
      </c>
      <c r="H2156" s="2" t="s">
        <v>1374</v>
      </c>
    </row>
    <row r="2157" customFormat="false" ht="15" hidden="false" customHeight="false" outlineLevel="1" collapsed="false">
      <c r="A2157" s="2" t="s">
        <v>720</v>
      </c>
      <c r="B2157" s="8" t="s">
        <v>76</v>
      </c>
      <c r="C2157" s="59" t="n">
        <f aca="false">IF(C2154&gt;0,C2156/C2154,0)</f>
        <v>0.0814904117846513</v>
      </c>
      <c r="D2157" s="59" t="n">
        <f aca="false">IF(D2154&gt;0,D2156/D2154,0)</f>
        <v>0.0826462973503974</v>
      </c>
      <c r="E2157" s="59" t="n">
        <f aca="false">IF(E2154&gt;0,E2156/E2154,0)</f>
        <v>0.0900521461332862</v>
      </c>
      <c r="F2157" s="59" t="n">
        <f aca="false">IF(F2154&gt;0,F2156/F2154,0)</f>
        <v>0.0942653070804239</v>
      </c>
      <c r="G2157" s="59" t="n">
        <f aca="false">IF(G2154&gt;0,G2156/G2154,0)</f>
        <v>0.0963690439685607</v>
      </c>
      <c r="H2157" s="2" t="s">
        <v>1375</v>
      </c>
    </row>
    <row r="2158" customFormat="false" ht="15" hidden="false" customHeight="false" outlineLevel="1" collapsed="false">
      <c r="A2158" s="7" t="s">
        <v>721</v>
      </c>
      <c r="B2158" s="8" t="s">
        <v>11</v>
      </c>
      <c r="C2158" s="61" t="n">
        <f aca="false">-C2090</f>
        <v>-15328.2980821918</v>
      </c>
      <c r="D2158" s="61" t="n">
        <f aca="false">-D2090</f>
        <v>-104068.068209393</v>
      </c>
      <c r="E2158" s="61" t="n">
        <f aca="false">-E2090</f>
        <v>-241920.826409002</v>
      </c>
      <c r="F2158" s="61" t="n">
        <f aca="false">-F2090</f>
        <v>-433105.768502936</v>
      </c>
      <c r="G2158" s="61" t="n">
        <f aca="false">-G2090</f>
        <v>-668177.597162427</v>
      </c>
      <c r="H2158" s="2" t="s">
        <v>1376</v>
      </c>
    </row>
    <row r="2159" customFormat="false" ht="15" hidden="false" customHeight="false" outlineLevel="1" collapsed="false">
      <c r="A2159" s="7" t="s">
        <v>698</v>
      </c>
      <c r="B2159" s="8" t="s">
        <v>11</v>
      </c>
      <c r="C2159" s="61" t="n">
        <f aca="false">-C2093</f>
        <v>-0</v>
      </c>
      <c r="D2159" s="61" t="n">
        <f aca="false">-D2093</f>
        <v>-23317.0273972603</v>
      </c>
      <c r="E2159" s="61" t="n">
        <f aca="false">-E2093</f>
        <v>-38771.0637842466</v>
      </c>
      <c r="F2159" s="61" t="n">
        <f aca="false">-F2093</f>
        <v>-62547.834760274</v>
      </c>
      <c r="G2159" s="61" t="n">
        <f aca="false">-G2093</f>
        <v>-95536.1558219178</v>
      </c>
      <c r="H2159" s="2" t="s">
        <v>1377</v>
      </c>
    </row>
    <row r="2160" customFormat="false" ht="15" hidden="false" customHeight="false" outlineLevel="1" collapsed="false">
      <c r="A2160" s="56" t="s">
        <v>677</v>
      </c>
      <c r="B2160" s="57" t="s">
        <v>11</v>
      </c>
      <c r="C2160" s="62" t="n">
        <f aca="false">C2156+C2158+C2159</f>
        <v>6301.70191780822</v>
      </c>
      <c r="D2160" s="62" t="n">
        <f aca="false">D2156+D2158+D2159</f>
        <v>18897.4043933462</v>
      </c>
      <c r="E2160" s="62" t="n">
        <f aca="false">E2156+E2158+E2159</f>
        <v>82090.609806751</v>
      </c>
      <c r="F2160" s="62" t="n">
        <f aca="false">F2156+F2158+F2159</f>
        <v>162023.896736791</v>
      </c>
      <c r="G2160" s="62" t="n">
        <f aca="false">G2156+G2158+G2159</f>
        <v>265531.247015656</v>
      </c>
      <c r="H2160" s="2" t="s">
        <v>1378</v>
      </c>
    </row>
    <row r="2161" customFormat="false" ht="15" hidden="false" customHeight="false" outlineLevel="1" collapsed="false">
      <c r="A2161" s="7" t="s">
        <v>261</v>
      </c>
      <c r="B2161" s="8" t="s">
        <v>11</v>
      </c>
      <c r="C2161" s="61" t="n">
        <f aca="false">-C2125</f>
        <v>-400885.59375</v>
      </c>
      <c r="D2161" s="61" t="n">
        <f aca="false">-D2125</f>
        <v>-508017.8875</v>
      </c>
      <c r="E2161" s="61" t="n">
        <f aca="false">-E2125</f>
        <v>-667701.28525</v>
      </c>
      <c r="F2161" s="61" t="n">
        <f aca="false">-F2125</f>
        <v>-855745.92960125</v>
      </c>
      <c r="G2161" s="61" t="n">
        <f aca="false">-G2125</f>
        <v>-1042442.03916396</v>
      </c>
      <c r="H2161" s="2" t="s">
        <v>1379</v>
      </c>
    </row>
    <row r="2162" customFormat="false" ht="15" hidden="false" customHeight="false" outlineLevel="1" collapsed="false">
      <c r="A2162" s="7" t="s">
        <v>722</v>
      </c>
      <c r="B2162" s="8" t="s">
        <v>11</v>
      </c>
      <c r="C2162" s="61" t="n">
        <f aca="false">-C2141</f>
        <v>-319100</v>
      </c>
      <c r="D2162" s="61" t="n">
        <f aca="false">-D2141</f>
        <v>-322640.97</v>
      </c>
      <c r="E2162" s="61" t="n">
        <f aca="false">-E2141</f>
        <v>-421496.09</v>
      </c>
      <c r="F2162" s="61" t="n">
        <f aca="false">-F2141</f>
        <v>-475107.4524</v>
      </c>
      <c r="G2162" s="61" t="n">
        <f aca="false">-G2141</f>
        <v>-557731.854448</v>
      </c>
      <c r="H2162" s="2" t="s">
        <v>1380</v>
      </c>
    </row>
    <row r="2163" customFormat="false" ht="15" hidden="false" customHeight="false" outlineLevel="1" collapsed="false">
      <c r="A2163" s="56" t="s">
        <v>723</v>
      </c>
      <c r="B2163" s="57" t="s">
        <v>11</v>
      </c>
      <c r="C2163" s="62" t="n">
        <f aca="false">C2160+C2161+C2162</f>
        <v>-713683.891832192</v>
      </c>
      <c r="D2163" s="62" t="n">
        <f aca="false">D2160+D2161+D2162</f>
        <v>-811761.453106654</v>
      </c>
      <c r="E2163" s="62" t="n">
        <f aca="false">E2160+E2161+E2162</f>
        <v>-1007106.76544325</v>
      </c>
      <c r="F2163" s="62" t="n">
        <f aca="false">F2160+F2161+F2162</f>
        <v>-1168829.48526446</v>
      </c>
      <c r="G2163" s="62" t="n">
        <f aca="false">G2160+G2161+G2162</f>
        <v>-1334642.64659631</v>
      </c>
      <c r="H2163" s="2" t="s">
        <v>1381</v>
      </c>
    </row>
    <row r="2164" customFormat="false" ht="15" hidden="false" customHeight="false" outlineLevel="1" collapsed="false">
      <c r="A2164" s="2" t="s">
        <v>725</v>
      </c>
      <c r="B2164" s="8" t="s">
        <v>76</v>
      </c>
      <c r="C2164" s="59" t="n">
        <f aca="false">IF(C2154&gt;0,C2163/C2154,0)</f>
        <v>-2.68878382937947</v>
      </c>
      <c r="D2164" s="59" t="n">
        <f aca="false">IF(D2154&gt;0,D2163/D2154,0)</f>
        <v>-0.458626824336768</v>
      </c>
      <c r="E2164" s="59" t="n">
        <f aca="false">IF(E2154&gt;0,E2163/E2154,0)</f>
        <v>-0.249990354037245</v>
      </c>
      <c r="F2164" s="59" t="n">
        <f aca="false">IF(F2154&gt;0,F2163/F2154,0)</f>
        <v>-0.167529025020786</v>
      </c>
      <c r="G2164" s="59" t="n">
        <f aca="false">IF(G2154&gt;0,G2163/G2154,0)</f>
        <v>-0.124963673267449</v>
      </c>
      <c r="H2164" s="2" t="s">
        <v>1382</v>
      </c>
    </row>
    <row r="2165" customFormat="false" ht="15" hidden="false" customHeight="false" outlineLevel="1" collapsed="false">
      <c r="A2165" s="2" t="s">
        <v>726</v>
      </c>
      <c r="B2165" s="8" t="s">
        <v>11</v>
      </c>
      <c r="C2165" s="61" t="n">
        <f aca="false">C2163+C2093</f>
        <v>-713683.891832192</v>
      </c>
      <c r="D2165" s="61" t="n">
        <f aca="false">D2163+D2093</f>
        <v>-788444.425709394</v>
      </c>
      <c r="E2165" s="61" t="n">
        <f aca="false">E2163+E2093</f>
        <v>-968335.701659002</v>
      </c>
      <c r="F2165" s="61" t="n">
        <f aca="false">F2163+F2093</f>
        <v>-1106281.65050419</v>
      </c>
      <c r="G2165" s="61" t="n">
        <f aca="false">G2163+G2093</f>
        <v>-1239106.49077439</v>
      </c>
      <c r="H2165" s="2" t="s">
        <v>1383</v>
      </c>
    </row>
    <row r="2166" customFormat="false" ht="15" hidden="false" customHeight="false" outlineLevel="1" collapsed="false">
      <c r="A2166" s="7" t="s">
        <v>714</v>
      </c>
      <c r="B2166" s="8" t="s">
        <v>11</v>
      </c>
      <c r="C2166" s="61" t="n">
        <f aca="false">-C2152</f>
        <v>-27100</v>
      </c>
      <c r="D2166" s="61" t="n">
        <f aca="false">-D2152</f>
        <v>-40000</v>
      </c>
      <c r="E2166" s="61" t="n">
        <f aca="false">-E2152</f>
        <v>-53900</v>
      </c>
      <c r="F2166" s="61" t="n">
        <f aca="false">-F2152</f>
        <v>-44466.6666666667</v>
      </c>
      <c r="G2166" s="61" t="n">
        <f aca="false">-G2152</f>
        <v>-41533.3333333333</v>
      </c>
      <c r="H2166" s="2" t="s">
        <v>1384</v>
      </c>
    </row>
    <row r="2167" customFormat="false" ht="15" hidden="false" customHeight="false" outlineLevel="1" collapsed="false">
      <c r="A2167" s="56" t="s">
        <v>727</v>
      </c>
      <c r="B2167" s="57" t="s">
        <v>11</v>
      </c>
      <c r="C2167" s="62" t="n">
        <f aca="false">C2163+C2166</f>
        <v>-740783.891832192</v>
      </c>
      <c r="D2167" s="62" t="n">
        <f aca="false">D2163+D2166</f>
        <v>-851761.453106654</v>
      </c>
      <c r="E2167" s="62" t="n">
        <f aca="false">E2163+E2166</f>
        <v>-1061006.76544325</v>
      </c>
      <c r="F2167" s="62" t="n">
        <f aca="false">F2163+F2166</f>
        <v>-1213296.15193113</v>
      </c>
      <c r="G2167" s="62" t="n">
        <f aca="false">G2163+G2166</f>
        <v>-1376175.97992964</v>
      </c>
      <c r="H2167" s="2" t="s">
        <v>1385</v>
      </c>
    </row>
    <row r="2168" customFormat="false" ht="15" hidden="false" customHeight="false" outlineLevel="0" collapsed="false">
      <c r="A2168" s="3" t="s">
        <v>1386</v>
      </c>
      <c r="B2168" s="4"/>
      <c r="C2168" s="4"/>
      <c r="D2168" s="4"/>
      <c r="E2168" s="4"/>
      <c r="F2168" s="4"/>
      <c r="G2168" s="4"/>
      <c r="H2168" s="4"/>
    </row>
    <row r="2169" customFormat="false" ht="15" hidden="false" customHeight="false" outlineLevel="1" collapsed="false">
      <c r="A2169" s="7" t="s">
        <v>729</v>
      </c>
      <c r="B2169" s="8" t="s">
        <v>11</v>
      </c>
      <c r="C2169" s="61" t="n">
        <f aca="false">C2167</f>
        <v>-740783.891832192</v>
      </c>
      <c r="D2169" s="61" t="n">
        <f aca="false">D2167</f>
        <v>-851761.453106654</v>
      </c>
      <c r="E2169" s="61" t="n">
        <f aca="false">E2167</f>
        <v>-1061006.76544325</v>
      </c>
      <c r="F2169" s="61" t="n">
        <f aca="false">F2167</f>
        <v>-1213296.15193113</v>
      </c>
      <c r="G2169" s="61" t="n">
        <f aca="false">G2167</f>
        <v>-1376175.97992964</v>
      </c>
      <c r="H2169" s="2" t="s">
        <v>1387</v>
      </c>
    </row>
    <row r="2170" customFormat="false" ht="15" hidden="false" customHeight="false" outlineLevel="1" collapsed="false">
      <c r="A2170" s="7" t="s">
        <v>730</v>
      </c>
      <c r="B2170" s="8" t="s">
        <v>11</v>
      </c>
      <c r="C2170" s="61" t="n">
        <f aca="false">0</f>
        <v>0</v>
      </c>
      <c r="D2170" s="61" t="n">
        <f aca="false">C2173</f>
        <v>740783.891832192</v>
      </c>
      <c r="E2170" s="61" t="n">
        <f aca="false">D2173</f>
        <v>1592545.34493885</v>
      </c>
      <c r="F2170" s="61" t="n">
        <f aca="false">E2173</f>
        <v>2653552.11038209</v>
      </c>
      <c r="G2170" s="61" t="n">
        <f aca="false">F2173</f>
        <v>3866848.26231322</v>
      </c>
      <c r="H2170" s="2" t="s">
        <v>1388</v>
      </c>
    </row>
    <row r="2171" customFormat="false" ht="15" hidden="false" customHeight="false" outlineLevel="1" collapsed="false">
      <c r="A2171" s="7" t="s">
        <v>731</v>
      </c>
      <c r="B2171" s="8" t="s">
        <v>11</v>
      </c>
      <c r="C2171" s="61" t="n">
        <f aca="false">MAX(0,-C2169)</f>
        <v>740783.891832192</v>
      </c>
      <c r="D2171" s="61" t="n">
        <f aca="false">MAX(0,-D2169)</f>
        <v>851761.453106654</v>
      </c>
      <c r="E2171" s="61" t="n">
        <f aca="false">MAX(0,-E2169)</f>
        <v>1061006.76544325</v>
      </c>
      <c r="F2171" s="61" t="n">
        <f aca="false">MAX(0,-F2169)</f>
        <v>1213296.15193113</v>
      </c>
      <c r="G2171" s="61" t="n">
        <f aca="false">MAX(0,-G2169)</f>
        <v>1376175.97992964</v>
      </c>
      <c r="H2171" s="2" t="s">
        <v>1389</v>
      </c>
    </row>
    <row r="2172" customFormat="false" ht="15" hidden="false" customHeight="false" outlineLevel="1" collapsed="false">
      <c r="A2172" s="7" t="s">
        <v>732</v>
      </c>
      <c r="B2172" s="8" t="s">
        <v>11</v>
      </c>
      <c r="C2172" s="61" t="n">
        <f aca="false">MIN(C2170,Pressupostos!$C$181*MAX(0,C2169))</f>
        <v>0</v>
      </c>
      <c r="D2172" s="61" t="n">
        <f aca="false">MIN(D2170,Pressupostos!$C$181*MAX(0,D2169))</f>
        <v>0</v>
      </c>
      <c r="E2172" s="61" t="n">
        <f aca="false">MIN(E2170,Pressupostos!$C$181*MAX(0,E2169))</f>
        <v>0</v>
      </c>
      <c r="F2172" s="61" t="n">
        <f aca="false">MIN(F2170,Pressupostos!$C$181*MAX(0,F2169))</f>
        <v>0</v>
      </c>
      <c r="G2172" s="61" t="n">
        <f aca="false">MIN(G2170,Pressupostos!$C$181*MAX(0,G2169))</f>
        <v>0</v>
      </c>
      <c r="H2172" s="2" t="s">
        <v>1390</v>
      </c>
    </row>
    <row r="2173" customFormat="false" ht="15" hidden="false" customHeight="false" outlineLevel="1" collapsed="false">
      <c r="A2173" s="7" t="s">
        <v>733</v>
      </c>
      <c r="B2173" s="8" t="s">
        <v>11</v>
      </c>
      <c r="C2173" s="61" t="n">
        <f aca="false">C2170+C2171-C2172</f>
        <v>740783.891832192</v>
      </c>
      <c r="D2173" s="61" t="n">
        <f aca="false">D2170+D2171-D2172</f>
        <v>1592545.34493885</v>
      </c>
      <c r="E2173" s="61" t="n">
        <f aca="false">E2170+E2171-E2172</f>
        <v>2653552.11038209</v>
      </c>
      <c r="F2173" s="61" t="n">
        <f aca="false">F2170+F2171-F2172</f>
        <v>3866848.26231322</v>
      </c>
      <c r="G2173" s="61" t="n">
        <f aca="false">G2170+G2171-G2172</f>
        <v>5243024.24224286</v>
      </c>
      <c r="H2173" s="2" t="s">
        <v>1391</v>
      </c>
    </row>
    <row r="2174" customFormat="false" ht="15" hidden="false" customHeight="false" outlineLevel="1" collapsed="false">
      <c r="A2174" s="7" t="s">
        <v>734</v>
      </c>
      <c r="B2174" s="8" t="s">
        <v>11</v>
      </c>
      <c r="C2174" s="61" t="n">
        <f aca="false">MAX(0,C2169)-C2172</f>
        <v>0</v>
      </c>
      <c r="D2174" s="61" t="n">
        <f aca="false">MAX(0,D2169)-D2172</f>
        <v>0</v>
      </c>
      <c r="E2174" s="61" t="n">
        <f aca="false">MAX(0,E2169)-E2172</f>
        <v>0</v>
      </c>
      <c r="F2174" s="61" t="n">
        <f aca="false">MAX(0,F2169)-F2172</f>
        <v>0</v>
      </c>
      <c r="G2174" s="61" t="n">
        <f aca="false">MAX(0,G2169)-G2172</f>
        <v>0</v>
      </c>
      <c r="H2174" s="2" t="s">
        <v>1392</v>
      </c>
    </row>
    <row r="2175" customFormat="false" ht="15" hidden="false" customHeight="false" outlineLevel="1" collapsed="false">
      <c r="A2175" s="7" t="s">
        <v>735</v>
      </c>
      <c r="B2175" s="8" t="s">
        <v>11</v>
      </c>
      <c r="C2175" s="61" t="n">
        <f aca="false">Pressupostos!$C$172*MIN(C2174,Pressupostos!$C$173)+Pressupostos!$C$467*MAX(0,C2174-Pressupostos!$C$173)</f>
        <v>0</v>
      </c>
      <c r="D2175" s="61" t="n">
        <f aca="false">Pressupostos!$C$172*MIN(D2174,Pressupostos!$C$173)+Pressupostos!$D$467*MAX(0,D2174-Pressupostos!$C$173)</f>
        <v>0</v>
      </c>
      <c r="E2175" s="61" t="n">
        <f aca="false">Pressupostos!$C$172*MIN(E2174,Pressupostos!$C$173)+Pressupostos!$E$467*MAX(0,E2174-Pressupostos!$C$173)</f>
        <v>0</v>
      </c>
      <c r="F2175" s="61" t="n">
        <f aca="false">Pressupostos!$C$172*MIN(F2174,Pressupostos!$C$173)+Pressupostos!$F$467*MAX(0,F2174-Pressupostos!$C$173)</f>
        <v>0</v>
      </c>
      <c r="G2175" s="61" t="n">
        <f aca="false">Pressupostos!$C$172*MIN(G2174,Pressupostos!$C$173)+Pressupostos!$G$467*MAX(0,G2174-Pressupostos!$C$173)</f>
        <v>0</v>
      </c>
      <c r="H2175" s="2" t="s">
        <v>1393</v>
      </c>
    </row>
    <row r="2176" customFormat="false" ht="15" hidden="false" customHeight="false" outlineLevel="1" collapsed="false">
      <c r="A2176" s="7" t="s">
        <v>736</v>
      </c>
      <c r="B2176" s="8" t="s">
        <v>11</v>
      </c>
      <c r="C2176" s="61" t="n">
        <f aca="false">Pressupostos!$C$174*MAX(0,C2169)</f>
        <v>0</v>
      </c>
      <c r="D2176" s="61" t="n">
        <f aca="false">Pressupostos!$C$174*MAX(0,D2169)</f>
        <v>0</v>
      </c>
      <c r="E2176" s="61" t="n">
        <f aca="false">Pressupostos!$C$174*MAX(0,E2169)</f>
        <v>0</v>
      </c>
      <c r="F2176" s="61" t="n">
        <f aca="false">Pressupostos!$C$174*MAX(0,F2169)</f>
        <v>0</v>
      </c>
      <c r="G2176" s="61" t="n">
        <f aca="false">Pressupostos!$C$174*MAX(0,G2169)</f>
        <v>0</v>
      </c>
      <c r="H2176" s="2" t="s">
        <v>1394</v>
      </c>
    </row>
    <row r="2177" customFormat="false" ht="15" hidden="false" customHeight="false" outlineLevel="1" collapsed="false">
      <c r="A2177" s="7" t="s">
        <v>737</v>
      </c>
      <c r="B2177" s="8" t="s">
        <v>11</v>
      </c>
      <c r="C2177" s="61" t="n">
        <f aca="false">Pressupostos!$C$176*MAX(0,MIN(C2169,Pressupostos!$C$177)-Pressupostos!$C$175)+Pressupostos!$C$178*MAX(0,MIN(C2169,Pressupostos!$C$179)-Pressupostos!$C$177)+Pressupostos!$C$180*MAX(0,C2169-Pressupostos!$C$179)</f>
        <v>0</v>
      </c>
      <c r="D2177" s="61" t="n">
        <f aca="false">Pressupostos!$C$176*MAX(0,MIN(D2169,Pressupostos!$C$177)-Pressupostos!$C$175)+Pressupostos!$C$178*MAX(0,MIN(D2169,Pressupostos!$C$179)-Pressupostos!$C$177)+Pressupostos!$C$180*MAX(0,D2169-Pressupostos!$C$179)</f>
        <v>0</v>
      </c>
      <c r="E2177" s="61" t="n">
        <f aca="false">Pressupostos!$C$176*MAX(0,MIN(E2169,Pressupostos!$C$177)-Pressupostos!$C$175)+Pressupostos!$C$178*MAX(0,MIN(E2169,Pressupostos!$C$179)-Pressupostos!$C$177)+Pressupostos!$C$180*MAX(0,E2169-Pressupostos!$C$179)</f>
        <v>0</v>
      </c>
      <c r="F2177" s="61" t="n">
        <f aca="false">Pressupostos!$C$176*MAX(0,MIN(F2169,Pressupostos!$C$177)-Pressupostos!$C$175)+Pressupostos!$C$178*MAX(0,MIN(F2169,Pressupostos!$C$179)-Pressupostos!$C$177)+Pressupostos!$C$180*MAX(0,F2169-Pressupostos!$C$179)</f>
        <v>0</v>
      </c>
      <c r="G2177" s="61" t="n">
        <f aca="false">Pressupostos!$C$176*MAX(0,MIN(G2169,Pressupostos!$C$177)-Pressupostos!$C$175)+Pressupostos!$C$178*MAX(0,MIN(G2169,Pressupostos!$C$179)-Pressupostos!$C$177)+Pressupostos!$C$180*MAX(0,G2169-Pressupostos!$C$179)</f>
        <v>0</v>
      </c>
      <c r="H2177" s="2" t="s">
        <v>1395</v>
      </c>
    </row>
    <row r="2178" customFormat="false" ht="15" hidden="false" customHeight="false" outlineLevel="1" collapsed="false">
      <c r="A2178" s="7" t="s">
        <v>738</v>
      </c>
      <c r="B2178" s="8" t="s">
        <v>11</v>
      </c>
      <c r="C2178" s="61" t="n">
        <f aca="false">C2175+C2176+C2177</f>
        <v>0</v>
      </c>
      <c r="D2178" s="61" t="n">
        <f aca="false">D2175+D2176+D2177</f>
        <v>0</v>
      </c>
      <c r="E2178" s="61" t="n">
        <f aca="false">E2175+E2176+E2177</f>
        <v>0</v>
      </c>
      <c r="F2178" s="61" t="n">
        <f aca="false">F2175+F2176+F2177</f>
        <v>0</v>
      </c>
      <c r="G2178" s="61" t="n">
        <f aca="false">G2175+G2176+G2177</f>
        <v>0</v>
      </c>
      <c r="H2178" s="2" t="s">
        <v>1396</v>
      </c>
    </row>
    <row r="2179" customFormat="false" ht="15" hidden="false" customHeight="false" outlineLevel="0" collapsed="false">
      <c r="A2179" s="3" t="s">
        <v>1397</v>
      </c>
      <c r="B2179" s="4"/>
      <c r="C2179" s="4"/>
      <c r="D2179" s="4"/>
      <c r="E2179" s="4"/>
      <c r="F2179" s="4"/>
      <c r="G2179" s="4"/>
      <c r="H2179" s="4"/>
    </row>
    <row r="2180" customFormat="false" ht="15" hidden="false" customHeight="false" outlineLevel="1" collapsed="false">
      <c r="A2180" s="7" t="s">
        <v>738</v>
      </c>
      <c r="B2180" s="8" t="s">
        <v>11</v>
      </c>
      <c r="C2180" s="61" t="n">
        <f aca="false">-C2178</f>
        <v>-0</v>
      </c>
      <c r="D2180" s="61" t="n">
        <f aca="false">-D2178</f>
        <v>-0</v>
      </c>
      <c r="E2180" s="61" t="n">
        <f aca="false">-E2178</f>
        <v>-0</v>
      </c>
      <c r="F2180" s="61" t="n">
        <f aca="false">-F2178</f>
        <v>-0</v>
      </c>
      <c r="G2180" s="61" t="n">
        <f aca="false">-G2178</f>
        <v>-0</v>
      </c>
      <c r="H2180" s="2" t="s">
        <v>1398</v>
      </c>
    </row>
    <row r="2181" customFormat="false" ht="15" hidden="false" customHeight="false" outlineLevel="1" collapsed="false">
      <c r="A2181" s="56" t="s">
        <v>740</v>
      </c>
      <c r="B2181" s="57" t="s">
        <v>11</v>
      </c>
      <c r="C2181" s="62" t="n">
        <f aca="false">C2167+C2180</f>
        <v>-740783.891832192</v>
      </c>
      <c r="D2181" s="62" t="n">
        <f aca="false">D2167+D2180</f>
        <v>-851761.453106654</v>
      </c>
      <c r="E2181" s="62" t="n">
        <f aca="false">E2167+E2180</f>
        <v>-1061006.76544325</v>
      </c>
      <c r="F2181" s="62" t="n">
        <f aca="false">F2167+F2180</f>
        <v>-1213296.15193113</v>
      </c>
      <c r="G2181" s="62" t="n">
        <f aca="false">G2167+G2180</f>
        <v>-1376175.97992964</v>
      </c>
      <c r="H2181" s="2" t="s">
        <v>1399</v>
      </c>
    </row>
    <row r="2182" customFormat="false" ht="15" hidden="false" customHeight="false" outlineLevel="0" collapsed="false">
      <c r="A2182" s="3" t="s">
        <v>1400</v>
      </c>
      <c r="B2182" s="4"/>
      <c r="C2182" s="4"/>
      <c r="D2182" s="4"/>
      <c r="E2182" s="4"/>
      <c r="F2182" s="4"/>
      <c r="G2182" s="4"/>
      <c r="H2182" s="4"/>
    </row>
    <row r="2183" customFormat="false" ht="15" hidden="false" customHeight="false" outlineLevel="1" collapsed="false">
      <c r="A2183" s="7" t="s">
        <v>744</v>
      </c>
      <c r="B2183" s="8" t="s">
        <v>11</v>
      </c>
      <c r="C2183" s="61" t="n">
        <f aca="false">C1955*1000*((C1973+C1976)*C1979/365)+C1956*1000*((C1996+C1999)*C2002/365)+C1958*1000*((C2019+C2022)*C2025/365)</f>
        <v>33682.1917808219</v>
      </c>
      <c r="D2183" s="61" t="n">
        <f aca="false">D1955*1000*((D1973+D1976)*D1979/365)+D1956*1000*((D1996+D1999)*D2002/365)+D1958*1000*((D2019+D2022)*D2025/365)</f>
        <v>196557.534246575</v>
      </c>
      <c r="E2183" s="61" t="n">
        <f aca="false">E1955*1000*((E1973+E1976)*E1979/365)+E1956*1000*((E1996+E1999)*E2002/365)+E1958*1000*((E2019+E2022)*E2025/365)</f>
        <v>306721.232876712</v>
      </c>
      <c r="F2183" s="61" t="n">
        <f aca="false">F1955*1000*((F1973+F1976)*F1979/365)+F1956*1000*((F1996+F1999)*F2002/365)+F1958*1000*((F2019+F2022)*F2025/365)</f>
        <v>530402.054794521</v>
      </c>
      <c r="G2183" s="61" t="n">
        <f aca="false">G1955*1000*((G1973+G1976)*G1979/365)+G1956*1000*((G1996+G1999)*G2002/365)+G1958*1000*((G2019+G2022)*G2025/365)</f>
        <v>805623.287671233</v>
      </c>
      <c r="H2183" s="2" t="s">
        <v>1401</v>
      </c>
    </row>
    <row r="2184" customFormat="false" ht="15" hidden="false" customHeight="false" outlineLevel="1" collapsed="false">
      <c r="A2184" s="7" t="s">
        <v>745</v>
      </c>
      <c r="B2184" s="8" t="s">
        <v>11</v>
      </c>
      <c r="C2184" s="61" t="n">
        <f aca="false">C2183+C1968*1000*Pressupostos!$C$92*Pressupostos!$C$95/365</f>
        <v>33682.1917808219</v>
      </c>
      <c r="D2184" s="61" t="n">
        <f aca="false">D2183+D1968*1000*Pressupostos!$C$92*Pressupostos!$C$95/365</f>
        <v>196557.534246575</v>
      </c>
      <c r="E2184" s="61" t="n">
        <f aca="false">E2183+E1968*1000*Pressupostos!$C$92*Pressupostos!$C$95/365</f>
        <v>332611.643835617</v>
      </c>
      <c r="F2184" s="61" t="n">
        <f aca="false">F2183+F1968*1000*Pressupostos!$C$92*Pressupostos!$C$95/365</f>
        <v>582182.876712329</v>
      </c>
      <c r="G2184" s="61" t="n">
        <f aca="false">G2183+G1968*1000*Pressupostos!$C$92*Pressupostos!$C$95/365</f>
        <v>891924.657534247</v>
      </c>
      <c r="H2184" s="2" t="s">
        <v>1402</v>
      </c>
    </row>
    <row r="2185" customFormat="false" ht="15" hidden="false" customHeight="false" outlineLevel="1" collapsed="false">
      <c r="A2185" s="7" t="s">
        <v>746</v>
      </c>
      <c r="B2185" s="8" t="s">
        <v>11</v>
      </c>
      <c r="C2185" s="61" t="n">
        <f aca="false">C1955*1000*(C1975*C1980/365)+C1956*1000*(C1998*C2003/365)+C1958*1000*(C2021*C2026/365)+C2050*Pressupostos!$C$96/365+(C2052+C2053)*Pressupostos!$C$82/365</f>
        <v>31638.3561643836</v>
      </c>
      <c r="D2185" s="61" t="n">
        <f aca="false">D1955*1000*(D1975*D1980/365)+D1956*1000*(D1998*D2003/365)+D1958*1000*(D2021*D2026/365)+D2050*Pressupostos!$C$96/365+(D2052+D2053)*Pressupostos!$C$82/365</f>
        <v>211982.705479452</v>
      </c>
      <c r="E2185" s="61" t="n">
        <f aca="false">E1955*1000*(E1975*E1980/365)+E1956*1000*(E1998*E2003/365)+E1958*1000*(E2021*E2026/365)+E2050*Pressupostos!$C$96/365+(E2052+E2053)*Pressupostos!$C$82/365</f>
        <v>465576.404109589</v>
      </c>
      <c r="F2185" s="61" t="n">
        <f aca="false">F1955*1000*(F1975*F1980/365)+F1956*1000*(F1998*F2003/365)+F1958*1000*(F2021*F2026/365)+F2050*Pressupostos!$C$96/365+(F2052+F2053)*Pressupostos!$C$82/365</f>
        <v>796735.376712329</v>
      </c>
      <c r="G2185" s="61" t="n">
        <f aca="false">G1955*1000*(G1975*G1980/365)+G1956*1000*(G1998*G2003/365)+G1958*1000*(G2021*G2026/365)+G2050*Pressupostos!$C$96/365+(G2052+G2053)*Pressupostos!$C$82/365</f>
        <v>1214109.52054795</v>
      </c>
      <c r="H2185" s="2" t="s">
        <v>1403</v>
      </c>
    </row>
    <row r="2186" customFormat="false" ht="15" hidden="false" customHeight="false" outlineLevel="1" collapsed="false">
      <c r="A2186" s="7" t="s">
        <v>747</v>
      </c>
      <c r="B2186" s="8" t="s">
        <v>11</v>
      </c>
      <c r="C2186" s="61" t="n">
        <f aca="false">C1955*1000*((C1973+C1976)*Pressupostos!$C$72/365)+C1956*1000*((C1996+C1999)*Pressupostos!$C$72/365)+C1958*1000*((C2019+C2022)*Pressupostos!$C$72/365)+C1968*1000*Pressupostos!$C$92*Pressupostos!$C$97/365</f>
        <v>20038.3561643836</v>
      </c>
      <c r="D2186" s="61" t="n">
        <f aca="false">D1955*1000*((D1973+D1976)*Pressupostos!$C$72/365)+D1956*1000*((D1996+D1999)*Pressupostos!$C$72/365)+D1958*1000*((D2019+D2022)*Pressupostos!$C$72/365)+D1968*1000*Pressupostos!$C$92*Pressupostos!$C$97/365</f>
        <v>133454.794520548</v>
      </c>
      <c r="E2186" s="61" t="n">
        <f aca="false">E1955*1000*((E1973+E1976)*Pressupostos!$C$72/365)+E1956*1000*((E1996+E1999)*Pressupostos!$C$72/365)+E1958*1000*((E2019+E2022)*Pressupostos!$C$72/365)+E1968*1000*Pressupostos!$C$92*Pressupostos!$C$97/365</f>
        <v>301298.630136986</v>
      </c>
      <c r="F2186" s="61" t="n">
        <f aca="false">F1955*1000*((F1973+F1976)*Pressupostos!$C$72/365)+F1956*1000*((F1996+F1999)*Pressupostos!$C$72/365)+F1958*1000*((F2019+F2022)*Pressupostos!$C$72/365)+F1968*1000*Pressupostos!$C$92*Pressupostos!$C$97/365</f>
        <v>519386.301369863</v>
      </c>
      <c r="G2186" s="61" t="n">
        <f aca="false">G1955*1000*((G1973+G1976)*Pressupostos!$C$72/365)+G1956*1000*((G1996+G1999)*Pressupostos!$C$72/365)+G1958*1000*((G2019+G2022)*Pressupostos!$C$72/365)+G1968*1000*Pressupostos!$C$92*Pressupostos!$C$97/365</f>
        <v>793232.876712329</v>
      </c>
      <c r="H2186" s="2" t="s">
        <v>1404</v>
      </c>
    </row>
    <row r="2187" customFormat="false" ht="15" hidden="false" customHeight="false" outlineLevel="1" collapsed="false">
      <c r="A2187" s="56" t="s">
        <v>748</v>
      </c>
      <c r="B2187" s="57" t="s">
        <v>11</v>
      </c>
      <c r="C2187" s="62" t="n">
        <f aca="false">C2184+C2185-C2186</f>
        <v>45282.1917808219</v>
      </c>
      <c r="D2187" s="62" t="n">
        <f aca="false">D2184+D2185-D2186</f>
        <v>275085.445205479</v>
      </c>
      <c r="E2187" s="62" t="n">
        <f aca="false">E2184+E2185-E2186</f>
        <v>496889.417808219</v>
      </c>
      <c r="F2187" s="62" t="n">
        <f aca="false">F2184+F2185-F2186</f>
        <v>859531.952054794</v>
      </c>
      <c r="G2187" s="62" t="n">
        <f aca="false">G2184+G2185-G2186</f>
        <v>1312801.30136986</v>
      </c>
      <c r="H2187" s="2" t="s">
        <v>1405</v>
      </c>
    </row>
    <row r="2188" customFormat="false" ht="15" hidden="false" customHeight="false" outlineLevel="0" collapsed="false">
      <c r="A2188" s="3" t="s">
        <v>1406</v>
      </c>
      <c r="B2188" s="4"/>
      <c r="C2188" s="4"/>
      <c r="D2188" s="4"/>
      <c r="E2188" s="4"/>
      <c r="F2188" s="4"/>
      <c r="G2188" s="4"/>
      <c r="H2188" s="4"/>
    </row>
    <row r="2189" customFormat="false" ht="15" hidden="false" customHeight="false" outlineLevel="1" collapsed="false">
      <c r="A2189" s="56" t="s">
        <v>750</v>
      </c>
      <c r="B2189" s="57" t="s">
        <v>11</v>
      </c>
      <c r="C2189" s="62" t="n">
        <f aca="false">Pressupostos!$C$282*C2187/Pressupostos!$D$31</f>
        <v>0</v>
      </c>
      <c r="D2189" s="62" t="n">
        <f aca="false">Pressupostos!$D$282*D2187/Pressupostos!$D$31</f>
        <v>309471.125856164</v>
      </c>
      <c r="E2189" s="62" t="n">
        <f aca="false">Pressupostos!$E$282*E2187/Pressupostos!$D$31</f>
        <v>559000.595034246</v>
      </c>
      <c r="F2189" s="62" t="n">
        <f aca="false">Pressupostos!$F$282*F2187/Pressupostos!$D$31</f>
        <v>966973.446061644</v>
      </c>
      <c r="G2189" s="62" t="n">
        <f aca="false">Pressupostos!$G$282*G2187/Pressupostos!$D$31</f>
        <v>1476901.4640411</v>
      </c>
      <c r="H2189" s="2" t="s">
        <v>1407</v>
      </c>
    </row>
    <row r="2190" customFormat="false" ht="15" hidden="false" customHeight="false" outlineLevel="1" collapsed="false">
      <c r="A2190" s="7" t="s">
        <v>751</v>
      </c>
      <c r="B2190" s="8" t="s">
        <v>11</v>
      </c>
      <c r="C2190" s="61" t="n">
        <f aca="false">Pressupostos!$C$282*C2187</f>
        <v>0</v>
      </c>
      <c r="D2190" s="61" t="n">
        <f aca="false">Pressupostos!$D$282*D2187</f>
        <v>247576.900684931</v>
      </c>
      <c r="E2190" s="61" t="n">
        <f aca="false">Pressupostos!$E$282*E2187</f>
        <v>447200.476027397</v>
      </c>
      <c r="F2190" s="61" t="n">
        <f aca="false">Pressupostos!$F$282*F2187</f>
        <v>773578.756849315</v>
      </c>
      <c r="G2190" s="61" t="n">
        <f aca="false">Pressupostos!$G$282*G2187</f>
        <v>1181521.17123288</v>
      </c>
      <c r="H2190" s="2" t="s">
        <v>1408</v>
      </c>
    </row>
    <row r="2191" customFormat="false" ht="15" hidden="false" customHeight="false" outlineLevel="1" collapsed="false">
      <c r="A2191" s="7" t="s">
        <v>752</v>
      </c>
      <c r="B2191" s="8" t="s">
        <v>11</v>
      </c>
      <c r="C2191" s="61" t="n">
        <f aca="false">C2189-C2190</f>
        <v>0</v>
      </c>
      <c r="D2191" s="61" t="n">
        <f aca="false">D2189-D2190</f>
        <v>61894.2251712329</v>
      </c>
      <c r="E2191" s="61" t="n">
        <f aca="false">E2189-E2190</f>
        <v>111800.119006849</v>
      </c>
      <c r="F2191" s="61" t="n">
        <f aca="false">F2189-F2190</f>
        <v>193394.689212329</v>
      </c>
      <c r="G2191" s="61" t="n">
        <f aca="false">G2189-G2190</f>
        <v>295380.292808219</v>
      </c>
      <c r="H2191" s="2" t="s">
        <v>1409</v>
      </c>
    </row>
    <row r="2192" customFormat="false" ht="15" hidden="false" customHeight="false" outlineLevel="1" collapsed="false">
      <c r="A2192" s="7" t="s">
        <v>753</v>
      </c>
      <c r="B2192" s="8" t="s">
        <v>11</v>
      </c>
      <c r="C2192" s="61" t="n">
        <f aca="false">C2187-C2190</f>
        <v>45282.1917808219</v>
      </c>
      <c r="D2192" s="61" t="n">
        <f aca="false">D2187-D2190</f>
        <v>27508.5445205479</v>
      </c>
      <c r="E2192" s="61" t="n">
        <f aca="false">E2187-E2190</f>
        <v>49688.9417808219</v>
      </c>
      <c r="F2192" s="61" t="n">
        <f aca="false">F2187-F2190</f>
        <v>85953.1952054794</v>
      </c>
      <c r="G2192" s="61" t="n">
        <f aca="false">G2187-G2190</f>
        <v>131280.130136986</v>
      </c>
      <c r="H2192" s="2" t="s">
        <v>1410</v>
      </c>
    </row>
    <row r="2193" customFormat="false" ht="15" hidden="false" customHeight="false" outlineLevel="1" collapsed="false">
      <c r="A2193" s="7" t="s">
        <v>754</v>
      </c>
      <c r="B2193" s="8" t="s">
        <v>11</v>
      </c>
      <c r="C2193" s="61" t="n">
        <f aca="false">MAX(0,Pressupostos!$C$108-C2192)</f>
        <v>4717.80821917809</v>
      </c>
      <c r="D2193" s="61" t="n">
        <f aca="false">MAX(0,Pressupostos!$C$108-D2192)</f>
        <v>22491.4554794521</v>
      </c>
      <c r="E2193" s="61" t="n">
        <f aca="false">MAX(0,Pressupostos!$C$108-E2192)</f>
        <v>311.058219178114</v>
      </c>
      <c r="F2193" s="61" t="n">
        <f aca="false">MAX(0,Pressupostos!$C$108-F2192)</f>
        <v>0</v>
      </c>
      <c r="G2193" s="61" t="n">
        <f aca="false">MAX(0,Pressupostos!$C$108-G2192)</f>
        <v>0</v>
      </c>
      <c r="H2193" s="2" t="s">
        <v>1411</v>
      </c>
    </row>
    <row r="2194" customFormat="false" ht="15" hidden="false" customHeight="false" outlineLevel="1" collapsed="false">
      <c r="A2194" s="7" t="s">
        <v>755</v>
      </c>
      <c r="B2194" s="8" t="s">
        <v>11</v>
      </c>
      <c r="C2194" s="61" t="n">
        <f aca="false">Pressupostos!$C$109*C2189</f>
        <v>0</v>
      </c>
      <c r="D2194" s="61" t="n">
        <f aca="false">Pressupostos!$C$109*D2189</f>
        <v>15473.5562928082</v>
      </c>
      <c r="E2194" s="61" t="n">
        <f aca="false">Pressupostos!$C$109*E2189</f>
        <v>27950.0297517123</v>
      </c>
      <c r="F2194" s="61" t="n">
        <f aca="false">Pressupostos!$C$109*F2189</f>
        <v>48348.6723030822</v>
      </c>
      <c r="G2194" s="61" t="n">
        <f aca="false">Pressupostos!$C$109*G2189</f>
        <v>73845.0732020548</v>
      </c>
      <c r="H2194" s="2" t="s">
        <v>1412</v>
      </c>
    </row>
    <row r="2195" customFormat="false" ht="15" hidden="false" customHeight="false" outlineLevel="1" collapsed="false">
      <c r="A2195" s="2" t="s">
        <v>756</v>
      </c>
      <c r="B2195" s="8" t="s">
        <v>123</v>
      </c>
      <c r="C2195" s="61" t="n">
        <f aca="false">C2189/Pressupostos!$C$112</f>
        <v>0</v>
      </c>
      <c r="D2195" s="61" t="n">
        <f aca="false">D2189/Pressupostos!$C$112</f>
        <v>6.18942251712329</v>
      </c>
      <c r="E2195" s="61" t="n">
        <f aca="false">E2189/Pressupostos!$C$112</f>
        <v>11.1800119006849</v>
      </c>
      <c r="F2195" s="61" t="n">
        <f aca="false">F2189/Pressupostos!$C$112</f>
        <v>19.3394689212329</v>
      </c>
      <c r="G2195" s="61" t="n">
        <f aca="false">G2189/Pressupostos!$C$112</f>
        <v>29.5380292808219</v>
      </c>
      <c r="H2195" s="2" t="s">
        <v>1413</v>
      </c>
    </row>
    <row r="2196" customFormat="false" ht="15" hidden="false" customHeight="false" outlineLevel="0" collapsed="false">
      <c r="A2196" s="3" t="s">
        <v>1414</v>
      </c>
      <c r="B2196" s="4"/>
      <c r="C2196" s="4"/>
      <c r="D2196" s="4"/>
      <c r="E2196" s="4"/>
      <c r="F2196" s="4"/>
      <c r="G2196" s="4"/>
      <c r="H2196" s="4"/>
    </row>
    <row r="2197" customFormat="false" ht="15" hidden="false" customHeight="false" outlineLevel="1" collapsed="false">
      <c r="A2197" s="7" t="s">
        <v>758</v>
      </c>
      <c r="B2197" s="8" t="s">
        <v>11</v>
      </c>
      <c r="C2197" s="61" t="n">
        <f aca="false">C2163</f>
        <v>-713683.891832192</v>
      </c>
      <c r="D2197" s="61" t="n">
        <f aca="false">D2163</f>
        <v>-811761.453106654</v>
      </c>
      <c r="E2197" s="61" t="n">
        <f aca="false">E2163</f>
        <v>-1007106.76544325</v>
      </c>
      <c r="F2197" s="61" t="n">
        <f aca="false">F2163</f>
        <v>-1168829.48526446</v>
      </c>
      <c r="G2197" s="61" t="n">
        <f aca="false">G2163</f>
        <v>-1334642.64659631</v>
      </c>
      <c r="H2197" s="2" t="s">
        <v>1415</v>
      </c>
    </row>
    <row r="2198" customFormat="false" ht="15" hidden="false" customHeight="false" outlineLevel="1" collapsed="false">
      <c r="A2198" s="7" t="s">
        <v>759</v>
      </c>
      <c r="B2198" s="8" t="s">
        <v>11</v>
      </c>
      <c r="C2198" s="61" t="n">
        <f aca="false">-C2178</f>
        <v>-0</v>
      </c>
      <c r="D2198" s="61" t="n">
        <f aca="false">-D2178</f>
        <v>-0</v>
      </c>
      <c r="E2198" s="61" t="n">
        <f aca="false">-E2178</f>
        <v>-0</v>
      </c>
      <c r="F2198" s="61" t="n">
        <f aca="false">-F2178</f>
        <v>-0</v>
      </c>
      <c r="G2198" s="61" t="n">
        <f aca="false">-G2178</f>
        <v>-0</v>
      </c>
      <c r="H2198" s="2" t="s">
        <v>1416</v>
      </c>
    </row>
    <row r="2199" customFormat="false" ht="15" hidden="false" customHeight="false" outlineLevel="1" collapsed="false">
      <c r="A2199" s="7" t="s">
        <v>760</v>
      </c>
      <c r="B2199" s="8" t="s">
        <v>11</v>
      </c>
      <c r="C2199" s="61" t="n">
        <f aca="false">-C2187</f>
        <v>-45282.1917808219</v>
      </c>
      <c r="D2199" s="61" t="n">
        <f aca="false">-(D2187-C2187)</f>
        <v>-229803.253424657</v>
      </c>
      <c r="E2199" s="61" t="n">
        <f aca="false">-(E2187-D2187)</f>
        <v>-221803.97260274</v>
      </c>
      <c r="F2199" s="61" t="n">
        <f aca="false">-(F2187-E2187)</f>
        <v>-362642.534246575</v>
      </c>
      <c r="G2199" s="61" t="n">
        <f aca="false">-(G2187-F2187)</f>
        <v>-453269.349315068</v>
      </c>
      <c r="H2199" s="2" t="s">
        <v>1417</v>
      </c>
    </row>
    <row r="2200" customFormat="false" ht="15" hidden="false" customHeight="false" outlineLevel="1" collapsed="false">
      <c r="A2200" s="7" t="s">
        <v>424</v>
      </c>
      <c r="B2200" s="8" t="s">
        <v>11</v>
      </c>
      <c r="C2200" s="61" t="n">
        <f aca="false">-C2147</f>
        <v>-92000</v>
      </c>
      <c r="D2200" s="61" t="n">
        <f aca="false">-D2147</f>
        <v>-44000</v>
      </c>
      <c r="E2200" s="61" t="n">
        <f aca="false">-E2147</f>
        <v>-48000</v>
      </c>
      <c r="F2200" s="61" t="n">
        <f aca="false">-F2147</f>
        <v>-38000</v>
      </c>
      <c r="G2200" s="61" t="n">
        <f aca="false">-G2147</f>
        <v>-38000</v>
      </c>
      <c r="H2200" s="2" t="s">
        <v>1418</v>
      </c>
    </row>
    <row r="2201" customFormat="false" ht="15" hidden="false" customHeight="false" outlineLevel="1" collapsed="false">
      <c r="A2201" s="7" t="s">
        <v>761</v>
      </c>
      <c r="B2201" s="8" t="s">
        <v>11</v>
      </c>
      <c r="C2201" s="61" t="n">
        <f aca="false">C2197+C2198+C2199+C2200</f>
        <v>-850966.083613014</v>
      </c>
      <c r="D2201" s="61" t="n">
        <f aca="false">D2197+D2198+D2199+D2200</f>
        <v>-1085564.70653131</v>
      </c>
      <c r="E2201" s="61" t="n">
        <f aca="false">E2197+E2198+E2199+E2200</f>
        <v>-1276910.73804599</v>
      </c>
      <c r="F2201" s="61" t="n">
        <f aca="false">F2197+F2198+F2199+F2200</f>
        <v>-1569472.01951104</v>
      </c>
      <c r="G2201" s="61" t="n">
        <f aca="false">G2197+G2198+G2199+G2200</f>
        <v>-1825911.99591138</v>
      </c>
      <c r="H2201" s="2" t="s">
        <v>1419</v>
      </c>
    </row>
    <row r="2202" customFormat="false" ht="15" hidden="false" customHeight="false" outlineLevel="1" collapsed="false">
      <c r="A2202" s="7" t="s">
        <v>762</v>
      </c>
      <c r="B2202" s="8" t="s">
        <v>11</v>
      </c>
      <c r="C2202" s="61" t="n">
        <f aca="false">C2189</f>
        <v>0</v>
      </c>
      <c r="D2202" s="61" t="n">
        <f aca="false">D2189-C2189</f>
        <v>309471.125856164</v>
      </c>
      <c r="E2202" s="61" t="n">
        <f aca="false">E2189-D2189</f>
        <v>249529.469178082</v>
      </c>
      <c r="F2202" s="61" t="n">
        <f aca="false">F2189-E2189</f>
        <v>407972.851027397</v>
      </c>
      <c r="G2202" s="61" t="n">
        <f aca="false">G2189-F2189</f>
        <v>509928.017979452</v>
      </c>
      <c r="H2202" s="2" t="s">
        <v>1420</v>
      </c>
    </row>
    <row r="2203" customFormat="false" ht="15" hidden="false" customHeight="false" outlineLevel="1" collapsed="false">
      <c r="A2203" s="7" t="s">
        <v>763</v>
      </c>
      <c r="B2203" s="8" t="s">
        <v>11</v>
      </c>
      <c r="C2203" s="61" t="n">
        <f aca="false">-C2191</f>
        <v>-0</v>
      </c>
      <c r="D2203" s="61" t="n">
        <f aca="false">-(D2191-C2191)</f>
        <v>-61894.2251712329</v>
      </c>
      <c r="E2203" s="61" t="n">
        <f aca="false">-(E2191-D2191)</f>
        <v>-49905.8938356164</v>
      </c>
      <c r="F2203" s="61" t="n">
        <f aca="false">-(F2191-E2191)</f>
        <v>-81594.5702054795</v>
      </c>
      <c r="G2203" s="61" t="n">
        <f aca="false">-(G2191-F2191)</f>
        <v>-101985.60359589</v>
      </c>
      <c r="H2203" s="2" t="s">
        <v>1421</v>
      </c>
    </row>
    <row r="2204" customFormat="false" ht="15" hidden="false" customHeight="false" outlineLevel="1" collapsed="false">
      <c r="A2204" s="7" t="s">
        <v>764</v>
      </c>
      <c r="B2204" s="8" t="s">
        <v>11</v>
      </c>
      <c r="C2204" s="61" t="n">
        <f aca="false">-C2194</f>
        <v>-0</v>
      </c>
      <c r="D2204" s="61" t="n">
        <f aca="false">-(D2194-C2194)</f>
        <v>-15473.5562928082</v>
      </c>
      <c r="E2204" s="61" t="n">
        <f aca="false">-(E2194-D2194)</f>
        <v>-12476.4734589041</v>
      </c>
      <c r="F2204" s="61" t="n">
        <f aca="false">-(F2194-E2194)</f>
        <v>-20398.6425513699</v>
      </c>
      <c r="G2204" s="61" t="n">
        <f aca="false">-(G2194-F2194)</f>
        <v>-25496.4008989726</v>
      </c>
      <c r="H2204" s="2" t="s">
        <v>1422</v>
      </c>
    </row>
    <row r="2205" customFormat="false" ht="15" hidden="false" customHeight="false" outlineLevel="1" collapsed="false">
      <c r="A2205" s="7" t="s">
        <v>765</v>
      </c>
      <c r="B2205" s="8" t="s">
        <v>11</v>
      </c>
      <c r="C2205" s="61" t="n">
        <f aca="false">-(C2193-Pressupostos!$C$108)</f>
        <v>45282.1917808219</v>
      </c>
      <c r="D2205" s="61" t="n">
        <f aca="false">-(D2193-C2193)</f>
        <v>-17773.647260274</v>
      </c>
      <c r="E2205" s="61" t="n">
        <f aca="false">-(E2193-D2193)</f>
        <v>22180.397260274</v>
      </c>
      <c r="F2205" s="61" t="n">
        <f aca="false">-(F2193-E2193)</f>
        <v>311.058219178114</v>
      </c>
      <c r="G2205" s="61" t="n">
        <f aca="false">-(G2193-F2193)</f>
        <v>-0</v>
      </c>
      <c r="H2205" s="2" t="s">
        <v>1423</v>
      </c>
    </row>
    <row r="2206" customFormat="false" ht="15" hidden="false" customHeight="false" outlineLevel="1" collapsed="false">
      <c r="A2206" s="56" t="s">
        <v>766</v>
      </c>
      <c r="B2206" s="57" t="s">
        <v>11</v>
      </c>
      <c r="C2206" s="62" t="n">
        <f aca="false">C2201+C2202+C2203+C2204+C2205</f>
        <v>-805683.891832192</v>
      </c>
      <c r="D2206" s="62" t="n">
        <f aca="false">D2201+D2202+D2203+D2204+D2205</f>
        <v>-871235.009399462</v>
      </c>
      <c r="E2206" s="62" t="n">
        <f aca="false">E2201+E2202+E2203+E2204+E2205</f>
        <v>-1067583.23890215</v>
      </c>
      <c r="F2206" s="62" t="n">
        <f aca="false">F2201+F2202+F2203+F2204+F2205</f>
        <v>-1263181.32302131</v>
      </c>
      <c r="G2206" s="62" t="n">
        <f aca="false">G2201+G2202+G2203+G2204+G2205</f>
        <v>-1443465.98242679</v>
      </c>
      <c r="H2206" s="2" t="s">
        <v>1424</v>
      </c>
    </row>
    <row r="2207" customFormat="false" ht="15" hidden="false" customHeight="false" outlineLevel="1" collapsed="false">
      <c r="A2207" s="56" t="s">
        <v>767</v>
      </c>
      <c r="B2207" s="57" t="s">
        <v>11</v>
      </c>
      <c r="C2207" s="62" t="n">
        <f aca="false">C2206</f>
        <v>-805683.891832192</v>
      </c>
      <c r="D2207" s="62" t="n">
        <f aca="false">C2207+D2206</f>
        <v>-1676918.90123165</v>
      </c>
      <c r="E2207" s="62" t="n">
        <f aca="false">D2207+E2206</f>
        <v>-2744502.14013381</v>
      </c>
      <c r="F2207" s="62" t="n">
        <f aca="false">E2207+F2206</f>
        <v>-4007683.46315512</v>
      </c>
      <c r="G2207" s="62" t="n">
        <f aca="false">F2207+G2206</f>
        <v>-5451149.4455819</v>
      </c>
      <c r="H2207" s="2" t="s">
        <v>1425</v>
      </c>
    </row>
    <row r="2208" customFormat="false" ht="15" hidden="false" customHeight="false" outlineLevel="1" collapsed="false">
      <c r="A2208" s="8" t="s">
        <v>768</v>
      </c>
      <c r="B2208" s="8" t="s">
        <v>11</v>
      </c>
      <c r="C2208" s="70" t="n">
        <f aca="false">ROUND(C2163-C2147-C2178-(MAX(C2192,Pressupostos!$C$108)-Pressupostos!$C$108)-(C2194)-C2206,6)</f>
        <v>0</v>
      </c>
      <c r="D2208" s="70" t="n">
        <f aca="false">ROUND(D2163-D2147-D2178-(MAX(D2192,Pressupostos!$C$108)-MAX(C2192,Pressupostos!$C$108))-(D2194-C2194)-D2206,6)</f>
        <v>0</v>
      </c>
      <c r="E2208" s="70" t="n">
        <f aca="false">ROUND(E2163-E2147-E2178-(MAX(E2192,Pressupostos!$C$108)-MAX(D2192,Pressupostos!$C$108))-(E2194-D2194)-E2206,6)</f>
        <v>0</v>
      </c>
      <c r="F2208" s="70" t="n">
        <f aca="false">ROUND(F2163-F2147-F2178-(MAX(F2192,Pressupostos!$C$108)-MAX(E2192,Pressupostos!$C$108))-(F2194-E2194)-F2206,6)</f>
        <v>0</v>
      </c>
      <c r="G2208" s="70" t="n">
        <f aca="false">ROUND(G2163-G2147-G2178-(MAX(G2192,Pressupostos!$C$108)-MAX(F2192,Pressupostos!$C$108))-(G2194-F2194)-G2206,6)</f>
        <v>0</v>
      </c>
      <c r="H2208" s="2" t="s">
        <v>1426</v>
      </c>
    </row>
    <row r="2209" customFormat="false" ht="15" hidden="false" customHeight="false" outlineLevel="0" collapsed="false">
      <c r="A2209" s="3" t="s">
        <v>1427</v>
      </c>
      <c r="B2209" s="4"/>
      <c r="C2209" s="4"/>
      <c r="D2209" s="4"/>
      <c r="E2209" s="4"/>
      <c r="F2209" s="4"/>
      <c r="G2209" s="4"/>
      <c r="H2209" s="4"/>
    </row>
    <row r="2210" customFormat="false" ht="15" hidden="false" customHeight="false" outlineLevel="1" collapsed="false">
      <c r="A2210" s="7" t="s">
        <v>770</v>
      </c>
      <c r="B2210" s="8" t="s">
        <v>11</v>
      </c>
      <c r="C2210" s="61" t="n">
        <f aca="false">0</f>
        <v>0</v>
      </c>
      <c r="D2210" s="61" t="n">
        <f aca="false">C2215</f>
        <v>150000</v>
      </c>
      <c r="E2210" s="61" t="n">
        <f aca="false">D2215</f>
        <v>150000</v>
      </c>
      <c r="F2210" s="61" t="n">
        <f aca="false">E2215</f>
        <v>150000</v>
      </c>
      <c r="G2210" s="61" t="n">
        <f aca="false">F2215</f>
        <v>150000</v>
      </c>
      <c r="H2210" s="2" t="s">
        <v>1428</v>
      </c>
    </row>
    <row r="2211" customFormat="false" ht="15" hidden="false" customHeight="false" outlineLevel="1" collapsed="false">
      <c r="A2211" s="7" t="s">
        <v>771</v>
      </c>
      <c r="B2211" s="8" t="s">
        <v>11</v>
      </c>
      <c r="C2211" s="61" t="n">
        <f aca="false">-(Pressupostos!$C$159+Pressupostos!$C$160+Pressupostos!$C$161+Pressupostos!$C$162+Pressupostos!$C$163+Pressupostos!$C$108)</f>
        <v>-145000</v>
      </c>
      <c r="D2211" s="61" t="n">
        <f aca="false">0</f>
        <v>0</v>
      </c>
      <c r="E2211" s="61" t="n">
        <f aca="false">0</f>
        <v>0</v>
      </c>
      <c r="F2211" s="61" t="n">
        <f aca="false">0</f>
        <v>0</v>
      </c>
      <c r="G2211" s="61" t="n">
        <f aca="false">0</f>
        <v>0</v>
      </c>
      <c r="H2211" s="2" t="s">
        <v>1429</v>
      </c>
    </row>
    <row r="2212" customFormat="false" ht="15" hidden="false" customHeight="false" outlineLevel="1" collapsed="false">
      <c r="A2212" s="7" t="s">
        <v>772</v>
      </c>
      <c r="B2212" s="8" t="s">
        <v>11</v>
      </c>
      <c r="C2212" s="53" t="n">
        <f aca="false">Pressupostos!$D$32</f>
        <v>1100000</v>
      </c>
      <c r="D2212" s="61" t="n">
        <f aca="false">0</f>
        <v>0</v>
      </c>
      <c r="E2212" s="61" t="n">
        <f aca="false">0</f>
        <v>0</v>
      </c>
      <c r="F2212" s="61" t="n">
        <f aca="false">0</f>
        <v>0</v>
      </c>
      <c r="G2212" s="61" t="n">
        <f aca="false">0</f>
        <v>0</v>
      </c>
      <c r="H2212" s="2" t="s">
        <v>1430</v>
      </c>
    </row>
    <row r="2213" customFormat="false" ht="15" hidden="false" customHeight="false" outlineLevel="1" collapsed="false">
      <c r="A2213" s="7" t="s">
        <v>773</v>
      </c>
      <c r="B2213" s="8" t="s">
        <v>11</v>
      </c>
      <c r="C2213" s="61" t="n">
        <f aca="false">C2210+C2211+C2212+C2206</f>
        <v>149316.108167808</v>
      </c>
      <c r="D2213" s="61" t="n">
        <f aca="false">D2210+D2211+D2212+D2206</f>
        <v>-721235.009399462</v>
      </c>
      <c r="E2213" s="61" t="n">
        <f aca="false">E2210+E2211+E2212+E2206</f>
        <v>-917583.238902153</v>
      </c>
      <c r="F2213" s="61" t="n">
        <f aca="false">F2210+F2211+F2212+F2206</f>
        <v>-1113181.32302131</v>
      </c>
      <c r="G2213" s="61" t="n">
        <f aca="false">G2210+G2211+G2212+G2206</f>
        <v>-1293465.98242679</v>
      </c>
      <c r="H2213" s="2" t="s">
        <v>1431</v>
      </c>
    </row>
    <row r="2214" customFormat="false" ht="15" hidden="false" customHeight="false" outlineLevel="1" collapsed="false">
      <c r="A2214" s="56" t="s">
        <v>774</v>
      </c>
      <c r="B2214" s="57" t="s">
        <v>11</v>
      </c>
      <c r="C2214" s="62" t="n">
        <f aca="false">MAX(0,Pressupostos!$C$170-C2213)</f>
        <v>683.89183219173</v>
      </c>
      <c r="D2214" s="62" t="n">
        <f aca="false">MAX(0,Pressupostos!$C$170-D2213)</f>
        <v>871235.009399462</v>
      </c>
      <c r="E2214" s="62" t="n">
        <f aca="false">MAX(0,Pressupostos!$C$170-E2213)</f>
        <v>1067583.23890215</v>
      </c>
      <c r="F2214" s="62" t="n">
        <f aca="false">MAX(0,Pressupostos!$C$170-F2213)</f>
        <v>1263181.32302131</v>
      </c>
      <c r="G2214" s="62" t="n">
        <f aca="false">MAX(0,Pressupostos!$C$170-G2213)</f>
        <v>1443465.98242679</v>
      </c>
      <c r="H2214" s="2" t="s">
        <v>1432</v>
      </c>
    </row>
    <row r="2215" customFormat="false" ht="15" hidden="false" customHeight="false" outlineLevel="1" collapsed="false">
      <c r="A2215" s="56" t="s">
        <v>775</v>
      </c>
      <c r="B2215" s="57" t="s">
        <v>11</v>
      </c>
      <c r="C2215" s="62" t="n">
        <f aca="false">C2213+C2214</f>
        <v>150000</v>
      </c>
      <c r="D2215" s="62" t="n">
        <f aca="false">D2213+D2214</f>
        <v>150000</v>
      </c>
      <c r="E2215" s="62" t="n">
        <f aca="false">E2213+E2214</f>
        <v>150000</v>
      </c>
      <c r="F2215" s="62" t="n">
        <f aca="false">F2213+F2214</f>
        <v>150000</v>
      </c>
      <c r="G2215" s="62" t="n">
        <f aca="false">G2213+G2214</f>
        <v>150000</v>
      </c>
      <c r="H2215" s="2" t="s">
        <v>1433</v>
      </c>
    </row>
    <row r="2216" customFormat="false" ht="15" hidden="false" customHeight="false" outlineLevel="1" collapsed="false">
      <c r="A2216" s="7" t="s">
        <v>776</v>
      </c>
      <c r="B2216" s="8" t="s">
        <v>11</v>
      </c>
      <c r="C2216" s="61" t="n">
        <f aca="false">C2191+C2194+C2193</f>
        <v>4717.80821917809</v>
      </c>
      <c r="D2216" s="61" t="n">
        <f aca="false">D2191+D2194+D2193</f>
        <v>99859.2369434932</v>
      </c>
      <c r="E2216" s="61" t="n">
        <f aca="false">E2191+E2194+E2193</f>
        <v>140061.20697774</v>
      </c>
      <c r="F2216" s="61" t="n">
        <f aca="false">F2191+F2194+F2193</f>
        <v>241743.361515411</v>
      </c>
      <c r="G2216" s="61" t="n">
        <f aca="false">G2191+G2194+G2193</f>
        <v>369225.366010274</v>
      </c>
      <c r="H2216" s="2" t="s">
        <v>1434</v>
      </c>
    </row>
    <row r="2217" customFormat="false" ht="15" hidden="false" customHeight="false" outlineLevel="1" collapsed="false">
      <c r="A2217" s="7" t="s">
        <v>777</v>
      </c>
      <c r="B2217" s="8" t="s">
        <v>11</v>
      </c>
      <c r="C2217" s="61" t="n">
        <f aca="false">C2215+C2216</f>
        <v>154717.808219178</v>
      </c>
      <c r="D2217" s="61" t="n">
        <f aca="false">D2215+D2216</f>
        <v>249859.236943493</v>
      </c>
      <c r="E2217" s="61" t="n">
        <f aca="false">E2215+E2216</f>
        <v>290061.20697774</v>
      </c>
      <c r="F2217" s="61" t="n">
        <f aca="false">F2215+F2216</f>
        <v>391743.361515411</v>
      </c>
      <c r="G2217" s="61" t="n">
        <f aca="false">G2215+G2216</f>
        <v>519225.366010274</v>
      </c>
      <c r="H2217" s="2" t="s">
        <v>1435</v>
      </c>
    </row>
    <row r="2218" customFormat="false" ht="15" hidden="false" customHeight="false" outlineLevel="1" collapsed="false">
      <c r="A2218" s="7" t="s">
        <v>778</v>
      </c>
      <c r="B2218" s="8" t="s">
        <v>11</v>
      </c>
      <c r="C2218" s="61" t="n">
        <f aca="false">C2212+C2214</f>
        <v>1100683.89183219</v>
      </c>
      <c r="D2218" s="61" t="n">
        <f aca="false">C2218+D2212+D2214</f>
        <v>1971918.90123165</v>
      </c>
      <c r="E2218" s="61" t="n">
        <f aca="false">D2218+E2212+E2214</f>
        <v>3039502.14013381</v>
      </c>
      <c r="F2218" s="61" t="n">
        <f aca="false">E2218+F2212+F2214</f>
        <v>4302683.46315512</v>
      </c>
      <c r="G2218" s="61" t="n">
        <f aca="false">F2218+G2212+G2214</f>
        <v>5746149.4455819</v>
      </c>
      <c r="H2218" s="2" t="s">
        <v>1436</v>
      </c>
    </row>
    <row r="2219" customFormat="false" ht="15" hidden="false" customHeight="false" outlineLevel="0" collapsed="false">
      <c r="A2219" s="3" t="s">
        <v>1437</v>
      </c>
      <c r="B2219" s="4"/>
      <c r="C2219" s="4"/>
      <c r="D2219" s="4"/>
      <c r="E2219" s="4"/>
      <c r="F2219" s="4"/>
      <c r="G2219" s="4"/>
      <c r="H2219" s="4"/>
    </row>
    <row r="2220" customFormat="false" ht="15" hidden="false" customHeight="false" outlineLevel="1" collapsed="false">
      <c r="A2220" s="7" t="s">
        <v>782</v>
      </c>
      <c r="B2220" s="8" t="s">
        <v>11</v>
      </c>
      <c r="C2220" s="72" t="n">
        <f aca="false">Pressupostos!$C$159+Pressupostos!$C$160+Pressupostos!$C$161+Pressupostos!$C$162+Pressupostos!$C$163</f>
        <v>95000</v>
      </c>
      <c r="H2220" s="2" t="s">
        <v>1438</v>
      </c>
    </row>
    <row r="2221" customFormat="false" ht="15" hidden="false" customHeight="false" outlineLevel="1" collapsed="false">
      <c r="A2221" s="7" t="s">
        <v>783</v>
      </c>
      <c r="B2221" s="8" t="s">
        <v>11</v>
      </c>
      <c r="C2221" s="73" t="n">
        <f aca="false">Pressupostos!$C$108</f>
        <v>50000</v>
      </c>
      <c r="H2221" s="2" t="s">
        <v>1439</v>
      </c>
    </row>
    <row r="2222" customFormat="false" ht="15" hidden="false" customHeight="false" outlineLevel="1" collapsed="false">
      <c r="A2222" s="7" t="s">
        <v>322</v>
      </c>
      <c r="B2222" s="8" t="s">
        <v>11</v>
      </c>
      <c r="C2222" s="73" t="n">
        <f aca="false">Pressupostos!$C$170</f>
        <v>150000</v>
      </c>
      <c r="H2222" s="2" t="s">
        <v>1440</v>
      </c>
    </row>
    <row r="2223" customFormat="false" ht="15" hidden="false" customHeight="false" outlineLevel="1" collapsed="false">
      <c r="A2223" s="7" t="s">
        <v>784</v>
      </c>
      <c r="B2223" s="8" t="s">
        <v>11</v>
      </c>
      <c r="C2223" s="72" t="n">
        <f aca="false">MAX(0,-MIN($C$2207:$G$2207))</f>
        <v>5451149.4455819</v>
      </c>
      <c r="H2223" s="2" t="s">
        <v>1441</v>
      </c>
    </row>
    <row r="2224" customFormat="false" ht="15" hidden="false" customHeight="false" outlineLevel="1" collapsed="false">
      <c r="A2224" s="56" t="s">
        <v>785</v>
      </c>
      <c r="B2224" s="57" t="s">
        <v>11</v>
      </c>
      <c r="C2224" s="74" t="n">
        <f aca="false">C2220+C2221+C2222+C2223</f>
        <v>5746149.4455819</v>
      </c>
      <c r="H2224" s="2" t="s">
        <v>1442</v>
      </c>
    </row>
    <row r="2225" customFormat="false" ht="15" hidden="false" customHeight="false" outlineLevel="1" collapsed="false">
      <c r="A2225" s="7" t="s">
        <v>786</v>
      </c>
      <c r="B2225" s="8" t="s">
        <v>20</v>
      </c>
      <c r="C2225" s="75" t="n">
        <f aca="false">INDEX($C$1952:$G$1952,1,MATCH(MIN($C$2207:$G$2207),$C$2207:$G$2207,0))</f>
        <v>2031</v>
      </c>
      <c r="H2225" s="2" t="s">
        <v>1443</v>
      </c>
    </row>
    <row r="2226" customFormat="false" ht="15" hidden="false" customHeight="false" outlineLevel="1" collapsed="false">
      <c r="A2226" s="7" t="s">
        <v>787</v>
      </c>
      <c r="B2226" s="8"/>
      <c r="C2226" s="76" t="str">
        <f aca="false">IF(G2206&lt;0,"sim","não")</f>
        <v>sim</v>
      </c>
      <c r="H2226" s="2" t="s">
        <v>1444</v>
      </c>
    </row>
    <row r="2227" customFormat="false" ht="15" hidden="false" customHeight="false" outlineLevel="1" collapsed="false">
      <c r="A2227" s="7" t="s">
        <v>788</v>
      </c>
      <c r="B2227" s="8" t="s">
        <v>11</v>
      </c>
      <c r="C2227" s="72" t="n">
        <f aca="false">G2218</f>
        <v>5746149.4455819</v>
      </c>
      <c r="H2227" s="2" t="s">
        <v>1445</v>
      </c>
    </row>
    <row r="2228" customFormat="false" ht="15" hidden="false" customHeight="false" outlineLevel="0" collapsed="false">
      <c r="A2228" s="3" t="s">
        <v>1446</v>
      </c>
      <c r="B2228" s="4"/>
      <c r="C2228" s="4"/>
      <c r="D2228" s="4"/>
      <c r="E2228" s="4"/>
      <c r="F2228" s="4"/>
      <c r="G2228" s="4"/>
      <c r="H2228" s="4"/>
    </row>
    <row r="2229" customFormat="false" ht="15" hidden="false" customHeight="false" outlineLevel="1" collapsed="false">
      <c r="A2229" s="7" t="s">
        <v>790</v>
      </c>
      <c r="B2229" s="8" t="s">
        <v>11</v>
      </c>
      <c r="C2229" s="72" t="n">
        <f aca="false">C2220+C2221</f>
        <v>145000</v>
      </c>
      <c r="H2229" s="2" t="s">
        <v>1447</v>
      </c>
    </row>
    <row r="2230" customFormat="false" ht="15" hidden="false" customHeight="false" outlineLevel="1" collapsed="false">
      <c r="A2230" s="7" t="s">
        <v>791</v>
      </c>
      <c r="B2230" s="8" t="s">
        <v>11</v>
      </c>
      <c r="C2230" s="72" t="n">
        <f aca="false">-SUMPRODUCT(($C$1952:$G$1952&lt;=C2225)*$C$2163:$G$2163)</f>
        <v>5036024.24224286</v>
      </c>
      <c r="H2230" s="2" t="s">
        <v>1448</v>
      </c>
    </row>
    <row r="2231" customFormat="false" ht="15" hidden="false" customHeight="false" outlineLevel="1" collapsed="false">
      <c r="A2231" s="7" t="s">
        <v>424</v>
      </c>
      <c r="B2231" s="8" t="s">
        <v>11</v>
      </c>
      <c r="C2231" s="72" t="n">
        <f aca="false">SUMPRODUCT(($C$1952:$G$1952&lt;=C2225)*$C$2147:$G$2147)</f>
        <v>260000</v>
      </c>
      <c r="H2231" s="2" t="s">
        <v>1449</v>
      </c>
    </row>
    <row r="2232" customFormat="false" ht="15" hidden="false" customHeight="false" outlineLevel="1" collapsed="false">
      <c r="A2232" s="7" t="s">
        <v>792</v>
      </c>
      <c r="B2232" s="8" t="s">
        <v>11</v>
      </c>
      <c r="C2232" s="72" t="n">
        <f aca="false">SUMPRODUCT(($C$1952:$G$1952&lt;=C2225)*$C$2178:$G$2178)</f>
        <v>0</v>
      </c>
      <c r="H2232" s="2" t="s">
        <v>1450</v>
      </c>
    </row>
    <row r="2233" customFormat="false" ht="15" hidden="false" customHeight="false" outlineLevel="1" collapsed="false">
      <c r="A2233" s="7" t="s">
        <v>793</v>
      </c>
      <c r="B2233" s="8" t="s">
        <v>11</v>
      </c>
      <c r="C2233" s="72" t="n">
        <f aca="false">C2223-C2230-C2231-C2232</f>
        <v>155125.20333904</v>
      </c>
      <c r="H2233" s="2" t="s">
        <v>1451</v>
      </c>
    </row>
    <row r="2234" customFormat="false" ht="15" hidden="false" customHeight="false" outlineLevel="1" collapsed="false">
      <c r="A2234" s="7" t="s">
        <v>322</v>
      </c>
      <c r="B2234" s="8" t="s">
        <v>11</v>
      </c>
      <c r="C2234" s="72" t="n">
        <f aca="false">C2222</f>
        <v>150000</v>
      </c>
      <c r="H2234" s="2" t="s">
        <v>1452</v>
      </c>
    </row>
    <row r="2235" customFormat="false" ht="15" hidden="false" customHeight="false" outlineLevel="1" collapsed="false">
      <c r="A2235" s="56" t="s">
        <v>794</v>
      </c>
      <c r="B2235" s="57" t="s">
        <v>11</v>
      </c>
      <c r="C2235" s="74" t="n">
        <f aca="false">C2229+C2230+C2231+C2232+C2233+C2234</f>
        <v>5746149.4455819</v>
      </c>
      <c r="H2235" s="2" t="s">
        <v>1453</v>
      </c>
    </row>
    <row r="2236" customFormat="false" ht="15" hidden="false" customHeight="false" outlineLevel="0" collapsed="false">
      <c r="A2236" s="3" t="s">
        <v>1454</v>
      </c>
      <c r="B2236" s="4"/>
      <c r="C2236" s="4"/>
      <c r="D2236" s="4"/>
      <c r="E2236" s="4"/>
      <c r="F2236" s="4"/>
      <c r="G2236" s="4"/>
      <c r="H2236" s="4"/>
    </row>
    <row r="2237" customFormat="false" ht="15" hidden="false" customHeight="false" outlineLevel="1" collapsed="false">
      <c r="A2237" s="7" t="s">
        <v>772</v>
      </c>
      <c r="B2237" s="8" t="s">
        <v>11</v>
      </c>
      <c r="C2237" s="73" t="n">
        <f aca="false">Pressupostos!$D$32</f>
        <v>1100000</v>
      </c>
      <c r="H2237" s="2" t="s">
        <v>1455</v>
      </c>
    </row>
    <row r="2238" customFormat="false" ht="15" hidden="false" customHeight="false" outlineLevel="1" collapsed="false">
      <c r="A2238" s="7" t="s">
        <v>796</v>
      </c>
      <c r="B2238" s="8" t="s">
        <v>11</v>
      </c>
      <c r="C2238" s="72" t="n">
        <f aca="false">C2220+Pressupostos!$C$108+Pressupostos!$C$130/12*((C2122-C2110-C2111+(C2110+C2111)/Pressupostos!$C$128*Pressupostos!$C$129)*(1+Pressupostos!$C$124+Pressupostos!$C$125)+C2108*Pressupostos!$C$126+C2141)+C2147+MAX(0,Pressupostos!$C$183*1000*(C1973+C1976)+Pressupostos!$C$184*1000*(C1996+C1999)-Pressupostos!$C$108)</f>
        <v>734321.666666667</v>
      </c>
      <c r="H2238" s="2" t="s">
        <v>1456</v>
      </c>
    </row>
    <row r="2239" customFormat="false" ht="15" hidden="false" customHeight="false" outlineLevel="1" collapsed="false">
      <c r="A2239" s="7" t="s">
        <v>798</v>
      </c>
      <c r="B2239" s="8" t="s">
        <v>11</v>
      </c>
      <c r="C2239" s="72" t="n">
        <f aca="false">C2220+Pressupostos!$C$108-C2206</f>
        <v>950683.891832192</v>
      </c>
      <c r="H2239" s="2" t="s">
        <v>1457</v>
      </c>
    </row>
    <row r="2240" customFormat="false" ht="15" hidden="false" customHeight="false" outlineLevel="1" collapsed="false">
      <c r="A2240" s="7" t="s">
        <v>799</v>
      </c>
      <c r="B2240" s="8" t="s">
        <v>11</v>
      </c>
      <c r="C2240" s="61" t="n">
        <f aca="false">Pressupostos!$D$32-C2220-Pressupostos!$C$108+C2207</f>
        <v>149316.108167808</v>
      </c>
      <c r="D2240" s="61" t="n">
        <f aca="false">Pressupostos!$D$32-C2220-Pressupostos!$C$108+D2207</f>
        <v>-721918.901231654</v>
      </c>
      <c r="E2240" s="61" t="n">
        <f aca="false">Pressupostos!$D$32-C2220-Pressupostos!$C$108+E2207</f>
        <v>-1789502.14013381</v>
      </c>
      <c r="F2240" s="61" t="n">
        <f aca="false">Pressupostos!$D$32-C2220-Pressupostos!$C$108+F2207</f>
        <v>-3052683.46315512</v>
      </c>
      <c r="G2240" s="61" t="n">
        <f aca="false">Pressupostos!$D$32-C2220-Pressupostos!$C$108+G2207</f>
        <v>-4496149.4455819</v>
      </c>
      <c r="H2240" s="2" t="s">
        <v>1458</v>
      </c>
    </row>
    <row r="2241" customFormat="false" ht="15" hidden="false" customHeight="false" outlineLevel="1" collapsed="false">
      <c r="A2241" s="7" t="s">
        <v>800</v>
      </c>
      <c r="B2241" s="8" t="s">
        <v>18</v>
      </c>
      <c r="C2241" s="77" t="str">
        <f aca="false">IF(AND(Pressupostos!$D$32-C2220-Pressupostos!$C$108&gt;0,C2240&lt;=0),12*(Pressupostos!$D$32-C2220-Pressupostos!$C$108)/(Pressupostos!$D$32-C2220-Pressupostos!$C$108-C2240),"")</f>
        <v/>
      </c>
      <c r="D2241" s="77" t="n">
        <f aca="false">IF(AND(C2240&gt;0,D2240&lt;=0),12+12*C2240/(C2240-D2240),"")</f>
        <v>14.056613059258</v>
      </c>
      <c r="E2241" s="77" t="str">
        <f aca="false">IF(AND(D2240&gt;0,E2240&lt;=0),24+12*D2240/(D2240-E2240),"")</f>
        <v/>
      </c>
      <c r="F2241" s="77" t="str">
        <f aca="false">IF(AND(E2240&gt;0,F2240&lt;=0),36+12*E2240/(E2240-F2240),"")</f>
        <v/>
      </c>
      <c r="G2241" s="77" t="str">
        <f aca="false">IF(AND(F2240&gt;0,G2240&lt;=0),48+12*F2240/(F2240-G2240),"")</f>
        <v/>
      </c>
      <c r="H2241" s="2" t="s">
        <v>1459</v>
      </c>
    </row>
    <row r="2242" customFormat="false" ht="15" hidden="false" customHeight="false" outlineLevel="1" collapsed="false">
      <c r="A2242" s="56" t="s">
        <v>801</v>
      </c>
      <c r="B2242" s="57" t="s">
        <v>274</v>
      </c>
      <c r="C2242" s="78" t="n">
        <f aca="false">IF(COUNT($C$2241:$G$2241)=0,"&gt; 60",MIN($C$2241:$G$2241))</f>
        <v>14.056613059258</v>
      </c>
      <c r="H2242" s="2" t="s">
        <v>1460</v>
      </c>
    </row>
    <row r="2243" customFormat="false" ht="15" hidden="false" customHeight="false" outlineLevel="0" collapsed="false">
      <c r="A2243" s="3" t="s">
        <v>1461</v>
      </c>
      <c r="B2243" s="4"/>
      <c r="C2243" s="4"/>
      <c r="D2243" s="4"/>
      <c r="E2243" s="4"/>
      <c r="F2243" s="4"/>
      <c r="G2243" s="4"/>
      <c r="H2243" s="4"/>
    </row>
    <row r="2244" customFormat="false" ht="15" hidden="false" customHeight="false" outlineLevel="1" collapsed="false">
      <c r="A2244" s="7" t="s">
        <v>803</v>
      </c>
      <c r="B2244" s="8" t="s">
        <v>18</v>
      </c>
      <c r="C2244" s="77" t="str">
        <f aca="false">IF(C2163&gt;=0,1,"")</f>
        <v/>
      </c>
      <c r="D2244" s="77" t="str">
        <f aca="false">IF(AND(C2163&lt;0,D2163&gt;=0),6.5+12*(-C2163)/(D2163-C2163),"")</f>
        <v/>
      </c>
      <c r="E2244" s="77" t="str">
        <f aca="false">IF(AND(D2163&lt;0,E2163&gt;=0),18.5+12*(-D2163)/(E2163-D2163),"")</f>
        <v/>
      </c>
      <c r="F2244" s="77" t="str">
        <f aca="false">IF(AND(E2163&lt;0,F2163&gt;=0),30.5+12*(-E2163)/(F2163-E2163),"")</f>
        <v/>
      </c>
      <c r="G2244" s="77" t="str">
        <f aca="false">IF(AND(F2163&lt;0,G2163&gt;=0),42.5+12*(-F2163)/(G2163-F2163),"")</f>
        <v/>
      </c>
      <c r="H2244" s="2" t="s">
        <v>1462</v>
      </c>
    </row>
    <row r="2245" customFormat="false" ht="15" hidden="false" customHeight="false" outlineLevel="1" collapsed="false">
      <c r="A2245" s="7" t="s">
        <v>804</v>
      </c>
      <c r="B2245" s="8" t="s">
        <v>18</v>
      </c>
      <c r="C2245" s="79" t="str">
        <f aca="false">IF(COUNT($C$2244:$G$2244)=0,"não atinge até 2031",ROUNDUP(MIN($C$2244:$G$2244),0))</f>
        <v>não atinge até 2031</v>
      </c>
      <c r="H2245" s="2" t="s">
        <v>1463</v>
      </c>
    </row>
    <row r="2246" customFormat="false" ht="15" hidden="false" customHeight="false" outlineLevel="1" collapsed="false">
      <c r="A2246" s="56" t="s">
        <v>805</v>
      </c>
      <c r="B2246" s="57" t="s">
        <v>806</v>
      </c>
      <c r="C2246" s="80" t="str">
        <f aca="false">IF(ISNUMBER(C2245),DATE(2027,C2245,1),"não atinge até 2031")</f>
        <v>não atinge até 2031</v>
      </c>
      <c r="H2246" s="2" t="s">
        <v>1464</v>
      </c>
    </row>
    <row r="2247" customFormat="false" ht="15" hidden="false" customHeight="false" outlineLevel="1" collapsed="false">
      <c r="A2247" s="7" t="s">
        <v>807</v>
      </c>
      <c r="B2247" s="8" t="s">
        <v>20</v>
      </c>
      <c r="C2247" s="81" t="str">
        <f aca="false">IF(C2163&gt;=0,C1952,"")</f>
        <v/>
      </c>
      <c r="D2247" s="81" t="str">
        <f aca="false">IF(D2163&gt;=0,D1952,"")</f>
        <v/>
      </c>
      <c r="E2247" s="81" t="str">
        <f aca="false">IF(E2163&gt;=0,E1952,"")</f>
        <v/>
      </c>
      <c r="F2247" s="81" t="str">
        <f aca="false">IF(F2163&gt;=0,F1952,"")</f>
        <v/>
      </c>
      <c r="G2247" s="81" t="str">
        <f aca="false">IF(G2163&gt;=0,G1952,"")</f>
        <v/>
      </c>
      <c r="H2247" s="2" t="s">
        <v>1465</v>
      </c>
    </row>
    <row r="2248" customFormat="false" ht="15" hidden="false" customHeight="false" outlineLevel="1" collapsed="false">
      <c r="A2248" s="7" t="s">
        <v>808</v>
      </c>
      <c r="B2248" s="8" t="s">
        <v>20</v>
      </c>
      <c r="C2248" s="75" t="str">
        <f aca="false">IF(COUNT($C$2247:$G$2247)=0,"não atinge até 2031",MIN($C$2247:$G$2247))</f>
        <v>não atinge até 2031</v>
      </c>
      <c r="H2248" s="2" t="s">
        <v>1466</v>
      </c>
    </row>
    <row r="2249" customFormat="false" ht="15" hidden="false" customHeight="false" outlineLevel="1" collapsed="false">
      <c r="A2249" s="7" t="s">
        <v>809</v>
      </c>
      <c r="B2249" s="8" t="s">
        <v>20</v>
      </c>
      <c r="C2249" s="81" t="str">
        <f aca="false">IF(C2181&gt;=0,C1952,"")</f>
        <v/>
      </c>
      <c r="D2249" s="81" t="str">
        <f aca="false">IF(D2181&gt;=0,D1952,"")</f>
        <v/>
      </c>
      <c r="E2249" s="81" t="str">
        <f aca="false">IF(E2181&gt;=0,E1952,"")</f>
        <v/>
      </c>
      <c r="F2249" s="81" t="str">
        <f aca="false">IF(F2181&gt;=0,F1952,"")</f>
        <v/>
      </c>
      <c r="G2249" s="81" t="str">
        <f aca="false">IF(G2181&gt;=0,G1952,"")</f>
        <v/>
      </c>
      <c r="H2249" s="2" t="s">
        <v>1467</v>
      </c>
    </row>
    <row r="2250" customFormat="false" ht="15" hidden="false" customHeight="false" outlineLevel="1" collapsed="false">
      <c r="A2250" s="7" t="s">
        <v>810</v>
      </c>
      <c r="B2250" s="8" t="s">
        <v>20</v>
      </c>
      <c r="C2250" s="75" t="str">
        <f aca="false">IF(COUNT($C$2249:$G$2249)=0,"não atinge até 2031",MIN($C$2249:$G$2249))</f>
        <v>não atinge até 2031</v>
      </c>
      <c r="H2250" s="2" t="s">
        <v>1468</v>
      </c>
    </row>
    <row r="2251" customFormat="false" ht="15" hidden="false" customHeight="false" outlineLevel="1" collapsed="false">
      <c r="A2251" s="7" t="s">
        <v>811</v>
      </c>
      <c r="B2251" s="8" t="s">
        <v>20</v>
      </c>
      <c r="C2251" s="81" t="str">
        <f aca="false">IF(C2206&gt;=0,C1952,"")</f>
        <v/>
      </c>
      <c r="D2251" s="81" t="str">
        <f aca="false">IF(D2206&gt;=0,D1952,"")</f>
        <v/>
      </c>
      <c r="E2251" s="81" t="str">
        <f aca="false">IF(E2206&gt;=0,E1952,"")</f>
        <v/>
      </c>
      <c r="F2251" s="81" t="str">
        <f aca="false">IF(F2206&gt;=0,F1952,"")</f>
        <v/>
      </c>
      <c r="G2251" s="81" t="str">
        <f aca="false">IF(G2206&gt;=0,G1952,"")</f>
        <v/>
      </c>
      <c r="H2251" s="2" t="s">
        <v>1469</v>
      </c>
    </row>
    <row r="2252" customFormat="false" ht="15" hidden="false" customHeight="false" outlineLevel="1" collapsed="false">
      <c r="A2252" s="7" t="s">
        <v>19</v>
      </c>
      <c r="B2252" s="8" t="s">
        <v>20</v>
      </c>
      <c r="C2252" s="75" t="str">
        <f aca="false">IF(COUNT($C$2251:$G$2251)=0,"não atinge até 2031",MIN($C$2251:$G$2251))</f>
        <v>não atinge até 2031</v>
      </c>
      <c r="H2252" s="2" t="s">
        <v>1470</v>
      </c>
    </row>
    <row r="2253" customFormat="false" ht="15" hidden="false" customHeight="false" outlineLevel="0" collapsed="false">
      <c r="A2253" s="3" t="s">
        <v>1471</v>
      </c>
      <c r="B2253" s="4"/>
      <c r="C2253" s="4"/>
      <c r="D2253" s="4"/>
      <c r="E2253" s="4"/>
      <c r="F2253" s="4"/>
      <c r="G2253" s="4"/>
      <c r="H2253" s="4"/>
    </row>
    <row r="2254" customFormat="false" ht="15" hidden="false" customHeight="false" outlineLevel="1" collapsed="false">
      <c r="A2254" s="7" t="s">
        <v>813</v>
      </c>
      <c r="B2254" s="8" t="s">
        <v>11</v>
      </c>
      <c r="C2254" s="61" t="n">
        <f aca="false">C2189</f>
        <v>0</v>
      </c>
      <c r="D2254" s="61" t="n">
        <f aca="false">D2189</f>
        <v>309471.125856164</v>
      </c>
      <c r="E2254" s="61" t="n">
        <f aca="false">E2189</f>
        <v>559000.595034246</v>
      </c>
      <c r="F2254" s="61" t="n">
        <f aca="false">F2189</f>
        <v>966973.446061644</v>
      </c>
      <c r="G2254" s="61" t="n">
        <f aca="false">G2189</f>
        <v>1476901.4640411</v>
      </c>
      <c r="H2254" s="2" t="s">
        <v>1472</v>
      </c>
    </row>
    <row r="2255" customFormat="false" ht="15" hidden="false" customHeight="false" outlineLevel="1" collapsed="false">
      <c r="A2255" s="7" t="s">
        <v>509</v>
      </c>
      <c r="B2255" s="8" t="s">
        <v>76</v>
      </c>
      <c r="C2255" s="82" t="n">
        <f aca="false">Pressupostos!$C$288</f>
        <v>0.08</v>
      </c>
      <c r="D2255" s="82" t="n">
        <f aca="false">Pressupostos!$D$288</f>
        <v>0.08</v>
      </c>
      <c r="E2255" s="82" t="n">
        <f aca="false">Pressupostos!$E$288</f>
        <v>0.075</v>
      </c>
      <c r="F2255" s="82" t="n">
        <f aca="false">Pressupostos!$F$288</f>
        <v>0.07</v>
      </c>
      <c r="G2255" s="82" t="n">
        <f aca="false">Pressupostos!$G$288</f>
        <v>0.07</v>
      </c>
      <c r="H2255" s="2" t="s">
        <v>1473</v>
      </c>
    </row>
    <row r="2256" customFormat="false" ht="15" hidden="false" customHeight="false" outlineLevel="1" collapsed="false">
      <c r="A2256" s="7" t="s">
        <v>814</v>
      </c>
      <c r="B2256" s="8" t="s">
        <v>76</v>
      </c>
      <c r="C2256" s="60" t="n">
        <f aca="false">Pressupostos!$C$288*(1-Pressupostos!$C$111)</f>
        <v>0.0576</v>
      </c>
      <c r="D2256" s="60" t="n">
        <f aca="false">Pressupostos!$D$288*(1-Pressupostos!$C$111)</f>
        <v>0.0576</v>
      </c>
      <c r="E2256" s="60" t="n">
        <f aca="false">Pressupostos!$E$288*(1-Pressupostos!$C$111)</f>
        <v>0.054</v>
      </c>
      <c r="F2256" s="60" t="n">
        <f aca="false">Pressupostos!$F$288*(1-Pressupostos!$C$111)</f>
        <v>0.0504</v>
      </c>
      <c r="G2256" s="60" t="n">
        <f aca="false">Pressupostos!$G$288*(1-Pressupostos!$C$111)</f>
        <v>0.0504</v>
      </c>
      <c r="H2256" s="2" t="s">
        <v>1474</v>
      </c>
    </row>
    <row r="2257" customFormat="false" ht="15" hidden="false" customHeight="false" outlineLevel="1" collapsed="false">
      <c r="A2257" s="7" t="s">
        <v>815</v>
      </c>
      <c r="B2257" s="8" t="s">
        <v>11</v>
      </c>
      <c r="C2257" s="61" t="n">
        <f aca="false">C2093</f>
        <v>0</v>
      </c>
      <c r="D2257" s="61" t="n">
        <f aca="false">D2093</f>
        <v>23317.0273972603</v>
      </c>
      <c r="E2257" s="61" t="n">
        <f aca="false">E2093</f>
        <v>38771.0637842466</v>
      </c>
      <c r="F2257" s="61" t="n">
        <f aca="false">F2093</f>
        <v>62547.834760274</v>
      </c>
      <c r="G2257" s="61" t="n">
        <f aca="false">G2093</f>
        <v>95536.1558219178</v>
      </c>
      <c r="H2257" s="2" t="s">
        <v>1475</v>
      </c>
    </row>
    <row r="2258" customFormat="false" ht="15" hidden="false" customHeight="false" outlineLevel="1" collapsed="false">
      <c r="A2258" s="7" t="s">
        <v>816</v>
      </c>
      <c r="B2258" s="8" t="s">
        <v>76</v>
      </c>
      <c r="C2258" s="59" t="n">
        <f aca="false">IF(C2189&gt;0,(C2192+C2194)/C2189,0)</f>
        <v>0</v>
      </c>
      <c r="D2258" s="59" t="n">
        <f aca="false">IF(D2189&gt;0,(D2192+D2194)/D2189,0)</f>
        <v>0.138888888888889</v>
      </c>
      <c r="E2258" s="59" t="n">
        <f aca="false">IF(E2189&gt;0,(E2192+E2194)/E2189,0)</f>
        <v>0.138888888888889</v>
      </c>
      <c r="F2258" s="59" t="n">
        <f aca="false">IF(F2189&gt;0,(F2192+F2194)/F2189,0)</f>
        <v>0.138888888888889</v>
      </c>
      <c r="G2258" s="59" t="n">
        <f aca="false">IF(G2189&gt;0,(G2192+G2194)/G2189,0)</f>
        <v>0.138888888888889</v>
      </c>
      <c r="H2258" s="2" t="s">
        <v>1476</v>
      </c>
    </row>
    <row r="2259" customFormat="false" ht="15" hidden="false" customHeight="false" outlineLevel="1" collapsed="false">
      <c r="A2259" s="7" t="s">
        <v>817</v>
      </c>
      <c r="B2259" s="8" t="s">
        <v>123</v>
      </c>
      <c r="C2259" s="61" t="n">
        <f aca="false">C2195</f>
        <v>0</v>
      </c>
      <c r="D2259" s="61" t="n">
        <f aca="false">D2195</f>
        <v>6.18942251712329</v>
      </c>
      <c r="E2259" s="61" t="n">
        <f aca="false">E2195</f>
        <v>11.1800119006849</v>
      </c>
      <c r="F2259" s="61" t="n">
        <f aca="false">F2195</f>
        <v>19.3394689212329</v>
      </c>
      <c r="G2259" s="61" t="n">
        <f aca="false">G2195</f>
        <v>29.5380292808219</v>
      </c>
      <c r="H2259" s="2" t="s">
        <v>1477</v>
      </c>
    </row>
    <row r="2260" customFormat="false" ht="15" hidden="false" customHeight="false" outlineLevel="1" collapsed="false">
      <c r="A2260" s="7" t="s">
        <v>818</v>
      </c>
      <c r="B2260" s="8" t="s">
        <v>11</v>
      </c>
      <c r="C2260" s="61" t="n">
        <f aca="false">C2093+C2139</f>
        <v>65000</v>
      </c>
      <c r="D2260" s="61" t="n">
        <f aca="false">D2093+D2139</f>
        <v>88317.0273972603</v>
      </c>
      <c r="E2260" s="61" t="n">
        <f aca="false">E2093+E2139</f>
        <v>108771.063784247</v>
      </c>
      <c r="F2260" s="61" t="n">
        <f aca="false">F2093+F2139</f>
        <v>137547.834760274</v>
      </c>
      <c r="G2260" s="61" t="n">
        <f aca="false">G2093+G2139</f>
        <v>175536.155821918</v>
      </c>
      <c r="H2260" s="2" t="s">
        <v>1478</v>
      </c>
    </row>
    <row r="2261" customFormat="false" ht="15" hidden="false" customHeight="false" outlineLevel="1" collapsed="false">
      <c r="A2261" s="7" t="s">
        <v>819</v>
      </c>
      <c r="B2261" s="8" t="s">
        <v>76</v>
      </c>
      <c r="C2261" s="59" t="str">
        <f aca="false">IF(C2189&gt;0,C2260/C2189,"")</f>
        <v/>
      </c>
      <c r="D2261" s="59" t="n">
        <f aca="false">IF(D2189&gt;0,D2260/D2189,"")</f>
        <v>0.285380508934162</v>
      </c>
      <c r="E2261" s="59" t="n">
        <f aca="false">IF(E2189&gt;0,E2260/E2189,"")</f>
        <v>0.194581302328637</v>
      </c>
      <c r="F2261" s="59" t="n">
        <f aca="false">IF(F2189&gt;0,F2260/F2189,"")</f>
        <v>0.142245720728411</v>
      </c>
      <c r="G2261" s="59" t="n">
        <f aca="false">IF(G2189&gt;0,G2260/G2189,"")</f>
        <v>0.118854344785884</v>
      </c>
      <c r="H2261" s="2" t="s">
        <v>1479</v>
      </c>
    </row>
    <row r="2262" customFormat="false" ht="15" hidden="false" customHeight="false" outlineLevel="0" collapsed="false">
      <c r="A2262" s="3" t="s">
        <v>1480</v>
      </c>
      <c r="B2262" s="4"/>
      <c r="C2262" s="4"/>
      <c r="D2262" s="4"/>
      <c r="E2262" s="4"/>
      <c r="F2262" s="4"/>
      <c r="G2262" s="4"/>
      <c r="H2262" s="4"/>
    </row>
    <row r="2263" customFormat="false" ht="15" hidden="false" customHeight="false" outlineLevel="1" collapsed="false">
      <c r="A2263" s="7" t="s">
        <v>821</v>
      </c>
      <c r="B2263" s="8" t="s">
        <v>11</v>
      </c>
      <c r="C2263" s="61" t="n">
        <f aca="false">MAX(0,-C2163)</f>
        <v>713683.891832192</v>
      </c>
      <c r="D2263" s="61" t="n">
        <f aca="false">MAX(0,-D2163)</f>
        <v>811761.453106654</v>
      </c>
      <c r="E2263" s="61" t="n">
        <f aca="false">MAX(0,-E2163)</f>
        <v>1007106.76544325</v>
      </c>
      <c r="F2263" s="61" t="n">
        <f aca="false">MAX(0,-F2163)</f>
        <v>1168829.48526446</v>
      </c>
      <c r="G2263" s="61" t="n">
        <f aca="false">MAX(0,-G2163)</f>
        <v>1334642.64659631</v>
      </c>
      <c r="H2263" s="2" t="s">
        <v>1481</v>
      </c>
    </row>
    <row r="2264" customFormat="false" ht="15" hidden="false" customHeight="false" outlineLevel="1" collapsed="false">
      <c r="A2264" s="2" t="s">
        <v>822</v>
      </c>
      <c r="B2264" s="8"/>
      <c r="C2264" s="61" t="n">
        <f aca="false">IF(AND(C1952&gt;=Pressupostos!$C$120,Pressupostos!$C$118*(C2046+C2047)+Pressupostos!$C$119*C2048&gt;Pressupostos!$C$300),1,0)</f>
        <v>0</v>
      </c>
      <c r="D2264" s="61" t="n">
        <f aca="false">IF(AND(D1952&gt;=Pressupostos!$C$120,Pressupostos!$C$118*(D2046+D2047)+Pressupostos!$C$119*D2048&gt;Pressupostos!$D$300),1,0)</f>
        <v>1</v>
      </c>
      <c r="E2264" s="61" t="n">
        <f aca="false">IF(AND(E1952&gt;=Pressupostos!$C$120,Pressupostos!$C$118*(E2046+E2047)+Pressupostos!$C$119*E2048&gt;Pressupostos!$E$300),1,0)</f>
        <v>1</v>
      </c>
      <c r="F2264" s="61" t="n">
        <f aca="false">IF(AND(F1952&gt;=Pressupostos!$C$120,Pressupostos!$C$118*(F2046+F2047)+Pressupostos!$C$119*F2048&gt;Pressupostos!$F$300),1,0)</f>
        <v>1</v>
      </c>
      <c r="G2264" s="61" t="n">
        <f aca="false">IF(AND(G1952&gt;=Pressupostos!$C$120,Pressupostos!$C$118*(G2046+G2047)+Pressupostos!$C$119*G2048&gt;Pressupostos!$G$300),1,0)</f>
        <v>1</v>
      </c>
      <c r="H2264" s="2" t="s">
        <v>1482</v>
      </c>
    </row>
    <row r="2265" customFormat="false" ht="15" hidden="false" customHeight="false" outlineLevel="1" collapsed="false">
      <c r="A2265" s="7" t="s">
        <v>823</v>
      </c>
      <c r="B2265" s="8" t="s">
        <v>64</v>
      </c>
      <c r="C2265" s="63" t="n">
        <f aca="false">IF(C1956&gt;0,C2263/(C1956*1000*(1-Pressupostos!$D$22)*(1-Pressupostos!$D$25-C2264*Pressupostos!$C$118)),"n/a")</f>
        <v>13.7659881921185</v>
      </c>
      <c r="D2265" s="63" t="n">
        <f aca="false">IF(D1956&gt;0,D2263/(D1956*1000*(1-Pressupostos!$D$22)*(1-Pressupostos!$D$25-D2264*Pressupostos!$C$118)),"n/a")</f>
        <v>2.25202159775912</v>
      </c>
      <c r="E2265" s="63" t="n">
        <f aca="false">IF(E1956&gt;0,E2263/(E1956*1000*(1-Pressupostos!$D$22)*(1-Pressupostos!$D$25-E2264*Pressupostos!$C$118)),"n/a")</f>
        <v>1.41451354101198</v>
      </c>
      <c r="F2265" s="63" t="n">
        <f aca="false">IF(F1956&gt;0,F2263/(F1956*1000*(1-Pressupostos!$D$22)*(1-Pressupostos!$D$25-F2264*Pressupostos!$C$118)),"n/a")</f>
        <v>0.994986448047967</v>
      </c>
      <c r="G2265" s="63" t="n">
        <f aca="false">IF(G1956&gt;0,G2263/(G1956*1000*(1-Pressupostos!$D$22)*(1-Pressupostos!$D$25-G2264*Pressupostos!$C$118)),"n/a")</f>
        <v>0.7508664824702</v>
      </c>
      <c r="H2265" s="2" t="s">
        <v>1483</v>
      </c>
    </row>
    <row r="2266" customFormat="false" ht="15" hidden="false" customHeight="false" outlineLevel="1" collapsed="false">
      <c r="A2266" s="7" t="s">
        <v>824</v>
      </c>
      <c r="B2266" s="8" t="s">
        <v>64</v>
      </c>
      <c r="C2266" s="63" t="n">
        <f aca="false">IF(C1955&gt;0,Pressupostos!$D$15+C2263/(C1955*1000*(1-(Pressupostos!$C$193))*(1-Pressupostos!$D$18-C2264*Pressupostos!$C$118)),"n/a")</f>
        <v>111.237035719048</v>
      </c>
      <c r="D2266" s="63" t="n">
        <f aca="false">IF(D1955&gt;0,Pressupostos!$D$15+D2263/(D1955*1000*(1-(Pressupostos!$C$193))*(1-Pressupostos!$D$18-D2264*Pressupostos!$C$118)),"n/a")</f>
        <v>31.7218939187312</v>
      </c>
      <c r="E2266" s="63" t="n">
        <f aca="false">IF(E1955&gt;0,Pressupostos!$D$15+E2263/(E1955*1000*(1-(Pressupostos!$C$193))*(1-Pressupostos!$D$18-E2264*Pressupostos!$C$118)),"n/a")</f>
        <v>14.6484923578398</v>
      </c>
      <c r="F2266" s="63" t="n">
        <f aca="false">IF(F1955&gt;0,Pressupostos!$D$15+F2263/(F1955*1000*(1-(Pressupostos!$C$193))*(1-Pressupostos!$D$18-F2264*Pressupostos!$C$118)),"n/a")</f>
        <v>10.8521848147234</v>
      </c>
      <c r="G2266" s="63" t="n">
        <f aca="false">IF(G1955&gt;0,Pressupostos!$D$15+G2263/(G1955*1000*(1-(Pressupostos!$C$193))*(1-Pressupostos!$D$18-G2264*Pressupostos!$C$118)),"n/a")</f>
        <v>9.51836122080578</v>
      </c>
      <c r="H2266" s="2" t="s">
        <v>1484</v>
      </c>
    </row>
    <row r="2267" customFormat="false" ht="15" hidden="false" customHeight="false" outlineLevel="1" collapsed="false">
      <c r="A2267" s="7" t="s">
        <v>825</v>
      </c>
      <c r="B2267" s="8" t="s">
        <v>64</v>
      </c>
      <c r="C2267" s="63" t="n">
        <f aca="false">IF(Pressupostos!$D$33=1,C2038-C2264*Pressupostos!$C$119*C2021,C2044)</f>
        <v>0.00725</v>
      </c>
      <c r="D2267" s="63" t="n">
        <f aca="false">IF(Pressupostos!$D$33=1,D2038-D2264*Pressupostos!$C$119*D2021,D2044)</f>
        <v>0.00725</v>
      </c>
      <c r="E2267" s="63" t="n">
        <f aca="false">IF(Pressupostos!$D$33=1,E2038-E2264*Pressupostos!$C$119*E2021,E2044)</f>
        <v>0.00725</v>
      </c>
      <c r="F2267" s="63" t="n">
        <f aca="false">IF(Pressupostos!$D$33=1,F2038-F2264*Pressupostos!$C$119*F2021,F2044)</f>
        <v>0.00725</v>
      </c>
      <c r="G2267" s="63" t="n">
        <f aca="false">IF(Pressupostos!$D$33=1,G2038-G2264*Pressupostos!$C$119*G2021,G2044)</f>
        <v>0.00725</v>
      </c>
      <c r="H2267" s="2" t="s">
        <v>1485</v>
      </c>
    </row>
    <row r="2268" customFormat="false" ht="15" hidden="false" customHeight="false" outlineLevel="1" collapsed="false">
      <c r="A2268" s="7" t="s">
        <v>826</v>
      </c>
      <c r="B2268" s="8" t="s">
        <v>120</v>
      </c>
      <c r="C2268" s="55" t="n">
        <f aca="false">IF(C2267&gt;0,C1957+C2263/(C2267*1000),"n/a")</f>
        <v>98439.1574940955</v>
      </c>
      <c r="D2268" s="55" t="n">
        <f aca="false">IF(D2267&gt;0,D1957+D2263/(D2267*1000),"n/a")</f>
        <v>111967.096980228</v>
      </c>
      <c r="E2268" s="55" t="n">
        <f aca="false">IF(E2267&gt;0,E1957+E2263/(E2267*1000),"n/a")</f>
        <v>138911.277992172</v>
      </c>
      <c r="F2268" s="55" t="n">
        <f aca="false">IF(F2267&gt;0,F1957+F2263/(F2267*1000),"n/a")</f>
        <v>161217.860036477</v>
      </c>
      <c r="G2268" s="55" t="n">
        <f aca="false">IF(G2267&gt;0,G1957+G2263/(G2267*1000),"n/a")</f>
        <v>184088.640909836</v>
      </c>
      <c r="H2268" s="2" t="s">
        <v>1486</v>
      </c>
    </row>
    <row r="2269" customFormat="false" ht="15" hidden="false" customHeight="false" outlineLevel="1" collapsed="false">
      <c r="A2269" s="7" t="s">
        <v>827</v>
      </c>
      <c r="B2269" s="8" t="s">
        <v>76</v>
      </c>
      <c r="C2269" s="59" t="n">
        <f aca="false">C2263/(C2125+C2138+C2139)</f>
        <v>0.991247461098511</v>
      </c>
      <c r="D2269" s="59" t="n">
        <f aca="false">D2263/(D2125+D2138+D2139)</f>
        <v>0.985587694486457</v>
      </c>
      <c r="E2269" s="59" t="n">
        <f aca="false">E2263/(E2125+E2138+E2139)</f>
        <v>0.937570320114396</v>
      </c>
      <c r="F2269" s="59" t="n">
        <f aca="false">F2263/(F2125+F2138+F2139)</f>
        <v>0.895558625864485</v>
      </c>
      <c r="G2269" s="59" t="n">
        <f aca="false">G2263/(G2125+G2138+G2139)</f>
        <v>0.854908953797765</v>
      </c>
      <c r="H2269" s="2" t="s">
        <v>1487</v>
      </c>
    </row>
    <row r="2270" customFormat="false" ht="15" hidden="false" customHeight="false" outlineLevel="1" collapsed="false">
      <c r="A2270" s="2" t="s">
        <v>828</v>
      </c>
      <c r="B2270" s="8" t="s">
        <v>76</v>
      </c>
      <c r="C2270" s="60" t="n">
        <f aca="false">Pressupostos!$C$101*Pressupostos!$C$102+Pressupostos!$C$103-Pressupostos!$D$30*Pressupostos!$C$104*Pressupostos!$C$102/(Pressupostos!$C$105*Pressupostos!$C$106)</f>
        <v>0.00354285714285715</v>
      </c>
      <c r="D2270" s="60" t="n">
        <f aca="false">Pressupostos!$C$101*Pressupostos!$C$102+Pressupostos!$C$103-Pressupostos!$D$30*Pressupostos!$C$104*Pressupostos!$C$102/(Pressupostos!$C$105*Pressupostos!$C$106)</f>
        <v>0.00354285714285715</v>
      </c>
      <c r="E2270" s="60" t="n">
        <f aca="false">Pressupostos!$C$101*Pressupostos!$C$102+Pressupostos!$C$103-Pressupostos!$D$30*Pressupostos!$C$104*Pressupostos!$C$102/(Pressupostos!$C$105*Pressupostos!$C$106)</f>
        <v>0.00354285714285715</v>
      </c>
      <c r="F2270" s="60" t="n">
        <f aca="false">Pressupostos!$C$101*Pressupostos!$C$102+Pressupostos!$C$103-Pressupostos!$D$30*Pressupostos!$C$104*Pressupostos!$C$102/(Pressupostos!$C$105*Pressupostos!$C$106)</f>
        <v>0.00354285714285715</v>
      </c>
      <c r="G2270" s="60" t="n">
        <f aca="false">Pressupostos!$C$101*Pressupostos!$C$102+Pressupostos!$C$103-Pressupostos!$D$30*Pressupostos!$C$104*Pressupostos!$C$102/(Pressupostos!$C$105*Pressupostos!$C$106)</f>
        <v>0.00354285714285715</v>
      </c>
      <c r="H2270" s="2" t="s">
        <v>1488</v>
      </c>
    </row>
    <row r="2271" customFormat="false" ht="15" hidden="false" customHeight="false" outlineLevel="1" collapsed="false">
      <c r="A2271" s="7" t="s">
        <v>829</v>
      </c>
      <c r="B2271" s="8" t="s">
        <v>11</v>
      </c>
      <c r="C2271" s="61" t="n">
        <f aca="false">IF(C2270&gt;0,C1970+C2263/C2270,"n/a")</f>
        <v>201443033.984893</v>
      </c>
      <c r="D2271" s="61" t="n">
        <f aca="false">IF(D2270&gt;0,D1970+D2263/D2270,"n/a")</f>
        <v>229626216.602684</v>
      </c>
      <c r="E2271" s="61" t="n">
        <f aca="false">IF(E2270&gt;0,E1970+E2263/E2270,"n/a")</f>
        <v>285764006.37511</v>
      </c>
      <c r="F2271" s="61" t="n">
        <f aca="false">IF(F2270&gt;0,F1970+F2263/F2270,"n/a")</f>
        <v>332911548.260129</v>
      </c>
      <c r="G2271" s="61" t="n">
        <f aca="false">IF(G2270&gt;0,G1970+G2263/G2270,"n/a")</f>
        <v>381713650.248957</v>
      </c>
      <c r="H2271" s="2" t="s">
        <v>1489</v>
      </c>
    </row>
    <row r="2274" customFormat="false" ht="15" hidden="false" customHeight="false" outlineLevel="0" collapsed="false">
      <c r="A2274" s="111" t="s">
        <v>1496</v>
      </c>
      <c r="B2274" s="112"/>
      <c r="C2274" s="112"/>
      <c r="D2274" s="112"/>
      <c r="E2274" s="112"/>
      <c r="F2274" s="112"/>
      <c r="G2274" s="112"/>
      <c r="H2274" s="112"/>
    </row>
    <row r="2275" customFormat="false" ht="15" hidden="false" customHeight="false" outlineLevel="0" collapsed="false">
      <c r="A2275" s="3" t="s">
        <v>1170</v>
      </c>
      <c r="B2275" s="4"/>
      <c r="C2275" s="4"/>
      <c r="D2275" s="4"/>
      <c r="E2275" s="4"/>
      <c r="F2275" s="4"/>
      <c r="G2275" s="4"/>
      <c r="H2275" s="4"/>
    </row>
    <row r="2276" customFormat="false" ht="15" hidden="false" customHeight="false" outlineLevel="1" collapsed="false">
      <c r="A2276" s="7" t="s">
        <v>588</v>
      </c>
      <c r="B2276" s="8"/>
      <c r="C2276" s="52" t="n">
        <v>2027</v>
      </c>
      <c r="D2276" s="52" t="n">
        <v>2028</v>
      </c>
      <c r="E2276" s="52" t="n">
        <v>2029</v>
      </c>
      <c r="F2276" s="52" t="n">
        <v>2030</v>
      </c>
      <c r="G2276" s="52" t="n">
        <v>2031</v>
      </c>
      <c r="H2276" s="2" t="s">
        <v>20</v>
      </c>
    </row>
    <row r="2277" customFormat="false" ht="15" hidden="false" customHeight="false" outlineLevel="0" collapsed="false">
      <c r="A2277" s="3" t="s">
        <v>1171</v>
      </c>
      <c r="B2277" s="4"/>
      <c r="C2277" s="4"/>
      <c r="D2277" s="4"/>
      <c r="E2277" s="4"/>
      <c r="F2277" s="4"/>
      <c r="G2277" s="4"/>
      <c r="H2277" s="4"/>
    </row>
    <row r="2278" customFormat="false" ht="15" hidden="false" customHeight="false" outlineLevel="1" collapsed="false">
      <c r="A2278" s="7" t="s">
        <v>387</v>
      </c>
      <c r="B2278" s="8" t="s">
        <v>123</v>
      </c>
      <c r="C2278" s="61" t="n">
        <f aca="false">(Pressupostos!$C$213*(1+Pressupostos!$C$194))</f>
        <v>28</v>
      </c>
      <c r="D2278" s="61" t="n">
        <f aca="false">(Pressupostos!$D$213*(1+Pressupostos!$C$194))</f>
        <v>126</v>
      </c>
      <c r="E2278" s="61" t="n">
        <f aca="false">(Pressupostos!$E$213*(1+Pressupostos!$C$194))</f>
        <v>455</v>
      </c>
      <c r="F2278" s="61" t="n">
        <f aca="false">(Pressupostos!$F$213*(1+Pressupostos!$C$194))</f>
        <v>910</v>
      </c>
      <c r="G2278" s="61" t="n">
        <f aca="false">(Pressupostos!$G$213*(1+Pressupostos!$C$194))</f>
        <v>1400</v>
      </c>
      <c r="H2278" s="2" t="s">
        <v>1172</v>
      </c>
    </row>
    <row r="2279" customFormat="false" ht="15" hidden="false" customHeight="false" outlineLevel="1" collapsed="false">
      <c r="A2279" s="7" t="s">
        <v>590</v>
      </c>
      <c r="B2279" s="8" t="s">
        <v>120</v>
      </c>
      <c r="C2279" s="55" t="n">
        <f aca="false">(Pressupostos!$C$219*(1+Pressupostos!$C$194))</f>
        <v>5.6</v>
      </c>
      <c r="D2279" s="55" t="n">
        <f aca="false">(Pressupostos!$D$219*(1+Pressupostos!$C$194))</f>
        <v>25.9</v>
      </c>
      <c r="E2279" s="55" t="n">
        <f aca="false">(Pressupostos!$E$219*(1+Pressupostos!$C$194))</f>
        <v>93.1</v>
      </c>
      <c r="F2279" s="55" t="n">
        <f aca="false">(Pressupostos!$F$219*(1+Pressupostos!$C$194))</f>
        <v>186.9</v>
      </c>
      <c r="G2279" s="55" t="n">
        <f aca="false">(Pressupostos!$G$219*(1+Pressupostos!$C$194))</f>
        <v>287</v>
      </c>
      <c r="H2279" s="2" t="s">
        <v>1173</v>
      </c>
    </row>
    <row r="2280" customFormat="false" ht="15" hidden="false" customHeight="false" outlineLevel="1" collapsed="false">
      <c r="A2280" s="7" t="s">
        <v>591</v>
      </c>
      <c r="B2280" s="8" t="s">
        <v>120</v>
      </c>
      <c r="C2280" s="55" t="n">
        <f aca="false">(Pressupostos!$C$225*(1+Pressupostos!$C$194))</f>
        <v>36.4</v>
      </c>
      <c r="D2280" s="55" t="n">
        <f aca="false">(Pressupostos!$D$225*(1+Pressupostos!$C$194))</f>
        <v>254.1</v>
      </c>
      <c r="E2280" s="55" t="n">
        <f aca="false">(Pressupostos!$E$225*(1+Pressupostos!$C$194))</f>
        <v>501.9</v>
      </c>
      <c r="F2280" s="55" t="n">
        <f aca="false">(Pressupostos!$F$225*(1+Pressupostos!$C$194))</f>
        <v>828.1</v>
      </c>
      <c r="G2280" s="55" t="n">
        <f aca="false">(Pressupostos!$G$225*(1+Pressupostos!$C$194))</f>
        <v>1253</v>
      </c>
      <c r="H2280" s="2" t="s">
        <v>1174</v>
      </c>
    </row>
    <row r="2281" customFormat="false" ht="15" hidden="false" customHeight="false" outlineLevel="1" collapsed="false">
      <c r="A2281" s="7" t="s">
        <v>398</v>
      </c>
      <c r="B2281" s="8" t="s">
        <v>120</v>
      </c>
      <c r="C2281" s="55" t="n">
        <f aca="false">(Pressupostos!$C$231*(1+Pressupostos!$C$194))</f>
        <v>0</v>
      </c>
      <c r="D2281" s="55" t="n">
        <f aca="false">(Pressupostos!$D$231*(1+Pressupostos!$C$194))</f>
        <v>0</v>
      </c>
      <c r="E2281" s="55" t="n">
        <f aca="false">(Pressupostos!$E$231*(1+Pressupostos!$C$194))</f>
        <v>0</v>
      </c>
      <c r="F2281" s="55" t="n">
        <f aca="false">(Pressupostos!$F$231*(1+Pressupostos!$C$194))</f>
        <v>0</v>
      </c>
      <c r="G2281" s="55" t="n">
        <f aca="false">(Pressupostos!$G$231*(1+Pressupostos!$C$194))</f>
        <v>0</v>
      </c>
      <c r="H2281" s="2" t="s">
        <v>1175</v>
      </c>
    </row>
    <row r="2282" customFormat="false" ht="15" hidden="false" customHeight="false" outlineLevel="1" collapsed="false">
      <c r="A2282" s="7" t="s">
        <v>592</v>
      </c>
      <c r="B2282" s="8" t="s">
        <v>120</v>
      </c>
      <c r="C2282" s="55" t="n">
        <f aca="false">C2281*Pressupostos!$D$33</f>
        <v>0</v>
      </c>
      <c r="D2282" s="55" t="n">
        <f aca="false">D2281*Pressupostos!$D$33</f>
        <v>0</v>
      </c>
      <c r="E2282" s="55" t="n">
        <f aca="false">E2281*Pressupostos!$D$33</f>
        <v>0</v>
      </c>
      <c r="F2282" s="55" t="n">
        <f aca="false">F2281*Pressupostos!$D$33</f>
        <v>0</v>
      </c>
      <c r="G2282" s="55" t="n">
        <f aca="false">G2281*Pressupostos!$D$33</f>
        <v>0</v>
      </c>
      <c r="H2282" s="2" t="s">
        <v>1176</v>
      </c>
    </row>
    <row r="2283" customFormat="false" ht="15" hidden="false" customHeight="false" outlineLevel="1" collapsed="false">
      <c r="A2283" s="7" t="s">
        <v>593</v>
      </c>
      <c r="B2283" s="8" t="s">
        <v>120</v>
      </c>
      <c r="C2283" s="55" t="n">
        <f aca="false">C2281-C2282</f>
        <v>0</v>
      </c>
      <c r="D2283" s="55" t="n">
        <f aca="false">D2281-D2282</f>
        <v>0</v>
      </c>
      <c r="E2283" s="55" t="n">
        <f aca="false">E2281-E2282</f>
        <v>0</v>
      </c>
      <c r="F2283" s="55" t="n">
        <f aca="false">F2281-F2282</f>
        <v>0</v>
      </c>
      <c r="G2283" s="55" t="n">
        <f aca="false">G2281-G2282</f>
        <v>0</v>
      </c>
      <c r="H2283" s="2" t="s">
        <v>1177</v>
      </c>
    </row>
    <row r="2284" customFormat="false" ht="15" hidden="false" customHeight="false" outlineLevel="1" collapsed="false">
      <c r="A2284" s="56" t="s">
        <v>594</v>
      </c>
      <c r="B2284" s="57" t="s">
        <v>120</v>
      </c>
      <c r="C2284" s="58" t="n">
        <f aca="false">C2279+C2280+C2281</f>
        <v>42</v>
      </c>
      <c r="D2284" s="58" t="n">
        <f aca="false">D2279+D2280+D2281</f>
        <v>280</v>
      </c>
      <c r="E2284" s="58" t="n">
        <f aca="false">E2279+E2280+E2281</f>
        <v>595</v>
      </c>
      <c r="F2284" s="58" t="n">
        <f aca="false">F2279+F2280+F2281</f>
        <v>1015</v>
      </c>
      <c r="G2284" s="58" t="n">
        <f aca="false">G2279+G2280+G2281</f>
        <v>1540</v>
      </c>
      <c r="H2284" s="2" t="s">
        <v>1178</v>
      </c>
    </row>
    <row r="2285" customFormat="false" ht="15" hidden="false" customHeight="false" outlineLevel="1" collapsed="false">
      <c r="A2285" s="7" t="s">
        <v>595</v>
      </c>
      <c r="B2285" s="8" t="s">
        <v>76</v>
      </c>
      <c r="C2285" s="59" t="n">
        <f aca="false">IF(C2284&gt;0,C2279/C2284,0)</f>
        <v>0.133333333333333</v>
      </c>
      <c r="D2285" s="59" t="n">
        <f aca="false">IF(D2284&gt;0,D2279/D2284,0)</f>
        <v>0.0925</v>
      </c>
      <c r="E2285" s="59" t="n">
        <f aca="false">IF(E2284&gt;0,E2279/E2284,0)</f>
        <v>0.156470588235294</v>
      </c>
      <c r="F2285" s="59" t="n">
        <f aca="false">IF(F2284&gt;0,F2279/F2284,0)</f>
        <v>0.184137931034483</v>
      </c>
      <c r="G2285" s="59" t="n">
        <f aca="false">IF(G2284&gt;0,G2279/G2284,0)</f>
        <v>0.186363636363636</v>
      </c>
      <c r="H2285" s="2" t="s">
        <v>1179</v>
      </c>
    </row>
    <row r="2286" customFormat="false" ht="15" hidden="false" customHeight="false" outlineLevel="1" collapsed="false">
      <c r="A2286" s="7" t="s">
        <v>596</v>
      </c>
      <c r="B2286" s="8" t="s">
        <v>76</v>
      </c>
      <c r="C2286" s="60" t="n">
        <f aca="false">C2284/(Pressupostos!$C$76*1000)</f>
        <v>0.000247787610619469</v>
      </c>
      <c r="D2286" s="60" t="n">
        <f aca="false">D2284/(Pressupostos!$C$76*1000)</f>
        <v>0.00165191740412979</v>
      </c>
      <c r="E2286" s="60" t="n">
        <f aca="false">E2284/(Pressupostos!$C$76*1000)</f>
        <v>0.00351032448377581</v>
      </c>
      <c r="F2286" s="60" t="n">
        <f aca="false">F2284/(Pressupostos!$C$76*1000)</f>
        <v>0.0059882005899705</v>
      </c>
      <c r="G2286" s="60" t="n">
        <f aca="false">G2284/(Pressupostos!$C$76*1000)</f>
        <v>0.00908554572271387</v>
      </c>
      <c r="H2286" s="2" t="s">
        <v>1180</v>
      </c>
    </row>
    <row r="2287" customFormat="false" ht="15" hidden="false" customHeight="false" outlineLevel="1" collapsed="false">
      <c r="A2287" s="7" t="s">
        <v>597</v>
      </c>
      <c r="B2287" s="8" t="s">
        <v>123</v>
      </c>
      <c r="C2287" s="55" t="n">
        <f aca="false">C2279/Pressupostos!$C$40+C2280/Pressupostos!$C$47+C2281/Pressupostos!$C$59</f>
        <v>1.49333333333333</v>
      </c>
      <c r="D2287" s="55" t="n">
        <f aca="false">D2279/Pressupostos!$C$40+D2280/Pressupostos!$C$47+D2281/Pressupostos!$C$59</f>
        <v>9.765</v>
      </c>
      <c r="E2287" s="55" t="n">
        <f aca="false">E2279/Pressupostos!$C$40+E2280/Pressupostos!$C$47+E2281/Pressupostos!$C$59</f>
        <v>21.385</v>
      </c>
      <c r="F2287" s="55" t="n">
        <f aca="false">F2279/Pressupostos!$C$40+F2280/Pressupostos!$C$47+F2281/Pressupostos!$C$59</f>
        <v>36.9483333333333</v>
      </c>
      <c r="G2287" s="55" t="n">
        <f aca="false">G2279/Pressupostos!$C$40+G2280/Pressupostos!$C$47+G2281/Pressupostos!$C$59</f>
        <v>56.1166666666667</v>
      </c>
      <c r="H2287" s="2" t="s">
        <v>1181</v>
      </c>
    </row>
    <row r="2288" customFormat="false" ht="15" hidden="false" customHeight="false" outlineLevel="0" collapsed="false">
      <c r="A2288" s="3" t="s">
        <v>1182</v>
      </c>
      <c r="B2288" s="4"/>
      <c r="C2288" s="4"/>
      <c r="D2288" s="4"/>
      <c r="E2288" s="4"/>
      <c r="F2288" s="4"/>
      <c r="G2288" s="4"/>
      <c r="H2288" s="4"/>
    </row>
    <row r="2289" customFormat="false" ht="15" hidden="false" customHeight="false" outlineLevel="1" collapsed="false">
      <c r="A2289" s="7" t="s">
        <v>599</v>
      </c>
      <c r="B2289" s="8" t="s">
        <v>202</v>
      </c>
      <c r="C2289" s="61" t="n">
        <f aca="false">(Pressupostos!$C$257*(1+Pressupostos!$C$194))</f>
        <v>105</v>
      </c>
      <c r="D2289" s="61" t="n">
        <f aca="false">(Pressupostos!$D$257*(1+Pressupostos!$C$194))</f>
        <v>420</v>
      </c>
      <c r="E2289" s="61" t="n">
        <f aca="false">(Pressupostos!$E$257*(1+Pressupostos!$C$194))</f>
        <v>700</v>
      </c>
      <c r="F2289" s="61" t="n">
        <f aca="false">(Pressupostos!$F$257*(1+Pressupostos!$C$194))</f>
        <v>980</v>
      </c>
      <c r="G2289" s="61" t="n">
        <f aca="false">(Pressupostos!$G$257*(1+Pressupostos!$C$194))</f>
        <v>1260</v>
      </c>
      <c r="H2289" s="2" t="s">
        <v>1183</v>
      </c>
    </row>
    <row r="2290" customFormat="false" ht="15" hidden="false" customHeight="false" outlineLevel="1" collapsed="false">
      <c r="A2290" s="7" t="s">
        <v>599</v>
      </c>
      <c r="B2290" s="8" t="s">
        <v>189</v>
      </c>
      <c r="C2290" s="61" t="n">
        <f aca="false">C2289*Pressupostos!$C$78</f>
        <v>78750</v>
      </c>
      <c r="D2290" s="61" t="n">
        <f aca="false">D2289*Pressupostos!$C$78</f>
        <v>315000</v>
      </c>
      <c r="E2290" s="61" t="n">
        <f aca="false">E2289*Pressupostos!$C$78</f>
        <v>525000</v>
      </c>
      <c r="F2290" s="61" t="n">
        <f aca="false">F2289*Pressupostos!$C$78</f>
        <v>735000</v>
      </c>
      <c r="G2290" s="61" t="n">
        <f aca="false">G2289*Pressupostos!$C$78</f>
        <v>945000</v>
      </c>
      <c r="H2290" s="2" t="s">
        <v>1184</v>
      </c>
    </row>
    <row r="2291" customFormat="false" ht="15" hidden="false" customHeight="false" outlineLevel="0" collapsed="false">
      <c r="A2291" s="3" t="s">
        <v>1185</v>
      </c>
      <c r="B2291" s="4"/>
      <c r="C2291" s="4"/>
      <c r="D2291" s="4"/>
      <c r="E2291" s="4"/>
      <c r="F2291" s="4"/>
      <c r="G2291" s="4"/>
      <c r="H2291" s="4"/>
    </row>
    <row r="2292" customFormat="false" ht="15" hidden="false" customHeight="false" outlineLevel="1" collapsed="false">
      <c r="A2292" s="7" t="s">
        <v>601</v>
      </c>
      <c r="B2292" s="8" t="s">
        <v>120</v>
      </c>
      <c r="C2292" s="55" t="n">
        <f aca="false">IF(C2276&lt;Pressupostos!$D$28,0,(Pressupostos!$C$263*(1+Pressupostos!$C$194)))</f>
        <v>0</v>
      </c>
      <c r="D2292" s="55" t="n">
        <f aca="false">IF(D2276&lt;Pressupostos!$D$28,0,(Pressupostos!$D$263*(1+Pressupostos!$C$194)))</f>
        <v>0</v>
      </c>
      <c r="E2292" s="55" t="n">
        <f aca="false">IF(E2276&lt;Pressupostos!$D$28,0,(Pressupostos!$E$263*(1+Pressupostos!$C$194)))</f>
        <v>21</v>
      </c>
      <c r="F2292" s="55" t="n">
        <f aca="false">IF(F2276&lt;Pressupostos!$D$28,0,(Pressupostos!$F$263*(1+Pressupostos!$C$194)))</f>
        <v>42</v>
      </c>
      <c r="G2292" s="55" t="n">
        <f aca="false">IF(G2276&lt;Pressupostos!$D$28,0,(Pressupostos!$G$263*(1+Pressupostos!$C$194)))</f>
        <v>70</v>
      </c>
      <c r="H2292" s="2" t="s">
        <v>1186</v>
      </c>
    </row>
    <row r="2293" customFormat="false" ht="15" hidden="false" customHeight="false" outlineLevel="0" collapsed="false">
      <c r="A2293" s="3" t="s">
        <v>1187</v>
      </c>
      <c r="B2293" s="4"/>
      <c r="C2293" s="4"/>
      <c r="D2293" s="4"/>
      <c r="E2293" s="4"/>
      <c r="F2293" s="4"/>
      <c r="G2293" s="4"/>
      <c r="H2293" s="4"/>
    </row>
    <row r="2294" customFormat="false" ht="15" hidden="false" customHeight="false" outlineLevel="1" collapsed="false">
      <c r="A2294" s="7" t="s">
        <v>603</v>
      </c>
      <c r="B2294" s="8" t="s">
        <v>11</v>
      </c>
      <c r="C2294" s="53" t="n">
        <f aca="false">Pressupostos!$C$269</f>
        <v>0</v>
      </c>
      <c r="D2294" s="53" t="n">
        <f aca="false">Pressupostos!$D$269</f>
        <v>500000</v>
      </c>
      <c r="E2294" s="53" t="n">
        <f aca="false">Pressupostos!$E$269</f>
        <v>1500000</v>
      </c>
      <c r="F2294" s="53" t="n">
        <f aca="false">Pressupostos!$F$269</f>
        <v>3000000</v>
      </c>
      <c r="G2294" s="53" t="n">
        <f aca="false">Pressupostos!$G$269</f>
        <v>5000000</v>
      </c>
      <c r="H2294" s="2" t="s">
        <v>1188</v>
      </c>
    </row>
    <row r="2295" customFormat="false" ht="15" hidden="false" customHeight="false" outlineLevel="1" collapsed="false">
      <c r="A2295" s="7" t="s">
        <v>604</v>
      </c>
      <c r="B2295" s="8" t="s">
        <v>120</v>
      </c>
      <c r="C2295" s="55" t="n">
        <f aca="false">C2294/(Pressupostos!$C$105*Pressupostos!$C$106)*Pressupostos!$C$102/1000</f>
        <v>0</v>
      </c>
      <c r="D2295" s="55" t="n">
        <f aca="false">D2294/(Pressupostos!$C$105*Pressupostos!$C$106)*Pressupostos!$C$102/1000</f>
        <v>457.142857142857</v>
      </c>
      <c r="E2295" s="55" t="n">
        <f aca="false">E2294/(Pressupostos!$C$105*Pressupostos!$C$106)*Pressupostos!$C$102/1000</f>
        <v>1371.42857142857</v>
      </c>
      <c r="F2295" s="55" t="n">
        <f aca="false">F2294/(Pressupostos!$C$105*Pressupostos!$C$106)*Pressupostos!$C$102/1000</f>
        <v>2742.85714285714</v>
      </c>
      <c r="G2295" s="55" t="n">
        <f aca="false">G2294/(Pressupostos!$C$105*Pressupostos!$C$106)*Pressupostos!$C$102/1000</f>
        <v>4571.42857142857</v>
      </c>
      <c r="H2295" s="2" t="s">
        <v>1189</v>
      </c>
    </row>
    <row r="2296" customFormat="false" ht="15" hidden="false" customHeight="false" outlineLevel="0" collapsed="false">
      <c r="A2296" s="3" t="s">
        <v>1190</v>
      </c>
      <c r="B2296" s="4"/>
      <c r="C2296" s="4"/>
      <c r="D2296" s="4"/>
      <c r="E2296" s="4"/>
      <c r="F2296" s="4"/>
      <c r="G2296" s="4"/>
      <c r="H2296" s="4"/>
    </row>
    <row r="2297" customFormat="false" ht="15" hidden="false" customHeight="false" outlineLevel="1" collapsed="false">
      <c r="A2297" s="7" t="s">
        <v>669</v>
      </c>
      <c r="B2297" s="8" t="s">
        <v>64</v>
      </c>
      <c r="C2297" s="63" t="n">
        <f aca="false">Pressupostos!$D$10+Pressupostos!$D$11</f>
        <v>3.6</v>
      </c>
      <c r="D2297" s="63" t="n">
        <f aca="false">Pressupostos!$D$10+Pressupostos!$D$11</f>
        <v>3.6</v>
      </c>
      <c r="E2297" s="63" t="n">
        <f aca="false">Pressupostos!$D$10+Pressupostos!$D$11</f>
        <v>3.6</v>
      </c>
      <c r="F2297" s="63" t="n">
        <f aca="false">Pressupostos!$D$10+Pressupostos!$D$11</f>
        <v>3.6</v>
      </c>
      <c r="G2297" s="63" t="n">
        <f aca="false">Pressupostos!$D$10+Pressupostos!$D$11</f>
        <v>3.6</v>
      </c>
      <c r="H2297" s="2" t="s">
        <v>1191</v>
      </c>
    </row>
    <row r="2298" customFormat="false" ht="15" hidden="false" customHeight="false" outlineLevel="1" collapsed="false">
      <c r="A2298" s="7" t="s">
        <v>670</v>
      </c>
      <c r="B2298" s="8" t="s">
        <v>64</v>
      </c>
      <c r="C2298" s="67" t="n">
        <f aca="false">Pressupostos!$D$15</f>
        <v>5.65</v>
      </c>
      <c r="D2298" s="67" t="n">
        <f aca="false">Pressupostos!$D$15</f>
        <v>5.65</v>
      </c>
      <c r="E2298" s="67" t="n">
        <f aca="false">Pressupostos!$D$15</f>
        <v>5.65</v>
      </c>
      <c r="F2298" s="67" t="n">
        <f aca="false">Pressupostos!$D$15</f>
        <v>5.65</v>
      </c>
      <c r="G2298" s="67" t="n">
        <f aca="false">Pressupostos!$D$15</f>
        <v>5.65</v>
      </c>
      <c r="H2298" s="2" t="s">
        <v>1192</v>
      </c>
    </row>
    <row r="2299" customFormat="false" ht="15" hidden="false" customHeight="false" outlineLevel="1" collapsed="false">
      <c r="A2299" s="56" t="s">
        <v>671</v>
      </c>
      <c r="B2299" s="57" t="s">
        <v>64</v>
      </c>
      <c r="C2299" s="68" t="n">
        <f aca="false">C2298*(1-Pressupostos!$D$16)</f>
        <v>5.085</v>
      </c>
      <c r="D2299" s="68" t="n">
        <f aca="false">D2298*(1-Pressupostos!$D$16)</f>
        <v>5.085</v>
      </c>
      <c r="E2299" s="68" t="n">
        <f aca="false">E2298*(1-Pressupostos!$D$16)</f>
        <v>5.085</v>
      </c>
      <c r="F2299" s="68" t="n">
        <f aca="false">F2298*(1-Pressupostos!$D$16)</f>
        <v>5.085</v>
      </c>
      <c r="G2299" s="68" t="n">
        <f aca="false">G2298*(1-Pressupostos!$D$16)</f>
        <v>5.085</v>
      </c>
      <c r="H2299" s="2" t="s">
        <v>1193</v>
      </c>
    </row>
    <row r="2300" customFormat="false" ht="15" hidden="false" customHeight="false" outlineLevel="1" collapsed="false">
      <c r="A2300" s="7" t="s">
        <v>144</v>
      </c>
      <c r="B2300" s="8" t="s">
        <v>64</v>
      </c>
      <c r="C2300" s="67" t="n">
        <f aca="false">Pressupostos!$C$38</f>
        <v>0.55</v>
      </c>
      <c r="D2300" s="67" t="n">
        <f aca="false">Pressupostos!$C$38</f>
        <v>0.55</v>
      </c>
      <c r="E2300" s="67" t="n">
        <f aca="false">Pressupostos!$C$38</f>
        <v>0.55</v>
      </c>
      <c r="F2300" s="67" t="n">
        <f aca="false">Pressupostos!$C$38</f>
        <v>0.55</v>
      </c>
      <c r="G2300" s="67" t="n">
        <f aca="false">Pressupostos!$C$38</f>
        <v>0.55</v>
      </c>
      <c r="H2300" s="2" t="s">
        <v>1194</v>
      </c>
    </row>
    <row r="2301" customFormat="false" ht="15" hidden="false" customHeight="false" outlineLevel="1" collapsed="false">
      <c r="A2301" s="7" t="s">
        <v>215</v>
      </c>
      <c r="B2301" s="8" t="s">
        <v>64</v>
      </c>
      <c r="C2301" s="67" t="n">
        <f aca="false">Pressupostos!$C$238</f>
        <v>0.3</v>
      </c>
      <c r="D2301" s="67" t="n">
        <f aca="false">Pressupostos!$D$238</f>
        <v>0.3</v>
      </c>
      <c r="E2301" s="67" t="n">
        <f aca="false">Pressupostos!$E$238</f>
        <v>0.28</v>
      </c>
      <c r="F2301" s="67" t="n">
        <f aca="false">Pressupostos!$F$238</f>
        <v>0.27</v>
      </c>
      <c r="G2301" s="67" t="n">
        <f aca="false">Pressupostos!$G$238</f>
        <v>0.27</v>
      </c>
      <c r="H2301" s="2" t="s">
        <v>1195</v>
      </c>
    </row>
    <row r="2302" customFormat="false" ht="15" hidden="false" customHeight="false" outlineLevel="1" collapsed="false">
      <c r="A2302" s="7" t="s">
        <v>117</v>
      </c>
      <c r="B2302" s="8" t="s">
        <v>64</v>
      </c>
      <c r="C2302" s="67" t="n">
        <f aca="false">Pressupostos!$C$39</f>
        <v>0.06</v>
      </c>
      <c r="D2302" s="67" t="n">
        <f aca="false">Pressupostos!$C$39</f>
        <v>0.06</v>
      </c>
      <c r="E2302" s="67" t="n">
        <f aca="false">Pressupostos!$C$39</f>
        <v>0.06</v>
      </c>
      <c r="F2302" s="67" t="n">
        <f aca="false">Pressupostos!$C$39</f>
        <v>0.06</v>
      </c>
      <c r="G2302" s="67" t="n">
        <f aca="false">Pressupostos!$C$39</f>
        <v>0.06</v>
      </c>
      <c r="H2302" s="2" t="s">
        <v>1196</v>
      </c>
    </row>
    <row r="2303" customFormat="false" ht="15" hidden="false" customHeight="false" outlineLevel="1" collapsed="false">
      <c r="A2303" s="7" t="s">
        <v>91</v>
      </c>
      <c r="B2303" s="8" t="s">
        <v>79</v>
      </c>
      <c r="C2303" s="69" t="n">
        <f aca="false">Pressupostos!$C$244</f>
        <v>180</v>
      </c>
      <c r="D2303" s="69" t="n">
        <f aca="false">Pressupostos!$D$244</f>
        <v>180</v>
      </c>
      <c r="E2303" s="69" t="n">
        <f aca="false">Pressupostos!$E$244</f>
        <v>45</v>
      </c>
      <c r="F2303" s="69" t="n">
        <f aca="false">Pressupostos!$F$244</f>
        <v>45</v>
      </c>
      <c r="G2303" s="69" t="n">
        <f aca="false">Pressupostos!$G$244</f>
        <v>45</v>
      </c>
      <c r="H2303" s="2" t="s">
        <v>1197</v>
      </c>
    </row>
    <row r="2304" customFormat="false" ht="15" hidden="false" customHeight="false" outlineLevel="1" collapsed="false">
      <c r="A2304" s="7" t="s">
        <v>78</v>
      </c>
      <c r="B2304" s="8" t="s">
        <v>79</v>
      </c>
      <c r="C2304" s="69" t="n">
        <f aca="false">Pressupostos!$D$17</f>
        <v>35</v>
      </c>
      <c r="D2304" s="69" t="n">
        <f aca="false">Pressupostos!$D$17</f>
        <v>35</v>
      </c>
      <c r="E2304" s="69" t="n">
        <f aca="false">Pressupostos!$D$17</f>
        <v>35</v>
      </c>
      <c r="F2304" s="69" t="n">
        <f aca="false">Pressupostos!$D$17</f>
        <v>35</v>
      </c>
      <c r="G2304" s="69" t="n">
        <f aca="false">Pressupostos!$D$17</f>
        <v>35</v>
      </c>
      <c r="H2304" s="2" t="s">
        <v>1198</v>
      </c>
    </row>
    <row r="2305" customFormat="false" ht="15" hidden="false" customHeight="false" outlineLevel="1" collapsed="false">
      <c r="A2305" s="7" t="s">
        <v>490</v>
      </c>
      <c r="B2305" s="8" t="s">
        <v>64</v>
      </c>
      <c r="C2305" s="63" t="n">
        <f aca="false">Pressupostos!$C$66*C2303/30/1000</f>
        <v>0.024</v>
      </c>
      <c r="D2305" s="63" t="n">
        <f aca="false">Pressupostos!$C$66*D2303/30/1000</f>
        <v>0.024</v>
      </c>
      <c r="E2305" s="63" t="n">
        <f aca="false">Pressupostos!$C$66*E2303/30/1000</f>
        <v>0.006</v>
      </c>
      <c r="F2305" s="63" t="n">
        <f aca="false">Pressupostos!$C$66*F2303/30/1000</f>
        <v>0.006</v>
      </c>
      <c r="G2305" s="63" t="n">
        <f aca="false">Pressupostos!$C$66*G2303/30/1000</f>
        <v>0.006</v>
      </c>
      <c r="H2305" s="2" t="s">
        <v>1199</v>
      </c>
    </row>
    <row r="2306" customFormat="false" ht="15" hidden="false" customHeight="false" outlineLevel="1" collapsed="false">
      <c r="A2306" s="7" t="s">
        <v>165</v>
      </c>
      <c r="B2306" s="8" t="s">
        <v>64</v>
      </c>
      <c r="C2306" s="63" t="n">
        <f aca="false">C2297*Pressupostos!$C$67*C2303/365</f>
        <v>0.00355068493150685</v>
      </c>
      <c r="D2306" s="63" t="n">
        <f aca="false">D2297*Pressupostos!$C$67*D2303/365</f>
        <v>0.00355068493150685</v>
      </c>
      <c r="E2306" s="63" t="n">
        <f aca="false">E2297*Pressupostos!$C$67*E2303/365</f>
        <v>0.000887671232876712</v>
      </c>
      <c r="F2306" s="63" t="n">
        <f aca="false">F2297*Pressupostos!$C$67*F2303/365</f>
        <v>0.000887671232876712</v>
      </c>
      <c r="G2306" s="63" t="n">
        <f aca="false">G2297*Pressupostos!$C$67*G2303/365</f>
        <v>0.000887671232876712</v>
      </c>
      <c r="H2306" s="2" t="s">
        <v>1200</v>
      </c>
    </row>
    <row r="2307" customFormat="false" ht="15" hidden="false" customHeight="false" outlineLevel="1" collapsed="false">
      <c r="A2307" s="7" t="s">
        <v>672</v>
      </c>
      <c r="B2307" s="8" t="s">
        <v>64</v>
      </c>
      <c r="C2307" s="63" t="n">
        <f aca="false">Pressupostos!$C$41*Pressupostos!$C$68/(Pressupostos!$C$40*1000)</f>
        <v>0.03</v>
      </c>
      <c r="D2307" s="63" t="n">
        <f aca="false">Pressupostos!$C$41*Pressupostos!$C$68/(Pressupostos!$C$40*1000)</f>
        <v>0.03</v>
      </c>
      <c r="E2307" s="63" t="n">
        <f aca="false">Pressupostos!$C$41*Pressupostos!$C$68/(Pressupostos!$C$40*1000)</f>
        <v>0.03</v>
      </c>
      <c r="F2307" s="63" t="n">
        <f aca="false">Pressupostos!$C$41*Pressupostos!$C$68/(Pressupostos!$C$40*1000)</f>
        <v>0.03</v>
      </c>
      <c r="G2307" s="63" t="n">
        <f aca="false">Pressupostos!$C$41*Pressupostos!$C$68/(Pressupostos!$C$40*1000)</f>
        <v>0.03</v>
      </c>
      <c r="H2307" s="2" t="s">
        <v>1201</v>
      </c>
    </row>
    <row r="2308" customFormat="false" ht="15" hidden="false" customHeight="false" outlineLevel="1" collapsed="false">
      <c r="A2308" s="7" t="s">
        <v>492</v>
      </c>
      <c r="B2308" s="8" t="s">
        <v>64</v>
      </c>
      <c r="C2308" s="63" t="n">
        <f aca="false">Pressupostos!$C$69*C2297</f>
        <v>0.018</v>
      </c>
      <c r="D2308" s="63" t="n">
        <f aca="false">Pressupostos!$C$69*D2297</f>
        <v>0.018</v>
      </c>
      <c r="E2308" s="63" t="n">
        <f aca="false">Pressupostos!$C$69*E2297</f>
        <v>0.018</v>
      </c>
      <c r="F2308" s="63" t="n">
        <f aca="false">Pressupostos!$C$69*F2297</f>
        <v>0.018</v>
      </c>
      <c r="G2308" s="63" t="n">
        <f aca="false">Pressupostos!$C$69*G2297</f>
        <v>0.018</v>
      </c>
      <c r="H2308" s="2" t="s">
        <v>1202</v>
      </c>
    </row>
    <row r="2309" customFormat="false" ht="15" hidden="false" customHeight="false" outlineLevel="1" collapsed="false">
      <c r="A2309" s="7" t="s">
        <v>493</v>
      </c>
      <c r="B2309" s="8" t="s">
        <v>64</v>
      </c>
      <c r="C2309" s="63" t="n">
        <f aca="false">Pressupostos!$C$70*Pressupostos!$C$71*C2303/90</f>
        <v>0.018</v>
      </c>
      <c r="D2309" s="63" t="n">
        <f aca="false">Pressupostos!$C$70*Pressupostos!$C$71*D2303/90</f>
        <v>0.018</v>
      </c>
      <c r="E2309" s="63" t="n">
        <f aca="false">Pressupostos!$C$70*Pressupostos!$C$71*E2303/90</f>
        <v>0.0045</v>
      </c>
      <c r="F2309" s="63" t="n">
        <f aca="false">Pressupostos!$C$70*Pressupostos!$C$71*F2303/90</f>
        <v>0.0045</v>
      </c>
      <c r="G2309" s="63" t="n">
        <f aca="false">Pressupostos!$C$70*Pressupostos!$C$71*G2303/90</f>
        <v>0.0045</v>
      </c>
      <c r="H2309" s="2" t="s">
        <v>1203</v>
      </c>
    </row>
    <row r="2310" customFormat="false" ht="15" hidden="false" customHeight="false" outlineLevel="1" collapsed="false">
      <c r="A2310" s="7" t="s">
        <v>673</v>
      </c>
      <c r="B2310" s="8" t="s">
        <v>64</v>
      </c>
      <c r="C2310" s="63" t="n">
        <f aca="false">Pressupostos!$C$42/(Pressupostos!$C$40*1000)</f>
        <v>0.1</v>
      </c>
      <c r="D2310" s="63" t="n">
        <f aca="false">Pressupostos!$C$42/(Pressupostos!$C$40*1000)</f>
        <v>0.1</v>
      </c>
      <c r="E2310" s="63" t="n">
        <f aca="false">Pressupostos!$C$42/(Pressupostos!$C$40*1000)</f>
        <v>0.1</v>
      </c>
      <c r="F2310" s="63" t="n">
        <f aca="false">Pressupostos!$C$42/(Pressupostos!$C$40*1000)</f>
        <v>0.1</v>
      </c>
      <c r="G2310" s="63" t="n">
        <f aca="false">Pressupostos!$C$42/(Pressupostos!$C$40*1000)</f>
        <v>0.1</v>
      </c>
      <c r="H2310" s="2" t="s">
        <v>1204</v>
      </c>
    </row>
    <row r="2311" customFormat="false" ht="15" hidden="false" customHeight="false" outlineLevel="1" collapsed="false">
      <c r="A2311" s="7" t="s">
        <v>139</v>
      </c>
      <c r="B2311" s="8" t="s">
        <v>64</v>
      </c>
      <c r="C2311" s="67" t="n">
        <f aca="false">Pressupostos!$C$43</f>
        <v>0.01</v>
      </c>
      <c r="D2311" s="67" t="n">
        <f aca="false">Pressupostos!$C$43</f>
        <v>0.01</v>
      </c>
      <c r="E2311" s="67" t="n">
        <f aca="false">Pressupostos!$C$43</f>
        <v>0.01</v>
      </c>
      <c r="F2311" s="67" t="n">
        <f aca="false">Pressupostos!$C$43</f>
        <v>0.01</v>
      </c>
      <c r="G2311" s="67" t="n">
        <f aca="false">Pressupostos!$C$43</f>
        <v>0.01</v>
      </c>
      <c r="H2311" s="2" t="s">
        <v>1205</v>
      </c>
    </row>
    <row r="2312" customFormat="false" ht="15" hidden="false" customHeight="false" outlineLevel="1" collapsed="false">
      <c r="A2312" s="7" t="s">
        <v>81</v>
      </c>
      <c r="B2312" s="8" t="s">
        <v>64</v>
      </c>
      <c r="C2312" s="63" t="n">
        <f aca="false">Pressupostos!$D$18*C2299</f>
        <v>0.03051</v>
      </c>
      <c r="D2312" s="63" t="n">
        <f aca="false">Pressupostos!$D$18*D2299</f>
        <v>0.03051</v>
      </c>
      <c r="E2312" s="63" t="n">
        <f aca="false">Pressupostos!$D$18*E2299</f>
        <v>0.03051</v>
      </c>
      <c r="F2312" s="63" t="n">
        <f aca="false">Pressupostos!$D$18*F2299</f>
        <v>0.03051</v>
      </c>
      <c r="G2312" s="63" t="n">
        <f aca="false">Pressupostos!$D$18*G2299</f>
        <v>0.03051</v>
      </c>
      <c r="H2312" s="2" t="s">
        <v>1206</v>
      </c>
    </row>
    <row r="2313" customFormat="false" ht="15" hidden="false" customHeight="false" outlineLevel="1" collapsed="false">
      <c r="A2313" s="7" t="s">
        <v>674</v>
      </c>
      <c r="B2313" s="8" t="s">
        <v>64</v>
      </c>
      <c r="C2313" s="63" t="n">
        <f aca="false">Pressupostos!$C$73*C2299</f>
        <v>0</v>
      </c>
      <c r="D2313" s="63" t="n">
        <f aca="false">Pressupostos!$C$73*D2299</f>
        <v>0</v>
      </c>
      <c r="E2313" s="63" t="n">
        <f aca="false">Pressupostos!$C$73*E2299</f>
        <v>0</v>
      </c>
      <c r="F2313" s="63" t="n">
        <f aca="false">Pressupostos!$C$73*F2299</f>
        <v>0</v>
      </c>
      <c r="G2313" s="63" t="n">
        <f aca="false">Pressupostos!$C$73*G2299</f>
        <v>0</v>
      </c>
      <c r="H2313" s="2" t="s">
        <v>1207</v>
      </c>
    </row>
    <row r="2314" customFormat="false" ht="15" hidden="false" customHeight="false" outlineLevel="1" collapsed="false">
      <c r="A2314" s="7" t="s">
        <v>675</v>
      </c>
      <c r="B2314" s="8" t="s">
        <v>64</v>
      </c>
      <c r="C2314" s="63" t="n">
        <f aca="false">Pressupostos!$C$288*(C2297+C2300)*(C2303+C2304-Pressupostos!$C$72)/365*Pressupostos!$C$282/Pressupostos!$D$31</f>
        <v>0</v>
      </c>
      <c r="D2314" s="63" t="n">
        <f aca="false">Pressupostos!$D$288*(D2297+D2300)*(D2303+D2304-Pressupostos!$C$72)/365*Pressupostos!$D$282/Pressupostos!$D$31</f>
        <v>0.189308219178082</v>
      </c>
      <c r="E2314" s="63" t="n">
        <f aca="false">Pressupostos!$E$288*(E2297+E2300)*(E2303+E2304-Pressupostos!$C$72)/365*Pressupostos!$E$282/Pressupostos!$D$31</f>
        <v>0.0479666095890411</v>
      </c>
      <c r="F2314" s="63" t="n">
        <f aca="false">Pressupostos!$F$288*(F2297+F2300)*(F2303+F2304-Pressupostos!$C$72)/365*Pressupostos!$F$282/Pressupostos!$D$31</f>
        <v>0.0447688356164384</v>
      </c>
      <c r="G2314" s="63" t="n">
        <f aca="false">Pressupostos!$G$288*(G2297+G2300)*(G2303+G2304-Pressupostos!$C$72)/365*Pressupostos!$G$282/Pressupostos!$D$31</f>
        <v>0.0447688356164384</v>
      </c>
      <c r="H2314" s="2" t="s">
        <v>1208</v>
      </c>
    </row>
    <row r="2315" customFormat="false" ht="15" hidden="false" customHeight="false" outlineLevel="1" collapsed="false">
      <c r="A2315" s="7" t="s">
        <v>676</v>
      </c>
      <c r="B2315" s="8" t="s">
        <v>64</v>
      </c>
      <c r="C2315" s="63" t="n">
        <f aca="false">C2297+C2300+C2301+C2302+C2305+C2306+C2307+C2308+C2309+C2310+C2311+C2312+C2313+C2314</f>
        <v>4.74406068493151</v>
      </c>
      <c r="D2315" s="63" t="n">
        <f aca="false">D2297+D2300+D2301+D2302+D2305+D2306+D2307+D2308+D2309+D2310+D2311+D2312+D2313+D2314</f>
        <v>4.93336890410959</v>
      </c>
      <c r="E2315" s="63" t="n">
        <f aca="false">E2297+E2300+E2301+E2302+E2305+E2306+E2307+E2308+E2309+E2310+E2311+E2312+E2313+E2314</f>
        <v>4.73786428082192</v>
      </c>
      <c r="F2315" s="63" t="n">
        <f aca="false">F2297+F2300+F2301+F2302+F2305+F2306+F2307+F2308+F2309+F2310+F2311+F2312+F2313+F2314</f>
        <v>4.72466650684931</v>
      </c>
      <c r="G2315" s="63" t="n">
        <f aca="false">G2297+G2300+G2301+G2302+G2305+G2306+G2307+G2308+G2309+G2310+G2311+G2312+G2313+G2314</f>
        <v>4.72466650684931</v>
      </c>
      <c r="H2315" s="2" t="s">
        <v>1209</v>
      </c>
    </row>
    <row r="2316" customFormat="false" ht="15" hidden="false" customHeight="false" outlineLevel="1" collapsed="false">
      <c r="A2316" s="56" t="s">
        <v>677</v>
      </c>
      <c r="B2316" s="57" t="s">
        <v>64</v>
      </c>
      <c r="C2316" s="68" t="n">
        <f aca="false">C2299-C2315</f>
        <v>0.340939315068495</v>
      </c>
      <c r="D2316" s="68" t="n">
        <f aca="false">D2299-D2315</f>
        <v>0.151631095890413</v>
      </c>
      <c r="E2316" s="68" t="n">
        <f aca="false">E2299-E2315</f>
        <v>0.347135719178083</v>
      </c>
      <c r="F2316" s="68" t="n">
        <f aca="false">F2299-F2315</f>
        <v>0.360333493150686</v>
      </c>
      <c r="G2316" s="68" t="n">
        <f aca="false">G2299-G2315</f>
        <v>0.360333493150686</v>
      </c>
      <c r="H2316" s="2" t="s">
        <v>1210</v>
      </c>
    </row>
    <row r="2317" customFormat="false" ht="15" hidden="false" customHeight="false" outlineLevel="1" collapsed="false">
      <c r="A2317" s="7" t="s">
        <v>678</v>
      </c>
      <c r="B2317" s="8" t="s">
        <v>76</v>
      </c>
      <c r="C2317" s="59" t="n">
        <f aca="false">IF(C2299&gt;0,C2316/C2299,0)</f>
        <v>0.067048046227826</v>
      </c>
      <c r="D2317" s="59" t="n">
        <f aca="false">IF(D2299&gt;0,D2316/D2299,0)</f>
        <v>0.0298192912272199</v>
      </c>
      <c r="E2317" s="59" t="n">
        <f aca="false">IF(E2299&gt;0,E2316/E2299,0)</f>
        <v>0.0682666114411176</v>
      </c>
      <c r="F2317" s="59" t="n">
        <f aca="false">IF(F2299&gt;0,F2316/F2299,0)</f>
        <v>0.0708620438841074</v>
      </c>
      <c r="G2317" s="59" t="n">
        <f aca="false">IF(G2299&gt;0,G2316/G2299,0)</f>
        <v>0.0708620438841074</v>
      </c>
      <c r="H2317" s="2" t="s">
        <v>1211</v>
      </c>
    </row>
    <row r="2318" customFormat="false" ht="15" hidden="false" customHeight="false" outlineLevel="1" collapsed="false">
      <c r="A2318" s="7" t="s">
        <v>679</v>
      </c>
      <c r="B2318" s="8" t="s">
        <v>64</v>
      </c>
      <c r="C2318" s="63" t="n">
        <f aca="false">(C2297+C2300)*(C2303-Pressupostos!$C$72)/365+C2299*C2304/365</f>
        <v>2.19308219178082</v>
      </c>
      <c r="D2318" s="63" t="n">
        <f aca="false">(D2297+D2300)*(D2303-Pressupostos!$C$72)/365+D2299*D2304/365</f>
        <v>2.19308219178082</v>
      </c>
      <c r="E2318" s="63" t="n">
        <f aca="false">(E2297+E2300)*(E2303-Pressupostos!$C$72)/365+E2299*E2304/365</f>
        <v>0.658150684931507</v>
      </c>
      <c r="F2318" s="63" t="n">
        <f aca="false">(F2297+F2300)*(F2303-Pressupostos!$C$72)/365+F2299*F2304/365</f>
        <v>0.658150684931507</v>
      </c>
      <c r="G2318" s="63" t="n">
        <f aca="false">(G2297+G2300)*(G2303-Pressupostos!$C$72)/365+G2299*G2304/365</f>
        <v>0.658150684931507</v>
      </c>
      <c r="H2318" s="2" t="s">
        <v>1212</v>
      </c>
    </row>
    <row r="2319" customFormat="false" ht="15" hidden="false" customHeight="false" outlineLevel="0" collapsed="false">
      <c r="A2319" s="3" t="s">
        <v>1213</v>
      </c>
      <c r="B2319" s="4"/>
      <c r="C2319" s="4"/>
      <c r="D2319" s="4"/>
      <c r="E2319" s="4"/>
      <c r="F2319" s="4"/>
      <c r="G2319" s="4"/>
      <c r="H2319" s="4"/>
    </row>
    <row r="2320" customFormat="false" ht="15" hidden="false" customHeight="false" outlineLevel="1" collapsed="false">
      <c r="A2320" s="7" t="s">
        <v>669</v>
      </c>
      <c r="B2320" s="8" t="s">
        <v>64</v>
      </c>
      <c r="C2320" s="63" t="n">
        <f aca="false">Pressupostos!$D$10+Pressupostos!$D$12</f>
        <v>3.6</v>
      </c>
      <c r="D2320" s="63" t="n">
        <f aca="false">Pressupostos!$D$10+Pressupostos!$D$12</f>
        <v>3.6</v>
      </c>
      <c r="E2320" s="63" t="n">
        <f aca="false">Pressupostos!$D$10+Pressupostos!$D$12</f>
        <v>3.6</v>
      </c>
      <c r="F2320" s="63" t="n">
        <f aca="false">Pressupostos!$D$10+Pressupostos!$D$12</f>
        <v>3.6</v>
      </c>
      <c r="G2320" s="63" t="n">
        <f aca="false">Pressupostos!$D$10+Pressupostos!$D$12</f>
        <v>3.6</v>
      </c>
      <c r="H2320" s="2" t="s">
        <v>1214</v>
      </c>
    </row>
    <row r="2321" customFormat="false" ht="15" hidden="false" customHeight="false" outlineLevel="1" collapsed="false">
      <c r="A2321" s="7" t="s">
        <v>670</v>
      </c>
      <c r="B2321" s="8" t="s">
        <v>64</v>
      </c>
      <c r="C2321" s="63" t="n">
        <f aca="false">Pressupostos!$D$20+Pressupostos!$D$21</f>
        <v>4.35</v>
      </c>
      <c r="D2321" s="63" t="n">
        <f aca="false">Pressupostos!$D$20+Pressupostos!$D$21</f>
        <v>4.35</v>
      </c>
      <c r="E2321" s="63" t="n">
        <f aca="false">Pressupostos!$D$20+Pressupostos!$D$21</f>
        <v>4.35</v>
      </c>
      <c r="F2321" s="63" t="n">
        <f aca="false">Pressupostos!$D$20+Pressupostos!$D$21</f>
        <v>4.35</v>
      </c>
      <c r="G2321" s="63" t="n">
        <f aca="false">Pressupostos!$D$20+Pressupostos!$D$21</f>
        <v>4.35</v>
      </c>
      <c r="H2321" s="2" t="s">
        <v>1215</v>
      </c>
    </row>
    <row r="2322" customFormat="false" ht="15" hidden="false" customHeight="false" outlineLevel="1" collapsed="false">
      <c r="A2322" s="56" t="s">
        <v>671</v>
      </c>
      <c r="B2322" s="57" t="s">
        <v>64</v>
      </c>
      <c r="C2322" s="68" t="n">
        <f aca="false">C2321*(1-Pressupostos!$D$22)</f>
        <v>4.35</v>
      </c>
      <c r="D2322" s="68" t="n">
        <f aca="false">D2321*(1-Pressupostos!$D$22)</f>
        <v>4.35</v>
      </c>
      <c r="E2322" s="68" t="n">
        <f aca="false">E2321*(1-Pressupostos!$D$22)</f>
        <v>4.35</v>
      </c>
      <c r="F2322" s="68" t="n">
        <f aca="false">F2321*(1-Pressupostos!$D$22)</f>
        <v>4.35</v>
      </c>
      <c r="G2322" s="68" t="n">
        <f aca="false">G2321*(1-Pressupostos!$D$22)</f>
        <v>4.35</v>
      </c>
      <c r="H2322" s="2" t="s">
        <v>1216</v>
      </c>
    </row>
    <row r="2323" customFormat="false" ht="15" hidden="false" customHeight="false" outlineLevel="1" collapsed="false">
      <c r="A2323" s="7" t="s">
        <v>144</v>
      </c>
      <c r="B2323" s="8" t="s">
        <v>64</v>
      </c>
      <c r="C2323" s="67" t="n">
        <f aca="false">Pressupostos!$C$45</f>
        <v>0.45</v>
      </c>
      <c r="D2323" s="67" t="n">
        <f aca="false">Pressupostos!$C$45</f>
        <v>0.45</v>
      </c>
      <c r="E2323" s="67" t="n">
        <f aca="false">Pressupostos!$C$45</f>
        <v>0.45</v>
      </c>
      <c r="F2323" s="67" t="n">
        <f aca="false">Pressupostos!$C$45</f>
        <v>0.45</v>
      </c>
      <c r="G2323" s="67" t="n">
        <f aca="false">Pressupostos!$C$45</f>
        <v>0.45</v>
      </c>
      <c r="H2323" s="2" t="s">
        <v>1217</v>
      </c>
    </row>
    <row r="2324" customFormat="false" ht="15" hidden="false" customHeight="false" outlineLevel="1" collapsed="false">
      <c r="A2324" s="7" t="s">
        <v>215</v>
      </c>
      <c r="B2324" s="8" t="s">
        <v>64</v>
      </c>
      <c r="C2324" s="67" t="n">
        <f aca="false">Pressupostos!$C$250</f>
        <v>0.1</v>
      </c>
      <c r="D2324" s="67" t="n">
        <f aca="false">Pressupostos!$D$250</f>
        <v>0.1</v>
      </c>
      <c r="E2324" s="67" t="n">
        <f aca="false">Pressupostos!$E$250</f>
        <v>0.09</v>
      </c>
      <c r="F2324" s="67" t="n">
        <f aca="false">Pressupostos!$F$250</f>
        <v>0.09</v>
      </c>
      <c r="G2324" s="67" t="n">
        <f aca="false">Pressupostos!$G$250</f>
        <v>0.09</v>
      </c>
      <c r="H2324" s="2" t="s">
        <v>1218</v>
      </c>
    </row>
    <row r="2325" customFormat="false" ht="15" hidden="false" customHeight="false" outlineLevel="1" collapsed="false">
      <c r="A2325" s="7" t="s">
        <v>117</v>
      </c>
      <c r="B2325" s="8" t="s">
        <v>64</v>
      </c>
      <c r="C2325" s="67" t="n">
        <f aca="false">Pressupostos!$C$46</f>
        <v>0</v>
      </c>
      <c r="D2325" s="67" t="n">
        <f aca="false">Pressupostos!$C$46</f>
        <v>0</v>
      </c>
      <c r="E2325" s="67" t="n">
        <f aca="false">Pressupostos!$C$46</f>
        <v>0</v>
      </c>
      <c r="F2325" s="67" t="n">
        <f aca="false">Pressupostos!$C$46</f>
        <v>0</v>
      </c>
      <c r="G2325" s="67" t="n">
        <f aca="false">Pressupostos!$C$46</f>
        <v>0</v>
      </c>
      <c r="H2325" s="2" t="s">
        <v>1219</v>
      </c>
    </row>
    <row r="2326" customFormat="false" ht="15" hidden="false" customHeight="false" outlineLevel="1" collapsed="false">
      <c r="A2326" s="7" t="s">
        <v>91</v>
      </c>
      <c r="B2326" s="8" t="s">
        <v>79</v>
      </c>
      <c r="C2326" s="69" t="n">
        <f aca="false">Pressupostos!$D$23</f>
        <v>30</v>
      </c>
      <c r="D2326" s="69" t="n">
        <f aca="false">Pressupostos!$D$23</f>
        <v>30</v>
      </c>
      <c r="E2326" s="69" t="n">
        <f aca="false">Pressupostos!$D$23</f>
        <v>30</v>
      </c>
      <c r="F2326" s="69" t="n">
        <f aca="false">Pressupostos!$D$23</f>
        <v>30</v>
      </c>
      <c r="G2326" s="69" t="n">
        <f aca="false">Pressupostos!$D$23</f>
        <v>30</v>
      </c>
      <c r="H2326" s="2" t="s">
        <v>1220</v>
      </c>
    </row>
    <row r="2327" customFormat="false" ht="15" hidden="false" customHeight="false" outlineLevel="1" collapsed="false">
      <c r="A2327" s="7" t="s">
        <v>78</v>
      </c>
      <c r="B2327" s="8" t="s">
        <v>79</v>
      </c>
      <c r="C2327" s="69" t="n">
        <f aca="false">Pressupostos!$D$24</f>
        <v>45</v>
      </c>
      <c r="D2327" s="69" t="n">
        <f aca="false">Pressupostos!$D$24</f>
        <v>45</v>
      </c>
      <c r="E2327" s="69" t="n">
        <f aca="false">Pressupostos!$D$24</f>
        <v>45</v>
      </c>
      <c r="F2327" s="69" t="n">
        <f aca="false">Pressupostos!$D$24</f>
        <v>45</v>
      </c>
      <c r="G2327" s="69" t="n">
        <f aca="false">Pressupostos!$D$24</f>
        <v>45</v>
      </c>
      <c r="H2327" s="2" t="s">
        <v>1221</v>
      </c>
    </row>
    <row r="2328" customFormat="false" ht="15" hidden="false" customHeight="false" outlineLevel="1" collapsed="false">
      <c r="A2328" s="7" t="s">
        <v>490</v>
      </c>
      <c r="B2328" s="8" t="s">
        <v>64</v>
      </c>
      <c r="C2328" s="63" t="n">
        <f aca="false">Pressupostos!$C$66*C2326/30/1000</f>
        <v>0.004</v>
      </c>
      <c r="D2328" s="63" t="n">
        <f aca="false">Pressupostos!$C$66*D2326/30/1000</f>
        <v>0.004</v>
      </c>
      <c r="E2328" s="63" t="n">
        <f aca="false">Pressupostos!$C$66*E2326/30/1000</f>
        <v>0.004</v>
      </c>
      <c r="F2328" s="63" t="n">
        <f aca="false">Pressupostos!$C$66*F2326/30/1000</f>
        <v>0.004</v>
      </c>
      <c r="G2328" s="63" t="n">
        <f aca="false">Pressupostos!$C$66*G2326/30/1000</f>
        <v>0.004</v>
      </c>
      <c r="H2328" s="2" t="s">
        <v>1222</v>
      </c>
    </row>
    <row r="2329" customFormat="false" ht="15" hidden="false" customHeight="false" outlineLevel="1" collapsed="false">
      <c r="A2329" s="7" t="s">
        <v>165</v>
      </c>
      <c r="B2329" s="8" t="s">
        <v>64</v>
      </c>
      <c r="C2329" s="63" t="n">
        <f aca="false">C2320*Pressupostos!$C$67*C2326/365</f>
        <v>0.000591780821917808</v>
      </c>
      <c r="D2329" s="63" t="n">
        <f aca="false">D2320*Pressupostos!$C$67*D2326/365</f>
        <v>0.000591780821917808</v>
      </c>
      <c r="E2329" s="63" t="n">
        <f aca="false">E2320*Pressupostos!$C$67*E2326/365</f>
        <v>0.000591780821917808</v>
      </c>
      <c r="F2329" s="63" t="n">
        <f aca="false">F2320*Pressupostos!$C$67*F2326/365</f>
        <v>0.000591780821917808</v>
      </c>
      <c r="G2329" s="63" t="n">
        <f aca="false">G2320*Pressupostos!$C$67*G2326/365</f>
        <v>0.000591780821917808</v>
      </c>
      <c r="H2329" s="2" t="s">
        <v>1223</v>
      </c>
    </row>
    <row r="2330" customFormat="false" ht="15" hidden="false" customHeight="false" outlineLevel="1" collapsed="false">
      <c r="A2330" s="7" t="s">
        <v>672</v>
      </c>
      <c r="B2330" s="8" t="s">
        <v>64</v>
      </c>
      <c r="C2330" s="63" t="n">
        <f aca="false">Pressupostos!$C$48*Pressupostos!$C$68/(Pressupostos!$C$47*1000)</f>
        <v>0.02</v>
      </c>
      <c r="D2330" s="63" t="n">
        <f aca="false">Pressupostos!$C$48*Pressupostos!$C$68/(Pressupostos!$C$47*1000)</f>
        <v>0.02</v>
      </c>
      <c r="E2330" s="63" t="n">
        <f aca="false">Pressupostos!$C$48*Pressupostos!$C$68/(Pressupostos!$C$47*1000)</f>
        <v>0.02</v>
      </c>
      <c r="F2330" s="63" t="n">
        <f aca="false">Pressupostos!$C$48*Pressupostos!$C$68/(Pressupostos!$C$47*1000)</f>
        <v>0.02</v>
      </c>
      <c r="G2330" s="63" t="n">
        <f aca="false">Pressupostos!$C$48*Pressupostos!$C$68/(Pressupostos!$C$47*1000)</f>
        <v>0.02</v>
      </c>
      <c r="H2330" s="2" t="s">
        <v>1224</v>
      </c>
    </row>
    <row r="2331" customFormat="false" ht="15" hidden="false" customHeight="false" outlineLevel="1" collapsed="false">
      <c r="A2331" s="7" t="s">
        <v>492</v>
      </c>
      <c r="B2331" s="8" t="s">
        <v>64</v>
      </c>
      <c r="C2331" s="63" t="n">
        <f aca="false">Pressupostos!$C$69*C2320</f>
        <v>0.018</v>
      </c>
      <c r="D2331" s="63" t="n">
        <f aca="false">Pressupostos!$C$69*D2320</f>
        <v>0.018</v>
      </c>
      <c r="E2331" s="63" t="n">
        <f aca="false">Pressupostos!$C$69*E2320</f>
        <v>0.018</v>
      </c>
      <c r="F2331" s="63" t="n">
        <f aca="false">Pressupostos!$C$69*F2320</f>
        <v>0.018</v>
      </c>
      <c r="G2331" s="63" t="n">
        <f aca="false">Pressupostos!$C$69*G2320</f>
        <v>0.018</v>
      </c>
      <c r="H2331" s="2" t="s">
        <v>1225</v>
      </c>
    </row>
    <row r="2332" customFormat="false" ht="15" hidden="false" customHeight="false" outlineLevel="1" collapsed="false">
      <c r="A2332" s="7" t="s">
        <v>493</v>
      </c>
      <c r="B2332" s="8" t="s">
        <v>64</v>
      </c>
      <c r="C2332" s="63" t="n">
        <f aca="false">Pressupostos!$C$70*Pressupostos!$C$71*C2326/90</f>
        <v>0.003</v>
      </c>
      <c r="D2332" s="63" t="n">
        <f aca="false">Pressupostos!$C$70*Pressupostos!$C$71*D2326/90</f>
        <v>0.003</v>
      </c>
      <c r="E2332" s="63" t="n">
        <f aca="false">Pressupostos!$C$70*Pressupostos!$C$71*E2326/90</f>
        <v>0.003</v>
      </c>
      <c r="F2332" s="63" t="n">
        <f aca="false">Pressupostos!$C$70*Pressupostos!$C$71*F2326/90</f>
        <v>0.003</v>
      </c>
      <c r="G2332" s="63" t="n">
        <f aca="false">Pressupostos!$C$70*Pressupostos!$C$71*G2326/90</f>
        <v>0.003</v>
      </c>
      <c r="H2332" s="2" t="s">
        <v>1226</v>
      </c>
    </row>
    <row r="2333" customFormat="false" ht="15" hidden="false" customHeight="false" outlineLevel="1" collapsed="false">
      <c r="A2333" s="7" t="s">
        <v>673</v>
      </c>
      <c r="B2333" s="8" t="s">
        <v>64</v>
      </c>
      <c r="C2333" s="63" t="n">
        <f aca="false">Pressupostos!$C$49/(Pressupostos!$C$47*1000)</f>
        <v>0.04</v>
      </c>
      <c r="D2333" s="63" t="n">
        <f aca="false">Pressupostos!$C$49/(Pressupostos!$C$47*1000)</f>
        <v>0.04</v>
      </c>
      <c r="E2333" s="63" t="n">
        <f aca="false">Pressupostos!$C$49/(Pressupostos!$C$47*1000)</f>
        <v>0.04</v>
      </c>
      <c r="F2333" s="63" t="n">
        <f aca="false">Pressupostos!$C$49/(Pressupostos!$C$47*1000)</f>
        <v>0.04</v>
      </c>
      <c r="G2333" s="63" t="n">
        <f aca="false">Pressupostos!$C$49/(Pressupostos!$C$47*1000)</f>
        <v>0.04</v>
      </c>
      <c r="H2333" s="2" t="s">
        <v>1227</v>
      </c>
    </row>
    <row r="2334" customFormat="false" ht="15" hidden="false" customHeight="false" outlineLevel="1" collapsed="false">
      <c r="A2334" s="7" t="s">
        <v>139</v>
      </c>
      <c r="B2334" s="8" t="s">
        <v>64</v>
      </c>
      <c r="C2334" s="67" t="n">
        <f aca="false">Pressupostos!$C$50</f>
        <v>0.005</v>
      </c>
      <c r="D2334" s="67" t="n">
        <f aca="false">Pressupostos!$C$50</f>
        <v>0.005</v>
      </c>
      <c r="E2334" s="67" t="n">
        <f aca="false">Pressupostos!$C$50</f>
        <v>0.005</v>
      </c>
      <c r="F2334" s="67" t="n">
        <f aca="false">Pressupostos!$C$50</f>
        <v>0.005</v>
      </c>
      <c r="G2334" s="67" t="n">
        <f aca="false">Pressupostos!$C$50</f>
        <v>0.005</v>
      </c>
      <c r="H2334" s="2" t="s">
        <v>1228</v>
      </c>
    </row>
    <row r="2335" customFormat="false" ht="15" hidden="false" customHeight="false" outlineLevel="1" collapsed="false">
      <c r="A2335" s="7" t="s">
        <v>81</v>
      </c>
      <c r="B2335" s="8" t="s">
        <v>64</v>
      </c>
      <c r="C2335" s="63" t="n">
        <f aca="false">Pressupostos!$D$25*C2322</f>
        <v>0.01305</v>
      </c>
      <c r="D2335" s="63" t="n">
        <f aca="false">Pressupostos!$D$25*D2322</f>
        <v>0.01305</v>
      </c>
      <c r="E2335" s="63" t="n">
        <f aca="false">Pressupostos!$D$25*E2322</f>
        <v>0.01305</v>
      </c>
      <c r="F2335" s="63" t="n">
        <f aca="false">Pressupostos!$D$25*F2322</f>
        <v>0.01305</v>
      </c>
      <c r="G2335" s="63" t="n">
        <f aca="false">Pressupostos!$D$25*G2322</f>
        <v>0.01305</v>
      </c>
      <c r="H2335" s="2" t="s">
        <v>1229</v>
      </c>
    </row>
    <row r="2336" customFormat="false" ht="15" hidden="false" customHeight="false" outlineLevel="1" collapsed="false">
      <c r="A2336" s="7" t="s">
        <v>674</v>
      </c>
      <c r="B2336" s="8" t="s">
        <v>64</v>
      </c>
      <c r="C2336" s="63" t="n">
        <f aca="false">Pressupostos!$C$73*C2322</f>
        <v>0</v>
      </c>
      <c r="D2336" s="63" t="n">
        <f aca="false">Pressupostos!$C$73*D2322</f>
        <v>0</v>
      </c>
      <c r="E2336" s="63" t="n">
        <f aca="false">Pressupostos!$C$73*E2322</f>
        <v>0</v>
      </c>
      <c r="F2336" s="63" t="n">
        <f aca="false">Pressupostos!$C$73*F2322</f>
        <v>0</v>
      </c>
      <c r="G2336" s="63" t="n">
        <f aca="false">Pressupostos!$C$73*G2322</f>
        <v>0</v>
      </c>
      <c r="H2336" s="2" t="s">
        <v>1230</v>
      </c>
    </row>
    <row r="2337" customFormat="false" ht="15" hidden="false" customHeight="false" outlineLevel="1" collapsed="false">
      <c r="A2337" s="7" t="s">
        <v>675</v>
      </c>
      <c r="B2337" s="8" t="s">
        <v>64</v>
      </c>
      <c r="C2337" s="63" t="n">
        <f aca="false">Pressupostos!$C$288*(C2320+C2323)*(C2326+C2327-Pressupostos!$C$72)/365*Pressupostos!$C$282/Pressupostos!$D$31</f>
        <v>0</v>
      </c>
      <c r="D2337" s="63" t="n">
        <f aca="false">Pressupostos!$D$288*(D2320+D2323)*(D2326+D2327-Pressupostos!$C$72)/365*Pressupostos!$D$282/Pressupostos!$D$31</f>
        <v>0.0449383561643836</v>
      </c>
      <c r="E2337" s="63" t="n">
        <f aca="false">Pressupostos!$E$288*(E2320+E2323)*(E2326+E2327-Pressupostos!$C$72)/365*Pressupostos!$E$282/Pressupostos!$D$31</f>
        <v>0.0421297089041096</v>
      </c>
      <c r="F2337" s="63" t="n">
        <f aca="false">Pressupostos!$F$288*(F2320+F2323)*(F2326+F2327-Pressupostos!$C$72)/365*Pressupostos!$F$282/Pressupostos!$D$31</f>
        <v>0.0393210616438356</v>
      </c>
      <c r="G2337" s="63" t="n">
        <f aca="false">Pressupostos!$G$288*(G2320+G2323)*(G2326+G2327-Pressupostos!$C$72)/365*Pressupostos!$G$282/Pressupostos!$D$31</f>
        <v>0.0393210616438356</v>
      </c>
      <c r="H2337" s="2" t="s">
        <v>1231</v>
      </c>
    </row>
    <row r="2338" customFormat="false" ht="15" hidden="false" customHeight="false" outlineLevel="1" collapsed="false">
      <c r="A2338" s="7" t="s">
        <v>676</v>
      </c>
      <c r="B2338" s="8" t="s">
        <v>64</v>
      </c>
      <c r="C2338" s="63" t="n">
        <f aca="false">C2320+C2323+C2324+C2325+C2328+C2329+C2330+C2331+C2332+C2333+C2334+C2335+C2336+C2337</f>
        <v>4.25364178082192</v>
      </c>
      <c r="D2338" s="63" t="n">
        <f aca="false">D2320+D2323+D2324+D2325+D2328+D2329+D2330+D2331+D2332+D2333+D2334+D2335+D2336+D2337</f>
        <v>4.2985801369863</v>
      </c>
      <c r="E2338" s="63" t="n">
        <f aca="false">E2320+E2323+E2324+E2325+E2328+E2329+E2330+E2331+E2332+E2333+E2334+E2335+E2336+E2337</f>
        <v>4.28577148972603</v>
      </c>
      <c r="F2338" s="63" t="n">
        <f aca="false">F2320+F2323+F2324+F2325+F2328+F2329+F2330+F2331+F2332+F2333+F2334+F2335+F2336+F2337</f>
        <v>4.28296284246575</v>
      </c>
      <c r="G2338" s="63" t="n">
        <f aca="false">G2320+G2323+G2324+G2325+G2328+G2329+G2330+G2331+G2332+G2333+G2334+G2335+G2336+G2337</f>
        <v>4.28296284246575</v>
      </c>
      <c r="H2338" s="2" t="s">
        <v>1232</v>
      </c>
    </row>
    <row r="2339" customFormat="false" ht="15" hidden="false" customHeight="false" outlineLevel="1" collapsed="false">
      <c r="A2339" s="56" t="s">
        <v>677</v>
      </c>
      <c r="B2339" s="57" t="s">
        <v>64</v>
      </c>
      <c r="C2339" s="68" t="n">
        <f aca="false">C2322-C2338</f>
        <v>0.0963582191780832</v>
      </c>
      <c r="D2339" s="68" t="n">
        <f aca="false">D2322-D2338</f>
        <v>0.0514198630136997</v>
      </c>
      <c r="E2339" s="68" t="n">
        <f aca="false">E2322-E2338</f>
        <v>0.0642285102739733</v>
      </c>
      <c r="F2339" s="68" t="n">
        <f aca="false">F2322-F2338</f>
        <v>0.067037157534247</v>
      </c>
      <c r="G2339" s="68" t="n">
        <f aca="false">G2322-G2338</f>
        <v>0.067037157534247</v>
      </c>
      <c r="H2339" s="2" t="s">
        <v>1233</v>
      </c>
    </row>
    <row r="2340" customFormat="false" ht="15" hidden="false" customHeight="false" outlineLevel="1" collapsed="false">
      <c r="A2340" s="7" t="s">
        <v>678</v>
      </c>
      <c r="B2340" s="8" t="s">
        <v>76</v>
      </c>
      <c r="C2340" s="59" t="n">
        <f aca="false">IF(C2322&gt;0,C2339/C2322,0)</f>
        <v>0.0221513147535823</v>
      </c>
      <c r="D2340" s="59" t="n">
        <f aca="false">IF(D2322&gt;0,D2339/D2322,0)</f>
        <v>0.0118206581640689</v>
      </c>
      <c r="E2340" s="59" t="n">
        <f aca="false">IF(E2322&gt;0,E2339/E2322,0)</f>
        <v>0.014765174775626</v>
      </c>
      <c r="F2340" s="59" t="n">
        <f aca="false">IF(F2322&gt;0,F2339/F2322,0)</f>
        <v>0.0154108408124706</v>
      </c>
      <c r="G2340" s="59" t="n">
        <f aca="false">IF(G2322&gt;0,G2339/G2322,0)</f>
        <v>0.0154108408124706</v>
      </c>
      <c r="H2340" s="2" t="s">
        <v>1234</v>
      </c>
    </row>
    <row r="2341" customFormat="false" ht="15" hidden="false" customHeight="false" outlineLevel="1" collapsed="false">
      <c r="A2341" s="7" t="s">
        <v>679</v>
      </c>
      <c r="B2341" s="8" t="s">
        <v>64</v>
      </c>
      <c r="C2341" s="63" t="n">
        <f aca="false">(C2320+C2323)*(C2326-Pressupostos!$C$72)/365+C2322*C2327/365</f>
        <v>0.536301369863014</v>
      </c>
      <c r="D2341" s="63" t="n">
        <f aca="false">(D2320+D2323)*(D2326-Pressupostos!$C$72)/365+D2322*D2327/365</f>
        <v>0.536301369863014</v>
      </c>
      <c r="E2341" s="63" t="n">
        <f aca="false">(E2320+E2323)*(E2326-Pressupostos!$C$72)/365+E2322*E2327/365</f>
        <v>0.536301369863014</v>
      </c>
      <c r="F2341" s="63" t="n">
        <f aca="false">(F2320+F2323)*(F2326-Pressupostos!$C$72)/365+F2322*F2327/365</f>
        <v>0.536301369863014</v>
      </c>
      <c r="G2341" s="63" t="n">
        <f aca="false">(G2320+G2323)*(G2326-Pressupostos!$C$72)/365+G2322*G2327/365</f>
        <v>0.536301369863014</v>
      </c>
      <c r="H2341" s="2" t="s">
        <v>1235</v>
      </c>
    </row>
    <row r="2342" customFormat="false" ht="15" hidden="false" customHeight="false" outlineLevel="0" collapsed="false">
      <c r="A2342" s="3" t="s">
        <v>1236</v>
      </c>
      <c r="B2342" s="4"/>
      <c r="C2342" s="4"/>
      <c r="D2342" s="4"/>
      <c r="E2342" s="4"/>
      <c r="F2342" s="4"/>
      <c r="G2342" s="4"/>
      <c r="H2342" s="4"/>
    </row>
    <row r="2343" customFormat="false" ht="15" hidden="false" customHeight="false" outlineLevel="1" collapsed="false">
      <c r="A2343" s="7" t="s">
        <v>669</v>
      </c>
      <c r="B2343" s="8" t="s">
        <v>64</v>
      </c>
      <c r="C2343" s="63" t="n">
        <f aca="false">Pressupostos!$D$10+Pressupostos!$D$13</f>
        <v>3.5</v>
      </c>
      <c r="D2343" s="63" t="n">
        <f aca="false">Pressupostos!$D$10+Pressupostos!$D$13</f>
        <v>3.5</v>
      </c>
      <c r="E2343" s="63" t="n">
        <f aca="false">Pressupostos!$D$10+Pressupostos!$D$13</f>
        <v>3.5</v>
      </c>
      <c r="F2343" s="63" t="n">
        <f aca="false">Pressupostos!$D$10+Pressupostos!$D$13</f>
        <v>3.5</v>
      </c>
      <c r="G2343" s="63" t="n">
        <f aca="false">Pressupostos!$D$10+Pressupostos!$D$13</f>
        <v>3.5</v>
      </c>
      <c r="H2343" s="2" t="s">
        <v>1237</v>
      </c>
    </row>
    <row r="2344" customFormat="false" ht="15" hidden="false" customHeight="false" outlineLevel="1" collapsed="false">
      <c r="A2344" s="7" t="s">
        <v>670</v>
      </c>
      <c r="B2344" s="8" t="s">
        <v>64</v>
      </c>
      <c r="C2344" s="63" t="n">
        <f aca="false">Pressupostos!$D$10+Pressupostos!$C$52</f>
        <v>3.65</v>
      </c>
      <c r="D2344" s="63" t="n">
        <f aca="false">Pressupostos!$D$10+Pressupostos!$C$52</f>
        <v>3.65</v>
      </c>
      <c r="E2344" s="63" t="n">
        <f aca="false">Pressupostos!$D$10+Pressupostos!$C$52</f>
        <v>3.65</v>
      </c>
      <c r="F2344" s="63" t="n">
        <f aca="false">Pressupostos!$D$10+Pressupostos!$C$52</f>
        <v>3.65</v>
      </c>
      <c r="G2344" s="63" t="n">
        <f aca="false">Pressupostos!$D$10+Pressupostos!$C$52</f>
        <v>3.65</v>
      </c>
      <c r="H2344" s="2" t="s">
        <v>1238</v>
      </c>
    </row>
    <row r="2345" customFormat="false" ht="15" hidden="false" customHeight="false" outlineLevel="1" collapsed="false">
      <c r="A2345" s="56" t="s">
        <v>671</v>
      </c>
      <c r="B2345" s="57" t="s">
        <v>64</v>
      </c>
      <c r="C2345" s="68" t="n">
        <f aca="false">C2344*(1-Pressupostos!$C$53)</f>
        <v>3.65</v>
      </c>
      <c r="D2345" s="68" t="n">
        <f aca="false">D2344*(1-Pressupostos!$C$53)</f>
        <v>3.65</v>
      </c>
      <c r="E2345" s="68" t="n">
        <f aca="false">E2344*(1-Pressupostos!$C$53)</f>
        <v>3.65</v>
      </c>
      <c r="F2345" s="68" t="n">
        <f aca="false">F2344*(1-Pressupostos!$C$53)</f>
        <v>3.65</v>
      </c>
      <c r="G2345" s="68" t="n">
        <f aca="false">G2344*(1-Pressupostos!$C$53)</f>
        <v>3.65</v>
      </c>
      <c r="H2345" s="2" t="s">
        <v>1239</v>
      </c>
    </row>
    <row r="2346" customFormat="false" ht="15" hidden="false" customHeight="false" outlineLevel="1" collapsed="false">
      <c r="A2346" s="7" t="s">
        <v>144</v>
      </c>
      <c r="B2346" s="8" t="s">
        <v>64</v>
      </c>
      <c r="C2346" s="67" t="n">
        <f aca="false">Pressupostos!$C$54</f>
        <v>0</v>
      </c>
      <c r="D2346" s="67" t="n">
        <f aca="false">Pressupostos!$C$54</f>
        <v>0</v>
      </c>
      <c r="E2346" s="67" t="n">
        <f aca="false">Pressupostos!$C$54</f>
        <v>0</v>
      </c>
      <c r="F2346" s="67" t="n">
        <f aca="false">Pressupostos!$C$54</f>
        <v>0</v>
      </c>
      <c r="G2346" s="67" t="n">
        <f aca="false">Pressupostos!$C$54</f>
        <v>0</v>
      </c>
      <c r="H2346" s="2" t="s">
        <v>1240</v>
      </c>
    </row>
    <row r="2347" customFormat="false" ht="15" hidden="false" customHeight="false" outlineLevel="1" collapsed="false">
      <c r="A2347" s="7" t="s">
        <v>215</v>
      </c>
      <c r="B2347" s="8" t="s">
        <v>64</v>
      </c>
      <c r="C2347" s="67" t="n">
        <f aca="false">Pressupostos!$C$55</f>
        <v>0.04</v>
      </c>
      <c r="D2347" s="67" t="n">
        <f aca="false">Pressupostos!$C$55</f>
        <v>0.04</v>
      </c>
      <c r="E2347" s="67" t="n">
        <f aca="false">Pressupostos!$C$55</f>
        <v>0.04</v>
      </c>
      <c r="F2347" s="67" t="n">
        <f aca="false">Pressupostos!$C$55</f>
        <v>0.04</v>
      </c>
      <c r="G2347" s="67" t="n">
        <f aca="false">Pressupostos!$C$55</f>
        <v>0.04</v>
      </c>
      <c r="H2347" s="2" t="s">
        <v>1241</v>
      </c>
    </row>
    <row r="2348" customFormat="false" ht="15" hidden="false" customHeight="false" outlineLevel="1" collapsed="false">
      <c r="A2348" s="7" t="s">
        <v>117</v>
      </c>
      <c r="B2348" s="8" t="s">
        <v>64</v>
      </c>
      <c r="C2348" s="67" t="n">
        <f aca="false">Pressupostos!$C$56</f>
        <v>0</v>
      </c>
      <c r="D2348" s="67" t="n">
        <f aca="false">Pressupostos!$C$56</f>
        <v>0</v>
      </c>
      <c r="E2348" s="67" t="n">
        <f aca="false">Pressupostos!$C$56</f>
        <v>0</v>
      </c>
      <c r="F2348" s="67" t="n">
        <f aca="false">Pressupostos!$C$56</f>
        <v>0</v>
      </c>
      <c r="G2348" s="67" t="n">
        <f aca="false">Pressupostos!$C$56</f>
        <v>0</v>
      </c>
      <c r="H2348" s="2" t="s">
        <v>1242</v>
      </c>
    </row>
    <row r="2349" customFormat="false" ht="15" hidden="false" customHeight="false" outlineLevel="1" collapsed="false">
      <c r="A2349" s="7" t="s">
        <v>91</v>
      </c>
      <c r="B2349" s="8" t="s">
        <v>79</v>
      </c>
      <c r="C2349" s="69" t="n">
        <f aca="false">Pressupostos!$C$57</f>
        <v>15</v>
      </c>
      <c r="D2349" s="69" t="n">
        <f aca="false">Pressupostos!$C$57</f>
        <v>15</v>
      </c>
      <c r="E2349" s="69" t="n">
        <f aca="false">Pressupostos!$C$57</f>
        <v>15</v>
      </c>
      <c r="F2349" s="69" t="n">
        <f aca="false">Pressupostos!$C$57</f>
        <v>15</v>
      </c>
      <c r="G2349" s="69" t="n">
        <f aca="false">Pressupostos!$C$57</f>
        <v>15</v>
      </c>
      <c r="H2349" s="2" t="s">
        <v>1243</v>
      </c>
    </row>
    <row r="2350" customFormat="false" ht="15" hidden="false" customHeight="false" outlineLevel="1" collapsed="false">
      <c r="A2350" s="7" t="s">
        <v>78</v>
      </c>
      <c r="B2350" s="8" t="s">
        <v>79</v>
      </c>
      <c r="C2350" s="69" t="n">
        <f aca="false">Pressupostos!$C$58</f>
        <v>45</v>
      </c>
      <c r="D2350" s="69" t="n">
        <f aca="false">Pressupostos!$C$58</f>
        <v>45</v>
      </c>
      <c r="E2350" s="69" t="n">
        <f aca="false">Pressupostos!$C$58</f>
        <v>45</v>
      </c>
      <c r="F2350" s="69" t="n">
        <f aca="false">Pressupostos!$C$58</f>
        <v>45</v>
      </c>
      <c r="G2350" s="69" t="n">
        <f aca="false">Pressupostos!$C$58</f>
        <v>45</v>
      </c>
      <c r="H2350" s="2" t="s">
        <v>1244</v>
      </c>
    </row>
    <row r="2351" customFormat="false" ht="15" hidden="false" customHeight="false" outlineLevel="1" collapsed="false">
      <c r="A2351" s="7" t="s">
        <v>490</v>
      </c>
      <c r="B2351" s="8" t="s">
        <v>64</v>
      </c>
      <c r="C2351" s="63" t="n">
        <f aca="false">Pressupostos!$C$66*C2349/30/1000</f>
        <v>0.002</v>
      </c>
      <c r="D2351" s="63" t="n">
        <f aca="false">Pressupostos!$C$66*D2349/30/1000</f>
        <v>0.002</v>
      </c>
      <c r="E2351" s="63" t="n">
        <f aca="false">Pressupostos!$C$66*E2349/30/1000</f>
        <v>0.002</v>
      </c>
      <c r="F2351" s="63" t="n">
        <f aca="false">Pressupostos!$C$66*F2349/30/1000</f>
        <v>0.002</v>
      </c>
      <c r="G2351" s="63" t="n">
        <f aca="false">Pressupostos!$C$66*G2349/30/1000</f>
        <v>0.002</v>
      </c>
      <c r="H2351" s="2" t="s">
        <v>1245</v>
      </c>
    </row>
    <row r="2352" customFormat="false" ht="15" hidden="false" customHeight="false" outlineLevel="1" collapsed="false">
      <c r="A2352" s="7" t="s">
        <v>165</v>
      </c>
      <c r="B2352" s="8" t="s">
        <v>64</v>
      </c>
      <c r="C2352" s="63" t="n">
        <f aca="false">C2343*Pressupostos!$C$67*C2349/365</f>
        <v>0.000287671232876712</v>
      </c>
      <c r="D2352" s="63" t="n">
        <f aca="false">D2343*Pressupostos!$C$67*D2349/365</f>
        <v>0.000287671232876712</v>
      </c>
      <c r="E2352" s="63" t="n">
        <f aca="false">E2343*Pressupostos!$C$67*E2349/365</f>
        <v>0.000287671232876712</v>
      </c>
      <c r="F2352" s="63" t="n">
        <f aca="false">F2343*Pressupostos!$C$67*F2349/365</f>
        <v>0.000287671232876712</v>
      </c>
      <c r="G2352" s="63" t="n">
        <f aca="false">G2343*Pressupostos!$C$67*G2349/365</f>
        <v>0.000287671232876712</v>
      </c>
      <c r="H2352" s="2" t="s">
        <v>1246</v>
      </c>
    </row>
    <row r="2353" customFormat="false" ht="15" hidden="false" customHeight="false" outlineLevel="1" collapsed="false">
      <c r="A2353" s="7" t="s">
        <v>672</v>
      </c>
      <c r="B2353" s="8" t="s">
        <v>64</v>
      </c>
      <c r="C2353" s="63" t="n">
        <f aca="false">Pressupostos!$C$60*Pressupostos!$C$68/(Pressupostos!$C$59*1000)</f>
        <v>0.006</v>
      </c>
      <c r="D2353" s="63" t="n">
        <f aca="false">Pressupostos!$C$60*Pressupostos!$C$68/(Pressupostos!$C$59*1000)</f>
        <v>0.006</v>
      </c>
      <c r="E2353" s="63" t="n">
        <f aca="false">Pressupostos!$C$60*Pressupostos!$C$68/(Pressupostos!$C$59*1000)</f>
        <v>0.006</v>
      </c>
      <c r="F2353" s="63" t="n">
        <f aca="false">Pressupostos!$C$60*Pressupostos!$C$68/(Pressupostos!$C$59*1000)</f>
        <v>0.006</v>
      </c>
      <c r="G2353" s="63" t="n">
        <f aca="false">Pressupostos!$C$60*Pressupostos!$C$68/(Pressupostos!$C$59*1000)</f>
        <v>0.006</v>
      </c>
      <c r="H2353" s="2" t="s">
        <v>1247</v>
      </c>
    </row>
    <row r="2354" customFormat="false" ht="15" hidden="false" customHeight="false" outlineLevel="1" collapsed="false">
      <c r="A2354" s="7" t="s">
        <v>492</v>
      </c>
      <c r="B2354" s="8" t="s">
        <v>64</v>
      </c>
      <c r="C2354" s="63" t="n">
        <f aca="false">Pressupostos!$C$69*C2343</f>
        <v>0.0175</v>
      </c>
      <c r="D2354" s="63" t="n">
        <f aca="false">Pressupostos!$C$69*D2343</f>
        <v>0.0175</v>
      </c>
      <c r="E2354" s="63" t="n">
        <f aca="false">Pressupostos!$C$69*E2343</f>
        <v>0.0175</v>
      </c>
      <c r="F2354" s="63" t="n">
        <f aca="false">Pressupostos!$C$69*F2343</f>
        <v>0.0175</v>
      </c>
      <c r="G2354" s="63" t="n">
        <f aca="false">Pressupostos!$C$69*G2343</f>
        <v>0.0175</v>
      </c>
      <c r="H2354" s="2" t="s">
        <v>1248</v>
      </c>
    </row>
    <row r="2355" customFormat="false" ht="15" hidden="false" customHeight="false" outlineLevel="1" collapsed="false">
      <c r="A2355" s="7" t="s">
        <v>493</v>
      </c>
      <c r="B2355" s="8" t="s">
        <v>64</v>
      </c>
      <c r="C2355" s="63" t="n">
        <f aca="false">Pressupostos!$C$70*Pressupostos!$C$71*C2349/90</f>
        <v>0.0015</v>
      </c>
      <c r="D2355" s="63" t="n">
        <f aca="false">Pressupostos!$C$70*Pressupostos!$C$71*D2349/90</f>
        <v>0.0015</v>
      </c>
      <c r="E2355" s="63" t="n">
        <f aca="false">Pressupostos!$C$70*Pressupostos!$C$71*E2349/90</f>
        <v>0.0015</v>
      </c>
      <c r="F2355" s="63" t="n">
        <f aca="false">Pressupostos!$C$70*Pressupostos!$C$71*F2349/90</f>
        <v>0.0015</v>
      </c>
      <c r="G2355" s="63" t="n">
        <f aca="false">Pressupostos!$C$70*Pressupostos!$C$71*G2349/90</f>
        <v>0.0015</v>
      </c>
      <c r="H2355" s="2" t="s">
        <v>1249</v>
      </c>
    </row>
    <row r="2356" customFormat="false" ht="15" hidden="false" customHeight="false" outlineLevel="1" collapsed="false">
      <c r="A2356" s="7" t="s">
        <v>673</v>
      </c>
      <c r="B2356" s="8" t="s">
        <v>64</v>
      </c>
      <c r="C2356" s="63" t="n">
        <f aca="false">Pressupostos!$C$61/(Pressupostos!$C$59*1000)</f>
        <v>0.012</v>
      </c>
      <c r="D2356" s="63" t="n">
        <f aca="false">Pressupostos!$C$61/(Pressupostos!$C$59*1000)</f>
        <v>0.012</v>
      </c>
      <c r="E2356" s="63" t="n">
        <f aca="false">Pressupostos!$C$61/(Pressupostos!$C$59*1000)</f>
        <v>0.012</v>
      </c>
      <c r="F2356" s="63" t="n">
        <f aca="false">Pressupostos!$C$61/(Pressupostos!$C$59*1000)</f>
        <v>0.012</v>
      </c>
      <c r="G2356" s="63" t="n">
        <f aca="false">Pressupostos!$C$61/(Pressupostos!$C$59*1000)</f>
        <v>0.012</v>
      </c>
      <c r="H2356" s="2" t="s">
        <v>1250</v>
      </c>
    </row>
    <row r="2357" customFormat="false" ht="15" hidden="false" customHeight="false" outlineLevel="1" collapsed="false">
      <c r="A2357" s="7" t="s">
        <v>139</v>
      </c>
      <c r="B2357" s="8" t="s">
        <v>64</v>
      </c>
      <c r="C2357" s="67" t="n">
        <f aca="false">Pressupostos!$C$62</f>
        <v>0.001</v>
      </c>
      <c r="D2357" s="67" t="n">
        <f aca="false">Pressupostos!$C$62</f>
        <v>0.001</v>
      </c>
      <c r="E2357" s="67" t="n">
        <f aca="false">Pressupostos!$C$62</f>
        <v>0.001</v>
      </c>
      <c r="F2357" s="67" t="n">
        <f aca="false">Pressupostos!$C$62</f>
        <v>0.001</v>
      </c>
      <c r="G2357" s="67" t="n">
        <f aca="false">Pressupostos!$C$62</f>
        <v>0.001</v>
      </c>
      <c r="H2357" s="2" t="s">
        <v>1251</v>
      </c>
    </row>
    <row r="2358" customFormat="false" ht="15" hidden="false" customHeight="false" outlineLevel="1" collapsed="false">
      <c r="A2358" s="7" t="s">
        <v>81</v>
      </c>
      <c r="B2358" s="8" t="s">
        <v>64</v>
      </c>
      <c r="C2358" s="63" t="n">
        <f aca="false">Pressupostos!$C$63*C2345</f>
        <v>0.01095</v>
      </c>
      <c r="D2358" s="63" t="n">
        <f aca="false">Pressupostos!$C$63*D2345</f>
        <v>0.01095</v>
      </c>
      <c r="E2358" s="63" t="n">
        <f aca="false">Pressupostos!$C$63*E2345</f>
        <v>0.01095</v>
      </c>
      <c r="F2358" s="63" t="n">
        <f aca="false">Pressupostos!$C$63*F2345</f>
        <v>0.01095</v>
      </c>
      <c r="G2358" s="63" t="n">
        <f aca="false">Pressupostos!$C$63*G2345</f>
        <v>0.01095</v>
      </c>
      <c r="H2358" s="2" t="s">
        <v>1252</v>
      </c>
    </row>
    <row r="2359" customFormat="false" ht="15" hidden="false" customHeight="false" outlineLevel="1" collapsed="false">
      <c r="A2359" s="7" t="s">
        <v>674</v>
      </c>
      <c r="B2359" s="8" t="s">
        <v>64</v>
      </c>
      <c r="C2359" s="63" t="n">
        <f aca="false">Pressupostos!$C$73*C2345</f>
        <v>0</v>
      </c>
      <c r="D2359" s="63" t="n">
        <f aca="false">Pressupostos!$C$73*D2345</f>
        <v>0</v>
      </c>
      <c r="E2359" s="63" t="n">
        <f aca="false">Pressupostos!$C$73*E2345</f>
        <v>0</v>
      </c>
      <c r="F2359" s="63" t="n">
        <f aca="false">Pressupostos!$C$73*F2345</f>
        <v>0</v>
      </c>
      <c r="G2359" s="63" t="n">
        <f aca="false">Pressupostos!$C$73*G2345</f>
        <v>0</v>
      </c>
      <c r="H2359" s="2" t="s">
        <v>1253</v>
      </c>
    </row>
    <row r="2360" customFormat="false" ht="15" hidden="false" customHeight="false" outlineLevel="1" collapsed="false">
      <c r="A2360" s="7" t="s">
        <v>675</v>
      </c>
      <c r="B2360" s="8" t="s">
        <v>64</v>
      </c>
      <c r="C2360" s="63" t="n">
        <f aca="false">Pressupostos!$C$288*(C2343+C2346)*(C2349+C2350-Pressupostos!$C$72)/365*Pressupostos!$C$282/Pressupostos!$D$31</f>
        <v>0</v>
      </c>
      <c r="D2360" s="63" t="n">
        <f aca="false">Pressupostos!$D$288*(D2343+D2346)*(D2349+D2350-Pressupostos!$C$72)/365*Pressupostos!$D$282/Pressupostos!$D$31</f>
        <v>0.0258904109589041</v>
      </c>
      <c r="E2360" s="63" t="n">
        <f aca="false">Pressupostos!$E$288*(E2343+E2346)*(E2349+E2350-Pressupostos!$C$72)/365*Pressupostos!$E$282/Pressupostos!$D$31</f>
        <v>0.0242722602739726</v>
      </c>
      <c r="F2360" s="63" t="n">
        <f aca="false">Pressupostos!$F$288*(F2343+F2346)*(F2349+F2350-Pressupostos!$C$72)/365*Pressupostos!$F$282/Pressupostos!$D$31</f>
        <v>0.0226541095890411</v>
      </c>
      <c r="G2360" s="63" t="n">
        <f aca="false">Pressupostos!$G$288*(G2343+G2346)*(G2349+G2350-Pressupostos!$C$72)/365*Pressupostos!$G$282/Pressupostos!$D$31</f>
        <v>0.0226541095890411</v>
      </c>
      <c r="H2360" s="2" t="s">
        <v>1254</v>
      </c>
    </row>
    <row r="2361" customFormat="false" ht="15" hidden="false" customHeight="false" outlineLevel="1" collapsed="false">
      <c r="A2361" s="7" t="s">
        <v>676</v>
      </c>
      <c r="B2361" s="8" t="s">
        <v>64</v>
      </c>
      <c r="C2361" s="63" t="n">
        <f aca="false">C2343+C2346+C2347+C2348+C2351+C2352+C2353+C2354+C2355+C2356+C2357+C2358+C2359+C2360</f>
        <v>3.59123767123288</v>
      </c>
      <c r="D2361" s="63" t="n">
        <f aca="false">D2343+D2346+D2347+D2348+D2351+D2352+D2353+D2354+D2355+D2356+D2357+D2358+D2359+D2360</f>
        <v>3.61712808219178</v>
      </c>
      <c r="E2361" s="63" t="n">
        <f aca="false">E2343+E2346+E2347+E2348+E2351+E2352+E2353+E2354+E2355+E2356+E2357+E2358+E2359+E2360</f>
        <v>3.61550993150685</v>
      </c>
      <c r="F2361" s="63" t="n">
        <f aca="false">F2343+F2346+F2347+F2348+F2351+F2352+F2353+F2354+F2355+F2356+F2357+F2358+F2359+F2360</f>
        <v>3.61389178082192</v>
      </c>
      <c r="G2361" s="63" t="n">
        <f aca="false">G2343+G2346+G2347+G2348+G2351+G2352+G2353+G2354+G2355+G2356+G2357+G2358+G2359+G2360</f>
        <v>3.61389178082192</v>
      </c>
      <c r="H2361" s="2" t="s">
        <v>1255</v>
      </c>
    </row>
    <row r="2362" customFormat="false" ht="15" hidden="false" customHeight="false" outlineLevel="1" collapsed="false">
      <c r="A2362" s="56" t="s">
        <v>677</v>
      </c>
      <c r="B2362" s="57" t="s">
        <v>64</v>
      </c>
      <c r="C2362" s="68" t="n">
        <f aca="false">C2345-C2361</f>
        <v>0.058762328767124</v>
      </c>
      <c r="D2362" s="68" t="n">
        <f aca="false">D2345-D2361</f>
        <v>0.0328719178082197</v>
      </c>
      <c r="E2362" s="68" t="n">
        <f aca="false">E2345-E2361</f>
        <v>0.0344900684931515</v>
      </c>
      <c r="F2362" s="68" t="n">
        <f aca="false">F2345-F2361</f>
        <v>0.0361082191780828</v>
      </c>
      <c r="G2362" s="68" t="n">
        <f aca="false">G2345-G2361</f>
        <v>0.0361082191780828</v>
      </c>
      <c r="H2362" s="2" t="s">
        <v>1256</v>
      </c>
    </row>
    <row r="2363" customFormat="false" ht="15" hidden="false" customHeight="false" outlineLevel="1" collapsed="false">
      <c r="A2363" s="7" t="s">
        <v>678</v>
      </c>
      <c r="B2363" s="8" t="s">
        <v>76</v>
      </c>
      <c r="C2363" s="59" t="n">
        <f aca="false">IF(C2345&gt;0,C2362/C2345,0)</f>
        <v>0.0160992681553764</v>
      </c>
      <c r="D2363" s="59" t="n">
        <f aca="false">IF(D2345&gt;0,D2362/D2345,0)</f>
        <v>0.00900600487896431</v>
      </c>
      <c r="E2363" s="59" t="n">
        <f aca="false">IF(E2345&gt;0,E2362/E2345,0)</f>
        <v>0.00944933383374014</v>
      </c>
      <c r="F2363" s="59" t="n">
        <f aca="false">IF(F2345&gt;0,F2362/F2345,0)</f>
        <v>0.00989266278851584</v>
      </c>
      <c r="G2363" s="59" t="n">
        <f aca="false">IF(G2345&gt;0,G2362/G2345,0)</f>
        <v>0.00989266278851584</v>
      </c>
      <c r="H2363" s="2" t="s">
        <v>1257</v>
      </c>
    </row>
    <row r="2364" customFormat="false" ht="15" hidden="false" customHeight="false" outlineLevel="1" collapsed="false">
      <c r="A2364" s="7" t="s">
        <v>679</v>
      </c>
      <c r="B2364" s="8" t="s">
        <v>64</v>
      </c>
      <c r="C2364" s="63" t="n">
        <f aca="false">(C2343+C2346)*(C2349-Pressupostos!$C$72)/365+C2345*C2350/365</f>
        <v>0.306164383561644</v>
      </c>
      <c r="D2364" s="63" t="n">
        <f aca="false">(D2343+D2346)*(D2349-Pressupostos!$C$72)/365+D2345*D2350/365</f>
        <v>0.306164383561644</v>
      </c>
      <c r="E2364" s="63" t="n">
        <f aca="false">(E2343+E2346)*(E2349-Pressupostos!$C$72)/365+E2345*E2350/365</f>
        <v>0.306164383561644</v>
      </c>
      <c r="F2364" s="63" t="n">
        <f aca="false">(F2343+F2346)*(F2349-Pressupostos!$C$72)/365+F2345*F2350/365</f>
        <v>0.306164383561644</v>
      </c>
      <c r="G2364" s="63" t="n">
        <f aca="false">(G2343+G2346)*(G2349-Pressupostos!$C$72)/365+G2345*G2350/365</f>
        <v>0.306164383561644</v>
      </c>
      <c r="H2364" s="2" t="s">
        <v>1258</v>
      </c>
    </row>
    <row r="2365" customFormat="false" ht="15" hidden="false" customHeight="false" outlineLevel="0" collapsed="false">
      <c r="A2365" s="3" t="s">
        <v>1259</v>
      </c>
      <c r="B2365" s="4"/>
      <c r="C2365" s="4"/>
      <c r="D2365" s="4"/>
      <c r="E2365" s="4"/>
      <c r="F2365" s="4"/>
      <c r="G2365" s="4"/>
      <c r="H2365" s="4"/>
    </row>
    <row r="2366" customFormat="false" ht="15" hidden="false" customHeight="false" outlineLevel="1" collapsed="false">
      <c r="A2366" s="7" t="s">
        <v>683</v>
      </c>
      <c r="B2366" s="8" t="s">
        <v>64</v>
      </c>
      <c r="C2366" s="63" t="n">
        <f aca="false">Pressupostos!$C$64*Pressupostos!$D$10</f>
        <v>0.02625</v>
      </c>
      <c r="D2366" s="63" t="n">
        <f aca="false">Pressupostos!$C$64*Pressupostos!$D$10</f>
        <v>0.02625</v>
      </c>
      <c r="E2366" s="63" t="n">
        <f aca="false">Pressupostos!$C$64*Pressupostos!$D$10</f>
        <v>0.02625</v>
      </c>
      <c r="F2366" s="63" t="n">
        <f aca="false">Pressupostos!$C$64*Pressupostos!$D$10</f>
        <v>0.02625</v>
      </c>
      <c r="G2366" s="63" t="n">
        <f aca="false">Pressupostos!$C$64*Pressupostos!$D$10</f>
        <v>0.02625</v>
      </c>
      <c r="H2366" s="2" t="s">
        <v>1260</v>
      </c>
    </row>
    <row r="2367" customFormat="false" ht="15" hidden="false" customHeight="false" outlineLevel="1" collapsed="false">
      <c r="A2367" s="7" t="s">
        <v>684</v>
      </c>
      <c r="B2367" s="8" t="s">
        <v>64</v>
      </c>
      <c r="C2367" s="63" t="n">
        <f aca="false">C2356+C2353+C2357</f>
        <v>0.019</v>
      </c>
      <c r="D2367" s="63" t="n">
        <f aca="false">D2356+D2353+D2357</f>
        <v>0.019</v>
      </c>
      <c r="E2367" s="63" t="n">
        <f aca="false">E2356+E2353+E2357</f>
        <v>0.019</v>
      </c>
      <c r="F2367" s="63" t="n">
        <f aca="false">F2356+F2353+F2357</f>
        <v>0.019</v>
      </c>
      <c r="G2367" s="63" t="n">
        <f aca="false">G2356+G2353+G2357</f>
        <v>0.019</v>
      </c>
      <c r="H2367" s="2" t="s">
        <v>1261</v>
      </c>
    </row>
    <row r="2368" customFormat="false" ht="15" hidden="false" customHeight="false" outlineLevel="1" collapsed="false">
      <c r="A2368" s="56" t="s">
        <v>561</v>
      </c>
      <c r="B2368" s="57" t="s">
        <v>64</v>
      </c>
      <c r="C2368" s="68" t="n">
        <f aca="false">C2366-C2367</f>
        <v>0.00725</v>
      </c>
      <c r="D2368" s="68" t="n">
        <f aca="false">D2366-D2367</f>
        <v>0.00725</v>
      </c>
      <c r="E2368" s="68" t="n">
        <f aca="false">E2366-E2367</f>
        <v>0.00725</v>
      </c>
      <c r="F2368" s="68" t="n">
        <f aca="false">F2366-F2367</f>
        <v>0.00725</v>
      </c>
      <c r="G2368" s="68" t="n">
        <f aca="false">G2366-G2367</f>
        <v>0.00725</v>
      </c>
      <c r="H2368" s="2" t="s">
        <v>1262</v>
      </c>
    </row>
    <row r="2369" customFormat="false" ht="15" hidden="false" customHeight="false" outlineLevel="0" collapsed="false">
      <c r="A2369" s="3" t="s">
        <v>1263</v>
      </c>
      <c r="B2369" s="4"/>
      <c r="C2369" s="4"/>
      <c r="D2369" s="4"/>
      <c r="E2369" s="4"/>
      <c r="F2369" s="4"/>
      <c r="G2369" s="4"/>
      <c r="H2369" s="4"/>
    </row>
    <row r="2370" customFormat="false" ht="15" hidden="false" customHeight="false" outlineLevel="1" collapsed="false">
      <c r="A2370" s="7" t="s">
        <v>608</v>
      </c>
      <c r="B2370" s="8" t="s">
        <v>11</v>
      </c>
      <c r="C2370" s="61" t="n">
        <f aca="false">C2279*1000*C2299</f>
        <v>28476</v>
      </c>
      <c r="D2370" s="61" t="n">
        <f aca="false">D2279*1000*D2299</f>
        <v>131701.5</v>
      </c>
      <c r="E2370" s="61" t="n">
        <f aca="false">E2279*1000*E2299</f>
        <v>473413.5</v>
      </c>
      <c r="F2370" s="61" t="n">
        <f aca="false">F2279*1000*F2299</f>
        <v>950386.5</v>
      </c>
      <c r="G2370" s="61" t="n">
        <f aca="false">G2279*1000*G2299</f>
        <v>1459395</v>
      </c>
      <c r="H2370" s="2" t="s">
        <v>1264</v>
      </c>
    </row>
    <row r="2371" customFormat="false" ht="15" hidden="false" customHeight="false" outlineLevel="1" collapsed="false">
      <c r="A2371" s="7" t="s">
        <v>609</v>
      </c>
      <c r="B2371" s="8" t="s">
        <v>11</v>
      </c>
      <c r="C2371" s="61" t="n">
        <f aca="false">C2280*1000*C2322</f>
        <v>158340</v>
      </c>
      <c r="D2371" s="61" t="n">
        <f aca="false">D2280*1000*D2322</f>
        <v>1105335</v>
      </c>
      <c r="E2371" s="61" t="n">
        <f aca="false">E2280*1000*E2322</f>
        <v>2183265</v>
      </c>
      <c r="F2371" s="61" t="n">
        <f aca="false">F2280*1000*F2322</f>
        <v>3602235</v>
      </c>
      <c r="G2371" s="61" t="n">
        <f aca="false">G2280*1000*G2322</f>
        <v>5450550</v>
      </c>
      <c r="H2371" s="2" t="s">
        <v>1265</v>
      </c>
    </row>
    <row r="2372" customFormat="false" ht="15" hidden="false" customHeight="false" outlineLevel="1" collapsed="false">
      <c r="A2372" s="7" t="s">
        <v>610</v>
      </c>
      <c r="B2372" s="8" t="s">
        <v>11</v>
      </c>
      <c r="C2372" s="61" t="n">
        <f aca="false">C2282*1000*C2345</f>
        <v>0</v>
      </c>
      <c r="D2372" s="61" t="n">
        <f aca="false">D2282*1000*D2345</f>
        <v>0</v>
      </c>
      <c r="E2372" s="61" t="n">
        <f aca="false">E2282*1000*E2345</f>
        <v>0</v>
      </c>
      <c r="F2372" s="61" t="n">
        <f aca="false">F2282*1000*F2345</f>
        <v>0</v>
      </c>
      <c r="G2372" s="61" t="n">
        <f aca="false">G2282*1000*G2345</f>
        <v>0</v>
      </c>
      <c r="H2372" s="2" t="s">
        <v>1266</v>
      </c>
    </row>
    <row r="2373" customFormat="false" ht="15" hidden="false" customHeight="false" outlineLevel="1" collapsed="false">
      <c r="A2373" s="7" t="s">
        <v>611</v>
      </c>
      <c r="B2373" s="8" t="s">
        <v>11</v>
      </c>
      <c r="C2373" s="61" t="n">
        <f aca="false">C2370+C2371+C2372</f>
        <v>186816</v>
      </c>
      <c r="D2373" s="61" t="n">
        <f aca="false">D2370+D2371+D2372</f>
        <v>1237036.5</v>
      </c>
      <c r="E2373" s="61" t="n">
        <f aca="false">E2370+E2371+E2372</f>
        <v>2656678.5</v>
      </c>
      <c r="F2373" s="61" t="n">
        <f aca="false">F2370+F2371+F2372</f>
        <v>4552621.5</v>
      </c>
      <c r="G2373" s="61" t="n">
        <f aca="false">G2370+G2371+G2372</f>
        <v>6909945</v>
      </c>
      <c r="H2373" s="2" t="s">
        <v>1267</v>
      </c>
    </row>
    <row r="2374" customFormat="false" ht="15" hidden="false" customHeight="false" outlineLevel="1" collapsed="false">
      <c r="A2374" s="7" t="s">
        <v>612</v>
      </c>
      <c r="B2374" s="8" t="s">
        <v>11</v>
      </c>
      <c r="C2374" s="61" t="n">
        <f aca="false">C2292*1000*Pressupostos!$C$93</f>
        <v>0</v>
      </c>
      <c r="D2374" s="61" t="n">
        <f aca="false">D2292*1000*Pressupostos!$C$93</f>
        <v>0</v>
      </c>
      <c r="E2374" s="61" t="n">
        <f aca="false">E2292*1000*Pressupostos!$C$93</f>
        <v>164850</v>
      </c>
      <c r="F2374" s="61" t="n">
        <f aca="false">F2292*1000*Pressupostos!$C$93</f>
        <v>329700</v>
      </c>
      <c r="G2374" s="61" t="n">
        <f aca="false">G2292*1000*Pressupostos!$C$93</f>
        <v>549500</v>
      </c>
      <c r="H2374" s="2" t="s">
        <v>1268</v>
      </c>
    </row>
    <row r="2375" customFormat="false" ht="15" hidden="false" customHeight="false" outlineLevel="1" collapsed="false">
      <c r="A2375" s="2" t="s">
        <v>613</v>
      </c>
      <c r="B2375" s="8" t="s">
        <v>11</v>
      </c>
      <c r="C2375" s="61" t="n">
        <f aca="false">C2290*Pressupostos!$C$80*(1-Pressupostos!$C$81)</f>
        <v>28350</v>
      </c>
      <c r="D2375" s="61" t="n">
        <f aca="false">D2290*Pressupostos!$C$80*(1-Pressupostos!$C$81)</f>
        <v>113400</v>
      </c>
      <c r="E2375" s="61" t="n">
        <f aca="false">E2290*Pressupostos!$C$80*(1-Pressupostos!$C$81)</f>
        <v>189000</v>
      </c>
      <c r="F2375" s="61" t="n">
        <f aca="false">F2290*Pressupostos!$C$80*(1-Pressupostos!$C$81)</f>
        <v>264600</v>
      </c>
      <c r="G2375" s="61" t="n">
        <f aca="false">G2290*Pressupostos!$C$80*(1-Pressupostos!$C$81)</f>
        <v>340200</v>
      </c>
      <c r="H2375" s="2" t="s">
        <v>1269</v>
      </c>
    </row>
    <row r="2376" customFormat="false" ht="15" hidden="false" customHeight="false" outlineLevel="1" collapsed="false">
      <c r="A2376" s="7" t="s">
        <v>614</v>
      </c>
      <c r="B2376" s="8" t="s">
        <v>11</v>
      </c>
      <c r="C2376" s="61" t="n">
        <f aca="false">C2375*Pressupostos!$D$27</f>
        <v>567</v>
      </c>
      <c r="D2376" s="61" t="n">
        <f aca="false">D2375*Pressupostos!$D$27</f>
        <v>2268</v>
      </c>
      <c r="E2376" s="61" t="n">
        <f aca="false">E2375*Pressupostos!$D$27</f>
        <v>3780</v>
      </c>
      <c r="F2376" s="61" t="n">
        <f aca="false">F2375*Pressupostos!$D$27</f>
        <v>5292</v>
      </c>
      <c r="G2376" s="61" t="n">
        <f aca="false">G2375*Pressupostos!$D$27</f>
        <v>6804</v>
      </c>
      <c r="H2376" s="2" t="s">
        <v>1270</v>
      </c>
    </row>
    <row r="2377" customFormat="false" ht="15" hidden="false" customHeight="false" outlineLevel="1" collapsed="false">
      <c r="A2377" s="7" t="s">
        <v>615</v>
      </c>
      <c r="B2377" s="8" t="s">
        <v>11</v>
      </c>
      <c r="C2377" s="61" t="n">
        <f aca="false">C2283*1000*C2366</f>
        <v>0</v>
      </c>
      <c r="D2377" s="61" t="n">
        <f aca="false">D2283*1000*D2366</f>
        <v>0</v>
      </c>
      <c r="E2377" s="61" t="n">
        <f aca="false">E2283*1000*E2366</f>
        <v>0</v>
      </c>
      <c r="F2377" s="61" t="n">
        <f aca="false">F2283*1000*F2366</f>
        <v>0</v>
      </c>
      <c r="G2377" s="61" t="n">
        <f aca="false">G2283*1000*G2366</f>
        <v>0</v>
      </c>
      <c r="H2377" s="2" t="s">
        <v>1271</v>
      </c>
    </row>
    <row r="2378" customFormat="false" ht="15" hidden="false" customHeight="false" outlineLevel="1" collapsed="false">
      <c r="A2378" s="7" t="s">
        <v>616</v>
      </c>
      <c r="B2378" s="8" t="s">
        <v>11</v>
      </c>
      <c r="C2378" s="61" t="n">
        <f aca="false">C2294*(Pressupostos!$C$101*Pressupostos!$C$102+Pressupostos!$C$103)</f>
        <v>0</v>
      </c>
      <c r="D2378" s="61" t="n">
        <f aca="false">D2294*(Pressupostos!$C$101*Pressupostos!$C$102+Pressupostos!$C$103)</f>
        <v>10000</v>
      </c>
      <c r="E2378" s="61" t="n">
        <f aca="false">E2294*(Pressupostos!$C$101*Pressupostos!$C$102+Pressupostos!$C$103)</f>
        <v>30000</v>
      </c>
      <c r="F2378" s="61" t="n">
        <f aca="false">F2294*(Pressupostos!$C$101*Pressupostos!$C$102+Pressupostos!$C$103)</f>
        <v>60000</v>
      </c>
      <c r="G2378" s="61" t="n">
        <f aca="false">G2294*(Pressupostos!$C$101*Pressupostos!$C$102+Pressupostos!$C$103)</f>
        <v>100000</v>
      </c>
      <c r="H2378" s="2" t="s">
        <v>1272</v>
      </c>
    </row>
    <row r="2379" customFormat="false" ht="15" hidden="false" customHeight="false" outlineLevel="1" collapsed="false">
      <c r="A2379" s="7" t="s">
        <v>617</v>
      </c>
      <c r="B2379" s="8" t="s">
        <v>11</v>
      </c>
      <c r="C2379" s="53" t="n">
        <f aca="false">Pressupostos!$C$275</f>
        <v>0</v>
      </c>
      <c r="D2379" s="53" t="n">
        <f aca="false">Pressupostos!$D$275</f>
        <v>0</v>
      </c>
      <c r="E2379" s="53" t="n">
        <f aca="false">Pressupostos!$E$275</f>
        <v>0</v>
      </c>
      <c r="F2379" s="53" t="n">
        <f aca="false">Pressupostos!$F$275</f>
        <v>10000</v>
      </c>
      <c r="G2379" s="53" t="n">
        <f aca="false">Pressupostos!$G$275</f>
        <v>30000</v>
      </c>
      <c r="H2379" s="2" t="s">
        <v>1273</v>
      </c>
    </row>
    <row r="2380" customFormat="false" ht="15" hidden="false" customHeight="false" outlineLevel="1" collapsed="false">
      <c r="A2380" s="56" t="s">
        <v>618</v>
      </c>
      <c r="B2380" s="57" t="s">
        <v>11</v>
      </c>
      <c r="C2380" s="62" t="n">
        <f aca="false">C2373+C2374+C2376+C2377+C2378+C2379</f>
        <v>187383</v>
      </c>
      <c r="D2380" s="62" t="n">
        <f aca="false">D2373+D2374+D2376+D2377+D2378+D2379</f>
        <v>1249304.5</v>
      </c>
      <c r="E2380" s="62" t="n">
        <f aca="false">E2373+E2374+E2376+E2377+E2378+E2379</f>
        <v>2855308.5</v>
      </c>
      <c r="F2380" s="62" t="n">
        <f aca="false">F2373+F2374+F2376+F2377+F2378+F2379</f>
        <v>4957613.5</v>
      </c>
      <c r="G2380" s="62" t="n">
        <f aca="false">G2373+G2374+G2376+G2377+G2378+G2379</f>
        <v>7596249</v>
      </c>
      <c r="H2380" s="2" t="s">
        <v>1274</v>
      </c>
    </row>
    <row r="2381" customFormat="false" ht="15" hidden="false" customHeight="false" outlineLevel="0" collapsed="false">
      <c r="A2381" s="3" t="s">
        <v>1275</v>
      </c>
      <c r="B2381" s="4"/>
      <c r="C2381" s="4"/>
      <c r="D2381" s="4"/>
      <c r="E2381" s="4"/>
      <c r="F2381" s="4"/>
      <c r="G2381" s="4"/>
      <c r="H2381" s="4"/>
    </row>
    <row r="2382" customFormat="false" ht="15" hidden="false" customHeight="false" outlineLevel="1" collapsed="false">
      <c r="A2382" s="2" t="s">
        <v>620</v>
      </c>
      <c r="B2382" s="8" t="s">
        <v>11</v>
      </c>
      <c r="C2382" s="61" t="n">
        <f aca="false">C2283*1000*Pressupostos!$D$10</f>
        <v>0</v>
      </c>
      <c r="D2382" s="61" t="n">
        <f aca="false">D2283*1000*Pressupostos!$D$10</f>
        <v>0</v>
      </c>
      <c r="E2382" s="61" t="n">
        <f aca="false">E2283*1000*Pressupostos!$D$10</f>
        <v>0</v>
      </c>
      <c r="F2382" s="61" t="n">
        <f aca="false">F2283*1000*Pressupostos!$D$10</f>
        <v>0</v>
      </c>
      <c r="G2382" s="61" t="n">
        <f aca="false">G2283*1000*Pressupostos!$D$10</f>
        <v>0</v>
      </c>
      <c r="H2382" s="2" t="s">
        <v>1276</v>
      </c>
    </row>
    <row r="2383" customFormat="false" ht="15" hidden="false" customHeight="false" outlineLevel="1" collapsed="false">
      <c r="A2383" s="56" t="s">
        <v>621</v>
      </c>
      <c r="B2383" s="57" t="s">
        <v>11</v>
      </c>
      <c r="C2383" s="62" t="n">
        <f aca="false">C2373+C2374+C2375+C2382</f>
        <v>215166</v>
      </c>
      <c r="D2383" s="62" t="n">
        <f aca="false">D2373+D2374+D2375+D2382</f>
        <v>1350436.5</v>
      </c>
      <c r="E2383" s="62" t="n">
        <f aca="false">E2373+E2374+E2375+E2382</f>
        <v>3010528.5</v>
      </c>
      <c r="F2383" s="62" t="n">
        <f aca="false">F2373+F2374+F2375+F2382</f>
        <v>5146921.5</v>
      </c>
      <c r="G2383" s="62" t="n">
        <f aca="false">G2373+G2374+G2375+G2382</f>
        <v>7799645</v>
      </c>
      <c r="H2383" s="2" t="s">
        <v>1277</v>
      </c>
    </row>
    <row r="2384" customFormat="false" ht="15" hidden="false" customHeight="false" outlineLevel="1" collapsed="false">
      <c r="A2384" s="7" t="s">
        <v>622</v>
      </c>
      <c r="B2384" s="8" t="s">
        <v>11</v>
      </c>
      <c r="C2384" s="61" t="n">
        <f aca="false">C2383-C2382-C2372</f>
        <v>215166</v>
      </c>
      <c r="D2384" s="61" t="n">
        <f aca="false">D2383-D2382-D2372</f>
        <v>1350436.5</v>
      </c>
      <c r="E2384" s="61" t="n">
        <f aca="false">E2383-E2382-E2372</f>
        <v>3010528.5</v>
      </c>
      <c r="F2384" s="61" t="n">
        <f aca="false">F2383-F2382-F2372</f>
        <v>5146921.5</v>
      </c>
      <c r="G2384" s="61" t="n">
        <f aca="false">G2383-G2382-G2372</f>
        <v>7799645</v>
      </c>
      <c r="H2384" s="2" t="s">
        <v>1278</v>
      </c>
    </row>
    <row r="2385" customFormat="false" ht="15" hidden="false" customHeight="false" outlineLevel="1" collapsed="false">
      <c r="A2385" s="7" t="s">
        <v>623</v>
      </c>
      <c r="B2385" s="8" t="s">
        <v>11</v>
      </c>
      <c r="C2385" s="61" t="n">
        <f aca="false">C2279*1000*(C2297+C2300)+C2280*1000*(C2320+C2323)+C2282*1000*(C2343+C2346)+C2292*1000*Pressupostos!$C$92</f>
        <v>170660</v>
      </c>
      <c r="D2385" s="61" t="n">
        <f aca="false">D2279*1000*(D2297+D2300)+D2280*1000*(D2320+D2323)+D2282*1000*(D2343+D2346)+D2292*1000*Pressupostos!$C$92</f>
        <v>1136590</v>
      </c>
      <c r="E2385" s="61" t="n">
        <f aca="false">E2279*1000*(E2297+E2300)+E2280*1000*(E2320+E2323)+E2282*1000*(E2343+E2346)+E2292*1000*Pressupostos!$C$92</f>
        <v>2566060</v>
      </c>
      <c r="F2385" s="61" t="n">
        <f aca="false">F2279*1000*(F2297+F2300)+F2280*1000*(F2320+F2323)+F2282*1000*(F2343+F2346)+F2292*1000*Pressupostos!$C$92</f>
        <v>4423440</v>
      </c>
      <c r="G2385" s="61" t="n">
        <f aca="false">G2279*1000*(G2297+G2300)+G2280*1000*(G2320+G2323)+G2282*1000*(G2343+G2346)+G2292*1000*Pressupostos!$C$92</f>
        <v>6755700</v>
      </c>
      <c r="H2385" s="2" t="s">
        <v>1279</v>
      </c>
    </row>
    <row r="2386" customFormat="false" ht="15" hidden="false" customHeight="false" outlineLevel="1" collapsed="false">
      <c r="A2386" s="7" t="s">
        <v>624</v>
      </c>
      <c r="B2386" s="8" t="s">
        <v>11</v>
      </c>
      <c r="C2386" s="61" t="n">
        <f aca="false">C2385*Pressupostos!$C$282</f>
        <v>0</v>
      </c>
      <c r="D2386" s="61" t="n">
        <f aca="false">D2385*Pressupostos!$D$282</f>
        <v>1022931</v>
      </c>
      <c r="E2386" s="61" t="n">
        <f aca="false">E2385*Pressupostos!$E$282</f>
        <v>2309454</v>
      </c>
      <c r="F2386" s="61" t="n">
        <f aca="false">F2385*Pressupostos!$F$282</f>
        <v>3981096</v>
      </c>
      <c r="G2386" s="61" t="n">
        <f aca="false">G2385*Pressupostos!$G$282</f>
        <v>6080130</v>
      </c>
      <c r="H2386" s="2" t="s">
        <v>1280</v>
      </c>
    </row>
    <row r="2387" customFormat="false" ht="15" hidden="false" customHeight="false" outlineLevel="0" collapsed="false">
      <c r="A2387" s="3" t="s">
        <v>1281</v>
      </c>
      <c r="B2387" s="4"/>
      <c r="C2387" s="4"/>
      <c r="D2387" s="4"/>
      <c r="E2387" s="4"/>
      <c r="F2387" s="4"/>
      <c r="G2387" s="4"/>
      <c r="H2387" s="4"/>
    </row>
    <row r="2388" customFormat="false" ht="15" hidden="false" customHeight="false" outlineLevel="1" collapsed="false">
      <c r="A2388" s="7" t="s">
        <v>626</v>
      </c>
      <c r="B2388" s="8" t="s">
        <v>11</v>
      </c>
      <c r="C2388" s="61" t="n">
        <f aca="false">C2279*1000*C2316</f>
        <v>1909.26016438357</v>
      </c>
      <c r="D2388" s="61" t="n">
        <f aca="false">D2279*1000*D2316</f>
        <v>3927.2453835617</v>
      </c>
      <c r="E2388" s="61" t="n">
        <f aca="false">E2279*1000*E2316</f>
        <v>32318.3354554795</v>
      </c>
      <c r="F2388" s="61" t="n">
        <f aca="false">F2279*1000*F2316</f>
        <v>67346.3298698633</v>
      </c>
      <c r="G2388" s="61" t="n">
        <f aca="false">G2279*1000*G2316</f>
        <v>103415.712534247</v>
      </c>
      <c r="H2388" s="2" t="s">
        <v>1282</v>
      </c>
    </row>
    <row r="2389" customFormat="false" ht="15" hidden="false" customHeight="false" outlineLevel="1" collapsed="false">
      <c r="A2389" s="7" t="s">
        <v>627</v>
      </c>
      <c r="B2389" s="8" t="s">
        <v>11</v>
      </c>
      <c r="C2389" s="61" t="n">
        <f aca="false">C2280*1000*C2339</f>
        <v>3507.43917808223</v>
      </c>
      <c r="D2389" s="61" t="n">
        <f aca="false">D2280*1000*D2339</f>
        <v>13065.7871917811</v>
      </c>
      <c r="E2389" s="61" t="n">
        <f aca="false">E2280*1000*E2339</f>
        <v>32236.2893065072</v>
      </c>
      <c r="F2389" s="61" t="n">
        <f aca="false">F2280*1000*F2339</f>
        <v>55513.4701541099</v>
      </c>
      <c r="G2389" s="61" t="n">
        <f aca="false">G2280*1000*G2339</f>
        <v>83997.5583904115</v>
      </c>
      <c r="H2389" s="2" t="s">
        <v>1283</v>
      </c>
    </row>
    <row r="2390" customFormat="false" ht="15" hidden="false" customHeight="false" outlineLevel="1" collapsed="false">
      <c r="A2390" s="7" t="s">
        <v>628</v>
      </c>
      <c r="B2390" s="8" t="s">
        <v>11</v>
      </c>
      <c r="C2390" s="61" t="n">
        <f aca="false">C2282*1000*C2362+C2283*1000*C2368</f>
        <v>0</v>
      </c>
      <c r="D2390" s="61" t="n">
        <f aca="false">D2282*1000*D2362+D2283*1000*D2368</f>
        <v>0</v>
      </c>
      <c r="E2390" s="61" t="n">
        <f aca="false">E2282*1000*E2362+E2283*1000*E2368</f>
        <v>0</v>
      </c>
      <c r="F2390" s="61" t="n">
        <f aca="false">F2282*1000*F2362+F2283*1000*F2368</f>
        <v>0</v>
      </c>
      <c r="G2390" s="61" t="n">
        <f aca="false">G2282*1000*G2362+G2283*1000*G2368</f>
        <v>0</v>
      </c>
      <c r="H2390" s="2" t="s">
        <v>1284</v>
      </c>
    </row>
    <row r="2391" customFormat="false" ht="15" hidden="false" customHeight="false" outlineLevel="1" collapsed="false">
      <c r="A2391" s="7" t="s">
        <v>629</v>
      </c>
      <c r="B2391" s="8" t="s">
        <v>11</v>
      </c>
      <c r="C2391" s="61" t="n">
        <f aca="false">C2388+C2389+C2390</f>
        <v>5416.6993424658</v>
      </c>
      <c r="D2391" s="61" t="n">
        <f aca="false">D2388+D2389+D2390</f>
        <v>16993.0325753428</v>
      </c>
      <c r="E2391" s="61" t="n">
        <f aca="false">E2388+E2389+E2390</f>
        <v>64554.6247619867</v>
      </c>
      <c r="F2391" s="61" t="n">
        <f aca="false">F2388+F2389+F2390</f>
        <v>122859.800023973</v>
      </c>
      <c r="G2391" s="61" t="n">
        <f aca="false">G2388+G2389+G2390</f>
        <v>187413.270924658</v>
      </c>
      <c r="H2391" s="2" t="s">
        <v>1285</v>
      </c>
    </row>
    <row r="2392" customFormat="false" ht="15" hidden="false" customHeight="false" outlineLevel="1" collapsed="false">
      <c r="A2392" s="7" t="s">
        <v>630</v>
      </c>
      <c r="B2392" s="8" t="s">
        <v>64</v>
      </c>
      <c r="C2392" s="63" t="n">
        <f aca="false">IF(C2284&gt;0,C2391/(C2284*1000),0)</f>
        <v>0.128969031963471</v>
      </c>
      <c r="D2392" s="63" t="n">
        <f aca="false">IF(D2284&gt;0,D2391/(D2284*1000),0)</f>
        <v>0.0606894020547957</v>
      </c>
      <c r="E2392" s="63" t="n">
        <f aca="false">IF(E2284&gt;0,E2391/(E2284*1000),0)</f>
        <v>0.108495167667205</v>
      </c>
      <c r="F2392" s="63" t="n">
        <f aca="false">IF(F2284&gt;0,F2391/(F2284*1000),0)</f>
        <v>0.121044137954653</v>
      </c>
      <c r="G2392" s="63" t="n">
        <f aca="false">IF(G2284&gt;0,G2391/(G2284*1000),0)</f>
        <v>0.121696929171856</v>
      </c>
      <c r="H2392" s="2" t="s">
        <v>1286</v>
      </c>
    </row>
    <row r="2393" customFormat="false" ht="15" hidden="false" customHeight="false" outlineLevel="1" collapsed="false">
      <c r="A2393" s="7" t="s">
        <v>631</v>
      </c>
      <c r="B2393" s="8" t="s">
        <v>76</v>
      </c>
      <c r="C2393" s="59" t="n">
        <f aca="false">IF(C2373&gt;0,C2391/C2373,0)</f>
        <v>0.0289948363227229</v>
      </c>
      <c r="D2393" s="59" t="n">
        <f aca="false">IF(D2373&gt;0,D2391/D2373,0)</f>
        <v>0.0137368885844054</v>
      </c>
      <c r="E2393" s="59" t="n">
        <f aca="false">IF(E2373&gt;0,E2391/E2373,0)</f>
        <v>0.0242989977003189</v>
      </c>
      <c r="F2393" s="59" t="n">
        <f aca="false">IF(F2373&gt;0,F2391/F2373,0)</f>
        <v>0.0269866054149182</v>
      </c>
      <c r="G2393" s="59" t="n">
        <f aca="false">IF(G2373&gt;0,G2391/G2373,0)</f>
        <v>0.0271222521922618</v>
      </c>
      <c r="H2393" s="2" t="s">
        <v>1287</v>
      </c>
    </row>
    <row r="2394" customFormat="false" ht="15" hidden="false" customHeight="false" outlineLevel="1" collapsed="false">
      <c r="A2394" s="2" t="s">
        <v>632</v>
      </c>
      <c r="B2394" s="8" t="s">
        <v>64</v>
      </c>
      <c r="C2394" s="63" t="n">
        <f aca="false">Pressupostos!$C$288*Pressupostos!$C$92*(Pressupostos!$C$95+Pressupostos!$C$96-Pressupostos!$C$97)/365*Pressupostos!$C$282/Pressupostos!$D$31</f>
        <v>0</v>
      </c>
      <c r="D2394" s="63" t="n">
        <f aca="false">Pressupostos!$D$288*Pressupostos!$C$92*(Pressupostos!$C$95+Pressupostos!$C$96-Pressupostos!$C$97)/365*Pressupostos!$D$282/Pressupostos!$D$31</f>
        <v>0.0776712328767123</v>
      </c>
      <c r="E2394" s="63" t="n">
        <f aca="false">Pressupostos!$E$288*Pressupostos!$C$92*(Pressupostos!$C$95+Pressupostos!$C$96-Pressupostos!$C$97)/365*Pressupostos!$E$282/Pressupostos!$D$31</f>
        <v>0.0728167808219178</v>
      </c>
      <c r="F2394" s="63" t="n">
        <f aca="false">Pressupostos!$F$288*Pressupostos!$C$92*(Pressupostos!$C$95+Pressupostos!$C$96-Pressupostos!$C$97)/365*Pressupostos!$F$282/Pressupostos!$D$31</f>
        <v>0.0679623287671233</v>
      </c>
      <c r="G2394" s="63" t="n">
        <f aca="false">Pressupostos!$G$288*Pressupostos!$C$92*(Pressupostos!$C$95+Pressupostos!$C$96-Pressupostos!$C$97)/365*Pressupostos!$G$282/Pressupostos!$D$31</f>
        <v>0.0679623287671233</v>
      </c>
      <c r="H2394" s="2" t="s">
        <v>1288</v>
      </c>
    </row>
    <row r="2395" customFormat="false" ht="15" hidden="false" customHeight="false" outlineLevel="1" collapsed="false">
      <c r="A2395" s="7" t="s">
        <v>600</v>
      </c>
      <c r="B2395" s="8" t="s">
        <v>11</v>
      </c>
      <c r="C2395" s="61" t="n">
        <f aca="false">C2292*1000*(Pressupostos!$C$93-Pressupostos!$C$92-Pressupostos!$C$94-C2394-Pressupostos!$C$98*Pressupostos!$C$93-Pressupostos!$C$99-Pressupostos!$D$29*Pressupostos!$C$92)</f>
        <v>0</v>
      </c>
      <c r="D2395" s="61" t="n">
        <f aca="false">D2292*1000*(Pressupostos!$C$93-Pressupostos!$C$92-Pressupostos!$C$94-D2394-Pressupostos!$C$98*Pressupostos!$C$93-Pressupostos!$C$99-Pressupostos!$D$29*Pressupostos!$C$92)</f>
        <v>0</v>
      </c>
      <c r="E2395" s="61" t="n">
        <f aca="false">E2292*1000*(Pressupostos!$C$93-Pressupostos!$C$92-Pressupostos!$C$94-E2394-Pressupostos!$C$98*Pressupostos!$C$93-Pressupostos!$C$99-Pressupostos!$D$29*Pressupostos!$C$92)</f>
        <v>11551.7476027397</v>
      </c>
      <c r="F2395" s="61" t="n">
        <f aca="false">F2292*1000*(Pressupostos!$C$93-Pressupostos!$C$92-Pressupostos!$C$94-F2394-Pressupostos!$C$98*Pressupostos!$C$93-Pressupostos!$C$99-Pressupostos!$D$29*Pressupostos!$C$92)</f>
        <v>23307.3821917808</v>
      </c>
      <c r="G2395" s="61" t="n">
        <f aca="false">G2292*1000*(Pressupostos!$C$93-Pressupostos!$C$92-Pressupostos!$C$94-G2394-Pressupostos!$C$98*Pressupostos!$C$93-Pressupostos!$C$99-Pressupostos!$D$29*Pressupostos!$C$92)</f>
        <v>38845.6369863013</v>
      </c>
      <c r="H2395" s="2" t="s">
        <v>1289</v>
      </c>
    </row>
    <row r="2396" customFormat="false" ht="15" hidden="false" customHeight="false" outlineLevel="1" collapsed="false">
      <c r="A2396" s="7" t="s">
        <v>633</v>
      </c>
      <c r="B2396" s="8" t="s">
        <v>11</v>
      </c>
      <c r="C2396" s="61" t="n">
        <f aca="false">C2376</f>
        <v>567</v>
      </c>
      <c r="D2396" s="61" t="n">
        <f aca="false">D2376</f>
        <v>2268</v>
      </c>
      <c r="E2396" s="61" t="n">
        <f aca="false">E2376</f>
        <v>3780</v>
      </c>
      <c r="F2396" s="61" t="n">
        <f aca="false">F2376</f>
        <v>5292</v>
      </c>
      <c r="G2396" s="61" t="n">
        <f aca="false">G2376</f>
        <v>6804</v>
      </c>
      <c r="H2396" s="2" t="s">
        <v>1290</v>
      </c>
    </row>
    <row r="2397" customFormat="false" ht="15" hidden="false" customHeight="false" outlineLevel="1" collapsed="false">
      <c r="A2397" s="7" t="s">
        <v>634</v>
      </c>
      <c r="B2397" s="8" t="s">
        <v>11</v>
      </c>
      <c r="C2397" s="61" t="n">
        <f aca="false">C2378-C2412</f>
        <v>0</v>
      </c>
      <c r="D2397" s="61" t="n">
        <f aca="false">D2378-D2412</f>
        <v>1771.42857142857</v>
      </c>
      <c r="E2397" s="61" t="n">
        <f aca="false">E2378-E2412</f>
        <v>5314.28571428572</v>
      </c>
      <c r="F2397" s="61" t="n">
        <f aca="false">F2378-F2412</f>
        <v>10628.5714285714</v>
      </c>
      <c r="G2397" s="61" t="n">
        <f aca="false">G2378-G2412</f>
        <v>17714.2857142857</v>
      </c>
      <c r="H2397" s="2" t="s">
        <v>1291</v>
      </c>
    </row>
    <row r="2398" customFormat="false" ht="15" hidden="false" customHeight="false" outlineLevel="1" collapsed="false">
      <c r="A2398" s="7" t="s">
        <v>617</v>
      </c>
      <c r="B2398" s="8" t="s">
        <v>11</v>
      </c>
      <c r="C2398" s="61" t="n">
        <f aca="false">C2379</f>
        <v>0</v>
      </c>
      <c r="D2398" s="61" t="n">
        <f aca="false">D2379</f>
        <v>0</v>
      </c>
      <c r="E2398" s="61" t="n">
        <f aca="false">E2379</f>
        <v>0</v>
      </c>
      <c r="F2398" s="61" t="n">
        <f aca="false">F2379</f>
        <v>10000</v>
      </c>
      <c r="G2398" s="61" t="n">
        <f aca="false">G2379</f>
        <v>30000</v>
      </c>
      <c r="H2398" s="2" t="s">
        <v>1292</v>
      </c>
    </row>
    <row r="2399" customFormat="false" ht="15" hidden="false" customHeight="false" outlineLevel="1" collapsed="false">
      <c r="A2399" s="56" t="s">
        <v>635</v>
      </c>
      <c r="B2399" s="57" t="s">
        <v>11</v>
      </c>
      <c r="C2399" s="62" t="n">
        <f aca="false">C2391+C2395+C2396+C2397+C2398</f>
        <v>5983.6993424658</v>
      </c>
      <c r="D2399" s="62" t="n">
        <f aca="false">D2391+D2395+D2396+D2397+D2398</f>
        <v>21032.4611467714</v>
      </c>
      <c r="E2399" s="62" t="n">
        <f aca="false">E2391+E2395+E2396+E2397+E2398</f>
        <v>85200.6580790122</v>
      </c>
      <c r="F2399" s="62" t="n">
        <f aca="false">F2391+F2395+F2396+F2397+F2398</f>
        <v>172087.753644325</v>
      </c>
      <c r="G2399" s="62" t="n">
        <f aca="false">G2391+G2395+G2396+G2397+G2398</f>
        <v>280777.193625246</v>
      </c>
      <c r="H2399" s="2" t="s">
        <v>1293</v>
      </c>
    </row>
    <row r="2400" customFormat="false" ht="15" hidden="false" customHeight="false" outlineLevel="0" collapsed="false">
      <c r="A2400" s="3" t="s">
        <v>1294</v>
      </c>
      <c r="B2400" s="4"/>
      <c r="C2400" s="4"/>
      <c r="D2400" s="4"/>
      <c r="E2400" s="4"/>
      <c r="F2400" s="4"/>
      <c r="G2400" s="4"/>
      <c r="H2400" s="4"/>
    </row>
    <row r="2401" customFormat="false" ht="15" hidden="false" customHeight="false" outlineLevel="1" collapsed="false">
      <c r="A2401" s="7" t="s">
        <v>686</v>
      </c>
      <c r="B2401" s="8" t="s">
        <v>11</v>
      </c>
      <c r="C2401" s="61" t="n">
        <f aca="false">C2279*1000*(C2297+C2300)+C2280*1000*(C2320+C2323)+C2282*1000*(C2343+C2346)</f>
        <v>170660</v>
      </c>
      <c r="D2401" s="61" t="n">
        <f aca="false">D2279*1000*(D2297+D2300)+D2280*1000*(D2320+D2323)+D2282*1000*(D2343+D2346)</f>
        <v>1136590</v>
      </c>
      <c r="E2401" s="61" t="n">
        <f aca="false">E2279*1000*(E2297+E2300)+E2280*1000*(E2320+E2323)+E2282*1000*(E2343+E2346)</f>
        <v>2419060</v>
      </c>
      <c r="F2401" s="61" t="n">
        <f aca="false">F2279*1000*(F2297+F2300)+F2280*1000*(F2320+F2323)+F2282*1000*(F2343+F2346)</f>
        <v>4129440</v>
      </c>
      <c r="G2401" s="61" t="n">
        <f aca="false">G2279*1000*(G2297+G2300)+G2280*1000*(G2320+G2323)+G2282*1000*(G2343+G2346)</f>
        <v>6265700</v>
      </c>
      <c r="H2401" s="2" t="s">
        <v>1295</v>
      </c>
    </row>
    <row r="2402" customFormat="false" ht="15" hidden="false" customHeight="false" outlineLevel="1" collapsed="false">
      <c r="A2402" s="7" t="s">
        <v>687</v>
      </c>
      <c r="B2402" s="8" t="s">
        <v>11</v>
      </c>
      <c r="C2402" s="61" t="n">
        <f aca="false">C2292*1000*Pressupostos!$C$92</f>
        <v>0</v>
      </c>
      <c r="D2402" s="61" t="n">
        <f aca="false">D2292*1000*Pressupostos!$C$92</f>
        <v>0</v>
      </c>
      <c r="E2402" s="61" t="n">
        <f aca="false">E2292*1000*Pressupostos!$C$92</f>
        <v>147000</v>
      </c>
      <c r="F2402" s="61" t="n">
        <f aca="false">F2292*1000*Pressupostos!$C$92</f>
        <v>294000</v>
      </c>
      <c r="G2402" s="61" t="n">
        <f aca="false">G2292*1000*Pressupostos!$C$92</f>
        <v>490000</v>
      </c>
      <c r="H2402" s="2" t="s">
        <v>1296</v>
      </c>
    </row>
    <row r="2403" customFormat="false" ht="15" hidden="false" customHeight="false" outlineLevel="1" collapsed="false">
      <c r="A2403" s="7" t="s">
        <v>688</v>
      </c>
      <c r="B2403" s="8" t="s">
        <v>11</v>
      </c>
      <c r="C2403" s="61" t="n">
        <f aca="false">C2401+C2402</f>
        <v>170660</v>
      </c>
      <c r="D2403" s="61" t="n">
        <f aca="false">D2401+D2402</f>
        <v>1136590</v>
      </c>
      <c r="E2403" s="61" t="n">
        <f aca="false">E2401+E2402</f>
        <v>2566060</v>
      </c>
      <c r="F2403" s="61" t="n">
        <f aca="false">F2401+F2402</f>
        <v>4423440</v>
      </c>
      <c r="G2403" s="61" t="n">
        <f aca="false">G2401+G2402</f>
        <v>6755700</v>
      </c>
      <c r="H2403" s="2" t="s">
        <v>1297</v>
      </c>
    </row>
    <row r="2404" customFormat="false" ht="15" hidden="false" customHeight="false" outlineLevel="1" collapsed="false">
      <c r="A2404" s="7" t="s">
        <v>215</v>
      </c>
      <c r="B2404" s="8" t="s">
        <v>11</v>
      </c>
      <c r="C2404" s="61" t="n">
        <f aca="false">C2279*1000*(C2301)+C2280*1000*(C2324)+C2282*1000*(C2347)+C2292*1000*Pressupostos!$C$94</f>
        <v>5320</v>
      </c>
      <c r="D2404" s="61" t="n">
        <f aca="false">D2279*1000*(D2301)+D2280*1000*(D2324)+D2282*1000*(D2347)+D2292*1000*Pressupostos!$C$94</f>
        <v>33180</v>
      </c>
      <c r="E2404" s="61" t="n">
        <f aca="false">E2279*1000*(E2301)+E2280*1000*(E2324)+E2282*1000*(E2347)+E2292*1000*Pressupostos!$C$94</f>
        <v>74389</v>
      </c>
      <c r="F2404" s="61" t="n">
        <f aca="false">F2279*1000*(F2301)+F2280*1000*(F2324)+F2282*1000*(F2347)+F2292*1000*Pressupostos!$C$94</f>
        <v>131292</v>
      </c>
      <c r="G2404" s="61" t="n">
        <f aca="false">G2279*1000*(G2301)+G2280*1000*(G2324)+G2282*1000*(G2347)+G2292*1000*Pressupostos!$C$94</f>
        <v>200760</v>
      </c>
      <c r="H2404" s="2" t="s">
        <v>1298</v>
      </c>
    </row>
    <row r="2405" customFormat="false" ht="15" hidden="false" customHeight="false" outlineLevel="1" collapsed="false">
      <c r="A2405" s="7" t="s">
        <v>117</v>
      </c>
      <c r="B2405" s="8" t="s">
        <v>11</v>
      </c>
      <c r="C2405" s="61" t="n">
        <f aca="false">C2279*1000*(C2302)+C2280*1000*(C2325)+C2282*1000*(C2348)</f>
        <v>336</v>
      </c>
      <c r="D2405" s="61" t="n">
        <f aca="false">D2279*1000*(D2302)+D2280*1000*(D2325)+D2282*1000*(D2348)</f>
        <v>1554</v>
      </c>
      <c r="E2405" s="61" t="n">
        <f aca="false">E2279*1000*(E2302)+E2280*1000*(E2325)+E2282*1000*(E2348)</f>
        <v>5586</v>
      </c>
      <c r="F2405" s="61" t="n">
        <f aca="false">F2279*1000*(F2302)+F2280*1000*(F2325)+F2282*1000*(F2348)</f>
        <v>11214</v>
      </c>
      <c r="G2405" s="61" t="n">
        <f aca="false">G2279*1000*(G2302)+G2280*1000*(G2325)+G2282*1000*(G2348)</f>
        <v>17220</v>
      </c>
      <c r="H2405" s="2" t="s">
        <v>1299</v>
      </c>
    </row>
    <row r="2406" customFormat="false" ht="15" hidden="false" customHeight="false" outlineLevel="1" collapsed="false">
      <c r="A2406" s="7" t="s">
        <v>689</v>
      </c>
      <c r="B2406" s="8" t="s">
        <v>11</v>
      </c>
      <c r="C2406" s="61" t="n">
        <f aca="false">C2279*1000*(C2305+C2306)+C2280*1000*(C2328+C2329)+C2282*1000*(C2351+C2352)</f>
        <v>321.424657534247</v>
      </c>
      <c r="D2406" s="61" t="n">
        <f aca="false">D2279*1000*(D2305+D2306)+D2280*1000*(D2328+D2329)+D2282*1000*(D2351+D2352)</f>
        <v>1880.33424657534</v>
      </c>
      <c r="E2406" s="61" t="n">
        <f aca="false">E2279*1000*(E2305+E2306)+E2280*1000*(E2328+E2329)+E2282*1000*(E2351+E2352)</f>
        <v>2945.85698630137</v>
      </c>
      <c r="F2406" s="61" t="n">
        <f aca="false">F2279*1000*(F2305+F2306)+F2280*1000*(F2328+F2329)+F2282*1000*(F2351+F2352)</f>
        <v>5089.75945205479</v>
      </c>
      <c r="G2406" s="61" t="n">
        <f aca="false">G2279*1000*(G2305+G2306)+G2280*1000*(G2328+G2329)+G2282*1000*(G2351+G2352)</f>
        <v>7730.26301369863</v>
      </c>
      <c r="H2406" s="2" t="s">
        <v>1300</v>
      </c>
    </row>
    <row r="2407" customFormat="false" ht="15" hidden="false" customHeight="false" outlineLevel="1" collapsed="false">
      <c r="A2407" s="7" t="s">
        <v>690</v>
      </c>
      <c r="B2407" s="8" t="s">
        <v>11</v>
      </c>
      <c r="C2407" s="61" t="n">
        <f aca="false">C2279*1000*(C2307+C2308+C2309)+C2280*1000*(C2330+C2331+C2332)+C2282*1000*(C2353+C2354+C2355)</f>
        <v>1862</v>
      </c>
      <c r="D2407" s="61" t="n">
        <f aca="false">D2279*1000*(D2307+D2308+D2309)+D2280*1000*(D2330+D2331+D2332)+D2282*1000*(D2353+D2354+D2355)</f>
        <v>12127.5</v>
      </c>
      <c r="E2407" s="61" t="n">
        <f aca="false">E2279*1000*(E2307+E2308+E2309)+E2280*1000*(E2330+E2331+E2332)+E2282*1000*(E2353+E2354+E2355)</f>
        <v>25465.65</v>
      </c>
      <c r="F2407" s="61" t="n">
        <f aca="false">F2279*1000*(F2307+F2308+F2309)+F2280*1000*(F2330+F2331+F2332)+F2282*1000*(F2353+F2354+F2355)</f>
        <v>43764.35</v>
      </c>
      <c r="G2407" s="61" t="n">
        <f aca="false">G2279*1000*(G2307+G2308+G2309)+G2280*1000*(G2330+G2331+G2332)+G2282*1000*(G2353+G2354+G2355)</f>
        <v>66440.5</v>
      </c>
      <c r="H2407" s="2" t="s">
        <v>1301</v>
      </c>
    </row>
    <row r="2408" customFormat="false" ht="15" hidden="false" customHeight="false" outlineLevel="1" collapsed="false">
      <c r="A2408" s="7" t="s">
        <v>673</v>
      </c>
      <c r="B2408" s="8" t="s">
        <v>11</v>
      </c>
      <c r="C2408" s="61" t="n">
        <f aca="false">C2279*1000*(C2310)+C2280*1000*(C2333)+C2282*1000*(C2356)</f>
        <v>2016</v>
      </c>
      <c r="D2408" s="61" t="n">
        <f aca="false">D2279*1000*(D2310)+D2280*1000*(D2333)+D2282*1000*(D2356)</f>
        <v>12754</v>
      </c>
      <c r="E2408" s="61" t="n">
        <f aca="false">E2279*1000*(E2310)+E2280*1000*(E2333)+E2282*1000*(E2356)</f>
        <v>29386</v>
      </c>
      <c r="F2408" s="61" t="n">
        <f aca="false">F2279*1000*(F2310)+F2280*1000*(F2333)+F2282*1000*(F2356)</f>
        <v>51814</v>
      </c>
      <c r="G2408" s="61" t="n">
        <f aca="false">G2279*1000*(G2310)+G2280*1000*(G2333)+G2282*1000*(G2356)</f>
        <v>78820</v>
      </c>
      <c r="H2408" s="2" t="s">
        <v>1302</v>
      </c>
    </row>
    <row r="2409" customFormat="false" ht="15" hidden="false" customHeight="false" outlineLevel="1" collapsed="false">
      <c r="A2409" s="7" t="s">
        <v>691</v>
      </c>
      <c r="B2409" s="8" t="s">
        <v>11</v>
      </c>
      <c r="C2409" s="61" t="n">
        <f aca="false">C2279*1000*(C2311)+C2280*1000*(C2334)+C2282*1000*(C2357)+C2292*1000*Pressupostos!$C$99</f>
        <v>238</v>
      </c>
      <c r="D2409" s="61" t="n">
        <f aca="false">D2279*1000*(D2311)+D2280*1000*(D2334)+D2282*1000*(D2357)+D2292*1000*Pressupostos!$C$99</f>
        <v>1529.5</v>
      </c>
      <c r="E2409" s="61" t="n">
        <f aca="false">E2279*1000*(E2311)+E2280*1000*(E2334)+E2282*1000*(E2357)+E2292*1000*Pressupostos!$C$99</f>
        <v>4070.5</v>
      </c>
      <c r="F2409" s="61" t="n">
        <f aca="false">F2279*1000*(F2311)+F2280*1000*(F2334)+F2282*1000*(F2357)+F2292*1000*Pressupostos!$C$99</f>
        <v>7269.5</v>
      </c>
      <c r="G2409" s="61" t="n">
        <f aca="false">G2279*1000*(G2311)+G2280*1000*(G2334)+G2282*1000*(G2357)+G2292*1000*Pressupostos!$C$99</f>
        <v>11235</v>
      </c>
      <c r="H2409" s="2" t="s">
        <v>1303</v>
      </c>
    </row>
    <row r="2410" customFormat="false" ht="15" hidden="false" customHeight="false" outlineLevel="1" collapsed="false">
      <c r="A2410" s="7" t="s">
        <v>81</v>
      </c>
      <c r="B2410" s="8" t="s">
        <v>11</v>
      </c>
      <c r="C2410" s="61" t="n">
        <f aca="false">C2279*1000*(C2312)+C2280*1000*(C2335)+C2282*1000*(C2358)+C2292*1000*Pressupostos!$C$98*Pressupostos!$C$93</f>
        <v>645.876</v>
      </c>
      <c r="D2410" s="61" t="n">
        <f aca="false">D2279*1000*(D2312)+D2280*1000*(D2335)+D2282*1000*(D2358)+D2292*1000*Pressupostos!$C$98*Pressupostos!$C$93</f>
        <v>4106.214</v>
      </c>
      <c r="E2410" s="61" t="n">
        <f aca="false">E2279*1000*(E2312)+E2280*1000*(E2335)+E2282*1000*(E2358)+E2292*1000*Pressupostos!$C$98*Pressupostos!$C$93</f>
        <v>10379.376</v>
      </c>
      <c r="F2410" s="61" t="n">
        <f aca="false">F2279*1000*(F2312)+F2280*1000*(F2335)+F2282*1000*(F2358)+F2292*1000*Pressupostos!$C$98*Pressupostos!$C$93</f>
        <v>18487.224</v>
      </c>
      <c r="G2410" s="61" t="n">
        <f aca="false">G2279*1000*(G2312)+G2280*1000*(G2335)+G2282*1000*(G2358)+G2292*1000*Pressupostos!$C$98*Pressupostos!$C$93</f>
        <v>28405.02</v>
      </c>
      <c r="H2410" s="2" t="s">
        <v>1304</v>
      </c>
    </row>
    <row r="2411" customFormat="false" ht="15" hidden="false" customHeight="false" outlineLevel="1" collapsed="false">
      <c r="A2411" s="7" t="s">
        <v>692</v>
      </c>
      <c r="B2411" s="8" t="s">
        <v>11</v>
      </c>
      <c r="C2411" s="61" t="n">
        <f aca="false">C2279*1000*(C2313)+C2280*1000*(C2336)+C2282*1000*(C2359)+C2292*1000*Pressupostos!$D$29*Pressupostos!$C$92</f>
        <v>0</v>
      </c>
      <c r="D2411" s="61" t="n">
        <f aca="false">D2279*1000*(D2313)+D2280*1000*(D2336)+D2282*1000*(D2359)+D2292*1000*Pressupostos!$D$29*Pressupostos!$C$92</f>
        <v>0</v>
      </c>
      <c r="E2411" s="61" t="n">
        <f aca="false">E2279*1000*(E2313)+E2280*1000*(E2336)+E2282*1000*(E2359)+E2292*1000*Pressupostos!$D$29*Pressupostos!$C$92</f>
        <v>0</v>
      </c>
      <c r="F2411" s="61" t="n">
        <f aca="false">F2279*1000*(F2313)+F2280*1000*(F2336)+F2282*1000*(F2359)+F2292*1000*Pressupostos!$D$29*Pressupostos!$C$92</f>
        <v>0</v>
      </c>
      <c r="G2411" s="61" t="n">
        <f aca="false">G2279*1000*(G2313)+G2280*1000*(G2336)+G2282*1000*(G2359)+G2292*1000*Pressupostos!$D$29*Pressupostos!$C$92</f>
        <v>0</v>
      </c>
      <c r="H2411" s="2" t="s">
        <v>1305</v>
      </c>
    </row>
    <row r="2412" customFormat="false" ht="15" hidden="false" customHeight="false" outlineLevel="1" collapsed="false">
      <c r="A2412" s="7" t="s">
        <v>693</v>
      </c>
      <c r="B2412" s="8" t="s">
        <v>11</v>
      </c>
      <c r="C2412" s="61" t="n">
        <f aca="false">C2295*1000*Pressupostos!$C$104*Pressupostos!$D$30</f>
        <v>0</v>
      </c>
      <c r="D2412" s="61" t="n">
        <f aca="false">D2295*1000*Pressupostos!$C$104*Pressupostos!$D$30</f>
        <v>8228.57142857143</v>
      </c>
      <c r="E2412" s="61" t="n">
        <f aca="false">E2295*1000*Pressupostos!$C$104*Pressupostos!$D$30</f>
        <v>24685.7142857143</v>
      </c>
      <c r="F2412" s="61" t="n">
        <f aca="false">F2295*1000*Pressupostos!$C$104*Pressupostos!$D$30</f>
        <v>49371.4285714286</v>
      </c>
      <c r="G2412" s="61" t="n">
        <f aca="false">G2295*1000*Pressupostos!$C$104*Pressupostos!$D$30</f>
        <v>82285.7142857143</v>
      </c>
      <c r="H2412" s="2" t="s">
        <v>1306</v>
      </c>
    </row>
    <row r="2413" customFormat="false" ht="15" hidden="false" customHeight="false" outlineLevel="1" collapsed="false">
      <c r="A2413" s="7" t="s">
        <v>694</v>
      </c>
      <c r="B2413" s="8" t="s">
        <v>11</v>
      </c>
      <c r="C2413" s="61" t="n">
        <f aca="false">C2283*1000*C2367</f>
        <v>0</v>
      </c>
      <c r="D2413" s="61" t="n">
        <f aca="false">D2283*1000*D2367</f>
        <v>0</v>
      </c>
      <c r="E2413" s="61" t="n">
        <f aca="false">E2283*1000*E2367</f>
        <v>0</v>
      </c>
      <c r="F2413" s="61" t="n">
        <f aca="false">F2283*1000*F2367</f>
        <v>0</v>
      </c>
      <c r="G2413" s="61" t="n">
        <f aca="false">G2283*1000*G2367</f>
        <v>0</v>
      </c>
      <c r="H2413" s="2" t="s">
        <v>1307</v>
      </c>
    </row>
    <row r="2414" customFormat="false" ht="15" hidden="false" customHeight="false" outlineLevel="1" collapsed="false">
      <c r="A2414" s="7" t="s">
        <v>695</v>
      </c>
      <c r="B2414" s="8" t="s">
        <v>11</v>
      </c>
      <c r="C2414" s="61" t="n">
        <f aca="false">C2404+C2405+C2406+C2407+C2408+C2409+C2410+C2411+C2412+C2413</f>
        <v>10739.3006575342</v>
      </c>
      <c r="D2414" s="61" t="n">
        <f aca="false">D2404+D2405+D2406+D2407+D2408+D2409+D2410+D2411+D2412+D2413</f>
        <v>75360.1196751468</v>
      </c>
      <c r="E2414" s="61" t="n">
        <f aca="false">E2404+E2405+E2406+E2407+E2408+E2409+E2410+E2411+E2412+E2413</f>
        <v>176908.097272016</v>
      </c>
      <c r="F2414" s="61" t="n">
        <f aca="false">F2404+F2405+F2406+F2407+F2408+F2409+F2410+F2411+F2412+F2413</f>
        <v>318302.262023483</v>
      </c>
      <c r="G2414" s="61" t="n">
        <f aca="false">G2404+G2405+G2406+G2407+G2408+G2409+G2410+G2411+G2412+G2413</f>
        <v>492896.497299413</v>
      </c>
      <c r="H2414" s="2" t="s">
        <v>1308</v>
      </c>
    </row>
    <row r="2415" customFormat="false" ht="15" hidden="false" customHeight="false" outlineLevel="1" collapsed="false">
      <c r="A2415" s="7" t="s">
        <v>696</v>
      </c>
      <c r="B2415" s="8" t="s">
        <v>11</v>
      </c>
      <c r="C2415" s="61" t="n">
        <f aca="false">C2279*1000*(C2314)+C2280*1000*(C2337)+C2282*1000*(C2360)</f>
        <v>0</v>
      </c>
      <c r="D2415" s="61" t="n">
        <f aca="false">D2279*1000*(D2314)+D2280*1000*(D2337)+D2282*1000*(D2360)</f>
        <v>16321.9191780822</v>
      </c>
      <c r="E2415" s="61" t="n">
        <f aca="false">E2279*1000*(E2314)+E2280*1000*(E2337)+E2282*1000*(E2360)</f>
        <v>25610.5922517123</v>
      </c>
      <c r="F2415" s="61" t="n">
        <f aca="false">F2279*1000*(F2314)+F2280*1000*(F2337)+F2282*1000*(F2360)</f>
        <v>40929.0665239726</v>
      </c>
      <c r="G2415" s="61" t="n">
        <f aca="false">G2279*1000*(G2314)+G2280*1000*(G2337)+G2282*1000*(G2360)</f>
        <v>62117.9460616438</v>
      </c>
      <c r="H2415" s="2" t="s">
        <v>1309</v>
      </c>
    </row>
    <row r="2416" customFormat="false" ht="15" hidden="false" customHeight="false" outlineLevel="1" collapsed="false">
      <c r="A2416" s="7" t="s">
        <v>697</v>
      </c>
      <c r="B2416" s="8" t="s">
        <v>11</v>
      </c>
      <c r="C2416" s="61" t="n">
        <f aca="false">C2292*1000*C2394</f>
        <v>0</v>
      </c>
      <c r="D2416" s="61" t="n">
        <f aca="false">D2292*1000*D2394</f>
        <v>0</v>
      </c>
      <c r="E2416" s="61" t="n">
        <f aca="false">E2292*1000*E2394</f>
        <v>1529.15239726027</v>
      </c>
      <c r="F2416" s="61" t="n">
        <f aca="false">F2292*1000*F2394</f>
        <v>2854.41780821918</v>
      </c>
      <c r="G2416" s="61" t="n">
        <f aca="false">G2292*1000*G2394</f>
        <v>4757.36301369863</v>
      </c>
      <c r="H2416" s="2" t="s">
        <v>1310</v>
      </c>
    </row>
    <row r="2417" customFormat="false" ht="15" hidden="false" customHeight="false" outlineLevel="1" collapsed="false">
      <c r="A2417" s="7" t="s">
        <v>698</v>
      </c>
      <c r="B2417" s="8" t="s">
        <v>11</v>
      </c>
      <c r="C2417" s="61" t="n">
        <f aca="false">C2415+C2416</f>
        <v>0</v>
      </c>
      <c r="D2417" s="61" t="n">
        <f aca="false">D2415+D2416</f>
        <v>16321.9191780822</v>
      </c>
      <c r="E2417" s="61" t="n">
        <f aca="false">E2415+E2416</f>
        <v>27139.7446489726</v>
      </c>
      <c r="F2417" s="61" t="n">
        <f aca="false">F2415+F2416</f>
        <v>43783.4843321918</v>
      </c>
      <c r="G2417" s="61" t="n">
        <f aca="false">G2415+G2416</f>
        <v>66875.3090753425</v>
      </c>
      <c r="H2417" s="2" t="s">
        <v>1311</v>
      </c>
    </row>
    <row r="2418" customFormat="false" ht="15" hidden="false" customHeight="false" outlineLevel="1" collapsed="false">
      <c r="A2418" s="8" t="s">
        <v>699</v>
      </c>
      <c r="B2418" s="8" t="s">
        <v>11</v>
      </c>
      <c r="C2418" s="70" t="n">
        <f aca="false">ROUND(C2380-C2403-C2414-C2417-C2399,6)</f>
        <v>-0</v>
      </c>
      <c r="D2418" s="70" t="n">
        <f aca="false">ROUND(D2380-D2403-D2414-D2417-D2399,6)</f>
        <v>-0</v>
      </c>
      <c r="E2418" s="70" t="n">
        <f aca="false">ROUND(E2380-E2403-E2414-E2417-E2399,6)</f>
        <v>-0</v>
      </c>
      <c r="F2418" s="70" t="n">
        <f aca="false">ROUND(F2380-F2403-F2414-F2417-F2399,6)</f>
        <v>-0</v>
      </c>
      <c r="G2418" s="70" t="n">
        <f aca="false">ROUND(G2380-G2403-G2414-G2417-G2399,6)</f>
        <v>0</v>
      </c>
      <c r="H2418" s="2" t="s">
        <v>1312</v>
      </c>
    </row>
    <row r="2419" customFormat="false" ht="15" hidden="false" customHeight="false" outlineLevel="0" collapsed="false">
      <c r="A2419" s="3" t="s">
        <v>1313</v>
      </c>
      <c r="B2419" s="4"/>
      <c r="C2419" s="4"/>
      <c r="D2419" s="4"/>
      <c r="E2419" s="4"/>
      <c r="F2419" s="4"/>
      <c r="G2419" s="4"/>
      <c r="H2419" s="4"/>
    </row>
    <row r="2420" customFormat="false" ht="15" hidden="false" customHeight="false" outlineLevel="1" collapsed="false">
      <c r="A2420" s="7" t="s">
        <v>638</v>
      </c>
      <c r="B2420" s="8" t="s">
        <v>432</v>
      </c>
      <c r="C2420" s="64" t="n">
        <f aca="false">Pressupostos!$C$332</f>
        <v>1</v>
      </c>
      <c r="D2420" s="64" t="n">
        <f aca="false">Pressupostos!$D$332</f>
        <v>1</v>
      </c>
      <c r="E2420" s="64" t="n">
        <f aca="false">Pressupostos!$E$332</f>
        <v>1</v>
      </c>
      <c r="F2420" s="64" t="n">
        <f aca="false">Pressupostos!$F$332</f>
        <v>1</v>
      </c>
      <c r="G2420" s="64" t="n">
        <f aca="false">Pressupostos!$G$332</f>
        <v>1</v>
      </c>
      <c r="H2420" s="2" t="s">
        <v>1314</v>
      </c>
    </row>
    <row r="2421" customFormat="false" ht="15" hidden="false" customHeight="false" outlineLevel="1" collapsed="false">
      <c r="A2421" s="7" t="s">
        <v>639</v>
      </c>
      <c r="B2421" s="8" t="s">
        <v>432</v>
      </c>
      <c r="C2421" s="64" t="n">
        <f aca="false">Pressupostos!$C$338</f>
        <v>1</v>
      </c>
      <c r="D2421" s="64" t="n">
        <f aca="false">Pressupostos!$D$338</f>
        <v>1</v>
      </c>
      <c r="E2421" s="64" t="n">
        <f aca="false">Pressupostos!$E$338</f>
        <v>1</v>
      </c>
      <c r="F2421" s="64" t="n">
        <f aca="false">Pressupostos!$F$338</f>
        <v>1</v>
      </c>
      <c r="G2421" s="64" t="n">
        <f aca="false">Pressupostos!$G$338</f>
        <v>1</v>
      </c>
      <c r="H2421" s="2" t="s">
        <v>1315</v>
      </c>
    </row>
    <row r="2422" customFormat="false" ht="15" hidden="false" customHeight="false" outlineLevel="1" collapsed="false">
      <c r="A2422" s="7" t="s">
        <v>640</v>
      </c>
      <c r="B2422" s="8" t="s">
        <v>432</v>
      </c>
      <c r="C2422" s="64" t="n">
        <f aca="false">Pressupostos!$C$344</f>
        <v>1</v>
      </c>
      <c r="D2422" s="64" t="n">
        <f aca="false">Pressupostos!$D$344</f>
        <v>1</v>
      </c>
      <c r="E2422" s="64" t="n">
        <f aca="false">Pressupostos!$E$344</f>
        <v>2</v>
      </c>
      <c r="F2422" s="64" t="n">
        <f aca="false">Pressupostos!$F$344</f>
        <v>2</v>
      </c>
      <c r="G2422" s="64" t="n">
        <f aca="false">Pressupostos!$G$344</f>
        <v>2</v>
      </c>
      <c r="H2422" s="2" t="s">
        <v>1316</v>
      </c>
    </row>
    <row r="2423" customFormat="false" ht="15" hidden="false" customHeight="false" outlineLevel="1" collapsed="false">
      <c r="A2423" s="7" t="s">
        <v>641</v>
      </c>
      <c r="B2423" s="8" t="s">
        <v>432</v>
      </c>
      <c r="C2423" s="64" t="n">
        <f aca="false">Pressupostos!$C$350</f>
        <v>1</v>
      </c>
      <c r="D2423" s="64" t="n">
        <f aca="false">Pressupostos!$D$350</f>
        <v>1</v>
      </c>
      <c r="E2423" s="64" t="n">
        <f aca="false">Pressupostos!$E$350</f>
        <v>1</v>
      </c>
      <c r="F2423" s="64" t="n">
        <f aca="false">Pressupostos!$F$350</f>
        <v>1</v>
      </c>
      <c r="G2423" s="64" t="n">
        <f aca="false">Pressupostos!$G$350</f>
        <v>1</v>
      </c>
      <c r="H2423" s="2" t="s">
        <v>1317</v>
      </c>
    </row>
    <row r="2424" customFormat="false" ht="15" hidden="false" customHeight="false" outlineLevel="1" collapsed="false">
      <c r="A2424" s="7" t="s">
        <v>642</v>
      </c>
      <c r="B2424" s="8" t="s">
        <v>432</v>
      </c>
      <c r="C2424" s="64" t="n">
        <f aca="false">Pressupostos!$C$356</f>
        <v>0.5</v>
      </c>
      <c r="D2424" s="64" t="n">
        <f aca="false">Pressupostos!$D$356</f>
        <v>1</v>
      </c>
      <c r="E2424" s="64" t="n">
        <f aca="false">Pressupostos!$E$356</f>
        <v>1</v>
      </c>
      <c r="F2424" s="64" t="n">
        <f aca="false">Pressupostos!$F$356</f>
        <v>1</v>
      </c>
      <c r="G2424" s="64" t="n">
        <f aca="false">Pressupostos!$G$356</f>
        <v>1</v>
      </c>
      <c r="H2424" s="2" t="s">
        <v>1318</v>
      </c>
    </row>
    <row r="2425" customFormat="false" ht="15" hidden="false" customHeight="false" outlineLevel="1" collapsed="false">
      <c r="A2425" s="7" t="s">
        <v>643</v>
      </c>
      <c r="B2425" s="8" t="s">
        <v>432</v>
      </c>
      <c r="C2425" s="64" t="n">
        <f aca="false">Pressupostos!$C$362</f>
        <v>1</v>
      </c>
      <c r="D2425" s="64" t="n">
        <f aca="false">Pressupostos!$D$362</f>
        <v>1</v>
      </c>
      <c r="E2425" s="64" t="n">
        <f aca="false">Pressupostos!$E$362</f>
        <v>1</v>
      </c>
      <c r="F2425" s="64" t="n">
        <f aca="false">Pressupostos!$F$362</f>
        <v>2</v>
      </c>
      <c r="G2425" s="64" t="n">
        <f aca="false">Pressupostos!$G$362</f>
        <v>2</v>
      </c>
      <c r="H2425" s="2" t="s">
        <v>1319</v>
      </c>
    </row>
    <row r="2426" customFormat="false" ht="15" hidden="false" customHeight="false" outlineLevel="1" collapsed="false">
      <c r="A2426" s="7" t="s">
        <v>644</v>
      </c>
      <c r="B2426" s="8" t="s">
        <v>432</v>
      </c>
      <c r="C2426" s="64" t="n">
        <f aca="false">Pressupostos!$C$368</f>
        <v>0.5</v>
      </c>
      <c r="D2426" s="64" t="n">
        <f aca="false">Pressupostos!$D$368</f>
        <v>1</v>
      </c>
      <c r="E2426" s="64" t="n">
        <f aca="false">Pressupostos!$E$368</f>
        <v>1</v>
      </c>
      <c r="F2426" s="64" t="n">
        <f aca="false">Pressupostos!$F$368</f>
        <v>1</v>
      </c>
      <c r="G2426" s="64" t="n">
        <f aca="false">Pressupostos!$G$368</f>
        <v>1</v>
      </c>
      <c r="H2426" s="2" t="s">
        <v>1320</v>
      </c>
    </row>
    <row r="2427" customFormat="false" ht="15" hidden="false" customHeight="false" outlineLevel="1" collapsed="false">
      <c r="A2427" s="7" t="s">
        <v>645</v>
      </c>
      <c r="B2427" s="8" t="s">
        <v>432</v>
      </c>
      <c r="C2427" s="64" t="n">
        <f aca="false">Pressupostos!$C$374</f>
        <v>1</v>
      </c>
      <c r="D2427" s="64" t="n">
        <f aca="false">Pressupostos!$D$374</f>
        <v>1</v>
      </c>
      <c r="E2427" s="64" t="n">
        <f aca="false">Pressupostos!$E$374</f>
        <v>2</v>
      </c>
      <c r="F2427" s="64" t="n">
        <f aca="false">Pressupostos!$F$374</f>
        <v>3</v>
      </c>
      <c r="G2427" s="64" t="n">
        <f aca="false">Pressupostos!$G$374</f>
        <v>5</v>
      </c>
      <c r="H2427" s="2" t="s">
        <v>1321</v>
      </c>
    </row>
    <row r="2428" customFormat="false" ht="15" hidden="false" customHeight="false" outlineLevel="1" collapsed="false">
      <c r="A2428" s="7" t="s">
        <v>646</v>
      </c>
      <c r="B2428" s="8" t="s">
        <v>432</v>
      </c>
      <c r="C2428" s="64" t="n">
        <f aca="false">Pressupostos!$C$380</f>
        <v>0</v>
      </c>
      <c r="D2428" s="64" t="n">
        <f aca="false">Pressupostos!$D$380</f>
        <v>0</v>
      </c>
      <c r="E2428" s="64" t="n">
        <f aca="false">Pressupostos!$E$380</f>
        <v>0</v>
      </c>
      <c r="F2428" s="64" t="n">
        <f aca="false">Pressupostos!$F$380</f>
        <v>1</v>
      </c>
      <c r="G2428" s="64" t="n">
        <f aca="false">Pressupostos!$G$380</f>
        <v>1</v>
      </c>
      <c r="H2428" s="2" t="s">
        <v>1322</v>
      </c>
    </row>
    <row r="2429" customFormat="false" ht="15" hidden="false" customHeight="false" outlineLevel="1" collapsed="false">
      <c r="A2429" s="7" t="s">
        <v>647</v>
      </c>
      <c r="B2429" s="8" t="s">
        <v>432</v>
      </c>
      <c r="C2429" s="64" t="n">
        <f aca="false">Pressupostos!$C$386</f>
        <v>0</v>
      </c>
      <c r="D2429" s="64" t="n">
        <f aca="false">Pressupostos!$D$386</f>
        <v>0</v>
      </c>
      <c r="E2429" s="64" t="n">
        <f aca="false">Pressupostos!$E$386</f>
        <v>0</v>
      </c>
      <c r="F2429" s="64" t="n">
        <f aca="false">Pressupostos!$F$386</f>
        <v>0</v>
      </c>
      <c r="G2429" s="64" t="n">
        <f aca="false">Pressupostos!$G$386</f>
        <v>1</v>
      </c>
      <c r="H2429" s="2" t="s">
        <v>1323</v>
      </c>
    </row>
    <row r="2430" customFormat="false" ht="15" hidden="false" customHeight="false" outlineLevel="1" collapsed="false">
      <c r="A2430" s="7" t="s">
        <v>648</v>
      </c>
      <c r="B2430" s="8" t="s">
        <v>432</v>
      </c>
      <c r="C2430" s="64" t="n">
        <f aca="false">Pressupostos!$C$392</f>
        <v>0</v>
      </c>
      <c r="D2430" s="64" t="n">
        <f aca="false">Pressupostos!$D$392</f>
        <v>0</v>
      </c>
      <c r="E2430" s="64" t="n">
        <f aca="false">Pressupostos!$E$392</f>
        <v>1</v>
      </c>
      <c r="F2430" s="64" t="n">
        <f aca="false">Pressupostos!$F$392</f>
        <v>1</v>
      </c>
      <c r="G2430" s="64" t="n">
        <f aca="false">Pressupostos!$G$392</f>
        <v>1</v>
      </c>
      <c r="H2430" s="2" t="s">
        <v>1324</v>
      </c>
    </row>
    <row r="2431" customFormat="false" ht="15" hidden="false" customHeight="false" outlineLevel="1" collapsed="false">
      <c r="A2431" s="7" t="s">
        <v>649</v>
      </c>
      <c r="B2431" s="8" t="s">
        <v>432</v>
      </c>
      <c r="C2431" s="64" t="n">
        <f aca="false">Pressupostos!$C$398</f>
        <v>0</v>
      </c>
      <c r="D2431" s="64" t="n">
        <f aca="false">Pressupostos!$D$398</f>
        <v>0</v>
      </c>
      <c r="E2431" s="64" t="n">
        <f aca="false">Pressupostos!$E$398</f>
        <v>0</v>
      </c>
      <c r="F2431" s="64" t="n">
        <f aca="false">Pressupostos!$F$398</f>
        <v>0</v>
      </c>
      <c r="G2431" s="64" t="n">
        <f aca="false">Pressupostos!$G$398</f>
        <v>0</v>
      </c>
      <c r="H2431" s="2" t="s">
        <v>1325</v>
      </c>
    </row>
    <row r="2432" customFormat="false" ht="15" hidden="false" customHeight="false" outlineLevel="1" collapsed="false">
      <c r="A2432" s="56" t="s">
        <v>650</v>
      </c>
      <c r="B2432" s="57" t="s">
        <v>432</v>
      </c>
      <c r="C2432" s="65" t="n">
        <f aca="false">C2420+C2421+C2422+C2423+C2424+C2425+C2426+C2427+C2428+C2429+C2430+C2431</f>
        <v>7</v>
      </c>
      <c r="D2432" s="65" t="n">
        <f aca="false">D2420+D2421+D2422+D2423+D2424+D2425+D2426+D2427+D2428+D2429+D2430+D2431</f>
        <v>8</v>
      </c>
      <c r="E2432" s="65" t="n">
        <f aca="false">E2420+E2421+E2422+E2423+E2424+E2425+E2426+E2427+E2428+E2429+E2430+E2431</f>
        <v>11</v>
      </c>
      <c r="F2432" s="65" t="n">
        <f aca="false">F2420+F2421+F2422+F2423+F2424+F2425+F2426+F2427+F2428+F2429+F2430+F2431</f>
        <v>14</v>
      </c>
      <c r="G2432" s="65" t="n">
        <f aca="false">G2420+G2421+G2422+G2423+G2424+G2425+G2426+G2427+G2428+G2429+G2430+G2431</f>
        <v>17</v>
      </c>
      <c r="H2432" s="2" t="s">
        <v>1326</v>
      </c>
    </row>
    <row r="2433" customFormat="false" ht="15" hidden="false" customHeight="false" outlineLevel="0" collapsed="false">
      <c r="A2433" s="3" t="s">
        <v>1327</v>
      </c>
      <c r="B2433" s="4"/>
      <c r="C2433" s="4"/>
      <c r="D2433" s="4"/>
      <c r="E2433" s="4"/>
      <c r="F2433" s="4"/>
      <c r="G2433" s="4"/>
      <c r="H2433" s="4"/>
    </row>
    <row r="2434" customFormat="false" ht="15" hidden="false" customHeight="false" outlineLevel="1" collapsed="false">
      <c r="A2434" s="7" t="s">
        <v>638</v>
      </c>
      <c r="B2434" s="8" t="s">
        <v>11</v>
      </c>
      <c r="C2434" s="61" t="n">
        <f aca="false">C2420*Pressupostos!$C$131*(1+Pressupostos!$C$127)^0*(1+Pressupostos!$C$132)*Pressupostos!$C$128</f>
        <v>43998</v>
      </c>
      <c r="D2434" s="61" t="n">
        <f aca="false">D2420*Pressupostos!$C$131*(1+Pressupostos!$C$127)^1*(1+Pressupostos!$C$132)</f>
        <v>61800</v>
      </c>
      <c r="E2434" s="61" t="n">
        <f aca="false">E2420*Pressupostos!$C$131*(1+Pressupostos!$C$127)^2*(1+Pressupostos!$C$132)</f>
        <v>63654</v>
      </c>
      <c r="F2434" s="61" t="n">
        <f aca="false">F2420*Pressupostos!$C$131*(1+Pressupostos!$C$127)^3*(1+Pressupostos!$C$132)</f>
        <v>65563.62</v>
      </c>
      <c r="G2434" s="61" t="n">
        <f aca="false">G2420*Pressupostos!$C$131*(1+Pressupostos!$C$127)^4*(1+Pressupostos!$C$132)</f>
        <v>67530.5286</v>
      </c>
      <c r="H2434" s="2" t="s">
        <v>1328</v>
      </c>
    </row>
    <row r="2435" customFormat="false" ht="15" hidden="false" customHeight="false" outlineLevel="1" collapsed="false">
      <c r="A2435" s="7" t="s">
        <v>639</v>
      </c>
      <c r="B2435" s="8" t="s">
        <v>11</v>
      </c>
      <c r="C2435" s="61" t="n">
        <f aca="false">C2421*Pressupostos!$C$133*(1+Pressupostos!$C$127)^0*(1+Pressupostos!$C$134)*Pressupostos!$C$128</f>
        <v>47664.5</v>
      </c>
      <c r="D2435" s="61" t="n">
        <f aca="false">D2421*Pressupostos!$C$133*(1+Pressupostos!$C$127)^1*(1+Pressupostos!$C$134)</f>
        <v>66950</v>
      </c>
      <c r="E2435" s="61" t="n">
        <f aca="false">E2421*Pressupostos!$C$133*(1+Pressupostos!$C$127)^2*(1+Pressupostos!$C$134)</f>
        <v>68958.5</v>
      </c>
      <c r="F2435" s="61" t="n">
        <f aca="false">F2421*Pressupostos!$C$133*(1+Pressupostos!$C$127)^3*(1+Pressupostos!$C$134)</f>
        <v>71027.255</v>
      </c>
      <c r="G2435" s="61" t="n">
        <f aca="false">G2421*Pressupostos!$C$133*(1+Pressupostos!$C$127)^4*(1+Pressupostos!$C$134)</f>
        <v>73158.07265</v>
      </c>
      <c r="H2435" s="2" t="s">
        <v>1329</v>
      </c>
    </row>
    <row r="2436" customFormat="false" ht="15" hidden="false" customHeight="false" outlineLevel="1" collapsed="false">
      <c r="A2436" s="7" t="s">
        <v>640</v>
      </c>
      <c r="B2436" s="8" t="s">
        <v>11</v>
      </c>
      <c r="C2436" s="61" t="n">
        <f aca="false">C2422*Pressupostos!$C$135*(1+Pressupostos!$C$127)^0*(1+Pressupostos!$C$136)</f>
        <v>45000</v>
      </c>
      <c r="D2436" s="61" t="n">
        <f aca="false">D2422*Pressupostos!$C$135*(1+Pressupostos!$C$127)^1*(1+Pressupostos!$C$136)</f>
        <v>46350</v>
      </c>
      <c r="E2436" s="61" t="n">
        <f aca="false">E2422*Pressupostos!$C$135*(1+Pressupostos!$C$127)^2*(1+Pressupostos!$C$136)</f>
        <v>95481</v>
      </c>
      <c r="F2436" s="61" t="n">
        <f aca="false">F2422*Pressupostos!$C$135*(1+Pressupostos!$C$127)^3*(1+Pressupostos!$C$136)</f>
        <v>98345.43</v>
      </c>
      <c r="G2436" s="61" t="n">
        <f aca="false">G2422*Pressupostos!$C$135*(1+Pressupostos!$C$127)^4*(1+Pressupostos!$C$136)</f>
        <v>101295.7929</v>
      </c>
      <c r="H2436" s="2" t="s">
        <v>1330</v>
      </c>
    </row>
    <row r="2437" customFormat="false" ht="15" hidden="false" customHeight="false" outlineLevel="1" collapsed="false">
      <c r="A2437" s="7" t="s">
        <v>641</v>
      </c>
      <c r="B2437" s="8" t="s">
        <v>11</v>
      </c>
      <c r="C2437" s="61" t="n">
        <f aca="false">C2423*Pressupostos!$C$137*(1+Pressupostos!$C$127)^0*(1+Pressupostos!$C$138)</f>
        <v>60000</v>
      </c>
      <c r="D2437" s="61" t="n">
        <f aca="false">D2423*Pressupostos!$C$137*(1+Pressupostos!$C$127)^1*(1+Pressupostos!$C$138)</f>
        <v>61800</v>
      </c>
      <c r="E2437" s="61" t="n">
        <f aca="false">E2423*Pressupostos!$C$137*(1+Pressupostos!$C$127)^2*(1+Pressupostos!$C$138)</f>
        <v>63654</v>
      </c>
      <c r="F2437" s="61" t="n">
        <f aca="false">F2423*Pressupostos!$C$137*(1+Pressupostos!$C$127)^3*(1+Pressupostos!$C$138)</f>
        <v>65563.62</v>
      </c>
      <c r="G2437" s="61" t="n">
        <f aca="false">G2423*Pressupostos!$C$137*(1+Pressupostos!$C$127)^4*(1+Pressupostos!$C$138)</f>
        <v>67530.5286</v>
      </c>
      <c r="H2437" s="2" t="s">
        <v>1331</v>
      </c>
    </row>
    <row r="2438" customFormat="false" ht="15" hidden="false" customHeight="false" outlineLevel="1" collapsed="false">
      <c r="A2438" s="7" t="s">
        <v>642</v>
      </c>
      <c r="B2438" s="8" t="s">
        <v>11</v>
      </c>
      <c r="C2438" s="61" t="n">
        <f aca="false">C2424*Pressupostos!$C$139*(1+Pressupostos!$C$127)^0*(1+Pressupostos!$C$140)</f>
        <v>22500</v>
      </c>
      <c r="D2438" s="61" t="n">
        <f aca="false">D2424*Pressupostos!$C$139*(1+Pressupostos!$C$127)^1*(1+Pressupostos!$C$140)</f>
        <v>46350</v>
      </c>
      <c r="E2438" s="61" t="n">
        <f aca="false">E2424*Pressupostos!$C$139*(1+Pressupostos!$C$127)^2*(1+Pressupostos!$C$140)</f>
        <v>47740.5</v>
      </c>
      <c r="F2438" s="61" t="n">
        <f aca="false">F2424*Pressupostos!$C$139*(1+Pressupostos!$C$127)^3*(1+Pressupostos!$C$140)</f>
        <v>49172.715</v>
      </c>
      <c r="G2438" s="61" t="n">
        <f aca="false">G2424*Pressupostos!$C$139*(1+Pressupostos!$C$127)^4*(1+Pressupostos!$C$140)</f>
        <v>50647.89645</v>
      </c>
      <c r="H2438" s="2" t="s">
        <v>1332</v>
      </c>
    </row>
    <row r="2439" customFormat="false" ht="15" hidden="false" customHeight="false" outlineLevel="1" collapsed="false">
      <c r="A2439" s="7" t="s">
        <v>643</v>
      </c>
      <c r="B2439" s="8" t="s">
        <v>11</v>
      </c>
      <c r="C2439" s="61" t="n">
        <f aca="false">C2425*Pressupostos!$C$141*(1+Pressupostos!$C$127)^0*(1+Pressupostos!$C$142)</f>
        <v>38000</v>
      </c>
      <c r="D2439" s="61" t="n">
        <f aca="false">D2425*Pressupostos!$C$141*(1+Pressupostos!$C$127)^1*(1+Pressupostos!$C$142)</f>
        <v>39140</v>
      </c>
      <c r="E2439" s="61" t="n">
        <f aca="false">E2425*Pressupostos!$C$141*(1+Pressupostos!$C$127)^2*(1+Pressupostos!$C$142)</f>
        <v>40314.2</v>
      </c>
      <c r="F2439" s="61" t="n">
        <f aca="false">F2425*Pressupostos!$C$141*(1+Pressupostos!$C$127)^3*(1+Pressupostos!$C$142)</f>
        <v>83047.252</v>
      </c>
      <c r="G2439" s="61" t="n">
        <f aca="false">G2425*Pressupostos!$C$141*(1+Pressupostos!$C$127)^4*(1+Pressupostos!$C$142)</f>
        <v>85538.66956</v>
      </c>
      <c r="H2439" s="2" t="s">
        <v>1333</v>
      </c>
    </row>
    <row r="2440" customFormat="false" ht="15" hidden="false" customHeight="false" outlineLevel="1" collapsed="false">
      <c r="A2440" s="7" t="s">
        <v>644</v>
      </c>
      <c r="B2440" s="8" t="s">
        <v>11</v>
      </c>
      <c r="C2440" s="61" t="n">
        <f aca="false">C2426*Pressupostos!$C$143*(1+Pressupostos!$C$127)^0*(1+Pressupostos!$C$144)</f>
        <v>16000</v>
      </c>
      <c r="D2440" s="61" t="n">
        <f aca="false">D2426*Pressupostos!$C$143*(1+Pressupostos!$C$127)^1*(1+Pressupostos!$C$144)</f>
        <v>32960</v>
      </c>
      <c r="E2440" s="61" t="n">
        <f aca="false">E2426*Pressupostos!$C$143*(1+Pressupostos!$C$127)^2*(1+Pressupostos!$C$144)</f>
        <v>33948.8</v>
      </c>
      <c r="F2440" s="61" t="n">
        <f aca="false">F2426*Pressupostos!$C$143*(1+Pressupostos!$C$127)^3*(1+Pressupostos!$C$144)</f>
        <v>34967.264</v>
      </c>
      <c r="G2440" s="61" t="n">
        <f aca="false">G2426*Pressupostos!$C$143*(1+Pressupostos!$C$127)^4*(1+Pressupostos!$C$144)</f>
        <v>36016.28192</v>
      </c>
      <c r="H2440" s="2" t="s">
        <v>1334</v>
      </c>
    </row>
    <row r="2441" customFormat="false" ht="15" hidden="false" customHeight="false" outlineLevel="1" collapsed="false">
      <c r="A2441" s="7" t="s">
        <v>645</v>
      </c>
      <c r="B2441" s="8" t="s">
        <v>11</v>
      </c>
      <c r="C2441" s="61" t="n">
        <f aca="false">C2427*Pressupostos!$C$145*(1+Pressupostos!$C$127)^0*(1+Pressupostos!$C$146)</f>
        <v>34500</v>
      </c>
      <c r="D2441" s="61" t="n">
        <f aca="false">D2427*Pressupostos!$C$145*(1+Pressupostos!$C$127)^1*(1+Pressupostos!$C$146)</f>
        <v>35535</v>
      </c>
      <c r="E2441" s="61" t="n">
        <f aca="false">E2427*Pressupostos!$C$145*(1+Pressupostos!$C$127)^2*(1+Pressupostos!$C$146)</f>
        <v>73202.1</v>
      </c>
      <c r="F2441" s="61" t="n">
        <f aca="false">F2427*Pressupostos!$C$145*(1+Pressupostos!$C$127)^3*(1+Pressupostos!$C$146)</f>
        <v>113097.2445</v>
      </c>
      <c r="G2441" s="61" t="n">
        <f aca="false">G2427*Pressupostos!$C$145*(1+Pressupostos!$C$127)^4*(1+Pressupostos!$C$146)</f>
        <v>194150.269725</v>
      </c>
      <c r="H2441" s="2" t="s">
        <v>1335</v>
      </c>
    </row>
    <row r="2442" customFormat="false" ht="15" hidden="false" customHeight="false" outlineLevel="1" collapsed="false">
      <c r="A2442" s="7" t="s">
        <v>646</v>
      </c>
      <c r="B2442" s="8" t="s">
        <v>11</v>
      </c>
      <c r="C2442" s="61" t="n">
        <f aca="false">C2428*Pressupostos!$C$147*(1+Pressupostos!$C$127)^0*(1+Pressupostos!$C$148)</f>
        <v>0</v>
      </c>
      <c r="D2442" s="61" t="n">
        <f aca="false">D2428*Pressupostos!$C$147*(1+Pressupostos!$C$127)^1*(1+Pressupostos!$C$148)</f>
        <v>0</v>
      </c>
      <c r="E2442" s="61" t="n">
        <f aca="false">E2428*Pressupostos!$C$147*(1+Pressupostos!$C$127)^2*(1+Pressupostos!$C$148)</f>
        <v>0</v>
      </c>
      <c r="F2442" s="61" t="n">
        <f aca="false">F2428*Pressupostos!$C$147*(1+Pressupostos!$C$127)^3*(1+Pressupostos!$C$148)</f>
        <v>49172.715</v>
      </c>
      <c r="G2442" s="61" t="n">
        <f aca="false">G2428*Pressupostos!$C$147*(1+Pressupostos!$C$127)^4*(1+Pressupostos!$C$148)</f>
        <v>50647.89645</v>
      </c>
      <c r="H2442" s="2" t="s">
        <v>1336</v>
      </c>
    </row>
    <row r="2443" customFormat="false" ht="15" hidden="false" customHeight="false" outlineLevel="1" collapsed="false">
      <c r="A2443" s="7" t="s">
        <v>647</v>
      </c>
      <c r="B2443" s="8" t="s">
        <v>11</v>
      </c>
      <c r="C2443" s="61" t="n">
        <f aca="false">C2429*Pressupostos!$C$149*(1+Pressupostos!$C$127)^0*(1+Pressupostos!$C$150)</f>
        <v>0</v>
      </c>
      <c r="D2443" s="61" t="n">
        <f aca="false">D2429*Pressupostos!$C$149*(1+Pressupostos!$C$127)^1*(1+Pressupostos!$C$150)</f>
        <v>0</v>
      </c>
      <c r="E2443" s="61" t="n">
        <f aca="false">E2429*Pressupostos!$C$149*(1+Pressupostos!$C$127)^2*(1+Pressupostos!$C$150)</f>
        <v>0</v>
      </c>
      <c r="F2443" s="61" t="n">
        <f aca="false">F2429*Pressupostos!$C$149*(1+Pressupostos!$C$127)^3*(1+Pressupostos!$C$150)</f>
        <v>0</v>
      </c>
      <c r="G2443" s="61" t="n">
        <f aca="false">G2429*Pressupostos!$C$149*(1+Pressupostos!$C$127)^4*(1+Pressupostos!$C$150)</f>
        <v>45020.3524</v>
      </c>
      <c r="H2443" s="2" t="s">
        <v>1337</v>
      </c>
    </row>
    <row r="2444" customFormat="false" ht="15" hidden="false" customHeight="false" outlineLevel="1" collapsed="false">
      <c r="A2444" s="7" t="s">
        <v>648</v>
      </c>
      <c r="B2444" s="8" t="s">
        <v>11</v>
      </c>
      <c r="C2444" s="61" t="n">
        <f aca="false">C2430*Pressupostos!$C$151*(1+Pressupostos!$C$127)^0*(1+Pressupostos!$C$152)</f>
        <v>0</v>
      </c>
      <c r="D2444" s="61" t="n">
        <f aca="false">D2430*Pressupostos!$C$151*(1+Pressupostos!$C$127)^1*(1+Pressupostos!$C$152)</f>
        <v>0</v>
      </c>
      <c r="E2444" s="61" t="n">
        <f aca="false">E2430*Pressupostos!$C$151*(1+Pressupostos!$C$127)^2*(1+Pressupostos!$C$152)</f>
        <v>25461.6</v>
      </c>
      <c r="F2444" s="61" t="n">
        <f aca="false">F2430*Pressupostos!$C$151*(1+Pressupostos!$C$127)^3*(1+Pressupostos!$C$152)</f>
        <v>26225.448</v>
      </c>
      <c r="G2444" s="61" t="n">
        <f aca="false">G2430*Pressupostos!$C$151*(1+Pressupostos!$C$127)^4*(1+Pressupostos!$C$152)</f>
        <v>27012.21144</v>
      </c>
      <c r="H2444" s="2" t="s">
        <v>1338</v>
      </c>
    </row>
    <row r="2445" customFormat="false" ht="15" hidden="false" customHeight="false" outlineLevel="1" collapsed="false">
      <c r="A2445" s="7" t="s">
        <v>649</v>
      </c>
      <c r="B2445" s="8" t="s">
        <v>11</v>
      </c>
      <c r="C2445" s="61" t="n">
        <f aca="false">C2431*Pressupostos!$C$153*(1+Pressupostos!$C$127)^0*(1+Pressupostos!$C$154)</f>
        <v>0</v>
      </c>
      <c r="D2445" s="61" t="n">
        <f aca="false">D2431*Pressupostos!$C$153*(1+Pressupostos!$C$127)^1*(1+Pressupostos!$C$154)</f>
        <v>0</v>
      </c>
      <c r="E2445" s="61" t="n">
        <f aca="false">E2431*Pressupostos!$C$153*(1+Pressupostos!$C$127)^2*(1+Pressupostos!$C$154)</f>
        <v>0</v>
      </c>
      <c r="F2445" s="61" t="n">
        <f aca="false">F2431*Pressupostos!$C$153*(1+Pressupostos!$C$127)^3*(1+Pressupostos!$C$154)</f>
        <v>0</v>
      </c>
      <c r="G2445" s="61" t="n">
        <f aca="false">G2431*Pressupostos!$C$153*(1+Pressupostos!$C$127)^4*(1+Pressupostos!$C$154)</f>
        <v>0</v>
      </c>
      <c r="H2445" s="2" t="s">
        <v>1339</v>
      </c>
    </row>
    <row r="2446" customFormat="false" ht="15" hidden="false" customHeight="false" outlineLevel="1" collapsed="false">
      <c r="A2446" s="7" t="s">
        <v>652</v>
      </c>
      <c r="B2446" s="8" t="s">
        <v>11</v>
      </c>
      <c r="C2446" s="61" t="n">
        <f aca="false">C2434+C2435+C2436+C2437+C2438+C2439+C2440+C2441+C2442+C2443+C2444+C2445</f>
        <v>307662.5</v>
      </c>
      <c r="D2446" s="61" t="n">
        <f aca="false">D2434+D2435+D2436+D2437+D2438+D2439+D2440+D2441+D2442+D2443+D2444+D2445</f>
        <v>390885</v>
      </c>
      <c r="E2446" s="61" t="n">
        <f aca="false">E2434+E2435+E2436+E2437+E2438+E2439+E2440+E2441+E2442+E2443+E2444+E2445</f>
        <v>512414.7</v>
      </c>
      <c r="F2446" s="61" t="n">
        <f aca="false">F2434+F2435+F2436+F2437+F2438+F2439+F2440+F2441+F2442+F2443+F2444+F2445</f>
        <v>656182.5635</v>
      </c>
      <c r="G2446" s="61" t="n">
        <f aca="false">G2434+G2435+G2436+G2437+G2438+G2439+G2440+G2441+G2442+G2443+G2444+G2445</f>
        <v>798548.500695</v>
      </c>
      <c r="H2446" s="2" t="s">
        <v>1340</v>
      </c>
    </row>
    <row r="2447" customFormat="false" ht="15" hidden="false" customHeight="false" outlineLevel="1" collapsed="false">
      <c r="A2447" s="7" t="s">
        <v>653</v>
      </c>
      <c r="B2447" s="8" t="s">
        <v>11</v>
      </c>
      <c r="C2447" s="61" t="n">
        <f aca="false">C2446*(Pressupostos!$C$124+Pressupostos!$C$125)</f>
        <v>79223.09375</v>
      </c>
      <c r="D2447" s="61" t="n">
        <f aca="false">D2446*(Pressupostos!$C$124+Pressupostos!$C$125)</f>
        <v>100652.8875</v>
      </c>
      <c r="E2447" s="61" t="n">
        <f aca="false">E2446*(Pressupostos!$C$124+Pressupostos!$C$125)</f>
        <v>131946.78525</v>
      </c>
      <c r="F2447" s="61" t="n">
        <f aca="false">F2446*(Pressupostos!$C$124+Pressupostos!$C$125)</f>
        <v>168967.01010125</v>
      </c>
      <c r="G2447" s="61" t="n">
        <f aca="false">G2446*(Pressupostos!$C$124+Pressupostos!$C$125)</f>
        <v>205626.238928963</v>
      </c>
      <c r="H2447" s="2" t="s">
        <v>1341</v>
      </c>
    </row>
    <row r="2448" customFormat="false" ht="15" hidden="false" customHeight="false" outlineLevel="1" collapsed="false">
      <c r="A2448" s="7" t="s">
        <v>654</v>
      </c>
      <c r="B2448" s="8" t="s">
        <v>11</v>
      </c>
      <c r="C2448" s="61" t="n">
        <f aca="false">C2432*Pressupostos!$C$126*(1+Pressupostos!$C$127)^0</f>
        <v>14000</v>
      </c>
      <c r="D2448" s="61" t="n">
        <f aca="false">D2432*Pressupostos!$C$126*(1+Pressupostos!$C$127)^1</f>
        <v>16480</v>
      </c>
      <c r="E2448" s="61" t="n">
        <f aca="false">E2432*Pressupostos!$C$126*(1+Pressupostos!$C$127)^2</f>
        <v>23339.8</v>
      </c>
      <c r="F2448" s="61" t="n">
        <f aca="false">F2432*Pressupostos!$C$126*(1+Pressupostos!$C$127)^3</f>
        <v>30596.356</v>
      </c>
      <c r="G2448" s="61" t="n">
        <f aca="false">G2432*Pressupostos!$C$126*(1+Pressupostos!$C$127)^4</f>
        <v>38267.29954</v>
      </c>
      <c r="H2448" s="2" t="s">
        <v>1342</v>
      </c>
    </row>
    <row r="2449" customFormat="false" ht="15" hidden="false" customHeight="false" outlineLevel="1" collapsed="false">
      <c r="A2449" s="56" t="s">
        <v>655</v>
      </c>
      <c r="B2449" s="57" t="s">
        <v>11</v>
      </c>
      <c r="C2449" s="62" t="n">
        <f aca="false">C2446+C2447+C2448</f>
        <v>400885.59375</v>
      </c>
      <c r="D2449" s="62" t="n">
        <f aca="false">D2446+D2447+D2448</f>
        <v>508017.8875</v>
      </c>
      <c r="E2449" s="62" t="n">
        <f aca="false">E2446+E2447+E2448</f>
        <v>667701.28525</v>
      </c>
      <c r="F2449" s="62" t="n">
        <f aca="false">F2446+F2447+F2448</f>
        <v>855745.92960125</v>
      </c>
      <c r="G2449" s="62" t="n">
        <f aca="false">G2446+G2447+G2448</f>
        <v>1042442.03916396</v>
      </c>
      <c r="H2449" s="2" t="s">
        <v>1343</v>
      </c>
    </row>
    <row r="2450" customFormat="false" ht="15" hidden="false" customHeight="false" outlineLevel="1" collapsed="false">
      <c r="A2450" s="2" t="s">
        <v>656</v>
      </c>
      <c r="B2450" s="8" t="s">
        <v>11</v>
      </c>
      <c r="C2450" s="61" t="n">
        <f aca="false">IF(C2432&gt;0,C2449/C2432,0)</f>
        <v>57269.3705357143</v>
      </c>
      <c r="D2450" s="61" t="n">
        <f aca="false">IF(D2432&gt;0,D2449/D2432,0)</f>
        <v>63502.2359375</v>
      </c>
      <c r="E2450" s="61" t="n">
        <f aca="false">IF(E2432&gt;0,E2449/E2432,0)</f>
        <v>60700.1168409091</v>
      </c>
      <c r="F2450" s="61" t="n">
        <f aca="false">IF(F2432&gt;0,F2449/F2432,0)</f>
        <v>61124.7092572321</v>
      </c>
      <c r="G2450" s="61" t="n">
        <f aca="false">IF(G2432&gt;0,G2449/G2432,0)</f>
        <v>61320.1199508213</v>
      </c>
      <c r="H2450" s="2" t="s">
        <v>1344</v>
      </c>
    </row>
    <row r="2451" customFormat="false" ht="15" hidden="false" customHeight="false" outlineLevel="0" collapsed="false">
      <c r="A2451" s="3" t="s">
        <v>1345</v>
      </c>
      <c r="B2451" s="4"/>
      <c r="C2451" s="4"/>
      <c r="D2451" s="4"/>
      <c r="E2451" s="4"/>
      <c r="F2451" s="4"/>
      <c r="G2451" s="4"/>
      <c r="H2451" s="4"/>
    </row>
    <row r="2452" customFormat="false" ht="15" hidden="false" customHeight="false" outlineLevel="1" collapsed="false">
      <c r="A2452" s="7" t="s">
        <v>449</v>
      </c>
      <c r="B2452" s="8" t="s">
        <v>11</v>
      </c>
      <c r="C2452" s="61" t="n">
        <f aca="false">Pressupostos!$C$405*(1+Pressupostos!$C$156)*(1+Pressupostos!$C$157)^0</f>
        <v>94500</v>
      </c>
      <c r="D2452" s="61" t="n">
        <f aca="false">Pressupostos!$D$405*(1+Pressupostos!$C$156)*(1+Pressupostos!$C$157)^1</f>
        <v>53550</v>
      </c>
      <c r="E2452" s="61" t="n">
        <f aca="false">Pressupostos!$E$405*(1+Pressupostos!$C$156)*(1+Pressupostos!$C$157)^2</f>
        <v>49158.9</v>
      </c>
      <c r="F2452" s="61" t="n">
        <f aca="false">Pressupostos!$F$405*(1+Pressupostos!$C$156)*(1+Pressupostos!$C$157)^3</f>
        <v>50142.078</v>
      </c>
      <c r="G2452" s="61" t="n">
        <f aca="false">Pressupostos!$G$405*(1+Pressupostos!$C$156)*(1+Pressupostos!$C$157)^4</f>
        <v>51144.91956</v>
      </c>
      <c r="H2452" s="2" t="s">
        <v>1346</v>
      </c>
    </row>
    <row r="2453" customFormat="false" ht="15" hidden="false" customHeight="false" outlineLevel="1" collapsed="false">
      <c r="A2453" s="7" t="s">
        <v>451</v>
      </c>
      <c r="B2453" s="8" t="s">
        <v>11</v>
      </c>
      <c r="C2453" s="61" t="n">
        <f aca="false">Pressupostos!$C$411*(1+Pressupostos!$C$156)*(1+Pressupostos!$C$157)^0</f>
        <v>10500</v>
      </c>
      <c r="D2453" s="61" t="n">
        <f aca="false">Pressupostos!$D$411*(1+Pressupostos!$C$156)*(1+Pressupostos!$C$157)^1</f>
        <v>10710</v>
      </c>
      <c r="E2453" s="61" t="n">
        <f aca="false">Pressupostos!$E$411*(1+Pressupostos!$C$156)*(1+Pressupostos!$C$157)^2</f>
        <v>10924.2</v>
      </c>
      <c r="F2453" s="61" t="n">
        <f aca="false">Pressupostos!$F$411*(1+Pressupostos!$C$156)*(1+Pressupostos!$C$157)^3</f>
        <v>11142.684</v>
      </c>
      <c r="G2453" s="61" t="n">
        <f aca="false">Pressupostos!$G$411*(1+Pressupostos!$C$156)*(1+Pressupostos!$C$157)^4</f>
        <v>11365.53768</v>
      </c>
      <c r="H2453" s="2" t="s">
        <v>1347</v>
      </c>
    </row>
    <row r="2454" customFormat="false" ht="15" hidden="false" customHeight="false" outlineLevel="1" collapsed="false">
      <c r="A2454" s="7" t="s">
        <v>452</v>
      </c>
      <c r="B2454" s="8" t="s">
        <v>11</v>
      </c>
      <c r="C2454" s="61" t="n">
        <f aca="false">Pressupostos!$C$417*(1+Pressupostos!$C$156)*(1+Pressupostos!$C$157)^0</f>
        <v>12600</v>
      </c>
      <c r="D2454" s="61" t="n">
        <f aca="false">Pressupostos!$D$417*(1+Pressupostos!$C$156)*(1+Pressupostos!$C$157)^1</f>
        <v>12852</v>
      </c>
      <c r="E2454" s="61" t="n">
        <f aca="false">Pressupostos!$E$417*(1+Pressupostos!$C$156)*(1+Pressupostos!$C$157)^2</f>
        <v>13109.04</v>
      </c>
      <c r="F2454" s="61" t="n">
        <f aca="false">Pressupostos!$F$417*(1+Pressupostos!$C$156)*(1+Pressupostos!$C$157)^3</f>
        <v>0</v>
      </c>
      <c r="G2454" s="61" t="n">
        <f aca="false">Pressupostos!$G$417*(1+Pressupostos!$C$156)*(1+Pressupostos!$C$157)^4</f>
        <v>0</v>
      </c>
      <c r="H2454" s="2" t="s">
        <v>1348</v>
      </c>
    </row>
    <row r="2455" customFormat="false" ht="15" hidden="false" customHeight="false" outlineLevel="1" collapsed="false">
      <c r="A2455" s="7" t="s">
        <v>454</v>
      </c>
      <c r="B2455" s="8" t="s">
        <v>11</v>
      </c>
      <c r="C2455" s="61" t="n">
        <f aca="false">Pressupostos!$C$423*(1+Pressupostos!$C$156)*(1+Pressupostos!$C$157)^0</f>
        <v>31500</v>
      </c>
      <c r="D2455" s="61" t="n">
        <f aca="false">Pressupostos!$D$423*(1+Pressupostos!$C$156)*(1+Pressupostos!$C$157)^1</f>
        <v>42840</v>
      </c>
      <c r="E2455" s="61" t="n">
        <f aca="false">Pressupostos!$E$423*(1+Pressupostos!$C$156)*(1+Pressupostos!$C$157)^2</f>
        <v>60083.1</v>
      </c>
      <c r="F2455" s="61" t="n">
        <f aca="false">Pressupostos!$F$423*(1+Pressupostos!$C$156)*(1+Pressupostos!$C$157)^3</f>
        <v>77998.788</v>
      </c>
      <c r="G2455" s="61" t="n">
        <f aca="false">Pressupostos!$G$423*(1+Pressupostos!$C$156)*(1+Pressupostos!$C$157)^4</f>
        <v>96607.07028</v>
      </c>
      <c r="H2455" s="2" t="s">
        <v>1349</v>
      </c>
    </row>
    <row r="2456" customFormat="false" ht="15" hidden="false" customHeight="false" outlineLevel="1" collapsed="false">
      <c r="A2456" s="7" t="s">
        <v>456</v>
      </c>
      <c r="B2456" s="8" t="s">
        <v>11</v>
      </c>
      <c r="C2456" s="61" t="n">
        <f aca="false">Pressupostos!$C$429*(1+Pressupostos!$C$156)*(1+Pressupostos!$C$157)^0</f>
        <v>15750</v>
      </c>
      <c r="D2456" s="61" t="n">
        <f aca="false">Pressupostos!$D$429*(1+Pressupostos!$C$156)*(1+Pressupostos!$C$157)^1</f>
        <v>16065</v>
      </c>
      <c r="E2456" s="61" t="n">
        <f aca="false">Pressupostos!$E$429*(1+Pressupostos!$C$156)*(1+Pressupostos!$C$157)^2</f>
        <v>38234.7</v>
      </c>
      <c r="F2456" s="61" t="n">
        <f aca="false">Pressupostos!$F$429*(1+Pressupostos!$C$156)*(1+Pressupostos!$C$157)^3</f>
        <v>22285.368</v>
      </c>
      <c r="G2456" s="61" t="n">
        <f aca="false">Pressupostos!$G$429*(1+Pressupostos!$C$156)*(1+Pressupostos!$C$157)^4</f>
        <v>22731.07536</v>
      </c>
      <c r="H2456" s="2" t="s">
        <v>1350</v>
      </c>
    </row>
    <row r="2457" customFormat="false" ht="15" hidden="false" customHeight="false" outlineLevel="1" collapsed="false">
      <c r="A2457" s="7" t="s">
        <v>458</v>
      </c>
      <c r="B2457" s="8" t="s">
        <v>11</v>
      </c>
      <c r="C2457" s="61" t="n">
        <f aca="false">Pressupostos!$C$435*(1+Pressupostos!$C$156)*(1+Pressupostos!$C$157)^0</f>
        <v>10500</v>
      </c>
      <c r="D2457" s="61" t="n">
        <f aca="false">Pressupostos!$D$435*(1+Pressupostos!$C$156)*(1+Pressupostos!$C$157)^1</f>
        <v>12852</v>
      </c>
      <c r="E2457" s="61" t="n">
        <f aca="false">Pressupostos!$E$435*(1+Pressupostos!$C$156)*(1+Pressupostos!$C$157)^2</f>
        <v>16386.3</v>
      </c>
      <c r="F2457" s="61" t="n">
        <f aca="false">Pressupostos!$F$435*(1+Pressupostos!$C$156)*(1+Pressupostos!$C$157)^3</f>
        <v>20056.8312</v>
      </c>
      <c r="G2457" s="61" t="n">
        <f aca="false">Pressupostos!$G$435*(1+Pressupostos!$C$156)*(1+Pressupostos!$C$157)^4</f>
        <v>22731.07536</v>
      </c>
      <c r="H2457" s="2" t="s">
        <v>1351</v>
      </c>
    </row>
    <row r="2458" customFormat="false" ht="15" hidden="false" customHeight="false" outlineLevel="1" collapsed="false">
      <c r="A2458" s="7" t="s">
        <v>459</v>
      </c>
      <c r="B2458" s="8" t="s">
        <v>11</v>
      </c>
      <c r="C2458" s="61" t="n">
        <f aca="false">Pressupostos!$C$441*(1+Pressupostos!$C$156)*(1+Pressupostos!$C$157)^0</f>
        <v>42000</v>
      </c>
      <c r="D2458" s="61" t="n">
        <f aca="false">Pressupostos!$D$441*(1+Pressupostos!$C$156)*(1+Pressupostos!$C$157)^1</f>
        <v>53550</v>
      </c>
      <c r="E2458" s="61" t="n">
        <f aca="false">Pressupostos!$E$441*(1+Pressupostos!$C$156)*(1+Pressupostos!$C$157)^2</f>
        <v>76469.4</v>
      </c>
      <c r="F2458" s="61" t="n">
        <f aca="false">Pressupostos!$F$441*(1+Pressupostos!$C$156)*(1+Pressupostos!$C$157)^3</f>
        <v>100284.156</v>
      </c>
      <c r="G2458" s="61" t="n">
        <f aca="false">Pressupostos!$G$441*(1+Pressupostos!$C$156)*(1+Pressupostos!$C$157)^4</f>
        <v>125020.91448</v>
      </c>
      <c r="H2458" s="2" t="s">
        <v>1352</v>
      </c>
    </row>
    <row r="2459" customFormat="false" ht="15" hidden="false" customHeight="false" outlineLevel="1" collapsed="false">
      <c r="A2459" s="7" t="s">
        <v>461</v>
      </c>
      <c r="B2459" s="8" t="s">
        <v>11</v>
      </c>
      <c r="C2459" s="61" t="n">
        <f aca="false">Pressupostos!$C$447*(1+Pressupostos!$C$156)*(1+Pressupostos!$C$157)^0</f>
        <v>12600</v>
      </c>
      <c r="D2459" s="61" t="n">
        <f aca="false">Pressupostos!$D$447*(1+Pressupostos!$C$156)*(1+Pressupostos!$C$157)^1</f>
        <v>16065</v>
      </c>
      <c r="E2459" s="61" t="n">
        <f aca="false">Pressupostos!$E$447*(1+Pressupostos!$C$156)*(1+Pressupostos!$C$157)^2</f>
        <v>26218.08</v>
      </c>
      <c r="F2459" s="61" t="n">
        <f aca="false">Pressupostos!$F$447*(1+Pressupostos!$C$156)*(1+Pressupostos!$C$157)^3</f>
        <v>33428.052</v>
      </c>
      <c r="G2459" s="61" t="n">
        <f aca="false">Pressupostos!$G$447*(1+Pressupostos!$C$156)*(1+Pressupostos!$C$157)^4</f>
        <v>40915.935648</v>
      </c>
      <c r="H2459" s="2" t="s">
        <v>1353</v>
      </c>
    </row>
    <row r="2460" customFormat="false" ht="15" hidden="false" customHeight="false" outlineLevel="1" collapsed="false">
      <c r="A2460" s="7" t="s">
        <v>463</v>
      </c>
      <c r="B2460" s="8" t="s">
        <v>11</v>
      </c>
      <c r="C2460" s="61" t="n">
        <f aca="false">Pressupostos!$C$453*(1+Pressupostos!$C$156)*(1+Pressupostos!$C$157)^0</f>
        <v>18900</v>
      </c>
      <c r="D2460" s="61" t="n">
        <f aca="false">Pressupostos!$D$453*(1+Pressupostos!$C$156)*(1+Pressupostos!$C$157)^1</f>
        <v>23562</v>
      </c>
      <c r="E2460" s="61" t="n">
        <f aca="false">Pressupostos!$E$453*(1+Pressupostos!$C$156)*(1+Pressupostos!$C$157)^2</f>
        <v>32772.6</v>
      </c>
      <c r="F2460" s="61" t="n">
        <f aca="false">Pressupostos!$F$453*(1+Pressupostos!$C$156)*(1+Pressupostos!$C$157)^3</f>
        <v>42342.1992</v>
      </c>
      <c r="G2460" s="61" t="n">
        <f aca="false">Pressupostos!$G$453*(1+Pressupostos!$C$156)*(1+Pressupostos!$C$157)^4</f>
        <v>51144.91956</v>
      </c>
      <c r="H2460" s="2" t="s">
        <v>1354</v>
      </c>
    </row>
    <row r="2461" customFormat="false" ht="15" hidden="false" customHeight="false" outlineLevel="1" collapsed="false">
      <c r="A2461" s="7" t="s">
        <v>464</v>
      </c>
      <c r="B2461" s="8" t="s">
        <v>11</v>
      </c>
      <c r="C2461" s="61" t="n">
        <f aca="false">Pressupostos!$C$459*(1+Pressupostos!$C$156)*(1+Pressupostos!$C$157)^0</f>
        <v>5250</v>
      </c>
      <c r="D2461" s="61" t="n">
        <f aca="false">Pressupostos!$D$459*(1+Pressupostos!$C$156)*(1+Pressupostos!$C$157)^1</f>
        <v>8568</v>
      </c>
      <c r="E2461" s="61" t="n">
        <f aca="false">Pressupostos!$E$459*(1+Pressupostos!$C$156)*(1+Pressupostos!$C$157)^2</f>
        <v>13109.04</v>
      </c>
      <c r="F2461" s="61" t="n">
        <f aca="false">Pressupostos!$F$459*(1+Pressupostos!$C$156)*(1+Pressupostos!$C$157)^3</f>
        <v>16714.026</v>
      </c>
      <c r="G2461" s="61" t="n">
        <f aca="false">Pressupostos!$G$459*(1+Pressupostos!$C$156)*(1+Pressupostos!$C$157)^4</f>
        <v>17048.30652</v>
      </c>
      <c r="H2461" s="2" t="s">
        <v>1355</v>
      </c>
    </row>
    <row r="2462" customFormat="false" ht="15" hidden="false" customHeight="false" outlineLevel="1" collapsed="false">
      <c r="A2462" s="7" t="s">
        <v>701</v>
      </c>
      <c r="B2462" s="8" t="s">
        <v>11</v>
      </c>
      <c r="C2462" s="61" t="n">
        <f aca="false">C2452+C2453+C2454+C2455+C2456+C2457+C2458+C2459+C2460+C2461</f>
        <v>254100</v>
      </c>
      <c r="D2462" s="61" t="n">
        <f aca="false">D2452+D2453+D2454+D2455+D2456+D2457+D2458+D2459+D2460+D2461</f>
        <v>250614</v>
      </c>
      <c r="E2462" s="61" t="n">
        <f aca="false">E2452+E2453+E2454+E2455+E2456+E2457+E2458+E2459+E2460+E2461</f>
        <v>336465.36</v>
      </c>
      <c r="F2462" s="61" t="n">
        <f aca="false">F2452+F2453+F2454+F2455+F2456+F2457+F2458+F2459+F2460+F2461</f>
        <v>374394.1824</v>
      </c>
      <c r="G2462" s="61" t="n">
        <f aca="false">G2452+G2453+G2454+G2455+G2456+G2457+G2458+G2459+G2460+G2461</f>
        <v>438709.754448</v>
      </c>
      <c r="H2462" s="2" t="s">
        <v>1356</v>
      </c>
    </row>
    <row r="2463" customFormat="false" ht="15" hidden="false" customHeight="false" outlineLevel="1" collapsed="false">
      <c r="A2463" s="7" t="s">
        <v>702</v>
      </c>
      <c r="B2463" s="8" t="s">
        <v>11</v>
      </c>
      <c r="C2463" s="61" t="n">
        <f aca="false">Pressupostos!$C$114+Pressupostos!$C$115+Pressupostos!$C$116*Pressupostos!$C$294+Pressupostos!$C$466+Pressupostos!$C$306</f>
        <v>65000</v>
      </c>
      <c r="D2463" s="61" t="n">
        <f aca="false">Pressupostos!$C$115+Pressupostos!$C$116*Pressupostos!$D$294+Pressupostos!$D$466+Pressupostos!$D$306</f>
        <v>65000</v>
      </c>
      <c r="E2463" s="61" t="n">
        <f aca="false">Pressupostos!$C$115+Pressupostos!$C$116*Pressupostos!$E$294+Pressupostos!$E$466+Pressupostos!$E$306</f>
        <v>70000</v>
      </c>
      <c r="F2463" s="61" t="n">
        <f aca="false">Pressupostos!$C$115+Pressupostos!$C$116*Pressupostos!$F$294+Pressupostos!$F$466+Pressupostos!$F$306</f>
        <v>75000</v>
      </c>
      <c r="G2463" s="61" t="n">
        <f aca="false">Pressupostos!$C$115+Pressupostos!$C$116*Pressupostos!$G$294+Pressupostos!$G$466+Pressupostos!$G$306</f>
        <v>80000</v>
      </c>
      <c r="H2463" s="2" t="s">
        <v>1357</v>
      </c>
    </row>
    <row r="2464" customFormat="false" ht="15" hidden="false" customHeight="false" outlineLevel="1" collapsed="false">
      <c r="A2464" s="7" t="s">
        <v>703</v>
      </c>
      <c r="B2464" s="8" t="s">
        <v>11</v>
      </c>
      <c r="C2464" s="61" t="n">
        <f aca="false">IF(C2276&lt;Pressupostos!$C$120,0,MAX(Pressupostos!$C$300,Pressupostos!$C$118*(C2370+C2371)+Pressupostos!$C$119*C2372))</f>
        <v>0</v>
      </c>
      <c r="D2464" s="61" t="n">
        <f aca="false">IF(D2276&lt;Pressupostos!$C$120,0,MAX(Pressupostos!$D$300,Pressupostos!$C$118*(D2370+D2371)+Pressupostos!$C$119*D2372))</f>
        <v>4948.146</v>
      </c>
      <c r="E2464" s="61" t="n">
        <f aca="false">IF(E2276&lt;Pressupostos!$C$120,0,MAX(Pressupostos!$E$300,Pressupostos!$C$118*(E2370+E2371)+Pressupostos!$C$119*E2372))</f>
        <v>10626.714</v>
      </c>
      <c r="F2464" s="61" t="n">
        <f aca="false">IF(F2276&lt;Pressupostos!$C$120,0,MAX(Pressupostos!$F$300,Pressupostos!$C$118*(F2370+F2371)+Pressupostos!$C$119*F2372))</f>
        <v>18210.486</v>
      </c>
      <c r="G2464" s="61" t="n">
        <f aca="false">IF(G2276&lt;Pressupostos!$C$120,0,MAX(Pressupostos!$G$300,Pressupostos!$C$118*(G2370+G2371)+Pressupostos!$C$119*G2372))</f>
        <v>27639.78</v>
      </c>
      <c r="H2464" s="2" t="s">
        <v>1358</v>
      </c>
    </row>
    <row r="2465" customFormat="false" ht="15" hidden="false" customHeight="false" outlineLevel="1" collapsed="false">
      <c r="A2465" s="56" t="s">
        <v>704</v>
      </c>
      <c r="B2465" s="57" t="s">
        <v>11</v>
      </c>
      <c r="C2465" s="62" t="n">
        <f aca="false">C2462+C2463+C2464</f>
        <v>319100</v>
      </c>
      <c r="D2465" s="62" t="n">
        <f aca="false">D2462+D2463+D2464</f>
        <v>320562.146</v>
      </c>
      <c r="E2465" s="62" t="n">
        <f aca="false">E2462+E2463+E2464</f>
        <v>417092.074</v>
      </c>
      <c r="F2465" s="62" t="n">
        <f aca="false">F2462+F2463+F2464</f>
        <v>467604.6684</v>
      </c>
      <c r="G2465" s="62" t="n">
        <f aca="false">G2462+G2463+G2464</f>
        <v>546349.534448</v>
      </c>
      <c r="H2465" s="2" t="s">
        <v>1359</v>
      </c>
    </row>
    <row r="2466" customFormat="false" ht="15" hidden="false" customHeight="false" outlineLevel="0" collapsed="false">
      <c r="A2466" s="3" t="s">
        <v>1360</v>
      </c>
      <c r="B2466" s="4"/>
      <c r="C2466" s="4"/>
      <c r="D2466" s="4"/>
      <c r="E2466" s="4"/>
      <c r="F2466" s="4"/>
      <c r="G2466" s="4"/>
      <c r="H2466" s="4"/>
    </row>
    <row r="2467" customFormat="false" ht="15" hidden="false" customHeight="false" outlineLevel="1" collapsed="false">
      <c r="A2467" s="7" t="s">
        <v>706</v>
      </c>
      <c r="B2467" s="8" t="s">
        <v>11</v>
      </c>
      <c r="C2467" s="61" t="n">
        <f aca="false">Pressupostos!$C$165*Pressupostos!$C$313</f>
        <v>18000</v>
      </c>
      <c r="D2467" s="61" t="n">
        <f aca="false">Pressupostos!$C$165*Pressupostos!$D$313</f>
        <v>12000</v>
      </c>
      <c r="E2467" s="61" t="n">
        <f aca="false">Pressupostos!$C$165*Pressupostos!$E$313</f>
        <v>12000</v>
      </c>
      <c r="F2467" s="61" t="n">
        <f aca="false">Pressupostos!$C$165*Pressupostos!$F$313</f>
        <v>12000</v>
      </c>
      <c r="G2467" s="61" t="n">
        <f aca="false">Pressupostos!$C$165*Pressupostos!$G$313</f>
        <v>12000</v>
      </c>
      <c r="H2467" s="2" t="s">
        <v>1361</v>
      </c>
    </row>
    <row r="2468" customFormat="false" ht="15" hidden="false" customHeight="false" outlineLevel="1" collapsed="false">
      <c r="A2468" s="7" t="s">
        <v>707</v>
      </c>
      <c r="B2468" s="8" t="s">
        <v>11</v>
      </c>
      <c r="C2468" s="53" t="n">
        <f aca="false">Pressupostos!$C$319</f>
        <v>60000</v>
      </c>
      <c r="D2468" s="53" t="n">
        <f aca="false">Pressupostos!$D$319</f>
        <v>15000</v>
      </c>
      <c r="E2468" s="53" t="n">
        <f aca="false">Pressupostos!$E$319</f>
        <v>15000</v>
      </c>
      <c r="F2468" s="53" t="n">
        <f aca="false">Pressupostos!$F$319</f>
        <v>10000</v>
      </c>
      <c r="G2468" s="53" t="n">
        <f aca="false">Pressupostos!$G$319</f>
        <v>10000</v>
      </c>
      <c r="H2468" s="2" t="s">
        <v>1362</v>
      </c>
    </row>
    <row r="2469" customFormat="false" ht="15" hidden="false" customHeight="false" outlineLevel="1" collapsed="false">
      <c r="A2469" s="7" t="s">
        <v>708</v>
      </c>
      <c r="B2469" s="8" t="s">
        <v>11</v>
      </c>
      <c r="C2469" s="53" t="n">
        <f aca="false">Pressupostos!$C$325</f>
        <v>0</v>
      </c>
      <c r="D2469" s="53" t="n">
        <f aca="false">Pressupostos!$D$325</f>
        <v>15000</v>
      </c>
      <c r="E2469" s="53" t="n">
        <f aca="false">Pressupostos!$E$325</f>
        <v>15000</v>
      </c>
      <c r="F2469" s="53" t="n">
        <f aca="false">Pressupostos!$F$325</f>
        <v>10000</v>
      </c>
      <c r="G2469" s="53" t="n">
        <f aca="false">Pressupostos!$G$325</f>
        <v>10000</v>
      </c>
      <c r="H2469" s="2" t="s">
        <v>1363</v>
      </c>
    </row>
    <row r="2470" customFormat="false" ht="15" hidden="false" customHeight="false" outlineLevel="1" collapsed="false">
      <c r="A2470" s="7" t="s">
        <v>709</v>
      </c>
      <c r="B2470" s="8" t="s">
        <v>11</v>
      </c>
      <c r="C2470" s="61" t="n">
        <f aca="false">Pressupostos!$C$166*MAX(0,C2432)</f>
        <v>14000</v>
      </c>
      <c r="D2470" s="61" t="n">
        <f aca="false">Pressupostos!$C$166*MAX(0,D2432-C2432)</f>
        <v>2000</v>
      </c>
      <c r="E2470" s="61" t="n">
        <f aca="false">Pressupostos!$C$166*MAX(0,E2432-D2432)</f>
        <v>6000</v>
      </c>
      <c r="F2470" s="61" t="n">
        <f aca="false">Pressupostos!$C$166*MAX(0,F2432-E2432)</f>
        <v>6000</v>
      </c>
      <c r="G2470" s="61" t="n">
        <f aca="false">Pressupostos!$C$166*MAX(0,G2432-F2432)</f>
        <v>6000</v>
      </c>
      <c r="H2470" s="2" t="s">
        <v>1364</v>
      </c>
    </row>
    <row r="2471" customFormat="false" ht="15" hidden="false" customHeight="false" outlineLevel="1" collapsed="false">
      <c r="A2471" s="7" t="s">
        <v>424</v>
      </c>
      <c r="B2471" s="8" t="s">
        <v>11</v>
      </c>
      <c r="C2471" s="61" t="n">
        <f aca="false">C2467+C2468+C2469+C2470</f>
        <v>92000</v>
      </c>
      <c r="D2471" s="61" t="n">
        <f aca="false">D2467+D2468+D2469+D2470</f>
        <v>44000</v>
      </c>
      <c r="E2471" s="61" t="n">
        <f aca="false">E2467+E2468+E2469+E2470</f>
        <v>48000</v>
      </c>
      <c r="F2471" s="61" t="n">
        <f aca="false">F2467+F2468+F2469+F2470</f>
        <v>38000</v>
      </c>
      <c r="G2471" s="61" t="n">
        <f aca="false">G2467+G2468+G2469+G2470</f>
        <v>38000</v>
      </c>
      <c r="H2471" s="2" t="s">
        <v>1365</v>
      </c>
    </row>
    <row r="2472" customFormat="false" ht="15" hidden="false" customHeight="false" outlineLevel="1" collapsed="false">
      <c r="A2472" s="7" t="s">
        <v>710</v>
      </c>
      <c r="B2472" s="8" t="s">
        <v>11</v>
      </c>
      <c r="C2472" s="61" t="n">
        <f aca="false">(C2468*((0)&lt;Pressupostos!$C$167))/Pressupostos!$C$167</f>
        <v>20000</v>
      </c>
      <c r="D2472" s="61" t="n">
        <f aca="false">(C2468*((1)&lt;Pressupostos!$C$167)+D2468*((0)&lt;Pressupostos!$C$167))/Pressupostos!$C$167</f>
        <v>25000</v>
      </c>
      <c r="E2472" s="61" t="n">
        <f aca="false">(C2468*((2)&lt;Pressupostos!$C$167)+D2468*((1)&lt;Pressupostos!$C$167)+E2468*((0)&lt;Pressupostos!$C$167))/Pressupostos!$C$167</f>
        <v>30000</v>
      </c>
      <c r="F2472" s="61" t="n">
        <f aca="false">(C2468*((3)&lt;Pressupostos!$C$167)+D2468*((2)&lt;Pressupostos!$C$167)+E2468*((1)&lt;Pressupostos!$C$167)+F2468*((0)&lt;Pressupostos!$C$167))/Pressupostos!$C$167</f>
        <v>13333.3333333333</v>
      </c>
      <c r="G2472" s="61" t="n">
        <f aca="false">(C2468*((4)&lt;Pressupostos!$C$167)+D2468*((3)&lt;Pressupostos!$C$167)+E2468*((2)&lt;Pressupostos!$C$167)+F2468*((1)&lt;Pressupostos!$C$167)+G2468*((0)&lt;Pressupostos!$C$167))/Pressupostos!$C$167</f>
        <v>11666.6666666667</v>
      </c>
      <c r="H2472" s="2" t="s">
        <v>1366</v>
      </c>
    </row>
    <row r="2473" customFormat="false" ht="15" hidden="false" customHeight="false" outlineLevel="1" collapsed="false">
      <c r="A2473" s="7" t="s">
        <v>711</v>
      </c>
      <c r="B2473" s="8" t="s">
        <v>11</v>
      </c>
      <c r="C2473" s="61" t="n">
        <f aca="false">(C2469*((0)&lt;Pressupostos!$C$167))/Pressupostos!$C$167</f>
        <v>0</v>
      </c>
      <c r="D2473" s="61" t="n">
        <f aca="false">(C2469*((1)&lt;Pressupostos!$C$167)+D2469*((0)&lt;Pressupostos!$C$167))/Pressupostos!$C$167</f>
        <v>5000</v>
      </c>
      <c r="E2473" s="61" t="n">
        <f aca="false">(C2469*((2)&lt;Pressupostos!$C$167)+D2469*((1)&lt;Pressupostos!$C$167)+E2469*((0)&lt;Pressupostos!$C$167))/Pressupostos!$C$167</f>
        <v>10000</v>
      </c>
      <c r="F2473" s="61" t="n">
        <f aca="false">(C2469*((3)&lt;Pressupostos!$C$167)+D2469*((2)&lt;Pressupostos!$C$167)+E2469*((1)&lt;Pressupostos!$C$167)+F2469*((0)&lt;Pressupostos!$C$167))/Pressupostos!$C$167</f>
        <v>13333.3333333333</v>
      </c>
      <c r="G2473" s="61" t="n">
        <f aca="false">(C2469*((4)&lt;Pressupostos!$C$167)+D2469*((3)&lt;Pressupostos!$C$167)+E2469*((2)&lt;Pressupostos!$C$167)+F2469*((1)&lt;Pressupostos!$C$167)+G2469*((0)&lt;Pressupostos!$C$167))/Pressupostos!$C$167</f>
        <v>11666.6666666667</v>
      </c>
      <c r="H2473" s="2" t="s">
        <v>1367</v>
      </c>
    </row>
    <row r="2474" customFormat="false" ht="15" hidden="false" customHeight="false" outlineLevel="1" collapsed="false">
      <c r="A2474" s="7" t="s">
        <v>712</v>
      </c>
      <c r="B2474" s="8" t="s">
        <v>11</v>
      </c>
      <c r="C2474" s="61" t="n">
        <f aca="false">(C2467*((0)&lt;Pressupostos!$C$169))/Pressupostos!$C$169</f>
        <v>3600</v>
      </c>
      <c r="D2474" s="61" t="n">
        <f aca="false">(C2467*((1)&lt;Pressupostos!$C$169)+D2467*((0)&lt;Pressupostos!$C$169))/Pressupostos!$C$169</f>
        <v>6000</v>
      </c>
      <c r="E2474" s="61" t="n">
        <f aca="false">(C2467*((2)&lt;Pressupostos!$C$169)+D2467*((1)&lt;Pressupostos!$C$169)+E2467*((0)&lt;Pressupostos!$C$169))/Pressupostos!$C$169</f>
        <v>8400</v>
      </c>
      <c r="F2474" s="61" t="n">
        <f aca="false">(C2467*((3)&lt;Pressupostos!$C$169)+D2467*((2)&lt;Pressupostos!$C$169)+E2467*((1)&lt;Pressupostos!$C$169)+F2467*((0)&lt;Pressupostos!$C$169))/Pressupostos!$C$169</f>
        <v>10800</v>
      </c>
      <c r="G2474" s="61" t="n">
        <f aca="false">(C2467*((4)&lt;Pressupostos!$C$169)+D2467*((3)&lt;Pressupostos!$C$169)+E2467*((2)&lt;Pressupostos!$C$169)+F2467*((1)&lt;Pressupostos!$C$169)+G2467*((0)&lt;Pressupostos!$C$169))/Pressupostos!$C$169</f>
        <v>13200</v>
      </c>
      <c r="H2474" s="2" t="s">
        <v>1368</v>
      </c>
    </row>
    <row r="2475" customFormat="false" ht="15" hidden="false" customHeight="false" outlineLevel="1" collapsed="false">
      <c r="A2475" s="7" t="s">
        <v>713</v>
      </c>
      <c r="B2475" s="8" t="s">
        <v>11</v>
      </c>
      <c r="C2475" s="61" t="n">
        <f aca="false">(C2470*((0)&lt;Pressupostos!$C$168))/Pressupostos!$C$168</f>
        <v>3500</v>
      </c>
      <c r="D2475" s="61" t="n">
        <f aca="false">(C2470*((1)&lt;Pressupostos!$C$168)+D2470*((0)&lt;Pressupostos!$C$168))/Pressupostos!$C$168</f>
        <v>4000</v>
      </c>
      <c r="E2475" s="61" t="n">
        <f aca="false">(C2470*((2)&lt;Pressupostos!$C$168)+D2470*((1)&lt;Pressupostos!$C$168)+E2470*((0)&lt;Pressupostos!$C$168))/Pressupostos!$C$168</f>
        <v>5500</v>
      </c>
      <c r="F2475" s="61" t="n">
        <f aca="false">(C2470*((3)&lt;Pressupostos!$C$168)+D2470*((2)&lt;Pressupostos!$C$168)+E2470*((1)&lt;Pressupostos!$C$168)+F2470*((0)&lt;Pressupostos!$C$168))/Pressupostos!$C$168</f>
        <v>7000</v>
      </c>
      <c r="G2475" s="61" t="n">
        <f aca="false">(C2470*((4)&lt;Pressupostos!$C$168)+D2470*((3)&lt;Pressupostos!$C$168)+E2470*((2)&lt;Pressupostos!$C$168)+F2470*((1)&lt;Pressupostos!$C$168)+G2470*((0)&lt;Pressupostos!$C$168))/Pressupostos!$C$168</f>
        <v>5000</v>
      </c>
      <c r="H2475" s="2" t="s">
        <v>1369</v>
      </c>
    </row>
    <row r="2476" customFormat="false" ht="15" hidden="false" customHeight="false" outlineLevel="1" collapsed="false">
      <c r="A2476" s="7" t="s">
        <v>714</v>
      </c>
      <c r="B2476" s="8" t="s">
        <v>11</v>
      </c>
      <c r="C2476" s="61" t="n">
        <f aca="false">C2472+C2473+C2474+C2475</f>
        <v>27100</v>
      </c>
      <c r="D2476" s="61" t="n">
        <f aca="false">D2472+D2473+D2474+D2475</f>
        <v>40000</v>
      </c>
      <c r="E2476" s="61" t="n">
        <f aca="false">E2472+E2473+E2474+E2475</f>
        <v>53900</v>
      </c>
      <c r="F2476" s="61" t="n">
        <f aca="false">F2472+F2473+F2474+F2475</f>
        <v>44466.6666666667</v>
      </c>
      <c r="G2476" s="61" t="n">
        <f aca="false">G2472+G2473+G2474+G2475</f>
        <v>41533.3333333333</v>
      </c>
      <c r="H2476" s="2" t="s">
        <v>1370</v>
      </c>
    </row>
    <row r="2477" customFormat="false" ht="15" hidden="false" customHeight="false" outlineLevel="0" collapsed="false">
      <c r="A2477" s="3" t="s">
        <v>1371</v>
      </c>
      <c r="B2477" s="4"/>
      <c r="C2477" s="4"/>
      <c r="D2477" s="4"/>
      <c r="E2477" s="4"/>
      <c r="F2477" s="4"/>
      <c r="G2477" s="4"/>
      <c r="H2477" s="4"/>
    </row>
    <row r="2478" customFormat="false" ht="15" hidden="false" customHeight="false" outlineLevel="1" collapsed="false">
      <c r="A2478" s="56" t="s">
        <v>718</v>
      </c>
      <c r="B2478" s="57" t="s">
        <v>11</v>
      </c>
      <c r="C2478" s="62" t="n">
        <f aca="false">C2380</f>
        <v>187383</v>
      </c>
      <c r="D2478" s="62" t="n">
        <f aca="false">D2380</f>
        <v>1249304.5</v>
      </c>
      <c r="E2478" s="62" t="n">
        <f aca="false">E2380</f>
        <v>2855308.5</v>
      </c>
      <c r="F2478" s="62" t="n">
        <f aca="false">F2380</f>
        <v>4957613.5</v>
      </c>
      <c r="G2478" s="62" t="n">
        <f aca="false">G2380</f>
        <v>7596249</v>
      </c>
      <c r="H2478" s="2" t="s">
        <v>1372</v>
      </c>
    </row>
    <row r="2479" customFormat="false" ht="15" hidden="false" customHeight="false" outlineLevel="1" collapsed="false">
      <c r="A2479" s="7" t="s">
        <v>688</v>
      </c>
      <c r="B2479" s="8" t="s">
        <v>11</v>
      </c>
      <c r="C2479" s="61" t="n">
        <f aca="false">-C2403</f>
        <v>-170660</v>
      </c>
      <c r="D2479" s="61" t="n">
        <f aca="false">-D2403</f>
        <v>-1136590</v>
      </c>
      <c r="E2479" s="61" t="n">
        <f aca="false">-E2403</f>
        <v>-2566060</v>
      </c>
      <c r="F2479" s="61" t="n">
        <f aca="false">-F2403</f>
        <v>-4423440</v>
      </c>
      <c r="G2479" s="61" t="n">
        <f aca="false">-G2403</f>
        <v>-6755700</v>
      </c>
      <c r="H2479" s="2" t="s">
        <v>1373</v>
      </c>
    </row>
    <row r="2480" customFormat="false" ht="15" hidden="false" customHeight="false" outlineLevel="1" collapsed="false">
      <c r="A2480" s="56" t="s">
        <v>719</v>
      </c>
      <c r="B2480" s="57" t="s">
        <v>11</v>
      </c>
      <c r="C2480" s="62" t="n">
        <f aca="false">C2478+C2479</f>
        <v>16723</v>
      </c>
      <c r="D2480" s="62" t="n">
        <f aca="false">D2478+D2479</f>
        <v>112714.5</v>
      </c>
      <c r="E2480" s="62" t="n">
        <f aca="false">E2478+E2479</f>
        <v>289248.5</v>
      </c>
      <c r="F2480" s="62" t="n">
        <f aca="false">F2478+F2479</f>
        <v>534173.499999999</v>
      </c>
      <c r="G2480" s="62" t="n">
        <f aca="false">G2478+G2479</f>
        <v>840549</v>
      </c>
      <c r="H2480" s="2" t="s">
        <v>1374</v>
      </c>
    </row>
    <row r="2481" customFormat="false" ht="15" hidden="false" customHeight="false" outlineLevel="1" collapsed="false">
      <c r="A2481" s="2" t="s">
        <v>720</v>
      </c>
      <c r="B2481" s="8" t="s">
        <v>76</v>
      </c>
      <c r="C2481" s="59" t="n">
        <f aca="false">IF(C2478&gt;0,C2480/C2478,0)</f>
        <v>0.0892450222272031</v>
      </c>
      <c r="D2481" s="59" t="n">
        <f aca="false">IF(D2478&gt;0,D2480/D2478,0)</f>
        <v>0.0902217994091913</v>
      </c>
      <c r="E2481" s="59" t="n">
        <f aca="false">IF(E2478&gt;0,E2480/E2478,0)</f>
        <v>0.101302013425169</v>
      </c>
      <c r="F2481" s="59" t="n">
        <f aca="false">IF(F2478&gt;0,F2480/F2478,0)</f>
        <v>0.107748113079004</v>
      </c>
      <c r="G2481" s="59" t="n">
        <f aca="false">IF(G2478&gt;0,G2480/G2478,0)</f>
        <v>0.110653165792749</v>
      </c>
      <c r="H2481" s="2" t="s">
        <v>1375</v>
      </c>
    </row>
    <row r="2482" customFormat="false" ht="15" hidden="false" customHeight="false" outlineLevel="1" collapsed="false">
      <c r="A2482" s="7" t="s">
        <v>721</v>
      </c>
      <c r="B2482" s="8" t="s">
        <v>11</v>
      </c>
      <c r="C2482" s="61" t="n">
        <f aca="false">-C2414</f>
        <v>-10739.3006575342</v>
      </c>
      <c r="D2482" s="61" t="n">
        <f aca="false">-D2414</f>
        <v>-75360.1196751468</v>
      </c>
      <c r="E2482" s="61" t="n">
        <f aca="false">-E2414</f>
        <v>-176908.097272016</v>
      </c>
      <c r="F2482" s="61" t="n">
        <f aca="false">-F2414</f>
        <v>-318302.262023483</v>
      </c>
      <c r="G2482" s="61" t="n">
        <f aca="false">-G2414</f>
        <v>-492896.497299413</v>
      </c>
      <c r="H2482" s="2" t="s">
        <v>1376</v>
      </c>
    </row>
    <row r="2483" customFormat="false" ht="15" hidden="false" customHeight="false" outlineLevel="1" collapsed="false">
      <c r="A2483" s="7" t="s">
        <v>698</v>
      </c>
      <c r="B2483" s="8" t="s">
        <v>11</v>
      </c>
      <c r="C2483" s="61" t="n">
        <f aca="false">-C2417</f>
        <v>-0</v>
      </c>
      <c r="D2483" s="61" t="n">
        <f aca="false">-D2417</f>
        <v>-16321.9191780822</v>
      </c>
      <c r="E2483" s="61" t="n">
        <f aca="false">-E2417</f>
        <v>-27139.7446489726</v>
      </c>
      <c r="F2483" s="61" t="n">
        <f aca="false">-F2417</f>
        <v>-43783.4843321918</v>
      </c>
      <c r="G2483" s="61" t="n">
        <f aca="false">-G2417</f>
        <v>-66875.3090753425</v>
      </c>
      <c r="H2483" s="2" t="s">
        <v>1377</v>
      </c>
    </row>
    <row r="2484" customFormat="false" ht="15" hidden="false" customHeight="false" outlineLevel="1" collapsed="false">
      <c r="A2484" s="56" t="s">
        <v>677</v>
      </c>
      <c r="B2484" s="57" t="s">
        <v>11</v>
      </c>
      <c r="C2484" s="62" t="n">
        <f aca="false">C2480+C2482+C2483</f>
        <v>5983.69934246575</v>
      </c>
      <c r="D2484" s="62" t="n">
        <f aca="false">D2480+D2482+D2483</f>
        <v>21032.461146771</v>
      </c>
      <c r="E2484" s="62" t="n">
        <f aca="false">E2480+E2482+E2483</f>
        <v>85200.6580790117</v>
      </c>
      <c r="F2484" s="62" t="n">
        <f aca="false">F2480+F2482+F2483</f>
        <v>172087.753644324</v>
      </c>
      <c r="G2484" s="62" t="n">
        <f aca="false">G2480+G2482+G2483</f>
        <v>280777.193625245</v>
      </c>
      <c r="H2484" s="2" t="s">
        <v>1378</v>
      </c>
    </row>
    <row r="2485" customFormat="false" ht="15" hidden="false" customHeight="false" outlineLevel="1" collapsed="false">
      <c r="A2485" s="7" t="s">
        <v>261</v>
      </c>
      <c r="B2485" s="8" t="s">
        <v>11</v>
      </c>
      <c r="C2485" s="61" t="n">
        <f aca="false">-C2449</f>
        <v>-400885.59375</v>
      </c>
      <c r="D2485" s="61" t="n">
        <f aca="false">-D2449</f>
        <v>-508017.8875</v>
      </c>
      <c r="E2485" s="61" t="n">
        <f aca="false">-E2449</f>
        <v>-667701.28525</v>
      </c>
      <c r="F2485" s="61" t="n">
        <f aca="false">-F2449</f>
        <v>-855745.92960125</v>
      </c>
      <c r="G2485" s="61" t="n">
        <f aca="false">-G2449</f>
        <v>-1042442.03916396</v>
      </c>
      <c r="H2485" s="2" t="s">
        <v>1379</v>
      </c>
    </row>
    <row r="2486" customFormat="false" ht="15" hidden="false" customHeight="false" outlineLevel="1" collapsed="false">
      <c r="A2486" s="7" t="s">
        <v>722</v>
      </c>
      <c r="B2486" s="8" t="s">
        <v>11</v>
      </c>
      <c r="C2486" s="61" t="n">
        <f aca="false">-C2465</f>
        <v>-319100</v>
      </c>
      <c r="D2486" s="61" t="n">
        <f aca="false">-D2465</f>
        <v>-320562.146</v>
      </c>
      <c r="E2486" s="61" t="n">
        <f aca="false">-E2465</f>
        <v>-417092.074</v>
      </c>
      <c r="F2486" s="61" t="n">
        <f aca="false">-F2465</f>
        <v>-467604.6684</v>
      </c>
      <c r="G2486" s="61" t="n">
        <f aca="false">-G2465</f>
        <v>-546349.534448</v>
      </c>
      <c r="H2486" s="2" t="s">
        <v>1380</v>
      </c>
    </row>
    <row r="2487" customFormat="false" ht="15" hidden="false" customHeight="false" outlineLevel="1" collapsed="false">
      <c r="A2487" s="56" t="s">
        <v>723</v>
      </c>
      <c r="B2487" s="57" t="s">
        <v>11</v>
      </c>
      <c r="C2487" s="62" t="n">
        <f aca="false">C2484+C2485+C2486</f>
        <v>-714001.894407534</v>
      </c>
      <c r="D2487" s="62" t="n">
        <f aca="false">D2484+D2485+D2486</f>
        <v>-807547.572353229</v>
      </c>
      <c r="E2487" s="62" t="n">
        <f aca="false">E2484+E2485+E2486</f>
        <v>-999592.701170988</v>
      </c>
      <c r="F2487" s="62" t="n">
        <f aca="false">F2484+F2485+F2486</f>
        <v>-1151262.84435693</v>
      </c>
      <c r="G2487" s="62" t="n">
        <f aca="false">G2484+G2485+G2486</f>
        <v>-1308014.37998672</v>
      </c>
      <c r="H2487" s="2" t="s">
        <v>1381</v>
      </c>
    </row>
    <row r="2488" customFormat="false" ht="15" hidden="false" customHeight="false" outlineLevel="1" collapsed="false">
      <c r="A2488" s="2" t="s">
        <v>725</v>
      </c>
      <c r="B2488" s="8" t="s">
        <v>76</v>
      </c>
      <c r="C2488" s="59" t="n">
        <f aca="false">IF(C2478&gt;0,C2487/C2478,0)</f>
        <v>-3.81038778548499</v>
      </c>
      <c r="D2488" s="59" t="n">
        <f aca="false">IF(D2478&gt;0,D2487/D2478,0)</f>
        <v>-0.646397713570414</v>
      </c>
      <c r="E2488" s="59" t="n">
        <f aca="false">IF(E2478&gt;0,E2487/E2478,0)</f>
        <v>-0.350082206938756</v>
      </c>
      <c r="F2488" s="59" t="n">
        <f aca="false">IF(F2478&gt;0,F2487/F2478,0)</f>
        <v>-0.232221177459059</v>
      </c>
      <c r="G2488" s="59" t="n">
        <f aca="false">IF(G2478&gt;0,G2487/G2478,0)</f>
        <v>-0.17219214114581</v>
      </c>
      <c r="H2488" s="2" t="s">
        <v>1382</v>
      </c>
    </row>
    <row r="2489" customFormat="false" ht="15" hidden="false" customHeight="false" outlineLevel="1" collapsed="false">
      <c r="A2489" s="2" t="s">
        <v>726</v>
      </c>
      <c r="B2489" s="8" t="s">
        <v>11</v>
      </c>
      <c r="C2489" s="61" t="n">
        <f aca="false">C2487+C2417</f>
        <v>-714001.894407534</v>
      </c>
      <c r="D2489" s="61" t="n">
        <f aca="false">D2487+D2417</f>
        <v>-791225.653175147</v>
      </c>
      <c r="E2489" s="61" t="n">
        <f aca="false">E2487+E2417</f>
        <v>-972452.956522016</v>
      </c>
      <c r="F2489" s="61" t="n">
        <f aca="false">F2487+F2417</f>
        <v>-1107479.36002473</v>
      </c>
      <c r="G2489" s="61" t="n">
        <f aca="false">G2487+G2417</f>
        <v>-1241139.07091138</v>
      </c>
      <c r="H2489" s="2" t="s">
        <v>1383</v>
      </c>
    </row>
    <row r="2490" customFormat="false" ht="15" hidden="false" customHeight="false" outlineLevel="1" collapsed="false">
      <c r="A2490" s="7" t="s">
        <v>714</v>
      </c>
      <c r="B2490" s="8" t="s">
        <v>11</v>
      </c>
      <c r="C2490" s="61" t="n">
        <f aca="false">-C2476</f>
        <v>-27100</v>
      </c>
      <c r="D2490" s="61" t="n">
        <f aca="false">-D2476</f>
        <v>-40000</v>
      </c>
      <c r="E2490" s="61" t="n">
        <f aca="false">-E2476</f>
        <v>-53900</v>
      </c>
      <c r="F2490" s="61" t="n">
        <f aca="false">-F2476</f>
        <v>-44466.6666666667</v>
      </c>
      <c r="G2490" s="61" t="n">
        <f aca="false">-G2476</f>
        <v>-41533.3333333333</v>
      </c>
      <c r="H2490" s="2" t="s">
        <v>1384</v>
      </c>
    </row>
    <row r="2491" customFormat="false" ht="15" hidden="false" customHeight="false" outlineLevel="1" collapsed="false">
      <c r="A2491" s="56" t="s">
        <v>727</v>
      </c>
      <c r="B2491" s="57" t="s">
        <v>11</v>
      </c>
      <c r="C2491" s="62" t="n">
        <f aca="false">C2487+C2490</f>
        <v>-741101.894407534</v>
      </c>
      <c r="D2491" s="62" t="n">
        <f aca="false">D2487+D2490</f>
        <v>-847547.572353229</v>
      </c>
      <c r="E2491" s="62" t="n">
        <f aca="false">E2487+E2490</f>
        <v>-1053492.70117099</v>
      </c>
      <c r="F2491" s="62" t="n">
        <f aca="false">F2487+F2490</f>
        <v>-1195729.51102359</v>
      </c>
      <c r="G2491" s="62" t="n">
        <f aca="false">G2487+G2490</f>
        <v>-1349547.71332005</v>
      </c>
      <c r="H2491" s="2" t="s">
        <v>1385</v>
      </c>
    </row>
    <row r="2492" customFormat="false" ht="15" hidden="false" customHeight="false" outlineLevel="0" collapsed="false">
      <c r="A2492" s="3" t="s">
        <v>1386</v>
      </c>
      <c r="B2492" s="4"/>
      <c r="C2492" s="4"/>
      <c r="D2492" s="4"/>
      <c r="E2492" s="4"/>
      <c r="F2492" s="4"/>
      <c r="G2492" s="4"/>
      <c r="H2492" s="4"/>
    </row>
    <row r="2493" customFormat="false" ht="15" hidden="false" customHeight="false" outlineLevel="1" collapsed="false">
      <c r="A2493" s="7" t="s">
        <v>729</v>
      </c>
      <c r="B2493" s="8" t="s">
        <v>11</v>
      </c>
      <c r="C2493" s="61" t="n">
        <f aca="false">C2491</f>
        <v>-741101.894407534</v>
      </c>
      <c r="D2493" s="61" t="n">
        <f aca="false">D2491</f>
        <v>-847547.572353229</v>
      </c>
      <c r="E2493" s="61" t="n">
        <f aca="false">E2491</f>
        <v>-1053492.70117099</v>
      </c>
      <c r="F2493" s="61" t="n">
        <f aca="false">F2491</f>
        <v>-1195729.51102359</v>
      </c>
      <c r="G2493" s="61" t="n">
        <f aca="false">G2491</f>
        <v>-1349547.71332005</v>
      </c>
      <c r="H2493" s="2" t="s">
        <v>1387</v>
      </c>
    </row>
    <row r="2494" customFormat="false" ht="15" hidden="false" customHeight="false" outlineLevel="1" collapsed="false">
      <c r="A2494" s="7" t="s">
        <v>730</v>
      </c>
      <c r="B2494" s="8" t="s">
        <v>11</v>
      </c>
      <c r="C2494" s="61" t="n">
        <f aca="false">0</f>
        <v>0</v>
      </c>
      <c r="D2494" s="61" t="n">
        <f aca="false">C2497</f>
        <v>741101.894407534</v>
      </c>
      <c r="E2494" s="61" t="n">
        <f aca="false">D2497</f>
        <v>1588649.46676076</v>
      </c>
      <c r="F2494" s="61" t="n">
        <f aca="false">E2497</f>
        <v>2642142.16793175</v>
      </c>
      <c r="G2494" s="61" t="n">
        <f aca="false">F2497</f>
        <v>3837871.67895534</v>
      </c>
      <c r="H2494" s="2" t="s">
        <v>1388</v>
      </c>
    </row>
    <row r="2495" customFormat="false" ht="15" hidden="false" customHeight="false" outlineLevel="1" collapsed="false">
      <c r="A2495" s="7" t="s">
        <v>731</v>
      </c>
      <c r="B2495" s="8" t="s">
        <v>11</v>
      </c>
      <c r="C2495" s="61" t="n">
        <f aca="false">MAX(0,-C2493)</f>
        <v>741101.894407534</v>
      </c>
      <c r="D2495" s="61" t="n">
        <f aca="false">MAX(0,-D2493)</f>
        <v>847547.572353229</v>
      </c>
      <c r="E2495" s="61" t="n">
        <f aca="false">MAX(0,-E2493)</f>
        <v>1053492.70117099</v>
      </c>
      <c r="F2495" s="61" t="n">
        <f aca="false">MAX(0,-F2493)</f>
        <v>1195729.51102359</v>
      </c>
      <c r="G2495" s="61" t="n">
        <f aca="false">MAX(0,-G2493)</f>
        <v>1349547.71332005</v>
      </c>
      <c r="H2495" s="2" t="s">
        <v>1389</v>
      </c>
    </row>
    <row r="2496" customFormat="false" ht="15" hidden="false" customHeight="false" outlineLevel="1" collapsed="false">
      <c r="A2496" s="7" t="s">
        <v>732</v>
      </c>
      <c r="B2496" s="8" t="s">
        <v>11</v>
      </c>
      <c r="C2496" s="61" t="n">
        <f aca="false">MIN(C2494,Pressupostos!$C$181*MAX(0,C2493))</f>
        <v>0</v>
      </c>
      <c r="D2496" s="61" t="n">
        <f aca="false">MIN(D2494,Pressupostos!$C$181*MAX(0,D2493))</f>
        <v>0</v>
      </c>
      <c r="E2496" s="61" t="n">
        <f aca="false">MIN(E2494,Pressupostos!$C$181*MAX(0,E2493))</f>
        <v>0</v>
      </c>
      <c r="F2496" s="61" t="n">
        <f aca="false">MIN(F2494,Pressupostos!$C$181*MAX(0,F2493))</f>
        <v>0</v>
      </c>
      <c r="G2496" s="61" t="n">
        <f aca="false">MIN(G2494,Pressupostos!$C$181*MAX(0,G2493))</f>
        <v>0</v>
      </c>
      <c r="H2496" s="2" t="s">
        <v>1390</v>
      </c>
    </row>
    <row r="2497" customFormat="false" ht="15" hidden="false" customHeight="false" outlineLevel="1" collapsed="false">
      <c r="A2497" s="7" t="s">
        <v>733</v>
      </c>
      <c r="B2497" s="8" t="s">
        <v>11</v>
      </c>
      <c r="C2497" s="61" t="n">
        <f aca="false">C2494+C2495-C2496</f>
        <v>741101.894407534</v>
      </c>
      <c r="D2497" s="61" t="n">
        <f aca="false">D2494+D2495-D2496</f>
        <v>1588649.46676076</v>
      </c>
      <c r="E2497" s="61" t="n">
        <f aca="false">E2494+E2495-E2496</f>
        <v>2642142.16793175</v>
      </c>
      <c r="F2497" s="61" t="n">
        <f aca="false">F2494+F2495-F2496</f>
        <v>3837871.67895534</v>
      </c>
      <c r="G2497" s="61" t="n">
        <f aca="false">G2494+G2495-G2496</f>
        <v>5187419.3922754</v>
      </c>
      <c r="H2497" s="2" t="s">
        <v>1391</v>
      </c>
    </row>
    <row r="2498" customFormat="false" ht="15" hidden="false" customHeight="false" outlineLevel="1" collapsed="false">
      <c r="A2498" s="7" t="s">
        <v>734</v>
      </c>
      <c r="B2498" s="8" t="s">
        <v>11</v>
      </c>
      <c r="C2498" s="61" t="n">
        <f aca="false">MAX(0,C2493)-C2496</f>
        <v>0</v>
      </c>
      <c r="D2498" s="61" t="n">
        <f aca="false">MAX(0,D2493)-D2496</f>
        <v>0</v>
      </c>
      <c r="E2498" s="61" t="n">
        <f aca="false">MAX(0,E2493)-E2496</f>
        <v>0</v>
      </c>
      <c r="F2498" s="61" t="n">
        <f aca="false">MAX(0,F2493)-F2496</f>
        <v>0</v>
      </c>
      <c r="G2498" s="61" t="n">
        <f aca="false">MAX(0,G2493)-G2496</f>
        <v>0</v>
      </c>
      <c r="H2498" s="2" t="s">
        <v>1392</v>
      </c>
    </row>
    <row r="2499" customFormat="false" ht="15" hidden="false" customHeight="false" outlineLevel="1" collapsed="false">
      <c r="A2499" s="7" t="s">
        <v>735</v>
      </c>
      <c r="B2499" s="8" t="s">
        <v>11</v>
      </c>
      <c r="C2499" s="61" t="n">
        <f aca="false">Pressupostos!$C$172*MIN(C2498,Pressupostos!$C$173)+Pressupostos!$C$467*MAX(0,C2498-Pressupostos!$C$173)</f>
        <v>0</v>
      </c>
      <c r="D2499" s="61" t="n">
        <f aca="false">Pressupostos!$C$172*MIN(D2498,Pressupostos!$C$173)+Pressupostos!$D$467*MAX(0,D2498-Pressupostos!$C$173)</f>
        <v>0</v>
      </c>
      <c r="E2499" s="61" t="n">
        <f aca="false">Pressupostos!$C$172*MIN(E2498,Pressupostos!$C$173)+Pressupostos!$E$467*MAX(0,E2498-Pressupostos!$C$173)</f>
        <v>0</v>
      </c>
      <c r="F2499" s="61" t="n">
        <f aca="false">Pressupostos!$C$172*MIN(F2498,Pressupostos!$C$173)+Pressupostos!$F$467*MAX(0,F2498-Pressupostos!$C$173)</f>
        <v>0</v>
      </c>
      <c r="G2499" s="61" t="n">
        <f aca="false">Pressupostos!$C$172*MIN(G2498,Pressupostos!$C$173)+Pressupostos!$G$467*MAX(0,G2498-Pressupostos!$C$173)</f>
        <v>0</v>
      </c>
      <c r="H2499" s="2" t="s">
        <v>1393</v>
      </c>
    </row>
    <row r="2500" customFormat="false" ht="15" hidden="false" customHeight="false" outlineLevel="1" collapsed="false">
      <c r="A2500" s="7" t="s">
        <v>736</v>
      </c>
      <c r="B2500" s="8" t="s">
        <v>11</v>
      </c>
      <c r="C2500" s="61" t="n">
        <f aca="false">Pressupostos!$C$174*MAX(0,C2493)</f>
        <v>0</v>
      </c>
      <c r="D2500" s="61" t="n">
        <f aca="false">Pressupostos!$C$174*MAX(0,D2493)</f>
        <v>0</v>
      </c>
      <c r="E2500" s="61" t="n">
        <f aca="false">Pressupostos!$C$174*MAX(0,E2493)</f>
        <v>0</v>
      </c>
      <c r="F2500" s="61" t="n">
        <f aca="false">Pressupostos!$C$174*MAX(0,F2493)</f>
        <v>0</v>
      </c>
      <c r="G2500" s="61" t="n">
        <f aca="false">Pressupostos!$C$174*MAX(0,G2493)</f>
        <v>0</v>
      </c>
      <c r="H2500" s="2" t="s">
        <v>1394</v>
      </c>
    </row>
    <row r="2501" customFormat="false" ht="15" hidden="false" customHeight="false" outlineLevel="1" collapsed="false">
      <c r="A2501" s="7" t="s">
        <v>737</v>
      </c>
      <c r="B2501" s="8" t="s">
        <v>11</v>
      </c>
      <c r="C2501" s="61" t="n">
        <f aca="false">Pressupostos!$C$176*MAX(0,MIN(C2493,Pressupostos!$C$177)-Pressupostos!$C$175)+Pressupostos!$C$178*MAX(0,MIN(C2493,Pressupostos!$C$179)-Pressupostos!$C$177)+Pressupostos!$C$180*MAX(0,C2493-Pressupostos!$C$179)</f>
        <v>0</v>
      </c>
      <c r="D2501" s="61" t="n">
        <f aca="false">Pressupostos!$C$176*MAX(0,MIN(D2493,Pressupostos!$C$177)-Pressupostos!$C$175)+Pressupostos!$C$178*MAX(0,MIN(D2493,Pressupostos!$C$179)-Pressupostos!$C$177)+Pressupostos!$C$180*MAX(0,D2493-Pressupostos!$C$179)</f>
        <v>0</v>
      </c>
      <c r="E2501" s="61" t="n">
        <f aca="false">Pressupostos!$C$176*MAX(0,MIN(E2493,Pressupostos!$C$177)-Pressupostos!$C$175)+Pressupostos!$C$178*MAX(0,MIN(E2493,Pressupostos!$C$179)-Pressupostos!$C$177)+Pressupostos!$C$180*MAX(0,E2493-Pressupostos!$C$179)</f>
        <v>0</v>
      </c>
      <c r="F2501" s="61" t="n">
        <f aca="false">Pressupostos!$C$176*MAX(0,MIN(F2493,Pressupostos!$C$177)-Pressupostos!$C$175)+Pressupostos!$C$178*MAX(0,MIN(F2493,Pressupostos!$C$179)-Pressupostos!$C$177)+Pressupostos!$C$180*MAX(0,F2493-Pressupostos!$C$179)</f>
        <v>0</v>
      </c>
      <c r="G2501" s="61" t="n">
        <f aca="false">Pressupostos!$C$176*MAX(0,MIN(G2493,Pressupostos!$C$177)-Pressupostos!$C$175)+Pressupostos!$C$178*MAX(0,MIN(G2493,Pressupostos!$C$179)-Pressupostos!$C$177)+Pressupostos!$C$180*MAX(0,G2493-Pressupostos!$C$179)</f>
        <v>0</v>
      </c>
      <c r="H2501" s="2" t="s">
        <v>1395</v>
      </c>
    </row>
    <row r="2502" customFormat="false" ht="15" hidden="false" customHeight="false" outlineLevel="1" collapsed="false">
      <c r="A2502" s="7" t="s">
        <v>738</v>
      </c>
      <c r="B2502" s="8" t="s">
        <v>11</v>
      </c>
      <c r="C2502" s="61" t="n">
        <f aca="false">C2499+C2500+C2501</f>
        <v>0</v>
      </c>
      <c r="D2502" s="61" t="n">
        <f aca="false">D2499+D2500+D2501</f>
        <v>0</v>
      </c>
      <c r="E2502" s="61" t="n">
        <f aca="false">E2499+E2500+E2501</f>
        <v>0</v>
      </c>
      <c r="F2502" s="61" t="n">
        <f aca="false">F2499+F2500+F2501</f>
        <v>0</v>
      </c>
      <c r="G2502" s="61" t="n">
        <f aca="false">G2499+G2500+G2501</f>
        <v>0</v>
      </c>
      <c r="H2502" s="2" t="s">
        <v>1396</v>
      </c>
    </row>
    <row r="2503" customFormat="false" ht="15" hidden="false" customHeight="false" outlineLevel="0" collapsed="false">
      <c r="A2503" s="3" t="s">
        <v>1397</v>
      </c>
      <c r="B2503" s="4"/>
      <c r="C2503" s="4"/>
      <c r="D2503" s="4"/>
      <c r="E2503" s="4"/>
      <c r="F2503" s="4"/>
      <c r="G2503" s="4"/>
      <c r="H2503" s="4"/>
    </row>
    <row r="2504" customFormat="false" ht="15" hidden="false" customHeight="false" outlineLevel="1" collapsed="false">
      <c r="A2504" s="7" t="s">
        <v>738</v>
      </c>
      <c r="B2504" s="8" t="s">
        <v>11</v>
      </c>
      <c r="C2504" s="61" t="n">
        <f aca="false">-C2502</f>
        <v>-0</v>
      </c>
      <c r="D2504" s="61" t="n">
        <f aca="false">-D2502</f>
        <v>-0</v>
      </c>
      <c r="E2504" s="61" t="n">
        <f aca="false">-E2502</f>
        <v>-0</v>
      </c>
      <c r="F2504" s="61" t="n">
        <f aca="false">-F2502</f>
        <v>-0</v>
      </c>
      <c r="G2504" s="61" t="n">
        <f aca="false">-G2502</f>
        <v>-0</v>
      </c>
      <c r="H2504" s="2" t="s">
        <v>1398</v>
      </c>
    </row>
    <row r="2505" customFormat="false" ht="15" hidden="false" customHeight="false" outlineLevel="1" collapsed="false">
      <c r="A2505" s="56" t="s">
        <v>740</v>
      </c>
      <c r="B2505" s="57" t="s">
        <v>11</v>
      </c>
      <c r="C2505" s="62" t="n">
        <f aca="false">C2491+C2504</f>
        <v>-741101.894407534</v>
      </c>
      <c r="D2505" s="62" t="n">
        <f aca="false">D2491+D2504</f>
        <v>-847547.572353229</v>
      </c>
      <c r="E2505" s="62" t="n">
        <f aca="false">E2491+E2504</f>
        <v>-1053492.70117099</v>
      </c>
      <c r="F2505" s="62" t="n">
        <f aca="false">F2491+F2504</f>
        <v>-1195729.51102359</v>
      </c>
      <c r="G2505" s="62" t="n">
        <f aca="false">G2491+G2504</f>
        <v>-1349547.71332005</v>
      </c>
      <c r="H2505" s="2" t="s">
        <v>1399</v>
      </c>
    </row>
    <row r="2506" customFormat="false" ht="15" hidden="false" customHeight="false" outlineLevel="0" collapsed="false">
      <c r="A2506" s="3" t="s">
        <v>1400</v>
      </c>
      <c r="B2506" s="4"/>
      <c r="C2506" s="4"/>
      <c r="D2506" s="4"/>
      <c r="E2506" s="4"/>
      <c r="F2506" s="4"/>
      <c r="G2506" s="4"/>
      <c r="H2506" s="4"/>
    </row>
    <row r="2507" customFormat="false" ht="15" hidden="false" customHeight="false" outlineLevel="1" collapsed="false">
      <c r="A2507" s="7" t="s">
        <v>744</v>
      </c>
      <c r="B2507" s="8" t="s">
        <v>11</v>
      </c>
      <c r="C2507" s="61" t="n">
        <f aca="false">C2279*1000*((C2297+C2300)*C2303/365)+C2280*1000*((C2320+C2323)*C2326/365)+C2282*1000*((C2343+C2346)*C2349/365)</f>
        <v>23577.5342465753</v>
      </c>
      <c r="D2507" s="61" t="n">
        <f aca="false">D2279*1000*((D2297+D2300)*D2303/365)+D2280*1000*((D2320+D2323)*D2326/365)+D2282*1000*((D2343+D2346)*D2349/365)</f>
        <v>137590.273972603</v>
      </c>
      <c r="E2507" s="61" t="n">
        <f aca="false">E2279*1000*((E2297+E2300)*E2303/365)+E2280*1000*((E2320+E2323)*E2326/365)+E2282*1000*((E2343+E2346)*E2349/365)</f>
        <v>214704.863013699</v>
      </c>
      <c r="F2507" s="61" t="n">
        <f aca="false">F2279*1000*((F2297+F2300)*F2303/365)+F2280*1000*((F2320+F2323)*F2326/365)+F2282*1000*((F2343+F2346)*F2349/365)</f>
        <v>371281.438356164</v>
      </c>
      <c r="G2507" s="61" t="n">
        <f aca="false">G2279*1000*((G2297+G2300)*G2303/365)+G2280*1000*((G2320+G2323)*G2326/365)+G2282*1000*((G2343+G2346)*G2349/365)</f>
        <v>563936.301369863</v>
      </c>
      <c r="H2507" s="2" t="s">
        <v>1401</v>
      </c>
    </row>
    <row r="2508" customFormat="false" ht="15" hidden="false" customHeight="false" outlineLevel="1" collapsed="false">
      <c r="A2508" s="7" t="s">
        <v>745</v>
      </c>
      <c r="B2508" s="8" t="s">
        <v>11</v>
      </c>
      <c r="C2508" s="61" t="n">
        <f aca="false">C2507+C2292*1000*Pressupostos!$C$92*Pressupostos!$C$95/365</f>
        <v>23577.5342465753</v>
      </c>
      <c r="D2508" s="61" t="n">
        <f aca="false">D2507+D2292*1000*Pressupostos!$C$92*Pressupostos!$C$95/365</f>
        <v>137590.273972603</v>
      </c>
      <c r="E2508" s="61" t="n">
        <f aca="false">E2507+E2292*1000*Pressupostos!$C$92*Pressupostos!$C$95/365</f>
        <v>232828.150684932</v>
      </c>
      <c r="F2508" s="61" t="n">
        <f aca="false">F2507+F2292*1000*Pressupostos!$C$92*Pressupostos!$C$95/365</f>
        <v>407528.01369863</v>
      </c>
      <c r="G2508" s="61" t="n">
        <f aca="false">G2507+G2292*1000*Pressupostos!$C$92*Pressupostos!$C$95/365</f>
        <v>624347.260273973</v>
      </c>
      <c r="H2508" s="2" t="s">
        <v>1402</v>
      </c>
    </row>
    <row r="2509" customFormat="false" ht="15" hidden="false" customHeight="false" outlineLevel="1" collapsed="false">
      <c r="A2509" s="7" t="s">
        <v>746</v>
      </c>
      <c r="B2509" s="8" t="s">
        <v>11</v>
      </c>
      <c r="C2509" s="61" t="n">
        <f aca="false">C2279*1000*(C2299*C2304/365)+C2280*1000*(C2322*C2327/365)+C2282*1000*(C2345*C2350/365)+C2374*Pressupostos!$C$96/365+(C2376+C2377)*Pressupostos!$C$82/365</f>
        <v>22298.5479452055</v>
      </c>
      <c r="D2509" s="61" t="n">
        <f aca="false">D2279*1000*(D2299*D2304/365)+D2280*1000*(D2322*D2327/365)+D2282*1000*(D2345*D2350/365)+D2374*Pressupostos!$C$96/365+(D2376+D2377)*Pressupostos!$C$82/365</f>
        <v>149089.5</v>
      </c>
      <c r="E2509" s="61" t="n">
        <f aca="false">E2279*1000*(E2299*E2304/365)+E2280*1000*(E2322*E2327/365)+E2282*1000*(E2345*E2350/365)+E2374*Pressupostos!$C$96/365+(E2376+E2377)*Pressupostos!$C$82/365</f>
        <v>328425.47260274</v>
      </c>
      <c r="F2509" s="61" t="n">
        <f aca="false">F2279*1000*(F2299*F2304/365)+F2280*1000*(F2322*F2327/365)+F2282*1000*(F2345*F2350/365)+F2374*Pressupostos!$C$96/365+(F2376+F2377)*Pressupostos!$C$82/365</f>
        <v>562777.705479452</v>
      </c>
      <c r="G2509" s="61" t="n">
        <f aca="false">G2279*1000*(G2299*G2304/365)+G2280*1000*(G2322*G2327/365)+G2282*1000*(G2345*G2350/365)+G2374*Pressupostos!$C$96/365+(G2376+G2377)*Pressupostos!$C$82/365</f>
        <v>857651.219178082</v>
      </c>
      <c r="H2509" s="2" t="s">
        <v>1403</v>
      </c>
    </row>
    <row r="2510" customFormat="false" ht="15" hidden="false" customHeight="false" outlineLevel="1" collapsed="false">
      <c r="A2510" s="7" t="s">
        <v>747</v>
      </c>
      <c r="B2510" s="8" t="s">
        <v>11</v>
      </c>
      <c r="C2510" s="61" t="n">
        <f aca="false">C2279*1000*((C2297+C2300)*Pressupostos!$C$72/365)+C2280*1000*((C2320+C2323)*Pressupostos!$C$72/365)+C2282*1000*((C2343+C2346)*Pressupostos!$C$72/365)+C2292*1000*Pressupostos!$C$92*Pressupostos!$C$97/365</f>
        <v>14026.8493150685</v>
      </c>
      <c r="D2510" s="61" t="n">
        <f aca="false">D2279*1000*((D2297+D2300)*Pressupostos!$C$72/365)+D2280*1000*((D2320+D2323)*Pressupostos!$C$72/365)+D2282*1000*((D2343+D2346)*Pressupostos!$C$72/365)+D2292*1000*Pressupostos!$C$92*Pressupostos!$C$97/365</f>
        <v>93418.3561643836</v>
      </c>
      <c r="E2510" s="61" t="n">
        <f aca="false">E2279*1000*((E2297+E2300)*Pressupostos!$C$72/365)+E2280*1000*((E2320+E2323)*Pressupostos!$C$72/365)+E2282*1000*((E2343+E2346)*Pressupostos!$C$72/365)+E2292*1000*Pressupostos!$C$92*Pressupostos!$C$97/365</f>
        <v>210909.04109589</v>
      </c>
      <c r="F2510" s="61" t="n">
        <f aca="false">F2279*1000*((F2297+F2300)*Pressupostos!$C$72/365)+F2280*1000*((F2320+F2323)*Pressupostos!$C$72/365)+F2282*1000*((F2343+F2346)*Pressupostos!$C$72/365)+F2292*1000*Pressupostos!$C$92*Pressupostos!$C$97/365</f>
        <v>363570.410958904</v>
      </c>
      <c r="G2510" s="61" t="n">
        <f aca="false">G2279*1000*((G2297+G2300)*Pressupostos!$C$72/365)+G2280*1000*((G2320+G2323)*Pressupostos!$C$72/365)+G2282*1000*((G2343+G2346)*Pressupostos!$C$72/365)+G2292*1000*Pressupostos!$C$92*Pressupostos!$C$97/365</f>
        <v>555263.01369863</v>
      </c>
      <c r="H2510" s="2" t="s">
        <v>1404</v>
      </c>
    </row>
    <row r="2511" customFormat="false" ht="15" hidden="false" customHeight="false" outlineLevel="1" collapsed="false">
      <c r="A2511" s="56" t="s">
        <v>748</v>
      </c>
      <c r="B2511" s="57" t="s">
        <v>11</v>
      </c>
      <c r="C2511" s="62" t="n">
        <f aca="false">C2508+C2509-C2510</f>
        <v>31849.2328767123</v>
      </c>
      <c r="D2511" s="62" t="n">
        <f aca="false">D2508+D2509-D2510</f>
        <v>193261.417808219</v>
      </c>
      <c r="E2511" s="62" t="n">
        <f aca="false">E2508+E2509-E2510</f>
        <v>350344.582191781</v>
      </c>
      <c r="F2511" s="62" t="n">
        <f aca="false">F2508+F2509-F2510</f>
        <v>606735.308219178</v>
      </c>
      <c r="G2511" s="62" t="n">
        <f aca="false">G2508+G2509-G2510</f>
        <v>926735.465753425</v>
      </c>
      <c r="H2511" s="2" t="s">
        <v>1405</v>
      </c>
    </row>
    <row r="2512" customFormat="false" ht="15" hidden="false" customHeight="false" outlineLevel="0" collapsed="false">
      <c r="A2512" s="3" t="s">
        <v>1406</v>
      </c>
      <c r="B2512" s="4"/>
      <c r="C2512" s="4"/>
      <c r="D2512" s="4"/>
      <c r="E2512" s="4"/>
      <c r="F2512" s="4"/>
      <c r="G2512" s="4"/>
      <c r="H2512" s="4"/>
    </row>
    <row r="2513" customFormat="false" ht="15" hidden="false" customHeight="false" outlineLevel="1" collapsed="false">
      <c r="A2513" s="56" t="s">
        <v>750</v>
      </c>
      <c r="B2513" s="57" t="s">
        <v>11</v>
      </c>
      <c r="C2513" s="62" t="n">
        <f aca="false">Pressupostos!$C$282*C2511/Pressupostos!$D$31</f>
        <v>0</v>
      </c>
      <c r="D2513" s="62" t="n">
        <f aca="false">Pressupostos!$D$282*D2511/Pressupostos!$D$31</f>
        <v>217419.095034247</v>
      </c>
      <c r="E2513" s="62" t="n">
        <f aca="false">Pressupostos!$E$282*E2511/Pressupostos!$D$31</f>
        <v>394137.654965753</v>
      </c>
      <c r="F2513" s="62" t="n">
        <f aca="false">Pressupostos!$F$282*F2511/Pressupostos!$D$31</f>
        <v>682577.221746575</v>
      </c>
      <c r="G2513" s="62" t="n">
        <f aca="false">Pressupostos!$G$282*G2511/Pressupostos!$D$31</f>
        <v>1042577.3989726</v>
      </c>
      <c r="H2513" s="2" t="s">
        <v>1407</v>
      </c>
    </row>
    <row r="2514" customFormat="false" ht="15" hidden="false" customHeight="false" outlineLevel="1" collapsed="false">
      <c r="A2514" s="7" t="s">
        <v>751</v>
      </c>
      <c r="B2514" s="8" t="s">
        <v>11</v>
      </c>
      <c r="C2514" s="61" t="n">
        <f aca="false">Pressupostos!$C$282*C2511</f>
        <v>0</v>
      </c>
      <c r="D2514" s="61" t="n">
        <f aca="false">Pressupostos!$D$282*D2511</f>
        <v>173935.276027397</v>
      </c>
      <c r="E2514" s="61" t="n">
        <f aca="false">Pressupostos!$E$282*E2511</f>
        <v>315310.123972603</v>
      </c>
      <c r="F2514" s="61" t="n">
        <f aca="false">Pressupostos!$F$282*F2511</f>
        <v>546061.77739726</v>
      </c>
      <c r="G2514" s="61" t="n">
        <f aca="false">Pressupostos!$G$282*G2511</f>
        <v>834061.919178082</v>
      </c>
      <c r="H2514" s="2" t="s">
        <v>1408</v>
      </c>
    </row>
    <row r="2515" customFormat="false" ht="15" hidden="false" customHeight="false" outlineLevel="1" collapsed="false">
      <c r="A2515" s="7" t="s">
        <v>752</v>
      </c>
      <c r="B2515" s="8" t="s">
        <v>11</v>
      </c>
      <c r="C2515" s="61" t="n">
        <f aca="false">C2513-C2514</f>
        <v>0</v>
      </c>
      <c r="D2515" s="61" t="n">
        <f aca="false">D2513-D2514</f>
        <v>43483.8190068493</v>
      </c>
      <c r="E2515" s="61" t="n">
        <f aca="false">E2513-E2514</f>
        <v>78827.5309931507</v>
      </c>
      <c r="F2515" s="61" t="n">
        <f aca="false">F2513-F2514</f>
        <v>136515.444349315</v>
      </c>
      <c r="G2515" s="61" t="n">
        <f aca="false">G2513-G2514</f>
        <v>208515.479794521</v>
      </c>
      <c r="H2515" s="2" t="s">
        <v>1409</v>
      </c>
    </row>
    <row r="2516" customFormat="false" ht="15" hidden="false" customHeight="false" outlineLevel="1" collapsed="false">
      <c r="A2516" s="7" t="s">
        <v>753</v>
      </c>
      <c r="B2516" s="8" t="s">
        <v>11</v>
      </c>
      <c r="C2516" s="61" t="n">
        <f aca="false">C2511-C2514</f>
        <v>31849.2328767123</v>
      </c>
      <c r="D2516" s="61" t="n">
        <f aca="false">D2511-D2514</f>
        <v>19326.1417808219</v>
      </c>
      <c r="E2516" s="61" t="n">
        <f aca="false">E2511-E2514</f>
        <v>35034.4582191781</v>
      </c>
      <c r="F2516" s="61" t="n">
        <f aca="false">F2511-F2514</f>
        <v>60673.5308219178</v>
      </c>
      <c r="G2516" s="61" t="n">
        <f aca="false">G2511-G2514</f>
        <v>92673.5465753424</v>
      </c>
      <c r="H2516" s="2" t="s">
        <v>1410</v>
      </c>
    </row>
    <row r="2517" customFormat="false" ht="15" hidden="false" customHeight="false" outlineLevel="1" collapsed="false">
      <c r="A2517" s="7" t="s">
        <v>754</v>
      </c>
      <c r="B2517" s="8" t="s">
        <v>11</v>
      </c>
      <c r="C2517" s="61" t="n">
        <f aca="false">MAX(0,Pressupostos!$C$108-C2516)</f>
        <v>18150.7671232877</v>
      </c>
      <c r="D2517" s="61" t="n">
        <f aca="false">MAX(0,Pressupostos!$C$108-D2516)</f>
        <v>30673.8582191781</v>
      </c>
      <c r="E2517" s="61" t="n">
        <f aca="false">MAX(0,Pressupostos!$C$108-E2516)</f>
        <v>14965.5417808219</v>
      </c>
      <c r="F2517" s="61" t="n">
        <f aca="false">MAX(0,Pressupostos!$C$108-F2516)</f>
        <v>0</v>
      </c>
      <c r="G2517" s="61" t="n">
        <f aca="false">MAX(0,Pressupostos!$C$108-G2516)</f>
        <v>0</v>
      </c>
      <c r="H2517" s="2" t="s">
        <v>1411</v>
      </c>
    </row>
    <row r="2518" customFormat="false" ht="15" hidden="false" customHeight="false" outlineLevel="1" collapsed="false">
      <c r="A2518" s="7" t="s">
        <v>755</v>
      </c>
      <c r="B2518" s="8" t="s">
        <v>11</v>
      </c>
      <c r="C2518" s="61" t="n">
        <f aca="false">Pressupostos!$C$109*C2513</f>
        <v>0</v>
      </c>
      <c r="D2518" s="61" t="n">
        <f aca="false">Pressupostos!$C$109*D2513</f>
        <v>10870.9547517123</v>
      </c>
      <c r="E2518" s="61" t="n">
        <f aca="false">Pressupostos!$C$109*E2513</f>
        <v>19706.8827482877</v>
      </c>
      <c r="F2518" s="61" t="n">
        <f aca="false">Pressupostos!$C$109*F2513</f>
        <v>34128.8610873288</v>
      </c>
      <c r="G2518" s="61" t="n">
        <f aca="false">Pressupostos!$C$109*G2513</f>
        <v>52128.8699486301</v>
      </c>
      <c r="H2518" s="2" t="s">
        <v>1412</v>
      </c>
    </row>
    <row r="2519" customFormat="false" ht="15" hidden="false" customHeight="false" outlineLevel="1" collapsed="false">
      <c r="A2519" s="2" t="s">
        <v>756</v>
      </c>
      <c r="B2519" s="8" t="s">
        <v>123</v>
      </c>
      <c r="C2519" s="61" t="n">
        <f aca="false">C2513/Pressupostos!$C$112</f>
        <v>0</v>
      </c>
      <c r="D2519" s="61" t="n">
        <f aca="false">D2513/Pressupostos!$C$112</f>
        <v>4.34838190068493</v>
      </c>
      <c r="E2519" s="61" t="n">
        <f aca="false">E2513/Pressupostos!$C$112</f>
        <v>7.88275309931507</v>
      </c>
      <c r="F2519" s="61" t="n">
        <f aca="false">F2513/Pressupostos!$C$112</f>
        <v>13.6515444349315</v>
      </c>
      <c r="G2519" s="61" t="n">
        <f aca="false">G2513/Pressupostos!$C$112</f>
        <v>20.8515479794521</v>
      </c>
      <c r="H2519" s="2" t="s">
        <v>1413</v>
      </c>
    </row>
    <row r="2520" customFormat="false" ht="15" hidden="false" customHeight="false" outlineLevel="0" collapsed="false">
      <c r="A2520" s="3" t="s">
        <v>1414</v>
      </c>
      <c r="B2520" s="4"/>
      <c r="C2520" s="4"/>
      <c r="D2520" s="4"/>
      <c r="E2520" s="4"/>
      <c r="F2520" s="4"/>
      <c r="G2520" s="4"/>
      <c r="H2520" s="4"/>
    </row>
    <row r="2521" customFormat="false" ht="15" hidden="false" customHeight="false" outlineLevel="1" collapsed="false">
      <c r="A2521" s="7" t="s">
        <v>758</v>
      </c>
      <c r="B2521" s="8" t="s">
        <v>11</v>
      </c>
      <c r="C2521" s="61" t="n">
        <f aca="false">C2487</f>
        <v>-714001.894407534</v>
      </c>
      <c r="D2521" s="61" t="n">
        <f aca="false">D2487</f>
        <v>-807547.572353229</v>
      </c>
      <c r="E2521" s="61" t="n">
        <f aca="false">E2487</f>
        <v>-999592.701170988</v>
      </c>
      <c r="F2521" s="61" t="n">
        <f aca="false">F2487</f>
        <v>-1151262.84435693</v>
      </c>
      <c r="G2521" s="61" t="n">
        <f aca="false">G2487</f>
        <v>-1308014.37998672</v>
      </c>
      <c r="H2521" s="2" t="s">
        <v>1415</v>
      </c>
    </row>
    <row r="2522" customFormat="false" ht="15" hidden="false" customHeight="false" outlineLevel="1" collapsed="false">
      <c r="A2522" s="7" t="s">
        <v>759</v>
      </c>
      <c r="B2522" s="8" t="s">
        <v>11</v>
      </c>
      <c r="C2522" s="61" t="n">
        <f aca="false">-C2502</f>
        <v>-0</v>
      </c>
      <c r="D2522" s="61" t="n">
        <f aca="false">-D2502</f>
        <v>-0</v>
      </c>
      <c r="E2522" s="61" t="n">
        <f aca="false">-E2502</f>
        <v>-0</v>
      </c>
      <c r="F2522" s="61" t="n">
        <f aca="false">-F2502</f>
        <v>-0</v>
      </c>
      <c r="G2522" s="61" t="n">
        <f aca="false">-G2502</f>
        <v>-0</v>
      </c>
      <c r="H2522" s="2" t="s">
        <v>1416</v>
      </c>
    </row>
    <row r="2523" customFormat="false" ht="15" hidden="false" customHeight="false" outlineLevel="1" collapsed="false">
      <c r="A2523" s="7" t="s">
        <v>760</v>
      </c>
      <c r="B2523" s="8" t="s">
        <v>11</v>
      </c>
      <c r="C2523" s="61" t="n">
        <f aca="false">-C2511</f>
        <v>-31849.2328767123</v>
      </c>
      <c r="D2523" s="61" t="n">
        <f aca="false">-(D2511-C2511)</f>
        <v>-161412.184931507</v>
      </c>
      <c r="E2523" s="61" t="n">
        <f aca="false">-(E2511-D2511)</f>
        <v>-157083.164383562</v>
      </c>
      <c r="F2523" s="61" t="n">
        <f aca="false">-(F2511-E2511)</f>
        <v>-256390.726027397</v>
      </c>
      <c r="G2523" s="61" t="n">
        <f aca="false">-(G2511-F2511)</f>
        <v>-320000.157534247</v>
      </c>
      <c r="H2523" s="2" t="s">
        <v>1417</v>
      </c>
    </row>
    <row r="2524" customFormat="false" ht="15" hidden="false" customHeight="false" outlineLevel="1" collapsed="false">
      <c r="A2524" s="7" t="s">
        <v>424</v>
      </c>
      <c r="B2524" s="8" t="s">
        <v>11</v>
      </c>
      <c r="C2524" s="61" t="n">
        <f aca="false">-C2471</f>
        <v>-92000</v>
      </c>
      <c r="D2524" s="61" t="n">
        <f aca="false">-D2471</f>
        <v>-44000</v>
      </c>
      <c r="E2524" s="61" t="n">
        <f aca="false">-E2471</f>
        <v>-48000</v>
      </c>
      <c r="F2524" s="61" t="n">
        <f aca="false">-F2471</f>
        <v>-38000</v>
      </c>
      <c r="G2524" s="61" t="n">
        <f aca="false">-G2471</f>
        <v>-38000</v>
      </c>
      <c r="H2524" s="2" t="s">
        <v>1418</v>
      </c>
    </row>
    <row r="2525" customFormat="false" ht="15" hidden="false" customHeight="false" outlineLevel="1" collapsed="false">
      <c r="A2525" s="7" t="s">
        <v>761</v>
      </c>
      <c r="B2525" s="8" t="s">
        <v>11</v>
      </c>
      <c r="C2525" s="61" t="n">
        <f aca="false">C2521+C2522+C2523+C2524</f>
        <v>-837851.127284247</v>
      </c>
      <c r="D2525" s="61" t="n">
        <f aca="false">D2521+D2522+D2523+D2524</f>
        <v>-1012959.75728474</v>
      </c>
      <c r="E2525" s="61" t="n">
        <f aca="false">E2521+E2522+E2523+E2524</f>
        <v>-1204675.86555455</v>
      </c>
      <c r="F2525" s="61" t="n">
        <f aca="false">F2521+F2522+F2523+F2524</f>
        <v>-1445653.57038432</v>
      </c>
      <c r="G2525" s="61" t="n">
        <f aca="false">G2521+G2522+G2523+G2524</f>
        <v>-1666014.53752096</v>
      </c>
      <c r="H2525" s="2" t="s">
        <v>1419</v>
      </c>
    </row>
    <row r="2526" customFormat="false" ht="15" hidden="false" customHeight="false" outlineLevel="1" collapsed="false">
      <c r="A2526" s="7" t="s">
        <v>762</v>
      </c>
      <c r="B2526" s="8" t="s">
        <v>11</v>
      </c>
      <c r="C2526" s="61" t="n">
        <f aca="false">C2513</f>
        <v>0</v>
      </c>
      <c r="D2526" s="61" t="n">
        <f aca="false">D2513-C2513</f>
        <v>217419.095034247</v>
      </c>
      <c r="E2526" s="61" t="n">
        <f aca="false">E2513-D2513</f>
        <v>176718.559931507</v>
      </c>
      <c r="F2526" s="61" t="n">
        <f aca="false">F2513-E2513</f>
        <v>288439.566780822</v>
      </c>
      <c r="G2526" s="61" t="n">
        <f aca="false">G2513-F2513</f>
        <v>360000.177226028</v>
      </c>
      <c r="H2526" s="2" t="s">
        <v>1420</v>
      </c>
    </row>
    <row r="2527" customFormat="false" ht="15" hidden="false" customHeight="false" outlineLevel="1" collapsed="false">
      <c r="A2527" s="7" t="s">
        <v>763</v>
      </c>
      <c r="B2527" s="8" t="s">
        <v>11</v>
      </c>
      <c r="C2527" s="61" t="n">
        <f aca="false">-C2515</f>
        <v>-0</v>
      </c>
      <c r="D2527" s="61" t="n">
        <f aca="false">-(D2515-C2515)</f>
        <v>-43483.8190068493</v>
      </c>
      <c r="E2527" s="61" t="n">
        <f aca="false">-(E2515-D2515)</f>
        <v>-35343.7119863014</v>
      </c>
      <c r="F2527" s="61" t="n">
        <f aca="false">-(F2515-E2515)</f>
        <v>-57687.9133561644</v>
      </c>
      <c r="G2527" s="61" t="n">
        <f aca="false">-(G2515-F2515)</f>
        <v>-72000.0354452055</v>
      </c>
      <c r="H2527" s="2" t="s">
        <v>1421</v>
      </c>
    </row>
    <row r="2528" customFormat="false" ht="15" hidden="false" customHeight="false" outlineLevel="1" collapsed="false">
      <c r="A2528" s="7" t="s">
        <v>764</v>
      </c>
      <c r="B2528" s="8" t="s">
        <v>11</v>
      </c>
      <c r="C2528" s="61" t="n">
        <f aca="false">-C2518</f>
        <v>-0</v>
      </c>
      <c r="D2528" s="61" t="n">
        <f aca="false">-(D2518-C2518)</f>
        <v>-10870.9547517123</v>
      </c>
      <c r="E2528" s="61" t="n">
        <f aca="false">-(E2518-D2518)</f>
        <v>-8835.92799657534</v>
      </c>
      <c r="F2528" s="61" t="n">
        <f aca="false">-(F2518-E2518)</f>
        <v>-14421.9783390411</v>
      </c>
      <c r="G2528" s="61" t="n">
        <f aca="false">-(G2518-F2518)</f>
        <v>-18000.0088613014</v>
      </c>
      <c r="H2528" s="2" t="s">
        <v>1422</v>
      </c>
    </row>
    <row r="2529" customFormat="false" ht="15" hidden="false" customHeight="false" outlineLevel="1" collapsed="false">
      <c r="A2529" s="7" t="s">
        <v>765</v>
      </c>
      <c r="B2529" s="8" t="s">
        <v>11</v>
      </c>
      <c r="C2529" s="61" t="n">
        <f aca="false">-(C2517-Pressupostos!$C$108)</f>
        <v>31849.2328767123</v>
      </c>
      <c r="D2529" s="61" t="n">
        <f aca="false">-(D2517-C2517)</f>
        <v>-12523.0910958904</v>
      </c>
      <c r="E2529" s="61" t="n">
        <f aca="false">-(E2517-D2517)</f>
        <v>15708.3164383562</v>
      </c>
      <c r="F2529" s="61" t="n">
        <f aca="false">-(F2517-E2517)</f>
        <v>14965.5417808219</v>
      </c>
      <c r="G2529" s="61" t="n">
        <f aca="false">-(G2517-F2517)</f>
        <v>-0</v>
      </c>
      <c r="H2529" s="2" t="s">
        <v>1423</v>
      </c>
    </row>
    <row r="2530" customFormat="false" ht="15" hidden="false" customHeight="false" outlineLevel="1" collapsed="false">
      <c r="A2530" s="56" t="s">
        <v>766</v>
      </c>
      <c r="B2530" s="57" t="s">
        <v>11</v>
      </c>
      <c r="C2530" s="62" t="n">
        <f aca="false">C2525+C2526+C2527+C2528+C2529</f>
        <v>-806001.894407534</v>
      </c>
      <c r="D2530" s="62" t="n">
        <f aca="false">D2525+D2526+D2527+D2528+D2529</f>
        <v>-862418.527104941</v>
      </c>
      <c r="E2530" s="62" t="n">
        <f aca="false">E2525+E2526+E2527+E2528+E2529</f>
        <v>-1056428.62916756</v>
      </c>
      <c r="F2530" s="62" t="n">
        <f aca="false">F2525+F2526+F2527+F2528+F2529</f>
        <v>-1214358.35351788</v>
      </c>
      <c r="G2530" s="62" t="n">
        <f aca="false">G2525+G2526+G2527+G2528+G2529</f>
        <v>-1396014.40460144</v>
      </c>
      <c r="H2530" s="2" t="s">
        <v>1424</v>
      </c>
    </row>
    <row r="2531" customFormat="false" ht="15" hidden="false" customHeight="false" outlineLevel="1" collapsed="false">
      <c r="A2531" s="56" t="s">
        <v>767</v>
      </c>
      <c r="B2531" s="57" t="s">
        <v>11</v>
      </c>
      <c r="C2531" s="62" t="n">
        <f aca="false">C2530</f>
        <v>-806001.894407534</v>
      </c>
      <c r="D2531" s="62" t="n">
        <f aca="false">C2531+D2530</f>
        <v>-1668420.42151248</v>
      </c>
      <c r="E2531" s="62" t="n">
        <f aca="false">D2531+E2530</f>
        <v>-2724849.05068004</v>
      </c>
      <c r="F2531" s="62" t="n">
        <f aca="false">E2531+F2530</f>
        <v>-3939207.40419792</v>
      </c>
      <c r="G2531" s="62" t="n">
        <f aca="false">F2531+G2530</f>
        <v>-5335221.80879937</v>
      </c>
      <c r="H2531" s="2" t="s">
        <v>1425</v>
      </c>
    </row>
    <row r="2532" customFormat="false" ht="15" hidden="false" customHeight="false" outlineLevel="1" collapsed="false">
      <c r="A2532" s="8" t="s">
        <v>768</v>
      </c>
      <c r="B2532" s="8" t="s">
        <v>11</v>
      </c>
      <c r="C2532" s="70" t="n">
        <f aca="false">ROUND(C2487-C2471-C2502-(MAX(C2516,Pressupostos!$C$108)-Pressupostos!$C$108)-(C2518)-C2530,6)</f>
        <v>0</v>
      </c>
      <c r="D2532" s="70" t="n">
        <f aca="false">ROUND(D2487-D2471-D2502-(MAX(D2516,Pressupostos!$C$108)-MAX(C2516,Pressupostos!$C$108))-(D2518-C2518)-D2530,6)</f>
        <v>0</v>
      </c>
      <c r="E2532" s="70" t="n">
        <f aca="false">ROUND(E2487-E2471-E2502-(MAX(E2516,Pressupostos!$C$108)-MAX(D2516,Pressupostos!$C$108))-(E2518-D2518)-E2530,6)</f>
        <v>0</v>
      </c>
      <c r="F2532" s="70" t="n">
        <f aca="false">ROUND(F2487-F2471-F2502-(MAX(F2516,Pressupostos!$C$108)-MAX(E2516,Pressupostos!$C$108))-(F2518-E2518)-F2530,6)</f>
        <v>0</v>
      </c>
      <c r="G2532" s="70" t="n">
        <f aca="false">ROUND(G2487-G2471-G2502-(MAX(G2516,Pressupostos!$C$108)-MAX(F2516,Pressupostos!$C$108))-(G2518-F2518)-G2530,6)</f>
        <v>0</v>
      </c>
      <c r="H2532" s="2" t="s">
        <v>1426</v>
      </c>
    </row>
    <row r="2533" customFormat="false" ht="15" hidden="false" customHeight="false" outlineLevel="0" collapsed="false">
      <c r="A2533" s="3" t="s">
        <v>1427</v>
      </c>
      <c r="B2533" s="4"/>
      <c r="C2533" s="4"/>
      <c r="D2533" s="4"/>
      <c r="E2533" s="4"/>
      <c r="F2533" s="4"/>
      <c r="G2533" s="4"/>
      <c r="H2533" s="4"/>
    </row>
    <row r="2534" customFormat="false" ht="15" hidden="false" customHeight="false" outlineLevel="1" collapsed="false">
      <c r="A2534" s="7" t="s">
        <v>770</v>
      </c>
      <c r="B2534" s="8" t="s">
        <v>11</v>
      </c>
      <c r="C2534" s="61" t="n">
        <f aca="false">0</f>
        <v>0</v>
      </c>
      <c r="D2534" s="61" t="n">
        <f aca="false">C2539</f>
        <v>150000</v>
      </c>
      <c r="E2534" s="61" t="n">
        <f aca="false">D2539</f>
        <v>150000</v>
      </c>
      <c r="F2534" s="61" t="n">
        <f aca="false">E2539</f>
        <v>150000</v>
      </c>
      <c r="G2534" s="61" t="n">
        <f aca="false">F2539</f>
        <v>150000</v>
      </c>
      <c r="H2534" s="2" t="s">
        <v>1428</v>
      </c>
    </row>
    <row r="2535" customFormat="false" ht="15" hidden="false" customHeight="false" outlineLevel="1" collapsed="false">
      <c r="A2535" s="7" t="s">
        <v>771</v>
      </c>
      <c r="B2535" s="8" t="s">
        <v>11</v>
      </c>
      <c r="C2535" s="61" t="n">
        <f aca="false">-(Pressupostos!$C$159+Pressupostos!$C$160+Pressupostos!$C$161+Pressupostos!$C$162+Pressupostos!$C$163+Pressupostos!$C$108)</f>
        <v>-145000</v>
      </c>
      <c r="D2535" s="61" t="n">
        <f aca="false">0</f>
        <v>0</v>
      </c>
      <c r="E2535" s="61" t="n">
        <f aca="false">0</f>
        <v>0</v>
      </c>
      <c r="F2535" s="61" t="n">
        <f aca="false">0</f>
        <v>0</v>
      </c>
      <c r="G2535" s="61" t="n">
        <f aca="false">0</f>
        <v>0</v>
      </c>
      <c r="H2535" s="2" t="s">
        <v>1429</v>
      </c>
    </row>
    <row r="2536" customFormat="false" ht="15" hidden="false" customHeight="false" outlineLevel="1" collapsed="false">
      <c r="A2536" s="7" t="s">
        <v>772</v>
      </c>
      <c r="B2536" s="8" t="s">
        <v>11</v>
      </c>
      <c r="C2536" s="53" t="n">
        <f aca="false">Pressupostos!$D$32</f>
        <v>1100000</v>
      </c>
      <c r="D2536" s="61" t="n">
        <f aca="false">0</f>
        <v>0</v>
      </c>
      <c r="E2536" s="61" t="n">
        <f aca="false">0</f>
        <v>0</v>
      </c>
      <c r="F2536" s="61" t="n">
        <f aca="false">0</f>
        <v>0</v>
      </c>
      <c r="G2536" s="61" t="n">
        <f aca="false">0</f>
        <v>0</v>
      </c>
      <c r="H2536" s="2" t="s">
        <v>1430</v>
      </c>
    </row>
    <row r="2537" customFormat="false" ht="15" hidden="false" customHeight="false" outlineLevel="1" collapsed="false">
      <c r="A2537" s="7" t="s">
        <v>773</v>
      </c>
      <c r="B2537" s="8" t="s">
        <v>11</v>
      </c>
      <c r="C2537" s="61" t="n">
        <f aca="false">C2534+C2535+C2536+C2530</f>
        <v>148998.105592466</v>
      </c>
      <c r="D2537" s="61" t="n">
        <f aca="false">D2534+D2535+D2536+D2530</f>
        <v>-712418.527104941</v>
      </c>
      <c r="E2537" s="61" t="n">
        <f aca="false">E2534+E2535+E2536+E2530</f>
        <v>-906428.629167564</v>
      </c>
      <c r="F2537" s="61" t="n">
        <f aca="false">F2534+F2535+F2536+F2530</f>
        <v>-1064358.35351788</v>
      </c>
      <c r="G2537" s="61" t="n">
        <f aca="false">G2534+G2535+G2536+G2530</f>
        <v>-1246014.40460144</v>
      </c>
      <c r="H2537" s="2" t="s">
        <v>1431</v>
      </c>
    </row>
    <row r="2538" customFormat="false" ht="15" hidden="false" customHeight="false" outlineLevel="1" collapsed="false">
      <c r="A2538" s="56" t="s">
        <v>774</v>
      </c>
      <c r="B2538" s="57" t="s">
        <v>11</v>
      </c>
      <c r="C2538" s="62" t="n">
        <f aca="false">MAX(0,Pressupostos!$C$170-C2537)</f>
        <v>1001.89440753427</v>
      </c>
      <c r="D2538" s="62" t="n">
        <f aca="false">MAX(0,Pressupostos!$C$170-D2537)</f>
        <v>862418.527104941</v>
      </c>
      <c r="E2538" s="62" t="n">
        <f aca="false">MAX(0,Pressupostos!$C$170-E2537)</f>
        <v>1056428.62916756</v>
      </c>
      <c r="F2538" s="62" t="n">
        <f aca="false">MAX(0,Pressupostos!$C$170-F2537)</f>
        <v>1214358.35351788</v>
      </c>
      <c r="G2538" s="62" t="n">
        <f aca="false">MAX(0,Pressupostos!$C$170-G2537)</f>
        <v>1396014.40460144</v>
      </c>
      <c r="H2538" s="2" t="s">
        <v>1432</v>
      </c>
    </row>
    <row r="2539" customFormat="false" ht="15" hidden="false" customHeight="false" outlineLevel="1" collapsed="false">
      <c r="A2539" s="56" t="s">
        <v>775</v>
      </c>
      <c r="B2539" s="57" t="s">
        <v>11</v>
      </c>
      <c r="C2539" s="62" t="n">
        <f aca="false">C2537+C2538</f>
        <v>150000</v>
      </c>
      <c r="D2539" s="62" t="n">
        <f aca="false">D2537+D2538</f>
        <v>150000</v>
      </c>
      <c r="E2539" s="62" t="n">
        <f aca="false">E2537+E2538</f>
        <v>150000</v>
      </c>
      <c r="F2539" s="62" t="n">
        <f aca="false">F2537+F2538</f>
        <v>150000</v>
      </c>
      <c r="G2539" s="62" t="n">
        <f aca="false">G2537+G2538</f>
        <v>150000</v>
      </c>
      <c r="H2539" s="2" t="s">
        <v>1433</v>
      </c>
    </row>
    <row r="2540" customFormat="false" ht="15" hidden="false" customHeight="false" outlineLevel="1" collapsed="false">
      <c r="A2540" s="7" t="s">
        <v>776</v>
      </c>
      <c r="B2540" s="8" t="s">
        <v>11</v>
      </c>
      <c r="C2540" s="61" t="n">
        <f aca="false">C2515+C2518+C2517</f>
        <v>18150.7671232877</v>
      </c>
      <c r="D2540" s="61" t="n">
        <f aca="false">D2515+D2518+D2517</f>
        <v>85028.6319777397</v>
      </c>
      <c r="E2540" s="61" t="n">
        <f aca="false">E2515+E2518+E2517</f>
        <v>113499.95552226</v>
      </c>
      <c r="F2540" s="61" t="n">
        <f aca="false">F2515+F2518+F2517</f>
        <v>170644.305436644</v>
      </c>
      <c r="G2540" s="61" t="n">
        <f aca="false">G2515+G2518+G2517</f>
        <v>260644.349743151</v>
      </c>
      <c r="H2540" s="2" t="s">
        <v>1434</v>
      </c>
    </row>
    <row r="2541" customFormat="false" ht="15" hidden="false" customHeight="false" outlineLevel="1" collapsed="false">
      <c r="A2541" s="7" t="s">
        <v>777</v>
      </c>
      <c r="B2541" s="8" t="s">
        <v>11</v>
      </c>
      <c r="C2541" s="61" t="n">
        <f aca="false">C2539+C2540</f>
        <v>168150.767123288</v>
      </c>
      <c r="D2541" s="61" t="n">
        <f aca="false">D2539+D2540</f>
        <v>235028.63197774</v>
      </c>
      <c r="E2541" s="61" t="n">
        <f aca="false">E2539+E2540</f>
        <v>263499.95552226</v>
      </c>
      <c r="F2541" s="61" t="n">
        <f aca="false">F2539+F2540</f>
        <v>320644.305436644</v>
      </c>
      <c r="G2541" s="61" t="n">
        <f aca="false">G2539+G2540</f>
        <v>410644.349743151</v>
      </c>
      <c r="H2541" s="2" t="s">
        <v>1435</v>
      </c>
    </row>
    <row r="2542" customFormat="false" ht="15" hidden="false" customHeight="false" outlineLevel="1" collapsed="false">
      <c r="A2542" s="7" t="s">
        <v>778</v>
      </c>
      <c r="B2542" s="8" t="s">
        <v>11</v>
      </c>
      <c r="C2542" s="61" t="n">
        <f aca="false">C2536+C2538</f>
        <v>1101001.89440753</v>
      </c>
      <c r="D2542" s="61" t="n">
        <f aca="false">C2542+D2536+D2538</f>
        <v>1963420.42151248</v>
      </c>
      <c r="E2542" s="61" t="n">
        <f aca="false">D2542+E2536+E2538</f>
        <v>3019849.05068004</v>
      </c>
      <c r="F2542" s="61" t="n">
        <f aca="false">E2542+F2536+F2538</f>
        <v>4234207.40419792</v>
      </c>
      <c r="G2542" s="61" t="n">
        <f aca="false">F2542+G2536+G2538</f>
        <v>5630221.80879937</v>
      </c>
      <c r="H2542" s="2" t="s">
        <v>1436</v>
      </c>
    </row>
    <row r="2543" customFormat="false" ht="15" hidden="false" customHeight="false" outlineLevel="0" collapsed="false">
      <c r="A2543" s="3" t="s">
        <v>1437</v>
      </c>
      <c r="B2543" s="4"/>
      <c r="C2543" s="4"/>
      <c r="D2543" s="4"/>
      <c r="E2543" s="4"/>
      <c r="F2543" s="4"/>
      <c r="G2543" s="4"/>
      <c r="H2543" s="4"/>
    </row>
    <row r="2544" customFormat="false" ht="15" hidden="false" customHeight="false" outlineLevel="1" collapsed="false">
      <c r="A2544" s="7" t="s">
        <v>782</v>
      </c>
      <c r="B2544" s="8" t="s">
        <v>11</v>
      </c>
      <c r="C2544" s="72" t="n">
        <f aca="false">Pressupostos!$C$159+Pressupostos!$C$160+Pressupostos!$C$161+Pressupostos!$C$162+Pressupostos!$C$163</f>
        <v>95000</v>
      </c>
      <c r="H2544" s="2" t="s">
        <v>1438</v>
      </c>
    </row>
    <row r="2545" customFormat="false" ht="15" hidden="false" customHeight="false" outlineLevel="1" collapsed="false">
      <c r="A2545" s="7" t="s">
        <v>783</v>
      </c>
      <c r="B2545" s="8" t="s">
        <v>11</v>
      </c>
      <c r="C2545" s="73" t="n">
        <f aca="false">Pressupostos!$C$108</f>
        <v>50000</v>
      </c>
      <c r="H2545" s="2" t="s">
        <v>1439</v>
      </c>
    </row>
    <row r="2546" customFormat="false" ht="15" hidden="false" customHeight="false" outlineLevel="1" collapsed="false">
      <c r="A2546" s="7" t="s">
        <v>322</v>
      </c>
      <c r="B2546" s="8" t="s">
        <v>11</v>
      </c>
      <c r="C2546" s="73" t="n">
        <f aca="false">Pressupostos!$C$170</f>
        <v>150000</v>
      </c>
      <c r="H2546" s="2" t="s">
        <v>1440</v>
      </c>
    </row>
    <row r="2547" customFormat="false" ht="15" hidden="false" customHeight="false" outlineLevel="1" collapsed="false">
      <c r="A2547" s="7" t="s">
        <v>784</v>
      </c>
      <c r="B2547" s="8" t="s">
        <v>11</v>
      </c>
      <c r="C2547" s="72" t="n">
        <f aca="false">MAX(0,-MIN($C$2531:$G$2531))</f>
        <v>5335221.80879937</v>
      </c>
      <c r="H2547" s="2" t="s">
        <v>1441</v>
      </c>
    </row>
    <row r="2548" customFormat="false" ht="15" hidden="false" customHeight="false" outlineLevel="1" collapsed="false">
      <c r="A2548" s="56" t="s">
        <v>785</v>
      </c>
      <c r="B2548" s="57" t="s">
        <v>11</v>
      </c>
      <c r="C2548" s="74" t="n">
        <f aca="false">C2544+C2545+C2546+C2547</f>
        <v>5630221.80879937</v>
      </c>
      <c r="H2548" s="2" t="s">
        <v>1442</v>
      </c>
    </row>
    <row r="2549" customFormat="false" ht="15" hidden="false" customHeight="false" outlineLevel="1" collapsed="false">
      <c r="A2549" s="7" t="s">
        <v>786</v>
      </c>
      <c r="B2549" s="8" t="s">
        <v>20</v>
      </c>
      <c r="C2549" s="75" t="n">
        <f aca="false">INDEX($C$2276:$G$2276,1,MATCH(MIN($C$2531:$G$2531),$C$2531:$G$2531,0))</f>
        <v>2031</v>
      </c>
      <c r="H2549" s="2" t="s">
        <v>1443</v>
      </c>
    </row>
    <row r="2550" customFormat="false" ht="15" hidden="false" customHeight="false" outlineLevel="1" collapsed="false">
      <c r="A2550" s="7" t="s">
        <v>787</v>
      </c>
      <c r="B2550" s="8"/>
      <c r="C2550" s="76" t="str">
        <f aca="false">IF(G2530&lt;0,"sim","não")</f>
        <v>sim</v>
      </c>
      <c r="H2550" s="2" t="s">
        <v>1444</v>
      </c>
    </row>
    <row r="2551" customFormat="false" ht="15" hidden="false" customHeight="false" outlineLevel="1" collapsed="false">
      <c r="A2551" s="7" t="s">
        <v>788</v>
      </c>
      <c r="B2551" s="8" t="s">
        <v>11</v>
      </c>
      <c r="C2551" s="72" t="n">
        <f aca="false">G2542</f>
        <v>5630221.80879937</v>
      </c>
      <c r="H2551" s="2" t="s">
        <v>1445</v>
      </c>
    </row>
    <row r="2552" customFormat="false" ht="15" hidden="false" customHeight="false" outlineLevel="0" collapsed="false">
      <c r="A2552" s="3" t="s">
        <v>1446</v>
      </c>
      <c r="B2552" s="4"/>
      <c r="C2552" s="4"/>
      <c r="D2552" s="4"/>
      <c r="E2552" s="4"/>
      <c r="F2552" s="4"/>
      <c r="G2552" s="4"/>
      <c r="H2552" s="4"/>
    </row>
    <row r="2553" customFormat="false" ht="15" hidden="false" customHeight="false" outlineLevel="1" collapsed="false">
      <c r="A2553" s="7" t="s">
        <v>790</v>
      </c>
      <c r="B2553" s="8" t="s">
        <v>11</v>
      </c>
      <c r="C2553" s="72" t="n">
        <f aca="false">C2544+C2545</f>
        <v>145000</v>
      </c>
      <c r="H2553" s="2" t="s">
        <v>1447</v>
      </c>
    </row>
    <row r="2554" customFormat="false" ht="15" hidden="false" customHeight="false" outlineLevel="1" collapsed="false">
      <c r="A2554" s="7" t="s">
        <v>791</v>
      </c>
      <c r="B2554" s="8" t="s">
        <v>11</v>
      </c>
      <c r="C2554" s="72" t="n">
        <f aca="false">-SUMPRODUCT(($C$2276:$G$2276&lt;=C2549)*$C$2487:$G$2487)</f>
        <v>4980419.3922754</v>
      </c>
      <c r="H2554" s="2" t="s">
        <v>1448</v>
      </c>
    </row>
    <row r="2555" customFormat="false" ht="15" hidden="false" customHeight="false" outlineLevel="1" collapsed="false">
      <c r="A2555" s="7" t="s">
        <v>424</v>
      </c>
      <c r="B2555" s="8" t="s">
        <v>11</v>
      </c>
      <c r="C2555" s="72" t="n">
        <f aca="false">SUMPRODUCT(($C$2276:$G$2276&lt;=C2549)*$C$2471:$G$2471)</f>
        <v>260000</v>
      </c>
      <c r="H2555" s="2" t="s">
        <v>1449</v>
      </c>
    </row>
    <row r="2556" customFormat="false" ht="15" hidden="false" customHeight="false" outlineLevel="1" collapsed="false">
      <c r="A2556" s="7" t="s">
        <v>792</v>
      </c>
      <c r="B2556" s="8" t="s">
        <v>11</v>
      </c>
      <c r="C2556" s="72" t="n">
        <f aca="false">SUMPRODUCT(($C$2276:$G$2276&lt;=C2549)*$C$2502:$G$2502)</f>
        <v>0</v>
      </c>
      <c r="H2556" s="2" t="s">
        <v>1450</v>
      </c>
    </row>
    <row r="2557" customFormat="false" ht="15" hidden="false" customHeight="false" outlineLevel="1" collapsed="false">
      <c r="A2557" s="7" t="s">
        <v>793</v>
      </c>
      <c r="B2557" s="8" t="s">
        <v>11</v>
      </c>
      <c r="C2557" s="72" t="n">
        <f aca="false">C2547-C2554-C2555-C2556</f>
        <v>94802.4165239725</v>
      </c>
      <c r="H2557" s="2" t="s">
        <v>1451</v>
      </c>
    </row>
    <row r="2558" customFormat="false" ht="15" hidden="false" customHeight="false" outlineLevel="1" collapsed="false">
      <c r="A2558" s="7" t="s">
        <v>322</v>
      </c>
      <c r="B2558" s="8" t="s">
        <v>11</v>
      </c>
      <c r="C2558" s="72" t="n">
        <f aca="false">C2546</f>
        <v>150000</v>
      </c>
      <c r="H2558" s="2" t="s">
        <v>1452</v>
      </c>
    </row>
    <row r="2559" customFormat="false" ht="15" hidden="false" customHeight="false" outlineLevel="1" collapsed="false">
      <c r="A2559" s="56" t="s">
        <v>794</v>
      </c>
      <c r="B2559" s="57" t="s">
        <v>11</v>
      </c>
      <c r="C2559" s="74" t="n">
        <f aca="false">C2553+C2554+C2555+C2556+C2557+C2558</f>
        <v>5630221.80879937</v>
      </c>
      <c r="H2559" s="2" t="s">
        <v>1453</v>
      </c>
    </row>
    <row r="2560" customFormat="false" ht="15" hidden="false" customHeight="false" outlineLevel="0" collapsed="false">
      <c r="A2560" s="3" t="s">
        <v>1454</v>
      </c>
      <c r="B2560" s="4"/>
      <c r="C2560" s="4"/>
      <c r="D2560" s="4"/>
      <c r="E2560" s="4"/>
      <c r="F2560" s="4"/>
      <c r="G2560" s="4"/>
      <c r="H2560" s="4"/>
    </row>
    <row r="2561" customFormat="false" ht="15" hidden="false" customHeight="false" outlineLevel="1" collapsed="false">
      <c r="A2561" s="7" t="s">
        <v>772</v>
      </c>
      <c r="B2561" s="8" t="s">
        <v>11</v>
      </c>
      <c r="C2561" s="73" t="n">
        <f aca="false">Pressupostos!$D$32</f>
        <v>1100000</v>
      </c>
      <c r="H2561" s="2" t="s">
        <v>1455</v>
      </c>
    </row>
    <row r="2562" customFormat="false" ht="15" hidden="false" customHeight="false" outlineLevel="1" collapsed="false">
      <c r="A2562" s="7" t="s">
        <v>796</v>
      </c>
      <c r="B2562" s="8" t="s">
        <v>11</v>
      </c>
      <c r="C2562" s="72" t="n">
        <f aca="false">C2544+Pressupostos!$C$108+Pressupostos!$C$130/12*((C2446-C2434-C2435+(C2434+C2435)/Pressupostos!$C$128*Pressupostos!$C$129)*(1+Pressupostos!$C$124+Pressupostos!$C$125)+C2432*Pressupostos!$C$126+C2465)+C2471+MAX(0,Pressupostos!$C$183*1000*(C2297+C2300)+Pressupostos!$C$184*1000*(C2320+C2323)-Pressupostos!$C$108)</f>
        <v>734321.666666667</v>
      </c>
      <c r="H2562" s="2" t="s">
        <v>1456</v>
      </c>
    </row>
    <row r="2563" customFormat="false" ht="15" hidden="false" customHeight="false" outlineLevel="1" collapsed="false">
      <c r="A2563" s="7" t="s">
        <v>798</v>
      </c>
      <c r="B2563" s="8" t="s">
        <v>11</v>
      </c>
      <c r="C2563" s="72" t="n">
        <f aca="false">C2544+Pressupostos!$C$108-C2530</f>
        <v>951001.894407534</v>
      </c>
      <c r="H2563" s="2" t="s">
        <v>1457</v>
      </c>
    </row>
    <row r="2564" customFormat="false" ht="15" hidden="false" customHeight="false" outlineLevel="1" collapsed="false">
      <c r="A2564" s="7" t="s">
        <v>799</v>
      </c>
      <c r="B2564" s="8" t="s">
        <v>11</v>
      </c>
      <c r="C2564" s="61" t="n">
        <f aca="false">Pressupostos!$D$32-C2544-Pressupostos!$C$108+C2531</f>
        <v>148998.105592466</v>
      </c>
      <c r="D2564" s="61" t="n">
        <f aca="false">Pressupostos!$D$32-C2544-Pressupostos!$C$108+D2531</f>
        <v>-713420.421512476</v>
      </c>
      <c r="E2564" s="61" t="n">
        <f aca="false">Pressupostos!$D$32-C2544-Pressupostos!$C$108+E2531</f>
        <v>-1769849.05068004</v>
      </c>
      <c r="F2564" s="61" t="n">
        <f aca="false">Pressupostos!$D$32-C2544-Pressupostos!$C$108+F2531</f>
        <v>-2984207.40419792</v>
      </c>
      <c r="G2564" s="61" t="n">
        <f aca="false">Pressupostos!$D$32-C2544-Pressupostos!$C$108+G2531</f>
        <v>-4380221.80879937</v>
      </c>
      <c r="H2564" s="2" t="s">
        <v>1458</v>
      </c>
    </row>
    <row r="2565" customFormat="false" ht="15" hidden="false" customHeight="false" outlineLevel="1" collapsed="false">
      <c r="A2565" s="7" t="s">
        <v>800</v>
      </c>
      <c r="B2565" s="8" t="s">
        <v>18</v>
      </c>
      <c r="C2565" s="77" t="str">
        <f aca="false">IF(AND(Pressupostos!$D$32-C2544-Pressupostos!$C$108&gt;0,C2564&lt;=0),12*(Pressupostos!$D$32-C2544-Pressupostos!$C$108)/(Pressupostos!$D$32-C2544-Pressupostos!$C$108-C2564),"")</f>
        <v/>
      </c>
      <c r="D2565" s="77" t="n">
        <f aca="false">IF(AND(C2564&gt;0,D2564&lt;=0),12+12*C2564/(C2564-D2564),"")</f>
        <v>14.0732129597351</v>
      </c>
      <c r="E2565" s="77" t="str">
        <f aca="false">IF(AND(D2564&gt;0,E2564&lt;=0),24+12*D2564/(D2564-E2564),"")</f>
        <v/>
      </c>
      <c r="F2565" s="77" t="str">
        <f aca="false">IF(AND(E2564&gt;0,F2564&lt;=0),36+12*E2564/(E2564-F2564),"")</f>
        <v/>
      </c>
      <c r="G2565" s="77" t="str">
        <f aca="false">IF(AND(F2564&gt;0,G2564&lt;=0),48+12*F2564/(F2564-G2564),"")</f>
        <v/>
      </c>
      <c r="H2565" s="2" t="s">
        <v>1459</v>
      </c>
    </row>
    <row r="2566" customFormat="false" ht="15" hidden="false" customHeight="false" outlineLevel="1" collapsed="false">
      <c r="A2566" s="56" t="s">
        <v>801</v>
      </c>
      <c r="B2566" s="57" t="s">
        <v>274</v>
      </c>
      <c r="C2566" s="78" t="n">
        <f aca="false">IF(COUNT($C$2565:$G$2565)=0,"&gt; 60",MIN($C$2565:$G$2565))</f>
        <v>14.0732129597351</v>
      </c>
      <c r="H2566" s="2" t="s">
        <v>1460</v>
      </c>
    </row>
    <row r="2567" customFormat="false" ht="15" hidden="false" customHeight="false" outlineLevel="0" collapsed="false">
      <c r="A2567" s="3" t="s">
        <v>1461</v>
      </c>
      <c r="B2567" s="4"/>
      <c r="C2567" s="4"/>
      <c r="D2567" s="4"/>
      <c r="E2567" s="4"/>
      <c r="F2567" s="4"/>
      <c r="G2567" s="4"/>
      <c r="H2567" s="4"/>
    </row>
    <row r="2568" customFormat="false" ht="15" hidden="false" customHeight="false" outlineLevel="1" collapsed="false">
      <c r="A2568" s="7" t="s">
        <v>803</v>
      </c>
      <c r="B2568" s="8" t="s">
        <v>18</v>
      </c>
      <c r="C2568" s="77" t="str">
        <f aca="false">IF(C2487&gt;=0,1,"")</f>
        <v/>
      </c>
      <c r="D2568" s="77" t="str">
        <f aca="false">IF(AND(C2487&lt;0,D2487&gt;=0),6.5+12*(-C2487)/(D2487-C2487),"")</f>
        <v/>
      </c>
      <c r="E2568" s="77" t="str">
        <f aca="false">IF(AND(D2487&lt;0,E2487&gt;=0),18.5+12*(-D2487)/(E2487-D2487),"")</f>
        <v/>
      </c>
      <c r="F2568" s="77" t="str">
        <f aca="false">IF(AND(E2487&lt;0,F2487&gt;=0),30.5+12*(-E2487)/(F2487-E2487),"")</f>
        <v/>
      </c>
      <c r="G2568" s="77" t="str">
        <f aca="false">IF(AND(F2487&lt;0,G2487&gt;=0),42.5+12*(-F2487)/(G2487-F2487),"")</f>
        <v/>
      </c>
      <c r="H2568" s="2" t="s">
        <v>1462</v>
      </c>
    </row>
    <row r="2569" customFormat="false" ht="15" hidden="false" customHeight="false" outlineLevel="1" collapsed="false">
      <c r="A2569" s="7" t="s">
        <v>804</v>
      </c>
      <c r="B2569" s="8" t="s">
        <v>18</v>
      </c>
      <c r="C2569" s="79" t="str">
        <f aca="false">IF(COUNT($C$2568:$G$2568)=0,"não atinge até 2031",ROUNDUP(MIN($C$2568:$G$2568),0))</f>
        <v>não atinge até 2031</v>
      </c>
      <c r="H2569" s="2" t="s">
        <v>1463</v>
      </c>
    </row>
    <row r="2570" customFormat="false" ht="15" hidden="false" customHeight="false" outlineLevel="1" collapsed="false">
      <c r="A2570" s="56" t="s">
        <v>805</v>
      </c>
      <c r="B2570" s="57" t="s">
        <v>806</v>
      </c>
      <c r="C2570" s="80" t="str">
        <f aca="false">IF(ISNUMBER(C2569),DATE(2027,C2569,1),"não atinge até 2031")</f>
        <v>não atinge até 2031</v>
      </c>
      <c r="H2570" s="2" t="s">
        <v>1464</v>
      </c>
    </row>
    <row r="2571" customFormat="false" ht="15" hidden="false" customHeight="false" outlineLevel="1" collapsed="false">
      <c r="A2571" s="7" t="s">
        <v>807</v>
      </c>
      <c r="B2571" s="8" t="s">
        <v>20</v>
      </c>
      <c r="C2571" s="81" t="str">
        <f aca="false">IF(C2487&gt;=0,C2276,"")</f>
        <v/>
      </c>
      <c r="D2571" s="81" t="str">
        <f aca="false">IF(D2487&gt;=0,D2276,"")</f>
        <v/>
      </c>
      <c r="E2571" s="81" t="str">
        <f aca="false">IF(E2487&gt;=0,E2276,"")</f>
        <v/>
      </c>
      <c r="F2571" s="81" t="str">
        <f aca="false">IF(F2487&gt;=0,F2276,"")</f>
        <v/>
      </c>
      <c r="G2571" s="81" t="str">
        <f aca="false">IF(G2487&gt;=0,G2276,"")</f>
        <v/>
      </c>
      <c r="H2571" s="2" t="s">
        <v>1465</v>
      </c>
    </row>
    <row r="2572" customFormat="false" ht="15" hidden="false" customHeight="false" outlineLevel="1" collapsed="false">
      <c r="A2572" s="7" t="s">
        <v>808</v>
      </c>
      <c r="B2572" s="8" t="s">
        <v>20</v>
      </c>
      <c r="C2572" s="75" t="str">
        <f aca="false">IF(COUNT($C$2571:$G$2571)=0,"não atinge até 2031",MIN($C$2571:$G$2571))</f>
        <v>não atinge até 2031</v>
      </c>
      <c r="H2572" s="2" t="s">
        <v>1466</v>
      </c>
    </row>
    <row r="2573" customFormat="false" ht="15" hidden="false" customHeight="false" outlineLevel="1" collapsed="false">
      <c r="A2573" s="7" t="s">
        <v>809</v>
      </c>
      <c r="B2573" s="8" t="s">
        <v>20</v>
      </c>
      <c r="C2573" s="81" t="str">
        <f aca="false">IF(C2505&gt;=0,C2276,"")</f>
        <v/>
      </c>
      <c r="D2573" s="81" t="str">
        <f aca="false">IF(D2505&gt;=0,D2276,"")</f>
        <v/>
      </c>
      <c r="E2573" s="81" t="str">
        <f aca="false">IF(E2505&gt;=0,E2276,"")</f>
        <v/>
      </c>
      <c r="F2573" s="81" t="str">
        <f aca="false">IF(F2505&gt;=0,F2276,"")</f>
        <v/>
      </c>
      <c r="G2573" s="81" t="str">
        <f aca="false">IF(G2505&gt;=0,G2276,"")</f>
        <v/>
      </c>
      <c r="H2573" s="2" t="s">
        <v>1467</v>
      </c>
    </row>
    <row r="2574" customFormat="false" ht="15" hidden="false" customHeight="false" outlineLevel="1" collapsed="false">
      <c r="A2574" s="7" t="s">
        <v>810</v>
      </c>
      <c r="B2574" s="8" t="s">
        <v>20</v>
      </c>
      <c r="C2574" s="75" t="str">
        <f aca="false">IF(COUNT($C$2573:$G$2573)=0,"não atinge até 2031",MIN($C$2573:$G$2573))</f>
        <v>não atinge até 2031</v>
      </c>
      <c r="H2574" s="2" t="s">
        <v>1468</v>
      </c>
    </row>
    <row r="2575" customFormat="false" ht="15" hidden="false" customHeight="false" outlineLevel="1" collapsed="false">
      <c r="A2575" s="7" t="s">
        <v>811</v>
      </c>
      <c r="B2575" s="8" t="s">
        <v>20</v>
      </c>
      <c r="C2575" s="81" t="str">
        <f aca="false">IF(C2530&gt;=0,C2276,"")</f>
        <v/>
      </c>
      <c r="D2575" s="81" t="str">
        <f aca="false">IF(D2530&gt;=0,D2276,"")</f>
        <v/>
      </c>
      <c r="E2575" s="81" t="str">
        <f aca="false">IF(E2530&gt;=0,E2276,"")</f>
        <v/>
      </c>
      <c r="F2575" s="81" t="str">
        <f aca="false">IF(F2530&gt;=0,F2276,"")</f>
        <v/>
      </c>
      <c r="G2575" s="81" t="str">
        <f aca="false">IF(G2530&gt;=0,G2276,"")</f>
        <v/>
      </c>
      <c r="H2575" s="2" t="s">
        <v>1469</v>
      </c>
    </row>
    <row r="2576" customFormat="false" ht="15" hidden="false" customHeight="false" outlineLevel="1" collapsed="false">
      <c r="A2576" s="7" t="s">
        <v>19</v>
      </c>
      <c r="B2576" s="8" t="s">
        <v>20</v>
      </c>
      <c r="C2576" s="75" t="str">
        <f aca="false">IF(COUNT($C$2575:$G$2575)=0,"não atinge até 2031",MIN($C$2575:$G$2575))</f>
        <v>não atinge até 2031</v>
      </c>
      <c r="H2576" s="2" t="s">
        <v>1470</v>
      </c>
    </row>
    <row r="2577" customFormat="false" ht="15" hidden="false" customHeight="false" outlineLevel="0" collapsed="false">
      <c r="A2577" s="3" t="s">
        <v>1471</v>
      </c>
      <c r="B2577" s="4"/>
      <c r="C2577" s="4"/>
      <c r="D2577" s="4"/>
      <c r="E2577" s="4"/>
      <c r="F2577" s="4"/>
      <c r="G2577" s="4"/>
      <c r="H2577" s="4"/>
    </row>
    <row r="2578" customFormat="false" ht="15" hidden="false" customHeight="false" outlineLevel="1" collapsed="false">
      <c r="A2578" s="7" t="s">
        <v>813</v>
      </c>
      <c r="B2578" s="8" t="s">
        <v>11</v>
      </c>
      <c r="C2578" s="61" t="n">
        <f aca="false">C2513</f>
        <v>0</v>
      </c>
      <c r="D2578" s="61" t="n">
        <f aca="false">D2513</f>
        <v>217419.095034247</v>
      </c>
      <c r="E2578" s="61" t="n">
        <f aca="false">E2513</f>
        <v>394137.654965753</v>
      </c>
      <c r="F2578" s="61" t="n">
        <f aca="false">F2513</f>
        <v>682577.221746575</v>
      </c>
      <c r="G2578" s="61" t="n">
        <f aca="false">G2513</f>
        <v>1042577.3989726</v>
      </c>
      <c r="H2578" s="2" t="s">
        <v>1472</v>
      </c>
    </row>
    <row r="2579" customFormat="false" ht="15" hidden="false" customHeight="false" outlineLevel="1" collapsed="false">
      <c r="A2579" s="7" t="s">
        <v>509</v>
      </c>
      <c r="B2579" s="8" t="s">
        <v>76</v>
      </c>
      <c r="C2579" s="82" t="n">
        <f aca="false">Pressupostos!$C$288</f>
        <v>0.08</v>
      </c>
      <c r="D2579" s="82" t="n">
        <f aca="false">Pressupostos!$D$288</f>
        <v>0.08</v>
      </c>
      <c r="E2579" s="82" t="n">
        <f aca="false">Pressupostos!$E$288</f>
        <v>0.075</v>
      </c>
      <c r="F2579" s="82" t="n">
        <f aca="false">Pressupostos!$F$288</f>
        <v>0.07</v>
      </c>
      <c r="G2579" s="82" t="n">
        <f aca="false">Pressupostos!$G$288</f>
        <v>0.07</v>
      </c>
      <c r="H2579" s="2" t="s">
        <v>1473</v>
      </c>
    </row>
    <row r="2580" customFormat="false" ht="15" hidden="false" customHeight="false" outlineLevel="1" collapsed="false">
      <c r="A2580" s="7" t="s">
        <v>814</v>
      </c>
      <c r="B2580" s="8" t="s">
        <v>76</v>
      </c>
      <c r="C2580" s="60" t="n">
        <f aca="false">Pressupostos!$C$288*(1-Pressupostos!$C$111)</f>
        <v>0.0576</v>
      </c>
      <c r="D2580" s="60" t="n">
        <f aca="false">Pressupostos!$D$288*(1-Pressupostos!$C$111)</f>
        <v>0.0576</v>
      </c>
      <c r="E2580" s="60" t="n">
        <f aca="false">Pressupostos!$E$288*(1-Pressupostos!$C$111)</f>
        <v>0.054</v>
      </c>
      <c r="F2580" s="60" t="n">
        <f aca="false">Pressupostos!$F$288*(1-Pressupostos!$C$111)</f>
        <v>0.0504</v>
      </c>
      <c r="G2580" s="60" t="n">
        <f aca="false">Pressupostos!$G$288*(1-Pressupostos!$C$111)</f>
        <v>0.0504</v>
      </c>
      <c r="H2580" s="2" t="s">
        <v>1474</v>
      </c>
    </row>
    <row r="2581" customFormat="false" ht="15" hidden="false" customHeight="false" outlineLevel="1" collapsed="false">
      <c r="A2581" s="7" t="s">
        <v>815</v>
      </c>
      <c r="B2581" s="8" t="s">
        <v>11</v>
      </c>
      <c r="C2581" s="61" t="n">
        <f aca="false">C2417</f>
        <v>0</v>
      </c>
      <c r="D2581" s="61" t="n">
        <f aca="false">D2417</f>
        <v>16321.9191780822</v>
      </c>
      <c r="E2581" s="61" t="n">
        <f aca="false">E2417</f>
        <v>27139.7446489726</v>
      </c>
      <c r="F2581" s="61" t="n">
        <f aca="false">F2417</f>
        <v>43783.4843321918</v>
      </c>
      <c r="G2581" s="61" t="n">
        <f aca="false">G2417</f>
        <v>66875.3090753425</v>
      </c>
      <c r="H2581" s="2" t="s">
        <v>1475</v>
      </c>
    </row>
    <row r="2582" customFormat="false" ht="15" hidden="false" customHeight="false" outlineLevel="1" collapsed="false">
      <c r="A2582" s="7" t="s">
        <v>816</v>
      </c>
      <c r="B2582" s="8" t="s">
        <v>76</v>
      </c>
      <c r="C2582" s="59" t="n">
        <f aca="false">IF(C2513&gt;0,(C2516+C2518)/C2513,0)</f>
        <v>0</v>
      </c>
      <c r="D2582" s="59" t="n">
        <f aca="false">IF(D2513&gt;0,(D2516+D2518)/D2513,0)</f>
        <v>0.138888888888889</v>
      </c>
      <c r="E2582" s="59" t="n">
        <f aca="false">IF(E2513&gt;0,(E2516+E2518)/E2513,0)</f>
        <v>0.138888888888889</v>
      </c>
      <c r="F2582" s="59" t="n">
        <f aca="false">IF(F2513&gt;0,(F2516+F2518)/F2513,0)</f>
        <v>0.138888888888889</v>
      </c>
      <c r="G2582" s="59" t="n">
        <f aca="false">IF(G2513&gt;0,(G2516+G2518)/G2513,0)</f>
        <v>0.138888888888889</v>
      </c>
      <c r="H2582" s="2" t="s">
        <v>1476</v>
      </c>
    </row>
    <row r="2583" customFormat="false" ht="15" hidden="false" customHeight="false" outlineLevel="1" collapsed="false">
      <c r="A2583" s="7" t="s">
        <v>817</v>
      </c>
      <c r="B2583" s="8" t="s">
        <v>123</v>
      </c>
      <c r="C2583" s="61" t="n">
        <f aca="false">C2519</f>
        <v>0</v>
      </c>
      <c r="D2583" s="61" t="n">
        <f aca="false">D2519</f>
        <v>4.34838190068493</v>
      </c>
      <c r="E2583" s="61" t="n">
        <f aca="false">E2519</f>
        <v>7.88275309931507</v>
      </c>
      <c r="F2583" s="61" t="n">
        <f aca="false">F2519</f>
        <v>13.6515444349315</v>
      </c>
      <c r="G2583" s="61" t="n">
        <f aca="false">G2519</f>
        <v>20.8515479794521</v>
      </c>
      <c r="H2583" s="2" t="s">
        <v>1477</v>
      </c>
    </row>
    <row r="2584" customFormat="false" ht="15" hidden="false" customHeight="false" outlineLevel="1" collapsed="false">
      <c r="A2584" s="7" t="s">
        <v>818</v>
      </c>
      <c r="B2584" s="8" t="s">
        <v>11</v>
      </c>
      <c r="C2584" s="61" t="n">
        <f aca="false">C2417+C2463</f>
        <v>65000</v>
      </c>
      <c r="D2584" s="61" t="n">
        <f aca="false">D2417+D2463</f>
        <v>81321.9191780822</v>
      </c>
      <c r="E2584" s="61" t="n">
        <f aca="false">E2417+E2463</f>
        <v>97139.7446489726</v>
      </c>
      <c r="F2584" s="61" t="n">
        <f aca="false">F2417+F2463</f>
        <v>118783.484332192</v>
      </c>
      <c r="G2584" s="61" t="n">
        <f aca="false">G2417+G2463</f>
        <v>146875.309075343</v>
      </c>
      <c r="H2584" s="2" t="s">
        <v>1478</v>
      </c>
    </row>
    <row r="2585" customFormat="false" ht="15" hidden="false" customHeight="false" outlineLevel="1" collapsed="false">
      <c r="A2585" s="7" t="s">
        <v>819</v>
      </c>
      <c r="B2585" s="8" t="s">
        <v>76</v>
      </c>
      <c r="C2585" s="59" t="str">
        <f aca="false">IF(C2513&gt;0,C2584/C2513,"")</f>
        <v/>
      </c>
      <c r="D2585" s="59" t="n">
        <f aca="false">IF(D2513&gt;0,D2584/D2513,"")</f>
        <v>0.374033012901985</v>
      </c>
      <c r="E2585" s="59" t="n">
        <f aca="false">IF(E2513&gt;0,E2584/E2513,"")</f>
        <v>0.246461467015663</v>
      </c>
      <c r="F2585" s="59" t="n">
        <f aca="false">IF(F2513&gt;0,F2584/F2513,"")</f>
        <v>0.174022045488493</v>
      </c>
      <c r="G2585" s="59" t="n">
        <f aca="false">IF(G2513&gt;0,G2584/G2513,"")</f>
        <v>0.140877127415268</v>
      </c>
      <c r="H2585" s="2" t="s">
        <v>1479</v>
      </c>
    </row>
    <row r="2586" customFormat="false" ht="15" hidden="false" customHeight="false" outlineLevel="0" collapsed="false">
      <c r="A2586" s="3" t="s">
        <v>1480</v>
      </c>
      <c r="B2586" s="4"/>
      <c r="C2586" s="4"/>
      <c r="D2586" s="4"/>
      <c r="E2586" s="4"/>
      <c r="F2586" s="4"/>
      <c r="G2586" s="4"/>
      <c r="H2586" s="4"/>
    </row>
    <row r="2587" customFormat="false" ht="15" hidden="false" customHeight="false" outlineLevel="1" collapsed="false">
      <c r="A2587" s="7" t="s">
        <v>821</v>
      </c>
      <c r="B2587" s="8" t="s">
        <v>11</v>
      </c>
      <c r="C2587" s="61" t="n">
        <f aca="false">MAX(0,-C2487)</f>
        <v>714001.894407534</v>
      </c>
      <c r="D2587" s="61" t="n">
        <f aca="false">MAX(0,-D2487)</f>
        <v>807547.572353229</v>
      </c>
      <c r="E2587" s="61" t="n">
        <f aca="false">MAX(0,-E2487)</f>
        <v>999592.701170988</v>
      </c>
      <c r="F2587" s="61" t="n">
        <f aca="false">MAX(0,-F2487)</f>
        <v>1151262.84435693</v>
      </c>
      <c r="G2587" s="61" t="n">
        <f aca="false">MAX(0,-G2487)</f>
        <v>1308014.37998672</v>
      </c>
      <c r="H2587" s="2" t="s">
        <v>1481</v>
      </c>
    </row>
    <row r="2588" customFormat="false" ht="15" hidden="false" customHeight="false" outlineLevel="1" collapsed="false">
      <c r="A2588" s="2" t="s">
        <v>822</v>
      </c>
      <c r="B2588" s="8"/>
      <c r="C2588" s="61" t="n">
        <f aca="false">IF(AND(C2276&gt;=Pressupostos!$C$120,Pressupostos!$C$118*(C2370+C2371)+Pressupostos!$C$119*C2372&gt;Pressupostos!$C$300),1,0)</f>
        <v>0</v>
      </c>
      <c r="D2588" s="61" t="n">
        <f aca="false">IF(AND(D2276&gt;=Pressupostos!$C$120,Pressupostos!$C$118*(D2370+D2371)+Pressupostos!$C$119*D2372&gt;Pressupostos!$D$300),1,0)</f>
        <v>1</v>
      </c>
      <c r="E2588" s="61" t="n">
        <f aca="false">IF(AND(E2276&gt;=Pressupostos!$C$120,Pressupostos!$C$118*(E2370+E2371)+Pressupostos!$C$119*E2372&gt;Pressupostos!$E$300),1,0)</f>
        <v>1</v>
      </c>
      <c r="F2588" s="61" t="n">
        <f aca="false">IF(AND(F2276&gt;=Pressupostos!$C$120,Pressupostos!$C$118*(F2370+F2371)+Pressupostos!$C$119*F2372&gt;Pressupostos!$F$300),1,0)</f>
        <v>1</v>
      </c>
      <c r="G2588" s="61" t="n">
        <f aca="false">IF(AND(G2276&gt;=Pressupostos!$C$120,Pressupostos!$C$118*(G2370+G2371)+Pressupostos!$C$119*G2372&gt;Pressupostos!$G$300),1,0)</f>
        <v>1</v>
      </c>
      <c r="H2588" s="2" t="s">
        <v>1482</v>
      </c>
    </row>
    <row r="2589" customFormat="false" ht="15" hidden="false" customHeight="false" outlineLevel="1" collapsed="false">
      <c r="A2589" s="7" t="s">
        <v>823</v>
      </c>
      <c r="B2589" s="8" t="s">
        <v>64</v>
      </c>
      <c r="C2589" s="63" t="n">
        <f aca="false">IF(C2280&gt;0,C2587/(C2280*1000*(1-Pressupostos!$D$22)*(1-Pressupostos!$D$25-C2588*Pressupostos!$C$118)),"n/a")</f>
        <v>19.6744600396666</v>
      </c>
      <c r="D2589" s="63" t="n">
        <f aca="false">IF(D2280&gt;0,D2587/(D2280*1000*(1-Pressupostos!$D$22)*(1-Pressupostos!$D$25-D2588*Pressupostos!$C$118)),"n/a")</f>
        <v>3.20047325514425</v>
      </c>
      <c r="E2589" s="63" t="n">
        <f aca="false">IF(E2280&gt;0,E2587/(E2280*1000*(1-Pressupostos!$D$22)*(1-Pressupostos!$D$25-E2588*Pressupostos!$C$118)),"n/a")</f>
        <v>2.00565685474951</v>
      </c>
      <c r="F2589" s="63" t="n">
        <f aca="false">IF(F2280&gt;0,F2587/(F2280*1000*(1-Pressupostos!$D$22)*(1-Pressupostos!$D$25-F2588*Pressupostos!$C$118)),"n/a")</f>
        <v>1.400046484499</v>
      </c>
      <c r="G2589" s="63" t="n">
        <f aca="false">IF(G2280&gt;0,G2587/(G2280*1000*(1-Pressupostos!$D$22)*(1-Pressupostos!$D$25-G2588*Pressupostos!$C$118)),"n/a")</f>
        <v>1.05126498416828</v>
      </c>
      <c r="H2589" s="2" t="s">
        <v>1483</v>
      </c>
    </row>
    <row r="2590" customFormat="false" ht="15" hidden="false" customHeight="false" outlineLevel="1" collapsed="false">
      <c r="A2590" s="7" t="s">
        <v>824</v>
      </c>
      <c r="B2590" s="8" t="s">
        <v>64</v>
      </c>
      <c r="C2590" s="63" t="n">
        <f aca="false">IF(C2279&gt;0,Pressupostos!$D$15+C2587/(C2279*1000*(1-Pressupostos!$D$16)*(1-Pressupostos!$D$18-C2588*Pressupostos!$C$118)),"n/a")</f>
        <v>148.172175594746</v>
      </c>
      <c r="D2590" s="63" t="n">
        <f aca="false">IF(D2279&gt;0,Pressupostos!$D$15+D2587/(D2279*1000*(1-Pressupostos!$D$16)*(1-Pressupostos!$D$18-D2588*Pressupostos!$C$118)),"n/a")</f>
        <v>40.6437631290697</v>
      </c>
      <c r="E2590" s="63" t="n">
        <f aca="false">IF(E2279&gt;0,Pressupostos!$D$15+E2587/(E2279*1000*(1-Pressupostos!$D$16)*(1-Pressupostos!$D$18-E2588*Pressupostos!$C$118)),"n/a")</f>
        <v>17.7002398513237</v>
      </c>
      <c r="F2590" s="63" t="n">
        <f aca="false">IF(F2279&gt;0,Pressupostos!$D$15+F2587/(F2279*1000*(1-Pressupostos!$D$16)*(1-Pressupostos!$D$18-F2588*Pressupostos!$C$118)),"n/a")</f>
        <v>12.5633331072867</v>
      </c>
      <c r="G2590" s="63" t="n">
        <f aca="false">IF(G2279&gt;0,Pressupostos!$D$15+G2587/(G2279*1000*(1-Pressupostos!$D$16)*(1-Pressupostos!$D$18-G2588*Pressupostos!$C$118)),"n/a")</f>
        <v>10.7650857392614</v>
      </c>
      <c r="H2590" s="2" t="s">
        <v>1484</v>
      </c>
    </row>
    <row r="2591" customFormat="false" ht="15" hidden="false" customHeight="false" outlineLevel="1" collapsed="false">
      <c r="A2591" s="7" t="s">
        <v>825</v>
      </c>
      <c r="B2591" s="8" t="s">
        <v>64</v>
      </c>
      <c r="C2591" s="63" t="n">
        <f aca="false">IF(Pressupostos!$D$33=1,C2362-C2588*Pressupostos!$C$119*C2345,C2368)</f>
        <v>0.00725</v>
      </c>
      <c r="D2591" s="63" t="n">
        <f aca="false">IF(Pressupostos!$D$33=1,D2362-D2588*Pressupostos!$C$119*D2345,D2368)</f>
        <v>0.00725</v>
      </c>
      <c r="E2591" s="63" t="n">
        <f aca="false">IF(Pressupostos!$D$33=1,E2362-E2588*Pressupostos!$C$119*E2345,E2368)</f>
        <v>0.00725</v>
      </c>
      <c r="F2591" s="63" t="n">
        <f aca="false">IF(Pressupostos!$D$33=1,F2362-F2588*Pressupostos!$C$119*F2345,F2368)</f>
        <v>0.00725</v>
      </c>
      <c r="G2591" s="63" t="n">
        <f aca="false">IF(Pressupostos!$D$33=1,G2362-G2588*Pressupostos!$C$119*G2345,G2368)</f>
        <v>0.00725</v>
      </c>
      <c r="H2591" s="2" t="s">
        <v>1485</v>
      </c>
    </row>
    <row r="2592" customFormat="false" ht="15" hidden="false" customHeight="false" outlineLevel="1" collapsed="false">
      <c r="A2592" s="7" t="s">
        <v>826</v>
      </c>
      <c r="B2592" s="8" t="s">
        <v>120</v>
      </c>
      <c r="C2592" s="55" t="n">
        <f aca="false">IF(C2591&gt;0,C2281+C2587/(C2591*1000),"n/a")</f>
        <v>98483.0199182806</v>
      </c>
      <c r="D2592" s="55" t="n">
        <f aca="false">IF(D2591&gt;0,D2281+D2587/(D2591*1000),"n/a")</f>
        <v>111385.872048721</v>
      </c>
      <c r="E2592" s="55" t="n">
        <f aca="false">IF(E2591&gt;0,E2281+E2587/(E2591*1000),"n/a")</f>
        <v>137874.855333929</v>
      </c>
      <c r="F2592" s="55" t="n">
        <f aca="false">IF(F2591&gt;0,F2281+F2587/(F2591*1000),"n/a")</f>
        <v>158794.875083714</v>
      </c>
      <c r="G2592" s="55" t="n">
        <f aca="false">IF(G2591&gt;0,G2281+G2587/(G2591*1000),"n/a")</f>
        <v>180415.776549892</v>
      </c>
      <c r="H2592" s="2" t="s">
        <v>1486</v>
      </c>
    </row>
    <row r="2593" customFormat="false" ht="15" hidden="false" customHeight="false" outlineLevel="1" collapsed="false">
      <c r="A2593" s="7" t="s">
        <v>827</v>
      </c>
      <c r="B2593" s="8" t="s">
        <v>76</v>
      </c>
      <c r="C2593" s="59" t="n">
        <f aca="false">C2587/(C2449+C2462+C2463)</f>
        <v>0.991689140179458</v>
      </c>
      <c r="D2593" s="59" t="n">
        <f aca="false">D2587/(D2449+D2462+D2463)</f>
        <v>0.980471475921613</v>
      </c>
      <c r="E2593" s="59" t="n">
        <f aca="false">E2587/(E2449+E2462+E2463)</f>
        <v>0.93057507007057</v>
      </c>
      <c r="F2593" s="59" t="n">
        <f aca="false">F2587/(F2449+F2462+F2463)</f>
        <v>0.882099043444175</v>
      </c>
      <c r="G2593" s="59" t="n">
        <f aca="false">G2587/(G2449+G2462+G2463)</f>
        <v>0.83785214566511</v>
      </c>
      <c r="H2593" s="2" t="s">
        <v>1487</v>
      </c>
    </row>
    <row r="2594" customFormat="false" ht="15" hidden="false" customHeight="false" outlineLevel="1" collapsed="false">
      <c r="A2594" s="2" t="s">
        <v>828</v>
      </c>
      <c r="B2594" s="8" t="s">
        <v>76</v>
      </c>
      <c r="C2594" s="60" t="n">
        <f aca="false">Pressupostos!$C$101*Pressupostos!$C$102+Pressupostos!$C$103-Pressupostos!$D$30*Pressupostos!$C$104*Pressupostos!$C$102/(Pressupostos!$C$105*Pressupostos!$C$106)</f>
        <v>0.00354285714285715</v>
      </c>
      <c r="D2594" s="60" t="n">
        <f aca="false">Pressupostos!$C$101*Pressupostos!$C$102+Pressupostos!$C$103-Pressupostos!$D$30*Pressupostos!$C$104*Pressupostos!$C$102/(Pressupostos!$C$105*Pressupostos!$C$106)</f>
        <v>0.00354285714285715</v>
      </c>
      <c r="E2594" s="60" t="n">
        <f aca="false">Pressupostos!$C$101*Pressupostos!$C$102+Pressupostos!$C$103-Pressupostos!$D$30*Pressupostos!$C$104*Pressupostos!$C$102/(Pressupostos!$C$105*Pressupostos!$C$106)</f>
        <v>0.00354285714285715</v>
      </c>
      <c r="F2594" s="60" t="n">
        <f aca="false">Pressupostos!$C$101*Pressupostos!$C$102+Pressupostos!$C$103-Pressupostos!$D$30*Pressupostos!$C$104*Pressupostos!$C$102/(Pressupostos!$C$105*Pressupostos!$C$106)</f>
        <v>0.00354285714285715</v>
      </c>
      <c r="G2594" s="60" t="n">
        <f aca="false">Pressupostos!$C$101*Pressupostos!$C$102+Pressupostos!$C$103-Pressupostos!$D$30*Pressupostos!$C$104*Pressupostos!$C$102/(Pressupostos!$C$105*Pressupostos!$C$106)</f>
        <v>0.00354285714285715</v>
      </c>
      <c r="H2594" s="2" t="s">
        <v>1488</v>
      </c>
    </row>
    <row r="2595" customFormat="false" ht="15" hidden="false" customHeight="false" outlineLevel="1" collapsed="false">
      <c r="A2595" s="7" t="s">
        <v>829</v>
      </c>
      <c r="B2595" s="8" t="s">
        <v>11</v>
      </c>
      <c r="C2595" s="61" t="n">
        <f aca="false">IF(C2594&gt;0,C2294+C2587/C2594,"n/a")</f>
        <v>201532792.77632</v>
      </c>
      <c r="D2595" s="61" t="n">
        <f aca="false">IF(D2594&gt;0,D2294+D2587/D2594,"n/a")</f>
        <v>228436814.777121</v>
      </c>
      <c r="E2595" s="61" t="n">
        <f aca="false">IF(E2594&gt;0,E2294+E2587/E2594,"n/a")</f>
        <v>283643101.136972</v>
      </c>
      <c r="F2595" s="61" t="n">
        <f aca="false">IF(F2594&gt;0,F2294+F2587/F2594,"n/a")</f>
        <v>327953222.197519</v>
      </c>
      <c r="G2595" s="61" t="n">
        <f aca="false">IF(G2594&gt;0,G2294+G2587/G2594,"n/a")</f>
        <v>374197607.254315</v>
      </c>
      <c r="H2595" s="2" t="s">
        <v>1489</v>
      </c>
    </row>
    <row r="2598" customFormat="false" ht="15" hidden="false" customHeight="false" outlineLevel="0" collapsed="false">
      <c r="A2598" s="111" t="s">
        <v>1497</v>
      </c>
      <c r="B2598" s="112"/>
      <c r="C2598" s="112"/>
      <c r="D2598" s="112"/>
      <c r="E2598" s="112"/>
      <c r="F2598" s="112"/>
      <c r="G2598" s="112"/>
      <c r="H2598" s="112"/>
    </row>
    <row r="2599" customFormat="false" ht="15" hidden="false" customHeight="false" outlineLevel="0" collapsed="false">
      <c r="A2599" s="3" t="s">
        <v>1170</v>
      </c>
      <c r="B2599" s="4"/>
      <c r="C2599" s="4"/>
      <c r="D2599" s="4"/>
      <c r="E2599" s="4"/>
      <c r="F2599" s="4"/>
      <c r="G2599" s="4"/>
      <c r="H2599" s="4"/>
    </row>
    <row r="2600" customFormat="false" ht="15" hidden="false" customHeight="false" outlineLevel="1" collapsed="false">
      <c r="A2600" s="7" t="s">
        <v>588</v>
      </c>
      <c r="B2600" s="8"/>
      <c r="C2600" s="52" t="n">
        <v>2027</v>
      </c>
      <c r="D2600" s="52" t="n">
        <v>2028</v>
      </c>
      <c r="E2600" s="52" t="n">
        <v>2029</v>
      </c>
      <c r="F2600" s="52" t="n">
        <v>2030</v>
      </c>
      <c r="G2600" s="52" t="n">
        <v>2031</v>
      </c>
      <c r="H2600" s="2" t="s">
        <v>20</v>
      </c>
    </row>
    <row r="2601" customFormat="false" ht="15" hidden="false" customHeight="false" outlineLevel="0" collapsed="false">
      <c r="A2601" s="3" t="s">
        <v>1171</v>
      </c>
      <c r="B2601" s="4"/>
      <c r="C2601" s="4"/>
      <c r="D2601" s="4"/>
      <c r="E2601" s="4"/>
      <c r="F2601" s="4"/>
      <c r="G2601" s="4"/>
      <c r="H2601" s="4"/>
    </row>
    <row r="2602" customFormat="false" ht="15" hidden="false" customHeight="false" outlineLevel="1" collapsed="false">
      <c r="A2602" s="7" t="s">
        <v>387</v>
      </c>
      <c r="B2602" s="8" t="s">
        <v>123</v>
      </c>
      <c r="C2602" s="61" t="n">
        <f aca="false">(Pressupostos!$C$213*(1+Pressupostos!$C$195))</f>
        <v>52</v>
      </c>
      <c r="D2602" s="61" t="n">
        <f aca="false">(Pressupostos!$D$213*(1+Pressupostos!$C$195))</f>
        <v>234</v>
      </c>
      <c r="E2602" s="61" t="n">
        <f aca="false">(Pressupostos!$E$213*(1+Pressupostos!$C$195))</f>
        <v>845</v>
      </c>
      <c r="F2602" s="61" t="n">
        <f aca="false">(Pressupostos!$F$213*(1+Pressupostos!$C$195))</f>
        <v>1690</v>
      </c>
      <c r="G2602" s="61" t="n">
        <f aca="false">(Pressupostos!$G$213*(1+Pressupostos!$C$195))</f>
        <v>2600</v>
      </c>
      <c r="H2602" s="2" t="s">
        <v>1172</v>
      </c>
    </row>
    <row r="2603" customFormat="false" ht="15" hidden="false" customHeight="false" outlineLevel="1" collapsed="false">
      <c r="A2603" s="7" t="s">
        <v>590</v>
      </c>
      <c r="B2603" s="8" t="s">
        <v>120</v>
      </c>
      <c r="C2603" s="55" t="n">
        <f aca="false">(Pressupostos!$C$219*(1+Pressupostos!$C$195))</f>
        <v>10.4</v>
      </c>
      <c r="D2603" s="55" t="n">
        <f aca="false">(Pressupostos!$D$219*(1+Pressupostos!$C$195))</f>
        <v>48.1</v>
      </c>
      <c r="E2603" s="55" t="n">
        <f aca="false">(Pressupostos!$E$219*(1+Pressupostos!$C$195))</f>
        <v>172.9</v>
      </c>
      <c r="F2603" s="55" t="n">
        <f aca="false">(Pressupostos!$F$219*(1+Pressupostos!$C$195))</f>
        <v>347.1</v>
      </c>
      <c r="G2603" s="55" t="n">
        <f aca="false">(Pressupostos!$G$219*(1+Pressupostos!$C$195))</f>
        <v>533</v>
      </c>
      <c r="H2603" s="2" t="s">
        <v>1173</v>
      </c>
    </row>
    <row r="2604" customFormat="false" ht="15" hidden="false" customHeight="false" outlineLevel="1" collapsed="false">
      <c r="A2604" s="7" t="s">
        <v>591</v>
      </c>
      <c r="B2604" s="8" t="s">
        <v>120</v>
      </c>
      <c r="C2604" s="55" t="n">
        <f aca="false">(Pressupostos!$C$225*(1+Pressupostos!$C$195))</f>
        <v>67.6</v>
      </c>
      <c r="D2604" s="55" t="n">
        <f aca="false">(Pressupostos!$D$225*(1+Pressupostos!$C$195))</f>
        <v>471.9</v>
      </c>
      <c r="E2604" s="55" t="n">
        <f aca="false">(Pressupostos!$E$225*(1+Pressupostos!$C$195))</f>
        <v>932.1</v>
      </c>
      <c r="F2604" s="55" t="n">
        <f aca="false">(Pressupostos!$F$225*(1+Pressupostos!$C$195))</f>
        <v>1537.9</v>
      </c>
      <c r="G2604" s="55" t="n">
        <f aca="false">(Pressupostos!$G$225*(1+Pressupostos!$C$195))</f>
        <v>2327</v>
      </c>
      <c r="H2604" s="2" t="s">
        <v>1174</v>
      </c>
    </row>
    <row r="2605" customFormat="false" ht="15" hidden="false" customHeight="false" outlineLevel="1" collapsed="false">
      <c r="A2605" s="7" t="s">
        <v>398</v>
      </c>
      <c r="B2605" s="8" t="s">
        <v>120</v>
      </c>
      <c r="C2605" s="55" t="n">
        <f aca="false">(Pressupostos!$C$231*(1+Pressupostos!$C$195))</f>
        <v>0</v>
      </c>
      <c r="D2605" s="55" t="n">
        <f aca="false">(Pressupostos!$D$231*(1+Pressupostos!$C$195))</f>
        <v>0</v>
      </c>
      <c r="E2605" s="55" t="n">
        <f aca="false">(Pressupostos!$E$231*(1+Pressupostos!$C$195))</f>
        <v>0</v>
      </c>
      <c r="F2605" s="55" t="n">
        <f aca="false">(Pressupostos!$F$231*(1+Pressupostos!$C$195))</f>
        <v>0</v>
      </c>
      <c r="G2605" s="55" t="n">
        <f aca="false">(Pressupostos!$G$231*(1+Pressupostos!$C$195))</f>
        <v>0</v>
      </c>
      <c r="H2605" s="2" t="s">
        <v>1175</v>
      </c>
    </row>
    <row r="2606" customFormat="false" ht="15" hidden="false" customHeight="false" outlineLevel="1" collapsed="false">
      <c r="A2606" s="7" t="s">
        <v>592</v>
      </c>
      <c r="B2606" s="8" t="s">
        <v>120</v>
      </c>
      <c r="C2606" s="55" t="n">
        <f aca="false">C2605*Pressupostos!$D$33</f>
        <v>0</v>
      </c>
      <c r="D2606" s="55" t="n">
        <f aca="false">D2605*Pressupostos!$D$33</f>
        <v>0</v>
      </c>
      <c r="E2606" s="55" t="n">
        <f aca="false">E2605*Pressupostos!$D$33</f>
        <v>0</v>
      </c>
      <c r="F2606" s="55" t="n">
        <f aca="false">F2605*Pressupostos!$D$33</f>
        <v>0</v>
      </c>
      <c r="G2606" s="55" t="n">
        <f aca="false">G2605*Pressupostos!$D$33</f>
        <v>0</v>
      </c>
      <c r="H2606" s="2" t="s">
        <v>1176</v>
      </c>
    </row>
    <row r="2607" customFormat="false" ht="15" hidden="false" customHeight="false" outlineLevel="1" collapsed="false">
      <c r="A2607" s="7" t="s">
        <v>593</v>
      </c>
      <c r="B2607" s="8" t="s">
        <v>120</v>
      </c>
      <c r="C2607" s="55" t="n">
        <f aca="false">C2605-C2606</f>
        <v>0</v>
      </c>
      <c r="D2607" s="55" t="n">
        <f aca="false">D2605-D2606</f>
        <v>0</v>
      </c>
      <c r="E2607" s="55" t="n">
        <f aca="false">E2605-E2606</f>
        <v>0</v>
      </c>
      <c r="F2607" s="55" t="n">
        <f aca="false">F2605-F2606</f>
        <v>0</v>
      </c>
      <c r="G2607" s="55" t="n">
        <f aca="false">G2605-G2606</f>
        <v>0</v>
      </c>
      <c r="H2607" s="2" t="s">
        <v>1177</v>
      </c>
    </row>
    <row r="2608" customFormat="false" ht="15" hidden="false" customHeight="false" outlineLevel="1" collapsed="false">
      <c r="A2608" s="56" t="s">
        <v>594</v>
      </c>
      <c r="B2608" s="57" t="s">
        <v>120</v>
      </c>
      <c r="C2608" s="58" t="n">
        <f aca="false">C2603+C2604+C2605</f>
        <v>78</v>
      </c>
      <c r="D2608" s="58" t="n">
        <f aca="false">D2603+D2604+D2605</f>
        <v>520</v>
      </c>
      <c r="E2608" s="58" t="n">
        <f aca="false">E2603+E2604+E2605</f>
        <v>1105</v>
      </c>
      <c r="F2608" s="58" t="n">
        <f aca="false">F2603+F2604+F2605</f>
        <v>1885</v>
      </c>
      <c r="G2608" s="58" t="n">
        <f aca="false">G2603+G2604+G2605</f>
        <v>2860</v>
      </c>
      <c r="H2608" s="2" t="s">
        <v>1178</v>
      </c>
    </row>
    <row r="2609" customFormat="false" ht="15" hidden="false" customHeight="false" outlineLevel="1" collapsed="false">
      <c r="A2609" s="7" t="s">
        <v>595</v>
      </c>
      <c r="B2609" s="8" t="s">
        <v>76</v>
      </c>
      <c r="C2609" s="59" t="n">
        <f aca="false">IF(C2608&gt;0,C2603/C2608,0)</f>
        <v>0.133333333333333</v>
      </c>
      <c r="D2609" s="59" t="n">
        <f aca="false">IF(D2608&gt;0,D2603/D2608,0)</f>
        <v>0.0925</v>
      </c>
      <c r="E2609" s="59" t="n">
        <f aca="false">IF(E2608&gt;0,E2603/E2608,0)</f>
        <v>0.156470588235294</v>
      </c>
      <c r="F2609" s="59" t="n">
        <f aca="false">IF(F2608&gt;0,F2603/F2608,0)</f>
        <v>0.184137931034483</v>
      </c>
      <c r="G2609" s="59" t="n">
        <f aca="false">IF(G2608&gt;0,G2603/G2608,0)</f>
        <v>0.186363636363636</v>
      </c>
      <c r="H2609" s="2" t="s">
        <v>1179</v>
      </c>
    </row>
    <row r="2610" customFormat="false" ht="15" hidden="false" customHeight="false" outlineLevel="1" collapsed="false">
      <c r="A2610" s="7" t="s">
        <v>596</v>
      </c>
      <c r="B2610" s="8" t="s">
        <v>76</v>
      </c>
      <c r="C2610" s="60" t="n">
        <f aca="false">C2608/(Pressupostos!$C$76*1000)</f>
        <v>0.000460176991150443</v>
      </c>
      <c r="D2610" s="60" t="n">
        <f aca="false">D2608/(Pressupostos!$C$76*1000)</f>
        <v>0.00306784660766962</v>
      </c>
      <c r="E2610" s="60" t="n">
        <f aca="false">E2608/(Pressupostos!$C$76*1000)</f>
        <v>0.00651917404129794</v>
      </c>
      <c r="F2610" s="60" t="n">
        <f aca="false">F2608/(Pressupostos!$C$76*1000)</f>
        <v>0.0111209439528024</v>
      </c>
      <c r="G2610" s="60" t="n">
        <f aca="false">G2608/(Pressupostos!$C$76*1000)</f>
        <v>0.0168731563421829</v>
      </c>
      <c r="H2610" s="2" t="s">
        <v>1180</v>
      </c>
    </row>
    <row r="2611" customFormat="false" ht="15" hidden="false" customHeight="false" outlineLevel="1" collapsed="false">
      <c r="A2611" s="7" t="s">
        <v>597</v>
      </c>
      <c r="B2611" s="8" t="s">
        <v>123</v>
      </c>
      <c r="C2611" s="55" t="n">
        <f aca="false">C2603/Pressupostos!$C$40+C2604/Pressupostos!$C$47+C2605/Pressupostos!$C$59</f>
        <v>2.77333333333333</v>
      </c>
      <c r="D2611" s="55" t="n">
        <f aca="false">D2603/Pressupostos!$C$40+D2604/Pressupostos!$C$47+D2605/Pressupostos!$C$59</f>
        <v>18.135</v>
      </c>
      <c r="E2611" s="55" t="n">
        <f aca="false">E2603/Pressupostos!$C$40+E2604/Pressupostos!$C$47+E2605/Pressupostos!$C$59</f>
        <v>39.715</v>
      </c>
      <c r="F2611" s="55" t="n">
        <f aca="false">F2603/Pressupostos!$C$40+F2604/Pressupostos!$C$47+F2605/Pressupostos!$C$59</f>
        <v>68.6183333333333</v>
      </c>
      <c r="G2611" s="55" t="n">
        <f aca="false">G2603/Pressupostos!$C$40+G2604/Pressupostos!$C$47+G2605/Pressupostos!$C$59</f>
        <v>104.216666666667</v>
      </c>
      <c r="H2611" s="2" t="s">
        <v>1181</v>
      </c>
    </row>
    <row r="2612" customFormat="false" ht="15" hidden="false" customHeight="false" outlineLevel="0" collapsed="false">
      <c r="A2612" s="3" t="s">
        <v>1182</v>
      </c>
      <c r="B2612" s="4"/>
      <c r="C2612" s="4"/>
      <c r="D2612" s="4"/>
      <c r="E2612" s="4"/>
      <c r="F2612" s="4"/>
      <c r="G2612" s="4"/>
      <c r="H2612" s="4"/>
    </row>
    <row r="2613" customFormat="false" ht="15" hidden="false" customHeight="false" outlineLevel="1" collapsed="false">
      <c r="A2613" s="7" t="s">
        <v>599</v>
      </c>
      <c r="B2613" s="8" t="s">
        <v>202</v>
      </c>
      <c r="C2613" s="61" t="n">
        <f aca="false">(Pressupostos!$C$257*(1+Pressupostos!$C$195))</f>
        <v>195</v>
      </c>
      <c r="D2613" s="61" t="n">
        <f aca="false">(Pressupostos!$D$257*(1+Pressupostos!$C$195))</f>
        <v>780</v>
      </c>
      <c r="E2613" s="61" t="n">
        <f aca="false">(Pressupostos!$E$257*(1+Pressupostos!$C$195))</f>
        <v>1300</v>
      </c>
      <c r="F2613" s="61" t="n">
        <f aca="false">(Pressupostos!$F$257*(1+Pressupostos!$C$195))</f>
        <v>1820</v>
      </c>
      <c r="G2613" s="61" t="n">
        <f aca="false">(Pressupostos!$G$257*(1+Pressupostos!$C$195))</f>
        <v>2340</v>
      </c>
      <c r="H2613" s="2" t="s">
        <v>1183</v>
      </c>
    </row>
    <row r="2614" customFormat="false" ht="15" hidden="false" customHeight="false" outlineLevel="1" collapsed="false">
      <c r="A2614" s="7" t="s">
        <v>599</v>
      </c>
      <c r="B2614" s="8" t="s">
        <v>189</v>
      </c>
      <c r="C2614" s="61" t="n">
        <f aca="false">C2613*Pressupostos!$C$78</f>
        <v>146250</v>
      </c>
      <c r="D2614" s="61" t="n">
        <f aca="false">D2613*Pressupostos!$C$78</f>
        <v>585000</v>
      </c>
      <c r="E2614" s="61" t="n">
        <f aca="false">E2613*Pressupostos!$C$78</f>
        <v>975000</v>
      </c>
      <c r="F2614" s="61" t="n">
        <f aca="false">F2613*Pressupostos!$C$78</f>
        <v>1365000</v>
      </c>
      <c r="G2614" s="61" t="n">
        <f aca="false">G2613*Pressupostos!$C$78</f>
        <v>1755000</v>
      </c>
      <c r="H2614" s="2" t="s">
        <v>1184</v>
      </c>
    </row>
    <row r="2615" customFormat="false" ht="15" hidden="false" customHeight="false" outlineLevel="0" collapsed="false">
      <c r="A2615" s="3" t="s">
        <v>1185</v>
      </c>
      <c r="B2615" s="4"/>
      <c r="C2615" s="4"/>
      <c r="D2615" s="4"/>
      <c r="E2615" s="4"/>
      <c r="F2615" s="4"/>
      <c r="G2615" s="4"/>
      <c r="H2615" s="4"/>
    </row>
    <row r="2616" customFormat="false" ht="15" hidden="false" customHeight="false" outlineLevel="1" collapsed="false">
      <c r="A2616" s="7" t="s">
        <v>601</v>
      </c>
      <c r="B2616" s="8" t="s">
        <v>120</v>
      </c>
      <c r="C2616" s="55" t="n">
        <f aca="false">IF(C2600&lt;Pressupostos!$D$28,0,(Pressupostos!$C$263*(1+Pressupostos!$C$195)))</f>
        <v>0</v>
      </c>
      <c r="D2616" s="55" t="n">
        <f aca="false">IF(D2600&lt;Pressupostos!$D$28,0,(Pressupostos!$D$263*(1+Pressupostos!$C$195)))</f>
        <v>0</v>
      </c>
      <c r="E2616" s="55" t="n">
        <f aca="false">IF(E2600&lt;Pressupostos!$D$28,0,(Pressupostos!$E$263*(1+Pressupostos!$C$195)))</f>
        <v>39</v>
      </c>
      <c r="F2616" s="55" t="n">
        <f aca="false">IF(F2600&lt;Pressupostos!$D$28,0,(Pressupostos!$F$263*(1+Pressupostos!$C$195)))</f>
        <v>78</v>
      </c>
      <c r="G2616" s="55" t="n">
        <f aca="false">IF(G2600&lt;Pressupostos!$D$28,0,(Pressupostos!$G$263*(1+Pressupostos!$C$195)))</f>
        <v>130</v>
      </c>
      <c r="H2616" s="2" t="s">
        <v>1186</v>
      </c>
    </row>
    <row r="2617" customFormat="false" ht="15" hidden="false" customHeight="false" outlineLevel="0" collapsed="false">
      <c r="A2617" s="3" t="s">
        <v>1187</v>
      </c>
      <c r="B2617" s="4"/>
      <c r="C2617" s="4"/>
      <c r="D2617" s="4"/>
      <c r="E2617" s="4"/>
      <c r="F2617" s="4"/>
      <c r="G2617" s="4"/>
      <c r="H2617" s="4"/>
    </row>
    <row r="2618" customFormat="false" ht="15" hidden="false" customHeight="false" outlineLevel="1" collapsed="false">
      <c r="A2618" s="7" t="s">
        <v>603</v>
      </c>
      <c r="B2618" s="8" t="s">
        <v>11</v>
      </c>
      <c r="C2618" s="53" t="n">
        <f aca="false">Pressupostos!$C$269</f>
        <v>0</v>
      </c>
      <c r="D2618" s="53" t="n">
        <f aca="false">Pressupostos!$D$269</f>
        <v>500000</v>
      </c>
      <c r="E2618" s="53" t="n">
        <f aca="false">Pressupostos!$E$269</f>
        <v>1500000</v>
      </c>
      <c r="F2618" s="53" t="n">
        <f aca="false">Pressupostos!$F$269</f>
        <v>3000000</v>
      </c>
      <c r="G2618" s="53" t="n">
        <f aca="false">Pressupostos!$G$269</f>
        <v>5000000</v>
      </c>
      <c r="H2618" s="2" t="s">
        <v>1188</v>
      </c>
    </row>
    <row r="2619" customFormat="false" ht="15" hidden="false" customHeight="false" outlineLevel="1" collapsed="false">
      <c r="A2619" s="7" t="s">
        <v>604</v>
      </c>
      <c r="B2619" s="8" t="s">
        <v>120</v>
      </c>
      <c r="C2619" s="55" t="n">
        <f aca="false">C2618/(Pressupostos!$C$105*Pressupostos!$C$106)*Pressupostos!$C$102/1000</f>
        <v>0</v>
      </c>
      <c r="D2619" s="55" t="n">
        <f aca="false">D2618/(Pressupostos!$C$105*Pressupostos!$C$106)*Pressupostos!$C$102/1000</f>
        <v>457.142857142857</v>
      </c>
      <c r="E2619" s="55" t="n">
        <f aca="false">E2618/(Pressupostos!$C$105*Pressupostos!$C$106)*Pressupostos!$C$102/1000</f>
        <v>1371.42857142857</v>
      </c>
      <c r="F2619" s="55" t="n">
        <f aca="false">F2618/(Pressupostos!$C$105*Pressupostos!$C$106)*Pressupostos!$C$102/1000</f>
        <v>2742.85714285714</v>
      </c>
      <c r="G2619" s="55" t="n">
        <f aca="false">G2618/(Pressupostos!$C$105*Pressupostos!$C$106)*Pressupostos!$C$102/1000</f>
        <v>4571.42857142857</v>
      </c>
      <c r="H2619" s="2" t="s">
        <v>1189</v>
      </c>
    </row>
    <row r="2620" customFormat="false" ht="15" hidden="false" customHeight="false" outlineLevel="0" collapsed="false">
      <c r="A2620" s="3" t="s">
        <v>1190</v>
      </c>
      <c r="B2620" s="4"/>
      <c r="C2620" s="4"/>
      <c r="D2620" s="4"/>
      <c r="E2620" s="4"/>
      <c r="F2620" s="4"/>
      <c r="G2620" s="4"/>
      <c r="H2620" s="4"/>
    </row>
    <row r="2621" customFormat="false" ht="15" hidden="false" customHeight="false" outlineLevel="1" collapsed="false">
      <c r="A2621" s="7" t="s">
        <v>669</v>
      </c>
      <c r="B2621" s="8" t="s">
        <v>64</v>
      </c>
      <c r="C2621" s="63" t="n">
        <f aca="false">Pressupostos!$D$10+Pressupostos!$D$11</f>
        <v>3.6</v>
      </c>
      <c r="D2621" s="63" t="n">
        <f aca="false">Pressupostos!$D$10+Pressupostos!$D$11</f>
        <v>3.6</v>
      </c>
      <c r="E2621" s="63" t="n">
        <f aca="false">Pressupostos!$D$10+Pressupostos!$D$11</f>
        <v>3.6</v>
      </c>
      <c r="F2621" s="63" t="n">
        <f aca="false">Pressupostos!$D$10+Pressupostos!$D$11</f>
        <v>3.6</v>
      </c>
      <c r="G2621" s="63" t="n">
        <f aca="false">Pressupostos!$D$10+Pressupostos!$D$11</f>
        <v>3.6</v>
      </c>
      <c r="H2621" s="2" t="s">
        <v>1191</v>
      </c>
    </row>
    <row r="2622" customFormat="false" ht="15" hidden="false" customHeight="false" outlineLevel="1" collapsed="false">
      <c r="A2622" s="7" t="s">
        <v>670</v>
      </c>
      <c r="B2622" s="8" t="s">
        <v>64</v>
      </c>
      <c r="C2622" s="67" t="n">
        <f aca="false">Pressupostos!$D$15</f>
        <v>5.65</v>
      </c>
      <c r="D2622" s="67" t="n">
        <f aca="false">Pressupostos!$D$15</f>
        <v>5.65</v>
      </c>
      <c r="E2622" s="67" t="n">
        <f aca="false">Pressupostos!$D$15</f>
        <v>5.65</v>
      </c>
      <c r="F2622" s="67" t="n">
        <f aca="false">Pressupostos!$D$15</f>
        <v>5.65</v>
      </c>
      <c r="G2622" s="67" t="n">
        <f aca="false">Pressupostos!$D$15</f>
        <v>5.65</v>
      </c>
      <c r="H2622" s="2" t="s">
        <v>1192</v>
      </c>
    </row>
    <row r="2623" customFormat="false" ht="15" hidden="false" customHeight="false" outlineLevel="1" collapsed="false">
      <c r="A2623" s="56" t="s">
        <v>671</v>
      </c>
      <c r="B2623" s="57" t="s">
        <v>64</v>
      </c>
      <c r="C2623" s="68" t="n">
        <f aca="false">C2622*(1-Pressupostos!$D$16)</f>
        <v>5.085</v>
      </c>
      <c r="D2623" s="68" t="n">
        <f aca="false">D2622*(1-Pressupostos!$D$16)</f>
        <v>5.085</v>
      </c>
      <c r="E2623" s="68" t="n">
        <f aca="false">E2622*(1-Pressupostos!$D$16)</f>
        <v>5.085</v>
      </c>
      <c r="F2623" s="68" t="n">
        <f aca="false">F2622*(1-Pressupostos!$D$16)</f>
        <v>5.085</v>
      </c>
      <c r="G2623" s="68" t="n">
        <f aca="false">G2622*(1-Pressupostos!$D$16)</f>
        <v>5.085</v>
      </c>
      <c r="H2623" s="2" t="s">
        <v>1193</v>
      </c>
    </row>
    <row r="2624" customFormat="false" ht="15" hidden="false" customHeight="false" outlineLevel="1" collapsed="false">
      <c r="A2624" s="7" t="s">
        <v>144</v>
      </c>
      <c r="B2624" s="8" t="s">
        <v>64</v>
      </c>
      <c r="C2624" s="67" t="n">
        <f aca="false">Pressupostos!$C$38</f>
        <v>0.55</v>
      </c>
      <c r="D2624" s="67" t="n">
        <f aca="false">Pressupostos!$C$38</f>
        <v>0.55</v>
      </c>
      <c r="E2624" s="67" t="n">
        <f aca="false">Pressupostos!$C$38</f>
        <v>0.55</v>
      </c>
      <c r="F2624" s="67" t="n">
        <f aca="false">Pressupostos!$C$38</f>
        <v>0.55</v>
      </c>
      <c r="G2624" s="67" t="n">
        <f aca="false">Pressupostos!$C$38</f>
        <v>0.55</v>
      </c>
      <c r="H2624" s="2" t="s">
        <v>1194</v>
      </c>
    </row>
    <row r="2625" customFormat="false" ht="15" hidden="false" customHeight="false" outlineLevel="1" collapsed="false">
      <c r="A2625" s="7" t="s">
        <v>215</v>
      </c>
      <c r="B2625" s="8" t="s">
        <v>64</v>
      </c>
      <c r="C2625" s="67" t="n">
        <f aca="false">Pressupostos!$C$238</f>
        <v>0.3</v>
      </c>
      <c r="D2625" s="67" t="n">
        <f aca="false">Pressupostos!$D$238</f>
        <v>0.3</v>
      </c>
      <c r="E2625" s="67" t="n">
        <f aca="false">Pressupostos!$E$238</f>
        <v>0.28</v>
      </c>
      <c r="F2625" s="67" t="n">
        <f aca="false">Pressupostos!$F$238</f>
        <v>0.27</v>
      </c>
      <c r="G2625" s="67" t="n">
        <f aca="false">Pressupostos!$G$238</f>
        <v>0.27</v>
      </c>
      <c r="H2625" s="2" t="s">
        <v>1195</v>
      </c>
    </row>
    <row r="2626" customFormat="false" ht="15" hidden="false" customHeight="false" outlineLevel="1" collapsed="false">
      <c r="A2626" s="7" t="s">
        <v>117</v>
      </c>
      <c r="B2626" s="8" t="s">
        <v>64</v>
      </c>
      <c r="C2626" s="67" t="n">
        <f aca="false">Pressupostos!$C$39</f>
        <v>0.06</v>
      </c>
      <c r="D2626" s="67" t="n">
        <f aca="false">Pressupostos!$C$39</f>
        <v>0.06</v>
      </c>
      <c r="E2626" s="67" t="n">
        <f aca="false">Pressupostos!$C$39</f>
        <v>0.06</v>
      </c>
      <c r="F2626" s="67" t="n">
        <f aca="false">Pressupostos!$C$39</f>
        <v>0.06</v>
      </c>
      <c r="G2626" s="67" t="n">
        <f aca="false">Pressupostos!$C$39</f>
        <v>0.06</v>
      </c>
      <c r="H2626" s="2" t="s">
        <v>1196</v>
      </c>
    </row>
    <row r="2627" customFormat="false" ht="15" hidden="false" customHeight="false" outlineLevel="1" collapsed="false">
      <c r="A2627" s="7" t="s">
        <v>91</v>
      </c>
      <c r="B2627" s="8" t="s">
        <v>79</v>
      </c>
      <c r="C2627" s="69" t="n">
        <f aca="false">Pressupostos!$C$244</f>
        <v>180</v>
      </c>
      <c r="D2627" s="69" t="n">
        <f aca="false">Pressupostos!$D$244</f>
        <v>180</v>
      </c>
      <c r="E2627" s="69" t="n">
        <f aca="false">Pressupostos!$E$244</f>
        <v>45</v>
      </c>
      <c r="F2627" s="69" t="n">
        <f aca="false">Pressupostos!$F$244</f>
        <v>45</v>
      </c>
      <c r="G2627" s="69" t="n">
        <f aca="false">Pressupostos!$G$244</f>
        <v>45</v>
      </c>
      <c r="H2627" s="2" t="s">
        <v>1197</v>
      </c>
    </row>
    <row r="2628" customFormat="false" ht="15" hidden="false" customHeight="false" outlineLevel="1" collapsed="false">
      <c r="A2628" s="7" t="s">
        <v>78</v>
      </c>
      <c r="B2628" s="8" t="s">
        <v>79</v>
      </c>
      <c r="C2628" s="69" t="n">
        <f aca="false">Pressupostos!$D$17</f>
        <v>35</v>
      </c>
      <c r="D2628" s="69" t="n">
        <f aca="false">Pressupostos!$D$17</f>
        <v>35</v>
      </c>
      <c r="E2628" s="69" t="n">
        <f aca="false">Pressupostos!$D$17</f>
        <v>35</v>
      </c>
      <c r="F2628" s="69" t="n">
        <f aca="false">Pressupostos!$D$17</f>
        <v>35</v>
      </c>
      <c r="G2628" s="69" t="n">
        <f aca="false">Pressupostos!$D$17</f>
        <v>35</v>
      </c>
      <c r="H2628" s="2" t="s">
        <v>1198</v>
      </c>
    </row>
    <row r="2629" customFormat="false" ht="15" hidden="false" customHeight="false" outlineLevel="1" collapsed="false">
      <c r="A2629" s="7" t="s">
        <v>490</v>
      </c>
      <c r="B2629" s="8" t="s">
        <v>64</v>
      </c>
      <c r="C2629" s="63" t="n">
        <f aca="false">Pressupostos!$C$66*C2627/30/1000</f>
        <v>0.024</v>
      </c>
      <c r="D2629" s="63" t="n">
        <f aca="false">Pressupostos!$C$66*D2627/30/1000</f>
        <v>0.024</v>
      </c>
      <c r="E2629" s="63" t="n">
        <f aca="false">Pressupostos!$C$66*E2627/30/1000</f>
        <v>0.006</v>
      </c>
      <c r="F2629" s="63" t="n">
        <f aca="false">Pressupostos!$C$66*F2627/30/1000</f>
        <v>0.006</v>
      </c>
      <c r="G2629" s="63" t="n">
        <f aca="false">Pressupostos!$C$66*G2627/30/1000</f>
        <v>0.006</v>
      </c>
      <c r="H2629" s="2" t="s">
        <v>1199</v>
      </c>
    </row>
    <row r="2630" customFormat="false" ht="15" hidden="false" customHeight="false" outlineLevel="1" collapsed="false">
      <c r="A2630" s="7" t="s">
        <v>165</v>
      </c>
      <c r="B2630" s="8" t="s">
        <v>64</v>
      </c>
      <c r="C2630" s="63" t="n">
        <f aca="false">C2621*Pressupostos!$C$67*C2627/365</f>
        <v>0.00355068493150685</v>
      </c>
      <c r="D2630" s="63" t="n">
        <f aca="false">D2621*Pressupostos!$C$67*D2627/365</f>
        <v>0.00355068493150685</v>
      </c>
      <c r="E2630" s="63" t="n">
        <f aca="false">E2621*Pressupostos!$C$67*E2627/365</f>
        <v>0.000887671232876712</v>
      </c>
      <c r="F2630" s="63" t="n">
        <f aca="false">F2621*Pressupostos!$C$67*F2627/365</f>
        <v>0.000887671232876712</v>
      </c>
      <c r="G2630" s="63" t="n">
        <f aca="false">G2621*Pressupostos!$C$67*G2627/365</f>
        <v>0.000887671232876712</v>
      </c>
      <c r="H2630" s="2" t="s">
        <v>1200</v>
      </c>
    </row>
    <row r="2631" customFormat="false" ht="15" hidden="false" customHeight="false" outlineLevel="1" collapsed="false">
      <c r="A2631" s="7" t="s">
        <v>672</v>
      </c>
      <c r="B2631" s="8" t="s">
        <v>64</v>
      </c>
      <c r="C2631" s="63" t="n">
        <f aca="false">Pressupostos!$C$41*Pressupostos!$C$68/(Pressupostos!$C$40*1000)</f>
        <v>0.03</v>
      </c>
      <c r="D2631" s="63" t="n">
        <f aca="false">Pressupostos!$C$41*Pressupostos!$C$68/(Pressupostos!$C$40*1000)</f>
        <v>0.03</v>
      </c>
      <c r="E2631" s="63" t="n">
        <f aca="false">Pressupostos!$C$41*Pressupostos!$C$68/(Pressupostos!$C$40*1000)</f>
        <v>0.03</v>
      </c>
      <c r="F2631" s="63" t="n">
        <f aca="false">Pressupostos!$C$41*Pressupostos!$C$68/(Pressupostos!$C$40*1000)</f>
        <v>0.03</v>
      </c>
      <c r="G2631" s="63" t="n">
        <f aca="false">Pressupostos!$C$41*Pressupostos!$C$68/(Pressupostos!$C$40*1000)</f>
        <v>0.03</v>
      </c>
      <c r="H2631" s="2" t="s">
        <v>1201</v>
      </c>
    </row>
    <row r="2632" customFormat="false" ht="15" hidden="false" customHeight="false" outlineLevel="1" collapsed="false">
      <c r="A2632" s="7" t="s">
        <v>492</v>
      </c>
      <c r="B2632" s="8" t="s">
        <v>64</v>
      </c>
      <c r="C2632" s="63" t="n">
        <f aca="false">Pressupostos!$C$69*C2621</f>
        <v>0.018</v>
      </c>
      <c r="D2632" s="63" t="n">
        <f aca="false">Pressupostos!$C$69*D2621</f>
        <v>0.018</v>
      </c>
      <c r="E2632" s="63" t="n">
        <f aca="false">Pressupostos!$C$69*E2621</f>
        <v>0.018</v>
      </c>
      <c r="F2632" s="63" t="n">
        <f aca="false">Pressupostos!$C$69*F2621</f>
        <v>0.018</v>
      </c>
      <c r="G2632" s="63" t="n">
        <f aca="false">Pressupostos!$C$69*G2621</f>
        <v>0.018</v>
      </c>
      <c r="H2632" s="2" t="s">
        <v>1202</v>
      </c>
    </row>
    <row r="2633" customFormat="false" ht="15" hidden="false" customHeight="false" outlineLevel="1" collapsed="false">
      <c r="A2633" s="7" t="s">
        <v>493</v>
      </c>
      <c r="B2633" s="8" t="s">
        <v>64</v>
      </c>
      <c r="C2633" s="63" t="n">
        <f aca="false">Pressupostos!$C$70*Pressupostos!$C$71*C2627/90</f>
        <v>0.018</v>
      </c>
      <c r="D2633" s="63" t="n">
        <f aca="false">Pressupostos!$C$70*Pressupostos!$C$71*D2627/90</f>
        <v>0.018</v>
      </c>
      <c r="E2633" s="63" t="n">
        <f aca="false">Pressupostos!$C$70*Pressupostos!$C$71*E2627/90</f>
        <v>0.0045</v>
      </c>
      <c r="F2633" s="63" t="n">
        <f aca="false">Pressupostos!$C$70*Pressupostos!$C$71*F2627/90</f>
        <v>0.0045</v>
      </c>
      <c r="G2633" s="63" t="n">
        <f aca="false">Pressupostos!$C$70*Pressupostos!$C$71*G2627/90</f>
        <v>0.0045</v>
      </c>
      <c r="H2633" s="2" t="s">
        <v>1203</v>
      </c>
    </row>
    <row r="2634" customFormat="false" ht="15" hidden="false" customHeight="false" outlineLevel="1" collapsed="false">
      <c r="A2634" s="7" t="s">
        <v>673</v>
      </c>
      <c r="B2634" s="8" t="s">
        <v>64</v>
      </c>
      <c r="C2634" s="63" t="n">
        <f aca="false">Pressupostos!$C$42/(Pressupostos!$C$40*1000)</f>
        <v>0.1</v>
      </c>
      <c r="D2634" s="63" t="n">
        <f aca="false">Pressupostos!$C$42/(Pressupostos!$C$40*1000)</f>
        <v>0.1</v>
      </c>
      <c r="E2634" s="63" t="n">
        <f aca="false">Pressupostos!$C$42/(Pressupostos!$C$40*1000)</f>
        <v>0.1</v>
      </c>
      <c r="F2634" s="63" t="n">
        <f aca="false">Pressupostos!$C$42/(Pressupostos!$C$40*1000)</f>
        <v>0.1</v>
      </c>
      <c r="G2634" s="63" t="n">
        <f aca="false">Pressupostos!$C$42/(Pressupostos!$C$40*1000)</f>
        <v>0.1</v>
      </c>
      <c r="H2634" s="2" t="s">
        <v>1204</v>
      </c>
    </row>
    <row r="2635" customFormat="false" ht="15" hidden="false" customHeight="false" outlineLevel="1" collapsed="false">
      <c r="A2635" s="7" t="s">
        <v>139</v>
      </c>
      <c r="B2635" s="8" t="s">
        <v>64</v>
      </c>
      <c r="C2635" s="67" t="n">
        <f aca="false">Pressupostos!$C$43</f>
        <v>0.01</v>
      </c>
      <c r="D2635" s="67" t="n">
        <f aca="false">Pressupostos!$C$43</f>
        <v>0.01</v>
      </c>
      <c r="E2635" s="67" t="n">
        <f aca="false">Pressupostos!$C$43</f>
        <v>0.01</v>
      </c>
      <c r="F2635" s="67" t="n">
        <f aca="false">Pressupostos!$C$43</f>
        <v>0.01</v>
      </c>
      <c r="G2635" s="67" t="n">
        <f aca="false">Pressupostos!$C$43</f>
        <v>0.01</v>
      </c>
      <c r="H2635" s="2" t="s">
        <v>1205</v>
      </c>
    </row>
    <row r="2636" customFormat="false" ht="15" hidden="false" customHeight="false" outlineLevel="1" collapsed="false">
      <c r="A2636" s="7" t="s">
        <v>81</v>
      </c>
      <c r="B2636" s="8" t="s">
        <v>64</v>
      </c>
      <c r="C2636" s="63" t="n">
        <f aca="false">Pressupostos!$D$18*C2623</f>
        <v>0.03051</v>
      </c>
      <c r="D2636" s="63" t="n">
        <f aca="false">Pressupostos!$D$18*D2623</f>
        <v>0.03051</v>
      </c>
      <c r="E2636" s="63" t="n">
        <f aca="false">Pressupostos!$D$18*E2623</f>
        <v>0.03051</v>
      </c>
      <c r="F2636" s="63" t="n">
        <f aca="false">Pressupostos!$D$18*F2623</f>
        <v>0.03051</v>
      </c>
      <c r="G2636" s="63" t="n">
        <f aca="false">Pressupostos!$D$18*G2623</f>
        <v>0.03051</v>
      </c>
      <c r="H2636" s="2" t="s">
        <v>1206</v>
      </c>
    </row>
    <row r="2637" customFormat="false" ht="15" hidden="false" customHeight="false" outlineLevel="1" collapsed="false">
      <c r="A2637" s="7" t="s">
        <v>674</v>
      </c>
      <c r="B2637" s="8" t="s">
        <v>64</v>
      </c>
      <c r="C2637" s="63" t="n">
        <f aca="false">Pressupostos!$C$73*C2623</f>
        <v>0</v>
      </c>
      <c r="D2637" s="63" t="n">
        <f aca="false">Pressupostos!$C$73*D2623</f>
        <v>0</v>
      </c>
      <c r="E2637" s="63" t="n">
        <f aca="false">Pressupostos!$C$73*E2623</f>
        <v>0</v>
      </c>
      <c r="F2637" s="63" t="n">
        <f aca="false">Pressupostos!$C$73*F2623</f>
        <v>0</v>
      </c>
      <c r="G2637" s="63" t="n">
        <f aca="false">Pressupostos!$C$73*G2623</f>
        <v>0</v>
      </c>
      <c r="H2637" s="2" t="s">
        <v>1207</v>
      </c>
    </row>
    <row r="2638" customFormat="false" ht="15" hidden="false" customHeight="false" outlineLevel="1" collapsed="false">
      <c r="A2638" s="7" t="s">
        <v>675</v>
      </c>
      <c r="B2638" s="8" t="s">
        <v>64</v>
      </c>
      <c r="C2638" s="63" t="n">
        <f aca="false">Pressupostos!$C$288*(C2621+C2624)*(C2627+C2628-Pressupostos!$C$72)/365*Pressupostos!$C$282/Pressupostos!$D$31</f>
        <v>0</v>
      </c>
      <c r="D2638" s="63" t="n">
        <f aca="false">Pressupostos!$D$288*(D2621+D2624)*(D2627+D2628-Pressupostos!$C$72)/365*Pressupostos!$D$282/Pressupostos!$D$31</f>
        <v>0.189308219178082</v>
      </c>
      <c r="E2638" s="63" t="n">
        <f aca="false">Pressupostos!$E$288*(E2621+E2624)*(E2627+E2628-Pressupostos!$C$72)/365*Pressupostos!$E$282/Pressupostos!$D$31</f>
        <v>0.0479666095890411</v>
      </c>
      <c r="F2638" s="63" t="n">
        <f aca="false">Pressupostos!$F$288*(F2621+F2624)*(F2627+F2628-Pressupostos!$C$72)/365*Pressupostos!$F$282/Pressupostos!$D$31</f>
        <v>0.0447688356164384</v>
      </c>
      <c r="G2638" s="63" t="n">
        <f aca="false">Pressupostos!$G$288*(G2621+G2624)*(G2627+G2628-Pressupostos!$C$72)/365*Pressupostos!$G$282/Pressupostos!$D$31</f>
        <v>0.0447688356164384</v>
      </c>
      <c r="H2638" s="2" t="s">
        <v>1208</v>
      </c>
    </row>
    <row r="2639" customFormat="false" ht="15" hidden="false" customHeight="false" outlineLevel="1" collapsed="false">
      <c r="A2639" s="7" t="s">
        <v>676</v>
      </c>
      <c r="B2639" s="8" t="s">
        <v>64</v>
      </c>
      <c r="C2639" s="63" t="n">
        <f aca="false">C2621+C2624+C2625+C2626+C2629+C2630+C2631+C2632+C2633+C2634+C2635+C2636+C2637+C2638</f>
        <v>4.74406068493151</v>
      </c>
      <c r="D2639" s="63" t="n">
        <f aca="false">D2621+D2624+D2625+D2626+D2629+D2630+D2631+D2632+D2633+D2634+D2635+D2636+D2637+D2638</f>
        <v>4.93336890410959</v>
      </c>
      <c r="E2639" s="63" t="n">
        <f aca="false">E2621+E2624+E2625+E2626+E2629+E2630+E2631+E2632+E2633+E2634+E2635+E2636+E2637+E2638</f>
        <v>4.73786428082192</v>
      </c>
      <c r="F2639" s="63" t="n">
        <f aca="false">F2621+F2624+F2625+F2626+F2629+F2630+F2631+F2632+F2633+F2634+F2635+F2636+F2637+F2638</f>
        <v>4.72466650684931</v>
      </c>
      <c r="G2639" s="63" t="n">
        <f aca="false">G2621+G2624+G2625+G2626+G2629+G2630+G2631+G2632+G2633+G2634+G2635+G2636+G2637+G2638</f>
        <v>4.72466650684931</v>
      </c>
      <c r="H2639" s="2" t="s">
        <v>1209</v>
      </c>
    </row>
    <row r="2640" customFormat="false" ht="15" hidden="false" customHeight="false" outlineLevel="1" collapsed="false">
      <c r="A2640" s="56" t="s">
        <v>677</v>
      </c>
      <c r="B2640" s="57" t="s">
        <v>64</v>
      </c>
      <c r="C2640" s="68" t="n">
        <f aca="false">C2623-C2639</f>
        <v>0.340939315068495</v>
      </c>
      <c r="D2640" s="68" t="n">
        <f aca="false">D2623-D2639</f>
        <v>0.151631095890413</v>
      </c>
      <c r="E2640" s="68" t="n">
        <f aca="false">E2623-E2639</f>
        <v>0.347135719178083</v>
      </c>
      <c r="F2640" s="68" t="n">
        <f aca="false">F2623-F2639</f>
        <v>0.360333493150686</v>
      </c>
      <c r="G2640" s="68" t="n">
        <f aca="false">G2623-G2639</f>
        <v>0.360333493150686</v>
      </c>
      <c r="H2640" s="2" t="s">
        <v>1210</v>
      </c>
    </row>
    <row r="2641" customFormat="false" ht="15" hidden="false" customHeight="false" outlineLevel="1" collapsed="false">
      <c r="A2641" s="7" t="s">
        <v>678</v>
      </c>
      <c r="B2641" s="8" t="s">
        <v>76</v>
      </c>
      <c r="C2641" s="59" t="n">
        <f aca="false">IF(C2623&gt;0,C2640/C2623,0)</f>
        <v>0.067048046227826</v>
      </c>
      <c r="D2641" s="59" t="n">
        <f aca="false">IF(D2623&gt;0,D2640/D2623,0)</f>
        <v>0.0298192912272199</v>
      </c>
      <c r="E2641" s="59" t="n">
        <f aca="false">IF(E2623&gt;0,E2640/E2623,0)</f>
        <v>0.0682666114411176</v>
      </c>
      <c r="F2641" s="59" t="n">
        <f aca="false">IF(F2623&gt;0,F2640/F2623,0)</f>
        <v>0.0708620438841074</v>
      </c>
      <c r="G2641" s="59" t="n">
        <f aca="false">IF(G2623&gt;0,G2640/G2623,0)</f>
        <v>0.0708620438841074</v>
      </c>
      <c r="H2641" s="2" t="s">
        <v>1211</v>
      </c>
    </row>
    <row r="2642" customFormat="false" ht="15" hidden="false" customHeight="false" outlineLevel="1" collapsed="false">
      <c r="A2642" s="7" t="s">
        <v>679</v>
      </c>
      <c r="B2642" s="8" t="s">
        <v>64</v>
      </c>
      <c r="C2642" s="63" t="n">
        <f aca="false">(C2621+C2624)*(C2627-Pressupostos!$C$72)/365+C2623*C2628/365</f>
        <v>2.19308219178082</v>
      </c>
      <c r="D2642" s="63" t="n">
        <f aca="false">(D2621+D2624)*(D2627-Pressupostos!$C$72)/365+D2623*D2628/365</f>
        <v>2.19308219178082</v>
      </c>
      <c r="E2642" s="63" t="n">
        <f aca="false">(E2621+E2624)*(E2627-Pressupostos!$C$72)/365+E2623*E2628/365</f>
        <v>0.658150684931507</v>
      </c>
      <c r="F2642" s="63" t="n">
        <f aca="false">(F2621+F2624)*(F2627-Pressupostos!$C$72)/365+F2623*F2628/365</f>
        <v>0.658150684931507</v>
      </c>
      <c r="G2642" s="63" t="n">
        <f aca="false">(G2621+G2624)*(G2627-Pressupostos!$C$72)/365+G2623*G2628/365</f>
        <v>0.658150684931507</v>
      </c>
      <c r="H2642" s="2" t="s">
        <v>1212</v>
      </c>
    </row>
    <row r="2643" customFormat="false" ht="15" hidden="false" customHeight="false" outlineLevel="0" collapsed="false">
      <c r="A2643" s="3" t="s">
        <v>1213</v>
      </c>
      <c r="B2643" s="4"/>
      <c r="C2643" s="4"/>
      <c r="D2643" s="4"/>
      <c r="E2643" s="4"/>
      <c r="F2643" s="4"/>
      <c r="G2643" s="4"/>
      <c r="H2643" s="4"/>
    </row>
    <row r="2644" customFormat="false" ht="15" hidden="false" customHeight="false" outlineLevel="1" collapsed="false">
      <c r="A2644" s="7" t="s">
        <v>669</v>
      </c>
      <c r="B2644" s="8" t="s">
        <v>64</v>
      </c>
      <c r="C2644" s="63" t="n">
        <f aca="false">Pressupostos!$D$10+Pressupostos!$D$12</f>
        <v>3.6</v>
      </c>
      <c r="D2644" s="63" t="n">
        <f aca="false">Pressupostos!$D$10+Pressupostos!$D$12</f>
        <v>3.6</v>
      </c>
      <c r="E2644" s="63" t="n">
        <f aca="false">Pressupostos!$D$10+Pressupostos!$D$12</f>
        <v>3.6</v>
      </c>
      <c r="F2644" s="63" t="n">
        <f aca="false">Pressupostos!$D$10+Pressupostos!$D$12</f>
        <v>3.6</v>
      </c>
      <c r="G2644" s="63" t="n">
        <f aca="false">Pressupostos!$D$10+Pressupostos!$D$12</f>
        <v>3.6</v>
      </c>
      <c r="H2644" s="2" t="s">
        <v>1214</v>
      </c>
    </row>
    <row r="2645" customFormat="false" ht="15" hidden="false" customHeight="false" outlineLevel="1" collapsed="false">
      <c r="A2645" s="7" t="s">
        <v>670</v>
      </c>
      <c r="B2645" s="8" t="s">
        <v>64</v>
      </c>
      <c r="C2645" s="63" t="n">
        <f aca="false">Pressupostos!$D$20+Pressupostos!$D$21</f>
        <v>4.35</v>
      </c>
      <c r="D2645" s="63" t="n">
        <f aca="false">Pressupostos!$D$20+Pressupostos!$D$21</f>
        <v>4.35</v>
      </c>
      <c r="E2645" s="63" t="n">
        <f aca="false">Pressupostos!$D$20+Pressupostos!$D$21</f>
        <v>4.35</v>
      </c>
      <c r="F2645" s="63" t="n">
        <f aca="false">Pressupostos!$D$20+Pressupostos!$D$21</f>
        <v>4.35</v>
      </c>
      <c r="G2645" s="63" t="n">
        <f aca="false">Pressupostos!$D$20+Pressupostos!$D$21</f>
        <v>4.35</v>
      </c>
      <c r="H2645" s="2" t="s">
        <v>1215</v>
      </c>
    </row>
    <row r="2646" customFormat="false" ht="15" hidden="false" customHeight="false" outlineLevel="1" collapsed="false">
      <c r="A2646" s="56" t="s">
        <v>671</v>
      </c>
      <c r="B2646" s="57" t="s">
        <v>64</v>
      </c>
      <c r="C2646" s="68" t="n">
        <f aca="false">C2645*(1-Pressupostos!$D$22)</f>
        <v>4.35</v>
      </c>
      <c r="D2646" s="68" t="n">
        <f aca="false">D2645*(1-Pressupostos!$D$22)</f>
        <v>4.35</v>
      </c>
      <c r="E2646" s="68" t="n">
        <f aca="false">E2645*(1-Pressupostos!$D$22)</f>
        <v>4.35</v>
      </c>
      <c r="F2646" s="68" t="n">
        <f aca="false">F2645*(1-Pressupostos!$D$22)</f>
        <v>4.35</v>
      </c>
      <c r="G2646" s="68" t="n">
        <f aca="false">G2645*(1-Pressupostos!$D$22)</f>
        <v>4.35</v>
      </c>
      <c r="H2646" s="2" t="s">
        <v>1216</v>
      </c>
    </row>
    <row r="2647" customFormat="false" ht="15" hidden="false" customHeight="false" outlineLevel="1" collapsed="false">
      <c r="A2647" s="7" t="s">
        <v>144</v>
      </c>
      <c r="B2647" s="8" t="s">
        <v>64</v>
      </c>
      <c r="C2647" s="67" t="n">
        <f aca="false">Pressupostos!$C$45</f>
        <v>0.45</v>
      </c>
      <c r="D2647" s="67" t="n">
        <f aca="false">Pressupostos!$C$45</f>
        <v>0.45</v>
      </c>
      <c r="E2647" s="67" t="n">
        <f aca="false">Pressupostos!$C$45</f>
        <v>0.45</v>
      </c>
      <c r="F2647" s="67" t="n">
        <f aca="false">Pressupostos!$C$45</f>
        <v>0.45</v>
      </c>
      <c r="G2647" s="67" t="n">
        <f aca="false">Pressupostos!$C$45</f>
        <v>0.45</v>
      </c>
      <c r="H2647" s="2" t="s">
        <v>1217</v>
      </c>
    </row>
    <row r="2648" customFormat="false" ht="15" hidden="false" customHeight="false" outlineLevel="1" collapsed="false">
      <c r="A2648" s="7" t="s">
        <v>215</v>
      </c>
      <c r="B2648" s="8" t="s">
        <v>64</v>
      </c>
      <c r="C2648" s="67" t="n">
        <f aca="false">Pressupostos!$C$250</f>
        <v>0.1</v>
      </c>
      <c r="D2648" s="67" t="n">
        <f aca="false">Pressupostos!$D$250</f>
        <v>0.1</v>
      </c>
      <c r="E2648" s="67" t="n">
        <f aca="false">Pressupostos!$E$250</f>
        <v>0.09</v>
      </c>
      <c r="F2648" s="67" t="n">
        <f aca="false">Pressupostos!$F$250</f>
        <v>0.09</v>
      </c>
      <c r="G2648" s="67" t="n">
        <f aca="false">Pressupostos!$G$250</f>
        <v>0.09</v>
      </c>
      <c r="H2648" s="2" t="s">
        <v>1218</v>
      </c>
    </row>
    <row r="2649" customFormat="false" ht="15" hidden="false" customHeight="false" outlineLevel="1" collapsed="false">
      <c r="A2649" s="7" t="s">
        <v>117</v>
      </c>
      <c r="B2649" s="8" t="s">
        <v>64</v>
      </c>
      <c r="C2649" s="67" t="n">
        <f aca="false">Pressupostos!$C$46</f>
        <v>0</v>
      </c>
      <c r="D2649" s="67" t="n">
        <f aca="false">Pressupostos!$C$46</f>
        <v>0</v>
      </c>
      <c r="E2649" s="67" t="n">
        <f aca="false">Pressupostos!$C$46</f>
        <v>0</v>
      </c>
      <c r="F2649" s="67" t="n">
        <f aca="false">Pressupostos!$C$46</f>
        <v>0</v>
      </c>
      <c r="G2649" s="67" t="n">
        <f aca="false">Pressupostos!$C$46</f>
        <v>0</v>
      </c>
      <c r="H2649" s="2" t="s">
        <v>1219</v>
      </c>
    </row>
    <row r="2650" customFormat="false" ht="15" hidden="false" customHeight="false" outlineLevel="1" collapsed="false">
      <c r="A2650" s="7" t="s">
        <v>91</v>
      </c>
      <c r="B2650" s="8" t="s">
        <v>79</v>
      </c>
      <c r="C2650" s="69" t="n">
        <f aca="false">Pressupostos!$D$23</f>
        <v>30</v>
      </c>
      <c r="D2650" s="69" t="n">
        <f aca="false">Pressupostos!$D$23</f>
        <v>30</v>
      </c>
      <c r="E2650" s="69" t="n">
        <f aca="false">Pressupostos!$D$23</f>
        <v>30</v>
      </c>
      <c r="F2650" s="69" t="n">
        <f aca="false">Pressupostos!$D$23</f>
        <v>30</v>
      </c>
      <c r="G2650" s="69" t="n">
        <f aca="false">Pressupostos!$D$23</f>
        <v>30</v>
      </c>
      <c r="H2650" s="2" t="s">
        <v>1220</v>
      </c>
    </row>
    <row r="2651" customFormat="false" ht="15" hidden="false" customHeight="false" outlineLevel="1" collapsed="false">
      <c r="A2651" s="7" t="s">
        <v>78</v>
      </c>
      <c r="B2651" s="8" t="s">
        <v>79</v>
      </c>
      <c r="C2651" s="69" t="n">
        <f aca="false">Pressupostos!$D$24</f>
        <v>45</v>
      </c>
      <c r="D2651" s="69" t="n">
        <f aca="false">Pressupostos!$D$24</f>
        <v>45</v>
      </c>
      <c r="E2651" s="69" t="n">
        <f aca="false">Pressupostos!$D$24</f>
        <v>45</v>
      </c>
      <c r="F2651" s="69" t="n">
        <f aca="false">Pressupostos!$D$24</f>
        <v>45</v>
      </c>
      <c r="G2651" s="69" t="n">
        <f aca="false">Pressupostos!$D$24</f>
        <v>45</v>
      </c>
      <c r="H2651" s="2" t="s">
        <v>1221</v>
      </c>
    </row>
    <row r="2652" customFormat="false" ht="15" hidden="false" customHeight="false" outlineLevel="1" collapsed="false">
      <c r="A2652" s="7" t="s">
        <v>490</v>
      </c>
      <c r="B2652" s="8" t="s">
        <v>64</v>
      </c>
      <c r="C2652" s="63" t="n">
        <f aca="false">Pressupostos!$C$66*C2650/30/1000</f>
        <v>0.004</v>
      </c>
      <c r="D2652" s="63" t="n">
        <f aca="false">Pressupostos!$C$66*D2650/30/1000</f>
        <v>0.004</v>
      </c>
      <c r="E2652" s="63" t="n">
        <f aca="false">Pressupostos!$C$66*E2650/30/1000</f>
        <v>0.004</v>
      </c>
      <c r="F2652" s="63" t="n">
        <f aca="false">Pressupostos!$C$66*F2650/30/1000</f>
        <v>0.004</v>
      </c>
      <c r="G2652" s="63" t="n">
        <f aca="false">Pressupostos!$C$66*G2650/30/1000</f>
        <v>0.004</v>
      </c>
      <c r="H2652" s="2" t="s">
        <v>1222</v>
      </c>
    </row>
    <row r="2653" customFormat="false" ht="15" hidden="false" customHeight="false" outlineLevel="1" collapsed="false">
      <c r="A2653" s="7" t="s">
        <v>165</v>
      </c>
      <c r="B2653" s="8" t="s">
        <v>64</v>
      </c>
      <c r="C2653" s="63" t="n">
        <f aca="false">C2644*Pressupostos!$C$67*C2650/365</f>
        <v>0.000591780821917808</v>
      </c>
      <c r="D2653" s="63" t="n">
        <f aca="false">D2644*Pressupostos!$C$67*D2650/365</f>
        <v>0.000591780821917808</v>
      </c>
      <c r="E2653" s="63" t="n">
        <f aca="false">E2644*Pressupostos!$C$67*E2650/365</f>
        <v>0.000591780821917808</v>
      </c>
      <c r="F2653" s="63" t="n">
        <f aca="false">F2644*Pressupostos!$C$67*F2650/365</f>
        <v>0.000591780821917808</v>
      </c>
      <c r="G2653" s="63" t="n">
        <f aca="false">G2644*Pressupostos!$C$67*G2650/365</f>
        <v>0.000591780821917808</v>
      </c>
      <c r="H2653" s="2" t="s">
        <v>1223</v>
      </c>
    </row>
    <row r="2654" customFormat="false" ht="15" hidden="false" customHeight="false" outlineLevel="1" collapsed="false">
      <c r="A2654" s="7" t="s">
        <v>672</v>
      </c>
      <c r="B2654" s="8" t="s">
        <v>64</v>
      </c>
      <c r="C2654" s="63" t="n">
        <f aca="false">Pressupostos!$C$48*Pressupostos!$C$68/(Pressupostos!$C$47*1000)</f>
        <v>0.02</v>
      </c>
      <c r="D2654" s="63" t="n">
        <f aca="false">Pressupostos!$C$48*Pressupostos!$C$68/(Pressupostos!$C$47*1000)</f>
        <v>0.02</v>
      </c>
      <c r="E2654" s="63" t="n">
        <f aca="false">Pressupostos!$C$48*Pressupostos!$C$68/(Pressupostos!$C$47*1000)</f>
        <v>0.02</v>
      </c>
      <c r="F2654" s="63" t="n">
        <f aca="false">Pressupostos!$C$48*Pressupostos!$C$68/(Pressupostos!$C$47*1000)</f>
        <v>0.02</v>
      </c>
      <c r="G2654" s="63" t="n">
        <f aca="false">Pressupostos!$C$48*Pressupostos!$C$68/(Pressupostos!$C$47*1000)</f>
        <v>0.02</v>
      </c>
      <c r="H2654" s="2" t="s">
        <v>1224</v>
      </c>
    </row>
    <row r="2655" customFormat="false" ht="15" hidden="false" customHeight="false" outlineLevel="1" collapsed="false">
      <c r="A2655" s="7" t="s">
        <v>492</v>
      </c>
      <c r="B2655" s="8" t="s">
        <v>64</v>
      </c>
      <c r="C2655" s="63" t="n">
        <f aca="false">Pressupostos!$C$69*C2644</f>
        <v>0.018</v>
      </c>
      <c r="D2655" s="63" t="n">
        <f aca="false">Pressupostos!$C$69*D2644</f>
        <v>0.018</v>
      </c>
      <c r="E2655" s="63" t="n">
        <f aca="false">Pressupostos!$C$69*E2644</f>
        <v>0.018</v>
      </c>
      <c r="F2655" s="63" t="n">
        <f aca="false">Pressupostos!$C$69*F2644</f>
        <v>0.018</v>
      </c>
      <c r="G2655" s="63" t="n">
        <f aca="false">Pressupostos!$C$69*G2644</f>
        <v>0.018</v>
      </c>
      <c r="H2655" s="2" t="s">
        <v>1225</v>
      </c>
    </row>
    <row r="2656" customFormat="false" ht="15" hidden="false" customHeight="false" outlineLevel="1" collapsed="false">
      <c r="A2656" s="7" t="s">
        <v>493</v>
      </c>
      <c r="B2656" s="8" t="s">
        <v>64</v>
      </c>
      <c r="C2656" s="63" t="n">
        <f aca="false">Pressupostos!$C$70*Pressupostos!$C$71*C2650/90</f>
        <v>0.003</v>
      </c>
      <c r="D2656" s="63" t="n">
        <f aca="false">Pressupostos!$C$70*Pressupostos!$C$71*D2650/90</f>
        <v>0.003</v>
      </c>
      <c r="E2656" s="63" t="n">
        <f aca="false">Pressupostos!$C$70*Pressupostos!$C$71*E2650/90</f>
        <v>0.003</v>
      </c>
      <c r="F2656" s="63" t="n">
        <f aca="false">Pressupostos!$C$70*Pressupostos!$C$71*F2650/90</f>
        <v>0.003</v>
      </c>
      <c r="G2656" s="63" t="n">
        <f aca="false">Pressupostos!$C$70*Pressupostos!$C$71*G2650/90</f>
        <v>0.003</v>
      </c>
      <c r="H2656" s="2" t="s">
        <v>1226</v>
      </c>
    </row>
    <row r="2657" customFormat="false" ht="15" hidden="false" customHeight="false" outlineLevel="1" collapsed="false">
      <c r="A2657" s="7" t="s">
        <v>673</v>
      </c>
      <c r="B2657" s="8" t="s">
        <v>64</v>
      </c>
      <c r="C2657" s="63" t="n">
        <f aca="false">Pressupostos!$C$49/(Pressupostos!$C$47*1000)</f>
        <v>0.04</v>
      </c>
      <c r="D2657" s="63" t="n">
        <f aca="false">Pressupostos!$C$49/(Pressupostos!$C$47*1000)</f>
        <v>0.04</v>
      </c>
      <c r="E2657" s="63" t="n">
        <f aca="false">Pressupostos!$C$49/(Pressupostos!$C$47*1000)</f>
        <v>0.04</v>
      </c>
      <c r="F2657" s="63" t="n">
        <f aca="false">Pressupostos!$C$49/(Pressupostos!$C$47*1000)</f>
        <v>0.04</v>
      </c>
      <c r="G2657" s="63" t="n">
        <f aca="false">Pressupostos!$C$49/(Pressupostos!$C$47*1000)</f>
        <v>0.04</v>
      </c>
      <c r="H2657" s="2" t="s">
        <v>1227</v>
      </c>
    </row>
    <row r="2658" customFormat="false" ht="15" hidden="false" customHeight="false" outlineLevel="1" collapsed="false">
      <c r="A2658" s="7" t="s">
        <v>139</v>
      </c>
      <c r="B2658" s="8" t="s">
        <v>64</v>
      </c>
      <c r="C2658" s="67" t="n">
        <f aca="false">Pressupostos!$C$50</f>
        <v>0.005</v>
      </c>
      <c r="D2658" s="67" t="n">
        <f aca="false">Pressupostos!$C$50</f>
        <v>0.005</v>
      </c>
      <c r="E2658" s="67" t="n">
        <f aca="false">Pressupostos!$C$50</f>
        <v>0.005</v>
      </c>
      <c r="F2658" s="67" t="n">
        <f aca="false">Pressupostos!$C$50</f>
        <v>0.005</v>
      </c>
      <c r="G2658" s="67" t="n">
        <f aca="false">Pressupostos!$C$50</f>
        <v>0.005</v>
      </c>
      <c r="H2658" s="2" t="s">
        <v>1228</v>
      </c>
    </row>
    <row r="2659" customFormat="false" ht="15" hidden="false" customHeight="false" outlineLevel="1" collapsed="false">
      <c r="A2659" s="7" t="s">
        <v>81</v>
      </c>
      <c r="B2659" s="8" t="s">
        <v>64</v>
      </c>
      <c r="C2659" s="63" t="n">
        <f aca="false">Pressupostos!$D$25*C2646</f>
        <v>0.01305</v>
      </c>
      <c r="D2659" s="63" t="n">
        <f aca="false">Pressupostos!$D$25*D2646</f>
        <v>0.01305</v>
      </c>
      <c r="E2659" s="63" t="n">
        <f aca="false">Pressupostos!$D$25*E2646</f>
        <v>0.01305</v>
      </c>
      <c r="F2659" s="63" t="n">
        <f aca="false">Pressupostos!$D$25*F2646</f>
        <v>0.01305</v>
      </c>
      <c r="G2659" s="63" t="n">
        <f aca="false">Pressupostos!$D$25*G2646</f>
        <v>0.01305</v>
      </c>
      <c r="H2659" s="2" t="s">
        <v>1229</v>
      </c>
    </row>
    <row r="2660" customFormat="false" ht="15" hidden="false" customHeight="false" outlineLevel="1" collapsed="false">
      <c r="A2660" s="7" t="s">
        <v>674</v>
      </c>
      <c r="B2660" s="8" t="s">
        <v>64</v>
      </c>
      <c r="C2660" s="63" t="n">
        <f aca="false">Pressupostos!$C$73*C2646</f>
        <v>0</v>
      </c>
      <c r="D2660" s="63" t="n">
        <f aca="false">Pressupostos!$C$73*D2646</f>
        <v>0</v>
      </c>
      <c r="E2660" s="63" t="n">
        <f aca="false">Pressupostos!$C$73*E2646</f>
        <v>0</v>
      </c>
      <c r="F2660" s="63" t="n">
        <f aca="false">Pressupostos!$C$73*F2646</f>
        <v>0</v>
      </c>
      <c r="G2660" s="63" t="n">
        <f aca="false">Pressupostos!$C$73*G2646</f>
        <v>0</v>
      </c>
      <c r="H2660" s="2" t="s">
        <v>1230</v>
      </c>
    </row>
    <row r="2661" customFormat="false" ht="15" hidden="false" customHeight="false" outlineLevel="1" collapsed="false">
      <c r="A2661" s="7" t="s">
        <v>675</v>
      </c>
      <c r="B2661" s="8" t="s">
        <v>64</v>
      </c>
      <c r="C2661" s="63" t="n">
        <f aca="false">Pressupostos!$C$288*(C2644+C2647)*(C2650+C2651-Pressupostos!$C$72)/365*Pressupostos!$C$282/Pressupostos!$D$31</f>
        <v>0</v>
      </c>
      <c r="D2661" s="63" t="n">
        <f aca="false">Pressupostos!$D$288*(D2644+D2647)*(D2650+D2651-Pressupostos!$C$72)/365*Pressupostos!$D$282/Pressupostos!$D$31</f>
        <v>0.0449383561643836</v>
      </c>
      <c r="E2661" s="63" t="n">
        <f aca="false">Pressupostos!$E$288*(E2644+E2647)*(E2650+E2651-Pressupostos!$C$72)/365*Pressupostos!$E$282/Pressupostos!$D$31</f>
        <v>0.0421297089041096</v>
      </c>
      <c r="F2661" s="63" t="n">
        <f aca="false">Pressupostos!$F$288*(F2644+F2647)*(F2650+F2651-Pressupostos!$C$72)/365*Pressupostos!$F$282/Pressupostos!$D$31</f>
        <v>0.0393210616438356</v>
      </c>
      <c r="G2661" s="63" t="n">
        <f aca="false">Pressupostos!$G$288*(G2644+G2647)*(G2650+G2651-Pressupostos!$C$72)/365*Pressupostos!$G$282/Pressupostos!$D$31</f>
        <v>0.0393210616438356</v>
      </c>
      <c r="H2661" s="2" t="s">
        <v>1231</v>
      </c>
    </row>
    <row r="2662" customFormat="false" ht="15" hidden="false" customHeight="false" outlineLevel="1" collapsed="false">
      <c r="A2662" s="7" t="s">
        <v>676</v>
      </c>
      <c r="B2662" s="8" t="s">
        <v>64</v>
      </c>
      <c r="C2662" s="63" t="n">
        <f aca="false">C2644+C2647+C2648+C2649+C2652+C2653+C2654+C2655+C2656+C2657+C2658+C2659+C2660+C2661</f>
        <v>4.25364178082192</v>
      </c>
      <c r="D2662" s="63" t="n">
        <f aca="false">D2644+D2647+D2648+D2649+D2652+D2653+D2654+D2655+D2656+D2657+D2658+D2659+D2660+D2661</f>
        <v>4.2985801369863</v>
      </c>
      <c r="E2662" s="63" t="n">
        <f aca="false">E2644+E2647+E2648+E2649+E2652+E2653+E2654+E2655+E2656+E2657+E2658+E2659+E2660+E2661</f>
        <v>4.28577148972603</v>
      </c>
      <c r="F2662" s="63" t="n">
        <f aca="false">F2644+F2647+F2648+F2649+F2652+F2653+F2654+F2655+F2656+F2657+F2658+F2659+F2660+F2661</f>
        <v>4.28296284246575</v>
      </c>
      <c r="G2662" s="63" t="n">
        <f aca="false">G2644+G2647+G2648+G2649+G2652+G2653+G2654+G2655+G2656+G2657+G2658+G2659+G2660+G2661</f>
        <v>4.28296284246575</v>
      </c>
      <c r="H2662" s="2" t="s">
        <v>1232</v>
      </c>
    </row>
    <row r="2663" customFormat="false" ht="15" hidden="false" customHeight="false" outlineLevel="1" collapsed="false">
      <c r="A2663" s="56" t="s">
        <v>677</v>
      </c>
      <c r="B2663" s="57" t="s">
        <v>64</v>
      </c>
      <c r="C2663" s="68" t="n">
        <f aca="false">C2646-C2662</f>
        <v>0.0963582191780832</v>
      </c>
      <c r="D2663" s="68" t="n">
        <f aca="false">D2646-D2662</f>
        <v>0.0514198630136997</v>
      </c>
      <c r="E2663" s="68" t="n">
        <f aca="false">E2646-E2662</f>
        <v>0.0642285102739733</v>
      </c>
      <c r="F2663" s="68" t="n">
        <f aca="false">F2646-F2662</f>
        <v>0.067037157534247</v>
      </c>
      <c r="G2663" s="68" t="n">
        <f aca="false">G2646-G2662</f>
        <v>0.067037157534247</v>
      </c>
      <c r="H2663" s="2" t="s">
        <v>1233</v>
      </c>
    </row>
    <row r="2664" customFormat="false" ht="15" hidden="false" customHeight="false" outlineLevel="1" collapsed="false">
      <c r="A2664" s="7" t="s">
        <v>678</v>
      </c>
      <c r="B2664" s="8" t="s">
        <v>76</v>
      </c>
      <c r="C2664" s="59" t="n">
        <f aca="false">IF(C2646&gt;0,C2663/C2646,0)</f>
        <v>0.0221513147535823</v>
      </c>
      <c r="D2664" s="59" t="n">
        <f aca="false">IF(D2646&gt;0,D2663/D2646,0)</f>
        <v>0.0118206581640689</v>
      </c>
      <c r="E2664" s="59" t="n">
        <f aca="false">IF(E2646&gt;0,E2663/E2646,0)</f>
        <v>0.014765174775626</v>
      </c>
      <c r="F2664" s="59" t="n">
        <f aca="false">IF(F2646&gt;0,F2663/F2646,0)</f>
        <v>0.0154108408124706</v>
      </c>
      <c r="G2664" s="59" t="n">
        <f aca="false">IF(G2646&gt;0,G2663/G2646,0)</f>
        <v>0.0154108408124706</v>
      </c>
      <c r="H2664" s="2" t="s">
        <v>1234</v>
      </c>
    </row>
    <row r="2665" customFormat="false" ht="15" hidden="false" customHeight="false" outlineLevel="1" collapsed="false">
      <c r="A2665" s="7" t="s">
        <v>679</v>
      </c>
      <c r="B2665" s="8" t="s">
        <v>64</v>
      </c>
      <c r="C2665" s="63" t="n">
        <f aca="false">(C2644+C2647)*(C2650-Pressupostos!$C$72)/365+C2646*C2651/365</f>
        <v>0.536301369863014</v>
      </c>
      <c r="D2665" s="63" t="n">
        <f aca="false">(D2644+D2647)*(D2650-Pressupostos!$C$72)/365+D2646*D2651/365</f>
        <v>0.536301369863014</v>
      </c>
      <c r="E2665" s="63" t="n">
        <f aca="false">(E2644+E2647)*(E2650-Pressupostos!$C$72)/365+E2646*E2651/365</f>
        <v>0.536301369863014</v>
      </c>
      <c r="F2665" s="63" t="n">
        <f aca="false">(F2644+F2647)*(F2650-Pressupostos!$C$72)/365+F2646*F2651/365</f>
        <v>0.536301369863014</v>
      </c>
      <c r="G2665" s="63" t="n">
        <f aca="false">(G2644+G2647)*(G2650-Pressupostos!$C$72)/365+G2646*G2651/365</f>
        <v>0.536301369863014</v>
      </c>
      <c r="H2665" s="2" t="s">
        <v>1235</v>
      </c>
    </row>
    <row r="2666" customFormat="false" ht="15" hidden="false" customHeight="false" outlineLevel="0" collapsed="false">
      <c r="A2666" s="3" t="s">
        <v>1236</v>
      </c>
      <c r="B2666" s="4"/>
      <c r="C2666" s="4"/>
      <c r="D2666" s="4"/>
      <c r="E2666" s="4"/>
      <c r="F2666" s="4"/>
      <c r="G2666" s="4"/>
      <c r="H2666" s="4"/>
    </row>
    <row r="2667" customFormat="false" ht="15" hidden="false" customHeight="false" outlineLevel="1" collapsed="false">
      <c r="A2667" s="7" t="s">
        <v>669</v>
      </c>
      <c r="B2667" s="8" t="s">
        <v>64</v>
      </c>
      <c r="C2667" s="63" t="n">
        <f aca="false">Pressupostos!$D$10+Pressupostos!$D$13</f>
        <v>3.5</v>
      </c>
      <c r="D2667" s="63" t="n">
        <f aca="false">Pressupostos!$D$10+Pressupostos!$D$13</f>
        <v>3.5</v>
      </c>
      <c r="E2667" s="63" t="n">
        <f aca="false">Pressupostos!$D$10+Pressupostos!$D$13</f>
        <v>3.5</v>
      </c>
      <c r="F2667" s="63" t="n">
        <f aca="false">Pressupostos!$D$10+Pressupostos!$D$13</f>
        <v>3.5</v>
      </c>
      <c r="G2667" s="63" t="n">
        <f aca="false">Pressupostos!$D$10+Pressupostos!$D$13</f>
        <v>3.5</v>
      </c>
      <c r="H2667" s="2" t="s">
        <v>1237</v>
      </c>
    </row>
    <row r="2668" customFormat="false" ht="15" hidden="false" customHeight="false" outlineLevel="1" collapsed="false">
      <c r="A2668" s="7" t="s">
        <v>670</v>
      </c>
      <c r="B2668" s="8" t="s">
        <v>64</v>
      </c>
      <c r="C2668" s="63" t="n">
        <f aca="false">Pressupostos!$D$10+Pressupostos!$C$52</f>
        <v>3.65</v>
      </c>
      <c r="D2668" s="63" t="n">
        <f aca="false">Pressupostos!$D$10+Pressupostos!$C$52</f>
        <v>3.65</v>
      </c>
      <c r="E2668" s="63" t="n">
        <f aca="false">Pressupostos!$D$10+Pressupostos!$C$52</f>
        <v>3.65</v>
      </c>
      <c r="F2668" s="63" t="n">
        <f aca="false">Pressupostos!$D$10+Pressupostos!$C$52</f>
        <v>3.65</v>
      </c>
      <c r="G2668" s="63" t="n">
        <f aca="false">Pressupostos!$D$10+Pressupostos!$C$52</f>
        <v>3.65</v>
      </c>
      <c r="H2668" s="2" t="s">
        <v>1238</v>
      </c>
    </row>
    <row r="2669" customFormat="false" ht="15" hidden="false" customHeight="false" outlineLevel="1" collapsed="false">
      <c r="A2669" s="56" t="s">
        <v>671</v>
      </c>
      <c r="B2669" s="57" t="s">
        <v>64</v>
      </c>
      <c r="C2669" s="68" t="n">
        <f aca="false">C2668*(1-Pressupostos!$C$53)</f>
        <v>3.65</v>
      </c>
      <c r="D2669" s="68" t="n">
        <f aca="false">D2668*(1-Pressupostos!$C$53)</f>
        <v>3.65</v>
      </c>
      <c r="E2669" s="68" t="n">
        <f aca="false">E2668*(1-Pressupostos!$C$53)</f>
        <v>3.65</v>
      </c>
      <c r="F2669" s="68" t="n">
        <f aca="false">F2668*(1-Pressupostos!$C$53)</f>
        <v>3.65</v>
      </c>
      <c r="G2669" s="68" t="n">
        <f aca="false">G2668*(1-Pressupostos!$C$53)</f>
        <v>3.65</v>
      </c>
      <c r="H2669" s="2" t="s">
        <v>1239</v>
      </c>
    </row>
    <row r="2670" customFormat="false" ht="15" hidden="false" customHeight="false" outlineLevel="1" collapsed="false">
      <c r="A2670" s="7" t="s">
        <v>144</v>
      </c>
      <c r="B2670" s="8" t="s">
        <v>64</v>
      </c>
      <c r="C2670" s="67" t="n">
        <f aca="false">Pressupostos!$C$54</f>
        <v>0</v>
      </c>
      <c r="D2670" s="67" t="n">
        <f aca="false">Pressupostos!$C$54</f>
        <v>0</v>
      </c>
      <c r="E2670" s="67" t="n">
        <f aca="false">Pressupostos!$C$54</f>
        <v>0</v>
      </c>
      <c r="F2670" s="67" t="n">
        <f aca="false">Pressupostos!$C$54</f>
        <v>0</v>
      </c>
      <c r="G2670" s="67" t="n">
        <f aca="false">Pressupostos!$C$54</f>
        <v>0</v>
      </c>
      <c r="H2670" s="2" t="s">
        <v>1240</v>
      </c>
    </row>
    <row r="2671" customFormat="false" ht="15" hidden="false" customHeight="false" outlineLevel="1" collapsed="false">
      <c r="A2671" s="7" t="s">
        <v>215</v>
      </c>
      <c r="B2671" s="8" t="s">
        <v>64</v>
      </c>
      <c r="C2671" s="67" t="n">
        <f aca="false">Pressupostos!$C$55</f>
        <v>0.04</v>
      </c>
      <c r="D2671" s="67" t="n">
        <f aca="false">Pressupostos!$C$55</f>
        <v>0.04</v>
      </c>
      <c r="E2671" s="67" t="n">
        <f aca="false">Pressupostos!$C$55</f>
        <v>0.04</v>
      </c>
      <c r="F2671" s="67" t="n">
        <f aca="false">Pressupostos!$C$55</f>
        <v>0.04</v>
      </c>
      <c r="G2671" s="67" t="n">
        <f aca="false">Pressupostos!$C$55</f>
        <v>0.04</v>
      </c>
      <c r="H2671" s="2" t="s">
        <v>1241</v>
      </c>
    </row>
    <row r="2672" customFormat="false" ht="15" hidden="false" customHeight="false" outlineLevel="1" collapsed="false">
      <c r="A2672" s="7" t="s">
        <v>117</v>
      </c>
      <c r="B2672" s="8" t="s">
        <v>64</v>
      </c>
      <c r="C2672" s="67" t="n">
        <f aca="false">Pressupostos!$C$56</f>
        <v>0</v>
      </c>
      <c r="D2672" s="67" t="n">
        <f aca="false">Pressupostos!$C$56</f>
        <v>0</v>
      </c>
      <c r="E2672" s="67" t="n">
        <f aca="false">Pressupostos!$C$56</f>
        <v>0</v>
      </c>
      <c r="F2672" s="67" t="n">
        <f aca="false">Pressupostos!$C$56</f>
        <v>0</v>
      </c>
      <c r="G2672" s="67" t="n">
        <f aca="false">Pressupostos!$C$56</f>
        <v>0</v>
      </c>
      <c r="H2672" s="2" t="s">
        <v>1242</v>
      </c>
    </row>
    <row r="2673" customFormat="false" ht="15" hidden="false" customHeight="false" outlineLevel="1" collapsed="false">
      <c r="A2673" s="7" t="s">
        <v>91</v>
      </c>
      <c r="B2673" s="8" t="s">
        <v>79</v>
      </c>
      <c r="C2673" s="69" t="n">
        <f aca="false">Pressupostos!$C$57</f>
        <v>15</v>
      </c>
      <c r="D2673" s="69" t="n">
        <f aca="false">Pressupostos!$C$57</f>
        <v>15</v>
      </c>
      <c r="E2673" s="69" t="n">
        <f aca="false">Pressupostos!$C$57</f>
        <v>15</v>
      </c>
      <c r="F2673" s="69" t="n">
        <f aca="false">Pressupostos!$C$57</f>
        <v>15</v>
      </c>
      <c r="G2673" s="69" t="n">
        <f aca="false">Pressupostos!$C$57</f>
        <v>15</v>
      </c>
      <c r="H2673" s="2" t="s">
        <v>1243</v>
      </c>
    </row>
    <row r="2674" customFormat="false" ht="15" hidden="false" customHeight="false" outlineLevel="1" collapsed="false">
      <c r="A2674" s="7" t="s">
        <v>78</v>
      </c>
      <c r="B2674" s="8" t="s">
        <v>79</v>
      </c>
      <c r="C2674" s="69" t="n">
        <f aca="false">Pressupostos!$C$58</f>
        <v>45</v>
      </c>
      <c r="D2674" s="69" t="n">
        <f aca="false">Pressupostos!$C$58</f>
        <v>45</v>
      </c>
      <c r="E2674" s="69" t="n">
        <f aca="false">Pressupostos!$C$58</f>
        <v>45</v>
      </c>
      <c r="F2674" s="69" t="n">
        <f aca="false">Pressupostos!$C$58</f>
        <v>45</v>
      </c>
      <c r="G2674" s="69" t="n">
        <f aca="false">Pressupostos!$C$58</f>
        <v>45</v>
      </c>
      <c r="H2674" s="2" t="s">
        <v>1244</v>
      </c>
    </row>
    <row r="2675" customFormat="false" ht="15" hidden="false" customHeight="false" outlineLevel="1" collapsed="false">
      <c r="A2675" s="7" t="s">
        <v>490</v>
      </c>
      <c r="B2675" s="8" t="s">
        <v>64</v>
      </c>
      <c r="C2675" s="63" t="n">
        <f aca="false">Pressupostos!$C$66*C2673/30/1000</f>
        <v>0.002</v>
      </c>
      <c r="D2675" s="63" t="n">
        <f aca="false">Pressupostos!$C$66*D2673/30/1000</f>
        <v>0.002</v>
      </c>
      <c r="E2675" s="63" t="n">
        <f aca="false">Pressupostos!$C$66*E2673/30/1000</f>
        <v>0.002</v>
      </c>
      <c r="F2675" s="63" t="n">
        <f aca="false">Pressupostos!$C$66*F2673/30/1000</f>
        <v>0.002</v>
      </c>
      <c r="G2675" s="63" t="n">
        <f aca="false">Pressupostos!$C$66*G2673/30/1000</f>
        <v>0.002</v>
      </c>
      <c r="H2675" s="2" t="s">
        <v>1245</v>
      </c>
    </row>
    <row r="2676" customFormat="false" ht="15" hidden="false" customHeight="false" outlineLevel="1" collapsed="false">
      <c r="A2676" s="7" t="s">
        <v>165</v>
      </c>
      <c r="B2676" s="8" t="s">
        <v>64</v>
      </c>
      <c r="C2676" s="63" t="n">
        <f aca="false">C2667*Pressupostos!$C$67*C2673/365</f>
        <v>0.000287671232876712</v>
      </c>
      <c r="D2676" s="63" t="n">
        <f aca="false">D2667*Pressupostos!$C$67*D2673/365</f>
        <v>0.000287671232876712</v>
      </c>
      <c r="E2676" s="63" t="n">
        <f aca="false">E2667*Pressupostos!$C$67*E2673/365</f>
        <v>0.000287671232876712</v>
      </c>
      <c r="F2676" s="63" t="n">
        <f aca="false">F2667*Pressupostos!$C$67*F2673/365</f>
        <v>0.000287671232876712</v>
      </c>
      <c r="G2676" s="63" t="n">
        <f aca="false">G2667*Pressupostos!$C$67*G2673/365</f>
        <v>0.000287671232876712</v>
      </c>
      <c r="H2676" s="2" t="s">
        <v>1246</v>
      </c>
    </row>
    <row r="2677" customFormat="false" ht="15" hidden="false" customHeight="false" outlineLevel="1" collapsed="false">
      <c r="A2677" s="7" t="s">
        <v>672</v>
      </c>
      <c r="B2677" s="8" t="s">
        <v>64</v>
      </c>
      <c r="C2677" s="63" t="n">
        <f aca="false">Pressupostos!$C$60*Pressupostos!$C$68/(Pressupostos!$C$59*1000)</f>
        <v>0.006</v>
      </c>
      <c r="D2677" s="63" t="n">
        <f aca="false">Pressupostos!$C$60*Pressupostos!$C$68/(Pressupostos!$C$59*1000)</f>
        <v>0.006</v>
      </c>
      <c r="E2677" s="63" t="n">
        <f aca="false">Pressupostos!$C$60*Pressupostos!$C$68/(Pressupostos!$C$59*1000)</f>
        <v>0.006</v>
      </c>
      <c r="F2677" s="63" t="n">
        <f aca="false">Pressupostos!$C$60*Pressupostos!$C$68/(Pressupostos!$C$59*1000)</f>
        <v>0.006</v>
      </c>
      <c r="G2677" s="63" t="n">
        <f aca="false">Pressupostos!$C$60*Pressupostos!$C$68/(Pressupostos!$C$59*1000)</f>
        <v>0.006</v>
      </c>
      <c r="H2677" s="2" t="s">
        <v>1247</v>
      </c>
    </row>
    <row r="2678" customFormat="false" ht="15" hidden="false" customHeight="false" outlineLevel="1" collapsed="false">
      <c r="A2678" s="7" t="s">
        <v>492</v>
      </c>
      <c r="B2678" s="8" t="s">
        <v>64</v>
      </c>
      <c r="C2678" s="63" t="n">
        <f aca="false">Pressupostos!$C$69*C2667</f>
        <v>0.0175</v>
      </c>
      <c r="D2678" s="63" t="n">
        <f aca="false">Pressupostos!$C$69*D2667</f>
        <v>0.0175</v>
      </c>
      <c r="E2678" s="63" t="n">
        <f aca="false">Pressupostos!$C$69*E2667</f>
        <v>0.0175</v>
      </c>
      <c r="F2678" s="63" t="n">
        <f aca="false">Pressupostos!$C$69*F2667</f>
        <v>0.0175</v>
      </c>
      <c r="G2678" s="63" t="n">
        <f aca="false">Pressupostos!$C$69*G2667</f>
        <v>0.0175</v>
      </c>
      <c r="H2678" s="2" t="s">
        <v>1248</v>
      </c>
    </row>
    <row r="2679" customFormat="false" ht="15" hidden="false" customHeight="false" outlineLevel="1" collapsed="false">
      <c r="A2679" s="7" t="s">
        <v>493</v>
      </c>
      <c r="B2679" s="8" t="s">
        <v>64</v>
      </c>
      <c r="C2679" s="63" t="n">
        <f aca="false">Pressupostos!$C$70*Pressupostos!$C$71*C2673/90</f>
        <v>0.0015</v>
      </c>
      <c r="D2679" s="63" t="n">
        <f aca="false">Pressupostos!$C$70*Pressupostos!$C$71*D2673/90</f>
        <v>0.0015</v>
      </c>
      <c r="E2679" s="63" t="n">
        <f aca="false">Pressupostos!$C$70*Pressupostos!$C$71*E2673/90</f>
        <v>0.0015</v>
      </c>
      <c r="F2679" s="63" t="n">
        <f aca="false">Pressupostos!$C$70*Pressupostos!$C$71*F2673/90</f>
        <v>0.0015</v>
      </c>
      <c r="G2679" s="63" t="n">
        <f aca="false">Pressupostos!$C$70*Pressupostos!$C$71*G2673/90</f>
        <v>0.0015</v>
      </c>
      <c r="H2679" s="2" t="s">
        <v>1249</v>
      </c>
    </row>
    <row r="2680" customFormat="false" ht="15" hidden="false" customHeight="false" outlineLevel="1" collapsed="false">
      <c r="A2680" s="7" t="s">
        <v>673</v>
      </c>
      <c r="B2680" s="8" t="s">
        <v>64</v>
      </c>
      <c r="C2680" s="63" t="n">
        <f aca="false">Pressupostos!$C$61/(Pressupostos!$C$59*1000)</f>
        <v>0.012</v>
      </c>
      <c r="D2680" s="63" t="n">
        <f aca="false">Pressupostos!$C$61/(Pressupostos!$C$59*1000)</f>
        <v>0.012</v>
      </c>
      <c r="E2680" s="63" t="n">
        <f aca="false">Pressupostos!$C$61/(Pressupostos!$C$59*1000)</f>
        <v>0.012</v>
      </c>
      <c r="F2680" s="63" t="n">
        <f aca="false">Pressupostos!$C$61/(Pressupostos!$C$59*1000)</f>
        <v>0.012</v>
      </c>
      <c r="G2680" s="63" t="n">
        <f aca="false">Pressupostos!$C$61/(Pressupostos!$C$59*1000)</f>
        <v>0.012</v>
      </c>
      <c r="H2680" s="2" t="s">
        <v>1250</v>
      </c>
    </row>
    <row r="2681" customFormat="false" ht="15" hidden="false" customHeight="false" outlineLevel="1" collapsed="false">
      <c r="A2681" s="7" t="s">
        <v>139</v>
      </c>
      <c r="B2681" s="8" t="s">
        <v>64</v>
      </c>
      <c r="C2681" s="67" t="n">
        <f aca="false">Pressupostos!$C$62</f>
        <v>0.001</v>
      </c>
      <c r="D2681" s="67" t="n">
        <f aca="false">Pressupostos!$C$62</f>
        <v>0.001</v>
      </c>
      <c r="E2681" s="67" t="n">
        <f aca="false">Pressupostos!$C$62</f>
        <v>0.001</v>
      </c>
      <c r="F2681" s="67" t="n">
        <f aca="false">Pressupostos!$C$62</f>
        <v>0.001</v>
      </c>
      <c r="G2681" s="67" t="n">
        <f aca="false">Pressupostos!$C$62</f>
        <v>0.001</v>
      </c>
      <c r="H2681" s="2" t="s">
        <v>1251</v>
      </c>
    </row>
    <row r="2682" customFormat="false" ht="15" hidden="false" customHeight="false" outlineLevel="1" collapsed="false">
      <c r="A2682" s="7" t="s">
        <v>81</v>
      </c>
      <c r="B2682" s="8" t="s">
        <v>64</v>
      </c>
      <c r="C2682" s="63" t="n">
        <f aca="false">Pressupostos!$C$63*C2669</f>
        <v>0.01095</v>
      </c>
      <c r="D2682" s="63" t="n">
        <f aca="false">Pressupostos!$C$63*D2669</f>
        <v>0.01095</v>
      </c>
      <c r="E2682" s="63" t="n">
        <f aca="false">Pressupostos!$C$63*E2669</f>
        <v>0.01095</v>
      </c>
      <c r="F2682" s="63" t="n">
        <f aca="false">Pressupostos!$C$63*F2669</f>
        <v>0.01095</v>
      </c>
      <c r="G2682" s="63" t="n">
        <f aca="false">Pressupostos!$C$63*G2669</f>
        <v>0.01095</v>
      </c>
      <c r="H2682" s="2" t="s">
        <v>1252</v>
      </c>
    </row>
    <row r="2683" customFormat="false" ht="15" hidden="false" customHeight="false" outlineLevel="1" collapsed="false">
      <c r="A2683" s="7" t="s">
        <v>674</v>
      </c>
      <c r="B2683" s="8" t="s">
        <v>64</v>
      </c>
      <c r="C2683" s="63" t="n">
        <f aca="false">Pressupostos!$C$73*C2669</f>
        <v>0</v>
      </c>
      <c r="D2683" s="63" t="n">
        <f aca="false">Pressupostos!$C$73*D2669</f>
        <v>0</v>
      </c>
      <c r="E2683" s="63" t="n">
        <f aca="false">Pressupostos!$C$73*E2669</f>
        <v>0</v>
      </c>
      <c r="F2683" s="63" t="n">
        <f aca="false">Pressupostos!$C$73*F2669</f>
        <v>0</v>
      </c>
      <c r="G2683" s="63" t="n">
        <f aca="false">Pressupostos!$C$73*G2669</f>
        <v>0</v>
      </c>
      <c r="H2683" s="2" t="s">
        <v>1253</v>
      </c>
    </row>
    <row r="2684" customFormat="false" ht="15" hidden="false" customHeight="false" outlineLevel="1" collapsed="false">
      <c r="A2684" s="7" t="s">
        <v>675</v>
      </c>
      <c r="B2684" s="8" t="s">
        <v>64</v>
      </c>
      <c r="C2684" s="63" t="n">
        <f aca="false">Pressupostos!$C$288*(C2667+C2670)*(C2673+C2674-Pressupostos!$C$72)/365*Pressupostos!$C$282/Pressupostos!$D$31</f>
        <v>0</v>
      </c>
      <c r="D2684" s="63" t="n">
        <f aca="false">Pressupostos!$D$288*(D2667+D2670)*(D2673+D2674-Pressupostos!$C$72)/365*Pressupostos!$D$282/Pressupostos!$D$31</f>
        <v>0.0258904109589041</v>
      </c>
      <c r="E2684" s="63" t="n">
        <f aca="false">Pressupostos!$E$288*(E2667+E2670)*(E2673+E2674-Pressupostos!$C$72)/365*Pressupostos!$E$282/Pressupostos!$D$31</f>
        <v>0.0242722602739726</v>
      </c>
      <c r="F2684" s="63" t="n">
        <f aca="false">Pressupostos!$F$288*(F2667+F2670)*(F2673+F2674-Pressupostos!$C$72)/365*Pressupostos!$F$282/Pressupostos!$D$31</f>
        <v>0.0226541095890411</v>
      </c>
      <c r="G2684" s="63" t="n">
        <f aca="false">Pressupostos!$G$288*(G2667+G2670)*(G2673+G2674-Pressupostos!$C$72)/365*Pressupostos!$G$282/Pressupostos!$D$31</f>
        <v>0.0226541095890411</v>
      </c>
      <c r="H2684" s="2" t="s">
        <v>1254</v>
      </c>
    </row>
    <row r="2685" customFormat="false" ht="15" hidden="false" customHeight="false" outlineLevel="1" collapsed="false">
      <c r="A2685" s="7" t="s">
        <v>676</v>
      </c>
      <c r="B2685" s="8" t="s">
        <v>64</v>
      </c>
      <c r="C2685" s="63" t="n">
        <f aca="false">C2667+C2670+C2671+C2672+C2675+C2676+C2677+C2678+C2679+C2680+C2681+C2682+C2683+C2684</f>
        <v>3.59123767123288</v>
      </c>
      <c r="D2685" s="63" t="n">
        <f aca="false">D2667+D2670+D2671+D2672+D2675+D2676+D2677+D2678+D2679+D2680+D2681+D2682+D2683+D2684</f>
        <v>3.61712808219178</v>
      </c>
      <c r="E2685" s="63" t="n">
        <f aca="false">E2667+E2670+E2671+E2672+E2675+E2676+E2677+E2678+E2679+E2680+E2681+E2682+E2683+E2684</f>
        <v>3.61550993150685</v>
      </c>
      <c r="F2685" s="63" t="n">
        <f aca="false">F2667+F2670+F2671+F2672+F2675+F2676+F2677+F2678+F2679+F2680+F2681+F2682+F2683+F2684</f>
        <v>3.61389178082192</v>
      </c>
      <c r="G2685" s="63" t="n">
        <f aca="false">G2667+G2670+G2671+G2672+G2675+G2676+G2677+G2678+G2679+G2680+G2681+G2682+G2683+G2684</f>
        <v>3.61389178082192</v>
      </c>
      <c r="H2685" s="2" t="s">
        <v>1255</v>
      </c>
    </row>
    <row r="2686" customFormat="false" ht="15" hidden="false" customHeight="false" outlineLevel="1" collapsed="false">
      <c r="A2686" s="56" t="s">
        <v>677</v>
      </c>
      <c r="B2686" s="57" t="s">
        <v>64</v>
      </c>
      <c r="C2686" s="68" t="n">
        <f aca="false">C2669-C2685</f>
        <v>0.058762328767124</v>
      </c>
      <c r="D2686" s="68" t="n">
        <f aca="false">D2669-D2685</f>
        <v>0.0328719178082197</v>
      </c>
      <c r="E2686" s="68" t="n">
        <f aca="false">E2669-E2685</f>
        <v>0.0344900684931515</v>
      </c>
      <c r="F2686" s="68" t="n">
        <f aca="false">F2669-F2685</f>
        <v>0.0361082191780828</v>
      </c>
      <c r="G2686" s="68" t="n">
        <f aca="false">G2669-G2685</f>
        <v>0.0361082191780828</v>
      </c>
      <c r="H2686" s="2" t="s">
        <v>1256</v>
      </c>
    </row>
    <row r="2687" customFormat="false" ht="15" hidden="false" customHeight="false" outlineLevel="1" collapsed="false">
      <c r="A2687" s="7" t="s">
        <v>678</v>
      </c>
      <c r="B2687" s="8" t="s">
        <v>76</v>
      </c>
      <c r="C2687" s="59" t="n">
        <f aca="false">IF(C2669&gt;0,C2686/C2669,0)</f>
        <v>0.0160992681553764</v>
      </c>
      <c r="D2687" s="59" t="n">
        <f aca="false">IF(D2669&gt;0,D2686/D2669,0)</f>
        <v>0.00900600487896431</v>
      </c>
      <c r="E2687" s="59" t="n">
        <f aca="false">IF(E2669&gt;0,E2686/E2669,0)</f>
        <v>0.00944933383374014</v>
      </c>
      <c r="F2687" s="59" t="n">
        <f aca="false">IF(F2669&gt;0,F2686/F2669,0)</f>
        <v>0.00989266278851584</v>
      </c>
      <c r="G2687" s="59" t="n">
        <f aca="false">IF(G2669&gt;0,G2686/G2669,0)</f>
        <v>0.00989266278851584</v>
      </c>
      <c r="H2687" s="2" t="s">
        <v>1257</v>
      </c>
    </row>
    <row r="2688" customFormat="false" ht="15" hidden="false" customHeight="false" outlineLevel="1" collapsed="false">
      <c r="A2688" s="7" t="s">
        <v>679</v>
      </c>
      <c r="B2688" s="8" t="s">
        <v>64</v>
      </c>
      <c r="C2688" s="63" t="n">
        <f aca="false">(C2667+C2670)*(C2673-Pressupostos!$C$72)/365+C2669*C2674/365</f>
        <v>0.306164383561644</v>
      </c>
      <c r="D2688" s="63" t="n">
        <f aca="false">(D2667+D2670)*(D2673-Pressupostos!$C$72)/365+D2669*D2674/365</f>
        <v>0.306164383561644</v>
      </c>
      <c r="E2688" s="63" t="n">
        <f aca="false">(E2667+E2670)*(E2673-Pressupostos!$C$72)/365+E2669*E2674/365</f>
        <v>0.306164383561644</v>
      </c>
      <c r="F2688" s="63" t="n">
        <f aca="false">(F2667+F2670)*(F2673-Pressupostos!$C$72)/365+F2669*F2674/365</f>
        <v>0.306164383561644</v>
      </c>
      <c r="G2688" s="63" t="n">
        <f aca="false">(G2667+G2670)*(G2673-Pressupostos!$C$72)/365+G2669*G2674/365</f>
        <v>0.306164383561644</v>
      </c>
      <c r="H2688" s="2" t="s">
        <v>1258</v>
      </c>
    </row>
    <row r="2689" customFormat="false" ht="15" hidden="false" customHeight="false" outlineLevel="0" collapsed="false">
      <c r="A2689" s="3" t="s">
        <v>1259</v>
      </c>
      <c r="B2689" s="4"/>
      <c r="C2689" s="4"/>
      <c r="D2689" s="4"/>
      <c r="E2689" s="4"/>
      <c r="F2689" s="4"/>
      <c r="G2689" s="4"/>
      <c r="H2689" s="4"/>
    </row>
    <row r="2690" customFormat="false" ht="15" hidden="false" customHeight="false" outlineLevel="1" collapsed="false">
      <c r="A2690" s="7" t="s">
        <v>683</v>
      </c>
      <c r="B2690" s="8" t="s">
        <v>64</v>
      </c>
      <c r="C2690" s="63" t="n">
        <f aca="false">Pressupostos!$C$64*Pressupostos!$D$10</f>
        <v>0.02625</v>
      </c>
      <c r="D2690" s="63" t="n">
        <f aca="false">Pressupostos!$C$64*Pressupostos!$D$10</f>
        <v>0.02625</v>
      </c>
      <c r="E2690" s="63" t="n">
        <f aca="false">Pressupostos!$C$64*Pressupostos!$D$10</f>
        <v>0.02625</v>
      </c>
      <c r="F2690" s="63" t="n">
        <f aca="false">Pressupostos!$C$64*Pressupostos!$D$10</f>
        <v>0.02625</v>
      </c>
      <c r="G2690" s="63" t="n">
        <f aca="false">Pressupostos!$C$64*Pressupostos!$D$10</f>
        <v>0.02625</v>
      </c>
      <c r="H2690" s="2" t="s">
        <v>1260</v>
      </c>
    </row>
    <row r="2691" customFormat="false" ht="15" hidden="false" customHeight="false" outlineLevel="1" collapsed="false">
      <c r="A2691" s="7" t="s">
        <v>684</v>
      </c>
      <c r="B2691" s="8" t="s">
        <v>64</v>
      </c>
      <c r="C2691" s="63" t="n">
        <f aca="false">C2680+C2677+C2681</f>
        <v>0.019</v>
      </c>
      <c r="D2691" s="63" t="n">
        <f aca="false">D2680+D2677+D2681</f>
        <v>0.019</v>
      </c>
      <c r="E2691" s="63" t="n">
        <f aca="false">E2680+E2677+E2681</f>
        <v>0.019</v>
      </c>
      <c r="F2691" s="63" t="n">
        <f aca="false">F2680+F2677+F2681</f>
        <v>0.019</v>
      </c>
      <c r="G2691" s="63" t="n">
        <f aca="false">G2680+G2677+G2681</f>
        <v>0.019</v>
      </c>
      <c r="H2691" s="2" t="s">
        <v>1261</v>
      </c>
    </row>
    <row r="2692" customFormat="false" ht="15" hidden="false" customHeight="false" outlineLevel="1" collapsed="false">
      <c r="A2692" s="56" t="s">
        <v>561</v>
      </c>
      <c r="B2692" s="57" t="s">
        <v>64</v>
      </c>
      <c r="C2692" s="68" t="n">
        <f aca="false">C2690-C2691</f>
        <v>0.00725</v>
      </c>
      <c r="D2692" s="68" t="n">
        <f aca="false">D2690-D2691</f>
        <v>0.00725</v>
      </c>
      <c r="E2692" s="68" t="n">
        <f aca="false">E2690-E2691</f>
        <v>0.00725</v>
      </c>
      <c r="F2692" s="68" t="n">
        <f aca="false">F2690-F2691</f>
        <v>0.00725</v>
      </c>
      <c r="G2692" s="68" t="n">
        <f aca="false">G2690-G2691</f>
        <v>0.00725</v>
      </c>
      <c r="H2692" s="2" t="s">
        <v>1262</v>
      </c>
    </row>
    <row r="2693" customFormat="false" ht="15" hidden="false" customHeight="false" outlineLevel="0" collapsed="false">
      <c r="A2693" s="3" t="s">
        <v>1263</v>
      </c>
      <c r="B2693" s="4"/>
      <c r="C2693" s="4"/>
      <c r="D2693" s="4"/>
      <c r="E2693" s="4"/>
      <c r="F2693" s="4"/>
      <c r="G2693" s="4"/>
      <c r="H2693" s="4"/>
    </row>
    <row r="2694" customFormat="false" ht="15" hidden="false" customHeight="false" outlineLevel="1" collapsed="false">
      <c r="A2694" s="7" t="s">
        <v>608</v>
      </c>
      <c r="B2694" s="8" t="s">
        <v>11</v>
      </c>
      <c r="C2694" s="61" t="n">
        <f aca="false">C2603*1000*C2623</f>
        <v>52884</v>
      </c>
      <c r="D2694" s="61" t="n">
        <f aca="false">D2603*1000*D2623</f>
        <v>244588.5</v>
      </c>
      <c r="E2694" s="61" t="n">
        <f aca="false">E2603*1000*E2623</f>
        <v>879196.5</v>
      </c>
      <c r="F2694" s="61" t="n">
        <f aca="false">F2603*1000*F2623</f>
        <v>1765003.5</v>
      </c>
      <c r="G2694" s="61" t="n">
        <f aca="false">G2603*1000*G2623</f>
        <v>2710305</v>
      </c>
      <c r="H2694" s="2" t="s">
        <v>1264</v>
      </c>
    </row>
    <row r="2695" customFormat="false" ht="15" hidden="false" customHeight="false" outlineLevel="1" collapsed="false">
      <c r="A2695" s="7" t="s">
        <v>609</v>
      </c>
      <c r="B2695" s="8" t="s">
        <v>11</v>
      </c>
      <c r="C2695" s="61" t="n">
        <f aca="false">C2604*1000*C2646</f>
        <v>294060</v>
      </c>
      <c r="D2695" s="61" t="n">
        <f aca="false">D2604*1000*D2646</f>
        <v>2052765</v>
      </c>
      <c r="E2695" s="61" t="n">
        <f aca="false">E2604*1000*E2646</f>
        <v>4054635</v>
      </c>
      <c r="F2695" s="61" t="n">
        <f aca="false">F2604*1000*F2646</f>
        <v>6689865</v>
      </c>
      <c r="G2695" s="61" t="n">
        <f aca="false">G2604*1000*G2646</f>
        <v>10122450</v>
      </c>
      <c r="H2695" s="2" t="s">
        <v>1265</v>
      </c>
    </row>
    <row r="2696" customFormat="false" ht="15" hidden="false" customHeight="false" outlineLevel="1" collapsed="false">
      <c r="A2696" s="7" t="s">
        <v>610</v>
      </c>
      <c r="B2696" s="8" t="s">
        <v>11</v>
      </c>
      <c r="C2696" s="61" t="n">
        <f aca="false">C2606*1000*C2669</f>
        <v>0</v>
      </c>
      <c r="D2696" s="61" t="n">
        <f aca="false">D2606*1000*D2669</f>
        <v>0</v>
      </c>
      <c r="E2696" s="61" t="n">
        <f aca="false">E2606*1000*E2669</f>
        <v>0</v>
      </c>
      <c r="F2696" s="61" t="n">
        <f aca="false">F2606*1000*F2669</f>
        <v>0</v>
      </c>
      <c r="G2696" s="61" t="n">
        <f aca="false">G2606*1000*G2669</f>
        <v>0</v>
      </c>
      <c r="H2696" s="2" t="s">
        <v>1266</v>
      </c>
    </row>
    <row r="2697" customFormat="false" ht="15" hidden="false" customHeight="false" outlineLevel="1" collapsed="false">
      <c r="A2697" s="7" t="s">
        <v>611</v>
      </c>
      <c r="B2697" s="8" t="s">
        <v>11</v>
      </c>
      <c r="C2697" s="61" t="n">
        <f aca="false">C2694+C2695+C2696</f>
        <v>346944</v>
      </c>
      <c r="D2697" s="61" t="n">
        <f aca="false">D2694+D2695+D2696</f>
        <v>2297353.5</v>
      </c>
      <c r="E2697" s="61" t="n">
        <f aca="false">E2694+E2695+E2696</f>
        <v>4933831.5</v>
      </c>
      <c r="F2697" s="61" t="n">
        <f aca="false">F2694+F2695+F2696</f>
        <v>8454868.5</v>
      </c>
      <c r="G2697" s="61" t="n">
        <f aca="false">G2694+G2695+G2696</f>
        <v>12832755</v>
      </c>
      <c r="H2697" s="2" t="s">
        <v>1267</v>
      </c>
    </row>
    <row r="2698" customFormat="false" ht="15" hidden="false" customHeight="false" outlineLevel="1" collapsed="false">
      <c r="A2698" s="7" t="s">
        <v>612</v>
      </c>
      <c r="B2698" s="8" t="s">
        <v>11</v>
      </c>
      <c r="C2698" s="61" t="n">
        <f aca="false">C2616*1000*Pressupostos!$C$93</f>
        <v>0</v>
      </c>
      <c r="D2698" s="61" t="n">
        <f aca="false">D2616*1000*Pressupostos!$C$93</f>
        <v>0</v>
      </c>
      <c r="E2698" s="61" t="n">
        <f aca="false">E2616*1000*Pressupostos!$C$93</f>
        <v>306150</v>
      </c>
      <c r="F2698" s="61" t="n">
        <f aca="false">F2616*1000*Pressupostos!$C$93</f>
        <v>612300</v>
      </c>
      <c r="G2698" s="61" t="n">
        <f aca="false">G2616*1000*Pressupostos!$C$93</f>
        <v>1020500</v>
      </c>
      <c r="H2698" s="2" t="s">
        <v>1268</v>
      </c>
    </row>
    <row r="2699" customFormat="false" ht="15" hidden="false" customHeight="false" outlineLevel="1" collapsed="false">
      <c r="A2699" s="2" t="s">
        <v>613</v>
      </c>
      <c r="B2699" s="8" t="s">
        <v>11</v>
      </c>
      <c r="C2699" s="61" t="n">
        <f aca="false">C2614*Pressupostos!$C$80*(1-Pressupostos!$C$81)</f>
        <v>52650</v>
      </c>
      <c r="D2699" s="61" t="n">
        <f aca="false">D2614*Pressupostos!$C$80*(1-Pressupostos!$C$81)</f>
        <v>210600</v>
      </c>
      <c r="E2699" s="61" t="n">
        <f aca="false">E2614*Pressupostos!$C$80*(1-Pressupostos!$C$81)</f>
        <v>351000</v>
      </c>
      <c r="F2699" s="61" t="n">
        <f aca="false">F2614*Pressupostos!$C$80*(1-Pressupostos!$C$81)</f>
        <v>491400</v>
      </c>
      <c r="G2699" s="61" t="n">
        <f aca="false">G2614*Pressupostos!$C$80*(1-Pressupostos!$C$81)</f>
        <v>631800</v>
      </c>
      <c r="H2699" s="2" t="s">
        <v>1269</v>
      </c>
    </row>
    <row r="2700" customFormat="false" ht="15" hidden="false" customHeight="false" outlineLevel="1" collapsed="false">
      <c r="A2700" s="7" t="s">
        <v>614</v>
      </c>
      <c r="B2700" s="8" t="s">
        <v>11</v>
      </c>
      <c r="C2700" s="61" t="n">
        <f aca="false">C2699*Pressupostos!$D$27</f>
        <v>1053</v>
      </c>
      <c r="D2700" s="61" t="n">
        <f aca="false">D2699*Pressupostos!$D$27</f>
        <v>4212</v>
      </c>
      <c r="E2700" s="61" t="n">
        <f aca="false">E2699*Pressupostos!$D$27</f>
        <v>7020</v>
      </c>
      <c r="F2700" s="61" t="n">
        <f aca="false">F2699*Pressupostos!$D$27</f>
        <v>9828</v>
      </c>
      <c r="G2700" s="61" t="n">
        <f aca="false">G2699*Pressupostos!$D$27</f>
        <v>12636</v>
      </c>
      <c r="H2700" s="2" t="s">
        <v>1270</v>
      </c>
    </row>
    <row r="2701" customFormat="false" ht="15" hidden="false" customHeight="false" outlineLevel="1" collapsed="false">
      <c r="A2701" s="7" t="s">
        <v>615</v>
      </c>
      <c r="B2701" s="8" t="s">
        <v>11</v>
      </c>
      <c r="C2701" s="61" t="n">
        <f aca="false">C2607*1000*C2690</f>
        <v>0</v>
      </c>
      <c r="D2701" s="61" t="n">
        <f aca="false">D2607*1000*D2690</f>
        <v>0</v>
      </c>
      <c r="E2701" s="61" t="n">
        <f aca="false">E2607*1000*E2690</f>
        <v>0</v>
      </c>
      <c r="F2701" s="61" t="n">
        <f aca="false">F2607*1000*F2690</f>
        <v>0</v>
      </c>
      <c r="G2701" s="61" t="n">
        <f aca="false">G2607*1000*G2690</f>
        <v>0</v>
      </c>
      <c r="H2701" s="2" t="s">
        <v>1271</v>
      </c>
    </row>
    <row r="2702" customFormat="false" ht="15" hidden="false" customHeight="false" outlineLevel="1" collapsed="false">
      <c r="A2702" s="7" t="s">
        <v>616</v>
      </c>
      <c r="B2702" s="8" t="s">
        <v>11</v>
      </c>
      <c r="C2702" s="61" t="n">
        <f aca="false">C2618*(Pressupostos!$C$101*Pressupostos!$C$102+Pressupostos!$C$103)</f>
        <v>0</v>
      </c>
      <c r="D2702" s="61" t="n">
        <f aca="false">D2618*(Pressupostos!$C$101*Pressupostos!$C$102+Pressupostos!$C$103)</f>
        <v>10000</v>
      </c>
      <c r="E2702" s="61" t="n">
        <f aca="false">E2618*(Pressupostos!$C$101*Pressupostos!$C$102+Pressupostos!$C$103)</f>
        <v>30000</v>
      </c>
      <c r="F2702" s="61" t="n">
        <f aca="false">F2618*(Pressupostos!$C$101*Pressupostos!$C$102+Pressupostos!$C$103)</f>
        <v>60000</v>
      </c>
      <c r="G2702" s="61" t="n">
        <f aca="false">G2618*(Pressupostos!$C$101*Pressupostos!$C$102+Pressupostos!$C$103)</f>
        <v>100000</v>
      </c>
      <c r="H2702" s="2" t="s">
        <v>1272</v>
      </c>
    </row>
    <row r="2703" customFormat="false" ht="15" hidden="false" customHeight="false" outlineLevel="1" collapsed="false">
      <c r="A2703" s="7" t="s">
        <v>617</v>
      </c>
      <c r="B2703" s="8" t="s">
        <v>11</v>
      </c>
      <c r="C2703" s="53" t="n">
        <f aca="false">Pressupostos!$C$275</f>
        <v>0</v>
      </c>
      <c r="D2703" s="53" t="n">
        <f aca="false">Pressupostos!$D$275</f>
        <v>0</v>
      </c>
      <c r="E2703" s="53" t="n">
        <f aca="false">Pressupostos!$E$275</f>
        <v>0</v>
      </c>
      <c r="F2703" s="53" t="n">
        <f aca="false">Pressupostos!$F$275</f>
        <v>10000</v>
      </c>
      <c r="G2703" s="53" t="n">
        <f aca="false">Pressupostos!$G$275</f>
        <v>30000</v>
      </c>
      <c r="H2703" s="2" t="s">
        <v>1273</v>
      </c>
    </row>
    <row r="2704" customFormat="false" ht="15" hidden="false" customHeight="false" outlineLevel="1" collapsed="false">
      <c r="A2704" s="56" t="s">
        <v>618</v>
      </c>
      <c r="B2704" s="57" t="s">
        <v>11</v>
      </c>
      <c r="C2704" s="62" t="n">
        <f aca="false">C2697+C2698+C2700+C2701+C2702+C2703</f>
        <v>347997</v>
      </c>
      <c r="D2704" s="62" t="n">
        <f aca="false">D2697+D2698+D2700+D2701+D2702+D2703</f>
        <v>2311565.5</v>
      </c>
      <c r="E2704" s="62" t="n">
        <f aca="false">E2697+E2698+E2700+E2701+E2702+E2703</f>
        <v>5277001.5</v>
      </c>
      <c r="F2704" s="62" t="n">
        <f aca="false">F2697+F2698+F2700+F2701+F2702+F2703</f>
        <v>9146996.5</v>
      </c>
      <c r="G2704" s="62" t="n">
        <f aca="false">G2697+G2698+G2700+G2701+G2702+G2703</f>
        <v>13995891</v>
      </c>
      <c r="H2704" s="2" t="s">
        <v>1274</v>
      </c>
    </row>
    <row r="2705" customFormat="false" ht="15" hidden="false" customHeight="false" outlineLevel="0" collapsed="false">
      <c r="A2705" s="3" t="s">
        <v>1275</v>
      </c>
      <c r="B2705" s="4"/>
      <c r="C2705" s="4"/>
      <c r="D2705" s="4"/>
      <c r="E2705" s="4"/>
      <c r="F2705" s="4"/>
      <c r="G2705" s="4"/>
      <c r="H2705" s="4"/>
    </row>
    <row r="2706" customFormat="false" ht="15" hidden="false" customHeight="false" outlineLevel="1" collapsed="false">
      <c r="A2706" s="2" t="s">
        <v>620</v>
      </c>
      <c r="B2706" s="8" t="s">
        <v>11</v>
      </c>
      <c r="C2706" s="61" t="n">
        <f aca="false">C2607*1000*Pressupostos!$D$10</f>
        <v>0</v>
      </c>
      <c r="D2706" s="61" t="n">
        <f aca="false">D2607*1000*Pressupostos!$D$10</f>
        <v>0</v>
      </c>
      <c r="E2706" s="61" t="n">
        <f aca="false">E2607*1000*Pressupostos!$D$10</f>
        <v>0</v>
      </c>
      <c r="F2706" s="61" t="n">
        <f aca="false">F2607*1000*Pressupostos!$D$10</f>
        <v>0</v>
      </c>
      <c r="G2706" s="61" t="n">
        <f aca="false">G2607*1000*Pressupostos!$D$10</f>
        <v>0</v>
      </c>
      <c r="H2706" s="2" t="s">
        <v>1276</v>
      </c>
    </row>
    <row r="2707" customFormat="false" ht="15" hidden="false" customHeight="false" outlineLevel="1" collapsed="false">
      <c r="A2707" s="56" t="s">
        <v>621</v>
      </c>
      <c r="B2707" s="57" t="s">
        <v>11</v>
      </c>
      <c r="C2707" s="62" t="n">
        <f aca="false">C2697+C2698+C2699+C2706</f>
        <v>399594</v>
      </c>
      <c r="D2707" s="62" t="n">
        <f aca="false">D2697+D2698+D2699+D2706</f>
        <v>2507953.5</v>
      </c>
      <c r="E2707" s="62" t="n">
        <f aca="false">E2697+E2698+E2699+E2706</f>
        <v>5590981.5</v>
      </c>
      <c r="F2707" s="62" t="n">
        <f aca="false">F2697+F2698+F2699+F2706</f>
        <v>9558568.5</v>
      </c>
      <c r="G2707" s="62" t="n">
        <f aca="false">G2697+G2698+G2699+G2706</f>
        <v>14485055</v>
      </c>
      <c r="H2707" s="2" t="s">
        <v>1277</v>
      </c>
    </row>
    <row r="2708" customFormat="false" ht="15" hidden="false" customHeight="false" outlineLevel="1" collapsed="false">
      <c r="A2708" s="7" t="s">
        <v>622</v>
      </c>
      <c r="B2708" s="8" t="s">
        <v>11</v>
      </c>
      <c r="C2708" s="61" t="n">
        <f aca="false">C2707-C2706-C2696</f>
        <v>399594</v>
      </c>
      <c r="D2708" s="61" t="n">
        <f aca="false">D2707-D2706-D2696</f>
        <v>2507953.5</v>
      </c>
      <c r="E2708" s="61" t="n">
        <f aca="false">E2707-E2706-E2696</f>
        <v>5590981.5</v>
      </c>
      <c r="F2708" s="61" t="n">
        <f aca="false">F2707-F2706-F2696</f>
        <v>9558568.5</v>
      </c>
      <c r="G2708" s="61" t="n">
        <f aca="false">G2707-G2706-G2696</f>
        <v>14485055</v>
      </c>
      <c r="H2708" s="2" t="s">
        <v>1278</v>
      </c>
    </row>
    <row r="2709" customFormat="false" ht="15" hidden="false" customHeight="false" outlineLevel="1" collapsed="false">
      <c r="A2709" s="7" t="s">
        <v>623</v>
      </c>
      <c r="B2709" s="8" t="s">
        <v>11</v>
      </c>
      <c r="C2709" s="61" t="n">
        <f aca="false">C2603*1000*(C2621+C2624)+C2604*1000*(C2644+C2647)+C2606*1000*(C2667+C2670)+C2616*1000*Pressupostos!$C$92</f>
        <v>316940</v>
      </c>
      <c r="D2709" s="61" t="n">
        <f aca="false">D2603*1000*(D2621+D2624)+D2604*1000*(D2644+D2647)+D2606*1000*(D2667+D2670)+D2616*1000*Pressupostos!$C$92</f>
        <v>2110810</v>
      </c>
      <c r="E2709" s="61" t="n">
        <f aca="false">E2603*1000*(E2621+E2624)+E2604*1000*(E2644+E2647)+E2606*1000*(E2667+E2670)+E2616*1000*Pressupostos!$C$92</f>
        <v>4765540</v>
      </c>
      <c r="F2709" s="61" t="n">
        <f aca="false">F2603*1000*(F2621+F2624)+F2604*1000*(F2644+F2647)+F2606*1000*(F2667+F2670)+F2616*1000*Pressupostos!$C$92</f>
        <v>8214960</v>
      </c>
      <c r="G2709" s="61" t="n">
        <f aca="false">G2603*1000*(G2621+G2624)+G2604*1000*(G2644+G2647)+G2606*1000*(G2667+G2670)+G2616*1000*Pressupostos!$C$92</f>
        <v>12546300</v>
      </c>
      <c r="H2709" s="2" t="s">
        <v>1279</v>
      </c>
    </row>
    <row r="2710" customFormat="false" ht="15" hidden="false" customHeight="false" outlineLevel="1" collapsed="false">
      <c r="A2710" s="7" t="s">
        <v>624</v>
      </c>
      <c r="B2710" s="8" t="s">
        <v>11</v>
      </c>
      <c r="C2710" s="61" t="n">
        <f aca="false">C2709*Pressupostos!$C$282</f>
        <v>0</v>
      </c>
      <c r="D2710" s="61" t="n">
        <f aca="false">D2709*Pressupostos!$D$282</f>
        <v>1899729</v>
      </c>
      <c r="E2710" s="61" t="n">
        <f aca="false">E2709*Pressupostos!$E$282</f>
        <v>4288986</v>
      </c>
      <c r="F2710" s="61" t="n">
        <f aca="false">F2709*Pressupostos!$F$282</f>
        <v>7393464</v>
      </c>
      <c r="G2710" s="61" t="n">
        <f aca="false">G2709*Pressupostos!$G$282</f>
        <v>11291670</v>
      </c>
      <c r="H2710" s="2" t="s">
        <v>1280</v>
      </c>
    </row>
    <row r="2711" customFormat="false" ht="15" hidden="false" customHeight="false" outlineLevel="0" collapsed="false">
      <c r="A2711" s="3" t="s">
        <v>1281</v>
      </c>
      <c r="B2711" s="4"/>
      <c r="C2711" s="4"/>
      <c r="D2711" s="4"/>
      <c r="E2711" s="4"/>
      <c r="F2711" s="4"/>
      <c r="G2711" s="4"/>
      <c r="H2711" s="4"/>
    </row>
    <row r="2712" customFormat="false" ht="15" hidden="false" customHeight="false" outlineLevel="1" collapsed="false">
      <c r="A2712" s="7" t="s">
        <v>626</v>
      </c>
      <c r="B2712" s="8" t="s">
        <v>11</v>
      </c>
      <c r="C2712" s="61" t="n">
        <f aca="false">C2603*1000*C2640</f>
        <v>3545.76887671235</v>
      </c>
      <c r="D2712" s="61" t="n">
        <f aca="false">D2603*1000*D2640</f>
        <v>7293.45571232887</v>
      </c>
      <c r="E2712" s="61" t="n">
        <f aca="false">E2603*1000*E2640</f>
        <v>60019.7658458906</v>
      </c>
      <c r="F2712" s="61" t="n">
        <f aca="false">F2603*1000*F2640</f>
        <v>125071.755472603</v>
      </c>
      <c r="G2712" s="61" t="n">
        <f aca="false">G2603*1000*G2640</f>
        <v>192057.751849316</v>
      </c>
      <c r="H2712" s="2" t="s">
        <v>1282</v>
      </c>
    </row>
    <row r="2713" customFormat="false" ht="15" hidden="false" customHeight="false" outlineLevel="1" collapsed="false">
      <c r="A2713" s="7" t="s">
        <v>627</v>
      </c>
      <c r="B2713" s="8" t="s">
        <v>11</v>
      </c>
      <c r="C2713" s="61" t="n">
        <f aca="false">C2604*1000*C2663</f>
        <v>6513.81561643842</v>
      </c>
      <c r="D2713" s="61" t="n">
        <f aca="false">D2604*1000*D2663</f>
        <v>24265.0333561649</v>
      </c>
      <c r="E2713" s="61" t="n">
        <f aca="false">E2604*1000*E2663</f>
        <v>59867.3944263705</v>
      </c>
      <c r="F2713" s="61" t="n">
        <f aca="false">F2604*1000*F2663</f>
        <v>103096.444571918</v>
      </c>
      <c r="G2713" s="61" t="n">
        <f aca="false">G2604*1000*G2663</f>
        <v>155995.465582193</v>
      </c>
      <c r="H2713" s="2" t="s">
        <v>1283</v>
      </c>
    </row>
    <row r="2714" customFormat="false" ht="15" hidden="false" customHeight="false" outlineLevel="1" collapsed="false">
      <c r="A2714" s="7" t="s">
        <v>628</v>
      </c>
      <c r="B2714" s="8" t="s">
        <v>11</v>
      </c>
      <c r="C2714" s="61" t="n">
        <f aca="false">C2606*1000*C2686+C2607*1000*C2692</f>
        <v>0</v>
      </c>
      <c r="D2714" s="61" t="n">
        <f aca="false">D2606*1000*D2686+D2607*1000*D2692</f>
        <v>0</v>
      </c>
      <c r="E2714" s="61" t="n">
        <f aca="false">E2606*1000*E2686+E2607*1000*E2692</f>
        <v>0</v>
      </c>
      <c r="F2714" s="61" t="n">
        <f aca="false">F2606*1000*F2686+F2607*1000*F2692</f>
        <v>0</v>
      </c>
      <c r="G2714" s="61" t="n">
        <f aca="false">G2606*1000*G2686+G2607*1000*G2692</f>
        <v>0</v>
      </c>
      <c r="H2714" s="2" t="s">
        <v>1284</v>
      </c>
    </row>
    <row r="2715" customFormat="false" ht="15" hidden="false" customHeight="false" outlineLevel="1" collapsed="false">
      <c r="A2715" s="7" t="s">
        <v>629</v>
      </c>
      <c r="B2715" s="8" t="s">
        <v>11</v>
      </c>
      <c r="C2715" s="61" t="n">
        <f aca="false">C2712+C2713+C2714</f>
        <v>10059.5844931508</v>
      </c>
      <c r="D2715" s="61" t="n">
        <f aca="false">D2712+D2713+D2714</f>
        <v>31558.4890684938</v>
      </c>
      <c r="E2715" s="61" t="n">
        <f aca="false">E2712+E2713+E2714</f>
        <v>119887.160272261</v>
      </c>
      <c r="F2715" s="61" t="n">
        <f aca="false">F2712+F2713+F2714</f>
        <v>228168.200044522</v>
      </c>
      <c r="G2715" s="61" t="n">
        <f aca="false">G2712+G2713+G2714</f>
        <v>348053.217431509</v>
      </c>
      <c r="H2715" s="2" t="s">
        <v>1285</v>
      </c>
    </row>
    <row r="2716" customFormat="false" ht="15" hidden="false" customHeight="false" outlineLevel="1" collapsed="false">
      <c r="A2716" s="7" t="s">
        <v>630</v>
      </c>
      <c r="B2716" s="8" t="s">
        <v>64</v>
      </c>
      <c r="C2716" s="63" t="n">
        <f aca="false">IF(C2608&gt;0,C2715/(C2608*1000),0)</f>
        <v>0.128969031963471</v>
      </c>
      <c r="D2716" s="63" t="n">
        <f aca="false">IF(D2608&gt;0,D2715/(D2608*1000),0)</f>
        <v>0.0606894020547957</v>
      </c>
      <c r="E2716" s="63" t="n">
        <f aca="false">IF(E2608&gt;0,E2715/(E2608*1000),0)</f>
        <v>0.108495167667205</v>
      </c>
      <c r="F2716" s="63" t="n">
        <f aca="false">IF(F2608&gt;0,F2715/(F2608*1000),0)</f>
        <v>0.121044137954653</v>
      </c>
      <c r="G2716" s="63" t="n">
        <f aca="false">IF(G2608&gt;0,G2715/(G2608*1000),0)</f>
        <v>0.121696929171856</v>
      </c>
      <c r="H2716" s="2" t="s">
        <v>1286</v>
      </c>
    </row>
    <row r="2717" customFormat="false" ht="15" hidden="false" customHeight="false" outlineLevel="1" collapsed="false">
      <c r="A2717" s="7" t="s">
        <v>631</v>
      </c>
      <c r="B2717" s="8" t="s">
        <v>76</v>
      </c>
      <c r="C2717" s="59" t="n">
        <f aca="false">IF(C2697&gt;0,C2715/C2697,0)</f>
        <v>0.0289948363227229</v>
      </c>
      <c r="D2717" s="59" t="n">
        <f aca="false">IF(D2697&gt;0,D2715/D2697,0)</f>
        <v>0.0137368885844054</v>
      </c>
      <c r="E2717" s="59" t="n">
        <f aca="false">IF(E2697&gt;0,E2715/E2697,0)</f>
        <v>0.0242989977003189</v>
      </c>
      <c r="F2717" s="59" t="n">
        <f aca="false">IF(F2697&gt;0,F2715/F2697,0)</f>
        <v>0.0269866054149182</v>
      </c>
      <c r="G2717" s="59" t="n">
        <f aca="false">IF(G2697&gt;0,G2715/G2697,0)</f>
        <v>0.0271222521922618</v>
      </c>
      <c r="H2717" s="2" t="s">
        <v>1287</v>
      </c>
    </row>
    <row r="2718" customFormat="false" ht="15" hidden="false" customHeight="false" outlineLevel="1" collapsed="false">
      <c r="A2718" s="2" t="s">
        <v>632</v>
      </c>
      <c r="B2718" s="8" t="s">
        <v>64</v>
      </c>
      <c r="C2718" s="63" t="n">
        <f aca="false">Pressupostos!$C$288*Pressupostos!$C$92*(Pressupostos!$C$95+Pressupostos!$C$96-Pressupostos!$C$97)/365*Pressupostos!$C$282/Pressupostos!$D$31</f>
        <v>0</v>
      </c>
      <c r="D2718" s="63" t="n">
        <f aca="false">Pressupostos!$D$288*Pressupostos!$C$92*(Pressupostos!$C$95+Pressupostos!$C$96-Pressupostos!$C$97)/365*Pressupostos!$D$282/Pressupostos!$D$31</f>
        <v>0.0776712328767123</v>
      </c>
      <c r="E2718" s="63" t="n">
        <f aca="false">Pressupostos!$E$288*Pressupostos!$C$92*(Pressupostos!$C$95+Pressupostos!$C$96-Pressupostos!$C$97)/365*Pressupostos!$E$282/Pressupostos!$D$31</f>
        <v>0.0728167808219178</v>
      </c>
      <c r="F2718" s="63" t="n">
        <f aca="false">Pressupostos!$F$288*Pressupostos!$C$92*(Pressupostos!$C$95+Pressupostos!$C$96-Pressupostos!$C$97)/365*Pressupostos!$F$282/Pressupostos!$D$31</f>
        <v>0.0679623287671233</v>
      </c>
      <c r="G2718" s="63" t="n">
        <f aca="false">Pressupostos!$G$288*Pressupostos!$C$92*(Pressupostos!$C$95+Pressupostos!$C$96-Pressupostos!$C$97)/365*Pressupostos!$G$282/Pressupostos!$D$31</f>
        <v>0.0679623287671233</v>
      </c>
      <c r="H2718" s="2" t="s">
        <v>1288</v>
      </c>
    </row>
    <row r="2719" customFormat="false" ht="15" hidden="false" customHeight="false" outlineLevel="1" collapsed="false">
      <c r="A2719" s="7" t="s">
        <v>600</v>
      </c>
      <c r="B2719" s="8" t="s">
        <v>11</v>
      </c>
      <c r="C2719" s="61" t="n">
        <f aca="false">C2616*1000*(Pressupostos!$C$93-Pressupostos!$C$92-Pressupostos!$C$94-C2718-Pressupostos!$C$98*Pressupostos!$C$93-Pressupostos!$C$99-Pressupostos!$D$29*Pressupostos!$C$92)</f>
        <v>0</v>
      </c>
      <c r="D2719" s="61" t="n">
        <f aca="false">D2616*1000*(Pressupostos!$C$93-Pressupostos!$C$92-Pressupostos!$C$94-D2718-Pressupostos!$C$98*Pressupostos!$C$93-Pressupostos!$C$99-Pressupostos!$D$29*Pressupostos!$C$92)</f>
        <v>0</v>
      </c>
      <c r="E2719" s="61" t="n">
        <f aca="false">E2616*1000*(Pressupostos!$C$93-Pressupostos!$C$92-Pressupostos!$C$94-E2718-Pressupostos!$C$98*Pressupostos!$C$93-Pressupostos!$C$99-Pressupostos!$D$29*Pressupostos!$C$92)</f>
        <v>21453.2455479452</v>
      </c>
      <c r="F2719" s="61" t="n">
        <f aca="false">F2616*1000*(Pressupostos!$C$93-Pressupostos!$C$92-Pressupostos!$C$94-F2718-Pressupostos!$C$98*Pressupostos!$C$93-Pressupostos!$C$99-Pressupostos!$D$29*Pressupostos!$C$92)</f>
        <v>43285.1383561644</v>
      </c>
      <c r="G2719" s="61" t="n">
        <f aca="false">G2616*1000*(Pressupostos!$C$93-Pressupostos!$C$92-Pressupostos!$C$94-G2718-Pressupostos!$C$98*Pressupostos!$C$93-Pressupostos!$C$99-Pressupostos!$D$29*Pressupostos!$C$92)</f>
        <v>72141.8972602739</v>
      </c>
      <c r="H2719" s="2" t="s">
        <v>1289</v>
      </c>
    </row>
    <row r="2720" customFormat="false" ht="15" hidden="false" customHeight="false" outlineLevel="1" collapsed="false">
      <c r="A2720" s="7" t="s">
        <v>633</v>
      </c>
      <c r="B2720" s="8" t="s">
        <v>11</v>
      </c>
      <c r="C2720" s="61" t="n">
        <f aca="false">C2700</f>
        <v>1053</v>
      </c>
      <c r="D2720" s="61" t="n">
        <f aca="false">D2700</f>
        <v>4212</v>
      </c>
      <c r="E2720" s="61" t="n">
        <f aca="false">E2700</f>
        <v>7020</v>
      </c>
      <c r="F2720" s="61" t="n">
        <f aca="false">F2700</f>
        <v>9828</v>
      </c>
      <c r="G2720" s="61" t="n">
        <f aca="false">G2700</f>
        <v>12636</v>
      </c>
      <c r="H2720" s="2" t="s">
        <v>1290</v>
      </c>
    </row>
    <row r="2721" customFormat="false" ht="15" hidden="false" customHeight="false" outlineLevel="1" collapsed="false">
      <c r="A2721" s="7" t="s">
        <v>634</v>
      </c>
      <c r="B2721" s="8" t="s">
        <v>11</v>
      </c>
      <c r="C2721" s="61" t="n">
        <f aca="false">C2702-C2736</f>
        <v>0</v>
      </c>
      <c r="D2721" s="61" t="n">
        <f aca="false">D2702-D2736</f>
        <v>1771.42857142857</v>
      </c>
      <c r="E2721" s="61" t="n">
        <f aca="false">E2702-E2736</f>
        <v>5314.28571428572</v>
      </c>
      <c r="F2721" s="61" t="n">
        <f aca="false">F2702-F2736</f>
        <v>10628.5714285714</v>
      </c>
      <c r="G2721" s="61" t="n">
        <f aca="false">G2702-G2736</f>
        <v>17714.2857142857</v>
      </c>
      <c r="H2721" s="2" t="s">
        <v>1291</v>
      </c>
    </row>
    <row r="2722" customFormat="false" ht="15" hidden="false" customHeight="false" outlineLevel="1" collapsed="false">
      <c r="A2722" s="7" t="s">
        <v>617</v>
      </c>
      <c r="B2722" s="8" t="s">
        <v>11</v>
      </c>
      <c r="C2722" s="61" t="n">
        <f aca="false">C2703</f>
        <v>0</v>
      </c>
      <c r="D2722" s="61" t="n">
        <f aca="false">D2703</f>
        <v>0</v>
      </c>
      <c r="E2722" s="61" t="n">
        <f aca="false">E2703</f>
        <v>0</v>
      </c>
      <c r="F2722" s="61" t="n">
        <f aca="false">F2703</f>
        <v>10000</v>
      </c>
      <c r="G2722" s="61" t="n">
        <f aca="false">G2703</f>
        <v>30000</v>
      </c>
      <c r="H2722" s="2" t="s">
        <v>1292</v>
      </c>
    </row>
    <row r="2723" customFormat="false" ht="15" hidden="false" customHeight="false" outlineLevel="1" collapsed="false">
      <c r="A2723" s="56" t="s">
        <v>635</v>
      </c>
      <c r="B2723" s="57" t="s">
        <v>11</v>
      </c>
      <c r="C2723" s="62" t="n">
        <f aca="false">C2715+C2719+C2720+C2721+C2722</f>
        <v>11112.5844931508</v>
      </c>
      <c r="D2723" s="62" t="n">
        <f aca="false">D2715+D2719+D2720+D2721+D2722</f>
        <v>37541.9176399223</v>
      </c>
      <c r="E2723" s="62" t="n">
        <f aca="false">E2715+E2719+E2720+E2721+E2722</f>
        <v>153674.691534492</v>
      </c>
      <c r="F2723" s="62" t="n">
        <f aca="false">F2715+F2719+F2720+F2721+F2722</f>
        <v>301909.909829257</v>
      </c>
      <c r="G2723" s="62" t="n">
        <f aca="false">G2715+G2719+G2720+G2721+G2722</f>
        <v>480545.400406068</v>
      </c>
      <c r="H2723" s="2" t="s">
        <v>1293</v>
      </c>
    </row>
    <row r="2724" customFormat="false" ht="15" hidden="false" customHeight="false" outlineLevel="0" collapsed="false">
      <c r="A2724" s="3" t="s">
        <v>1294</v>
      </c>
      <c r="B2724" s="4"/>
      <c r="C2724" s="4"/>
      <c r="D2724" s="4"/>
      <c r="E2724" s="4"/>
      <c r="F2724" s="4"/>
      <c r="G2724" s="4"/>
      <c r="H2724" s="4"/>
    </row>
    <row r="2725" customFormat="false" ht="15" hidden="false" customHeight="false" outlineLevel="1" collapsed="false">
      <c r="A2725" s="7" t="s">
        <v>686</v>
      </c>
      <c r="B2725" s="8" t="s">
        <v>11</v>
      </c>
      <c r="C2725" s="61" t="n">
        <f aca="false">C2603*1000*(C2621+C2624)+C2604*1000*(C2644+C2647)+C2606*1000*(C2667+C2670)</f>
        <v>316940</v>
      </c>
      <c r="D2725" s="61" t="n">
        <f aca="false">D2603*1000*(D2621+D2624)+D2604*1000*(D2644+D2647)+D2606*1000*(D2667+D2670)</f>
        <v>2110810</v>
      </c>
      <c r="E2725" s="61" t="n">
        <f aca="false">E2603*1000*(E2621+E2624)+E2604*1000*(E2644+E2647)+E2606*1000*(E2667+E2670)</f>
        <v>4492540</v>
      </c>
      <c r="F2725" s="61" t="n">
        <f aca="false">F2603*1000*(F2621+F2624)+F2604*1000*(F2644+F2647)+F2606*1000*(F2667+F2670)</f>
        <v>7668960</v>
      </c>
      <c r="G2725" s="61" t="n">
        <f aca="false">G2603*1000*(G2621+G2624)+G2604*1000*(G2644+G2647)+G2606*1000*(G2667+G2670)</f>
        <v>11636300</v>
      </c>
      <c r="H2725" s="2" t="s">
        <v>1295</v>
      </c>
    </row>
    <row r="2726" customFormat="false" ht="15" hidden="false" customHeight="false" outlineLevel="1" collapsed="false">
      <c r="A2726" s="7" t="s">
        <v>687</v>
      </c>
      <c r="B2726" s="8" t="s">
        <v>11</v>
      </c>
      <c r="C2726" s="61" t="n">
        <f aca="false">C2616*1000*Pressupostos!$C$92</f>
        <v>0</v>
      </c>
      <c r="D2726" s="61" t="n">
        <f aca="false">D2616*1000*Pressupostos!$C$92</f>
        <v>0</v>
      </c>
      <c r="E2726" s="61" t="n">
        <f aca="false">E2616*1000*Pressupostos!$C$92</f>
        <v>273000</v>
      </c>
      <c r="F2726" s="61" t="n">
        <f aca="false">F2616*1000*Pressupostos!$C$92</f>
        <v>546000</v>
      </c>
      <c r="G2726" s="61" t="n">
        <f aca="false">G2616*1000*Pressupostos!$C$92</f>
        <v>910000</v>
      </c>
      <c r="H2726" s="2" t="s">
        <v>1296</v>
      </c>
    </row>
    <row r="2727" customFormat="false" ht="15" hidden="false" customHeight="false" outlineLevel="1" collapsed="false">
      <c r="A2727" s="7" t="s">
        <v>688</v>
      </c>
      <c r="B2727" s="8" t="s">
        <v>11</v>
      </c>
      <c r="C2727" s="61" t="n">
        <f aca="false">C2725+C2726</f>
        <v>316940</v>
      </c>
      <c r="D2727" s="61" t="n">
        <f aca="false">D2725+D2726</f>
        <v>2110810</v>
      </c>
      <c r="E2727" s="61" t="n">
        <f aca="false">E2725+E2726</f>
        <v>4765540</v>
      </c>
      <c r="F2727" s="61" t="n">
        <f aca="false">F2725+F2726</f>
        <v>8214960</v>
      </c>
      <c r="G2727" s="61" t="n">
        <f aca="false">G2725+G2726</f>
        <v>12546300</v>
      </c>
      <c r="H2727" s="2" t="s">
        <v>1297</v>
      </c>
    </row>
    <row r="2728" customFormat="false" ht="15" hidden="false" customHeight="false" outlineLevel="1" collapsed="false">
      <c r="A2728" s="7" t="s">
        <v>215</v>
      </c>
      <c r="B2728" s="8" t="s">
        <v>11</v>
      </c>
      <c r="C2728" s="61" t="n">
        <f aca="false">C2603*1000*(C2625)+C2604*1000*(C2648)+C2606*1000*(C2671)+C2616*1000*Pressupostos!$C$94</f>
        <v>9880</v>
      </c>
      <c r="D2728" s="61" t="n">
        <f aca="false">D2603*1000*(D2625)+D2604*1000*(D2648)+D2606*1000*(D2671)+D2616*1000*Pressupostos!$C$94</f>
        <v>61620</v>
      </c>
      <c r="E2728" s="61" t="n">
        <f aca="false">E2603*1000*(E2625)+E2604*1000*(E2648)+E2606*1000*(E2671)+E2616*1000*Pressupostos!$C$94</f>
        <v>138151</v>
      </c>
      <c r="F2728" s="61" t="n">
        <f aca="false">F2603*1000*(F2625)+F2604*1000*(F2648)+F2606*1000*(F2671)+F2616*1000*Pressupostos!$C$94</f>
        <v>243828</v>
      </c>
      <c r="G2728" s="61" t="n">
        <f aca="false">G2603*1000*(G2625)+G2604*1000*(G2648)+G2606*1000*(G2671)+G2616*1000*Pressupostos!$C$94</f>
        <v>372840</v>
      </c>
      <c r="H2728" s="2" t="s">
        <v>1298</v>
      </c>
    </row>
    <row r="2729" customFormat="false" ht="15" hidden="false" customHeight="false" outlineLevel="1" collapsed="false">
      <c r="A2729" s="7" t="s">
        <v>117</v>
      </c>
      <c r="B2729" s="8" t="s">
        <v>11</v>
      </c>
      <c r="C2729" s="61" t="n">
        <f aca="false">C2603*1000*(C2626)+C2604*1000*(C2649)+C2606*1000*(C2672)</f>
        <v>624</v>
      </c>
      <c r="D2729" s="61" t="n">
        <f aca="false">D2603*1000*(D2626)+D2604*1000*(D2649)+D2606*1000*(D2672)</f>
        <v>2886</v>
      </c>
      <c r="E2729" s="61" t="n">
        <f aca="false">E2603*1000*(E2626)+E2604*1000*(E2649)+E2606*1000*(E2672)</f>
        <v>10374</v>
      </c>
      <c r="F2729" s="61" t="n">
        <f aca="false">F2603*1000*(F2626)+F2604*1000*(F2649)+F2606*1000*(F2672)</f>
        <v>20826</v>
      </c>
      <c r="G2729" s="61" t="n">
        <f aca="false">G2603*1000*(G2626)+G2604*1000*(G2649)+G2606*1000*(G2672)</f>
        <v>31980</v>
      </c>
      <c r="H2729" s="2" t="s">
        <v>1299</v>
      </c>
    </row>
    <row r="2730" customFormat="false" ht="15" hidden="false" customHeight="false" outlineLevel="1" collapsed="false">
      <c r="A2730" s="7" t="s">
        <v>689</v>
      </c>
      <c r="B2730" s="8" t="s">
        <v>11</v>
      </c>
      <c r="C2730" s="61" t="n">
        <f aca="false">C2603*1000*(C2629+C2630)+C2604*1000*(C2652+C2653)+C2606*1000*(C2675+C2676)</f>
        <v>596.931506849315</v>
      </c>
      <c r="D2730" s="61" t="n">
        <f aca="false">D2603*1000*(D2629+D2630)+D2604*1000*(D2652+D2653)+D2606*1000*(D2675+D2676)</f>
        <v>3492.04931506849</v>
      </c>
      <c r="E2730" s="61" t="n">
        <f aca="false">E2603*1000*(E2629+E2630)+E2604*1000*(E2652+E2653)+E2606*1000*(E2675+E2676)</f>
        <v>5470.87726027397</v>
      </c>
      <c r="F2730" s="61" t="n">
        <f aca="false">F2603*1000*(F2629+F2630)+F2604*1000*(F2652+F2653)+F2606*1000*(F2675+F2676)</f>
        <v>9452.4104109589</v>
      </c>
      <c r="G2730" s="61" t="n">
        <f aca="false">G2603*1000*(G2629+G2630)+G2604*1000*(G2652+G2653)+G2606*1000*(G2675+G2676)</f>
        <v>14356.202739726</v>
      </c>
      <c r="H2730" s="2" t="s">
        <v>1300</v>
      </c>
    </row>
    <row r="2731" customFormat="false" ht="15" hidden="false" customHeight="false" outlineLevel="1" collapsed="false">
      <c r="A2731" s="7" t="s">
        <v>690</v>
      </c>
      <c r="B2731" s="8" t="s">
        <v>11</v>
      </c>
      <c r="C2731" s="61" t="n">
        <f aca="false">C2603*1000*(C2631+C2632+C2633)+C2604*1000*(C2654+C2655+C2656)+C2606*1000*(C2677+C2678+C2679)</f>
        <v>3458</v>
      </c>
      <c r="D2731" s="61" t="n">
        <f aca="false">D2603*1000*(D2631+D2632+D2633)+D2604*1000*(D2654+D2655+D2656)+D2606*1000*(D2677+D2678+D2679)</f>
        <v>22522.5</v>
      </c>
      <c r="E2731" s="61" t="n">
        <f aca="false">E2603*1000*(E2631+E2632+E2633)+E2604*1000*(E2654+E2655+E2656)+E2606*1000*(E2677+E2678+E2679)</f>
        <v>47293.35</v>
      </c>
      <c r="F2731" s="61" t="n">
        <f aca="false">F2603*1000*(F2631+F2632+F2633)+F2604*1000*(F2654+F2655+F2656)+F2606*1000*(F2677+F2678+F2679)</f>
        <v>81276.65</v>
      </c>
      <c r="G2731" s="61" t="n">
        <f aca="false">G2603*1000*(G2631+G2632+G2633)+G2604*1000*(G2654+G2655+G2656)+G2606*1000*(G2677+G2678+G2679)</f>
        <v>123389.5</v>
      </c>
      <c r="H2731" s="2" t="s">
        <v>1301</v>
      </c>
    </row>
    <row r="2732" customFormat="false" ht="15" hidden="false" customHeight="false" outlineLevel="1" collapsed="false">
      <c r="A2732" s="7" t="s">
        <v>673</v>
      </c>
      <c r="B2732" s="8" t="s">
        <v>11</v>
      </c>
      <c r="C2732" s="61" t="n">
        <f aca="false">C2603*1000*(C2634)+C2604*1000*(C2657)+C2606*1000*(C2680)</f>
        <v>3744</v>
      </c>
      <c r="D2732" s="61" t="n">
        <f aca="false">D2603*1000*(D2634)+D2604*1000*(D2657)+D2606*1000*(D2680)</f>
        <v>23686</v>
      </c>
      <c r="E2732" s="61" t="n">
        <f aca="false">E2603*1000*(E2634)+E2604*1000*(E2657)+E2606*1000*(E2680)</f>
        <v>54574</v>
      </c>
      <c r="F2732" s="61" t="n">
        <f aca="false">F2603*1000*(F2634)+F2604*1000*(F2657)+F2606*1000*(F2680)</f>
        <v>96226</v>
      </c>
      <c r="G2732" s="61" t="n">
        <f aca="false">G2603*1000*(G2634)+G2604*1000*(G2657)+G2606*1000*(G2680)</f>
        <v>146380</v>
      </c>
      <c r="H2732" s="2" t="s">
        <v>1302</v>
      </c>
    </row>
    <row r="2733" customFormat="false" ht="15" hidden="false" customHeight="false" outlineLevel="1" collapsed="false">
      <c r="A2733" s="7" t="s">
        <v>691</v>
      </c>
      <c r="B2733" s="8" t="s">
        <v>11</v>
      </c>
      <c r="C2733" s="61" t="n">
        <f aca="false">C2603*1000*(C2635)+C2604*1000*(C2658)+C2606*1000*(C2681)+C2616*1000*Pressupostos!$C$99</f>
        <v>442</v>
      </c>
      <c r="D2733" s="61" t="n">
        <f aca="false">D2603*1000*(D2635)+D2604*1000*(D2658)+D2606*1000*(D2681)+D2616*1000*Pressupostos!$C$99</f>
        <v>2840.5</v>
      </c>
      <c r="E2733" s="61" t="n">
        <f aca="false">E2603*1000*(E2635)+E2604*1000*(E2658)+E2606*1000*(E2681)+E2616*1000*Pressupostos!$C$99</f>
        <v>7559.5</v>
      </c>
      <c r="F2733" s="61" t="n">
        <f aca="false">F2603*1000*(F2635)+F2604*1000*(F2658)+F2606*1000*(F2681)+F2616*1000*Pressupostos!$C$99</f>
        <v>13500.5</v>
      </c>
      <c r="G2733" s="61" t="n">
        <f aca="false">G2603*1000*(G2635)+G2604*1000*(G2658)+G2606*1000*(G2681)+G2616*1000*Pressupostos!$C$99</f>
        <v>20865</v>
      </c>
      <c r="H2733" s="2" t="s">
        <v>1303</v>
      </c>
    </row>
    <row r="2734" customFormat="false" ht="15" hidden="false" customHeight="false" outlineLevel="1" collapsed="false">
      <c r="A2734" s="7" t="s">
        <v>81</v>
      </c>
      <c r="B2734" s="8" t="s">
        <v>11</v>
      </c>
      <c r="C2734" s="61" t="n">
        <f aca="false">C2603*1000*(C2636)+C2604*1000*(C2659)+C2606*1000*(C2682)+C2616*1000*Pressupostos!$C$98*Pressupostos!$C$93</f>
        <v>1199.484</v>
      </c>
      <c r="D2734" s="61" t="n">
        <f aca="false">D2603*1000*(D2636)+D2604*1000*(D2659)+D2606*1000*(D2682)+D2616*1000*Pressupostos!$C$98*Pressupostos!$C$93</f>
        <v>7625.826</v>
      </c>
      <c r="E2734" s="61" t="n">
        <f aca="false">E2603*1000*(E2636)+E2604*1000*(E2659)+E2606*1000*(E2682)+E2616*1000*Pressupostos!$C$98*Pressupostos!$C$93</f>
        <v>19275.984</v>
      </c>
      <c r="F2734" s="61" t="n">
        <f aca="false">F2603*1000*(F2636)+F2604*1000*(F2659)+F2606*1000*(F2682)+F2616*1000*Pressupostos!$C$98*Pressupostos!$C$93</f>
        <v>34333.416</v>
      </c>
      <c r="G2734" s="61" t="n">
        <f aca="false">G2603*1000*(G2636)+G2604*1000*(G2659)+G2606*1000*(G2682)+G2616*1000*Pressupostos!$C$98*Pressupostos!$C$93</f>
        <v>52752.18</v>
      </c>
      <c r="H2734" s="2" t="s">
        <v>1304</v>
      </c>
    </row>
    <row r="2735" customFormat="false" ht="15" hidden="false" customHeight="false" outlineLevel="1" collapsed="false">
      <c r="A2735" s="7" t="s">
        <v>692</v>
      </c>
      <c r="B2735" s="8" t="s">
        <v>11</v>
      </c>
      <c r="C2735" s="61" t="n">
        <f aca="false">C2603*1000*(C2637)+C2604*1000*(C2660)+C2606*1000*(C2683)+C2616*1000*Pressupostos!$D$29*Pressupostos!$C$92</f>
        <v>0</v>
      </c>
      <c r="D2735" s="61" t="n">
        <f aca="false">D2603*1000*(D2637)+D2604*1000*(D2660)+D2606*1000*(D2683)+D2616*1000*Pressupostos!$D$29*Pressupostos!$C$92</f>
        <v>0</v>
      </c>
      <c r="E2735" s="61" t="n">
        <f aca="false">E2603*1000*(E2637)+E2604*1000*(E2660)+E2606*1000*(E2683)+E2616*1000*Pressupostos!$D$29*Pressupostos!$C$92</f>
        <v>0</v>
      </c>
      <c r="F2735" s="61" t="n">
        <f aca="false">F2603*1000*(F2637)+F2604*1000*(F2660)+F2606*1000*(F2683)+F2616*1000*Pressupostos!$D$29*Pressupostos!$C$92</f>
        <v>0</v>
      </c>
      <c r="G2735" s="61" t="n">
        <f aca="false">G2603*1000*(G2637)+G2604*1000*(G2660)+G2606*1000*(G2683)+G2616*1000*Pressupostos!$D$29*Pressupostos!$C$92</f>
        <v>0</v>
      </c>
      <c r="H2735" s="2" t="s">
        <v>1305</v>
      </c>
    </row>
    <row r="2736" customFormat="false" ht="15" hidden="false" customHeight="false" outlineLevel="1" collapsed="false">
      <c r="A2736" s="7" t="s">
        <v>693</v>
      </c>
      <c r="B2736" s="8" t="s">
        <v>11</v>
      </c>
      <c r="C2736" s="61" t="n">
        <f aca="false">C2619*1000*Pressupostos!$C$104*Pressupostos!$D$30</f>
        <v>0</v>
      </c>
      <c r="D2736" s="61" t="n">
        <f aca="false">D2619*1000*Pressupostos!$C$104*Pressupostos!$D$30</f>
        <v>8228.57142857143</v>
      </c>
      <c r="E2736" s="61" t="n">
        <f aca="false">E2619*1000*Pressupostos!$C$104*Pressupostos!$D$30</f>
        <v>24685.7142857143</v>
      </c>
      <c r="F2736" s="61" t="n">
        <f aca="false">F2619*1000*Pressupostos!$C$104*Pressupostos!$D$30</f>
        <v>49371.4285714286</v>
      </c>
      <c r="G2736" s="61" t="n">
        <f aca="false">G2619*1000*Pressupostos!$C$104*Pressupostos!$D$30</f>
        <v>82285.7142857143</v>
      </c>
      <c r="H2736" s="2" t="s">
        <v>1306</v>
      </c>
    </row>
    <row r="2737" customFormat="false" ht="15" hidden="false" customHeight="false" outlineLevel="1" collapsed="false">
      <c r="A2737" s="7" t="s">
        <v>694</v>
      </c>
      <c r="B2737" s="8" t="s">
        <v>11</v>
      </c>
      <c r="C2737" s="61" t="n">
        <f aca="false">C2607*1000*C2691</f>
        <v>0</v>
      </c>
      <c r="D2737" s="61" t="n">
        <f aca="false">D2607*1000*D2691</f>
        <v>0</v>
      </c>
      <c r="E2737" s="61" t="n">
        <f aca="false">E2607*1000*E2691</f>
        <v>0</v>
      </c>
      <c r="F2737" s="61" t="n">
        <f aca="false">F2607*1000*F2691</f>
        <v>0</v>
      </c>
      <c r="G2737" s="61" t="n">
        <f aca="false">G2607*1000*G2691</f>
        <v>0</v>
      </c>
      <c r="H2737" s="2" t="s">
        <v>1307</v>
      </c>
    </row>
    <row r="2738" customFormat="false" ht="15" hidden="false" customHeight="false" outlineLevel="1" collapsed="false">
      <c r="A2738" s="7" t="s">
        <v>695</v>
      </c>
      <c r="B2738" s="8" t="s">
        <v>11</v>
      </c>
      <c r="C2738" s="61" t="n">
        <f aca="false">C2728+C2729+C2730+C2731+C2732+C2733+C2734+C2735+C2736+C2737</f>
        <v>19944.4155068493</v>
      </c>
      <c r="D2738" s="61" t="n">
        <f aca="false">D2728+D2729+D2730+D2731+D2732+D2733+D2734+D2735+D2736+D2737</f>
        <v>132901.44674364</v>
      </c>
      <c r="E2738" s="61" t="n">
        <f aca="false">E2728+E2729+E2730+E2731+E2732+E2733+E2734+E2735+E2736+E2737</f>
        <v>307384.425545988</v>
      </c>
      <c r="F2738" s="61" t="n">
        <f aca="false">F2728+F2729+F2730+F2731+F2732+F2733+F2734+F2735+F2736+F2737</f>
        <v>548814.404982388</v>
      </c>
      <c r="G2738" s="61" t="n">
        <f aca="false">G2728+G2729+G2730+G2731+G2732+G2733+G2734+G2735+G2736+G2737</f>
        <v>844848.59702544</v>
      </c>
      <c r="H2738" s="2" t="s">
        <v>1308</v>
      </c>
    </row>
    <row r="2739" customFormat="false" ht="15" hidden="false" customHeight="false" outlineLevel="1" collapsed="false">
      <c r="A2739" s="7" t="s">
        <v>696</v>
      </c>
      <c r="B2739" s="8" t="s">
        <v>11</v>
      </c>
      <c r="C2739" s="61" t="n">
        <f aca="false">C2603*1000*(C2638)+C2604*1000*(C2661)+C2606*1000*(C2684)</f>
        <v>0</v>
      </c>
      <c r="D2739" s="61" t="n">
        <f aca="false">D2603*1000*(D2638)+D2604*1000*(D2661)+D2606*1000*(D2684)</f>
        <v>30312.1356164384</v>
      </c>
      <c r="E2739" s="61" t="n">
        <f aca="false">E2603*1000*(E2638)+E2604*1000*(E2661)+E2606*1000*(E2684)</f>
        <v>47562.5284674658</v>
      </c>
      <c r="F2739" s="61" t="n">
        <f aca="false">F2603*1000*(F2638)+F2604*1000*(F2661)+F2606*1000*(F2684)</f>
        <v>76011.1235445206</v>
      </c>
      <c r="G2739" s="61" t="n">
        <f aca="false">G2603*1000*(G2638)+G2604*1000*(G2661)+G2606*1000*(G2684)</f>
        <v>115361.899828767</v>
      </c>
      <c r="H2739" s="2" t="s">
        <v>1309</v>
      </c>
    </row>
    <row r="2740" customFormat="false" ht="15" hidden="false" customHeight="false" outlineLevel="1" collapsed="false">
      <c r="A2740" s="7" t="s">
        <v>697</v>
      </c>
      <c r="B2740" s="8" t="s">
        <v>11</v>
      </c>
      <c r="C2740" s="61" t="n">
        <f aca="false">C2616*1000*C2718</f>
        <v>0</v>
      </c>
      <c r="D2740" s="61" t="n">
        <f aca="false">D2616*1000*D2718</f>
        <v>0</v>
      </c>
      <c r="E2740" s="61" t="n">
        <f aca="false">E2616*1000*E2718</f>
        <v>2839.85445205479</v>
      </c>
      <c r="F2740" s="61" t="n">
        <f aca="false">F2616*1000*F2718</f>
        <v>5301.06164383562</v>
      </c>
      <c r="G2740" s="61" t="n">
        <f aca="false">G2616*1000*G2718</f>
        <v>8835.10273972603</v>
      </c>
      <c r="H2740" s="2" t="s">
        <v>1310</v>
      </c>
    </row>
    <row r="2741" customFormat="false" ht="15" hidden="false" customHeight="false" outlineLevel="1" collapsed="false">
      <c r="A2741" s="7" t="s">
        <v>698</v>
      </c>
      <c r="B2741" s="8" t="s">
        <v>11</v>
      </c>
      <c r="C2741" s="61" t="n">
        <f aca="false">C2739+C2740</f>
        <v>0</v>
      </c>
      <c r="D2741" s="61" t="n">
        <f aca="false">D2739+D2740</f>
        <v>30312.1356164384</v>
      </c>
      <c r="E2741" s="61" t="n">
        <f aca="false">E2739+E2740</f>
        <v>50402.3829195206</v>
      </c>
      <c r="F2741" s="61" t="n">
        <f aca="false">F2739+F2740</f>
        <v>81312.1851883562</v>
      </c>
      <c r="G2741" s="61" t="n">
        <f aca="false">G2739+G2740</f>
        <v>124197.002568493</v>
      </c>
      <c r="H2741" s="2" t="s">
        <v>1311</v>
      </c>
    </row>
    <row r="2742" customFormat="false" ht="15" hidden="false" customHeight="false" outlineLevel="1" collapsed="false">
      <c r="A2742" s="8" t="s">
        <v>699</v>
      </c>
      <c r="B2742" s="8" t="s">
        <v>11</v>
      </c>
      <c r="C2742" s="70" t="n">
        <f aca="false">ROUND(C2704-C2727-C2738-C2741-C2723,6)</f>
        <v>-0</v>
      </c>
      <c r="D2742" s="70" t="n">
        <f aca="false">ROUND(D2704-D2727-D2738-D2741-D2723,6)</f>
        <v>-0</v>
      </c>
      <c r="E2742" s="70" t="n">
        <f aca="false">ROUND(E2704-E2727-E2738-E2741-E2723,6)</f>
        <v>-0</v>
      </c>
      <c r="F2742" s="70" t="n">
        <f aca="false">ROUND(F2704-F2727-F2738-F2741-F2723,6)</f>
        <v>-0</v>
      </c>
      <c r="G2742" s="70" t="n">
        <f aca="false">ROUND(G2704-G2727-G2738-G2741-G2723,6)</f>
        <v>-0</v>
      </c>
      <c r="H2742" s="2" t="s">
        <v>1312</v>
      </c>
    </row>
    <row r="2743" customFormat="false" ht="15" hidden="false" customHeight="false" outlineLevel="0" collapsed="false">
      <c r="A2743" s="3" t="s">
        <v>1313</v>
      </c>
      <c r="B2743" s="4"/>
      <c r="C2743" s="4"/>
      <c r="D2743" s="4"/>
      <c r="E2743" s="4"/>
      <c r="F2743" s="4"/>
      <c r="G2743" s="4"/>
      <c r="H2743" s="4"/>
    </row>
    <row r="2744" customFormat="false" ht="15" hidden="false" customHeight="false" outlineLevel="1" collapsed="false">
      <c r="A2744" s="7" t="s">
        <v>638</v>
      </c>
      <c r="B2744" s="8" t="s">
        <v>432</v>
      </c>
      <c r="C2744" s="64" t="n">
        <f aca="false">Pressupostos!$C$332</f>
        <v>1</v>
      </c>
      <c r="D2744" s="64" t="n">
        <f aca="false">Pressupostos!$D$332</f>
        <v>1</v>
      </c>
      <c r="E2744" s="64" t="n">
        <f aca="false">Pressupostos!$E$332</f>
        <v>1</v>
      </c>
      <c r="F2744" s="64" t="n">
        <f aca="false">Pressupostos!$F$332</f>
        <v>1</v>
      </c>
      <c r="G2744" s="64" t="n">
        <f aca="false">Pressupostos!$G$332</f>
        <v>1</v>
      </c>
      <c r="H2744" s="2" t="s">
        <v>1314</v>
      </c>
    </row>
    <row r="2745" customFormat="false" ht="15" hidden="false" customHeight="false" outlineLevel="1" collapsed="false">
      <c r="A2745" s="7" t="s">
        <v>639</v>
      </c>
      <c r="B2745" s="8" t="s">
        <v>432</v>
      </c>
      <c r="C2745" s="64" t="n">
        <f aca="false">Pressupostos!$C$338</f>
        <v>1</v>
      </c>
      <c r="D2745" s="64" t="n">
        <f aca="false">Pressupostos!$D$338</f>
        <v>1</v>
      </c>
      <c r="E2745" s="64" t="n">
        <f aca="false">Pressupostos!$E$338</f>
        <v>1</v>
      </c>
      <c r="F2745" s="64" t="n">
        <f aca="false">Pressupostos!$F$338</f>
        <v>1</v>
      </c>
      <c r="G2745" s="64" t="n">
        <f aca="false">Pressupostos!$G$338</f>
        <v>1</v>
      </c>
      <c r="H2745" s="2" t="s">
        <v>1315</v>
      </c>
    </row>
    <row r="2746" customFormat="false" ht="15" hidden="false" customHeight="false" outlineLevel="1" collapsed="false">
      <c r="A2746" s="7" t="s">
        <v>640</v>
      </c>
      <c r="B2746" s="8" t="s">
        <v>432</v>
      </c>
      <c r="C2746" s="64" t="n">
        <f aca="false">Pressupostos!$C$344</f>
        <v>1</v>
      </c>
      <c r="D2746" s="64" t="n">
        <f aca="false">Pressupostos!$D$344</f>
        <v>1</v>
      </c>
      <c r="E2746" s="64" t="n">
        <f aca="false">Pressupostos!$E$344</f>
        <v>2</v>
      </c>
      <c r="F2746" s="64" t="n">
        <f aca="false">Pressupostos!$F$344</f>
        <v>2</v>
      </c>
      <c r="G2746" s="64" t="n">
        <f aca="false">Pressupostos!$G$344</f>
        <v>2</v>
      </c>
      <c r="H2746" s="2" t="s">
        <v>1316</v>
      </c>
    </row>
    <row r="2747" customFormat="false" ht="15" hidden="false" customHeight="false" outlineLevel="1" collapsed="false">
      <c r="A2747" s="7" t="s">
        <v>641</v>
      </c>
      <c r="B2747" s="8" t="s">
        <v>432</v>
      </c>
      <c r="C2747" s="64" t="n">
        <f aca="false">Pressupostos!$C$350</f>
        <v>1</v>
      </c>
      <c r="D2747" s="64" t="n">
        <f aca="false">Pressupostos!$D$350</f>
        <v>1</v>
      </c>
      <c r="E2747" s="64" t="n">
        <f aca="false">Pressupostos!$E$350</f>
        <v>1</v>
      </c>
      <c r="F2747" s="64" t="n">
        <f aca="false">Pressupostos!$F$350</f>
        <v>1</v>
      </c>
      <c r="G2747" s="64" t="n">
        <f aca="false">Pressupostos!$G$350</f>
        <v>1</v>
      </c>
      <c r="H2747" s="2" t="s">
        <v>1317</v>
      </c>
    </row>
    <row r="2748" customFormat="false" ht="15" hidden="false" customHeight="false" outlineLevel="1" collapsed="false">
      <c r="A2748" s="7" t="s">
        <v>642</v>
      </c>
      <c r="B2748" s="8" t="s">
        <v>432</v>
      </c>
      <c r="C2748" s="64" t="n">
        <f aca="false">Pressupostos!$C$356</f>
        <v>0.5</v>
      </c>
      <c r="D2748" s="64" t="n">
        <f aca="false">Pressupostos!$D$356</f>
        <v>1</v>
      </c>
      <c r="E2748" s="64" t="n">
        <f aca="false">Pressupostos!$E$356</f>
        <v>1</v>
      </c>
      <c r="F2748" s="64" t="n">
        <f aca="false">Pressupostos!$F$356</f>
        <v>1</v>
      </c>
      <c r="G2748" s="64" t="n">
        <f aca="false">Pressupostos!$G$356</f>
        <v>1</v>
      </c>
      <c r="H2748" s="2" t="s">
        <v>1318</v>
      </c>
    </row>
    <row r="2749" customFormat="false" ht="15" hidden="false" customHeight="false" outlineLevel="1" collapsed="false">
      <c r="A2749" s="7" t="s">
        <v>643</v>
      </c>
      <c r="B2749" s="8" t="s">
        <v>432</v>
      </c>
      <c r="C2749" s="64" t="n">
        <f aca="false">Pressupostos!$C$362</f>
        <v>1</v>
      </c>
      <c r="D2749" s="64" t="n">
        <f aca="false">Pressupostos!$D$362</f>
        <v>1</v>
      </c>
      <c r="E2749" s="64" t="n">
        <f aca="false">Pressupostos!$E$362</f>
        <v>1</v>
      </c>
      <c r="F2749" s="64" t="n">
        <f aca="false">Pressupostos!$F$362</f>
        <v>2</v>
      </c>
      <c r="G2749" s="64" t="n">
        <f aca="false">Pressupostos!$G$362</f>
        <v>2</v>
      </c>
      <c r="H2749" s="2" t="s">
        <v>1319</v>
      </c>
    </row>
    <row r="2750" customFormat="false" ht="15" hidden="false" customHeight="false" outlineLevel="1" collapsed="false">
      <c r="A2750" s="7" t="s">
        <v>644</v>
      </c>
      <c r="B2750" s="8" t="s">
        <v>432</v>
      </c>
      <c r="C2750" s="64" t="n">
        <f aca="false">Pressupostos!$C$368</f>
        <v>0.5</v>
      </c>
      <c r="D2750" s="64" t="n">
        <f aca="false">Pressupostos!$D$368</f>
        <v>1</v>
      </c>
      <c r="E2750" s="64" t="n">
        <f aca="false">Pressupostos!$E$368</f>
        <v>1</v>
      </c>
      <c r="F2750" s="64" t="n">
        <f aca="false">Pressupostos!$F$368</f>
        <v>1</v>
      </c>
      <c r="G2750" s="64" t="n">
        <f aca="false">Pressupostos!$G$368</f>
        <v>1</v>
      </c>
      <c r="H2750" s="2" t="s">
        <v>1320</v>
      </c>
    </row>
    <row r="2751" customFormat="false" ht="15" hidden="false" customHeight="false" outlineLevel="1" collapsed="false">
      <c r="A2751" s="7" t="s">
        <v>645</v>
      </c>
      <c r="B2751" s="8" t="s">
        <v>432</v>
      </c>
      <c r="C2751" s="64" t="n">
        <f aca="false">Pressupostos!$C$374</f>
        <v>1</v>
      </c>
      <c r="D2751" s="64" t="n">
        <f aca="false">Pressupostos!$D$374</f>
        <v>1</v>
      </c>
      <c r="E2751" s="64" t="n">
        <f aca="false">Pressupostos!$E$374</f>
        <v>2</v>
      </c>
      <c r="F2751" s="64" t="n">
        <f aca="false">Pressupostos!$F$374</f>
        <v>3</v>
      </c>
      <c r="G2751" s="64" t="n">
        <f aca="false">Pressupostos!$G$374</f>
        <v>5</v>
      </c>
      <c r="H2751" s="2" t="s">
        <v>1321</v>
      </c>
    </row>
    <row r="2752" customFormat="false" ht="15" hidden="false" customHeight="false" outlineLevel="1" collapsed="false">
      <c r="A2752" s="7" t="s">
        <v>646</v>
      </c>
      <c r="B2752" s="8" t="s">
        <v>432</v>
      </c>
      <c r="C2752" s="64" t="n">
        <f aca="false">Pressupostos!$C$380</f>
        <v>0</v>
      </c>
      <c r="D2752" s="64" t="n">
        <f aca="false">Pressupostos!$D$380</f>
        <v>0</v>
      </c>
      <c r="E2752" s="64" t="n">
        <f aca="false">Pressupostos!$E$380</f>
        <v>0</v>
      </c>
      <c r="F2752" s="64" t="n">
        <f aca="false">Pressupostos!$F$380</f>
        <v>1</v>
      </c>
      <c r="G2752" s="64" t="n">
        <f aca="false">Pressupostos!$G$380</f>
        <v>1</v>
      </c>
      <c r="H2752" s="2" t="s">
        <v>1322</v>
      </c>
    </row>
    <row r="2753" customFormat="false" ht="15" hidden="false" customHeight="false" outlineLevel="1" collapsed="false">
      <c r="A2753" s="7" t="s">
        <v>647</v>
      </c>
      <c r="B2753" s="8" t="s">
        <v>432</v>
      </c>
      <c r="C2753" s="64" t="n">
        <f aca="false">Pressupostos!$C$386</f>
        <v>0</v>
      </c>
      <c r="D2753" s="64" t="n">
        <f aca="false">Pressupostos!$D$386</f>
        <v>0</v>
      </c>
      <c r="E2753" s="64" t="n">
        <f aca="false">Pressupostos!$E$386</f>
        <v>0</v>
      </c>
      <c r="F2753" s="64" t="n">
        <f aca="false">Pressupostos!$F$386</f>
        <v>0</v>
      </c>
      <c r="G2753" s="64" t="n">
        <f aca="false">Pressupostos!$G$386</f>
        <v>1</v>
      </c>
      <c r="H2753" s="2" t="s">
        <v>1323</v>
      </c>
    </row>
    <row r="2754" customFormat="false" ht="15" hidden="false" customHeight="false" outlineLevel="1" collapsed="false">
      <c r="A2754" s="7" t="s">
        <v>648</v>
      </c>
      <c r="B2754" s="8" t="s">
        <v>432</v>
      </c>
      <c r="C2754" s="64" t="n">
        <f aca="false">Pressupostos!$C$392</f>
        <v>0</v>
      </c>
      <c r="D2754" s="64" t="n">
        <f aca="false">Pressupostos!$D$392</f>
        <v>0</v>
      </c>
      <c r="E2754" s="64" t="n">
        <f aca="false">Pressupostos!$E$392</f>
        <v>1</v>
      </c>
      <c r="F2754" s="64" t="n">
        <f aca="false">Pressupostos!$F$392</f>
        <v>1</v>
      </c>
      <c r="G2754" s="64" t="n">
        <f aca="false">Pressupostos!$G$392</f>
        <v>1</v>
      </c>
      <c r="H2754" s="2" t="s">
        <v>1324</v>
      </c>
    </row>
    <row r="2755" customFormat="false" ht="15" hidden="false" customHeight="false" outlineLevel="1" collapsed="false">
      <c r="A2755" s="7" t="s">
        <v>649</v>
      </c>
      <c r="B2755" s="8" t="s">
        <v>432</v>
      </c>
      <c r="C2755" s="64" t="n">
        <f aca="false">Pressupostos!$C$398</f>
        <v>0</v>
      </c>
      <c r="D2755" s="64" t="n">
        <f aca="false">Pressupostos!$D$398</f>
        <v>0</v>
      </c>
      <c r="E2755" s="64" t="n">
        <f aca="false">Pressupostos!$E$398</f>
        <v>0</v>
      </c>
      <c r="F2755" s="64" t="n">
        <f aca="false">Pressupostos!$F$398</f>
        <v>0</v>
      </c>
      <c r="G2755" s="64" t="n">
        <f aca="false">Pressupostos!$G$398</f>
        <v>0</v>
      </c>
      <c r="H2755" s="2" t="s">
        <v>1325</v>
      </c>
    </row>
    <row r="2756" customFormat="false" ht="15" hidden="false" customHeight="false" outlineLevel="1" collapsed="false">
      <c r="A2756" s="56" t="s">
        <v>650</v>
      </c>
      <c r="B2756" s="57" t="s">
        <v>432</v>
      </c>
      <c r="C2756" s="65" t="n">
        <f aca="false">C2744+C2745+C2746+C2747+C2748+C2749+C2750+C2751+C2752+C2753+C2754+C2755</f>
        <v>7</v>
      </c>
      <c r="D2756" s="65" t="n">
        <f aca="false">D2744+D2745+D2746+D2747+D2748+D2749+D2750+D2751+D2752+D2753+D2754+D2755</f>
        <v>8</v>
      </c>
      <c r="E2756" s="65" t="n">
        <f aca="false">E2744+E2745+E2746+E2747+E2748+E2749+E2750+E2751+E2752+E2753+E2754+E2755</f>
        <v>11</v>
      </c>
      <c r="F2756" s="65" t="n">
        <f aca="false">F2744+F2745+F2746+F2747+F2748+F2749+F2750+F2751+F2752+F2753+F2754+F2755</f>
        <v>14</v>
      </c>
      <c r="G2756" s="65" t="n">
        <f aca="false">G2744+G2745+G2746+G2747+G2748+G2749+G2750+G2751+G2752+G2753+G2754+G2755</f>
        <v>17</v>
      </c>
      <c r="H2756" s="2" t="s">
        <v>1326</v>
      </c>
    </row>
    <row r="2757" customFormat="false" ht="15" hidden="false" customHeight="false" outlineLevel="0" collapsed="false">
      <c r="A2757" s="3" t="s">
        <v>1327</v>
      </c>
      <c r="B2757" s="4"/>
      <c r="C2757" s="4"/>
      <c r="D2757" s="4"/>
      <c r="E2757" s="4"/>
      <c r="F2757" s="4"/>
      <c r="G2757" s="4"/>
      <c r="H2757" s="4"/>
    </row>
    <row r="2758" customFormat="false" ht="15" hidden="false" customHeight="false" outlineLevel="1" collapsed="false">
      <c r="A2758" s="7" t="s">
        <v>638</v>
      </c>
      <c r="B2758" s="8" t="s">
        <v>11</v>
      </c>
      <c r="C2758" s="61" t="n">
        <f aca="false">C2744*Pressupostos!$C$131*(1+Pressupostos!$C$127)^0*(1+Pressupostos!$C$132)*Pressupostos!$C$128</f>
        <v>43998</v>
      </c>
      <c r="D2758" s="61" t="n">
        <f aca="false">D2744*Pressupostos!$C$131*(1+Pressupostos!$C$127)^1*(1+Pressupostos!$C$132)</f>
        <v>61800</v>
      </c>
      <c r="E2758" s="61" t="n">
        <f aca="false">E2744*Pressupostos!$C$131*(1+Pressupostos!$C$127)^2*(1+Pressupostos!$C$132)</f>
        <v>63654</v>
      </c>
      <c r="F2758" s="61" t="n">
        <f aca="false">F2744*Pressupostos!$C$131*(1+Pressupostos!$C$127)^3*(1+Pressupostos!$C$132)</f>
        <v>65563.62</v>
      </c>
      <c r="G2758" s="61" t="n">
        <f aca="false">G2744*Pressupostos!$C$131*(1+Pressupostos!$C$127)^4*(1+Pressupostos!$C$132)</f>
        <v>67530.5286</v>
      </c>
      <c r="H2758" s="2" t="s">
        <v>1328</v>
      </c>
    </row>
    <row r="2759" customFormat="false" ht="15" hidden="false" customHeight="false" outlineLevel="1" collapsed="false">
      <c r="A2759" s="7" t="s">
        <v>639</v>
      </c>
      <c r="B2759" s="8" t="s">
        <v>11</v>
      </c>
      <c r="C2759" s="61" t="n">
        <f aca="false">C2745*Pressupostos!$C$133*(1+Pressupostos!$C$127)^0*(1+Pressupostos!$C$134)*Pressupostos!$C$128</f>
        <v>47664.5</v>
      </c>
      <c r="D2759" s="61" t="n">
        <f aca="false">D2745*Pressupostos!$C$133*(1+Pressupostos!$C$127)^1*(1+Pressupostos!$C$134)</f>
        <v>66950</v>
      </c>
      <c r="E2759" s="61" t="n">
        <f aca="false">E2745*Pressupostos!$C$133*(1+Pressupostos!$C$127)^2*(1+Pressupostos!$C$134)</f>
        <v>68958.5</v>
      </c>
      <c r="F2759" s="61" t="n">
        <f aca="false">F2745*Pressupostos!$C$133*(1+Pressupostos!$C$127)^3*(1+Pressupostos!$C$134)</f>
        <v>71027.255</v>
      </c>
      <c r="G2759" s="61" t="n">
        <f aca="false">G2745*Pressupostos!$C$133*(1+Pressupostos!$C$127)^4*(1+Pressupostos!$C$134)</f>
        <v>73158.07265</v>
      </c>
      <c r="H2759" s="2" t="s">
        <v>1329</v>
      </c>
    </row>
    <row r="2760" customFormat="false" ht="15" hidden="false" customHeight="false" outlineLevel="1" collapsed="false">
      <c r="A2760" s="7" t="s">
        <v>640</v>
      </c>
      <c r="B2760" s="8" t="s">
        <v>11</v>
      </c>
      <c r="C2760" s="61" t="n">
        <f aca="false">C2746*Pressupostos!$C$135*(1+Pressupostos!$C$127)^0*(1+Pressupostos!$C$136)</f>
        <v>45000</v>
      </c>
      <c r="D2760" s="61" t="n">
        <f aca="false">D2746*Pressupostos!$C$135*(1+Pressupostos!$C$127)^1*(1+Pressupostos!$C$136)</f>
        <v>46350</v>
      </c>
      <c r="E2760" s="61" t="n">
        <f aca="false">E2746*Pressupostos!$C$135*(1+Pressupostos!$C$127)^2*(1+Pressupostos!$C$136)</f>
        <v>95481</v>
      </c>
      <c r="F2760" s="61" t="n">
        <f aca="false">F2746*Pressupostos!$C$135*(1+Pressupostos!$C$127)^3*(1+Pressupostos!$C$136)</f>
        <v>98345.43</v>
      </c>
      <c r="G2760" s="61" t="n">
        <f aca="false">G2746*Pressupostos!$C$135*(1+Pressupostos!$C$127)^4*(1+Pressupostos!$C$136)</f>
        <v>101295.7929</v>
      </c>
      <c r="H2760" s="2" t="s">
        <v>1330</v>
      </c>
    </row>
    <row r="2761" customFormat="false" ht="15" hidden="false" customHeight="false" outlineLevel="1" collapsed="false">
      <c r="A2761" s="7" t="s">
        <v>641</v>
      </c>
      <c r="B2761" s="8" t="s">
        <v>11</v>
      </c>
      <c r="C2761" s="61" t="n">
        <f aca="false">C2747*Pressupostos!$C$137*(1+Pressupostos!$C$127)^0*(1+Pressupostos!$C$138)</f>
        <v>60000</v>
      </c>
      <c r="D2761" s="61" t="n">
        <f aca="false">D2747*Pressupostos!$C$137*(1+Pressupostos!$C$127)^1*(1+Pressupostos!$C$138)</f>
        <v>61800</v>
      </c>
      <c r="E2761" s="61" t="n">
        <f aca="false">E2747*Pressupostos!$C$137*(1+Pressupostos!$C$127)^2*(1+Pressupostos!$C$138)</f>
        <v>63654</v>
      </c>
      <c r="F2761" s="61" t="n">
        <f aca="false">F2747*Pressupostos!$C$137*(1+Pressupostos!$C$127)^3*(1+Pressupostos!$C$138)</f>
        <v>65563.62</v>
      </c>
      <c r="G2761" s="61" t="n">
        <f aca="false">G2747*Pressupostos!$C$137*(1+Pressupostos!$C$127)^4*(1+Pressupostos!$C$138)</f>
        <v>67530.5286</v>
      </c>
      <c r="H2761" s="2" t="s">
        <v>1331</v>
      </c>
    </row>
    <row r="2762" customFormat="false" ht="15" hidden="false" customHeight="false" outlineLevel="1" collapsed="false">
      <c r="A2762" s="7" t="s">
        <v>642</v>
      </c>
      <c r="B2762" s="8" t="s">
        <v>11</v>
      </c>
      <c r="C2762" s="61" t="n">
        <f aca="false">C2748*Pressupostos!$C$139*(1+Pressupostos!$C$127)^0*(1+Pressupostos!$C$140)</f>
        <v>22500</v>
      </c>
      <c r="D2762" s="61" t="n">
        <f aca="false">D2748*Pressupostos!$C$139*(1+Pressupostos!$C$127)^1*(1+Pressupostos!$C$140)</f>
        <v>46350</v>
      </c>
      <c r="E2762" s="61" t="n">
        <f aca="false">E2748*Pressupostos!$C$139*(1+Pressupostos!$C$127)^2*(1+Pressupostos!$C$140)</f>
        <v>47740.5</v>
      </c>
      <c r="F2762" s="61" t="n">
        <f aca="false">F2748*Pressupostos!$C$139*(1+Pressupostos!$C$127)^3*(1+Pressupostos!$C$140)</f>
        <v>49172.715</v>
      </c>
      <c r="G2762" s="61" t="n">
        <f aca="false">G2748*Pressupostos!$C$139*(1+Pressupostos!$C$127)^4*(1+Pressupostos!$C$140)</f>
        <v>50647.89645</v>
      </c>
      <c r="H2762" s="2" t="s">
        <v>1332</v>
      </c>
    </row>
    <row r="2763" customFormat="false" ht="15" hidden="false" customHeight="false" outlineLevel="1" collapsed="false">
      <c r="A2763" s="7" t="s">
        <v>643</v>
      </c>
      <c r="B2763" s="8" t="s">
        <v>11</v>
      </c>
      <c r="C2763" s="61" t="n">
        <f aca="false">C2749*Pressupostos!$C$141*(1+Pressupostos!$C$127)^0*(1+Pressupostos!$C$142)</f>
        <v>38000</v>
      </c>
      <c r="D2763" s="61" t="n">
        <f aca="false">D2749*Pressupostos!$C$141*(1+Pressupostos!$C$127)^1*(1+Pressupostos!$C$142)</f>
        <v>39140</v>
      </c>
      <c r="E2763" s="61" t="n">
        <f aca="false">E2749*Pressupostos!$C$141*(1+Pressupostos!$C$127)^2*(1+Pressupostos!$C$142)</f>
        <v>40314.2</v>
      </c>
      <c r="F2763" s="61" t="n">
        <f aca="false">F2749*Pressupostos!$C$141*(1+Pressupostos!$C$127)^3*(1+Pressupostos!$C$142)</f>
        <v>83047.252</v>
      </c>
      <c r="G2763" s="61" t="n">
        <f aca="false">G2749*Pressupostos!$C$141*(1+Pressupostos!$C$127)^4*(1+Pressupostos!$C$142)</f>
        <v>85538.66956</v>
      </c>
      <c r="H2763" s="2" t="s">
        <v>1333</v>
      </c>
    </row>
    <row r="2764" customFormat="false" ht="15" hidden="false" customHeight="false" outlineLevel="1" collapsed="false">
      <c r="A2764" s="7" t="s">
        <v>644</v>
      </c>
      <c r="B2764" s="8" t="s">
        <v>11</v>
      </c>
      <c r="C2764" s="61" t="n">
        <f aca="false">C2750*Pressupostos!$C$143*(1+Pressupostos!$C$127)^0*(1+Pressupostos!$C$144)</f>
        <v>16000</v>
      </c>
      <c r="D2764" s="61" t="n">
        <f aca="false">D2750*Pressupostos!$C$143*(1+Pressupostos!$C$127)^1*(1+Pressupostos!$C$144)</f>
        <v>32960</v>
      </c>
      <c r="E2764" s="61" t="n">
        <f aca="false">E2750*Pressupostos!$C$143*(1+Pressupostos!$C$127)^2*(1+Pressupostos!$C$144)</f>
        <v>33948.8</v>
      </c>
      <c r="F2764" s="61" t="n">
        <f aca="false">F2750*Pressupostos!$C$143*(1+Pressupostos!$C$127)^3*(1+Pressupostos!$C$144)</f>
        <v>34967.264</v>
      </c>
      <c r="G2764" s="61" t="n">
        <f aca="false">G2750*Pressupostos!$C$143*(1+Pressupostos!$C$127)^4*(1+Pressupostos!$C$144)</f>
        <v>36016.28192</v>
      </c>
      <c r="H2764" s="2" t="s">
        <v>1334</v>
      </c>
    </row>
    <row r="2765" customFormat="false" ht="15" hidden="false" customHeight="false" outlineLevel="1" collapsed="false">
      <c r="A2765" s="7" t="s">
        <v>645</v>
      </c>
      <c r="B2765" s="8" t="s">
        <v>11</v>
      </c>
      <c r="C2765" s="61" t="n">
        <f aca="false">C2751*Pressupostos!$C$145*(1+Pressupostos!$C$127)^0*(1+Pressupostos!$C$146)</f>
        <v>34500</v>
      </c>
      <c r="D2765" s="61" t="n">
        <f aca="false">D2751*Pressupostos!$C$145*(1+Pressupostos!$C$127)^1*(1+Pressupostos!$C$146)</f>
        <v>35535</v>
      </c>
      <c r="E2765" s="61" t="n">
        <f aca="false">E2751*Pressupostos!$C$145*(1+Pressupostos!$C$127)^2*(1+Pressupostos!$C$146)</f>
        <v>73202.1</v>
      </c>
      <c r="F2765" s="61" t="n">
        <f aca="false">F2751*Pressupostos!$C$145*(1+Pressupostos!$C$127)^3*(1+Pressupostos!$C$146)</f>
        <v>113097.2445</v>
      </c>
      <c r="G2765" s="61" t="n">
        <f aca="false">G2751*Pressupostos!$C$145*(1+Pressupostos!$C$127)^4*(1+Pressupostos!$C$146)</f>
        <v>194150.269725</v>
      </c>
      <c r="H2765" s="2" t="s">
        <v>1335</v>
      </c>
    </row>
    <row r="2766" customFormat="false" ht="15" hidden="false" customHeight="false" outlineLevel="1" collapsed="false">
      <c r="A2766" s="7" t="s">
        <v>646</v>
      </c>
      <c r="B2766" s="8" t="s">
        <v>11</v>
      </c>
      <c r="C2766" s="61" t="n">
        <f aca="false">C2752*Pressupostos!$C$147*(1+Pressupostos!$C$127)^0*(1+Pressupostos!$C$148)</f>
        <v>0</v>
      </c>
      <c r="D2766" s="61" t="n">
        <f aca="false">D2752*Pressupostos!$C$147*(1+Pressupostos!$C$127)^1*(1+Pressupostos!$C$148)</f>
        <v>0</v>
      </c>
      <c r="E2766" s="61" t="n">
        <f aca="false">E2752*Pressupostos!$C$147*(1+Pressupostos!$C$127)^2*(1+Pressupostos!$C$148)</f>
        <v>0</v>
      </c>
      <c r="F2766" s="61" t="n">
        <f aca="false">F2752*Pressupostos!$C$147*(1+Pressupostos!$C$127)^3*(1+Pressupostos!$C$148)</f>
        <v>49172.715</v>
      </c>
      <c r="G2766" s="61" t="n">
        <f aca="false">G2752*Pressupostos!$C$147*(1+Pressupostos!$C$127)^4*(1+Pressupostos!$C$148)</f>
        <v>50647.89645</v>
      </c>
      <c r="H2766" s="2" t="s">
        <v>1336</v>
      </c>
    </row>
    <row r="2767" customFormat="false" ht="15" hidden="false" customHeight="false" outlineLevel="1" collapsed="false">
      <c r="A2767" s="7" t="s">
        <v>647</v>
      </c>
      <c r="B2767" s="8" t="s">
        <v>11</v>
      </c>
      <c r="C2767" s="61" t="n">
        <f aca="false">C2753*Pressupostos!$C$149*(1+Pressupostos!$C$127)^0*(1+Pressupostos!$C$150)</f>
        <v>0</v>
      </c>
      <c r="D2767" s="61" t="n">
        <f aca="false">D2753*Pressupostos!$C$149*(1+Pressupostos!$C$127)^1*(1+Pressupostos!$C$150)</f>
        <v>0</v>
      </c>
      <c r="E2767" s="61" t="n">
        <f aca="false">E2753*Pressupostos!$C$149*(1+Pressupostos!$C$127)^2*(1+Pressupostos!$C$150)</f>
        <v>0</v>
      </c>
      <c r="F2767" s="61" t="n">
        <f aca="false">F2753*Pressupostos!$C$149*(1+Pressupostos!$C$127)^3*(1+Pressupostos!$C$150)</f>
        <v>0</v>
      </c>
      <c r="G2767" s="61" t="n">
        <f aca="false">G2753*Pressupostos!$C$149*(1+Pressupostos!$C$127)^4*(1+Pressupostos!$C$150)</f>
        <v>45020.3524</v>
      </c>
      <c r="H2767" s="2" t="s">
        <v>1337</v>
      </c>
    </row>
    <row r="2768" customFormat="false" ht="15" hidden="false" customHeight="false" outlineLevel="1" collapsed="false">
      <c r="A2768" s="7" t="s">
        <v>648</v>
      </c>
      <c r="B2768" s="8" t="s">
        <v>11</v>
      </c>
      <c r="C2768" s="61" t="n">
        <f aca="false">C2754*Pressupostos!$C$151*(1+Pressupostos!$C$127)^0*(1+Pressupostos!$C$152)</f>
        <v>0</v>
      </c>
      <c r="D2768" s="61" t="n">
        <f aca="false">D2754*Pressupostos!$C$151*(1+Pressupostos!$C$127)^1*(1+Pressupostos!$C$152)</f>
        <v>0</v>
      </c>
      <c r="E2768" s="61" t="n">
        <f aca="false">E2754*Pressupostos!$C$151*(1+Pressupostos!$C$127)^2*(1+Pressupostos!$C$152)</f>
        <v>25461.6</v>
      </c>
      <c r="F2768" s="61" t="n">
        <f aca="false">F2754*Pressupostos!$C$151*(1+Pressupostos!$C$127)^3*(1+Pressupostos!$C$152)</f>
        <v>26225.448</v>
      </c>
      <c r="G2768" s="61" t="n">
        <f aca="false">G2754*Pressupostos!$C$151*(1+Pressupostos!$C$127)^4*(1+Pressupostos!$C$152)</f>
        <v>27012.21144</v>
      </c>
      <c r="H2768" s="2" t="s">
        <v>1338</v>
      </c>
    </row>
    <row r="2769" customFormat="false" ht="15" hidden="false" customHeight="false" outlineLevel="1" collapsed="false">
      <c r="A2769" s="7" t="s">
        <v>649</v>
      </c>
      <c r="B2769" s="8" t="s">
        <v>11</v>
      </c>
      <c r="C2769" s="61" t="n">
        <f aca="false">C2755*Pressupostos!$C$153*(1+Pressupostos!$C$127)^0*(1+Pressupostos!$C$154)</f>
        <v>0</v>
      </c>
      <c r="D2769" s="61" t="n">
        <f aca="false">D2755*Pressupostos!$C$153*(1+Pressupostos!$C$127)^1*(1+Pressupostos!$C$154)</f>
        <v>0</v>
      </c>
      <c r="E2769" s="61" t="n">
        <f aca="false">E2755*Pressupostos!$C$153*(1+Pressupostos!$C$127)^2*(1+Pressupostos!$C$154)</f>
        <v>0</v>
      </c>
      <c r="F2769" s="61" t="n">
        <f aca="false">F2755*Pressupostos!$C$153*(1+Pressupostos!$C$127)^3*(1+Pressupostos!$C$154)</f>
        <v>0</v>
      </c>
      <c r="G2769" s="61" t="n">
        <f aca="false">G2755*Pressupostos!$C$153*(1+Pressupostos!$C$127)^4*(1+Pressupostos!$C$154)</f>
        <v>0</v>
      </c>
      <c r="H2769" s="2" t="s">
        <v>1339</v>
      </c>
    </row>
    <row r="2770" customFormat="false" ht="15" hidden="false" customHeight="false" outlineLevel="1" collapsed="false">
      <c r="A2770" s="7" t="s">
        <v>652</v>
      </c>
      <c r="B2770" s="8" t="s">
        <v>11</v>
      </c>
      <c r="C2770" s="61" t="n">
        <f aca="false">C2758+C2759+C2760+C2761+C2762+C2763+C2764+C2765+C2766+C2767+C2768+C2769</f>
        <v>307662.5</v>
      </c>
      <c r="D2770" s="61" t="n">
        <f aca="false">D2758+D2759+D2760+D2761+D2762+D2763+D2764+D2765+D2766+D2767+D2768+D2769</f>
        <v>390885</v>
      </c>
      <c r="E2770" s="61" t="n">
        <f aca="false">E2758+E2759+E2760+E2761+E2762+E2763+E2764+E2765+E2766+E2767+E2768+E2769</f>
        <v>512414.7</v>
      </c>
      <c r="F2770" s="61" t="n">
        <f aca="false">F2758+F2759+F2760+F2761+F2762+F2763+F2764+F2765+F2766+F2767+F2768+F2769</f>
        <v>656182.5635</v>
      </c>
      <c r="G2770" s="61" t="n">
        <f aca="false">G2758+G2759+G2760+G2761+G2762+G2763+G2764+G2765+G2766+G2767+G2768+G2769</f>
        <v>798548.500695</v>
      </c>
      <c r="H2770" s="2" t="s">
        <v>1340</v>
      </c>
    </row>
    <row r="2771" customFormat="false" ht="15" hidden="false" customHeight="false" outlineLevel="1" collapsed="false">
      <c r="A2771" s="7" t="s">
        <v>653</v>
      </c>
      <c r="B2771" s="8" t="s">
        <v>11</v>
      </c>
      <c r="C2771" s="61" t="n">
        <f aca="false">C2770*(Pressupostos!$C$124+Pressupostos!$C$125)</f>
        <v>79223.09375</v>
      </c>
      <c r="D2771" s="61" t="n">
        <f aca="false">D2770*(Pressupostos!$C$124+Pressupostos!$C$125)</f>
        <v>100652.8875</v>
      </c>
      <c r="E2771" s="61" t="n">
        <f aca="false">E2770*(Pressupostos!$C$124+Pressupostos!$C$125)</f>
        <v>131946.78525</v>
      </c>
      <c r="F2771" s="61" t="n">
        <f aca="false">F2770*(Pressupostos!$C$124+Pressupostos!$C$125)</f>
        <v>168967.01010125</v>
      </c>
      <c r="G2771" s="61" t="n">
        <f aca="false">G2770*(Pressupostos!$C$124+Pressupostos!$C$125)</f>
        <v>205626.238928963</v>
      </c>
      <c r="H2771" s="2" t="s">
        <v>1341</v>
      </c>
    </row>
    <row r="2772" customFormat="false" ht="15" hidden="false" customHeight="false" outlineLevel="1" collapsed="false">
      <c r="A2772" s="7" t="s">
        <v>654</v>
      </c>
      <c r="B2772" s="8" t="s">
        <v>11</v>
      </c>
      <c r="C2772" s="61" t="n">
        <f aca="false">C2756*Pressupostos!$C$126*(1+Pressupostos!$C$127)^0</f>
        <v>14000</v>
      </c>
      <c r="D2772" s="61" t="n">
        <f aca="false">D2756*Pressupostos!$C$126*(1+Pressupostos!$C$127)^1</f>
        <v>16480</v>
      </c>
      <c r="E2772" s="61" t="n">
        <f aca="false">E2756*Pressupostos!$C$126*(1+Pressupostos!$C$127)^2</f>
        <v>23339.8</v>
      </c>
      <c r="F2772" s="61" t="n">
        <f aca="false">F2756*Pressupostos!$C$126*(1+Pressupostos!$C$127)^3</f>
        <v>30596.356</v>
      </c>
      <c r="G2772" s="61" t="n">
        <f aca="false">G2756*Pressupostos!$C$126*(1+Pressupostos!$C$127)^4</f>
        <v>38267.29954</v>
      </c>
      <c r="H2772" s="2" t="s">
        <v>1342</v>
      </c>
    </row>
    <row r="2773" customFormat="false" ht="15" hidden="false" customHeight="false" outlineLevel="1" collapsed="false">
      <c r="A2773" s="56" t="s">
        <v>655</v>
      </c>
      <c r="B2773" s="57" t="s">
        <v>11</v>
      </c>
      <c r="C2773" s="62" t="n">
        <f aca="false">C2770+C2771+C2772</f>
        <v>400885.59375</v>
      </c>
      <c r="D2773" s="62" t="n">
        <f aca="false">D2770+D2771+D2772</f>
        <v>508017.8875</v>
      </c>
      <c r="E2773" s="62" t="n">
        <f aca="false">E2770+E2771+E2772</f>
        <v>667701.28525</v>
      </c>
      <c r="F2773" s="62" t="n">
        <f aca="false">F2770+F2771+F2772</f>
        <v>855745.92960125</v>
      </c>
      <c r="G2773" s="62" t="n">
        <f aca="false">G2770+G2771+G2772</f>
        <v>1042442.03916396</v>
      </c>
      <c r="H2773" s="2" t="s">
        <v>1343</v>
      </c>
    </row>
    <row r="2774" customFormat="false" ht="15" hidden="false" customHeight="false" outlineLevel="1" collapsed="false">
      <c r="A2774" s="2" t="s">
        <v>656</v>
      </c>
      <c r="B2774" s="8" t="s">
        <v>11</v>
      </c>
      <c r="C2774" s="61" t="n">
        <f aca="false">IF(C2756&gt;0,C2773/C2756,0)</f>
        <v>57269.3705357143</v>
      </c>
      <c r="D2774" s="61" t="n">
        <f aca="false">IF(D2756&gt;0,D2773/D2756,0)</f>
        <v>63502.2359375</v>
      </c>
      <c r="E2774" s="61" t="n">
        <f aca="false">IF(E2756&gt;0,E2773/E2756,0)</f>
        <v>60700.1168409091</v>
      </c>
      <c r="F2774" s="61" t="n">
        <f aca="false">IF(F2756&gt;0,F2773/F2756,0)</f>
        <v>61124.7092572321</v>
      </c>
      <c r="G2774" s="61" t="n">
        <f aca="false">IF(G2756&gt;0,G2773/G2756,0)</f>
        <v>61320.1199508213</v>
      </c>
      <c r="H2774" s="2" t="s">
        <v>1344</v>
      </c>
    </row>
    <row r="2775" customFormat="false" ht="15" hidden="false" customHeight="false" outlineLevel="0" collapsed="false">
      <c r="A2775" s="3" t="s">
        <v>1345</v>
      </c>
      <c r="B2775" s="4"/>
      <c r="C2775" s="4"/>
      <c r="D2775" s="4"/>
      <c r="E2775" s="4"/>
      <c r="F2775" s="4"/>
      <c r="G2775" s="4"/>
      <c r="H2775" s="4"/>
    </row>
    <row r="2776" customFormat="false" ht="15" hidden="false" customHeight="false" outlineLevel="1" collapsed="false">
      <c r="A2776" s="7" t="s">
        <v>449</v>
      </c>
      <c r="B2776" s="8" t="s">
        <v>11</v>
      </c>
      <c r="C2776" s="61" t="n">
        <f aca="false">Pressupostos!$C$405*(1+Pressupostos!$C$156)*(1+Pressupostos!$C$157)^0</f>
        <v>94500</v>
      </c>
      <c r="D2776" s="61" t="n">
        <f aca="false">Pressupostos!$D$405*(1+Pressupostos!$C$156)*(1+Pressupostos!$C$157)^1</f>
        <v>53550</v>
      </c>
      <c r="E2776" s="61" t="n">
        <f aca="false">Pressupostos!$E$405*(1+Pressupostos!$C$156)*(1+Pressupostos!$C$157)^2</f>
        <v>49158.9</v>
      </c>
      <c r="F2776" s="61" t="n">
        <f aca="false">Pressupostos!$F$405*(1+Pressupostos!$C$156)*(1+Pressupostos!$C$157)^3</f>
        <v>50142.078</v>
      </c>
      <c r="G2776" s="61" t="n">
        <f aca="false">Pressupostos!$G$405*(1+Pressupostos!$C$156)*(1+Pressupostos!$C$157)^4</f>
        <v>51144.91956</v>
      </c>
      <c r="H2776" s="2" t="s">
        <v>1346</v>
      </c>
    </row>
    <row r="2777" customFormat="false" ht="15" hidden="false" customHeight="false" outlineLevel="1" collapsed="false">
      <c r="A2777" s="7" t="s">
        <v>451</v>
      </c>
      <c r="B2777" s="8" t="s">
        <v>11</v>
      </c>
      <c r="C2777" s="61" t="n">
        <f aca="false">Pressupostos!$C$411*(1+Pressupostos!$C$156)*(1+Pressupostos!$C$157)^0</f>
        <v>10500</v>
      </c>
      <c r="D2777" s="61" t="n">
        <f aca="false">Pressupostos!$D$411*(1+Pressupostos!$C$156)*(1+Pressupostos!$C$157)^1</f>
        <v>10710</v>
      </c>
      <c r="E2777" s="61" t="n">
        <f aca="false">Pressupostos!$E$411*(1+Pressupostos!$C$156)*(1+Pressupostos!$C$157)^2</f>
        <v>10924.2</v>
      </c>
      <c r="F2777" s="61" t="n">
        <f aca="false">Pressupostos!$F$411*(1+Pressupostos!$C$156)*(1+Pressupostos!$C$157)^3</f>
        <v>11142.684</v>
      </c>
      <c r="G2777" s="61" t="n">
        <f aca="false">Pressupostos!$G$411*(1+Pressupostos!$C$156)*(1+Pressupostos!$C$157)^4</f>
        <v>11365.53768</v>
      </c>
      <c r="H2777" s="2" t="s">
        <v>1347</v>
      </c>
    </row>
    <row r="2778" customFormat="false" ht="15" hidden="false" customHeight="false" outlineLevel="1" collapsed="false">
      <c r="A2778" s="7" t="s">
        <v>452</v>
      </c>
      <c r="B2778" s="8" t="s">
        <v>11</v>
      </c>
      <c r="C2778" s="61" t="n">
        <f aca="false">Pressupostos!$C$417*(1+Pressupostos!$C$156)*(1+Pressupostos!$C$157)^0</f>
        <v>12600</v>
      </c>
      <c r="D2778" s="61" t="n">
        <f aca="false">Pressupostos!$D$417*(1+Pressupostos!$C$156)*(1+Pressupostos!$C$157)^1</f>
        <v>12852</v>
      </c>
      <c r="E2778" s="61" t="n">
        <f aca="false">Pressupostos!$E$417*(1+Pressupostos!$C$156)*(1+Pressupostos!$C$157)^2</f>
        <v>13109.04</v>
      </c>
      <c r="F2778" s="61" t="n">
        <f aca="false">Pressupostos!$F$417*(1+Pressupostos!$C$156)*(1+Pressupostos!$C$157)^3</f>
        <v>0</v>
      </c>
      <c r="G2778" s="61" t="n">
        <f aca="false">Pressupostos!$G$417*(1+Pressupostos!$C$156)*(1+Pressupostos!$C$157)^4</f>
        <v>0</v>
      </c>
      <c r="H2778" s="2" t="s">
        <v>1348</v>
      </c>
    </row>
    <row r="2779" customFormat="false" ht="15" hidden="false" customHeight="false" outlineLevel="1" collapsed="false">
      <c r="A2779" s="7" t="s">
        <v>454</v>
      </c>
      <c r="B2779" s="8" t="s">
        <v>11</v>
      </c>
      <c r="C2779" s="61" t="n">
        <f aca="false">Pressupostos!$C$423*(1+Pressupostos!$C$156)*(1+Pressupostos!$C$157)^0</f>
        <v>31500</v>
      </c>
      <c r="D2779" s="61" t="n">
        <f aca="false">Pressupostos!$D$423*(1+Pressupostos!$C$156)*(1+Pressupostos!$C$157)^1</f>
        <v>42840</v>
      </c>
      <c r="E2779" s="61" t="n">
        <f aca="false">Pressupostos!$E$423*(1+Pressupostos!$C$156)*(1+Pressupostos!$C$157)^2</f>
        <v>60083.1</v>
      </c>
      <c r="F2779" s="61" t="n">
        <f aca="false">Pressupostos!$F$423*(1+Pressupostos!$C$156)*(1+Pressupostos!$C$157)^3</f>
        <v>77998.788</v>
      </c>
      <c r="G2779" s="61" t="n">
        <f aca="false">Pressupostos!$G$423*(1+Pressupostos!$C$156)*(1+Pressupostos!$C$157)^4</f>
        <v>96607.07028</v>
      </c>
      <c r="H2779" s="2" t="s">
        <v>1349</v>
      </c>
    </row>
    <row r="2780" customFormat="false" ht="15" hidden="false" customHeight="false" outlineLevel="1" collapsed="false">
      <c r="A2780" s="7" t="s">
        <v>456</v>
      </c>
      <c r="B2780" s="8" t="s">
        <v>11</v>
      </c>
      <c r="C2780" s="61" t="n">
        <f aca="false">Pressupostos!$C$429*(1+Pressupostos!$C$156)*(1+Pressupostos!$C$157)^0</f>
        <v>15750</v>
      </c>
      <c r="D2780" s="61" t="n">
        <f aca="false">Pressupostos!$D$429*(1+Pressupostos!$C$156)*(1+Pressupostos!$C$157)^1</f>
        <v>16065</v>
      </c>
      <c r="E2780" s="61" t="n">
        <f aca="false">Pressupostos!$E$429*(1+Pressupostos!$C$156)*(1+Pressupostos!$C$157)^2</f>
        <v>38234.7</v>
      </c>
      <c r="F2780" s="61" t="n">
        <f aca="false">Pressupostos!$F$429*(1+Pressupostos!$C$156)*(1+Pressupostos!$C$157)^3</f>
        <v>22285.368</v>
      </c>
      <c r="G2780" s="61" t="n">
        <f aca="false">Pressupostos!$G$429*(1+Pressupostos!$C$156)*(1+Pressupostos!$C$157)^4</f>
        <v>22731.07536</v>
      </c>
      <c r="H2780" s="2" t="s">
        <v>1350</v>
      </c>
    </row>
    <row r="2781" customFormat="false" ht="15" hidden="false" customHeight="false" outlineLevel="1" collapsed="false">
      <c r="A2781" s="7" t="s">
        <v>458</v>
      </c>
      <c r="B2781" s="8" t="s">
        <v>11</v>
      </c>
      <c r="C2781" s="61" t="n">
        <f aca="false">Pressupostos!$C$435*(1+Pressupostos!$C$156)*(1+Pressupostos!$C$157)^0</f>
        <v>10500</v>
      </c>
      <c r="D2781" s="61" t="n">
        <f aca="false">Pressupostos!$D$435*(1+Pressupostos!$C$156)*(1+Pressupostos!$C$157)^1</f>
        <v>12852</v>
      </c>
      <c r="E2781" s="61" t="n">
        <f aca="false">Pressupostos!$E$435*(1+Pressupostos!$C$156)*(1+Pressupostos!$C$157)^2</f>
        <v>16386.3</v>
      </c>
      <c r="F2781" s="61" t="n">
        <f aca="false">Pressupostos!$F$435*(1+Pressupostos!$C$156)*(1+Pressupostos!$C$157)^3</f>
        <v>20056.8312</v>
      </c>
      <c r="G2781" s="61" t="n">
        <f aca="false">Pressupostos!$G$435*(1+Pressupostos!$C$156)*(1+Pressupostos!$C$157)^4</f>
        <v>22731.07536</v>
      </c>
      <c r="H2781" s="2" t="s">
        <v>1351</v>
      </c>
    </row>
    <row r="2782" customFormat="false" ht="15" hidden="false" customHeight="false" outlineLevel="1" collapsed="false">
      <c r="A2782" s="7" t="s">
        <v>459</v>
      </c>
      <c r="B2782" s="8" t="s">
        <v>11</v>
      </c>
      <c r="C2782" s="61" t="n">
        <f aca="false">Pressupostos!$C$441*(1+Pressupostos!$C$156)*(1+Pressupostos!$C$157)^0</f>
        <v>42000</v>
      </c>
      <c r="D2782" s="61" t="n">
        <f aca="false">Pressupostos!$D$441*(1+Pressupostos!$C$156)*(1+Pressupostos!$C$157)^1</f>
        <v>53550</v>
      </c>
      <c r="E2782" s="61" t="n">
        <f aca="false">Pressupostos!$E$441*(1+Pressupostos!$C$156)*(1+Pressupostos!$C$157)^2</f>
        <v>76469.4</v>
      </c>
      <c r="F2782" s="61" t="n">
        <f aca="false">Pressupostos!$F$441*(1+Pressupostos!$C$156)*(1+Pressupostos!$C$157)^3</f>
        <v>100284.156</v>
      </c>
      <c r="G2782" s="61" t="n">
        <f aca="false">Pressupostos!$G$441*(1+Pressupostos!$C$156)*(1+Pressupostos!$C$157)^4</f>
        <v>125020.91448</v>
      </c>
      <c r="H2782" s="2" t="s">
        <v>1352</v>
      </c>
    </row>
    <row r="2783" customFormat="false" ht="15" hidden="false" customHeight="false" outlineLevel="1" collapsed="false">
      <c r="A2783" s="7" t="s">
        <v>461</v>
      </c>
      <c r="B2783" s="8" t="s">
        <v>11</v>
      </c>
      <c r="C2783" s="61" t="n">
        <f aca="false">Pressupostos!$C$447*(1+Pressupostos!$C$156)*(1+Pressupostos!$C$157)^0</f>
        <v>12600</v>
      </c>
      <c r="D2783" s="61" t="n">
        <f aca="false">Pressupostos!$D$447*(1+Pressupostos!$C$156)*(1+Pressupostos!$C$157)^1</f>
        <v>16065</v>
      </c>
      <c r="E2783" s="61" t="n">
        <f aca="false">Pressupostos!$E$447*(1+Pressupostos!$C$156)*(1+Pressupostos!$C$157)^2</f>
        <v>26218.08</v>
      </c>
      <c r="F2783" s="61" t="n">
        <f aca="false">Pressupostos!$F$447*(1+Pressupostos!$C$156)*(1+Pressupostos!$C$157)^3</f>
        <v>33428.052</v>
      </c>
      <c r="G2783" s="61" t="n">
        <f aca="false">Pressupostos!$G$447*(1+Pressupostos!$C$156)*(1+Pressupostos!$C$157)^4</f>
        <v>40915.935648</v>
      </c>
      <c r="H2783" s="2" t="s">
        <v>1353</v>
      </c>
    </row>
    <row r="2784" customFormat="false" ht="15" hidden="false" customHeight="false" outlineLevel="1" collapsed="false">
      <c r="A2784" s="7" t="s">
        <v>463</v>
      </c>
      <c r="B2784" s="8" t="s">
        <v>11</v>
      </c>
      <c r="C2784" s="61" t="n">
        <f aca="false">Pressupostos!$C$453*(1+Pressupostos!$C$156)*(1+Pressupostos!$C$157)^0</f>
        <v>18900</v>
      </c>
      <c r="D2784" s="61" t="n">
        <f aca="false">Pressupostos!$D$453*(1+Pressupostos!$C$156)*(1+Pressupostos!$C$157)^1</f>
        <v>23562</v>
      </c>
      <c r="E2784" s="61" t="n">
        <f aca="false">Pressupostos!$E$453*(1+Pressupostos!$C$156)*(1+Pressupostos!$C$157)^2</f>
        <v>32772.6</v>
      </c>
      <c r="F2784" s="61" t="n">
        <f aca="false">Pressupostos!$F$453*(1+Pressupostos!$C$156)*(1+Pressupostos!$C$157)^3</f>
        <v>42342.1992</v>
      </c>
      <c r="G2784" s="61" t="n">
        <f aca="false">Pressupostos!$G$453*(1+Pressupostos!$C$156)*(1+Pressupostos!$C$157)^4</f>
        <v>51144.91956</v>
      </c>
      <c r="H2784" s="2" t="s">
        <v>1354</v>
      </c>
    </row>
    <row r="2785" customFormat="false" ht="15" hidden="false" customHeight="false" outlineLevel="1" collapsed="false">
      <c r="A2785" s="7" t="s">
        <v>464</v>
      </c>
      <c r="B2785" s="8" t="s">
        <v>11</v>
      </c>
      <c r="C2785" s="61" t="n">
        <f aca="false">Pressupostos!$C$459*(1+Pressupostos!$C$156)*(1+Pressupostos!$C$157)^0</f>
        <v>5250</v>
      </c>
      <c r="D2785" s="61" t="n">
        <f aca="false">Pressupostos!$D$459*(1+Pressupostos!$C$156)*(1+Pressupostos!$C$157)^1</f>
        <v>8568</v>
      </c>
      <c r="E2785" s="61" t="n">
        <f aca="false">Pressupostos!$E$459*(1+Pressupostos!$C$156)*(1+Pressupostos!$C$157)^2</f>
        <v>13109.04</v>
      </c>
      <c r="F2785" s="61" t="n">
        <f aca="false">Pressupostos!$F$459*(1+Pressupostos!$C$156)*(1+Pressupostos!$C$157)^3</f>
        <v>16714.026</v>
      </c>
      <c r="G2785" s="61" t="n">
        <f aca="false">Pressupostos!$G$459*(1+Pressupostos!$C$156)*(1+Pressupostos!$C$157)^4</f>
        <v>17048.30652</v>
      </c>
      <c r="H2785" s="2" t="s">
        <v>1355</v>
      </c>
    </row>
    <row r="2786" customFormat="false" ht="15" hidden="false" customHeight="false" outlineLevel="1" collapsed="false">
      <c r="A2786" s="7" t="s">
        <v>701</v>
      </c>
      <c r="B2786" s="8" t="s">
        <v>11</v>
      </c>
      <c r="C2786" s="61" t="n">
        <f aca="false">C2776+C2777+C2778+C2779+C2780+C2781+C2782+C2783+C2784+C2785</f>
        <v>254100</v>
      </c>
      <c r="D2786" s="61" t="n">
        <f aca="false">D2776+D2777+D2778+D2779+D2780+D2781+D2782+D2783+D2784+D2785</f>
        <v>250614</v>
      </c>
      <c r="E2786" s="61" t="n">
        <f aca="false">E2776+E2777+E2778+E2779+E2780+E2781+E2782+E2783+E2784+E2785</f>
        <v>336465.36</v>
      </c>
      <c r="F2786" s="61" t="n">
        <f aca="false">F2776+F2777+F2778+F2779+F2780+F2781+F2782+F2783+F2784+F2785</f>
        <v>374394.1824</v>
      </c>
      <c r="G2786" s="61" t="n">
        <f aca="false">G2776+G2777+G2778+G2779+G2780+G2781+G2782+G2783+G2784+G2785</f>
        <v>438709.754448</v>
      </c>
      <c r="H2786" s="2" t="s">
        <v>1356</v>
      </c>
    </row>
    <row r="2787" customFormat="false" ht="15" hidden="false" customHeight="false" outlineLevel="1" collapsed="false">
      <c r="A2787" s="7" t="s">
        <v>702</v>
      </c>
      <c r="B2787" s="8" t="s">
        <v>11</v>
      </c>
      <c r="C2787" s="61" t="n">
        <f aca="false">Pressupostos!$C$114+Pressupostos!$C$115+Pressupostos!$C$116*Pressupostos!$C$294+Pressupostos!$C$466+Pressupostos!$C$306</f>
        <v>65000</v>
      </c>
      <c r="D2787" s="61" t="n">
        <f aca="false">Pressupostos!$C$115+Pressupostos!$C$116*Pressupostos!$D$294+Pressupostos!$D$466+Pressupostos!$D$306</f>
        <v>65000</v>
      </c>
      <c r="E2787" s="61" t="n">
        <f aca="false">Pressupostos!$C$115+Pressupostos!$C$116*Pressupostos!$E$294+Pressupostos!$E$466+Pressupostos!$E$306</f>
        <v>70000</v>
      </c>
      <c r="F2787" s="61" t="n">
        <f aca="false">Pressupostos!$C$115+Pressupostos!$C$116*Pressupostos!$F$294+Pressupostos!$F$466+Pressupostos!$F$306</f>
        <v>75000</v>
      </c>
      <c r="G2787" s="61" t="n">
        <f aca="false">Pressupostos!$C$115+Pressupostos!$C$116*Pressupostos!$G$294+Pressupostos!$G$466+Pressupostos!$G$306</f>
        <v>80000</v>
      </c>
      <c r="H2787" s="2" t="s">
        <v>1357</v>
      </c>
    </row>
    <row r="2788" customFormat="false" ht="15" hidden="false" customHeight="false" outlineLevel="1" collapsed="false">
      <c r="A2788" s="7" t="s">
        <v>703</v>
      </c>
      <c r="B2788" s="8" t="s">
        <v>11</v>
      </c>
      <c r="C2788" s="61" t="n">
        <f aca="false">IF(C2600&lt;Pressupostos!$C$120,0,MAX(Pressupostos!$C$300,Pressupostos!$C$118*(C2694+C2695)+Pressupostos!$C$119*C2696))</f>
        <v>0</v>
      </c>
      <c r="D2788" s="61" t="n">
        <f aca="false">IF(D2600&lt;Pressupostos!$C$120,0,MAX(Pressupostos!$D$300,Pressupostos!$C$118*(D2694+D2695)+Pressupostos!$C$119*D2696))</f>
        <v>9189.414</v>
      </c>
      <c r="E2788" s="61" t="n">
        <f aca="false">IF(E2600&lt;Pressupostos!$C$120,0,MAX(Pressupostos!$E$300,Pressupostos!$C$118*(E2694+E2695)+Pressupostos!$C$119*E2696))</f>
        <v>19735.326</v>
      </c>
      <c r="F2788" s="61" t="n">
        <f aca="false">IF(F2600&lt;Pressupostos!$C$120,0,MAX(Pressupostos!$F$300,Pressupostos!$C$118*(F2694+F2695)+Pressupostos!$C$119*F2696))</f>
        <v>33819.474</v>
      </c>
      <c r="G2788" s="61" t="n">
        <f aca="false">IF(G2600&lt;Pressupostos!$C$120,0,MAX(Pressupostos!$G$300,Pressupostos!$C$118*(G2694+G2695)+Pressupostos!$C$119*G2696))</f>
        <v>51331.02</v>
      </c>
      <c r="H2788" s="2" t="s">
        <v>1358</v>
      </c>
    </row>
    <row r="2789" customFormat="false" ht="15" hidden="false" customHeight="false" outlineLevel="1" collapsed="false">
      <c r="A2789" s="56" t="s">
        <v>704</v>
      </c>
      <c r="B2789" s="57" t="s">
        <v>11</v>
      </c>
      <c r="C2789" s="62" t="n">
        <f aca="false">C2786+C2787+C2788</f>
        <v>319100</v>
      </c>
      <c r="D2789" s="62" t="n">
        <f aca="false">D2786+D2787+D2788</f>
        <v>324803.414</v>
      </c>
      <c r="E2789" s="62" t="n">
        <f aca="false">E2786+E2787+E2788</f>
        <v>426200.686</v>
      </c>
      <c r="F2789" s="62" t="n">
        <f aca="false">F2786+F2787+F2788</f>
        <v>483213.6564</v>
      </c>
      <c r="G2789" s="62" t="n">
        <f aca="false">G2786+G2787+G2788</f>
        <v>570040.774448</v>
      </c>
      <c r="H2789" s="2" t="s">
        <v>1359</v>
      </c>
    </row>
    <row r="2790" customFormat="false" ht="15" hidden="false" customHeight="false" outlineLevel="0" collapsed="false">
      <c r="A2790" s="3" t="s">
        <v>1360</v>
      </c>
      <c r="B2790" s="4"/>
      <c r="C2790" s="4"/>
      <c r="D2790" s="4"/>
      <c r="E2790" s="4"/>
      <c r="F2790" s="4"/>
      <c r="G2790" s="4"/>
      <c r="H2790" s="4"/>
    </row>
    <row r="2791" customFormat="false" ht="15" hidden="false" customHeight="false" outlineLevel="1" collapsed="false">
      <c r="A2791" s="7" t="s">
        <v>706</v>
      </c>
      <c r="B2791" s="8" t="s">
        <v>11</v>
      </c>
      <c r="C2791" s="61" t="n">
        <f aca="false">Pressupostos!$C$165*Pressupostos!$C$313</f>
        <v>18000</v>
      </c>
      <c r="D2791" s="61" t="n">
        <f aca="false">Pressupostos!$C$165*Pressupostos!$D$313</f>
        <v>12000</v>
      </c>
      <c r="E2791" s="61" t="n">
        <f aca="false">Pressupostos!$C$165*Pressupostos!$E$313</f>
        <v>12000</v>
      </c>
      <c r="F2791" s="61" t="n">
        <f aca="false">Pressupostos!$C$165*Pressupostos!$F$313</f>
        <v>12000</v>
      </c>
      <c r="G2791" s="61" t="n">
        <f aca="false">Pressupostos!$C$165*Pressupostos!$G$313</f>
        <v>12000</v>
      </c>
      <c r="H2791" s="2" t="s">
        <v>1361</v>
      </c>
    </row>
    <row r="2792" customFormat="false" ht="15" hidden="false" customHeight="false" outlineLevel="1" collapsed="false">
      <c r="A2792" s="7" t="s">
        <v>707</v>
      </c>
      <c r="B2792" s="8" t="s">
        <v>11</v>
      </c>
      <c r="C2792" s="53" t="n">
        <f aca="false">Pressupostos!$C$319</f>
        <v>60000</v>
      </c>
      <c r="D2792" s="53" t="n">
        <f aca="false">Pressupostos!$D$319</f>
        <v>15000</v>
      </c>
      <c r="E2792" s="53" t="n">
        <f aca="false">Pressupostos!$E$319</f>
        <v>15000</v>
      </c>
      <c r="F2792" s="53" t="n">
        <f aca="false">Pressupostos!$F$319</f>
        <v>10000</v>
      </c>
      <c r="G2792" s="53" t="n">
        <f aca="false">Pressupostos!$G$319</f>
        <v>10000</v>
      </c>
      <c r="H2792" s="2" t="s">
        <v>1362</v>
      </c>
    </row>
    <row r="2793" customFormat="false" ht="15" hidden="false" customHeight="false" outlineLevel="1" collapsed="false">
      <c r="A2793" s="7" t="s">
        <v>708</v>
      </c>
      <c r="B2793" s="8" t="s">
        <v>11</v>
      </c>
      <c r="C2793" s="53" t="n">
        <f aca="false">Pressupostos!$C$325</f>
        <v>0</v>
      </c>
      <c r="D2793" s="53" t="n">
        <f aca="false">Pressupostos!$D$325</f>
        <v>15000</v>
      </c>
      <c r="E2793" s="53" t="n">
        <f aca="false">Pressupostos!$E$325</f>
        <v>15000</v>
      </c>
      <c r="F2793" s="53" t="n">
        <f aca="false">Pressupostos!$F$325</f>
        <v>10000</v>
      </c>
      <c r="G2793" s="53" t="n">
        <f aca="false">Pressupostos!$G$325</f>
        <v>10000</v>
      </c>
      <c r="H2793" s="2" t="s">
        <v>1363</v>
      </c>
    </row>
    <row r="2794" customFormat="false" ht="15" hidden="false" customHeight="false" outlineLevel="1" collapsed="false">
      <c r="A2794" s="7" t="s">
        <v>709</v>
      </c>
      <c r="B2794" s="8" t="s">
        <v>11</v>
      </c>
      <c r="C2794" s="61" t="n">
        <f aca="false">Pressupostos!$C$166*MAX(0,C2756)</f>
        <v>14000</v>
      </c>
      <c r="D2794" s="61" t="n">
        <f aca="false">Pressupostos!$C$166*MAX(0,D2756-C2756)</f>
        <v>2000</v>
      </c>
      <c r="E2794" s="61" t="n">
        <f aca="false">Pressupostos!$C$166*MAX(0,E2756-D2756)</f>
        <v>6000</v>
      </c>
      <c r="F2794" s="61" t="n">
        <f aca="false">Pressupostos!$C$166*MAX(0,F2756-E2756)</f>
        <v>6000</v>
      </c>
      <c r="G2794" s="61" t="n">
        <f aca="false">Pressupostos!$C$166*MAX(0,G2756-F2756)</f>
        <v>6000</v>
      </c>
      <c r="H2794" s="2" t="s">
        <v>1364</v>
      </c>
    </row>
    <row r="2795" customFormat="false" ht="15" hidden="false" customHeight="false" outlineLevel="1" collapsed="false">
      <c r="A2795" s="7" t="s">
        <v>424</v>
      </c>
      <c r="B2795" s="8" t="s">
        <v>11</v>
      </c>
      <c r="C2795" s="61" t="n">
        <f aca="false">C2791+C2792+C2793+C2794</f>
        <v>92000</v>
      </c>
      <c r="D2795" s="61" t="n">
        <f aca="false">D2791+D2792+D2793+D2794</f>
        <v>44000</v>
      </c>
      <c r="E2795" s="61" t="n">
        <f aca="false">E2791+E2792+E2793+E2794</f>
        <v>48000</v>
      </c>
      <c r="F2795" s="61" t="n">
        <f aca="false">F2791+F2792+F2793+F2794</f>
        <v>38000</v>
      </c>
      <c r="G2795" s="61" t="n">
        <f aca="false">G2791+G2792+G2793+G2794</f>
        <v>38000</v>
      </c>
      <c r="H2795" s="2" t="s">
        <v>1365</v>
      </c>
    </row>
    <row r="2796" customFormat="false" ht="15" hidden="false" customHeight="false" outlineLevel="1" collapsed="false">
      <c r="A2796" s="7" t="s">
        <v>710</v>
      </c>
      <c r="B2796" s="8" t="s">
        <v>11</v>
      </c>
      <c r="C2796" s="61" t="n">
        <f aca="false">(C2792*((0)&lt;Pressupostos!$C$167))/Pressupostos!$C$167</f>
        <v>20000</v>
      </c>
      <c r="D2796" s="61" t="n">
        <f aca="false">(C2792*((1)&lt;Pressupostos!$C$167)+D2792*((0)&lt;Pressupostos!$C$167))/Pressupostos!$C$167</f>
        <v>25000</v>
      </c>
      <c r="E2796" s="61" t="n">
        <f aca="false">(C2792*((2)&lt;Pressupostos!$C$167)+D2792*((1)&lt;Pressupostos!$C$167)+E2792*((0)&lt;Pressupostos!$C$167))/Pressupostos!$C$167</f>
        <v>30000</v>
      </c>
      <c r="F2796" s="61" t="n">
        <f aca="false">(C2792*((3)&lt;Pressupostos!$C$167)+D2792*((2)&lt;Pressupostos!$C$167)+E2792*((1)&lt;Pressupostos!$C$167)+F2792*((0)&lt;Pressupostos!$C$167))/Pressupostos!$C$167</f>
        <v>13333.3333333333</v>
      </c>
      <c r="G2796" s="61" t="n">
        <f aca="false">(C2792*((4)&lt;Pressupostos!$C$167)+D2792*((3)&lt;Pressupostos!$C$167)+E2792*((2)&lt;Pressupostos!$C$167)+F2792*((1)&lt;Pressupostos!$C$167)+G2792*((0)&lt;Pressupostos!$C$167))/Pressupostos!$C$167</f>
        <v>11666.6666666667</v>
      </c>
      <c r="H2796" s="2" t="s">
        <v>1366</v>
      </c>
    </row>
    <row r="2797" customFormat="false" ht="15" hidden="false" customHeight="false" outlineLevel="1" collapsed="false">
      <c r="A2797" s="7" t="s">
        <v>711</v>
      </c>
      <c r="B2797" s="8" t="s">
        <v>11</v>
      </c>
      <c r="C2797" s="61" t="n">
        <f aca="false">(C2793*((0)&lt;Pressupostos!$C$167))/Pressupostos!$C$167</f>
        <v>0</v>
      </c>
      <c r="D2797" s="61" t="n">
        <f aca="false">(C2793*((1)&lt;Pressupostos!$C$167)+D2793*((0)&lt;Pressupostos!$C$167))/Pressupostos!$C$167</f>
        <v>5000</v>
      </c>
      <c r="E2797" s="61" t="n">
        <f aca="false">(C2793*((2)&lt;Pressupostos!$C$167)+D2793*((1)&lt;Pressupostos!$C$167)+E2793*((0)&lt;Pressupostos!$C$167))/Pressupostos!$C$167</f>
        <v>10000</v>
      </c>
      <c r="F2797" s="61" t="n">
        <f aca="false">(C2793*((3)&lt;Pressupostos!$C$167)+D2793*((2)&lt;Pressupostos!$C$167)+E2793*((1)&lt;Pressupostos!$C$167)+F2793*((0)&lt;Pressupostos!$C$167))/Pressupostos!$C$167</f>
        <v>13333.3333333333</v>
      </c>
      <c r="G2797" s="61" t="n">
        <f aca="false">(C2793*((4)&lt;Pressupostos!$C$167)+D2793*((3)&lt;Pressupostos!$C$167)+E2793*((2)&lt;Pressupostos!$C$167)+F2793*((1)&lt;Pressupostos!$C$167)+G2793*((0)&lt;Pressupostos!$C$167))/Pressupostos!$C$167</f>
        <v>11666.6666666667</v>
      </c>
      <c r="H2797" s="2" t="s">
        <v>1367</v>
      </c>
    </row>
    <row r="2798" customFormat="false" ht="15" hidden="false" customHeight="false" outlineLevel="1" collapsed="false">
      <c r="A2798" s="7" t="s">
        <v>712</v>
      </c>
      <c r="B2798" s="8" t="s">
        <v>11</v>
      </c>
      <c r="C2798" s="61" t="n">
        <f aca="false">(C2791*((0)&lt;Pressupostos!$C$169))/Pressupostos!$C$169</f>
        <v>3600</v>
      </c>
      <c r="D2798" s="61" t="n">
        <f aca="false">(C2791*((1)&lt;Pressupostos!$C$169)+D2791*((0)&lt;Pressupostos!$C$169))/Pressupostos!$C$169</f>
        <v>6000</v>
      </c>
      <c r="E2798" s="61" t="n">
        <f aca="false">(C2791*((2)&lt;Pressupostos!$C$169)+D2791*((1)&lt;Pressupostos!$C$169)+E2791*((0)&lt;Pressupostos!$C$169))/Pressupostos!$C$169</f>
        <v>8400</v>
      </c>
      <c r="F2798" s="61" t="n">
        <f aca="false">(C2791*((3)&lt;Pressupostos!$C$169)+D2791*((2)&lt;Pressupostos!$C$169)+E2791*((1)&lt;Pressupostos!$C$169)+F2791*((0)&lt;Pressupostos!$C$169))/Pressupostos!$C$169</f>
        <v>10800</v>
      </c>
      <c r="G2798" s="61" t="n">
        <f aca="false">(C2791*((4)&lt;Pressupostos!$C$169)+D2791*((3)&lt;Pressupostos!$C$169)+E2791*((2)&lt;Pressupostos!$C$169)+F2791*((1)&lt;Pressupostos!$C$169)+G2791*((0)&lt;Pressupostos!$C$169))/Pressupostos!$C$169</f>
        <v>13200</v>
      </c>
      <c r="H2798" s="2" t="s">
        <v>1368</v>
      </c>
    </row>
    <row r="2799" customFormat="false" ht="15" hidden="false" customHeight="false" outlineLevel="1" collapsed="false">
      <c r="A2799" s="7" t="s">
        <v>713</v>
      </c>
      <c r="B2799" s="8" t="s">
        <v>11</v>
      </c>
      <c r="C2799" s="61" t="n">
        <f aca="false">(C2794*((0)&lt;Pressupostos!$C$168))/Pressupostos!$C$168</f>
        <v>3500</v>
      </c>
      <c r="D2799" s="61" t="n">
        <f aca="false">(C2794*((1)&lt;Pressupostos!$C$168)+D2794*((0)&lt;Pressupostos!$C$168))/Pressupostos!$C$168</f>
        <v>4000</v>
      </c>
      <c r="E2799" s="61" t="n">
        <f aca="false">(C2794*((2)&lt;Pressupostos!$C$168)+D2794*((1)&lt;Pressupostos!$C$168)+E2794*((0)&lt;Pressupostos!$C$168))/Pressupostos!$C$168</f>
        <v>5500</v>
      </c>
      <c r="F2799" s="61" t="n">
        <f aca="false">(C2794*((3)&lt;Pressupostos!$C$168)+D2794*((2)&lt;Pressupostos!$C$168)+E2794*((1)&lt;Pressupostos!$C$168)+F2794*((0)&lt;Pressupostos!$C$168))/Pressupostos!$C$168</f>
        <v>7000</v>
      </c>
      <c r="G2799" s="61" t="n">
        <f aca="false">(C2794*((4)&lt;Pressupostos!$C$168)+D2794*((3)&lt;Pressupostos!$C$168)+E2794*((2)&lt;Pressupostos!$C$168)+F2794*((1)&lt;Pressupostos!$C$168)+G2794*((0)&lt;Pressupostos!$C$168))/Pressupostos!$C$168</f>
        <v>5000</v>
      </c>
      <c r="H2799" s="2" t="s">
        <v>1369</v>
      </c>
    </row>
    <row r="2800" customFormat="false" ht="15" hidden="false" customHeight="false" outlineLevel="1" collapsed="false">
      <c r="A2800" s="7" t="s">
        <v>714</v>
      </c>
      <c r="B2800" s="8" t="s">
        <v>11</v>
      </c>
      <c r="C2800" s="61" t="n">
        <f aca="false">C2796+C2797+C2798+C2799</f>
        <v>27100</v>
      </c>
      <c r="D2800" s="61" t="n">
        <f aca="false">D2796+D2797+D2798+D2799</f>
        <v>40000</v>
      </c>
      <c r="E2800" s="61" t="n">
        <f aca="false">E2796+E2797+E2798+E2799</f>
        <v>53900</v>
      </c>
      <c r="F2800" s="61" t="n">
        <f aca="false">F2796+F2797+F2798+F2799</f>
        <v>44466.6666666667</v>
      </c>
      <c r="G2800" s="61" t="n">
        <f aca="false">G2796+G2797+G2798+G2799</f>
        <v>41533.3333333333</v>
      </c>
      <c r="H2800" s="2" t="s">
        <v>1370</v>
      </c>
    </row>
    <row r="2801" customFormat="false" ht="15" hidden="false" customHeight="false" outlineLevel="0" collapsed="false">
      <c r="A2801" s="3" t="s">
        <v>1371</v>
      </c>
      <c r="B2801" s="4"/>
      <c r="C2801" s="4"/>
      <c r="D2801" s="4"/>
      <c r="E2801" s="4"/>
      <c r="F2801" s="4"/>
      <c r="G2801" s="4"/>
      <c r="H2801" s="4"/>
    </row>
    <row r="2802" customFormat="false" ht="15" hidden="false" customHeight="false" outlineLevel="1" collapsed="false">
      <c r="A2802" s="56" t="s">
        <v>718</v>
      </c>
      <c r="B2802" s="57" t="s">
        <v>11</v>
      </c>
      <c r="C2802" s="62" t="n">
        <f aca="false">C2704</f>
        <v>347997</v>
      </c>
      <c r="D2802" s="62" t="n">
        <f aca="false">D2704</f>
        <v>2311565.5</v>
      </c>
      <c r="E2802" s="62" t="n">
        <f aca="false">E2704</f>
        <v>5277001.5</v>
      </c>
      <c r="F2802" s="62" t="n">
        <f aca="false">F2704</f>
        <v>9146996.5</v>
      </c>
      <c r="G2802" s="62" t="n">
        <f aca="false">G2704</f>
        <v>13995891</v>
      </c>
      <c r="H2802" s="2" t="s">
        <v>1372</v>
      </c>
    </row>
    <row r="2803" customFormat="false" ht="15" hidden="false" customHeight="false" outlineLevel="1" collapsed="false">
      <c r="A2803" s="7" t="s">
        <v>688</v>
      </c>
      <c r="B2803" s="8" t="s">
        <v>11</v>
      </c>
      <c r="C2803" s="61" t="n">
        <f aca="false">-C2727</f>
        <v>-316940</v>
      </c>
      <c r="D2803" s="61" t="n">
        <f aca="false">-D2727</f>
        <v>-2110810</v>
      </c>
      <c r="E2803" s="61" t="n">
        <f aca="false">-E2727</f>
        <v>-4765540</v>
      </c>
      <c r="F2803" s="61" t="n">
        <f aca="false">-F2727</f>
        <v>-8214960</v>
      </c>
      <c r="G2803" s="61" t="n">
        <f aca="false">-G2727</f>
        <v>-12546300</v>
      </c>
      <c r="H2803" s="2" t="s">
        <v>1373</v>
      </c>
    </row>
    <row r="2804" customFormat="false" ht="15" hidden="false" customHeight="false" outlineLevel="1" collapsed="false">
      <c r="A2804" s="56" t="s">
        <v>719</v>
      </c>
      <c r="B2804" s="57" t="s">
        <v>11</v>
      </c>
      <c r="C2804" s="62" t="n">
        <f aca="false">C2802+C2803</f>
        <v>31057</v>
      </c>
      <c r="D2804" s="62" t="n">
        <f aca="false">D2802+D2803</f>
        <v>200755.5</v>
      </c>
      <c r="E2804" s="62" t="n">
        <f aca="false">E2802+E2803</f>
        <v>511461.5</v>
      </c>
      <c r="F2804" s="62" t="n">
        <f aca="false">F2802+F2803</f>
        <v>932036.5</v>
      </c>
      <c r="G2804" s="62" t="n">
        <f aca="false">G2802+G2803</f>
        <v>1449591</v>
      </c>
      <c r="H2804" s="2" t="s">
        <v>1374</v>
      </c>
    </row>
    <row r="2805" customFormat="false" ht="15" hidden="false" customHeight="false" outlineLevel="1" collapsed="false">
      <c r="A2805" s="2" t="s">
        <v>720</v>
      </c>
      <c r="B2805" s="8" t="s">
        <v>76</v>
      </c>
      <c r="C2805" s="59" t="n">
        <f aca="false">IF(C2802&gt;0,C2804/C2802,0)</f>
        <v>0.0892450222272031</v>
      </c>
      <c r="D2805" s="59" t="n">
        <f aca="false">IF(D2802&gt;0,D2804/D2802,0)</f>
        <v>0.0868482852854481</v>
      </c>
      <c r="E2805" s="59" t="n">
        <f aca="false">IF(E2802&gt;0,E2804/E2802,0)</f>
        <v>0.0969227505430878</v>
      </c>
      <c r="F2805" s="59" t="n">
        <f aca="false">IF(F2802&gt;0,F2804/F2802,0)</f>
        <v>0.101895359859381</v>
      </c>
      <c r="G2805" s="59" t="n">
        <f aca="false">IF(G2802&gt;0,G2804/G2802,0)</f>
        <v>0.103572612847585</v>
      </c>
      <c r="H2805" s="2" t="s">
        <v>1375</v>
      </c>
    </row>
    <row r="2806" customFormat="false" ht="15" hidden="false" customHeight="false" outlineLevel="1" collapsed="false">
      <c r="A2806" s="7" t="s">
        <v>721</v>
      </c>
      <c r="B2806" s="8" t="s">
        <v>11</v>
      </c>
      <c r="C2806" s="61" t="n">
        <f aca="false">-C2738</f>
        <v>-19944.4155068493</v>
      </c>
      <c r="D2806" s="61" t="n">
        <f aca="false">-D2738</f>
        <v>-132901.44674364</v>
      </c>
      <c r="E2806" s="61" t="n">
        <f aca="false">-E2738</f>
        <v>-307384.425545988</v>
      </c>
      <c r="F2806" s="61" t="n">
        <f aca="false">-F2738</f>
        <v>-548814.404982388</v>
      </c>
      <c r="G2806" s="61" t="n">
        <f aca="false">-G2738</f>
        <v>-844848.59702544</v>
      </c>
      <c r="H2806" s="2" t="s">
        <v>1376</v>
      </c>
    </row>
    <row r="2807" customFormat="false" ht="15" hidden="false" customHeight="false" outlineLevel="1" collapsed="false">
      <c r="A2807" s="7" t="s">
        <v>698</v>
      </c>
      <c r="B2807" s="8" t="s">
        <v>11</v>
      </c>
      <c r="C2807" s="61" t="n">
        <f aca="false">-C2741</f>
        <v>-0</v>
      </c>
      <c r="D2807" s="61" t="n">
        <f aca="false">-D2741</f>
        <v>-30312.1356164384</v>
      </c>
      <c r="E2807" s="61" t="n">
        <f aca="false">-E2741</f>
        <v>-50402.3829195206</v>
      </c>
      <c r="F2807" s="61" t="n">
        <f aca="false">-F2741</f>
        <v>-81312.1851883562</v>
      </c>
      <c r="G2807" s="61" t="n">
        <f aca="false">-G2741</f>
        <v>-124197.002568493</v>
      </c>
      <c r="H2807" s="2" t="s">
        <v>1377</v>
      </c>
    </row>
    <row r="2808" customFormat="false" ht="15" hidden="false" customHeight="false" outlineLevel="1" collapsed="false">
      <c r="A2808" s="56" t="s">
        <v>677</v>
      </c>
      <c r="B2808" s="57" t="s">
        <v>11</v>
      </c>
      <c r="C2808" s="62" t="n">
        <f aca="false">C2804+C2806+C2807</f>
        <v>11112.5844931507</v>
      </c>
      <c r="D2808" s="62" t="n">
        <f aca="false">D2804+D2806+D2807</f>
        <v>37541.9176399212</v>
      </c>
      <c r="E2808" s="62" t="n">
        <f aca="false">E2804+E2806+E2807</f>
        <v>153674.691534491</v>
      </c>
      <c r="F2808" s="62" t="n">
        <f aca="false">F2804+F2806+F2807</f>
        <v>301909.909829256</v>
      </c>
      <c r="G2808" s="62" t="n">
        <f aca="false">G2804+G2806+G2807</f>
        <v>480545.400406066</v>
      </c>
      <c r="H2808" s="2" t="s">
        <v>1378</v>
      </c>
    </row>
    <row r="2809" customFormat="false" ht="15" hidden="false" customHeight="false" outlineLevel="1" collapsed="false">
      <c r="A2809" s="7" t="s">
        <v>261</v>
      </c>
      <c r="B2809" s="8" t="s">
        <v>11</v>
      </c>
      <c r="C2809" s="61" t="n">
        <f aca="false">-C2773</f>
        <v>-400885.59375</v>
      </c>
      <c r="D2809" s="61" t="n">
        <f aca="false">-D2773</f>
        <v>-508017.8875</v>
      </c>
      <c r="E2809" s="61" t="n">
        <f aca="false">-E2773</f>
        <v>-667701.28525</v>
      </c>
      <c r="F2809" s="61" t="n">
        <f aca="false">-F2773</f>
        <v>-855745.92960125</v>
      </c>
      <c r="G2809" s="61" t="n">
        <f aca="false">-G2773</f>
        <v>-1042442.03916396</v>
      </c>
      <c r="H2809" s="2" t="s">
        <v>1379</v>
      </c>
    </row>
    <row r="2810" customFormat="false" ht="15" hidden="false" customHeight="false" outlineLevel="1" collapsed="false">
      <c r="A2810" s="7" t="s">
        <v>722</v>
      </c>
      <c r="B2810" s="8" t="s">
        <v>11</v>
      </c>
      <c r="C2810" s="61" t="n">
        <f aca="false">-C2789</f>
        <v>-319100</v>
      </c>
      <c r="D2810" s="61" t="n">
        <f aca="false">-D2789</f>
        <v>-324803.414</v>
      </c>
      <c r="E2810" s="61" t="n">
        <f aca="false">-E2789</f>
        <v>-426200.686</v>
      </c>
      <c r="F2810" s="61" t="n">
        <f aca="false">-F2789</f>
        <v>-483213.6564</v>
      </c>
      <c r="G2810" s="61" t="n">
        <f aca="false">-G2789</f>
        <v>-570040.774448</v>
      </c>
      <c r="H2810" s="2" t="s">
        <v>1380</v>
      </c>
    </row>
    <row r="2811" customFormat="false" ht="15" hidden="false" customHeight="false" outlineLevel="1" collapsed="false">
      <c r="A2811" s="56" t="s">
        <v>723</v>
      </c>
      <c r="B2811" s="57" t="s">
        <v>11</v>
      </c>
      <c r="C2811" s="62" t="n">
        <f aca="false">C2808+C2809+C2810</f>
        <v>-708873.009256849</v>
      </c>
      <c r="D2811" s="62" t="n">
        <f aca="false">D2808+D2809+D2810</f>
        <v>-795279.383860079</v>
      </c>
      <c r="E2811" s="62" t="n">
        <f aca="false">E2808+E2809+E2810</f>
        <v>-940227.279715509</v>
      </c>
      <c r="F2811" s="62" t="n">
        <f aca="false">F2808+F2809+F2810</f>
        <v>-1037049.67617199</v>
      </c>
      <c r="G2811" s="62" t="n">
        <f aca="false">G2808+G2809+G2810</f>
        <v>-1131937.4132059</v>
      </c>
      <c r="H2811" s="2" t="s">
        <v>1381</v>
      </c>
    </row>
    <row r="2812" customFormat="false" ht="15" hidden="false" customHeight="false" outlineLevel="1" collapsed="false">
      <c r="A2812" s="2" t="s">
        <v>725</v>
      </c>
      <c r="B2812" s="8" t="s">
        <v>76</v>
      </c>
      <c r="C2812" s="59" t="n">
        <f aca="false">IF(C2802&gt;0,C2811/C2802,0)</f>
        <v>-2.03700896633261</v>
      </c>
      <c r="D2812" s="59" t="n">
        <f aca="false">IF(D2802&gt;0,D2811/D2802,0)</f>
        <v>-0.344043629246101</v>
      </c>
      <c r="E2812" s="59" t="n">
        <f aca="false">IF(E2802&gt;0,E2811/E2802,0)</f>
        <v>-0.178174533343511</v>
      </c>
      <c r="F2812" s="59" t="n">
        <f aca="false">IF(F2802&gt;0,F2811/F2802,0)</f>
        <v>-0.113375978242912</v>
      </c>
      <c r="G2812" s="59" t="n">
        <f aca="false">IF(G2802&gt;0,G2811/G2802,0)</f>
        <v>-0.0808764095980668</v>
      </c>
      <c r="H2812" s="2" t="s">
        <v>1382</v>
      </c>
    </row>
    <row r="2813" customFormat="false" ht="15" hidden="false" customHeight="false" outlineLevel="1" collapsed="false">
      <c r="A2813" s="2" t="s">
        <v>726</v>
      </c>
      <c r="B2813" s="8" t="s">
        <v>11</v>
      </c>
      <c r="C2813" s="61" t="n">
        <f aca="false">C2811+C2741</f>
        <v>-708873.009256849</v>
      </c>
      <c r="D2813" s="61" t="n">
        <f aca="false">D2811+D2741</f>
        <v>-764967.24824364</v>
      </c>
      <c r="E2813" s="61" t="n">
        <f aca="false">E2811+E2741</f>
        <v>-889824.896795988</v>
      </c>
      <c r="F2813" s="61" t="n">
        <f aca="false">F2811+F2741</f>
        <v>-955737.490983638</v>
      </c>
      <c r="G2813" s="61" t="n">
        <f aca="false">G2811+G2741</f>
        <v>-1007740.4106374</v>
      </c>
      <c r="H2813" s="2" t="s">
        <v>1383</v>
      </c>
    </row>
    <row r="2814" customFormat="false" ht="15" hidden="false" customHeight="false" outlineLevel="1" collapsed="false">
      <c r="A2814" s="7" t="s">
        <v>714</v>
      </c>
      <c r="B2814" s="8" t="s">
        <v>11</v>
      </c>
      <c r="C2814" s="61" t="n">
        <f aca="false">-C2800</f>
        <v>-27100</v>
      </c>
      <c r="D2814" s="61" t="n">
        <f aca="false">-D2800</f>
        <v>-40000</v>
      </c>
      <c r="E2814" s="61" t="n">
        <f aca="false">-E2800</f>
        <v>-53900</v>
      </c>
      <c r="F2814" s="61" t="n">
        <f aca="false">-F2800</f>
        <v>-44466.6666666667</v>
      </c>
      <c r="G2814" s="61" t="n">
        <f aca="false">-G2800</f>
        <v>-41533.3333333333</v>
      </c>
      <c r="H2814" s="2" t="s">
        <v>1384</v>
      </c>
    </row>
    <row r="2815" customFormat="false" ht="15" hidden="false" customHeight="false" outlineLevel="1" collapsed="false">
      <c r="A2815" s="56" t="s">
        <v>727</v>
      </c>
      <c r="B2815" s="57" t="s">
        <v>11</v>
      </c>
      <c r="C2815" s="62" t="n">
        <f aca="false">C2811+C2814</f>
        <v>-735973.009256849</v>
      </c>
      <c r="D2815" s="62" t="n">
        <f aca="false">D2811+D2814</f>
        <v>-835279.383860079</v>
      </c>
      <c r="E2815" s="62" t="n">
        <f aca="false">E2811+E2814</f>
        <v>-994127.279715509</v>
      </c>
      <c r="F2815" s="62" t="n">
        <f aca="false">F2811+F2814</f>
        <v>-1081516.34283866</v>
      </c>
      <c r="G2815" s="62" t="n">
        <f aca="false">G2811+G2814</f>
        <v>-1173470.74653923</v>
      </c>
      <c r="H2815" s="2" t="s">
        <v>1385</v>
      </c>
    </row>
    <row r="2816" customFormat="false" ht="15" hidden="false" customHeight="false" outlineLevel="0" collapsed="false">
      <c r="A2816" s="3" t="s">
        <v>1386</v>
      </c>
      <c r="B2816" s="4"/>
      <c r="C2816" s="4"/>
      <c r="D2816" s="4"/>
      <c r="E2816" s="4"/>
      <c r="F2816" s="4"/>
      <c r="G2816" s="4"/>
      <c r="H2816" s="4"/>
    </row>
    <row r="2817" customFormat="false" ht="15" hidden="false" customHeight="false" outlineLevel="1" collapsed="false">
      <c r="A2817" s="7" t="s">
        <v>729</v>
      </c>
      <c r="B2817" s="8" t="s">
        <v>11</v>
      </c>
      <c r="C2817" s="61" t="n">
        <f aca="false">C2815</f>
        <v>-735973.009256849</v>
      </c>
      <c r="D2817" s="61" t="n">
        <f aca="false">D2815</f>
        <v>-835279.383860079</v>
      </c>
      <c r="E2817" s="61" t="n">
        <f aca="false">E2815</f>
        <v>-994127.279715509</v>
      </c>
      <c r="F2817" s="61" t="n">
        <f aca="false">F2815</f>
        <v>-1081516.34283866</v>
      </c>
      <c r="G2817" s="61" t="n">
        <f aca="false">G2815</f>
        <v>-1173470.74653923</v>
      </c>
      <c r="H2817" s="2" t="s">
        <v>1387</v>
      </c>
    </row>
    <row r="2818" customFormat="false" ht="15" hidden="false" customHeight="false" outlineLevel="1" collapsed="false">
      <c r="A2818" s="7" t="s">
        <v>730</v>
      </c>
      <c r="B2818" s="8" t="s">
        <v>11</v>
      </c>
      <c r="C2818" s="61" t="n">
        <f aca="false">0</f>
        <v>0</v>
      </c>
      <c r="D2818" s="61" t="n">
        <f aca="false">C2821</f>
        <v>735973.009256849</v>
      </c>
      <c r="E2818" s="61" t="n">
        <f aca="false">D2821</f>
        <v>1571252.39311693</v>
      </c>
      <c r="F2818" s="61" t="n">
        <f aca="false">E2821</f>
        <v>2565379.67283244</v>
      </c>
      <c r="G2818" s="61" t="n">
        <f aca="false">F2821</f>
        <v>3646896.0156711</v>
      </c>
      <c r="H2818" s="2" t="s">
        <v>1388</v>
      </c>
    </row>
    <row r="2819" customFormat="false" ht="15" hidden="false" customHeight="false" outlineLevel="1" collapsed="false">
      <c r="A2819" s="7" t="s">
        <v>731</v>
      </c>
      <c r="B2819" s="8" t="s">
        <v>11</v>
      </c>
      <c r="C2819" s="61" t="n">
        <f aca="false">MAX(0,-C2817)</f>
        <v>735973.009256849</v>
      </c>
      <c r="D2819" s="61" t="n">
        <f aca="false">MAX(0,-D2817)</f>
        <v>835279.383860079</v>
      </c>
      <c r="E2819" s="61" t="n">
        <f aca="false">MAX(0,-E2817)</f>
        <v>994127.279715509</v>
      </c>
      <c r="F2819" s="61" t="n">
        <f aca="false">MAX(0,-F2817)</f>
        <v>1081516.34283866</v>
      </c>
      <c r="G2819" s="61" t="n">
        <f aca="false">MAX(0,-G2817)</f>
        <v>1173470.74653923</v>
      </c>
      <c r="H2819" s="2" t="s">
        <v>1389</v>
      </c>
    </row>
    <row r="2820" customFormat="false" ht="15" hidden="false" customHeight="false" outlineLevel="1" collapsed="false">
      <c r="A2820" s="7" t="s">
        <v>732</v>
      </c>
      <c r="B2820" s="8" t="s">
        <v>11</v>
      </c>
      <c r="C2820" s="61" t="n">
        <f aca="false">MIN(C2818,Pressupostos!$C$181*MAX(0,C2817))</f>
        <v>0</v>
      </c>
      <c r="D2820" s="61" t="n">
        <f aca="false">MIN(D2818,Pressupostos!$C$181*MAX(0,D2817))</f>
        <v>0</v>
      </c>
      <c r="E2820" s="61" t="n">
        <f aca="false">MIN(E2818,Pressupostos!$C$181*MAX(0,E2817))</f>
        <v>0</v>
      </c>
      <c r="F2820" s="61" t="n">
        <f aca="false">MIN(F2818,Pressupostos!$C$181*MAX(0,F2817))</f>
        <v>0</v>
      </c>
      <c r="G2820" s="61" t="n">
        <f aca="false">MIN(G2818,Pressupostos!$C$181*MAX(0,G2817))</f>
        <v>0</v>
      </c>
      <c r="H2820" s="2" t="s">
        <v>1390</v>
      </c>
    </row>
    <row r="2821" customFormat="false" ht="15" hidden="false" customHeight="false" outlineLevel="1" collapsed="false">
      <c r="A2821" s="7" t="s">
        <v>733</v>
      </c>
      <c r="B2821" s="8" t="s">
        <v>11</v>
      </c>
      <c r="C2821" s="61" t="n">
        <f aca="false">C2818+C2819-C2820</f>
        <v>735973.009256849</v>
      </c>
      <c r="D2821" s="61" t="n">
        <f aca="false">D2818+D2819-D2820</f>
        <v>1571252.39311693</v>
      </c>
      <c r="E2821" s="61" t="n">
        <f aca="false">E2818+E2819-E2820</f>
        <v>2565379.67283244</v>
      </c>
      <c r="F2821" s="61" t="n">
        <f aca="false">F2818+F2819-F2820</f>
        <v>3646896.0156711</v>
      </c>
      <c r="G2821" s="61" t="n">
        <f aca="false">G2818+G2819-G2820</f>
        <v>4820366.76221033</v>
      </c>
      <c r="H2821" s="2" t="s">
        <v>1391</v>
      </c>
    </row>
    <row r="2822" customFormat="false" ht="15" hidden="false" customHeight="false" outlineLevel="1" collapsed="false">
      <c r="A2822" s="7" t="s">
        <v>734</v>
      </c>
      <c r="B2822" s="8" t="s">
        <v>11</v>
      </c>
      <c r="C2822" s="61" t="n">
        <f aca="false">MAX(0,C2817)-C2820</f>
        <v>0</v>
      </c>
      <c r="D2822" s="61" t="n">
        <f aca="false">MAX(0,D2817)-D2820</f>
        <v>0</v>
      </c>
      <c r="E2822" s="61" t="n">
        <f aca="false">MAX(0,E2817)-E2820</f>
        <v>0</v>
      </c>
      <c r="F2822" s="61" t="n">
        <f aca="false">MAX(0,F2817)-F2820</f>
        <v>0</v>
      </c>
      <c r="G2822" s="61" t="n">
        <f aca="false">MAX(0,G2817)-G2820</f>
        <v>0</v>
      </c>
      <c r="H2822" s="2" t="s">
        <v>1392</v>
      </c>
    </row>
    <row r="2823" customFormat="false" ht="15" hidden="false" customHeight="false" outlineLevel="1" collapsed="false">
      <c r="A2823" s="7" t="s">
        <v>735</v>
      </c>
      <c r="B2823" s="8" t="s">
        <v>11</v>
      </c>
      <c r="C2823" s="61" t="n">
        <f aca="false">Pressupostos!$C$172*MIN(C2822,Pressupostos!$C$173)+Pressupostos!$C$467*MAX(0,C2822-Pressupostos!$C$173)</f>
        <v>0</v>
      </c>
      <c r="D2823" s="61" t="n">
        <f aca="false">Pressupostos!$C$172*MIN(D2822,Pressupostos!$C$173)+Pressupostos!$D$467*MAX(0,D2822-Pressupostos!$C$173)</f>
        <v>0</v>
      </c>
      <c r="E2823" s="61" t="n">
        <f aca="false">Pressupostos!$C$172*MIN(E2822,Pressupostos!$C$173)+Pressupostos!$E$467*MAX(0,E2822-Pressupostos!$C$173)</f>
        <v>0</v>
      </c>
      <c r="F2823" s="61" t="n">
        <f aca="false">Pressupostos!$C$172*MIN(F2822,Pressupostos!$C$173)+Pressupostos!$F$467*MAX(0,F2822-Pressupostos!$C$173)</f>
        <v>0</v>
      </c>
      <c r="G2823" s="61" t="n">
        <f aca="false">Pressupostos!$C$172*MIN(G2822,Pressupostos!$C$173)+Pressupostos!$G$467*MAX(0,G2822-Pressupostos!$C$173)</f>
        <v>0</v>
      </c>
      <c r="H2823" s="2" t="s">
        <v>1393</v>
      </c>
    </row>
    <row r="2824" customFormat="false" ht="15" hidden="false" customHeight="false" outlineLevel="1" collapsed="false">
      <c r="A2824" s="7" t="s">
        <v>736</v>
      </c>
      <c r="B2824" s="8" t="s">
        <v>11</v>
      </c>
      <c r="C2824" s="61" t="n">
        <f aca="false">Pressupostos!$C$174*MAX(0,C2817)</f>
        <v>0</v>
      </c>
      <c r="D2824" s="61" t="n">
        <f aca="false">Pressupostos!$C$174*MAX(0,D2817)</f>
        <v>0</v>
      </c>
      <c r="E2824" s="61" t="n">
        <f aca="false">Pressupostos!$C$174*MAX(0,E2817)</f>
        <v>0</v>
      </c>
      <c r="F2824" s="61" t="n">
        <f aca="false">Pressupostos!$C$174*MAX(0,F2817)</f>
        <v>0</v>
      </c>
      <c r="G2824" s="61" t="n">
        <f aca="false">Pressupostos!$C$174*MAX(0,G2817)</f>
        <v>0</v>
      </c>
      <c r="H2824" s="2" t="s">
        <v>1394</v>
      </c>
    </row>
    <row r="2825" customFormat="false" ht="15" hidden="false" customHeight="false" outlineLevel="1" collapsed="false">
      <c r="A2825" s="7" t="s">
        <v>737</v>
      </c>
      <c r="B2825" s="8" t="s">
        <v>11</v>
      </c>
      <c r="C2825" s="61" t="n">
        <f aca="false">Pressupostos!$C$176*MAX(0,MIN(C2817,Pressupostos!$C$177)-Pressupostos!$C$175)+Pressupostos!$C$178*MAX(0,MIN(C2817,Pressupostos!$C$179)-Pressupostos!$C$177)+Pressupostos!$C$180*MAX(0,C2817-Pressupostos!$C$179)</f>
        <v>0</v>
      </c>
      <c r="D2825" s="61" t="n">
        <f aca="false">Pressupostos!$C$176*MAX(0,MIN(D2817,Pressupostos!$C$177)-Pressupostos!$C$175)+Pressupostos!$C$178*MAX(0,MIN(D2817,Pressupostos!$C$179)-Pressupostos!$C$177)+Pressupostos!$C$180*MAX(0,D2817-Pressupostos!$C$179)</f>
        <v>0</v>
      </c>
      <c r="E2825" s="61" t="n">
        <f aca="false">Pressupostos!$C$176*MAX(0,MIN(E2817,Pressupostos!$C$177)-Pressupostos!$C$175)+Pressupostos!$C$178*MAX(0,MIN(E2817,Pressupostos!$C$179)-Pressupostos!$C$177)+Pressupostos!$C$180*MAX(0,E2817-Pressupostos!$C$179)</f>
        <v>0</v>
      </c>
      <c r="F2825" s="61" t="n">
        <f aca="false">Pressupostos!$C$176*MAX(0,MIN(F2817,Pressupostos!$C$177)-Pressupostos!$C$175)+Pressupostos!$C$178*MAX(0,MIN(F2817,Pressupostos!$C$179)-Pressupostos!$C$177)+Pressupostos!$C$180*MAX(0,F2817-Pressupostos!$C$179)</f>
        <v>0</v>
      </c>
      <c r="G2825" s="61" t="n">
        <f aca="false">Pressupostos!$C$176*MAX(0,MIN(G2817,Pressupostos!$C$177)-Pressupostos!$C$175)+Pressupostos!$C$178*MAX(0,MIN(G2817,Pressupostos!$C$179)-Pressupostos!$C$177)+Pressupostos!$C$180*MAX(0,G2817-Pressupostos!$C$179)</f>
        <v>0</v>
      </c>
      <c r="H2825" s="2" t="s">
        <v>1395</v>
      </c>
    </row>
    <row r="2826" customFormat="false" ht="15" hidden="false" customHeight="false" outlineLevel="1" collapsed="false">
      <c r="A2826" s="7" t="s">
        <v>738</v>
      </c>
      <c r="B2826" s="8" t="s">
        <v>11</v>
      </c>
      <c r="C2826" s="61" t="n">
        <f aca="false">C2823+C2824+C2825</f>
        <v>0</v>
      </c>
      <c r="D2826" s="61" t="n">
        <f aca="false">D2823+D2824+D2825</f>
        <v>0</v>
      </c>
      <c r="E2826" s="61" t="n">
        <f aca="false">E2823+E2824+E2825</f>
        <v>0</v>
      </c>
      <c r="F2826" s="61" t="n">
        <f aca="false">F2823+F2824+F2825</f>
        <v>0</v>
      </c>
      <c r="G2826" s="61" t="n">
        <f aca="false">G2823+G2824+G2825</f>
        <v>0</v>
      </c>
      <c r="H2826" s="2" t="s">
        <v>1396</v>
      </c>
    </row>
    <row r="2827" customFormat="false" ht="15" hidden="false" customHeight="false" outlineLevel="0" collapsed="false">
      <c r="A2827" s="3" t="s">
        <v>1397</v>
      </c>
      <c r="B2827" s="4"/>
      <c r="C2827" s="4"/>
      <c r="D2827" s="4"/>
      <c r="E2827" s="4"/>
      <c r="F2827" s="4"/>
      <c r="G2827" s="4"/>
      <c r="H2827" s="4"/>
    </row>
    <row r="2828" customFormat="false" ht="15" hidden="false" customHeight="false" outlineLevel="1" collapsed="false">
      <c r="A2828" s="7" t="s">
        <v>738</v>
      </c>
      <c r="B2828" s="8" t="s">
        <v>11</v>
      </c>
      <c r="C2828" s="61" t="n">
        <f aca="false">-C2826</f>
        <v>-0</v>
      </c>
      <c r="D2828" s="61" t="n">
        <f aca="false">-D2826</f>
        <v>-0</v>
      </c>
      <c r="E2828" s="61" t="n">
        <f aca="false">-E2826</f>
        <v>-0</v>
      </c>
      <c r="F2828" s="61" t="n">
        <f aca="false">-F2826</f>
        <v>-0</v>
      </c>
      <c r="G2828" s="61" t="n">
        <f aca="false">-G2826</f>
        <v>-0</v>
      </c>
      <c r="H2828" s="2" t="s">
        <v>1398</v>
      </c>
    </row>
    <row r="2829" customFormat="false" ht="15" hidden="false" customHeight="false" outlineLevel="1" collapsed="false">
      <c r="A2829" s="56" t="s">
        <v>740</v>
      </c>
      <c r="B2829" s="57" t="s">
        <v>11</v>
      </c>
      <c r="C2829" s="62" t="n">
        <f aca="false">C2815+C2828</f>
        <v>-735973.009256849</v>
      </c>
      <c r="D2829" s="62" t="n">
        <f aca="false">D2815+D2828</f>
        <v>-835279.383860079</v>
      </c>
      <c r="E2829" s="62" t="n">
        <f aca="false">E2815+E2828</f>
        <v>-994127.279715509</v>
      </c>
      <c r="F2829" s="62" t="n">
        <f aca="false">F2815+F2828</f>
        <v>-1081516.34283866</v>
      </c>
      <c r="G2829" s="62" t="n">
        <f aca="false">G2815+G2828</f>
        <v>-1173470.74653923</v>
      </c>
      <c r="H2829" s="2" t="s">
        <v>1399</v>
      </c>
    </row>
    <row r="2830" customFormat="false" ht="15" hidden="false" customHeight="false" outlineLevel="0" collapsed="false">
      <c r="A2830" s="3" t="s">
        <v>1400</v>
      </c>
      <c r="B2830" s="4"/>
      <c r="C2830" s="4"/>
      <c r="D2830" s="4"/>
      <c r="E2830" s="4"/>
      <c r="F2830" s="4"/>
      <c r="G2830" s="4"/>
      <c r="H2830" s="4"/>
    </row>
    <row r="2831" customFormat="false" ht="15" hidden="false" customHeight="false" outlineLevel="1" collapsed="false">
      <c r="A2831" s="7" t="s">
        <v>744</v>
      </c>
      <c r="B2831" s="8" t="s">
        <v>11</v>
      </c>
      <c r="C2831" s="61" t="n">
        <f aca="false">C2603*1000*((C2621+C2624)*C2627/365)+C2604*1000*((C2644+C2647)*C2650/365)+C2606*1000*((C2667+C2670)*C2673/365)</f>
        <v>43786.8493150685</v>
      </c>
      <c r="D2831" s="61" t="n">
        <f aca="false">D2603*1000*((D2621+D2624)*D2627/365)+D2604*1000*((D2644+D2647)*D2650/365)+D2606*1000*((D2667+D2670)*D2673/365)</f>
        <v>255524.794520548</v>
      </c>
      <c r="E2831" s="61" t="n">
        <f aca="false">E2603*1000*((E2621+E2624)*E2627/365)+E2604*1000*((E2644+E2647)*E2650/365)+E2606*1000*((E2667+E2670)*E2673/365)</f>
        <v>398737.602739726</v>
      </c>
      <c r="F2831" s="61" t="n">
        <f aca="false">F2603*1000*((F2621+F2624)*F2627/365)+F2604*1000*((F2644+F2647)*F2650/365)+F2606*1000*((F2667+F2670)*F2673/365)</f>
        <v>689522.671232877</v>
      </c>
      <c r="G2831" s="61" t="n">
        <f aca="false">G2603*1000*((G2621+G2624)*G2627/365)+G2604*1000*((G2644+G2647)*G2650/365)+G2606*1000*((G2667+G2670)*G2673/365)</f>
        <v>1047310.2739726</v>
      </c>
      <c r="H2831" s="2" t="s">
        <v>1401</v>
      </c>
    </row>
    <row r="2832" customFormat="false" ht="15" hidden="false" customHeight="false" outlineLevel="1" collapsed="false">
      <c r="A2832" s="7" t="s">
        <v>745</v>
      </c>
      <c r="B2832" s="8" t="s">
        <v>11</v>
      </c>
      <c r="C2832" s="61" t="n">
        <f aca="false">C2831+C2616*1000*Pressupostos!$C$92*Pressupostos!$C$95/365</f>
        <v>43786.8493150685</v>
      </c>
      <c r="D2832" s="61" t="n">
        <f aca="false">D2831+D2616*1000*Pressupostos!$C$92*Pressupostos!$C$95/365</f>
        <v>255524.794520548</v>
      </c>
      <c r="E2832" s="61" t="n">
        <f aca="false">E2831+E2616*1000*Pressupostos!$C$92*Pressupostos!$C$95/365</f>
        <v>432395.136986301</v>
      </c>
      <c r="F2832" s="61" t="n">
        <f aca="false">F2831+F2616*1000*Pressupostos!$C$92*Pressupostos!$C$95/365</f>
        <v>756837.739726028</v>
      </c>
      <c r="G2832" s="61" t="n">
        <f aca="false">G2831+G2616*1000*Pressupostos!$C$92*Pressupostos!$C$95/365</f>
        <v>1159502.05479452</v>
      </c>
      <c r="H2832" s="2" t="s">
        <v>1402</v>
      </c>
    </row>
    <row r="2833" customFormat="false" ht="15" hidden="false" customHeight="false" outlineLevel="1" collapsed="false">
      <c r="A2833" s="7" t="s">
        <v>746</v>
      </c>
      <c r="B2833" s="8" t="s">
        <v>11</v>
      </c>
      <c r="C2833" s="61" t="n">
        <f aca="false">C2603*1000*(C2623*C2628/365)+C2604*1000*(C2646*C2651/365)+C2606*1000*(C2669*C2674/365)+C2698*Pressupostos!$C$96/365+(C2700+C2701)*Pressupostos!$C$82/365</f>
        <v>41411.5890410959</v>
      </c>
      <c r="D2833" s="61" t="n">
        <f aca="false">D2603*1000*(D2623*D2628/365)+D2604*1000*(D2646*D2651/365)+D2606*1000*(D2669*D2674/365)+D2698*Pressupostos!$C$96/365+(D2700+D2701)*Pressupostos!$C$82/365</f>
        <v>276880.5</v>
      </c>
      <c r="E2833" s="61" t="n">
        <f aca="false">E2603*1000*(E2623*E2628/365)+E2604*1000*(E2646*E2651/365)+E2606*1000*(E2669*E2674/365)+E2698*Pressupostos!$C$96/365+(E2700+E2701)*Pressupostos!$C$82/365</f>
        <v>609933.020547945</v>
      </c>
      <c r="F2833" s="61" t="n">
        <f aca="false">F2603*1000*(F2623*F2628/365)+F2604*1000*(F2646*F2651/365)+F2606*1000*(F2669*F2674/365)+F2698*Pressupostos!$C$96/365+(F2700+F2701)*Pressupostos!$C$82/365</f>
        <v>1045158.59589041</v>
      </c>
      <c r="G2833" s="61" t="n">
        <f aca="false">G2603*1000*(G2623*G2628/365)+G2604*1000*(G2646*G2651/365)+G2606*1000*(G2669*G2674/365)+G2698*Pressupostos!$C$96/365+(G2700+G2701)*Pressupostos!$C$82/365</f>
        <v>1592780.83561644</v>
      </c>
      <c r="H2833" s="2" t="s">
        <v>1403</v>
      </c>
    </row>
    <row r="2834" customFormat="false" ht="15" hidden="false" customHeight="false" outlineLevel="1" collapsed="false">
      <c r="A2834" s="7" t="s">
        <v>747</v>
      </c>
      <c r="B2834" s="8" t="s">
        <v>11</v>
      </c>
      <c r="C2834" s="61" t="n">
        <f aca="false">C2603*1000*((C2621+C2624)*Pressupostos!$C$72/365)+C2604*1000*((C2644+C2647)*Pressupostos!$C$72/365)+C2606*1000*((C2667+C2670)*Pressupostos!$C$72/365)+C2616*1000*Pressupostos!$C$92*Pressupostos!$C$97/365</f>
        <v>26049.8630136986</v>
      </c>
      <c r="D2834" s="61" t="n">
        <f aca="false">D2603*1000*((D2621+D2624)*Pressupostos!$C$72/365)+D2604*1000*((D2644+D2647)*Pressupostos!$C$72/365)+D2606*1000*((D2667+D2670)*Pressupostos!$C$72/365)+D2616*1000*Pressupostos!$C$92*Pressupostos!$C$97/365</f>
        <v>173491.232876712</v>
      </c>
      <c r="E2834" s="61" t="n">
        <f aca="false">E2603*1000*((E2621+E2624)*Pressupostos!$C$72/365)+E2604*1000*((E2644+E2647)*Pressupostos!$C$72/365)+E2606*1000*((E2667+E2670)*Pressupostos!$C$72/365)+E2616*1000*Pressupostos!$C$92*Pressupostos!$C$97/365</f>
        <v>391688.219178082</v>
      </c>
      <c r="F2834" s="61" t="n">
        <f aca="false">F2603*1000*((F2621+F2624)*Pressupostos!$C$72/365)+F2604*1000*((F2644+F2647)*Pressupostos!$C$72/365)+F2606*1000*((F2667+F2670)*Pressupostos!$C$72/365)+F2616*1000*Pressupostos!$C$92*Pressupostos!$C$97/365</f>
        <v>675202.191780822</v>
      </c>
      <c r="G2834" s="61" t="n">
        <f aca="false">G2603*1000*((G2621+G2624)*Pressupostos!$C$72/365)+G2604*1000*((G2644+G2647)*Pressupostos!$C$72/365)+G2606*1000*((G2667+G2670)*Pressupostos!$C$72/365)+G2616*1000*Pressupostos!$C$92*Pressupostos!$C$97/365</f>
        <v>1031202.73972603</v>
      </c>
      <c r="H2834" s="2" t="s">
        <v>1404</v>
      </c>
    </row>
    <row r="2835" customFormat="false" ht="15" hidden="false" customHeight="false" outlineLevel="1" collapsed="false">
      <c r="A2835" s="56" t="s">
        <v>748</v>
      </c>
      <c r="B2835" s="57" t="s">
        <v>11</v>
      </c>
      <c r="C2835" s="62" t="n">
        <f aca="false">C2832+C2833-C2834</f>
        <v>59148.5753424658</v>
      </c>
      <c r="D2835" s="62" t="n">
        <f aca="false">D2832+D2833-D2834</f>
        <v>358914.061643836</v>
      </c>
      <c r="E2835" s="62" t="n">
        <f aca="false">E2832+E2833-E2834</f>
        <v>650639.938356164</v>
      </c>
      <c r="F2835" s="62" t="n">
        <f aca="false">F2832+F2833-F2834</f>
        <v>1126794.14383562</v>
      </c>
      <c r="G2835" s="62" t="n">
        <f aca="false">G2832+G2833-G2834</f>
        <v>1721080.15068493</v>
      </c>
      <c r="H2835" s="2" t="s">
        <v>1405</v>
      </c>
    </row>
    <row r="2836" customFormat="false" ht="15" hidden="false" customHeight="false" outlineLevel="0" collapsed="false">
      <c r="A2836" s="3" t="s">
        <v>1406</v>
      </c>
      <c r="B2836" s="4"/>
      <c r="C2836" s="4"/>
      <c r="D2836" s="4"/>
      <c r="E2836" s="4"/>
      <c r="F2836" s="4"/>
      <c r="G2836" s="4"/>
      <c r="H2836" s="4"/>
    </row>
    <row r="2837" customFormat="false" ht="15" hidden="false" customHeight="false" outlineLevel="1" collapsed="false">
      <c r="A2837" s="56" t="s">
        <v>750</v>
      </c>
      <c r="B2837" s="57" t="s">
        <v>11</v>
      </c>
      <c r="C2837" s="62" t="n">
        <f aca="false">Pressupostos!$C$282*C2835/Pressupostos!$D$31</f>
        <v>0</v>
      </c>
      <c r="D2837" s="62" t="n">
        <f aca="false">Pressupostos!$D$282*D2835/Pressupostos!$D$31</f>
        <v>403778.319349315</v>
      </c>
      <c r="E2837" s="62" t="n">
        <f aca="false">Pressupostos!$E$282*E2835/Pressupostos!$D$31</f>
        <v>731969.930650685</v>
      </c>
      <c r="F2837" s="62" t="n">
        <f aca="false">Pressupostos!$F$282*F2835/Pressupostos!$D$31</f>
        <v>1267643.41181507</v>
      </c>
      <c r="G2837" s="62" t="n">
        <f aca="false">Pressupostos!$G$282*G2835/Pressupostos!$D$31</f>
        <v>1936215.16952055</v>
      </c>
      <c r="H2837" s="2" t="s">
        <v>1407</v>
      </c>
    </row>
    <row r="2838" customFormat="false" ht="15" hidden="false" customHeight="false" outlineLevel="1" collapsed="false">
      <c r="A2838" s="7" t="s">
        <v>751</v>
      </c>
      <c r="B2838" s="8" t="s">
        <v>11</v>
      </c>
      <c r="C2838" s="61" t="n">
        <f aca="false">Pressupostos!$C$282*C2835</f>
        <v>0</v>
      </c>
      <c r="D2838" s="61" t="n">
        <f aca="false">Pressupostos!$D$282*D2835</f>
        <v>323022.655479452</v>
      </c>
      <c r="E2838" s="61" t="n">
        <f aca="false">Pressupostos!$E$282*E2835</f>
        <v>585575.944520548</v>
      </c>
      <c r="F2838" s="61" t="n">
        <f aca="false">Pressupostos!$F$282*F2835</f>
        <v>1014114.72945205</v>
      </c>
      <c r="G2838" s="61" t="n">
        <f aca="false">Pressupostos!$G$282*G2835</f>
        <v>1548972.13561644</v>
      </c>
      <c r="H2838" s="2" t="s">
        <v>1408</v>
      </c>
    </row>
    <row r="2839" customFormat="false" ht="15" hidden="false" customHeight="false" outlineLevel="1" collapsed="false">
      <c r="A2839" s="7" t="s">
        <v>752</v>
      </c>
      <c r="B2839" s="8" t="s">
        <v>11</v>
      </c>
      <c r="C2839" s="61" t="n">
        <f aca="false">C2837-C2838</f>
        <v>0</v>
      </c>
      <c r="D2839" s="61" t="n">
        <f aca="false">D2837-D2838</f>
        <v>80755.663869863</v>
      </c>
      <c r="E2839" s="61" t="n">
        <f aca="false">E2837-E2838</f>
        <v>146393.986130137</v>
      </c>
      <c r="F2839" s="61" t="n">
        <f aca="false">F2837-F2838</f>
        <v>253528.682363014</v>
      </c>
      <c r="G2839" s="61" t="n">
        <f aca="false">G2837-G2838</f>
        <v>387243.033904109</v>
      </c>
      <c r="H2839" s="2" t="s">
        <v>1409</v>
      </c>
    </row>
    <row r="2840" customFormat="false" ht="15" hidden="false" customHeight="false" outlineLevel="1" collapsed="false">
      <c r="A2840" s="7" t="s">
        <v>753</v>
      </c>
      <c r="B2840" s="8" t="s">
        <v>11</v>
      </c>
      <c r="C2840" s="61" t="n">
        <f aca="false">C2835-C2838</f>
        <v>59148.5753424658</v>
      </c>
      <c r="D2840" s="61" t="n">
        <f aca="false">D2835-D2838</f>
        <v>35891.4061643836</v>
      </c>
      <c r="E2840" s="61" t="n">
        <f aca="false">E2835-E2838</f>
        <v>65063.9938356164</v>
      </c>
      <c r="F2840" s="61" t="n">
        <f aca="false">F2835-F2838</f>
        <v>112679.414383562</v>
      </c>
      <c r="G2840" s="61" t="n">
        <f aca="false">G2835-G2838</f>
        <v>172108.015068493</v>
      </c>
      <c r="H2840" s="2" t="s">
        <v>1410</v>
      </c>
    </row>
    <row r="2841" customFormat="false" ht="15" hidden="false" customHeight="false" outlineLevel="1" collapsed="false">
      <c r="A2841" s="7" t="s">
        <v>754</v>
      </c>
      <c r="B2841" s="8" t="s">
        <v>11</v>
      </c>
      <c r="C2841" s="61" t="n">
        <f aca="false">MAX(0,Pressupostos!$C$108-C2840)</f>
        <v>0</v>
      </c>
      <c r="D2841" s="61" t="n">
        <f aca="false">MAX(0,Pressupostos!$C$108-D2840)</f>
        <v>14108.5938356164</v>
      </c>
      <c r="E2841" s="61" t="n">
        <f aca="false">MAX(0,Pressupostos!$C$108-E2840)</f>
        <v>0</v>
      </c>
      <c r="F2841" s="61" t="n">
        <f aca="false">MAX(0,Pressupostos!$C$108-F2840)</f>
        <v>0</v>
      </c>
      <c r="G2841" s="61" t="n">
        <f aca="false">MAX(0,Pressupostos!$C$108-G2840)</f>
        <v>0</v>
      </c>
      <c r="H2841" s="2" t="s">
        <v>1411</v>
      </c>
    </row>
    <row r="2842" customFormat="false" ht="15" hidden="false" customHeight="false" outlineLevel="1" collapsed="false">
      <c r="A2842" s="7" t="s">
        <v>755</v>
      </c>
      <c r="B2842" s="8" t="s">
        <v>11</v>
      </c>
      <c r="C2842" s="61" t="n">
        <f aca="false">Pressupostos!$C$109*C2837</f>
        <v>0</v>
      </c>
      <c r="D2842" s="61" t="n">
        <f aca="false">Pressupostos!$C$109*D2837</f>
        <v>20188.9159674658</v>
      </c>
      <c r="E2842" s="61" t="n">
        <f aca="false">Pressupostos!$C$109*E2837</f>
        <v>36598.4965325342</v>
      </c>
      <c r="F2842" s="61" t="n">
        <f aca="false">Pressupostos!$C$109*F2837</f>
        <v>63382.1705907534</v>
      </c>
      <c r="G2842" s="61" t="n">
        <f aca="false">Pressupostos!$C$109*G2837</f>
        <v>96810.7584760274</v>
      </c>
      <c r="H2842" s="2" t="s">
        <v>1412</v>
      </c>
    </row>
    <row r="2843" customFormat="false" ht="15" hidden="false" customHeight="false" outlineLevel="1" collapsed="false">
      <c r="A2843" s="2" t="s">
        <v>756</v>
      </c>
      <c r="B2843" s="8" t="s">
        <v>123</v>
      </c>
      <c r="C2843" s="61" t="n">
        <f aca="false">C2837/Pressupostos!$C$112</f>
        <v>0</v>
      </c>
      <c r="D2843" s="61" t="n">
        <f aca="false">D2837/Pressupostos!$C$112</f>
        <v>8.0755663869863</v>
      </c>
      <c r="E2843" s="61" t="n">
        <f aca="false">E2837/Pressupostos!$C$112</f>
        <v>14.6393986130137</v>
      </c>
      <c r="F2843" s="61" t="n">
        <f aca="false">F2837/Pressupostos!$C$112</f>
        <v>25.3528682363014</v>
      </c>
      <c r="G2843" s="61" t="n">
        <f aca="false">G2837/Pressupostos!$C$112</f>
        <v>38.724303390411</v>
      </c>
      <c r="H2843" s="2" t="s">
        <v>1413</v>
      </c>
    </row>
    <row r="2844" customFormat="false" ht="15" hidden="false" customHeight="false" outlineLevel="0" collapsed="false">
      <c r="A2844" s="3" t="s">
        <v>1414</v>
      </c>
      <c r="B2844" s="4"/>
      <c r="C2844" s="4"/>
      <c r="D2844" s="4"/>
      <c r="E2844" s="4"/>
      <c r="F2844" s="4"/>
      <c r="G2844" s="4"/>
      <c r="H2844" s="4"/>
    </row>
    <row r="2845" customFormat="false" ht="15" hidden="false" customHeight="false" outlineLevel="1" collapsed="false">
      <c r="A2845" s="7" t="s">
        <v>758</v>
      </c>
      <c r="B2845" s="8" t="s">
        <v>11</v>
      </c>
      <c r="C2845" s="61" t="n">
        <f aca="false">C2811</f>
        <v>-708873.009256849</v>
      </c>
      <c r="D2845" s="61" t="n">
        <f aca="false">D2811</f>
        <v>-795279.383860079</v>
      </c>
      <c r="E2845" s="61" t="n">
        <f aca="false">E2811</f>
        <v>-940227.279715509</v>
      </c>
      <c r="F2845" s="61" t="n">
        <f aca="false">F2811</f>
        <v>-1037049.67617199</v>
      </c>
      <c r="G2845" s="61" t="n">
        <f aca="false">G2811</f>
        <v>-1131937.4132059</v>
      </c>
      <c r="H2845" s="2" t="s">
        <v>1415</v>
      </c>
    </row>
    <row r="2846" customFormat="false" ht="15" hidden="false" customHeight="false" outlineLevel="1" collapsed="false">
      <c r="A2846" s="7" t="s">
        <v>759</v>
      </c>
      <c r="B2846" s="8" t="s">
        <v>11</v>
      </c>
      <c r="C2846" s="61" t="n">
        <f aca="false">-C2826</f>
        <v>-0</v>
      </c>
      <c r="D2846" s="61" t="n">
        <f aca="false">-D2826</f>
        <v>-0</v>
      </c>
      <c r="E2846" s="61" t="n">
        <f aca="false">-E2826</f>
        <v>-0</v>
      </c>
      <c r="F2846" s="61" t="n">
        <f aca="false">-F2826</f>
        <v>-0</v>
      </c>
      <c r="G2846" s="61" t="n">
        <f aca="false">-G2826</f>
        <v>-0</v>
      </c>
      <c r="H2846" s="2" t="s">
        <v>1416</v>
      </c>
    </row>
    <row r="2847" customFormat="false" ht="15" hidden="false" customHeight="false" outlineLevel="1" collapsed="false">
      <c r="A2847" s="7" t="s">
        <v>760</v>
      </c>
      <c r="B2847" s="8" t="s">
        <v>11</v>
      </c>
      <c r="C2847" s="61" t="n">
        <f aca="false">-C2835</f>
        <v>-59148.5753424658</v>
      </c>
      <c r="D2847" s="61" t="n">
        <f aca="false">-(D2835-C2835)</f>
        <v>-299765.48630137</v>
      </c>
      <c r="E2847" s="61" t="n">
        <f aca="false">-(E2835-D2835)</f>
        <v>-291725.876712329</v>
      </c>
      <c r="F2847" s="61" t="n">
        <f aca="false">-(F2835-E2835)</f>
        <v>-476154.205479452</v>
      </c>
      <c r="G2847" s="61" t="n">
        <f aca="false">-(G2835-F2835)</f>
        <v>-594286.006849315</v>
      </c>
      <c r="H2847" s="2" t="s">
        <v>1417</v>
      </c>
    </row>
    <row r="2848" customFormat="false" ht="15" hidden="false" customHeight="false" outlineLevel="1" collapsed="false">
      <c r="A2848" s="7" t="s">
        <v>424</v>
      </c>
      <c r="B2848" s="8" t="s">
        <v>11</v>
      </c>
      <c r="C2848" s="61" t="n">
        <f aca="false">-C2795</f>
        <v>-92000</v>
      </c>
      <c r="D2848" s="61" t="n">
        <f aca="false">-D2795</f>
        <v>-44000</v>
      </c>
      <c r="E2848" s="61" t="n">
        <f aca="false">-E2795</f>
        <v>-48000</v>
      </c>
      <c r="F2848" s="61" t="n">
        <f aca="false">-F2795</f>
        <v>-38000</v>
      </c>
      <c r="G2848" s="61" t="n">
        <f aca="false">-G2795</f>
        <v>-38000</v>
      </c>
      <c r="H2848" s="2" t="s">
        <v>1418</v>
      </c>
    </row>
    <row r="2849" customFormat="false" ht="15" hidden="false" customHeight="false" outlineLevel="1" collapsed="false">
      <c r="A2849" s="7" t="s">
        <v>761</v>
      </c>
      <c r="B2849" s="8" t="s">
        <v>11</v>
      </c>
      <c r="C2849" s="61" t="n">
        <f aca="false">C2845+C2846+C2847+C2848</f>
        <v>-860021.584599315</v>
      </c>
      <c r="D2849" s="61" t="n">
        <f aca="false">D2845+D2846+D2847+D2848</f>
        <v>-1139044.87016145</v>
      </c>
      <c r="E2849" s="61" t="n">
        <f aca="false">E2845+E2846+E2847+E2848</f>
        <v>-1279953.15642784</v>
      </c>
      <c r="F2849" s="61" t="n">
        <f aca="false">F2845+F2846+F2847+F2848</f>
        <v>-1551203.88165145</v>
      </c>
      <c r="G2849" s="61" t="n">
        <f aca="false">G2845+G2846+G2847+G2848</f>
        <v>-1764223.42005521</v>
      </c>
      <c r="H2849" s="2" t="s">
        <v>1419</v>
      </c>
    </row>
    <row r="2850" customFormat="false" ht="15" hidden="false" customHeight="false" outlineLevel="1" collapsed="false">
      <c r="A2850" s="7" t="s">
        <v>762</v>
      </c>
      <c r="B2850" s="8" t="s">
        <v>11</v>
      </c>
      <c r="C2850" s="61" t="n">
        <f aca="false">C2837</f>
        <v>0</v>
      </c>
      <c r="D2850" s="61" t="n">
        <f aca="false">D2837-C2837</f>
        <v>403778.319349315</v>
      </c>
      <c r="E2850" s="61" t="n">
        <f aca="false">E2837-D2837</f>
        <v>328191.61130137</v>
      </c>
      <c r="F2850" s="61" t="n">
        <f aca="false">F2837-E2837</f>
        <v>535673.481164384</v>
      </c>
      <c r="G2850" s="61" t="n">
        <f aca="false">G2837-F2837</f>
        <v>668571.757705479</v>
      </c>
      <c r="H2850" s="2" t="s">
        <v>1420</v>
      </c>
    </row>
    <row r="2851" customFormat="false" ht="15" hidden="false" customHeight="false" outlineLevel="1" collapsed="false">
      <c r="A2851" s="7" t="s">
        <v>763</v>
      </c>
      <c r="B2851" s="8" t="s">
        <v>11</v>
      </c>
      <c r="C2851" s="61" t="n">
        <f aca="false">-C2839</f>
        <v>-0</v>
      </c>
      <c r="D2851" s="61" t="n">
        <f aca="false">-(D2839-C2839)</f>
        <v>-80755.663869863</v>
      </c>
      <c r="E2851" s="61" t="n">
        <f aca="false">-(E2839-D2839)</f>
        <v>-65638.3222602739</v>
      </c>
      <c r="F2851" s="61" t="n">
        <f aca="false">-(F2839-E2839)</f>
        <v>-107134.696232877</v>
      </c>
      <c r="G2851" s="61" t="n">
        <f aca="false">-(G2839-F2839)</f>
        <v>-133714.351541096</v>
      </c>
      <c r="H2851" s="2" t="s">
        <v>1421</v>
      </c>
    </row>
    <row r="2852" customFormat="false" ht="15" hidden="false" customHeight="false" outlineLevel="1" collapsed="false">
      <c r="A2852" s="7" t="s">
        <v>764</v>
      </c>
      <c r="B2852" s="8" t="s">
        <v>11</v>
      </c>
      <c r="C2852" s="61" t="n">
        <f aca="false">-C2842</f>
        <v>-0</v>
      </c>
      <c r="D2852" s="61" t="n">
        <f aca="false">-(D2842-C2842)</f>
        <v>-20188.9159674658</v>
      </c>
      <c r="E2852" s="61" t="n">
        <f aca="false">-(E2842-D2842)</f>
        <v>-16409.5805650685</v>
      </c>
      <c r="F2852" s="61" t="n">
        <f aca="false">-(F2842-E2842)</f>
        <v>-26783.6740582192</v>
      </c>
      <c r="G2852" s="61" t="n">
        <f aca="false">-(G2842-F2842)</f>
        <v>-33428.587885274</v>
      </c>
      <c r="H2852" s="2" t="s">
        <v>1422</v>
      </c>
    </row>
    <row r="2853" customFormat="false" ht="15" hidden="false" customHeight="false" outlineLevel="1" collapsed="false">
      <c r="A2853" s="7" t="s">
        <v>765</v>
      </c>
      <c r="B2853" s="8" t="s">
        <v>11</v>
      </c>
      <c r="C2853" s="61" t="n">
        <f aca="false">-(C2841-Pressupostos!$C$108)</f>
        <v>50000</v>
      </c>
      <c r="D2853" s="61" t="n">
        <f aca="false">-(D2841-C2841)</f>
        <v>-14108.5938356164</v>
      </c>
      <c r="E2853" s="61" t="n">
        <f aca="false">-(E2841-D2841)</f>
        <v>14108.5938356164</v>
      </c>
      <c r="F2853" s="61" t="n">
        <f aca="false">-(F2841-E2841)</f>
        <v>-0</v>
      </c>
      <c r="G2853" s="61" t="n">
        <f aca="false">-(G2841-F2841)</f>
        <v>-0</v>
      </c>
      <c r="H2853" s="2" t="s">
        <v>1423</v>
      </c>
    </row>
    <row r="2854" customFormat="false" ht="15" hidden="false" customHeight="false" outlineLevel="1" collapsed="false">
      <c r="A2854" s="56" t="s">
        <v>766</v>
      </c>
      <c r="B2854" s="57" t="s">
        <v>11</v>
      </c>
      <c r="C2854" s="62" t="n">
        <f aca="false">C2849+C2850+C2851+C2852+C2853</f>
        <v>-810021.584599315</v>
      </c>
      <c r="D2854" s="62" t="n">
        <f aca="false">D2849+D2850+D2851+D2852+D2853</f>
        <v>-850319.724485079</v>
      </c>
      <c r="E2854" s="62" t="n">
        <f aca="false">E2849+E2850+E2851+E2852+E2853</f>
        <v>-1019700.85411619</v>
      </c>
      <c r="F2854" s="62" t="n">
        <f aca="false">F2849+F2850+F2851+F2852+F2853</f>
        <v>-1149448.77077816</v>
      </c>
      <c r="G2854" s="62" t="n">
        <f aca="false">G2849+G2850+G2851+G2852+G2853</f>
        <v>-1262794.6017761</v>
      </c>
      <c r="H2854" s="2" t="s">
        <v>1424</v>
      </c>
    </row>
    <row r="2855" customFormat="false" ht="15" hidden="false" customHeight="false" outlineLevel="1" collapsed="false">
      <c r="A2855" s="56" t="s">
        <v>767</v>
      </c>
      <c r="B2855" s="57" t="s">
        <v>11</v>
      </c>
      <c r="C2855" s="62" t="n">
        <f aca="false">C2854</f>
        <v>-810021.584599315</v>
      </c>
      <c r="D2855" s="62" t="n">
        <f aca="false">C2855+D2854</f>
        <v>-1660341.30908439</v>
      </c>
      <c r="E2855" s="62" t="n">
        <f aca="false">D2855+E2854</f>
        <v>-2680042.16320059</v>
      </c>
      <c r="F2855" s="62" t="n">
        <f aca="false">E2855+F2854</f>
        <v>-3829490.93397875</v>
      </c>
      <c r="G2855" s="62" t="n">
        <f aca="false">F2855+G2854</f>
        <v>-5092285.53575485</v>
      </c>
      <c r="H2855" s="2" t="s">
        <v>1425</v>
      </c>
    </row>
    <row r="2856" customFormat="false" ht="15" hidden="false" customHeight="false" outlineLevel="1" collapsed="false">
      <c r="A2856" s="8" t="s">
        <v>768</v>
      </c>
      <c r="B2856" s="8" t="s">
        <v>11</v>
      </c>
      <c r="C2856" s="70" t="n">
        <f aca="false">ROUND(C2811-C2795-C2826-(MAX(C2840,Pressupostos!$C$108)-Pressupostos!$C$108)-(C2842)-C2854,6)</f>
        <v>0</v>
      </c>
      <c r="D2856" s="70" t="n">
        <f aca="false">ROUND(D2811-D2795-D2826-(MAX(D2840,Pressupostos!$C$108)-MAX(C2840,Pressupostos!$C$108))-(D2842-C2842)-D2854,6)</f>
        <v>0</v>
      </c>
      <c r="E2856" s="70" t="n">
        <f aca="false">ROUND(E2811-E2795-E2826-(MAX(E2840,Pressupostos!$C$108)-MAX(D2840,Pressupostos!$C$108))-(E2842-D2842)-E2854,6)</f>
        <v>0</v>
      </c>
      <c r="F2856" s="70" t="n">
        <f aca="false">ROUND(F2811-F2795-F2826-(MAX(F2840,Pressupostos!$C$108)-MAX(E2840,Pressupostos!$C$108))-(F2842-E2842)-F2854,6)</f>
        <v>0</v>
      </c>
      <c r="G2856" s="70" t="n">
        <f aca="false">ROUND(G2811-G2795-G2826-(MAX(G2840,Pressupostos!$C$108)-MAX(F2840,Pressupostos!$C$108))-(G2842-F2842)-G2854,6)</f>
        <v>0</v>
      </c>
      <c r="H2856" s="2" t="s">
        <v>1426</v>
      </c>
    </row>
    <row r="2857" customFormat="false" ht="15" hidden="false" customHeight="false" outlineLevel="0" collapsed="false">
      <c r="A2857" s="3" t="s">
        <v>1427</v>
      </c>
      <c r="B2857" s="4"/>
      <c r="C2857" s="4"/>
      <c r="D2857" s="4"/>
      <c r="E2857" s="4"/>
      <c r="F2857" s="4"/>
      <c r="G2857" s="4"/>
      <c r="H2857" s="4"/>
    </row>
    <row r="2858" customFormat="false" ht="15" hidden="false" customHeight="false" outlineLevel="1" collapsed="false">
      <c r="A2858" s="7" t="s">
        <v>770</v>
      </c>
      <c r="B2858" s="8" t="s">
        <v>11</v>
      </c>
      <c r="C2858" s="61" t="n">
        <f aca="false">0</f>
        <v>0</v>
      </c>
      <c r="D2858" s="61" t="n">
        <f aca="false">C2863</f>
        <v>150000</v>
      </c>
      <c r="E2858" s="61" t="n">
        <f aca="false">D2863</f>
        <v>150000</v>
      </c>
      <c r="F2858" s="61" t="n">
        <f aca="false">E2863</f>
        <v>150000</v>
      </c>
      <c r="G2858" s="61" t="n">
        <f aca="false">F2863</f>
        <v>150000</v>
      </c>
      <c r="H2858" s="2" t="s">
        <v>1428</v>
      </c>
    </row>
    <row r="2859" customFormat="false" ht="15" hidden="false" customHeight="false" outlineLevel="1" collapsed="false">
      <c r="A2859" s="7" t="s">
        <v>771</v>
      </c>
      <c r="B2859" s="8" t="s">
        <v>11</v>
      </c>
      <c r="C2859" s="61" t="n">
        <f aca="false">-(Pressupostos!$C$159+Pressupostos!$C$160+Pressupostos!$C$161+Pressupostos!$C$162+Pressupostos!$C$163+Pressupostos!$C$108)</f>
        <v>-145000</v>
      </c>
      <c r="D2859" s="61" t="n">
        <f aca="false">0</f>
        <v>0</v>
      </c>
      <c r="E2859" s="61" t="n">
        <f aca="false">0</f>
        <v>0</v>
      </c>
      <c r="F2859" s="61" t="n">
        <f aca="false">0</f>
        <v>0</v>
      </c>
      <c r="G2859" s="61" t="n">
        <f aca="false">0</f>
        <v>0</v>
      </c>
      <c r="H2859" s="2" t="s">
        <v>1429</v>
      </c>
    </row>
    <row r="2860" customFormat="false" ht="15" hidden="false" customHeight="false" outlineLevel="1" collapsed="false">
      <c r="A2860" s="7" t="s">
        <v>772</v>
      </c>
      <c r="B2860" s="8" t="s">
        <v>11</v>
      </c>
      <c r="C2860" s="53" t="n">
        <f aca="false">Pressupostos!$D$32</f>
        <v>1100000</v>
      </c>
      <c r="D2860" s="61" t="n">
        <f aca="false">0</f>
        <v>0</v>
      </c>
      <c r="E2860" s="61" t="n">
        <f aca="false">0</f>
        <v>0</v>
      </c>
      <c r="F2860" s="61" t="n">
        <f aca="false">0</f>
        <v>0</v>
      </c>
      <c r="G2860" s="61" t="n">
        <f aca="false">0</f>
        <v>0</v>
      </c>
      <c r="H2860" s="2" t="s">
        <v>1430</v>
      </c>
    </row>
    <row r="2861" customFormat="false" ht="15" hidden="false" customHeight="false" outlineLevel="1" collapsed="false">
      <c r="A2861" s="7" t="s">
        <v>773</v>
      </c>
      <c r="B2861" s="8" t="s">
        <v>11</v>
      </c>
      <c r="C2861" s="61" t="n">
        <f aca="false">C2858+C2859+C2860+C2854</f>
        <v>144978.415400685</v>
      </c>
      <c r="D2861" s="61" t="n">
        <f aca="false">D2858+D2859+D2860+D2854</f>
        <v>-700319.724485079</v>
      </c>
      <c r="E2861" s="61" t="n">
        <f aca="false">E2858+E2859+E2860+E2854</f>
        <v>-869700.854116194</v>
      </c>
      <c r="F2861" s="61" t="n">
        <f aca="false">F2858+F2859+F2860+F2854</f>
        <v>-999448.770778158</v>
      </c>
      <c r="G2861" s="61" t="n">
        <f aca="false">G2858+G2859+G2860+G2854</f>
        <v>-1112794.6017761</v>
      </c>
      <c r="H2861" s="2" t="s">
        <v>1431</v>
      </c>
    </row>
    <row r="2862" customFormat="false" ht="15" hidden="false" customHeight="false" outlineLevel="1" collapsed="false">
      <c r="A2862" s="56" t="s">
        <v>774</v>
      </c>
      <c r="B2862" s="57" t="s">
        <v>11</v>
      </c>
      <c r="C2862" s="62" t="n">
        <f aca="false">MAX(0,Pressupostos!$C$170-C2861)</f>
        <v>5021.58459931507</v>
      </c>
      <c r="D2862" s="62" t="n">
        <f aca="false">MAX(0,Pressupostos!$C$170-D2861)</f>
        <v>850319.724485079</v>
      </c>
      <c r="E2862" s="62" t="n">
        <f aca="false">MAX(0,Pressupostos!$C$170-E2861)</f>
        <v>1019700.85411619</v>
      </c>
      <c r="F2862" s="62" t="n">
        <f aca="false">MAX(0,Pressupostos!$C$170-F2861)</f>
        <v>1149448.77077816</v>
      </c>
      <c r="G2862" s="62" t="n">
        <f aca="false">MAX(0,Pressupostos!$C$170-G2861)</f>
        <v>1262794.6017761</v>
      </c>
      <c r="H2862" s="2" t="s">
        <v>1432</v>
      </c>
    </row>
    <row r="2863" customFormat="false" ht="15" hidden="false" customHeight="false" outlineLevel="1" collapsed="false">
      <c r="A2863" s="56" t="s">
        <v>775</v>
      </c>
      <c r="B2863" s="57" t="s">
        <v>11</v>
      </c>
      <c r="C2863" s="62" t="n">
        <f aca="false">C2861+C2862</f>
        <v>150000</v>
      </c>
      <c r="D2863" s="62" t="n">
        <f aca="false">D2861+D2862</f>
        <v>150000</v>
      </c>
      <c r="E2863" s="62" t="n">
        <f aca="false">E2861+E2862</f>
        <v>150000</v>
      </c>
      <c r="F2863" s="62" t="n">
        <f aca="false">F2861+F2862</f>
        <v>150000</v>
      </c>
      <c r="G2863" s="62" t="n">
        <f aca="false">G2861+G2862</f>
        <v>150000</v>
      </c>
      <c r="H2863" s="2" t="s">
        <v>1433</v>
      </c>
    </row>
    <row r="2864" customFormat="false" ht="15" hidden="false" customHeight="false" outlineLevel="1" collapsed="false">
      <c r="A2864" s="7" t="s">
        <v>776</v>
      </c>
      <c r="B2864" s="8" t="s">
        <v>11</v>
      </c>
      <c r="C2864" s="61" t="n">
        <f aca="false">C2839+C2842+C2841</f>
        <v>0</v>
      </c>
      <c r="D2864" s="61" t="n">
        <f aca="false">D2839+D2842+D2841</f>
        <v>115053.173672945</v>
      </c>
      <c r="E2864" s="61" t="n">
        <f aca="false">E2839+E2842+E2841</f>
        <v>182992.482662671</v>
      </c>
      <c r="F2864" s="61" t="n">
        <f aca="false">F2839+F2842+F2841</f>
        <v>316910.852953767</v>
      </c>
      <c r="G2864" s="61" t="n">
        <f aca="false">G2839+G2842+G2841</f>
        <v>484053.792380137</v>
      </c>
      <c r="H2864" s="2" t="s">
        <v>1434</v>
      </c>
    </row>
    <row r="2865" customFormat="false" ht="15" hidden="false" customHeight="false" outlineLevel="1" collapsed="false">
      <c r="A2865" s="7" t="s">
        <v>777</v>
      </c>
      <c r="B2865" s="8" t="s">
        <v>11</v>
      </c>
      <c r="C2865" s="61" t="n">
        <f aca="false">C2863+C2864</f>
        <v>150000</v>
      </c>
      <c r="D2865" s="61" t="n">
        <f aca="false">D2863+D2864</f>
        <v>265053.173672945</v>
      </c>
      <c r="E2865" s="61" t="n">
        <f aca="false">E2863+E2864</f>
        <v>332992.482662671</v>
      </c>
      <c r="F2865" s="61" t="n">
        <f aca="false">F2863+F2864</f>
        <v>466910.852953767</v>
      </c>
      <c r="G2865" s="61" t="n">
        <f aca="false">G2863+G2864</f>
        <v>634053.792380137</v>
      </c>
      <c r="H2865" s="2" t="s">
        <v>1435</v>
      </c>
    </row>
    <row r="2866" customFormat="false" ht="15" hidden="false" customHeight="false" outlineLevel="1" collapsed="false">
      <c r="A2866" s="7" t="s">
        <v>778</v>
      </c>
      <c r="B2866" s="8" t="s">
        <v>11</v>
      </c>
      <c r="C2866" s="61" t="n">
        <f aca="false">C2860+C2862</f>
        <v>1105021.58459932</v>
      </c>
      <c r="D2866" s="61" t="n">
        <f aca="false">C2866+D2860+D2862</f>
        <v>1955341.30908439</v>
      </c>
      <c r="E2866" s="61" t="n">
        <f aca="false">D2866+E2860+E2862</f>
        <v>2975042.16320059</v>
      </c>
      <c r="F2866" s="61" t="n">
        <f aca="false">E2866+F2860+F2862</f>
        <v>4124490.93397875</v>
      </c>
      <c r="G2866" s="61" t="n">
        <f aca="false">F2866+G2860+G2862</f>
        <v>5387285.53575485</v>
      </c>
      <c r="H2866" s="2" t="s">
        <v>1436</v>
      </c>
    </row>
    <row r="2867" customFormat="false" ht="15" hidden="false" customHeight="false" outlineLevel="0" collapsed="false">
      <c r="A2867" s="3" t="s">
        <v>1437</v>
      </c>
      <c r="B2867" s="4"/>
      <c r="C2867" s="4"/>
      <c r="D2867" s="4"/>
      <c r="E2867" s="4"/>
      <c r="F2867" s="4"/>
      <c r="G2867" s="4"/>
      <c r="H2867" s="4"/>
    </row>
    <row r="2868" customFormat="false" ht="15" hidden="false" customHeight="false" outlineLevel="1" collapsed="false">
      <c r="A2868" s="7" t="s">
        <v>782</v>
      </c>
      <c r="B2868" s="8" t="s">
        <v>11</v>
      </c>
      <c r="C2868" s="72" t="n">
        <f aca="false">Pressupostos!$C$159+Pressupostos!$C$160+Pressupostos!$C$161+Pressupostos!$C$162+Pressupostos!$C$163</f>
        <v>95000</v>
      </c>
      <c r="H2868" s="2" t="s">
        <v>1438</v>
      </c>
    </row>
    <row r="2869" customFormat="false" ht="15" hidden="false" customHeight="false" outlineLevel="1" collapsed="false">
      <c r="A2869" s="7" t="s">
        <v>783</v>
      </c>
      <c r="B2869" s="8" t="s">
        <v>11</v>
      </c>
      <c r="C2869" s="73" t="n">
        <f aca="false">Pressupostos!$C$108</f>
        <v>50000</v>
      </c>
      <c r="H2869" s="2" t="s">
        <v>1439</v>
      </c>
    </row>
    <row r="2870" customFormat="false" ht="15" hidden="false" customHeight="false" outlineLevel="1" collapsed="false">
      <c r="A2870" s="7" t="s">
        <v>322</v>
      </c>
      <c r="B2870" s="8" t="s">
        <v>11</v>
      </c>
      <c r="C2870" s="73" t="n">
        <f aca="false">Pressupostos!$C$170</f>
        <v>150000</v>
      </c>
      <c r="H2870" s="2" t="s">
        <v>1440</v>
      </c>
    </row>
    <row r="2871" customFormat="false" ht="15" hidden="false" customHeight="false" outlineLevel="1" collapsed="false">
      <c r="A2871" s="7" t="s">
        <v>784</v>
      </c>
      <c r="B2871" s="8" t="s">
        <v>11</v>
      </c>
      <c r="C2871" s="72" t="n">
        <f aca="false">MAX(0,-MIN($C$2855:$G$2855))</f>
        <v>5092285.53575485</v>
      </c>
      <c r="H2871" s="2" t="s">
        <v>1441</v>
      </c>
    </row>
    <row r="2872" customFormat="false" ht="15" hidden="false" customHeight="false" outlineLevel="1" collapsed="false">
      <c r="A2872" s="56" t="s">
        <v>785</v>
      </c>
      <c r="B2872" s="57" t="s">
        <v>11</v>
      </c>
      <c r="C2872" s="74" t="n">
        <f aca="false">C2868+C2869+C2870+C2871</f>
        <v>5387285.53575485</v>
      </c>
      <c r="H2872" s="2" t="s">
        <v>1442</v>
      </c>
    </row>
    <row r="2873" customFormat="false" ht="15" hidden="false" customHeight="false" outlineLevel="1" collapsed="false">
      <c r="A2873" s="7" t="s">
        <v>786</v>
      </c>
      <c r="B2873" s="8" t="s">
        <v>20</v>
      </c>
      <c r="C2873" s="75" t="n">
        <f aca="false">INDEX($C$2600:$G$2600,1,MATCH(MIN($C$2855:$G$2855),$C$2855:$G$2855,0))</f>
        <v>2031</v>
      </c>
      <c r="H2873" s="2" t="s">
        <v>1443</v>
      </c>
    </row>
    <row r="2874" customFormat="false" ht="15" hidden="false" customHeight="false" outlineLevel="1" collapsed="false">
      <c r="A2874" s="7" t="s">
        <v>787</v>
      </c>
      <c r="B2874" s="8"/>
      <c r="C2874" s="76" t="str">
        <f aca="false">IF(G2854&lt;0,"sim","não")</f>
        <v>sim</v>
      </c>
      <c r="H2874" s="2" t="s">
        <v>1444</v>
      </c>
    </row>
    <row r="2875" customFormat="false" ht="15" hidden="false" customHeight="false" outlineLevel="1" collapsed="false">
      <c r="A2875" s="7" t="s">
        <v>788</v>
      </c>
      <c r="B2875" s="8" t="s">
        <v>11</v>
      </c>
      <c r="C2875" s="72" t="n">
        <f aca="false">G2866</f>
        <v>5387285.53575485</v>
      </c>
      <c r="H2875" s="2" t="s">
        <v>1445</v>
      </c>
    </row>
    <row r="2876" customFormat="false" ht="15" hidden="false" customHeight="false" outlineLevel="0" collapsed="false">
      <c r="A2876" s="3" t="s">
        <v>1446</v>
      </c>
      <c r="B2876" s="4"/>
      <c r="C2876" s="4"/>
      <c r="D2876" s="4"/>
      <c r="E2876" s="4"/>
      <c r="F2876" s="4"/>
      <c r="G2876" s="4"/>
      <c r="H2876" s="4"/>
    </row>
    <row r="2877" customFormat="false" ht="15" hidden="false" customHeight="false" outlineLevel="1" collapsed="false">
      <c r="A2877" s="7" t="s">
        <v>790</v>
      </c>
      <c r="B2877" s="8" t="s">
        <v>11</v>
      </c>
      <c r="C2877" s="72" t="n">
        <f aca="false">C2868+C2869</f>
        <v>145000</v>
      </c>
      <c r="H2877" s="2" t="s">
        <v>1447</v>
      </c>
    </row>
    <row r="2878" customFormat="false" ht="15" hidden="false" customHeight="false" outlineLevel="1" collapsed="false">
      <c r="A2878" s="7" t="s">
        <v>791</v>
      </c>
      <c r="B2878" s="8" t="s">
        <v>11</v>
      </c>
      <c r="C2878" s="72" t="n">
        <f aca="false">-SUMPRODUCT(($C$2600:$G$2600&lt;=C2873)*$C$2811:$G$2811)</f>
        <v>4613366.76221033</v>
      </c>
      <c r="H2878" s="2" t="s">
        <v>1448</v>
      </c>
    </row>
    <row r="2879" customFormat="false" ht="15" hidden="false" customHeight="false" outlineLevel="1" collapsed="false">
      <c r="A2879" s="7" t="s">
        <v>424</v>
      </c>
      <c r="B2879" s="8" t="s">
        <v>11</v>
      </c>
      <c r="C2879" s="72" t="n">
        <f aca="false">SUMPRODUCT(($C$2600:$G$2600&lt;=C2873)*$C$2795:$G$2795)</f>
        <v>260000</v>
      </c>
      <c r="H2879" s="2" t="s">
        <v>1449</v>
      </c>
    </row>
    <row r="2880" customFormat="false" ht="15" hidden="false" customHeight="false" outlineLevel="1" collapsed="false">
      <c r="A2880" s="7" t="s">
        <v>792</v>
      </c>
      <c r="B2880" s="8" t="s">
        <v>11</v>
      </c>
      <c r="C2880" s="72" t="n">
        <f aca="false">SUMPRODUCT(($C$2600:$G$2600&lt;=C2873)*$C$2826:$G$2826)</f>
        <v>0</v>
      </c>
      <c r="H2880" s="2" t="s">
        <v>1450</v>
      </c>
    </row>
    <row r="2881" customFormat="false" ht="15" hidden="false" customHeight="false" outlineLevel="1" collapsed="false">
      <c r="A2881" s="7" t="s">
        <v>793</v>
      </c>
      <c r="B2881" s="8" t="s">
        <v>11</v>
      </c>
      <c r="C2881" s="72" t="n">
        <f aca="false">C2871-C2878-C2879-C2880</f>
        <v>218918.77354452</v>
      </c>
      <c r="H2881" s="2" t="s">
        <v>1451</v>
      </c>
    </row>
    <row r="2882" customFormat="false" ht="15" hidden="false" customHeight="false" outlineLevel="1" collapsed="false">
      <c r="A2882" s="7" t="s">
        <v>322</v>
      </c>
      <c r="B2882" s="8" t="s">
        <v>11</v>
      </c>
      <c r="C2882" s="72" t="n">
        <f aca="false">C2870</f>
        <v>150000</v>
      </c>
      <c r="H2882" s="2" t="s">
        <v>1452</v>
      </c>
    </row>
    <row r="2883" customFormat="false" ht="15" hidden="false" customHeight="false" outlineLevel="1" collapsed="false">
      <c r="A2883" s="56" t="s">
        <v>794</v>
      </c>
      <c r="B2883" s="57" t="s">
        <v>11</v>
      </c>
      <c r="C2883" s="74" t="n">
        <f aca="false">C2877+C2878+C2879+C2880+C2881+C2882</f>
        <v>5387285.53575485</v>
      </c>
      <c r="H2883" s="2" t="s">
        <v>1453</v>
      </c>
    </row>
    <row r="2884" customFormat="false" ht="15" hidden="false" customHeight="false" outlineLevel="0" collapsed="false">
      <c r="A2884" s="3" t="s">
        <v>1454</v>
      </c>
      <c r="B2884" s="4"/>
      <c r="C2884" s="4"/>
      <c r="D2884" s="4"/>
      <c r="E2884" s="4"/>
      <c r="F2884" s="4"/>
      <c r="G2884" s="4"/>
      <c r="H2884" s="4"/>
    </row>
    <row r="2885" customFormat="false" ht="15" hidden="false" customHeight="false" outlineLevel="1" collapsed="false">
      <c r="A2885" s="7" t="s">
        <v>772</v>
      </c>
      <c r="B2885" s="8" t="s">
        <v>11</v>
      </c>
      <c r="C2885" s="73" t="n">
        <f aca="false">Pressupostos!$D$32</f>
        <v>1100000</v>
      </c>
      <c r="H2885" s="2" t="s">
        <v>1455</v>
      </c>
    </row>
    <row r="2886" customFormat="false" ht="15" hidden="false" customHeight="false" outlineLevel="1" collapsed="false">
      <c r="A2886" s="7" t="s">
        <v>796</v>
      </c>
      <c r="B2886" s="8" t="s">
        <v>11</v>
      </c>
      <c r="C2886" s="72" t="n">
        <f aca="false">C2868+Pressupostos!$C$108+Pressupostos!$C$130/12*((C2770-C2758-C2759+(C2758+C2759)/Pressupostos!$C$128*Pressupostos!$C$129)*(1+Pressupostos!$C$124+Pressupostos!$C$125)+C2756*Pressupostos!$C$126+C2789)+C2795+MAX(0,Pressupostos!$C$183*1000*(C2621+C2624)+Pressupostos!$C$184*1000*(C2644+C2647)-Pressupostos!$C$108)</f>
        <v>734321.666666667</v>
      </c>
      <c r="H2886" s="2" t="s">
        <v>1456</v>
      </c>
    </row>
    <row r="2887" customFormat="false" ht="15" hidden="false" customHeight="false" outlineLevel="1" collapsed="false">
      <c r="A2887" s="7" t="s">
        <v>798</v>
      </c>
      <c r="B2887" s="8" t="s">
        <v>11</v>
      </c>
      <c r="C2887" s="72" t="n">
        <f aca="false">C2868+Pressupostos!$C$108-C2854</f>
        <v>955021.584599315</v>
      </c>
      <c r="H2887" s="2" t="s">
        <v>1457</v>
      </c>
    </row>
    <row r="2888" customFormat="false" ht="15" hidden="false" customHeight="false" outlineLevel="1" collapsed="false">
      <c r="A2888" s="7" t="s">
        <v>799</v>
      </c>
      <c r="B2888" s="8" t="s">
        <v>11</v>
      </c>
      <c r="C2888" s="61" t="n">
        <f aca="false">Pressupostos!$D$32-C2868-Pressupostos!$C$108+C2855</f>
        <v>144978.415400685</v>
      </c>
      <c r="D2888" s="61" t="n">
        <f aca="false">Pressupostos!$D$32-C2868-Pressupostos!$C$108+D2855</f>
        <v>-705341.309084394</v>
      </c>
      <c r="E2888" s="61" t="n">
        <f aca="false">Pressupostos!$D$32-C2868-Pressupostos!$C$108+E2855</f>
        <v>-1725042.16320059</v>
      </c>
      <c r="F2888" s="61" t="n">
        <f aca="false">Pressupostos!$D$32-C2868-Pressupostos!$C$108+F2855</f>
        <v>-2874490.93397875</v>
      </c>
      <c r="G2888" s="61" t="n">
        <f aca="false">Pressupostos!$D$32-C2868-Pressupostos!$C$108+G2855</f>
        <v>-4137285.53575485</v>
      </c>
      <c r="H2888" s="2" t="s">
        <v>1458</v>
      </c>
    </row>
    <row r="2889" customFormat="false" ht="15" hidden="false" customHeight="false" outlineLevel="1" collapsed="false">
      <c r="A2889" s="7" t="s">
        <v>800</v>
      </c>
      <c r="B2889" s="8" t="s">
        <v>18</v>
      </c>
      <c r="C2889" s="77" t="str">
        <f aca="false">IF(AND(Pressupostos!$D$32-C2868-Pressupostos!$C$108&gt;0,C2888&lt;=0),12*(Pressupostos!$D$32-C2868-Pressupostos!$C$108)/(Pressupostos!$D$32-C2868-Pressupostos!$C$108-C2888),"")</f>
        <v/>
      </c>
      <c r="D2889" s="77" t="n">
        <f aca="false">IF(AND(C2888&gt;0,D2888&lt;=0),12+12*C2888/(C2888-D2888),"")</f>
        <v>14.045984509958</v>
      </c>
      <c r="E2889" s="77" t="str">
        <f aca="false">IF(AND(D2888&gt;0,E2888&lt;=0),24+12*D2888/(D2888-E2888),"")</f>
        <v/>
      </c>
      <c r="F2889" s="77" t="str">
        <f aca="false">IF(AND(E2888&gt;0,F2888&lt;=0),36+12*E2888/(E2888-F2888),"")</f>
        <v/>
      </c>
      <c r="G2889" s="77" t="str">
        <f aca="false">IF(AND(F2888&gt;0,G2888&lt;=0),48+12*F2888/(F2888-G2888),"")</f>
        <v/>
      </c>
      <c r="H2889" s="2" t="s">
        <v>1459</v>
      </c>
    </row>
    <row r="2890" customFormat="false" ht="15" hidden="false" customHeight="false" outlineLevel="1" collapsed="false">
      <c r="A2890" s="56" t="s">
        <v>801</v>
      </c>
      <c r="B2890" s="57" t="s">
        <v>274</v>
      </c>
      <c r="C2890" s="78" t="n">
        <f aca="false">IF(COUNT($C$2889:$G$2889)=0,"&gt; 60",MIN($C$2889:$G$2889))</f>
        <v>14.045984509958</v>
      </c>
      <c r="H2890" s="2" t="s">
        <v>1460</v>
      </c>
    </row>
    <row r="2891" customFormat="false" ht="15" hidden="false" customHeight="false" outlineLevel="0" collapsed="false">
      <c r="A2891" s="3" t="s">
        <v>1461</v>
      </c>
      <c r="B2891" s="4"/>
      <c r="C2891" s="4"/>
      <c r="D2891" s="4"/>
      <c r="E2891" s="4"/>
      <c r="F2891" s="4"/>
      <c r="G2891" s="4"/>
      <c r="H2891" s="4"/>
    </row>
    <row r="2892" customFormat="false" ht="15" hidden="false" customHeight="false" outlineLevel="1" collapsed="false">
      <c r="A2892" s="7" t="s">
        <v>803</v>
      </c>
      <c r="B2892" s="8" t="s">
        <v>18</v>
      </c>
      <c r="C2892" s="77" t="str">
        <f aca="false">IF(C2811&gt;=0,1,"")</f>
        <v/>
      </c>
      <c r="D2892" s="77" t="str">
        <f aca="false">IF(AND(C2811&lt;0,D2811&gt;=0),6.5+12*(-C2811)/(D2811-C2811),"")</f>
        <v/>
      </c>
      <c r="E2892" s="77" t="str">
        <f aca="false">IF(AND(D2811&lt;0,E2811&gt;=0),18.5+12*(-D2811)/(E2811-D2811),"")</f>
        <v/>
      </c>
      <c r="F2892" s="77" t="str">
        <f aca="false">IF(AND(E2811&lt;0,F2811&gt;=0),30.5+12*(-E2811)/(F2811-E2811),"")</f>
        <v/>
      </c>
      <c r="G2892" s="77" t="str">
        <f aca="false">IF(AND(F2811&lt;0,G2811&gt;=0),42.5+12*(-F2811)/(G2811-F2811),"")</f>
        <v/>
      </c>
      <c r="H2892" s="2" t="s">
        <v>1462</v>
      </c>
    </row>
    <row r="2893" customFormat="false" ht="15" hidden="false" customHeight="false" outlineLevel="1" collapsed="false">
      <c r="A2893" s="7" t="s">
        <v>804</v>
      </c>
      <c r="B2893" s="8" t="s">
        <v>18</v>
      </c>
      <c r="C2893" s="79" t="str">
        <f aca="false">IF(COUNT($C$2892:$G$2892)=0,"não atinge até 2031",ROUNDUP(MIN($C$2892:$G$2892),0))</f>
        <v>não atinge até 2031</v>
      </c>
      <c r="H2893" s="2" t="s">
        <v>1463</v>
      </c>
    </row>
    <row r="2894" customFormat="false" ht="15" hidden="false" customHeight="false" outlineLevel="1" collapsed="false">
      <c r="A2894" s="56" t="s">
        <v>805</v>
      </c>
      <c r="B2894" s="57" t="s">
        <v>806</v>
      </c>
      <c r="C2894" s="80" t="str">
        <f aca="false">IF(ISNUMBER(C2893),DATE(2027,C2893,1),"não atinge até 2031")</f>
        <v>não atinge até 2031</v>
      </c>
      <c r="H2894" s="2" t="s">
        <v>1464</v>
      </c>
    </row>
    <row r="2895" customFormat="false" ht="15" hidden="false" customHeight="false" outlineLevel="1" collapsed="false">
      <c r="A2895" s="7" t="s">
        <v>807</v>
      </c>
      <c r="B2895" s="8" t="s">
        <v>20</v>
      </c>
      <c r="C2895" s="81" t="str">
        <f aca="false">IF(C2811&gt;=0,C2600,"")</f>
        <v/>
      </c>
      <c r="D2895" s="81" t="str">
        <f aca="false">IF(D2811&gt;=0,D2600,"")</f>
        <v/>
      </c>
      <c r="E2895" s="81" t="str">
        <f aca="false">IF(E2811&gt;=0,E2600,"")</f>
        <v/>
      </c>
      <c r="F2895" s="81" t="str">
        <f aca="false">IF(F2811&gt;=0,F2600,"")</f>
        <v/>
      </c>
      <c r="G2895" s="81" t="str">
        <f aca="false">IF(G2811&gt;=0,G2600,"")</f>
        <v/>
      </c>
      <c r="H2895" s="2" t="s">
        <v>1465</v>
      </c>
    </row>
    <row r="2896" customFormat="false" ht="15" hidden="false" customHeight="false" outlineLevel="1" collapsed="false">
      <c r="A2896" s="7" t="s">
        <v>808</v>
      </c>
      <c r="B2896" s="8" t="s">
        <v>20</v>
      </c>
      <c r="C2896" s="75" t="str">
        <f aca="false">IF(COUNT($C$2895:$G$2895)=0,"não atinge até 2031",MIN($C$2895:$G$2895))</f>
        <v>não atinge até 2031</v>
      </c>
      <c r="H2896" s="2" t="s">
        <v>1466</v>
      </c>
    </row>
    <row r="2897" customFormat="false" ht="15" hidden="false" customHeight="false" outlineLevel="1" collapsed="false">
      <c r="A2897" s="7" t="s">
        <v>809</v>
      </c>
      <c r="B2897" s="8" t="s">
        <v>20</v>
      </c>
      <c r="C2897" s="81" t="str">
        <f aca="false">IF(C2829&gt;=0,C2600,"")</f>
        <v/>
      </c>
      <c r="D2897" s="81" t="str">
        <f aca="false">IF(D2829&gt;=0,D2600,"")</f>
        <v/>
      </c>
      <c r="E2897" s="81" t="str">
        <f aca="false">IF(E2829&gt;=0,E2600,"")</f>
        <v/>
      </c>
      <c r="F2897" s="81" t="str">
        <f aca="false">IF(F2829&gt;=0,F2600,"")</f>
        <v/>
      </c>
      <c r="G2897" s="81" t="str">
        <f aca="false">IF(G2829&gt;=0,G2600,"")</f>
        <v/>
      </c>
      <c r="H2897" s="2" t="s">
        <v>1467</v>
      </c>
    </row>
    <row r="2898" customFormat="false" ht="15" hidden="false" customHeight="false" outlineLevel="1" collapsed="false">
      <c r="A2898" s="7" t="s">
        <v>810</v>
      </c>
      <c r="B2898" s="8" t="s">
        <v>20</v>
      </c>
      <c r="C2898" s="75" t="str">
        <f aca="false">IF(COUNT($C$2897:$G$2897)=0,"não atinge até 2031",MIN($C$2897:$G$2897))</f>
        <v>não atinge até 2031</v>
      </c>
      <c r="H2898" s="2" t="s">
        <v>1468</v>
      </c>
    </row>
    <row r="2899" customFormat="false" ht="15" hidden="false" customHeight="false" outlineLevel="1" collapsed="false">
      <c r="A2899" s="7" t="s">
        <v>811</v>
      </c>
      <c r="B2899" s="8" t="s">
        <v>20</v>
      </c>
      <c r="C2899" s="81" t="str">
        <f aca="false">IF(C2854&gt;=0,C2600,"")</f>
        <v/>
      </c>
      <c r="D2899" s="81" t="str">
        <f aca="false">IF(D2854&gt;=0,D2600,"")</f>
        <v/>
      </c>
      <c r="E2899" s="81" t="str">
        <f aca="false">IF(E2854&gt;=0,E2600,"")</f>
        <v/>
      </c>
      <c r="F2899" s="81" t="str">
        <f aca="false">IF(F2854&gt;=0,F2600,"")</f>
        <v/>
      </c>
      <c r="G2899" s="81" t="str">
        <f aca="false">IF(G2854&gt;=0,G2600,"")</f>
        <v/>
      </c>
      <c r="H2899" s="2" t="s">
        <v>1469</v>
      </c>
    </row>
    <row r="2900" customFormat="false" ht="15" hidden="false" customHeight="false" outlineLevel="1" collapsed="false">
      <c r="A2900" s="7" t="s">
        <v>19</v>
      </c>
      <c r="B2900" s="8" t="s">
        <v>20</v>
      </c>
      <c r="C2900" s="75" t="str">
        <f aca="false">IF(COUNT($C$2899:$G$2899)=0,"não atinge até 2031",MIN($C$2899:$G$2899))</f>
        <v>não atinge até 2031</v>
      </c>
      <c r="H2900" s="2" t="s">
        <v>1470</v>
      </c>
    </row>
    <row r="2901" customFormat="false" ht="15" hidden="false" customHeight="false" outlineLevel="0" collapsed="false">
      <c r="A2901" s="3" t="s">
        <v>1471</v>
      </c>
      <c r="B2901" s="4"/>
      <c r="C2901" s="4"/>
      <c r="D2901" s="4"/>
      <c r="E2901" s="4"/>
      <c r="F2901" s="4"/>
      <c r="G2901" s="4"/>
      <c r="H2901" s="4"/>
    </row>
    <row r="2902" customFormat="false" ht="15" hidden="false" customHeight="false" outlineLevel="1" collapsed="false">
      <c r="A2902" s="7" t="s">
        <v>813</v>
      </c>
      <c r="B2902" s="8" t="s">
        <v>11</v>
      </c>
      <c r="C2902" s="61" t="n">
        <f aca="false">C2837</f>
        <v>0</v>
      </c>
      <c r="D2902" s="61" t="n">
        <f aca="false">D2837</f>
        <v>403778.319349315</v>
      </c>
      <c r="E2902" s="61" t="n">
        <f aca="false">E2837</f>
        <v>731969.930650685</v>
      </c>
      <c r="F2902" s="61" t="n">
        <f aca="false">F2837</f>
        <v>1267643.41181507</v>
      </c>
      <c r="G2902" s="61" t="n">
        <f aca="false">G2837</f>
        <v>1936215.16952055</v>
      </c>
      <c r="H2902" s="2" t="s">
        <v>1472</v>
      </c>
    </row>
    <row r="2903" customFormat="false" ht="15" hidden="false" customHeight="false" outlineLevel="1" collapsed="false">
      <c r="A2903" s="7" t="s">
        <v>509</v>
      </c>
      <c r="B2903" s="8" t="s">
        <v>76</v>
      </c>
      <c r="C2903" s="82" t="n">
        <f aca="false">Pressupostos!$C$288</f>
        <v>0.08</v>
      </c>
      <c r="D2903" s="82" t="n">
        <f aca="false">Pressupostos!$D$288</f>
        <v>0.08</v>
      </c>
      <c r="E2903" s="82" t="n">
        <f aca="false">Pressupostos!$E$288</f>
        <v>0.075</v>
      </c>
      <c r="F2903" s="82" t="n">
        <f aca="false">Pressupostos!$F$288</f>
        <v>0.07</v>
      </c>
      <c r="G2903" s="82" t="n">
        <f aca="false">Pressupostos!$G$288</f>
        <v>0.07</v>
      </c>
      <c r="H2903" s="2" t="s">
        <v>1473</v>
      </c>
    </row>
    <row r="2904" customFormat="false" ht="15" hidden="false" customHeight="false" outlineLevel="1" collapsed="false">
      <c r="A2904" s="7" t="s">
        <v>814</v>
      </c>
      <c r="B2904" s="8" t="s">
        <v>76</v>
      </c>
      <c r="C2904" s="60" t="n">
        <f aca="false">Pressupostos!$C$288*(1-Pressupostos!$C$111)</f>
        <v>0.0576</v>
      </c>
      <c r="D2904" s="60" t="n">
        <f aca="false">Pressupostos!$D$288*(1-Pressupostos!$C$111)</f>
        <v>0.0576</v>
      </c>
      <c r="E2904" s="60" t="n">
        <f aca="false">Pressupostos!$E$288*(1-Pressupostos!$C$111)</f>
        <v>0.054</v>
      </c>
      <c r="F2904" s="60" t="n">
        <f aca="false">Pressupostos!$F$288*(1-Pressupostos!$C$111)</f>
        <v>0.0504</v>
      </c>
      <c r="G2904" s="60" t="n">
        <f aca="false">Pressupostos!$G$288*(1-Pressupostos!$C$111)</f>
        <v>0.0504</v>
      </c>
      <c r="H2904" s="2" t="s">
        <v>1474</v>
      </c>
    </row>
    <row r="2905" customFormat="false" ht="15" hidden="false" customHeight="false" outlineLevel="1" collapsed="false">
      <c r="A2905" s="7" t="s">
        <v>815</v>
      </c>
      <c r="B2905" s="8" t="s">
        <v>11</v>
      </c>
      <c r="C2905" s="61" t="n">
        <f aca="false">C2741</f>
        <v>0</v>
      </c>
      <c r="D2905" s="61" t="n">
        <f aca="false">D2741</f>
        <v>30312.1356164384</v>
      </c>
      <c r="E2905" s="61" t="n">
        <f aca="false">E2741</f>
        <v>50402.3829195206</v>
      </c>
      <c r="F2905" s="61" t="n">
        <f aca="false">F2741</f>
        <v>81312.1851883562</v>
      </c>
      <c r="G2905" s="61" t="n">
        <f aca="false">G2741</f>
        <v>124197.002568493</v>
      </c>
      <c r="H2905" s="2" t="s">
        <v>1475</v>
      </c>
    </row>
    <row r="2906" customFormat="false" ht="15" hidden="false" customHeight="false" outlineLevel="1" collapsed="false">
      <c r="A2906" s="7" t="s">
        <v>816</v>
      </c>
      <c r="B2906" s="8" t="s">
        <v>76</v>
      </c>
      <c r="C2906" s="59" t="n">
        <f aca="false">IF(C2837&gt;0,(C2840+C2842)/C2837,0)</f>
        <v>0</v>
      </c>
      <c r="D2906" s="59" t="n">
        <f aca="false">IF(D2837&gt;0,(D2840+D2842)/D2837,0)</f>
        <v>0.138888888888889</v>
      </c>
      <c r="E2906" s="59" t="n">
        <f aca="false">IF(E2837&gt;0,(E2840+E2842)/E2837,0)</f>
        <v>0.138888888888889</v>
      </c>
      <c r="F2906" s="59" t="n">
        <f aca="false">IF(F2837&gt;0,(F2840+F2842)/F2837,0)</f>
        <v>0.138888888888889</v>
      </c>
      <c r="G2906" s="59" t="n">
        <f aca="false">IF(G2837&gt;0,(G2840+G2842)/G2837,0)</f>
        <v>0.138888888888889</v>
      </c>
      <c r="H2906" s="2" t="s">
        <v>1476</v>
      </c>
    </row>
    <row r="2907" customFormat="false" ht="15" hidden="false" customHeight="false" outlineLevel="1" collapsed="false">
      <c r="A2907" s="7" t="s">
        <v>817</v>
      </c>
      <c r="B2907" s="8" t="s">
        <v>123</v>
      </c>
      <c r="C2907" s="61" t="n">
        <f aca="false">C2843</f>
        <v>0</v>
      </c>
      <c r="D2907" s="61" t="n">
        <f aca="false">D2843</f>
        <v>8.0755663869863</v>
      </c>
      <c r="E2907" s="61" t="n">
        <f aca="false">E2843</f>
        <v>14.6393986130137</v>
      </c>
      <c r="F2907" s="61" t="n">
        <f aca="false">F2843</f>
        <v>25.3528682363014</v>
      </c>
      <c r="G2907" s="61" t="n">
        <f aca="false">G2843</f>
        <v>38.724303390411</v>
      </c>
      <c r="H2907" s="2" t="s">
        <v>1477</v>
      </c>
    </row>
    <row r="2908" customFormat="false" ht="15" hidden="false" customHeight="false" outlineLevel="1" collapsed="false">
      <c r="A2908" s="7" t="s">
        <v>818</v>
      </c>
      <c r="B2908" s="8" t="s">
        <v>11</v>
      </c>
      <c r="C2908" s="61" t="n">
        <f aca="false">C2741+C2787</f>
        <v>65000</v>
      </c>
      <c r="D2908" s="61" t="n">
        <f aca="false">D2741+D2787</f>
        <v>95312.1356164384</v>
      </c>
      <c r="E2908" s="61" t="n">
        <f aca="false">E2741+E2787</f>
        <v>120402.382919521</v>
      </c>
      <c r="F2908" s="61" t="n">
        <f aca="false">F2741+F2787</f>
        <v>156312.185188356</v>
      </c>
      <c r="G2908" s="61" t="n">
        <f aca="false">G2741+G2787</f>
        <v>204197.002568493</v>
      </c>
      <c r="H2908" s="2" t="s">
        <v>1478</v>
      </c>
    </row>
    <row r="2909" customFormat="false" ht="15" hidden="false" customHeight="false" outlineLevel="1" collapsed="false">
      <c r="A2909" s="7" t="s">
        <v>819</v>
      </c>
      <c r="B2909" s="8" t="s">
        <v>76</v>
      </c>
      <c r="C2909" s="59" t="str">
        <f aca="false">IF(C2837&gt;0,C2908/C2837,"")</f>
        <v/>
      </c>
      <c r="D2909" s="59" t="n">
        <f aca="false">IF(D2837&gt;0,D2908/D2837,"")</f>
        <v>0.23605065217477</v>
      </c>
      <c r="E2909" s="59" t="n">
        <f aca="false">IF(E2837&gt;0,E2908/E2837,"")</f>
        <v>0.164490886685043</v>
      </c>
      <c r="F2909" s="59" t="n">
        <f aca="false">IF(F2837&gt;0,F2908/F2837,"")</f>
        <v>0.12330927114948</v>
      </c>
      <c r="G2909" s="59" t="n">
        <f aca="false">IF(G2837&gt;0,G2908/G2837,"")</f>
        <v>0.105461937176671</v>
      </c>
      <c r="H2909" s="2" t="s">
        <v>1479</v>
      </c>
    </row>
    <row r="2910" customFormat="false" ht="15" hidden="false" customHeight="false" outlineLevel="0" collapsed="false">
      <c r="A2910" s="3" t="s">
        <v>1480</v>
      </c>
      <c r="B2910" s="4"/>
      <c r="C2910" s="4"/>
      <c r="D2910" s="4"/>
      <c r="E2910" s="4"/>
      <c r="F2910" s="4"/>
      <c r="G2910" s="4"/>
      <c r="H2910" s="4"/>
    </row>
    <row r="2911" customFormat="false" ht="15" hidden="false" customHeight="false" outlineLevel="1" collapsed="false">
      <c r="A2911" s="7" t="s">
        <v>821</v>
      </c>
      <c r="B2911" s="8" t="s">
        <v>11</v>
      </c>
      <c r="C2911" s="61" t="n">
        <f aca="false">MAX(0,-C2811)</f>
        <v>708873.009256849</v>
      </c>
      <c r="D2911" s="61" t="n">
        <f aca="false">MAX(0,-D2811)</f>
        <v>795279.383860079</v>
      </c>
      <c r="E2911" s="61" t="n">
        <f aca="false">MAX(0,-E2811)</f>
        <v>940227.279715509</v>
      </c>
      <c r="F2911" s="61" t="n">
        <f aca="false">MAX(0,-F2811)</f>
        <v>1037049.67617199</v>
      </c>
      <c r="G2911" s="61" t="n">
        <f aca="false">MAX(0,-G2811)</f>
        <v>1131937.4132059</v>
      </c>
      <c r="H2911" s="2" t="s">
        <v>1481</v>
      </c>
    </row>
    <row r="2912" customFormat="false" ht="15" hidden="false" customHeight="false" outlineLevel="1" collapsed="false">
      <c r="A2912" s="2" t="s">
        <v>822</v>
      </c>
      <c r="B2912" s="8"/>
      <c r="C2912" s="61" t="n">
        <f aca="false">IF(AND(C2600&gt;=Pressupostos!$C$120,Pressupostos!$C$118*(C2694+C2695)+Pressupostos!$C$119*C2696&gt;Pressupostos!$C$300),1,0)</f>
        <v>0</v>
      </c>
      <c r="D2912" s="61" t="n">
        <f aca="false">IF(AND(D2600&gt;=Pressupostos!$C$120,Pressupostos!$C$118*(D2694+D2695)+Pressupostos!$C$119*D2696&gt;Pressupostos!$D$300),1,0)</f>
        <v>1</v>
      </c>
      <c r="E2912" s="61" t="n">
        <f aca="false">IF(AND(E2600&gt;=Pressupostos!$C$120,Pressupostos!$C$118*(E2694+E2695)+Pressupostos!$C$119*E2696&gt;Pressupostos!$E$300),1,0)</f>
        <v>1</v>
      </c>
      <c r="F2912" s="61" t="n">
        <f aca="false">IF(AND(F2600&gt;=Pressupostos!$C$120,Pressupostos!$C$118*(F2694+F2695)+Pressupostos!$C$119*F2696&gt;Pressupostos!$F$300),1,0)</f>
        <v>1</v>
      </c>
      <c r="G2912" s="61" t="n">
        <f aca="false">IF(AND(G2600&gt;=Pressupostos!$C$120,Pressupostos!$C$118*(G2694+G2695)+Pressupostos!$C$119*G2696&gt;Pressupostos!$G$300),1,0)</f>
        <v>1</v>
      </c>
      <c r="H2912" s="2" t="s">
        <v>1482</v>
      </c>
    </row>
    <row r="2913" customFormat="false" ht="15" hidden="false" customHeight="false" outlineLevel="1" collapsed="false">
      <c r="A2913" s="7" t="s">
        <v>823</v>
      </c>
      <c r="B2913" s="8" t="s">
        <v>64</v>
      </c>
      <c r="C2913" s="63" t="n">
        <f aca="false">IF(C2604&gt;0,C2911/(C2604*1000*(1-Pressupostos!$D$22)*(1-Pressupostos!$D$25-C2912*Pressupostos!$C$118)),"n/a")</f>
        <v>10.5178406411075</v>
      </c>
      <c r="D2913" s="63" t="n">
        <f aca="false">IF(D2604&gt;0,D2911/(D2604*1000*(1-Pressupostos!$D$22)*(1-Pressupostos!$D$25-D2912*Pressupostos!$C$118)),"n/a")</f>
        <v>1.69715105518259</v>
      </c>
      <c r="E2913" s="63" t="n">
        <f aca="false">IF(E2604&gt;0,E2911/(E2604*1000*(1-Pressupostos!$D$22)*(1-Pressupostos!$D$25-E2912*Pressupostos!$C$118)),"n/a")</f>
        <v>1.01583013258404</v>
      </c>
      <c r="F2913" s="63" t="n">
        <f aca="false">IF(F2604&gt;0,F2911/(F2604*1000*(1-Pressupostos!$D$22)*(1-Pressupostos!$D$25-F2912*Pressupostos!$C$118)),"n/a")</f>
        <v>0.679081993338239</v>
      </c>
      <c r="G2913" s="63" t="n">
        <f aca="false">IF(G2604&gt;0,G2911/(G2604*1000*(1-Pressupostos!$D$22)*(1-Pressupostos!$D$25-G2912*Pressupostos!$C$118)),"n/a")</f>
        <v>0.48986541943406</v>
      </c>
      <c r="H2913" s="2" t="s">
        <v>1483</v>
      </c>
    </row>
    <row r="2914" customFormat="false" ht="15" hidden="false" customHeight="false" outlineLevel="1" collapsed="false">
      <c r="A2914" s="7" t="s">
        <v>824</v>
      </c>
      <c r="B2914" s="8" t="s">
        <v>64</v>
      </c>
      <c r="C2914" s="63" t="n">
        <f aca="false">IF(C2603&gt;0,Pressupostos!$D$15+C2911/(C2603*1000*(1-Pressupostos!$D$16)*(1-Pressupostos!$D$18-C2912*Pressupostos!$C$118)),"n/a")</f>
        <v>81.8414445279422</v>
      </c>
      <c r="D2914" s="63" t="n">
        <f aca="false">IF(D2603&gt;0,Pressupostos!$D$15+D2911/(D2603*1000*(1-Pressupostos!$D$16)*(1-Pressupostos!$D$18-D2912*Pressupostos!$C$118)),"n/a")</f>
        <v>24.2065375132727</v>
      </c>
      <c r="E2914" s="63" t="n">
        <f aca="false">IF(E2603&gt;0,Pressupostos!$D$15+E2911/(E2603*1000*(1-Pressupostos!$D$16)*(1-Pressupostos!$D$18-E2912*Pressupostos!$C$118)),"n/a")</f>
        <v>11.7532358136698</v>
      </c>
      <c r="F2914" s="63" t="n">
        <f aca="false">IF(F2603&gt;0,Pressupostos!$D$15+F2911/(F2603*1000*(1-Pressupostos!$D$16)*(1-Pressupostos!$D$18-F2912*Pressupostos!$C$118)),"n/a")</f>
        <v>9.00326010892236</v>
      </c>
      <c r="G2914" s="63" t="n">
        <f aca="false">IF(G2603&gt;0,Pressupostos!$D$15+G2911/(G2603*1000*(1-Pressupostos!$D$16)*(1-Pressupostos!$D$18-G2912*Pressupostos!$C$118)),"n/a")</f>
        <v>8.03351287148301</v>
      </c>
      <c r="H2914" s="2" t="s">
        <v>1484</v>
      </c>
    </row>
    <row r="2915" customFormat="false" ht="15" hidden="false" customHeight="false" outlineLevel="1" collapsed="false">
      <c r="A2915" s="7" t="s">
        <v>825</v>
      </c>
      <c r="B2915" s="8" t="s">
        <v>64</v>
      </c>
      <c r="C2915" s="63" t="n">
        <f aca="false">IF(Pressupostos!$D$33=1,C2686-C2912*Pressupostos!$C$119*C2669,C2692)</f>
        <v>0.00725</v>
      </c>
      <c r="D2915" s="63" t="n">
        <f aca="false">IF(Pressupostos!$D$33=1,D2686-D2912*Pressupostos!$C$119*D2669,D2692)</f>
        <v>0.00725</v>
      </c>
      <c r="E2915" s="63" t="n">
        <f aca="false">IF(Pressupostos!$D$33=1,E2686-E2912*Pressupostos!$C$119*E2669,E2692)</f>
        <v>0.00725</v>
      </c>
      <c r="F2915" s="63" t="n">
        <f aca="false">IF(Pressupostos!$D$33=1,F2686-F2912*Pressupostos!$C$119*F2669,F2692)</f>
        <v>0.00725</v>
      </c>
      <c r="G2915" s="63" t="n">
        <f aca="false">IF(Pressupostos!$D$33=1,G2686-G2912*Pressupostos!$C$119*G2669,G2692)</f>
        <v>0.00725</v>
      </c>
      <c r="H2915" s="2" t="s">
        <v>1485</v>
      </c>
    </row>
    <row r="2916" customFormat="false" ht="15" hidden="false" customHeight="false" outlineLevel="1" collapsed="false">
      <c r="A2916" s="7" t="s">
        <v>826</v>
      </c>
      <c r="B2916" s="8" t="s">
        <v>120</v>
      </c>
      <c r="C2916" s="55" t="n">
        <f aca="false">IF(C2915&gt;0,C2605+C2911/(C2915*1000),"n/a")</f>
        <v>97775.5874837034</v>
      </c>
      <c r="D2916" s="55" t="n">
        <f aca="false">IF(D2915&gt;0,D2605+D2911/(D2915*1000),"n/a")</f>
        <v>109693.708118632</v>
      </c>
      <c r="E2916" s="55" t="n">
        <f aca="false">IF(E2915&gt;0,E2605+E2911/(E2915*1000),"n/a")</f>
        <v>129686.52134007</v>
      </c>
      <c r="F2916" s="55" t="n">
        <f aca="false">IF(F2915&gt;0,F2605+F2911/(F2915*1000),"n/a")</f>
        <v>143041.334644413</v>
      </c>
      <c r="G2916" s="55" t="n">
        <f aca="false">IF(G2915&gt;0,G2605+G2911/(G2915*1000),"n/a")</f>
        <v>156129.298373227</v>
      </c>
      <c r="H2916" s="2" t="s">
        <v>1486</v>
      </c>
    </row>
    <row r="2917" customFormat="false" ht="15" hidden="false" customHeight="false" outlineLevel="1" collapsed="false">
      <c r="A2917" s="7" t="s">
        <v>827</v>
      </c>
      <c r="B2917" s="8" t="s">
        <v>76</v>
      </c>
      <c r="C2917" s="59" t="n">
        <f aca="false">C2911/(C2773+C2786+C2787)</f>
        <v>0.984565546047565</v>
      </c>
      <c r="D2917" s="59" t="n">
        <f aca="false">D2911/(D2773+D2786+D2787)</f>
        <v>0.965576243379818</v>
      </c>
      <c r="E2917" s="59" t="n">
        <f aca="false">E2911/(E2773+E2786+E2787)</f>
        <v>0.875308578862716</v>
      </c>
      <c r="F2917" s="59" t="n">
        <f aca="false">F2911/(F2773+F2786+F2787)</f>
        <v>0.794588769922812</v>
      </c>
      <c r="G2917" s="59" t="n">
        <f aca="false">G2911/(G2773+G2786+G2787)</f>
        <v>0.725065568791992</v>
      </c>
      <c r="H2917" s="2" t="s">
        <v>1487</v>
      </c>
    </row>
    <row r="2918" customFormat="false" ht="15" hidden="false" customHeight="false" outlineLevel="1" collapsed="false">
      <c r="A2918" s="2" t="s">
        <v>828</v>
      </c>
      <c r="B2918" s="8" t="s">
        <v>76</v>
      </c>
      <c r="C2918" s="60" t="n">
        <f aca="false">Pressupostos!$C$101*Pressupostos!$C$102+Pressupostos!$C$103-Pressupostos!$D$30*Pressupostos!$C$104*Pressupostos!$C$102/(Pressupostos!$C$105*Pressupostos!$C$106)</f>
        <v>0.00354285714285715</v>
      </c>
      <c r="D2918" s="60" t="n">
        <f aca="false">Pressupostos!$C$101*Pressupostos!$C$102+Pressupostos!$C$103-Pressupostos!$D$30*Pressupostos!$C$104*Pressupostos!$C$102/(Pressupostos!$C$105*Pressupostos!$C$106)</f>
        <v>0.00354285714285715</v>
      </c>
      <c r="E2918" s="60" t="n">
        <f aca="false">Pressupostos!$C$101*Pressupostos!$C$102+Pressupostos!$C$103-Pressupostos!$D$30*Pressupostos!$C$104*Pressupostos!$C$102/(Pressupostos!$C$105*Pressupostos!$C$106)</f>
        <v>0.00354285714285715</v>
      </c>
      <c r="F2918" s="60" t="n">
        <f aca="false">Pressupostos!$C$101*Pressupostos!$C$102+Pressupostos!$C$103-Pressupostos!$D$30*Pressupostos!$C$104*Pressupostos!$C$102/(Pressupostos!$C$105*Pressupostos!$C$106)</f>
        <v>0.00354285714285715</v>
      </c>
      <c r="G2918" s="60" t="n">
        <f aca="false">Pressupostos!$C$101*Pressupostos!$C$102+Pressupostos!$C$103-Pressupostos!$D$30*Pressupostos!$C$104*Pressupostos!$C$102/(Pressupostos!$C$105*Pressupostos!$C$106)</f>
        <v>0.00354285714285715</v>
      </c>
      <c r="H2918" s="2" t="s">
        <v>1488</v>
      </c>
    </row>
    <row r="2919" customFormat="false" ht="15" hidden="false" customHeight="false" outlineLevel="1" collapsed="false">
      <c r="A2919" s="7" t="s">
        <v>829</v>
      </c>
      <c r="B2919" s="8" t="s">
        <v>11</v>
      </c>
      <c r="C2919" s="61" t="n">
        <f aca="false">IF(C2918&gt;0,C2618+C2911/C2918,"n/a")</f>
        <v>200085123.580562</v>
      </c>
      <c r="D2919" s="61" t="n">
        <f aca="false">IF(D2918&gt;0,D2618+D2911/D2918,"n/a")</f>
        <v>224974019.637925</v>
      </c>
      <c r="E2919" s="61" t="n">
        <f aca="false">IF(E2918&gt;0,E2618+E2911/E2918,"n/a")</f>
        <v>266886732.177764</v>
      </c>
      <c r="F2919" s="61" t="n">
        <f aca="false">IF(F2918&gt;0,F2618+F2911/F2918,"n/a")</f>
        <v>295715634.403385</v>
      </c>
      <c r="G2919" s="61" t="n">
        <f aca="false">IF(G2918&gt;0,G2618+G2911/G2918,"n/a")</f>
        <v>324498463.40489</v>
      </c>
      <c r="H2919" s="2" t="s">
        <v>1489</v>
      </c>
    </row>
    <row r="2922" customFormat="false" ht="15" hidden="false" customHeight="false" outlineLevel="0" collapsed="false">
      <c r="A2922" s="111" t="s">
        <v>1498</v>
      </c>
      <c r="B2922" s="112"/>
      <c r="C2922" s="112"/>
      <c r="D2922" s="112"/>
      <c r="E2922" s="112"/>
      <c r="F2922" s="112"/>
      <c r="G2922" s="112"/>
      <c r="H2922" s="112"/>
    </row>
    <row r="2923" customFormat="false" ht="15" hidden="false" customHeight="false" outlineLevel="0" collapsed="false">
      <c r="A2923" s="3" t="s">
        <v>1170</v>
      </c>
      <c r="B2923" s="4"/>
      <c r="C2923" s="4"/>
      <c r="D2923" s="4"/>
      <c r="E2923" s="4"/>
      <c r="F2923" s="4"/>
      <c r="G2923" s="4"/>
      <c r="H2923" s="4"/>
    </row>
    <row r="2924" customFormat="false" ht="15" hidden="false" customHeight="false" outlineLevel="1" collapsed="false">
      <c r="A2924" s="7" t="s">
        <v>588</v>
      </c>
      <c r="B2924" s="8"/>
      <c r="C2924" s="52" t="n">
        <v>2027</v>
      </c>
      <c r="D2924" s="52" t="n">
        <v>2028</v>
      </c>
      <c r="E2924" s="52" t="n">
        <v>2029</v>
      </c>
      <c r="F2924" s="52" t="n">
        <v>2030</v>
      </c>
      <c r="G2924" s="52" t="n">
        <v>2031</v>
      </c>
      <c r="H2924" s="2" t="s">
        <v>20</v>
      </c>
    </row>
    <row r="2925" customFormat="false" ht="15" hidden="false" customHeight="false" outlineLevel="0" collapsed="false">
      <c r="A2925" s="3" t="s">
        <v>1171</v>
      </c>
      <c r="B2925" s="4"/>
      <c r="C2925" s="4"/>
      <c r="D2925" s="4"/>
      <c r="E2925" s="4"/>
      <c r="F2925" s="4"/>
      <c r="G2925" s="4"/>
      <c r="H2925" s="4"/>
    </row>
    <row r="2926" customFormat="false" ht="15" hidden="false" customHeight="false" outlineLevel="1" collapsed="false">
      <c r="A2926" s="7" t="s">
        <v>387</v>
      </c>
      <c r="B2926" s="8" t="s">
        <v>123</v>
      </c>
      <c r="C2926" s="53" t="n">
        <f aca="false">Pressupostos!$C$213</f>
        <v>40</v>
      </c>
      <c r="D2926" s="53" t="n">
        <f aca="false">Pressupostos!$D$213</f>
        <v>180</v>
      </c>
      <c r="E2926" s="53" t="n">
        <f aca="false">Pressupostos!$E$213</f>
        <v>650</v>
      </c>
      <c r="F2926" s="53" t="n">
        <f aca="false">Pressupostos!$F$213</f>
        <v>1300</v>
      </c>
      <c r="G2926" s="53" t="n">
        <f aca="false">Pressupostos!$G$213</f>
        <v>2000</v>
      </c>
      <c r="H2926" s="2" t="s">
        <v>1172</v>
      </c>
    </row>
    <row r="2927" customFormat="false" ht="15" hidden="false" customHeight="false" outlineLevel="1" collapsed="false">
      <c r="A2927" s="7" t="s">
        <v>590</v>
      </c>
      <c r="B2927" s="8" t="s">
        <v>120</v>
      </c>
      <c r="C2927" s="54" t="n">
        <f aca="false">Pressupostos!$C$219</f>
        <v>8</v>
      </c>
      <c r="D2927" s="54" t="n">
        <f aca="false">Pressupostos!$D$219</f>
        <v>37</v>
      </c>
      <c r="E2927" s="54" t="n">
        <f aca="false">Pressupostos!$E$219</f>
        <v>133</v>
      </c>
      <c r="F2927" s="54" t="n">
        <f aca="false">Pressupostos!$F$219</f>
        <v>267</v>
      </c>
      <c r="G2927" s="54" t="n">
        <f aca="false">Pressupostos!$G$219</f>
        <v>410</v>
      </c>
      <c r="H2927" s="2" t="s">
        <v>1173</v>
      </c>
    </row>
    <row r="2928" customFormat="false" ht="15" hidden="false" customHeight="false" outlineLevel="1" collapsed="false">
      <c r="A2928" s="7" t="s">
        <v>591</v>
      </c>
      <c r="B2928" s="8" t="s">
        <v>120</v>
      </c>
      <c r="C2928" s="54" t="n">
        <f aca="false">Pressupostos!$C$225</f>
        <v>52</v>
      </c>
      <c r="D2928" s="54" t="n">
        <f aca="false">Pressupostos!$D$225</f>
        <v>363</v>
      </c>
      <c r="E2928" s="54" t="n">
        <f aca="false">Pressupostos!$E$225</f>
        <v>717</v>
      </c>
      <c r="F2928" s="54" t="n">
        <f aca="false">Pressupostos!$F$225</f>
        <v>1183</v>
      </c>
      <c r="G2928" s="54" t="n">
        <f aca="false">Pressupostos!$G$225</f>
        <v>1790</v>
      </c>
      <c r="H2928" s="2" t="s">
        <v>1174</v>
      </c>
    </row>
    <row r="2929" customFormat="false" ht="15" hidden="false" customHeight="false" outlineLevel="1" collapsed="false">
      <c r="A2929" s="7" t="s">
        <v>398</v>
      </c>
      <c r="B2929" s="8" t="s">
        <v>120</v>
      </c>
      <c r="C2929" s="54" t="n">
        <f aca="false">Pressupostos!$C$231</f>
        <v>0</v>
      </c>
      <c r="D2929" s="54" t="n">
        <f aca="false">Pressupostos!$D$231</f>
        <v>0</v>
      </c>
      <c r="E2929" s="54" t="n">
        <f aca="false">Pressupostos!$E$231</f>
        <v>0</v>
      </c>
      <c r="F2929" s="54" t="n">
        <f aca="false">Pressupostos!$F$231</f>
        <v>0</v>
      </c>
      <c r="G2929" s="54" t="n">
        <f aca="false">Pressupostos!$G$231</f>
        <v>0</v>
      </c>
      <c r="H2929" s="2" t="s">
        <v>1175</v>
      </c>
    </row>
    <row r="2930" customFormat="false" ht="15" hidden="false" customHeight="false" outlineLevel="1" collapsed="false">
      <c r="A2930" s="7" t="s">
        <v>592</v>
      </c>
      <c r="B2930" s="8" t="s">
        <v>120</v>
      </c>
      <c r="C2930" s="55" t="n">
        <f aca="false">C2929*Pressupostos!$D$33</f>
        <v>0</v>
      </c>
      <c r="D2930" s="55" t="n">
        <f aca="false">D2929*Pressupostos!$D$33</f>
        <v>0</v>
      </c>
      <c r="E2930" s="55" t="n">
        <f aca="false">E2929*Pressupostos!$D$33</f>
        <v>0</v>
      </c>
      <c r="F2930" s="55" t="n">
        <f aca="false">F2929*Pressupostos!$D$33</f>
        <v>0</v>
      </c>
      <c r="G2930" s="55" t="n">
        <f aca="false">G2929*Pressupostos!$D$33</f>
        <v>0</v>
      </c>
      <c r="H2930" s="2" t="s">
        <v>1176</v>
      </c>
    </row>
    <row r="2931" customFormat="false" ht="15" hidden="false" customHeight="false" outlineLevel="1" collapsed="false">
      <c r="A2931" s="7" t="s">
        <v>593</v>
      </c>
      <c r="B2931" s="8" t="s">
        <v>120</v>
      </c>
      <c r="C2931" s="55" t="n">
        <f aca="false">C2929-C2930</f>
        <v>0</v>
      </c>
      <c r="D2931" s="55" t="n">
        <f aca="false">D2929-D2930</f>
        <v>0</v>
      </c>
      <c r="E2931" s="55" t="n">
        <f aca="false">E2929-E2930</f>
        <v>0</v>
      </c>
      <c r="F2931" s="55" t="n">
        <f aca="false">F2929-F2930</f>
        <v>0</v>
      </c>
      <c r="G2931" s="55" t="n">
        <f aca="false">G2929-G2930</f>
        <v>0</v>
      </c>
      <c r="H2931" s="2" t="s">
        <v>1177</v>
      </c>
    </row>
    <row r="2932" customFormat="false" ht="15" hidden="false" customHeight="false" outlineLevel="1" collapsed="false">
      <c r="A2932" s="56" t="s">
        <v>594</v>
      </c>
      <c r="B2932" s="57" t="s">
        <v>120</v>
      </c>
      <c r="C2932" s="58" t="n">
        <f aca="false">C2927+C2928+C2929</f>
        <v>60</v>
      </c>
      <c r="D2932" s="58" t="n">
        <f aca="false">D2927+D2928+D2929</f>
        <v>400</v>
      </c>
      <c r="E2932" s="58" t="n">
        <f aca="false">E2927+E2928+E2929</f>
        <v>850</v>
      </c>
      <c r="F2932" s="58" t="n">
        <f aca="false">F2927+F2928+F2929</f>
        <v>1450</v>
      </c>
      <c r="G2932" s="58" t="n">
        <f aca="false">G2927+G2928+G2929</f>
        <v>2200</v>
      </c>
      <c r="H2932" s="2" t="s">
        <v>1178</v>
      </c>
    </row>
    <row r="2933" customFormat="false" ht="15" hidden="false" customHeight="false" outlineLevel="1" collapsed="false">
      <c r="A2933" s="7" t="s">
        <v>595</v>
      </c>
      <c r="B2933" s="8" t="s">
        <v>76</v>
      </c>
      <c r="C2933" s="59" t="n">
        <f aca="false">IF(C2932&gt;0,C2927/C2932,0)</f>
        <v>0.133333333333333</v>
      </c>
      <c r="D2933" s="59" t="n">
        <f aca="false">IF(D2932&gt;0,D2927/D2932,0)</f>
        <v>0.0925</v>
      </c>
      <c r="E2933" s="59" t="n">
        <f aca="false">IF(E2932&gt;0,E2927/E2932,0)</f>
        <v>0.156470588235294</v>
      </c>
      <c r="F2933" s="59" t="n">
        <f aca="false">IF(F2932&gt;0,F2927/F2932,0)</f>
        <v>0.184137931034483</v>
      </c>
      <c r="G2933" s="59" t="n">
        <f aca="false">IF(G2932&gt;0,G2927/G2932,0)</f>
        <v>0.186363636363636</v>
      </c>
      <c r="H2933" s="2" t="s">
        <v>1179</v>
      </c>
    </row>
    <row r="2934" customFormat="false" ht="15" hidden="false" customHeight="false" outlineLevel="1" collapsed="false">
      <c r="A2934" s="7" t="s">
        <v>596</v>
      </c>
      <c r="B2934" s="8" t="s">
        <v>76</v>
      </c>
      <c r="C2934" s="60" t="n">
        <f aca="false">C2932/(Pressupostos!$C$76*1000)</f>
        <v>0.000353982300884956</v>
      </c>
      <c r="D2934" s="60" t="n">
        <f aca="false">D2932/(Pressupostos!$C$76*1000)</f>
        <v>0.00235988200589971</v>
      </c>
      <c r="E2934" s="60" t="n">
        <f aca="false">E2932/(Pressupostos!$C$76*1000)</f>
        <v>0.00501474926253687</v>
      </c>
      <c r="F2934" s="60" t="n">
        <f aca="false">F2932/(Pressupostos!$C$76*1000)</f>
        <v>0.00855457227138643</v>
      </c>
      <c r="G2934" s="60" t="n">
        <f aca="false">G2932/(Pressupostos!$C$76*1000)</f>
        <v>0.0129793510324484</v>
      </c>
      <c r="H2934" s="2" t="s">
        <v>1180</v>
      </c>
    </row>
    <row r="2935" customFormat="false" ht="15" hidden="false" customHeight="false" outlineLevel="1" collapsed="false">
      <c r="A2935" s="7" t="s">
        <v>597</v>
      </c>
      <c r="B2935" s="8" t="s">
        <v>123</v>
      </c>
      <c r="C2935" s="55" t="n">
        <f aca="false">C2927/Pressupostos!$C$40+C2928/Pressupostos!$C$47+C2929/Pressupostos!$C$59</f>
        <v>2.13333333333333</v>
      </c>
      <c r="D2935" s="55" t="n">
        <f aca="false">D2927/Pressupostos!$C$40+D2928/Pressupostos!$C$47+D2929/Pressupostos!$C$59</f>
        <v>13.95</v>
      </c>
      <c r="E2935" s="55" t="n">
        <f aca="false">E2927/Pressupostos!$C$40+E2928/Pressupostos!$C$47+E2929/Pressupostos!$C$59</f>
        <v>30.55</v>
      </c>
      <c r="F2935" s="55" t="n">
        <f aca="false">F2927/Pressupostos!$C$40+F2928/Pressupostos!$C$47+F2929/Pressupostos!$C$59</f>
        <v>52.7833333333333</v>
      </c>
      <c r="G2935" s="55" t="n">
        <f aca="false">G2927/Pressupostos!$C$40+G2928/Pressupostos!$C$47+G2929/Pressupostos!$C$59</f>
        <v>80.1666666666667</v>
      </c>
      <c r="H2935" s="2" t="s">
        <v>1181</v>
      </c>
    </row>
    <row r="2936" customFormat="false" ht="15" hidden="false" customHeight="false" outlineLevel="0" collapsed="false">
      <c r="A2936" s="3" t="s">
        <v>1182</v>
      </c>
      <c r="B2936" s="4"/>
      <c r="C2936" s="4"/>
      <c r="D2936" s="4"/>
      <c r="E2936" s="4"/>
      <c r="F2936" s="4"/>
      <c r="G2936" s="4"/>
      <c r="H2936" s="4"/>
    </row>
    <row r="2937" customFormat="false" ht="15" hidden="false" customHeight="false" outlineLevel="1" collapsed="false">
      <c r="A2937" s="7" t="s">
        <v>599</v>
      </c>
      <c r="B2937" s="8" t="s">
        <v>202</v>
      </c>
      <c r="C2937" s="53" t="n">
        <f aca="false">Pressupostos!$C$257</f>
        <v>150</v>
      </c>
      <c r="D2937" s="53" t="n">
        <f aca="false">Pressupostos!$D$257</f>
        <v>600</v>
      </c>
      <c r="E2937" s="53" t="n">
        <f aca="false">Pressupostos!$E$257</f>
        <v>1000</v>
      </c>
      <c r="F2937" s="53" t="n">
        <f aca="false">Pressupostos!$F$257</f>
        <v>1400</v>
      </c>
      <c r="G2937" s="53" t="n">
        <f aca="false">Pressupostos!$G$257</f>
        <v>1800</v>
      </c>
      <c r="H2937" s="2" t="s">
        <v>1183</v>
      </c>
    </row>
    <row r="2938" customFormat="false" ht="15" hidden="false" customHeight="false" outlineLevel="1" collapsed="false">
      <c r="A2938" s="7" t="s">
        <v>599</v>
      </c>
      <c r="B2938" s="8" t="s">
        <v>189</v>
      </c>
      <c r="C2938" s="61" t="n">
        <f aca="false">C2937*Pressupostos!$C$78</f>
        <v>112500</v>
      </c>
      <c r="D2938" s="61" t="n">
        <f aca="false">D2937*Pressupostos!$C$78</f>
        <v>450000</v>
      </c>
      <c r="E2938" s="61" t="n">
        <f aca="false">E2937*Pressupostos!$C$78</f>
        <v>750000</v>
      </c>
      <c r="F2938" s="61" t="n">
        <f aca="false">F2937*Pressupostos!$C$78</f>
        <v>1050000</v>
      </c>
      <c r="G2938" s="61" t="n">
        <f aca="false">G2937*Pressupostos!$C$78</f>
        <v>1350000</v>
      </c>
      <c r="H2938" s="2" t="s">
        <v>1184</v>
      </c>
    </row>
    <row r="2939" customFormat="false" ht="15" hidden="false" customHeight="false" outlineLevel="0" collapsed="false">
      <c r="A2939" s="3" t="s">
        <v>1185</v>
      </c>
      <c r="B2939" s="4"/>
      <c r="C2939" s="4"/>
      <c r="D2939" s="4"/>
      <c r="E2939" s="4"/>
      <c r="F2939" s="4"/>
      <c r="G2939" s="4"/>
      <c r="H2939" s="4"/>
    </row>
    <row r="2940" customFormat="false" ht="15" hidden="false" customHeight="false" outlineLevel="1" collapsed="false">
      <c r="A2940" s="7" t="s">
        <v>601</v>
      </c>
      <c r="B2940" s="8" t="s">
        <v>120</v>
      </c>
      <c r="C2940" s="55" t="n">
        <f aca="false">IF(C2924&lt;Pressupostos!$D$28,0,Pressupostos!$C$263)</f>
        <v>0</v>
      </c>
      <c r="D2940" s="55" t="n">
        <f aca="false">IF(D2924&lt;Pressupostos!$D$28,0,Pressupostos!$D$263)</f>
        <v>0</v>
      </c>
      <c r="E2940" s="55" t="n">
        <f aca="false">IF(E2924&lt;Pressupostos!$D$28,0,Pressupostos!$E$263)</f>
        <v>30</v>
      </c>
      <c r="F2940" s="55" t="n">
        <f aca="false">IF(F2924&lt;Pressupostos!$D$28,0,Pressupostos!$F$263)</f>
        <v>60</v>
      </c>
      <c r="G2940" s="55" t="n">
        <f aca="false">IF(G2924&lt;Pressupostos!$D$28,0,Pressupostos!$G$263)</f>
        <v>100</v>
      </c>
      <c r="H2940" s="2" t="s">
        <v>1186</v>
      </c>
    </row>
    <row r="2941" customFormat="false" ht="15" hidden="false" customHeight="false" outlineLevel="0" collapsed="false">
      <c r="A2941" s="3" t="s">
        <v>1187</v>
      </c>
      <c r="B2941" s="4"/>
      <c r="C2941" s="4"/>
      <c r="D2941" s="4"/>
      <c r="E2941" s="4"/>
      <c r="F2941" s="4"/>
      <c r="G2941" s="4"/>
      <c r="H2941" s="4"/>
    </row>
    <row r="2942" customFormat="false" ht="15" hidden="false" customHeight="false" outlineLevel="1" collapsed="false">
      <c r="A2942" s="7" t="s">
        <v>603</v>
      </c>
      <c r="B2942" s="8" t="s">
        <v>11</v>
      </c>
      <c r="C2942" s="53" t="n">
        <f aca="false">Pressupostos!$C$269</f>
        <v>0</v>
      </c>
      <c r="D2942" s="53" t="n">
        <f aca="false">Pressupostos!$D$269</f>
        <v>500000</v>
      </c>
      <c r="E2942" s="53" t="n">
        <f aca="false">Pressupostos!$E$269</f>
        <v>1500000</v>
      </c>
      <c r="F2942" s="53" t="n">
        <f aca="false">Pressupostos!$F$269</f>
        <v>3000000</v>
      </c>
      <c r="G2942" s="53" t="n">
        <f aca="false">Pressupostos!$G$269</f>
        <v>5000000</v>
      </c>
      <c r="H2942" s="2" t="s">
        <v>1188</v>
      </c>
    </row>
    <row r="2943" customFormat="false" ht="15" hidden="false" customHeight="false" outlineLevel="1" collapsed="false">
      <c r="A2943" s="7" t="s">
        <v>604</v>
      </c>
      <c r="B2943" s="8" t="s">
        <v>120</v>
      </c>
      <c r="C2943" s="55" t="n">
        <f aca="false">C2942/(Pressupostos!$C$105*Pressupostos!$C$106)*Pressupostos!$C$102/1000</f>
        <v>0</v>
      </c>
      <c r="D2943" s="55" t="n">
        <f aca="false">D2942/(Pressupostos!$C$105*Pressupostos!$C$106)*Pressupostos!$C$102/1000</f>
        <v>457.142857142857</v>
      </c>
      <c r="E2943" s="55" t="n">
        <f aca="false">E2942/(Pressupostos!$C$105*Pressupostos!$C$106)*Pressupostos!$C$102/1000</f>
        <v>1371.42857142857</v>
      </c>
      <c r="F2943" s="55" t="n">
        <f aca="false">F2942/(Pressupostos!$C$105*Pressupostos!$C$106)*Pressupostos!$C$102/1000</f>
        <v>2742.85714285714</v>
      </c>
      <c r="G2943" s="55" t="n">
        <f aca="false">G2942/(Pressupostos!$C$105*Pressupostos!$C$106)*Pressupostos!$C$102/1000</f>
        <v>4571.42857142857</v>
      </c>
      <c r="H2943" s="2" t="s">
        <v>1189</v>
      </c>
    </row>
    <row r="2944" customFormat="false" ht="15" hidden="false" customHeight="false" outlineLevel="0" collapsed="false">
      <c r="A2944" s="3" t="s">
        <v>1190</v>
      </c>
      <c r="B2944" s="4"/>
      <c r="C2944" s="4"/>
      <c r="D2944" s="4"/>
      <c r="E2944" s="4"/>
      <c r="F2944" s="4"/>
      <c r="G2944" s="4"/>
      <c r="H2944" s="4"/>
    </row>
    <row r="2945" customFormat="false" ht="15" hidden="false" customHeight="false" outlineLevel="1" collapsed="false">
      <c r="A2945" s="7" t="s">
        <v>669</v>
      </c>
      <c r="B2945" s="8" t="s">
        <v>64</v>
      </c>
      <c r="C2945" s="63" t="n">
        <f aca="false">(Pressupostos!$D$10*(1+Pressupostos!$C$197))+Pressupostos!$D$11</f>
        <v>2.55</v>
      </c>
      <c r="D2945" s="63" t="n">
        <f aca="false">(Pressupostos!$D$10*(1+Pressupostos!$C$197))+Pressupostos!$D$11</f>
        <v>2.55</v>
      </c>
      <c r="E2945" s="63" t="n">
        <f aca="false">(Pressupostos!$D$10*(1+Pressupostos!$C$197))+Pressupostos!$D$11</f>
        <v>2.55</v>
      </c>
      <c r="F2945" s="63" t="n">
        <f aca="false">(Pressupostos!$D$10*(1+Pressupostos!$C$197))+Pressupostos!$D$11</f>
        <v>2.55</v>
      </c>
      <c r="G2945" s="63" t="n">
        <f aca="false">(Pressupostos!$D$10*(1+Pressupostos!$C$197))+Pressupostos!$D$11</f>
        <v>2.55</v>
      </c>
      <c r="H2945" s="2" t="s">
        <v>1191</v>
      </c>
    </row>
    <row r="2946" customFormat="false" ht="15" hidden="false" customHeight="false" outlineLevel="1" collapsed="false">
      <c r="A2946" s="7" t="s">
        <v>670</v>
      </c>
      <c r="B2946" s="8" t="s">
        <v>64</v>
      </c>
      <c r="C2946" s="63" t="n">
        <f aca="false">(Pressupostos!$D$15*(1+Pressupostos!$C$197))</f>
        <v>3.955</v>
      </c>
      <c r="D2946" s="63" t="n">
        <f aca="false">(Pressupostos!$D$15*(1+Pressupostos!$C$197))</f>
        <v>3.955</v>
      </c>
      <c r="E2946" s="63" t="n">
        <f aca="false">(Pressupostos!$D$15*(1+Pressupostos!$C$197))</f>
        <v>3.955</v>
      </c>
      <c r="F2946" s="63" t="n">
        <f aca="false">(Pressupostos!$D$15*(1+Pressupostos!$C$197))</f>
        <v>3.955</v>
      </c>
      <c r="G2946" s="63" t="n">
        <f aca="false">(Pressupostos!$D$15*(1+Pressupostos!$C$197))</f>
        <v>3.955</v>
      </c>
      <c r="H2946" s="2" t="s">
        <v>1192</v>
      </c>
    </row>
    <row r="2947" customFormat="false" ht="15" hidden="false" customHeight="false" outlineLevel="1" collapsed="false">
      <c r="A2947" s="56" t="s">
        <v>671</v>
      </c>
      <c r="B2947" s="57" t="s">
        <v>64</v>
      </c>
      <c r="C2947" s="68" t="n">
        <f aca="false">C2946*(1-Pressupostos!$D$16)</f>
        <v>3.5595</v>
      </c>
      <c r="D2947" s="68" t="n">
        <f aca="false">D2946*(1-Pressupostos!$D$16)</f>
        <v>3.5595</v>
      </c>
      <c r="E2947" s="68" t="n">
        <f aca="false">E2946*(1-Pressupostos!$D$16)</f>
        <v>3.5595</v>
      </c>
      <c r="F2947" s="68" t="n">
        <f aca="false">F2946*(1-Pressupostos!$D$16)</f>
        <v>3.5595</v>
      </c>
      <c r="G2947" s="68" t="n">
        <f aca="false">G2946*(1-Pressupostos!$D$16)</f>
        <v>3.5595</v>
      </c>
      <c r="H2947" s="2" t="s">
        <v>1193</v>
      </c>
    </row>
    <row r="2948" customFormat="false" ht="15" hidden="false" customHeight="false" outlineLevel="1" collapsed="false">
      <c r="A2948" s="7" t="s">
        <v>144</v>
      </c>
      <c r="B2948" s="8" t="s">
        <v>64</v>
      </c>
      <c r="C2948" s="67" t="n">
        <f aca="false">Pressupostos!$C$38</f>
        <v>0.55</v>
      </c>
      <c r="D2948" s="67" t="n">
        <f aca="false">Pressupostos!$C$38</f>
        <v>0.55</v>
      </c>
      <c r="E2948" s="67" t="n">
        <f aca="false">Pressupostos!$C$38</f>
        <v>0.55</v>
      </c>
      <c r="F2948" s="67" t="n">
        <f aca="false">Pressupostos!$C$38</f>
        <v>0.55</v>
      </c>
      <c r="G2948" s="67" t="n">
        <f aca="false">Pressupostos!$C$38</f>
        <v>0.55</v>
      </c>
      <c r="H2948" s="2" t="s">
        <v>1194</v>
      </c>
    </row>
    <row r="2949" customFormat="false" ht="15" hidden="false" customHeight="false" outlineLevel="1" collapsed="false">
      <c r="A2949" s="7" t="s">
        <v>215</v>
      </c>
      <c r="B2949" s="8" t="s">
        <v>64</v>
      </c>
      <c r="C2949" s="67" t="n">
        <f aca="false">Pressupostos!$C$238</f>
        <v>0.3</v>
      </c>
      <c r="D2949" s="67" t="n">
        <f aca="false">Pressupostos!$D$238</f>
        <v>0.3</v>
      </c>
      <c r="E2949" s="67" t="n">
        <f aca="false">Pressupostos!$E$238</f>
        <v>0.28</v>
      </c>
      <c r="F2949" s="67" t="n">
        <f aca="false">Pressupostos!$F$238</f>
        <v>0.27</v>
      </c>
      <c r="G2949" s="67" t="n">
        <f aca="false">Pressupostos!$G$238</f>
        <v>0.27</v>
      </c>
      <c r="H2949" s="2" t="s">
        <v>1195</v>
      </c>
    </row>
    <row r="2950" customFormat="false" ht="15" hidden="false" customHeight="false" outlineLevel="1" collapsed="false">
      <c r="A2950" s="7" t="s">
        <v>117</v>
      </c>
      <c r="B2950" s="8" t="s">
        <v>64</v>
      </c>
      <c r="C2950" s="67" t="n">
        <f aca="false">Pressupostos!$C$39</f>
        <v>0.06</v>
      </c>
      <c r="D2950" s="67" t="n">
        <f aca="false">Pressupostos!$C$39</f>
        <v>0.06</v>
      </c>
      <c r="E2950" s="67" t="n">
        <f aca="false">Pressupostos!$C$39</f>
        <v>0.06</v>
      </c>
      <c r="F2950" s="67" t="n">
        <f aca="false">Pressupostos!$C$39</f>
        <v>0.06</v>
      </c>
      <c r="G2950" s="67" t="n">
        <f aca="false">Pressupostos!$C$39</f>
        <v>0.06</v>
      </c>
      <c r="H2950" s="2" t="s">
        <v>1196</v>
      </c>
    </row>
    <row r="2951" customFormat="false" ht="15" hidden="false" customHeight="false" outlineLevel="1" collapsed="false">
      <c r="A2951" s="7" t="s">
        <v>91</v>
      </c>
      <c r="B2951" s="8" t="s">
        <v>79</v>
      </c>
      <c r="C2951" s="69" t="n">
        <f aca="false">Pressupostos!$C$244</f>
        <v>180</v>
      </c>
      <c r="D2951" s="69" t="n">
        <f aca="false">Pressupostos!$D$244</f>
        <v>180</v>
      </c>
      <c r="E2951" s="69" t="n">
        <f aca="false">Pressupostos!$E$244</f>
        <v>45</v>
      </c>
      <c r="F2951" s="69" t="n">
        <f aca="false">Pressupostos!$F$244</f>
        <v>45</v>
      </c>
      <c r="G2951" s="69" t="n">
        <f aca="false">Pressupostos!$G$244</f>
        <v>45</v>
      </c>
      <c r="H2951" s="2" t="s">
        <v>1197</v>
      </c>
    </row>
    <row r="2952" customFormat="false" ht="15" hidden="false" customHeight="false" outlineLevel="1" collapsed="false">
      <c r="A2952" s="7" t="s">
        <v>78</v>
      </c>
      <c r="B2952" s="8" t="s">
        <v>79</v>
      </c>
      <c r="C2952" s="69" t="n">
        <f aca="false">Pressupostos!$D$17</f>
        <v>35</v>
      </c>
      <c r="D2952" s="69" t="n">
        <f aca="false">Pressupostos!$D$17</f>
        <v>35</v>
      </c>
      <c r="E2952" s="69" t="n">
        <f aca="false">Pressupostos!$D$17</f>
        <v>35</v>
      </c>
      <c r="F2952" s="69" t="n">
        <f aca="false">Pressupostos!$D$17</f>
        <v>35</v>
      </c>
      <c r="G2952" s="69" t="n">
        <f aca="false">Pressupostos!$D$17</f>
        <v>35</v>
      </c>
      <c r="H2952" s="2" t="s">
        <v>1198</v>
      </c>
    </row>
    <row r="2953" customFormat="false" ht="15" hidden="false" customHeight="false" outlineLevel="1" collapsed="false">
      <c r="A2953" s="7" t="s">
        <v>490</v>
      </c>
      <c r="B2953" s="8" t="s">
        <v>64</v>
      </c>
      <c r="C2953" s="63" t="n">
        <f aca="false">Pressupostos!$C$66*C2951/30/1000</f>
        <v>0.024</v>
      </c>
      <c r="D2953" s="63" t="n">
        <f aca="false">Pressupostos!$C$66*D2951/30/1000</f>
        <v>0.024</v>
      </c>
      <c r="E2953" s="63" t="n">
        <f aca="false">Pressupostos!$C$66*E2951/30/1000</f>
        <v>0.006</v>
      </c>
      <c r="F2953" s="63" t="n">
        <f aca="false">Pressupostos!$C$66*F2951/30/1000</f>
        <v>0.006</v>
      </c>
      <c r="G2953" s="63" t="n">
        <f aca="false">Pressupostos!$C$66*G2951/30/1000</f>
        <v>0.006</v>
      </c>
      <c r="H2953" s="2" t="s">
        <v>1199</v>
      </c>
    </row>
    <row r="2954" customFormat="false" ht="15" hidden="false" customHeight="false" outlineLevel="1" collapsed="false">
      <c r="A2954" s="7" t="s">
        <v>165</v>
      </c>
      <c r="B2954" s="8" t="s">
        <v>64</v>
      </c>
      <c r="C2954" s="63" t="n">
        <f aca="false">C2945*Pressupostos!$C$67*C2951/365</f>
        <v>0.00251506849315069</v>
      </c>
      <c r="D2954" s="63" t="n">
        <f aca="false">D2945*Pressupostos!$C$67*D2951/365</f>
        <v>0.00251506849315069</v>
      </c>
      <c r="E2954" s="63" t="n">
        <f aca="false">E2945*Pressupostos!$C$67*E2951/365</f>
        <v>0.000628767123287671</v>
      </c>
      <c r="F2954" s="63" t="n">
        <f aca="false">F2945*Pressupostos!$C$67*F2951/365</f>
        <v>0.000628767123287671</v>
      </c>
      <c r="G2954" s="63" t="n">
        <f aca="false">G2945*Pressupostos!$C$67*G2951/365</f>
        <v>0.000628767123287671</v>
      </c>
      <c r="H2954" s="2" t="s">
        <v>1200</v>
      </c>
    </row>
    <row r="2955" customFormat="false" ht="15" hidden="false" customHeight="false" outlineLevel="1" collapsed="false">
      <c r="A2955" s="7" t="s">
        <v>672</v>
      </c>
      <c r="B2955" s="8" t="s">
        <v>64</v>
      </c>
      <c r="C2955" s="63" t="n">
        <f aca="false">Pressupostos!$C$41*Pressupostos!$C$68/(Pressupostos!$C$40*1000)</f>
        <v>0.03</v>
      </c>
      <c r="D2955" s="63" t="n">
        <f aca="false">Pressupostos!$C$41*Pressupostos!$C$68/(Pressupostos!$C$40*1000)</f>
        <v>0.03</v>
      </c>
      <c r="E2955" s="63" t="n">
        <f aca="false">Pressupostos!$C$41*Pressupostos!$C$68/(Pressupostos!$C$40*1000)</f>
        <v>0.03</v>
      </c>
      <c r="F2955" s="63" t="n">
        <f aca="false">Pressupostos!$C$41*Pressupostos!$C$68/(Pressupostos!$C$40*1000)</f>
        <v>0.03</v>
      </c>
      <c r="G2955" s="63" t="n">
        <f aca="false">Pressupostos!$C$41*Pressupostos!$C$68/(Pressupostos!$C$40*1000)</f>
        <v>0.03</v>
      </c>
      <c r="H2955" s="2" t="s">
        <v>1201</v>
      </c>
    </row>
    <row r="2956" customFormat="false" ht="15" hidden="false" customHeight="false" outlineLevel="1" collapsed="false">
      <c r="A2956" s="7" t="s">
        <v>492</v>
      </c>
      <c r="B2956" s="8" t="s">
        <v>64</v>
      </c>
      <c r="C2956" s="63" t="n">
        <f aca="false">Pressupostos!$C$69*C2945</f>
        <v>0.01275</v>
      </c>
      <c r="D2956" s="63" t="n">
        <f aca="false">Pressupostos!$C$69*D2945</f>
        <v>0.01275</v>
      </c>
      <c r="E2956" s="63" t="n">
        <f aca="false">Pressupostos!$C$69*E2945</f>
        <v>0.01275</v>
      </c>
      <c r="F2956" s="63" t="n">
        <f aca="false">Pressupostos!$C$69*F2945</f>
        <v>0.01275</v>
      </c>
      <c r="G2956" s="63" t="n">
        <f aca="false">Pressupostos!$C$69*G2945</f>
        <v>0.01275</v>
      </c>
      <c r="H2956" s="2" t="s">
        <v>1202</v>
      </c>
    </row>
    <row r="2957" customFormat="false" ht="15" hidden="false" customHeight="false" outlineLevel="1" collapsed="false">
      <c r="A2957" s="7" t="s">
        <v>493</v>
      </c>
      <c r="B2957" s="8" t="s">
        <v>64</v>
      </c>
      <c r="C2957" s="63" t="n">
        <f aca="false">Pressupostos!$C$70*Pressupostos!$C$71*C2951/90</f>
        <v>0.018</v>
      </c>
      <c r="D2957" s="63" t="n">
        <f aca="false">Pressupostos!$C$70*Pressupostos!$C$71*D2951/90</f>
        <v>0.018</v>
      </c>
      <c r="E2957" s="63" t="n">
        <f aca="false">Pressupostos!$C$70*Pressupostos!$C$71*E2951/90</f>
        <v>0.0045</v>
      </c>
      <c r="F2957" s="63" t="n">
        <f aca="false">Pressupostos!$C$70*Pressupostos!$C$71*F2951/90</f>
        <v>0.0045</v>
      </c>
      <c r="G2957" s="63" t="n">
        <f aca="false">Pressupostos!$C$70*Pressupostos!$C$71*G2951/90</f>
        <v>0.0045</v>
      </c>
      <c r="H2957" s="2" t="s">
        <v>1203</v>
      </c>
    </row>
    <row r="2958" customFormat="false" ht="15" hidden="false" customHeight="false" outlineLevel="1" collapsed="false">
      <c r="A2958" s="7" t="s">
        <v>673</v>
      </c>
      <c r="B2958" s="8" t="s">
        <v>64</v>
      </c>
      <c r="C2958" s="63" t="n">
        <f aca="false">Pressupostos!$C$42/(Pressupostos!$C$40*1000)</f>
        <v>0.1</v>
      </c>
      <c r="D2958" s="63" t="n">
        <f aca="false">Pressupostos!$C$42/(Pressupostos!$C$40*1000)</f>
        <v>0.1</v>
      </c>
      <c r="E2958" s="63" t="n">
        <f aca="false">Pressupostos!$C$42/(Pressupostos!$C$40*1000)</f>
        <v>0.1</v>
      </c>
      <c r="F2958" s="63" t="n">
        <f aca="false">Pressupostos!$C$42/(Pressupostos!$C$40*1000)</f>
        <v>0.1</v>
      </c>
      <c r="G2958" s="63" t="n">
        <f aca="false">Pressupostos!$C$42/(Pressupostos!$C$40*1000)</f>
        <v>0.1</v>
      </c>
      <c r="H2958" s="2" t="s">
        <v>1204</v>
      </c>
    </row>
    <row r="2959" customFormat="false" ht="15" hidden="false" customHeight="false" outlineLevel="1" collapsed="false">
      <c r="A2959" s="7" t="s">
        <v>139</v>
      </c>
      <c r="B2959" s="8" t="s">
        <v>64</v>
      </c>
      <c r="C2959" s="67" t="n">
        <f aca="false">Pressupostos!$C$43</f>
        <v>0.01</v>
      </c>
      <c r="D2959" s="67" t="n">
        <f aca="false">Pressupostos!$C$43</f>
        <v>0.01</v>
      </c>
      <c r="E2959" s="67" t="n">
        <f aca="false">Pressupostos!$C$43</f>
        <v>0.01</v>
      </c>
      <c r="F2959" s="67" t="n">
        <f aca="false">Pressupostos!$C$43</f>
        <v>0.01</v>
      </c>
      <c r="G2959" s="67" t="n">
        <f aca="false">Pressupostos!$C$43</f>
        <v>0.01</v>
      </c>
      <c r="H2959" s="2" t="s">
        <v>1205</v>
      </c>
    </row>
    <row r="2960" customFormat="false" ht="15" hidden="false" customHeight="false" outlineLevel="1" collapsed="false">
      <c r="A2960" s="7" t="s">
        <v>81</v>
      </c>
      <c r="B2960" s="8" t="s">
        <v>64</v>
      </c>
      <c r="C2960" s="63" t="n">
        <f aca="false">Pressupostos!$D$18*C2947</f>
        <v>0.021357</v>
      </c>
      <c r="D2960" s="63" t="n">
        <f aca="false">Pressupostos!$D$18*D2947</f>
        <v>0.021357</v>
      </c>
      <c r="E2960" s="63" t="n">
        <f aca="false">Pressupostos!$D$18*E2947</f>
        <v>0.021357</v>
      </c>
      <c r="F2960" s="63" t="n">
        <f aca="false">Pressupostos!$D$18*F2947</f>
        <v>0.021357</v>
      </c>
      <c r="G2960" s="63" t="n">
        <f aca="false">Pressupostos!$D$18*G2947</f>
        <v>0.021357</v>
      </c>
      <c r="H2960" s="2" t="s">
        <v>1206</v>
      </c>
    </row>
    <row r="2961" customFormat="false" ht="15" hidden="false" customHeight="false" outlineLevel="1" collapsed="false">
      <c r="A2961" s="7" t="s">
        <v>674</v>
      </c>
      <c r="B2961" s="8" t="s">
        <v>64</v>
      </c>
      <c r="C2961" s="63" t="n">
        <f aca="false">Pressupostos!$C$73*C2947</f>
        <v>0</v>
      </c>
      <c r="D2961" s="63" t="n">
        <f aca="false">Pressupostos!$C$73*D2947</f>
        <v>0</v>
      </c>
      <c r="E2961" s="63" t="n">
        <f aca="false">Pressupostos!$C$73*E2947</f>
        <v>0</v>
      </c>
      <c r="F2961" s="63" t="n">
        <f aca="false">Pressupostos!$C$73*F2947</f>
        <v>0</v>
      </c>
      <c r="G2961" s="63" t="n">
        <f aca="false">Pressupostos!$C$73*G2947</f>
        <v>0</v>
      </c>
      <c r="H2961" s="2" t="s">
        <v>1207</v>
      </c>
    </row>
    <row r="2962" customFormat="false" ht="15" hidden="false" customHeight="false" outlineLevel="1" collapsed="false">
      <c r="A2962" s="7" t="s">
        <v>675</v>
      </c>
      <c r="B2962" s="8" t="s">
        <v>64</v>
      </c>
      <c r="C2962" s="63" t="n">
        <f aca="false">Pressupostos!$C$288*(C2945+C2948)*(C2951+C2952-Pressupostos!$C$72)/365*Pressupostos!$C$282/Pressupostos!$D$31</f>
        <v>0</v>
      </c>
      <c r="D2962" s="63" t="n">
        <f aca="false">Pressupostos!$D$288*(D2945+D2948)*(D2951+D2952-Pressupostos!$C$72)/365*Pressupostos!$D$282/Pressupostos!$D$31</f>
        <v>0.14141095890411</v>
      </c>
      <c r="E2962" s="63" t="n">
        <f aca="false">Pressupostos!$E$288*(E2945+E2948)*(E2951+E2952-Pressupostos!$C$72)/365*Pressupostos!$E$282/Pressupostos!$D$31</f>
        <v>0.0358304794520548</v>
      </c>
      <c r="F2962" s="63" t="n">
        <f aca="false">Pressupostos!$F$288*(F2945+F2948)*(F2951+F2952-Pressupostos!$C$72)/365*Pressupostos!$F$282/Pressupostos!$D$31</f>
        <v>0.0334417808219178</v>
      </c>
      <c r="G2962" s="63" t="n">
        <f aca="false">Pressupostos!$G$288*(G2945+G2948)*(G2951+G2952-Pressupostos!$C$72)/365*Pressupostos!$G$282/Pressupostos!$D$31</f>
        <v>0.0334417808219178</v>
      </c>
      <c r="H2962" s="2" t="s">
        <v>1208</v>
      </c>
    </row>
    <row r="2963" customFormat="false" ht="15" hidden="false" customHeight="false" outlineLevel="1" collapsed="false">
      <c r="A2963" s="7" t="s">
        <v>676</v>
      </c>
      <c r="B2963" s="8" t="s">
        <v>64</v>
      </c>
      <c r="C2963" s="63" t="n">
        <f aca="false">C2945+C2948+C2949+C2950+C2953+C2954+C2955+C2956+C2957+C2958+C2959+C2960+C2961+C2962</f>
        <v>3.67862206849315</v>
      </c>
      <c r="D2963" s="63" t="n">
        <f aca="false">D2945+D2948+D2949+D2950+D2953+D2954+D2955+D2956+D2957+D2958+D2959+D2960+D2961+D2962</f>
        <v>3.82003302739726</v>
      </c>
      <c r="E2963" s="63" t="n">
        <f aca="false">E2945+E2948+E2949+E2950+E2953+E2954+E2955+E2956+E2957+E2958+E2959+E2960+E2961+E2962</f>
        <v>3.66106624657534</v>
      </c>
      <c r="F2963" s="63" t="n">
        <f aca="false">F2945+F2948+F2949+F2950+F2953+F2954+F2955+F2956+F2957+F2958+F2959+F2960+F2961+F2962</f>
        <v>3.64867754794521</v>
      </c>
      <c r="G2963" s="63" t="n">
        <f aca="false">G2945+G2948+G2949+G2950+G2953+G2954+G2955+G2956+G2957+G2958+G2959+G2960+G2961+G2962</f>
        <v>3.64867754794521</v>
      </c>
      <c r="H2963" s="2" t="s">
        <v>1209</v>
      </c>
    </row>
    <row r="2964" customFormat="false" ht="15" hidden="false" customHeight="false" outlineLevel="1" collapsed="false">
      <c r="A2964" s="56" t="s">
        <v>677</v>
      </c>
      <c r="B2964" s="57" t="s">
        <v>64</v>
      </c>
      <c r="C2964" s="68" t="n">
        <f aca="false">C2947-C2963</f>
        <v>-0.119122068493149</v>
      </c>
      <c r="D2964" s="68" t="n">
        <f aca="false">D2947-D2963</f>
        <v>-0.260533027397259</v>
      </c>
      <c r="E2964" s="68" t="n">
        <f aca="false">E2947-E2963</f>
        <v>-0.101566246575342</v>
      </c>
      <c r="F2964" s="68" t="n">
        <f aca="false">F2947-F2963</f>
        <v>-0.0891775479452046</v>
      </c>
      <c r="G2964" s="68" t="n">
        <f aca="false">G2947-G2963</f>
        <v>-0.0891775479452046</v>
      </c>
      <c r="H2964" s="2" t="s">
        <v>1210</v>
      </c>
    </row>
    <row r="2965" customFormat="false" ht="15" hidden="false" customHeight="false" outlineLevel="1" collapsed="false">
      <c r="A2965" s="7" t="s">
        <v>678</v>
      </c>
      <c r="B2965" s="8" t="s">
        <v>76</v>
      </c>
      <c r="C2965" s="59" t="n">
        <f aca="false">IF(C2947&gt;0,C2964/C2947,0)</f>
        <v>-0.0334659554693494</v>
      </c>
      <c r="D2965" s="59" t="n">
        <f aca="false">IF(D2947&gt;0,D2964/D2947,0)</f>
        <v>-0.0731937146782579</v>
      </c>
      <c r="E2965" s="59" t="n">
        <f aca="false">IF(E2947&gt;0,E2964/E2947,0)</f>
        <v>-0.0285338521071336</v>
      </c>
      <c r="F2965" s="59" t="n">
        <f aca="false">IF(F2947&gt;0,F2964/F2947,0)</f>
        <v>-0.0250533917531127</v>
      </c>
      <c r="G2965" s="59" t="n">
        <f aca="false">IF(G2947&gt;0,G2964/G2947,0)</f>
        <v>-0.0250533917531127</v>
      </c>
      <c r="H2965" s="2" t="s">
        <v>1211</v>
      </c>
    </row>
    <row r="2966" customFormat="false" ht="15" hidden="false" customHeight="false" outlineLevel="1" collapsed="false">
      <c r="A2966" s="7" t="s">
        <v>679</v>
      </c>
      <c r="B2966" s="8" t="s">
        <v>64</v>
      </c>
      <c r="C2966" s="63" t="n">
        <f aca="false">(C2945+C2948)*(C2951-Pressupostos!$C$72)/365+C2947*C2952/365</f>
        <v>1.61529452054795</v>
      </c>
      <c r="D2966" s="63" t="n">
        <f aca="false">(D2945+D2948)*(D2951-Pressupostos!$C$72)/365+D2947*D2952/365</f>
        <v>1.61529452054795</v>
      </c>
      <c r="E2966" s="63" t="n">
        <f aca="false">(E2945+E2948)*(E2951-Pressupostos!$C$72)/365+E2947*E2952/365</f>
        <v>0.468719178082192</v>
      </c>
      <c r="F2966" s="63" t="n">
        <f aca="false">(F2945+F2948)*(F2951-Pressupostos!$C$72)/365+F2947*F2952/365</f>
        <v>0.468719178082192</v>
      </c>
      <c r="G2966" s="63" t="n">
        <f aca="false">(G2945+G2948)*(G2951-Pressupostos!$C$72)/365+G2947*G2952/365</f>
        <v>0.468719178082192</v>
      </c>
      <c r="H2966" s="2" t="s">
        <v>1212</v>
      </c>
    </row>
    <row r="2967" customFormat="false" ht="15" hidden="false" customHeight="false" outlineLevel="0" collapsed="false">
      <c r="A2967" s="3" t="s">
        <v>1213</v>
      </c>
      <c r="B2967" s="4"/>
      <c r="C2967" s="4"/>
      <c r="D2967" s="4"/>
      <c r="E2967" s="4"/>
      <c r="F2967" s="4"/>
      <c r="G2967" s="4"/>
      <c r="H2967" s="4"/>
    </row>
    <row r="2968" customFormat="false" ht="15" hidden="false" customHeight="false" outlineLevel="1" collapsed="false">
      <c r="A2968" s="7" t="s">
        <v>669</v>
      </c>
      <c r="B2968" s="8" t="s">
        <v>64</v>
      </c>
      <c r="C2968" s="63" t="n">
        <f aca="false">(Pressupostos!$D$10*(1+Pressupostos!$C$197))+Pressupostos!$D$12</f>
        <v>2.55</v>
      </c>
      <c r="D2968" s="63" t="n">
        <f aca="false">(Pressupostos!$D$10*(1+Pressupostos!$C$197))+Pressupostos!$D$12</f>
        <v>2.55</v>
      </c>
      <c r="E2968" s="63" t="n">
        <f aca="false">(Pressupostos!$D$10*(1+Pressupostos!$C$197))+Pressupostos!$D$12</f>
        <v>2.55</v>
      </c>
      <c r="F2968" s="63" t="n">
        <f aca="false">(Pressupostos!$D$10*(1+Pressupostos!$C$197))+Pressupostos!$D$12</f>
        <v>2.55</v>
      </c>
      <c r="G2968" s="63" t="n">
        <f aca="false">(Pressupostos!$D$10*(1+Pressupostos!$C$197))+Pressupostos!$D$12</f>
        <v>2.55</v>
      </c>
      <c r="H2968" s="2" t="s">
        <v>1214</v>
      </c>
    </row>
    <row r="2969" customFormat="false" ht="15" hidden="false" customHeight="false" outlineLevel="1" collapsed="false">
      <c r="A2969" s="7" t="s">
        <v>670</v>
      </c>
      <c r="B2969" s="8" t="s">
        <v>64</v>
      </c>
      <c r="C2969" s="63" t="n">
        <f aca="false">(Pressupostos!$D$20*(1+Pressupostos!$C$197))+Pressupostos!$D$21</f>
        <v>3.045</v>
      </c>
      <c r="D2969" s="63" t="n">
        <f aca="false">(Pressupostos!$D$20*(1+Pressupostos!$C$197))+Pressupostos!$D$21</f>
        <v>3.045</v>
      </c>
      <c r="E2969" s="63" t="n">
        <f aca="false">(Pressupostos!$D$20*(1+Pressupostos!$C$197))+Pressupostos!$D$21</f>
        <v>3.045</v>
      </c>
      <c r="F2969" s="63" t="n">
        <f aca="false">(Pressupostos!$D$20*(1+Pressupostos!$C$197))+Pressupostos!$D$21</f>
        <v>3.045</v>
      </c>
      <c r="G2969" s="63" t="n">
        <f aca="false">(Pressupostos!$D$20*(1+Pressupostos!$C$197))+Pressupostos!$D$21</f>
        <v>3.045</v>
      </c>
      <c r="H2969" s="2" t="s">
        <v>1215</v>
      </c>
    </row>
    <row r="2970" customFormat="false" ht="15" hidden="false" customHeight="false" outlineLevel="1" collapsed="false">
      <c r="A2970" s="56" t="s">
        <v>671</v>
      </c>
      <c r="B2970" s="57" t="s">
        <v>64</v>
      </c>
      <c r="C2970" s="68" t="n">
        <f aca="false">C2969*(1-Pressupostos!$D$22)</f>
        <v>3.045</v>
      </c>
      <c r="D2970" s="68" t="n">
        <f aca="false">D2969*(1-Pressupostos!$D$22)</f>
        <v>3.045</v>
      </c>
      <c r="E2970" s="68" t="n">
        <f aca="false">E2969*(1-Pressupostos!$D$22)</f>
        <v>3.045</v>
      </c>
      <c r="F2970" s="68" t="n">
        <f aca="false">F2969*(1-Pressupostos!$D$22)</f>
        <v>3.045</v>
      </c>
      <c r="G2970" s="68" t="n">
        <f aca="false">G2969*(1-Pressupostos!$D$22)</f>
        <v>3.045</v>
      </c>
      <c r="H2970" s="2" t="s">
        <v>1216</v>
      </c>
    </row>
    <row r="2971" customFormat="false" ht="15" hidden="false" customHeight="false" outlineLevel="1" collapsed="false">
      <c r="A2971" s="7" t="s">
        <v>144</v>
      </c>
      <c r="B2971" s="8" t="s">
        <v>64</v>
      </c>
      <c r="C2971" s="67" t="n">
        <f aca="false">Pressupostos!$C$45</f>
        <v>0.45</v>
      </c>
      <c r="D2971" s="67" t="n">
        <f aca="false">Pressupostos!$C$45</f>
        <v>0.45</v>
      </c>
      <c r="E2971" s="67" t="n">
        <f aca="false">Pressupostos!$C$45</f>
        <v>0.45</v>
      </c>
      <c r="F2971" s="67" t="n">
        <f aca="false">Pressupostos!$C$45</f>
        <v>0.45</v>
      </c>
      <c r="G2971" s="67" t="n">
        <f aca="false">Pressupostos!$C$45</f>
        <v>0.45</v>
      </c>
      <c r="H2971" s="2" t="s">
        <v>1217</v>
      </c>
    </row>
    <row r="2972" customFormat="false" ht="15" hidden="false" customHeight="false" outlineLevel="1" collapsed="false">
      <c r="A2972" s="7" t="s">
        <v>215</v>
      </c>
      <c r="B2972" s="8" t="s">
        <v>64</v>
      </c>
      <c r="C2972" s="67" t="n">
        <f aca="false">Pressupostos!$C$250</f>
        <v>0.1</v>
      </c>
      <c r="D2972" s="67" t="n">
        <f aca="false">Pressupostos!$D$250</f>
        <v>0.1</v>
      </c>
      <c r="E2972" s="67" t="n">
        <f aca="false">Pressupostos!$E$250</f>
        <v>0.09</v>
      </c>
      <c r="F2972" s="67" t="n">
        <f aca="false">Pressupostos!$F$250</f>
        <v>0.09</v>
      </c>
      <c r="G2972" s="67" t="n">
        <f aca="false">Pressupostos!$G$250</f>
        <v>0.09</v>
      </c>
      <c r="H2972" s="2" t="s">
        <v>1218</v>
      </c>
    </row>
    <row r="2973" customFormat="false" ht="15" hidden="false" customHeight="false" outlineLevel="1" collapsed="false">
      <c r="A2973" s="7" t="s">
        <v>117</v>
      </c>
      <c r="B2973" s="8" t="s">
        <v>64</v>
      </c>
      <c r="C2973" s="67" t="n">
        <f aca="false">Pressupostos!$C$46</f>
        <v>0</v>
      </c>
      <c r="D2973" s="67" t="n">
        <f aca="false">Pressupostos!$C$46</f>
        <v>0</v>
      </c>
      <c r="E2973" s="67" t="n">
        <f aca="false">Pressupostos!$C$46</f>
        <v>0</v>
      </c>
      <c r="F2973" s="67" t="n">
        <f aca="false">Pressupostos!$C$46</f>
        <v>0</v>
      </c>
      <c r="G2973" s="67" t="n">
        <f aca="false">Pressupostos!$C$46</f>
        <v>0</v>
      </c>
      <c r="H2973" s="2" t="s">
        <v>1219</v>
      </c>
    </row>
    <row r="2974" customFormat="false" ht="15" hidden="false" customHeight="false" outlineLevel="1" collapsed="false">
      <c r="A2974" s="7" t="s">
        <v>91</v>
      </c>
      <c r="B2974" s="8" t="s">
        <v>79</v>
      </c>
      <c r="C2974" s="69" t="n">
        <f aca="false">Pressupostos!$D$23</f>
        <v>30</v>
      </c>
      <c r="D2974" s="69" t="n">
        <f aca="false">Pressupostos!$D$23</f>
        <v>30</v>
      </c>
      <c r="E2974" s="69" t="n">
        <f aca="false">Pressupostos!$D$23</f>
        <v>30</v>
      </c>
      <c r="F2974" s="69" t="n">
        <f aca="false">Pressupostos!$D$23</f>
        <v>30</v>
      </c>
      <c r="G2974" s="69" t="n">
        <f aca="false">Pressupostos!$D$23</f>
        <v>30</v>
      </c>
      <c r="H2974" s="2" t="s">
        <v>1220</v>
      </c>
    </row>
    <row r="2975" customFormat="false" ht="15" hidden="false" customHeight="false" outlineLevel="1" collapsed="false">
      <c r="A2975" s="7" t="s">
        <v>78</v>
      </c>
      <c r="B2975" s="8" t="s">
        <v>79</v>
      </c>
      <c r="C2975" s="69" t="n">
        <f aca="false">Pressupostos!$D$24</f>
        <v>45</v>
      </c>
      <c r="D2975" s="69" t="n">
        <f aca="false">Pressupostos!$D$24</f>
        <v>45</v>
      </c>
      <c r="E2975" s="69" t="n">
        <f aca="false">Pressupostos!$D$24</f>
        <v>45</v>
      </c>
      <c r="F2975" s="69" t="n">
        <f aca="false">Pressupostos!$D$24</f>
        <v>45</v>
      </c>
      <c r="G2975" s="69" t="n">
        <f aca="false">Pressupostos!$D$24</f>
        <v>45</v>
      </c>
      <c r="H2975" s="2" t="s">
        <v>1221</v>
      </c>
    </row>
    <row r="2976" customFormat="false" ht="15" hidden="false" customHeight="false" outlineLevel="1" collapsed="false">
      <c r="A2976" s="7" t="s">
        <v>490</v>
      </c>
      <c r="B2976" s="8" t="s">
        <v>64</v>
      </c>
      <c r="C2976" s="63" t="n">
        <f aca="false">Pressupostos!$C$66*C2974/30/1000</f>
        <v>0.004</v>
      </c>
      <c r="D2976" s="63" t="n">
        <f aca="false">Pressupostos!$C$66*D2974/30/1000</f>
        <v>0.004</v>
      </c>
      <c r="E2976" s="63" t="n">
        <f aca="false">Pressupostos!$C$66*E2974/30/1000</f>
        <v>0.004</v>
      </c>
      <c r="F2976" s="63" t="n">
        <f aca="false">Pressupostos!$C$66*F2974/30/1000</f>
        <v>0.004</v>
      </c>
      <c r="G2976" s="63" t="n">
        <f aca="false">Pressupostos!$C$66*G2974/30/1000</f>
        <v>0.004</v>
      </c>
      <c r="H2976" s="2" t="s">
        <v>1222</v>
      </c>
    </row>
    <row r="2977" customFormat="false" ht="15" hidden="false" customHeight="false" outlineLevel="1" collapsed="false">
      <c r="A2977" s="7" t="s">
        <v>165</v>
      </c>
      <c r="B2977" s="8" t="s">
        <v>64</v>
      </c>
      <c r="C2977" s="63" t="n">
        <f aca="false">C2968*Pressupostos!$C$67*C2974/365</f>
        <v>0.000419178082191781</v>
      </c>
      <c r="D2977" s="63" t="n">
        <f aca="false">D2968*Pressupostos!$C$67*D2974/365</f>
        <v>0.000419178082191781</v>
      </c>
      <c r="E2977" s="63" t="n">
        <f aca="false">E2968*Pressupostos!$C$67*E2974/365</f>
        <v>0.000419178082191781</v>
      </c>
      <c r="F2977" s="63" t="n">
        <f aca="false">F2968*Pressupostos!$C$67*F2974/365</f>
        <v>0.000419178082191781</v>
      </c>
      <c r="G2977" s="63" t="n">
        <f aca="false">G2968*Pressupostos!$C$67*G2974/365</f>
        <v>0.000419178082191781</v>
      </c>
      <c r="H2977" s="2" t="s">
        <v>1223</v>
      </c>
    </row>
    <row r="2978" customFormat="false" ht="15" hidden="false" customHeight="false" outlineLevel="1" collapsed="false">
      <c r="A2978" s="7" t="s">
        <v>672</v>
      </c>
      <c r="B2978" s="8" t="s">
        <v>64</v>
      </c>
      <c r="C2978" s="63" t="n">
        <f aca="false">Pressupostos!$C$48*Pressupostos!$C$68/(Pressupostos!$C$47*1000)</f>
        <v>0.02</v>
      </c>
      <c r="D2978" s="63" t="n">
        <f aca="false">Pressupostos!$C$48*Pressupostos!$C$68/(Pressupostos!$C$47*1000)</f>
        <v>0.02</v>
      </c>
      <c r="E2978" s="63" t="n">
        <f aca="false">Pressupostos!$C$48*Pressupostos!$C$68/(Pressupostos!$C$47*1000)</f>
        <v>0.02</v>
      </c>
      <c r="F2978" s="63" t="n">
        <f aca="false">Pressupostos!$C$48*Pressupostos!$C$68/(Pressupostos!$C$47*1000)</f>
        <v>0.02</v>
      </c>
      <c r="G2978" s="63" t="n">
        <f aca="false">Pressupostos!$C$48*Pressupostos!$C$68/(Pressupostos!$C$47*1000)</f>
        <v>0.02</v>
      </c>
      <c r="H2978" s="2" t="s">
        <v>1224</v>
      </c>
    </row>
    <row r="2979" customFormat="false" ht="15" hidden="false" customHeight="false" outlineLevel="1" collapsed="false">
      <c r="A2979" s="7" t="s">
        <v>492</v>
      </c>
      <c r="B2979" s="8" t="s">
        <v>64</v>
      </c>
      <c r="C2979" s="63" t="n">
        <f aca="false">Pressupostos!$C$69*C2968</f>
        <v>0.01275</v>
      </c>
      <c r="D2979" s="63" t="n">
        <f aca="false">Pressupostos!$C$69*D2968</f>
        <v>0.01275</v>
      </c>
      <c r="E2979" s="63" t="n">
        <f aca="false">Pressupostos!$C$69*E2968</f>
        <v>0.01275</v>
      </c>
      <c r="F2979" s="63" t="n">
        <f aca="false">Pressupostos!$C$69*F2968</f>
        <v>0.01275</v>
      </c>
      <c r="G2979" s="63" t="n">
        <f aca="false">Pressupostos!$C$69*G2968</f>
        <v>0.01275</v>
      </c>
      <c r="H2979" s="2" t="s">
        <v>1225</v>
      </c>
    </row>
    <row r="2980" customFormat="false" ht="15" hidden="false" customHeight="false" outlineLevel="1" collapsed="false">
      <c r="A2980" s="7" t="s">
        <v>493</v>
      </c>
      <c r="B2980" s="8" t="s">
        <v>64</v>
      </c>
      <c r="C2980" s="63" t="n">
        <f aca="false">Pressupostos!$C$70*Pressupostos!$C$71*C2974/90</f>
        <v>0.003</v>
      </c>
      <c r="D2980" s="63" t="n">
        <f aca="false">Pressupostos!$C$70*Pressupostos!$C$71*D2974/90</f>
        <v>0.003</v>
      </c>
      <c r="E2980" s="63" t="n">
        <f aca="false">Pressupostos!$C$70*Pressupostos!$C$71*E2974/90</f>
        <v>0.003</v>
      </c>
      <c r="F2980" s="63" t="n">
        <f aca="false">Pressupostos!$C$70*Pressupostos!$C$71*F2974/90</f>
        <v>0.003</v>
      </c>
      <c r="G2980" s="63" t="n">
        <f aca="false">Pressupostos!$C$70*Pressupostos!$C$71*G2974/90</f>
        <v>0.003</v>
      </c>
      <c r="H2980" s="2" t="s">
        <v>1226</v>
      </c>
    </row>
    <row r="2981" customFormat="false" ht="15" hidden="false" customHeight="false" outlineLevel="1" collapsed="false">
      <c r="A2981" s="7" t="s">
        <v>673</v>
      </c>
      <c r="B2981" s="8" t="s">
        <v>64</v>
      </c>
      <c r="C2981" s="63" t="n">
        <f aca="false">Pressupostos!$C$49/(Pressupostos!$C$47*1000)</f>
        <v>0.04</v>
      </c>
      <c r="D2981" s="63" t="n">
        <f aca="false">Pressupostos!$C$49/(Pressupostos!$C$47*1000)</f>
        <v>0.04</v>
      </c>
      <c r="E2981" s="63" t="n">
        <f aca="false">Pressupostos!$C$49/(Pressupostos!$C$47*1000)</f>
        <v>0.04</v>
      </c>
      <c r="F2981" s="63" t="n">
        <f aca="false">Pressupostos!$C$49/(Pressupostos!$C$47*1000)</f>
        <v>0.04</v>
      </c>
      <c r="G2981" s="63" t="n">
        <f aca="false">Pressupostos!$C$49/(Pressupostos!$C$47*1000)</f>
        <v>0.04</v>
      </c>
      <c r="H2981" s="2" t="s">
        <v>1227</v>
      </c>
    </row>
    <row r="2982" customFormat="false" ht="15" hidden="false" customHeight="false" outlineLevel="1" collapsed="false">
      <c r="A2982" s="7" t="s">
        <v>139</v>
      </c>
      <c r="B2982" s="8" t="s">
        <v>64</v>
      </c>
      <c r="C2982" s="67" t="n">
        <f aca="false">Pressupostos!$C$50</f>
        <v>0.005</v>
      </c>
      <c r="D2982" s="67" t="n">
        <f aca="false">Pressupostos!$C$50</f>
        <v>0.005</v>
      </c>
      <c r="E2982" s="67" t="n">
        <f aca="false">Pressupostos!$C$50</f>
        <v>0.005</v>
      </c>
      <c r="F2982" s="67" t="n">
        <f aca="false">Pressupostos!$C$50</f>
        <v>0.005</v>
      </c>
      <c r="G2982" s="67" t="n">
        <f aca="false">Pressupostos!$C$50</f>
        <v>0.005</v>
      </c>
      <c r="H2982" s="2" t="s">
        <v>1228</v>
      </c>
    </row>
    <row r="2983" customFormat="false" ht="15" hidden="false" customHeight="false" outlineLevel="1" collapsed="false">
      <c r="A2983" s="7" t="s">
        <v>81</v>
      </c>
      <c r="B2983" s="8" t="s">
        <v>64</v>
      </c>
      <c r="C2983" s="63" t="n">
        <f aca="false">Pressupostos!$D$25*C2970</f>
        <v>0.009135</v>
      </c>
      <c r="D2983" s="63" t="n">
        <f aca="false">Pressupostos!$D$25*D2970</f>
        <v>0.009135</v>
      </c>
      <c r="E2983" s="63" t="n">
        <f aca="false">Pressupostos!$D$25*E2970</f>
        <v>0.009135</v>
      </c>
      <c r="F2983" s="63" t="n">
        <f aca="false">Pressupostos!$D$25*F2970</f>
        <v>0.009135</v>
      </c>
      <c r="G2983" s="63" t="n">
        <f aca="false">Pressupostos!$D$25*G2970</f>
        <v>0.009135</v>
      </c>
      <c r="H2983" s="2" t="s">
        <v>1229</v>
      </c>
    </row>
    <row r="2984" customFormat="false" ht="15" hidden="false" customHeight="false" outlineLevel="1" collapsed="false">
      <c r="A2984" s="7" t="s">
        <v>674</v>
      </c>
      <c r="B2984" s="8" t="s">
        <v>64</v>
      </c>
      <c r="C2984" s="63" t="n">
        <f aca="false">Pressupostos!$C$73*C2970</f>
        <v>0</v>
      </c>
      <c r="D2984" s="63" t="n">
        <f aca="false">Pressupostos!$C$73*D2970</f>
        <v>0</v>
      </c>
      <c r="E2984" s="63" t="n">
        <f aca="false">Pressupostos!$C$73*E2970</f>
        <v>0</v>
      </c>
      <c r="F2984" s="63" t="n">
        <f aca="false">Pressupostos!$C$73*F2970</f>
        <v>0</v>
      </c>
      <c r="G2984" s="63" t="n">
        <f aca="false">Pressupostos!$C$73*G2970</f>
        <v>0</v>
      </c>
      <c r="H2984" s="2" t="s">
        <v>1230</v>
      </c>
    </row>
    <row r="2985" customFormat="false" ht="15" hidden="false" customHeight="false" outlineLevel="1" collapsed="false">
      <c r="A2985" s="7" t="s">
        <v>675</v>
      </c>
      <c r="B2985" s="8" t="s">
        <v>64</v>
      </c>
      <c r="C2985" s="63" t="n">
        <f aca="false">Pressupostos!$C$288*(C2968+C2971)*(C2974+C2975-Pressupostos!$C$72)/365*Pressupostos!$C$282/Pressupostos!$D$31</f>
        <v>0</v>
      </c>
      <c r="D2985" s="63" t="n">
        <f aca="false">Pressupostos!$D$288*(D2968+D2971)*(D2974+D2975-Pressupostos!$C$72)/365*Pressupostos!$D$282/Pressupostos!$D$31</f>
        <v>0.0332876712328767</v>
      </c>
      <c r="E2985" s="63" t="n">
        <f aca="false">Pressupostos!$E$288*(E2968+E2971)*(E2974+E2975-Pressupostos!$C$72)/365*Pressupostos!$E$282/Pressupostos!$D$31</f>
        <v>0.0312071917808219</v>
      </c>
      <c r="F2985" s="63" t="n">
        <f aca="false">Pressupostos!$F$288*(F2968+F2971)*(F2974+F2975-Pressupostos!$C$72)/365*Pressupostos!$F$282/Pressupostos!$D$31</f>
        <v>0.0291267123287671</v>
      </c>
      <c r="G2985" s="63" t="n">
        <f aca="false">Pressupostos!$G$288*(G2968+G2971)*(G2974+G2975-Pressupostos!$C$72)/365*Pressupostos!$G$282/Pressupostos!$D$31</f>
        <v>0.0291267123287671</v>
      </c>
      <c r="H2985" s="2" t="s">
        <v>1231</v>
      </c>
    </row>
    <row r="2986" customFormat="false" ht="15" hidden="false" customHeight="false" outlineLevel="1" collapsed="false">
      <c r="A2986" s="7" t="s">
        <v>676</v>
      </c>
      <c r="B2986" s="8" t="s">
        <v>64</v>
      </c>
      <c r="C2986" s="63" t="n">
        <f aca="false">C2968+C2971+C2972+C2973+C2976+C2977+C2978+C2979+C2980+C2981+C2982+C2983+C2984+C2985</f>
        <v>3.19430417808219</v>
      </c>
      <c r="D2986" s="63" t="n">
        <f aca="false">D2968+D2971+D2972+D2973+D2976+D2977+D2978+D2979+D2980+D2981+D2982+D2983+D2984+D2985</f>
        <v>3.22759184931507</v>
      </c>
      <c r="E2986" s="63" t="n">
        <f aca="false">E2968+E2971+E2972+E2973+E2976+E2977+E2978+E2979+E2980+E2981+E2982+E2983+E2984+E2985</f>
        <v>3.21551136986301</v>
      </c>
      <c r="F2986" s="63" t="n">
        <f aca="false">F2968+F2971+F2972+F2973+F2976+F2977+F2978+F2979+F2980+F2981+F2982+F2983+F2984+F2985</f>
        <v>3.21343089041096</v>
      </c>
      <c r="G2986" s="63" t="n">
        <f aca="false">G2968+G2971+G2972+G2973+G2976+G2977+G2978+G2979+G2980+G2981+G2982+G2983+G2984+G2985</f>
        <v>3.21343089041096</v>
      </c>
      <c r="H2986" s="2" t="s">
        <v>1232</v>
      </c>
    </row>
    <row r="2987" customFormat="false" ht="15" hidden="false" customHeight="false" outlineLevel="1" collapsed="false">
      <c r="A2987" s="56" t="s">
        <v>677</v>
      </c>
      <c r="B2987" s="57" t="s">
        <v>64</v>
      </c>
      <c r="C2987" s="68" t="n">
        <f aca="false">C2970-C2986</f>
        <v>-0.149304178082192</v>
      </c>
      <c r="D2987" s="68" t="n">
        <f aca="false">D2970-D2986</f>
        <v>-0.182591849315069</v>
      </c>
      <c r="E2987" s="68" t="n">
        <f aca="false">E2970-E2986</f>
        <v>-0.170511369863014</v>
      </c>
      <c r="F2987" s="68" t="n">
        <f aca="false">F2970-F2986</f>
        <v>-0.16843089041096</v>
      </c>
      <c r="G2987" s="68" t="n">
        <f aca="false">G2970-G2986</f>
        <v>-0.16843089041096</v>
      </c>
      <c r="H2987" s="2" t="s">
        <v>1233</v>
      </c>
    </row>
    <row r="2988" customFormat="false" ht="15" hidden="false" customHeight="false" outlineLevel="1" collapsed="false">
      <c r="A2988" s="7" t="s">
        <v>678</v>
      </c>
      <c r="B2988" s="8" t="s">
        <v>76</v>
      </c>
      <c r="C2988" s="59" t="n">
        <f aca="false">IF(C2970&gt;0,C2987/C2970,0)</f>
        <v>-0.0490325707987496</v>
      </c>
      <c r="D2988" s="59" t="n">
        <f aca="false">IF(D2970&gt;0,D2987/D2970,0)</f>
        <v>-0.0599644825336845</v>
      </c>
      <c r="E2988" s="59" t="n">
        <f aca="false">IF(E2970&gt;0,E2987/E2970,0)</f>
        <v>-0.0559971658006615</v>
      </c>
      <c r="F2988" s="59" t="n">
        <f aca="false">IF(F2970&gt;0,F2987/F2970,0)</f>
        <v>-0.0553139213172281</v>
      </c>
      <c r="G2988" s="59" t="n">
        <f aca="false">IF(G2970&gt;0,G2987/G2970,0)</f>
        <v>-0.0553139213172281</v>
      </c>
      <c r="H2988" s="2" t="s">
        <v>1234</v>
      </c>
    </row>
    <row r="2989" customFormat="false" ht="15" hidden="false" customHeight="false" outlineLevel="1" collapsed="false">
      <c r="A2989" s="7" t="s">
        <v>679</v>
      </c>
      <c r="B2989" s="8" t="s">
        <v>64</v>
      </c>
      <c r="C2989" s="63" t="n">
        <f aca="false">(C2968+C2971)*(C2974-Pressupostos!$C$72)/365+C2970*C2975/365</f>
        <v>0.37541095890411</v>
      </c>
      <c r="D2989" s="63" t="n">
        <f aca="false">(D2968+D2971)*(D2974-Pressupostos!$C$72)/365+D2970*D2975/365</f>
        <v>0.37541095890411</v>
      </c>
      <c r="E2989" s="63" t="n">
        <f aca="false">(E2968+E2971)*(E2974-Pressupostos!$C$72)/365+E2970*E2975/365</f>
        <v>0.37541095890411</v>
      </c>
      <c r="F2989" s="63" t="n">
        <f aca="false">(F2968+F2971)*(F2974-Pressupostos!$C$72)/365+F2970*F2975/365</f>
        <v>0.37541095890411</v>
      </c>
      <c r="G2989" s="63" t="n">
        <f aca="false">(G2968+G2971)*(G2974-Pressupostos!$C$72)/365+G2970*G2975/365</f>
        <v>0.37541095890411</v>
      </c>
      <c r="H2989" s="2" t="s">
        <v>1235</v>
      </c>
    </row>
    <row r="2990" customFormat="false" ht="15" hidden="false" customHeight="false" outlineLevel="0" collapsed="false">
      <c r="A2990" s="3" t="s">
        <v>1236</v>
      </c>
      <c r="B2990" s="4"/>
      <c r="C2990" s="4"/>
      <c r="D2990" s="4"/>
      <c r="E2990" s="4"/>
      <c r="F2990" s="4"/>
      <c r="G2990" s="4"/>
      <c r="H2990" s="4"/>
    </row>
    <row r="2991" customFormat="false" ht="15" hidden="false" customHeight="false" outlineLevel="1" collapsed="false">
      <c r="A2991" s="7" t="s">
        <v>669</v>
      </c>
      <c r="B2991" s="8" t="s">
        <v>64</v>
      </c>
      <c r="C2991" s="63" t="n">
        <f aca="false">(Pressupostos!$D$10*(1+Pressupostos!$C$197))+Pressupostos!$D$13</f>
        <v>2.45</v>
      </c>
      <c r="D2991" s="63" t="n">
        <f aca="false">(Pressupostos!$D$10*(1+Pressupostos!$C$197))+Pressupostos!$D$13</f>
        <v>2.45</v>
      </c>
      <c r="E2991" s="63" t="n">
        <f aca="false">(Pressupostos!$D$10*(1+Pressupostos!$C$197))+Pressupostos!$D$13</f>
        <v>2.45</v>
      </c>
      <c r="F2991" s="63" t="n">
        <f aca="false">(Pressupostos!$D$10*(1+Pressupostos!$C$197))+Pressupostos!$D$13</f>
        <v>2.45</v>
      </c>
      <c r="G2991" s="63" t="n">
        <f aca="false">(Pressupostos!$D$10*(1+Pressupostos!$C$197))+Pressupostos!$D$13</f>
        <v>2.45</v>
      </c>
      <c r="H2991" s="2" t="s">
        <v>1237</v>
      </c>
    </row>
    <row r="2992" customFormat="false" ht="15" hidden="false" customHeight="false" outlineLevel="1" collapsed="false">
      <c r="A2992" s="7" t="s">
        <v>670</v>
      </c>
      <c r="B2992" s="8" t="s">
        <v>64</v>
      </c>
      <c r="C2992" s="63" t="n">
        <f aca="false">(Pressupostos!$D$10*(1+Pressupostos!$C$197))+Pressupostos!$C$52</f>
        <v>2.6</v>
      </c>
      <c r="D2992" s="63" t="n">
        <f aca="false">(Pressupostos!$D$10*(1+Pressupostos!$C$197))+Pressupostos!$C$52</f>
        <v>2.6</v>
      </c>
      <c r="E2992" s="63" t="n">
        <f aca="false">(Pressupostos!$D$10*(1+Pressupostos!$C$197))+Pressupostos!$C$52</f>
        <v>2.6</v>
      </c>
      <c r="F2992" s="63" t="n">
        <f aca="false">(Pressupostos!$D$10*(1+Pressupostos!$C$197))+Pressupostos!$C$52</f>
        <v>2.6</v>
      </c>
      <c r="G2992" s="63" t="n">
        <f aca="false">(Pressupostos!$D$10*(1+Pressupostos!$C$197))+Pressupostos!$C$52</f>
        <v>2.6</v>
      </c>
      <c r="H2992" s="2" t="s">
        <v>1238</v>
      </c>
    </row>
    <row r="2993" customFormat="false" ht="15" hidden="false" customHeight="false" outlineLevel="1" collapsed="false">
      <c r="A2993" s="56" t="s">
        <v>671</v>
      </c>
      <c r="B2993" s="57" t="s">
        <v>64</v>
      </c>
      <c r="C2993" s="68" t="n">
        <f aca="false">C2992*(1-Pressupostos!$C$53)</f>
        <v>2.6</v>
      </c>
      <c r="D2993" s="68" t="n">
        <f aca="false">D2992*(1-Pressupostos!$C$53)</f>
        <v>2.6</v>
      </c>
      <c r="E2993" s="68" t="n">
        <f aca="false">E2992*(1-Pressupostos!$C$53)</f>
        <v>2.6</v>
      </c>
      <c r="F2993" s="68" t="n">
        <f aca="false">F2992*(1-Pressupostos!$C$53)</f>
        <v>2.6</v>
      </c>
      <c r="G2993" s="68" t="n">
        <f aca="false">G2992*(1-Pressupostos!$C$53)</f>
        <v>2.6</v>
      </c>
      <c r="H2993" s="2" t="s">
        <v>1239</v>
      </c>
    </row>
    <row r="2994" customFormat="false" ht="15" hidden="false" customHeight="false" outlineLevel="1" collapsed="false">
      <c r="A2994" s="7" t="s">
        <v>144</v>
      </c>
      <c r="B2994" s="8" t="s">
        <v>64</v>
      </c>
      <c r="C2994" s="67" t="n">
        <f aca="false">Pressupostos!$C$54</f>
        <v>0</v>
      </c>
      <c r="D2994" s="67" t="n">
        <f aca="false">Pressupostos!$C$54</f>
        <v>0</v>
      </c>
      <c r="E2994" s="67" t="n">
        <f aca="false">Pressupostos!$C$54</f>
        <v>0</v>
      </c>
      <c r="F2994" s="67" t="n">
        <f aca="false">Pressupostos!$C$54</f>
        <v>0</v>
      </c>
      <c r="G2994" s="67" t="n">
        <f aca="false">Pressupostos!$C$54</f>
        <v>0</v>
      </c>
      <c r="H2994" s="2" t="s">
        <v>1240</v>
      </c>
    </row>
    <row r="2995" customFormat="false" ht="15" hidden="false" customHeight="false" outlineLevel="1" collapsed="false">
      <c r="A2995" s="7" t="s">
        <v>215</v>
      </c>
      <c r="B2995" s="8" t="s">
        <v>64</v>
      </c>
      <c r="C2995" s="67" t="n">
        <f aca="false">Pressupostos!$C$55</f>
        <v>0.04</v>
      </c>
      <c r="D2995" s="67" t="n">
        <f aca="false">Pressupostos!$C$55</f>
        <v>0.04</v>
      </c>
      <c r="E2995" s="67" t="n">
        <f aca="false">Pressupostos!$C$55</f>
        <v>0.04</v>
      </c>
      <c r="F2995" s="67" t="n">
        <f aca="false">Pressupostos!$C$55</f>
        <v>0.04</v>
      </c>
      <c r="G2995" s="67" t="n">
        <f aca="false">Pressupostos!$C$55</f>
        <v>0.04</v>
      </c>
      <c r="H2995" s="2" t="s">
        <v>1241</v>
      </c>
    </row>
    <row r="2996" customFormat="false" ht="15" hidden="false" customHeight="false" outlineLevel="1" collapsed="false">
      <c r="A2996" s="7" t="s">
        <v>117</v>
      </c>
      <c r="B2996" s="8" t="s">
        <v>64</v>
      </c>
      <c r="C2996" s="67" t="n">
        <f aca="false">Pressupostos!$C$56</f>
        <v>0</v>
      </c>
      <c r="D2996" s="67" t="n">
        <f aca="false">Pressupostos!$C$56</f>
        <v>0</v>
      </c>
      <c r="E2996" s="67" t="n">
        <f aca="false">Pressupostos!$C$56</f>
        <v>0</v>
      </c>
      <c r="F2996" s="67" t="n">
        <f aca="false">Pressupostos!$C$56</f>
        <v>0</v>
      </c>
      <c r="G2996" s="67" t="n">
        <f aca="false">Pressupostos!$C$56</f>
        <v>0</v>
      </c>
      <c r="H2996" s="2" t="s">
        <v>1242</v>
      </c>
    </row>
    <row r="2997" customFormat="false" ht="15" hidden="false" customHeight="false" outlineLevel="1" collapsed="false">
      <c r="A2997" s="7" t="s">
        <v>91</v>
      </c>
      <c r="B2997" s="8" t="s">
        <v>79</v>
      </c>
      <c r="C2997" s="69" t="n">
        <f aca="false">Pressupostos!$C$57</f>
        <v>15</v>
      </c>
      <c r="D2997" s="69" t="n">
        <f aca="false">Pressupostos!$C$57</f>
        <v>15</v>
      </c>
      <c r="E2997" s="69" t="n">
        <f aca="false">Pressupostos!$C$57</f>
        <v>15</v>
      </c>
      <c r="F2997" s="69" t="n">
        <f aca="false">Pressupostos!$C$57</f>
        <v>15</v>
      </c>
      <c r="G2997" s="69" t="n">
        <f aca="false">Pressupostos!$C$57</f>
        <v>15</v>
      </c>
      <c r="H2997" s="2" t="s">
        <v>1243</v>
      </c>
    </row>
    <row r="2998" customFormat="false" ht="15" hidden="false" customHeight="false" outlineLevel="1" collapsed="false">
      <c r="A2998" s="7" t="s">
        <v>78</v>
      </c>
      <c r="B2998" s="8" t="s">
        <v>79</v>
      </c>
      <c r="C2998" s="69" t="n">
        <f aca="false">Pressupostos!$C$58</f>
        <v>45</v>
      </c>
      <c r="D2998" s="69" t="n">
        <f aca="false">Pressupostos!$C$58</f>
        <v>45</v>
      </c>
      <c r="E2998" s="69" t="n">
        <f aca="false">Pressupostos!$C$58</f>
        <v>45</v>
      </c>
      <c r="F2998" s="69" t="n">
        <f aca="false">Pressupostos!$C$58</f>
        <v>45</v>
      </c>
      <c r="G2998" s="69" t="n">
        <f aca="false">Pressupostos!$C$58</f>
        <v>45</v>
      </c>
      <c r="H2998" s="2" t="s">
        <v>1244</v>
      </c>
    </row>
    <row r="2999" customFormat="false" ht="15" hidden="false" customHeight="false" outlineLevel="1" collapsed="false">
      <c r="A2999" s="7" t="s">
        <v>490</v>
      </c>
      <c r="B2999" s="8" t="s">
        <v>64</v>
      </c>
      <c r="C2999" s="63" t="n">
        <f aca="false">Pressupostos!$C$66*C2997/30/1000</f>
        <v>0.002</v>
      </c>
      <c r="D2999" s="63" t="n">
        <f aca="false">Pressupostos!$C$66*D2997/30/1000</f>
        <v>0.002</v>
      </c>
      <c r="E2999" s="63" t="n">
        <f aca="false">Pressupostos!$C$66*E2997/30/1000</f>
        <v>0.002</v>
      </c>
      <c r="F2999" s="63" t="n">
        <f aca="false">Pressupostos!$C$66*F2997/30/1000</f>
        <v>0.002</v>
      </c>
      <c r="G2999" s="63" t="n">
        <f aca="false">Pressupostos!$C$66*G2997/30/1000</f>
        <v>0.002</v>
      </c>
      <c r="H2999" s="2" t="s">
        <v>1245</v>
      </c>
    </row>
    <row r="3000" customFormat="false" ht="15" hidden="false" customHeight="false" outlineLevel="1" collapsed="false">
      <c r="A3000" s="7" t="s">
        <v>165</v>
      </c>
      <c r="B3000" s="8" t="s">
        <v>64</v>
      </c>
      <c r="C3000" s="63" t="n">
        <f aca="false">C2991*Pressupostos!$C$67*C2997/365</f>
        <v>0.000201369863013699</v>
      </c>
      <c r="D3000" s="63" t="n">
        <f aca="false">D2991*Pressupostos!$C$67*D2997/365</f>
        <v>0.000201369863013699</v>
      </c>
      <c r="E3000" s="63" t="n">
        <f aca="false">E2991*Pressupostos!$C$67*E2997/365</f>
        <v>0.000201369863013699</v>
      </c>
      <c r="F3000" s="63" t="n">
        <f aca="false">F2991*Pressupostos!$C$67*F2997/365</f>
        <v>0.000201369863013699</v>
      </c>
      <c r="G3000" s="63" t="n">
        <f aca="false">G2991*Pressupostos!$C$67*G2997/365</f>
        <v>0.000201369863013699</v>
      </c>
      <c r="H3000" s="2" t="s">
        <v>1246</v>
      </c>
    </row>
    <row r="3001" customFormat="false" ht="15" hidden="false" customHeight="false" outlineLevel="1" collapsed="false">
      <c r="A3001" s="7" t="s">
        <v>672</v>
      </c>
      <c r="B3001" s="8" t="s">
        <v>64</v>
      </c>
      <c r="C3001" s="63" t="n">
        <f aca="false">Pressupostos!$C$60*Pressupostos!$C$68/(Pressupostos!$C$59*1000)</f>
        <v>0.006</v>
      </c>
      <c r="D3001" s="63" t="n">
        <f aca="false">Pressupostos!$C$60*Pressupostos!$C$68/(Pressupostos!$C$59*1000)</f>
        <v>0.006</v>
      </c>
      <c r="E3001" s="63" t="n">
        <f aca="false">Pressupostos!$C$60*Pressupostos!$C$68/(Pressupostos!$C$59*1000)</f>
        <v>0.006</v>
      </c>
      <c r="F3001" s="63" t="n">
        <f aca="false">Pressupostos!$C$60*Pressupostos!$C$68/(Pressupostos!$C$59*1000)</f>
        <v>0.006</v>
      </c>
      <c r="G3001" s="63" t="n">
        <f aca="false">Pressupostos!$C$60*Pressupostos!$C$68/(Pressupostos!$C$59*1000)</f>
        <v>0.006</v>
      </c>
      <c r="H3001" s="2" t="s">
        <v>1247</v>
      </c>
    </row>
    <row r="3002" customFormat="false" ht="15" hidden="false" customHeight="false" outlineLevel="1" collapsed="false">
      <c r="A3002" s="7" t="s">
        <v>492</v>
      </c>
      <c r="B3002" s="8" t="s">
        <v>64</v>
      </c>
      <c r="C3002" s="63" t="n">
        <f aca="false">Pressupostos!$C$69*C2991</f>
        <v>0.01225</v>
      </c>
      <c r="D3002" s="63" t="n">
        <f aca="false">Pressupostos!$C$69*D2991</f>
        <v>0.01225</v>
      </c>
      <c r="E3002" s="63" t="n">
        <f aca="false">Pressupostos!$C$69*E2991</f>
        <v>0.01225</v>
      </c>
      <c r="F3002" s="63" t="n">
        <f aca="false">Pressupostos!$C$69*F2991</f>
        <v>0.01225</v>
      </c>
      <c r="G3002" s="63" t="n">
        <f aca="false">Pressupostos!$C$69*G2991</f>
        <v>0.01225</v>
      </c>
      <c r="H3002" s="2" t="s">
        <v>1248</v>
      </c>
    </row>
    <row r="3003" customFormat="false" ht="15" hidden="false" customHeight="false" outlineLevel="1" collapsed="false">
      <c r="A3003" s="7" t="s">
        <v>493</v>
      </c>
      <c r="B3003" s="8" t="s">
        <v>64</v>
      </c>
      <c r="C3003" s="63" t="n">
        <f aca="false">Pressupostos!$C$70*Pressupostos!$C$71*C2997/90</f>
        <v>0.0015</v>
      </c>
      <c r="D3003" s="63" t="n">
        <f aca="false">Pressupostos!$C$70*Pressupostos!$C$71*D2997/90</f>
        <v>0.0015</v>
      </c>
      <c r="E3003" s="63" t="n">
        <f aca="false">Pressupostos!$C$70*Pressupostos!$C$71*E2997/90</f>
        <v>0.0015</v>
      </c>
      <c r="F3003" s="63" t="n">
        <f aca="false">Pressupostos!$C$70*Pressupostos!$C$71*F2997/90</f>
        <v>0.0015</v>
      </c>
      <c r="G3003" s="63" t="n">
        <f aca="false">Pressupostos!$C$70*Pressupostos!$C$71*G2997/90</f>
        <v>0.0015</v>
      </c>
      <c r="H3003" s="2" t="s">
        <v>1249</v>
      </c>
    </row>
    <row r="3004" customFormat="false" ht="15" hidden="false" customHeight="false" outlineLevel="1" collapsed="false">
      <c r="A3004" s="7" t="s">
        <v>673</v>
      </c>
      <c r="B3004" s="8" t="s">
        <v>64</v>
      </c>
      <c r="C3004" s="63" t="n">
        <f aca="false">Pressupostos!$C$61/(Pressupostos!$C$59*1000)</f>
        <v>0.012</v>
      </c>
      <c r="D3004" s="63" t="n">
        <f aca="false">Pressupostos!$C$61/(Pressupostos!$C$59*1000)</f>
        <v>0.012</v>
      </c>
      <c r="E3004" s="63" t="n">
        <f aca="false">Pressupostos!$C$61/(Pressupostos!$C$59*1000)</f>
        <v>0.012</v>
      </c>
      <c r="F3004" s="63" t="n">
        <f aca="false">Pressupostos!$C$61/(Pressupostos!$C$59*1000)</f>
        <v>0.012</v>
      </c>
      <c r="G3004" s="63" t="n">
        <f aca="false">Pressupostos!$C$61/(Pressupostos!$C$59*1000)</f>
        <v>0.012</v>
      </c>
      <c r="H3004" s="2" t="s">
        <v>1250</v>
      </c>
    </row>
    <row r="3005" customFormat="false" ht="15" hidden="false" customHeight="false" outlineLevel="1" collapsed="false">
      <c r="A3005" s="7" t="s">
        <v>139</v>
      </c>
      <c r="B3005" s="8" t="s">
        <v>64</v>
      </c>
      <c r="C3005" s="67" t="n">
        <f aca="false">Pressupostos!$C$62</f>
        <v>0.001</v>
      </c>
      <c r="D3005" s="67" t="n">
        <f aca="false">Pressupostos!$C$62</f>
        <v>0.001</v>
      </c>
      <c r="E3005" s="67" t="n">
        <f aca="false">Pressupostos!$C$62</f>
        <v>0.001</v>
      </c>
      <c r="F3005" s="67" t="n">
        <f aca="false">Pressupostos!$C$62</f>
        <v>0.001</v>
      </c>
      <c r="G3005" s="67" t="n">
        <f aca="false">Pressupostos!$C$62</f>
        <v>0.001</v>
      </c>
      <c r="H3005" s="2" t="s">
        <v>1251</v>
      </c>
    </row>
    <row r="3006" customFormat="false" ht="15" hidden="false" customHeight="false" outlineLevel="1" collapsed="false">
      <c r="A3006" s="7" t="s">
        <v>81</v>
      </c>
      <c r="B3006" s="8" t="s">
        <v>64</v>
      </c>
      <c r="C3006" s="63" t="n">
        <f aca="false">Pressupostos!$C$63*C2993</f>
        <v>0.0078</v>
      </c>
      <c r="D3006" s="63" t="n">
        <f aca="false">Pressupostos!$C$63*D2993</f>
        <v>0.0078</v>
      </c>
      <c r="E3006" s="63" t="n">
        <f aca="false">Pressupostos!$C$63*E2993</f>
        <v>0.0078</v>
      </c>
      <c r="F3006" s="63" t="n">
        <f aca="false">Pressupostos!$C$63*F2993</f>
        <v>0.0078</v>
      </c>
      <c r="G3006" s="63" t="n">
        <f aca="false">Pressupostos!$C$63*G2993</f>
        <v>0.0078</v>
      </c>
      <c r="H3006" s="2" t="s">
        <v>1252</v>
      </c>
    </row>
    <row r="3007" customFormat="false" ht="15" hidden="false" customHeight="false" outlineLevel="1" collapsed="false">
      <c r="A3007" s="7" t="s">
        <v>674</v>
      </c>
      <c r="B3007" s="8" t="s">
        <v>64</v>
      </c>
      <c r="C3007" s="63" t="n">
        <f aca="false">Pressupostos!$C$73*C2993</f>
        <v>0</v>
      </c>
      <c r="D3007" s="63" t="n">
        <f aca="false">Pressupostos!$C$73*D2993</f>
        <v>0</v>
      </c>
      <c r="E3007" s="63" t="n">
        <f aca="false">Pressupostos!$C$73*E2993</f>
        <v>0</v>
      </c>
      <c r="F3007" s="63" t="n">
        <f aca="false">Pressupostos!$C$73*F2993</f>
        <v>0</v>
      </c>
      <c r="G3007" s="63" t="n">
        <f aca="false">Pressupostos!$C$73*G2993</f>
        <v>0</v>
      </c>
      <c r="H3007" s="2" t="s">
        <v>1253</v>
      </c>
    </row>
    <row r="3008" customFormat="false" ht="15" hidden="false" customHeight="false" outlineLevel="1" collapsed="false">
      <c r="A3008" s="7" t="s">
        <v>675</v>
      </c>
      <c r="B3008" s="8" t="s">
        <v>64</v>
      </c>
      <c r="C3008" s="63" t="n">
        <f aca="false">Pressupostos!$C$288*(C2991+C2994)*(C2997+C2998-Pressupostos!$C$72)/365*Pressupostos!$C$282/Pressupostos!$D$31</f>
        <v>0</v>
      </c>
      <c r="D3008" s="63" t="n">
        <f aca="false">Pressupostos!$D$288*(D2991+D2994)*(D2997+D2998-Pressupostos!$C$72)/365*Pressupostos!$D$282/Pressupostos!$D$31</f>
        <v>0.0181232876712329</v>
      </c>
      <c r="E3008" s="63" t="n">
        <f aca="false">Pressupostos!$E$288*(E2991+E2994)*(E2997+E2998-Pressupostos!$C$72)/365*Pressupostos!$E$282/Pressupostos!$D$31</f>
        <v>0.0169905821917808</v>
      </c>
      <c r="F3008" s="63" t="n">
        <f aca="false">Pressupostos!$F$288*(F2991+F2994)*(F2997+F2998-Pressupostos!$C$72)/365*Pressupostos!$F$282/Pressupostos!$D$31</f>
        <v>0.0158578767123288</v>
      </c>
      <c r="G3008" s="63" t="n">
        <f aca="false">Pressupostos!$G$288*(G2991+G2994)*(G2997+G2998-Pressupostos!$C$72)/365*Pressupostos!$G$282/Pressupostos!$D$31</f>
        <v>0.0158578767123288</v>
      </c>
      <c r="H3008" s="2" t="s">
        <v>1254</v>
      </c>
    </row>
    <row r="3009" customFormat="false" ht="15" hidden="false" customHeight="false" outlineLevel="1" collapsed="false">
      <c r="A3009" s="7" t="s">
        <v>676</v>
      </c>
      <c r="B3009" s="8" t="s">
        <v>64</v>
      </c>
      <c r="C3009" s="63" t="n">
        <f aca="false">C2991+C2994+C2995+C2996+C2999+C3000+C3001+C3002+C3003+C3004+C3005+C3006+C3007+C3008</f>
        <v>2.53275136986301</v>
      </c>
      <c r="D3009" s="63" t="n">
        <f aca="false">D2991+D2994+D2995+D2996+D2999+D3000+D3001+D3002+D3003+D3004+D3005+D3006+D3007+D3008</f>
        <v>2.55087465753425</v>
      </c>
      <c r="E3009" s="63" t="n">
        <f aca="false">E2991+E2994+E2995+E2996+E2999+E3000+E3001+E3002+E3003+E3004+E3005+E3006+E3007+E3008</f>
        <v>2.54974195205479</v>
      </c>
      <c r="F3009" s="63" t="n">
        <f aca="false">F2991+F2994+F2995+F2996+F2999+F3000+F3001+F3002+F3003+F3004+F3005+F3006+F3007+F3008</f>
        <v>2.54860924657534</v>
      </c>
      <c r="G3009" s="63" t="n">
        <f aca="false">G2991+G2994+G2995+G2996+G2999+G3000+G3001+G3002+G3003+G3004+G3005+G3006+G3007+G3008</f>
        <v>2.54860924657534</v>
      </c>
      <c r="H3009" s="2" t="s">
        <v>1255</v>
      </c>
    </row>
    <row r="3010" customFormat="false" ht="15" hidden="false" customHeight="false" outlineLevel="1" collapsed="false">
      <c r="A3010" s="56" t="s">
        <v>677</v>
      </c>
      <c r="B3010" s="57" t="s">
        <v>64</v>
      </c>
      <c r="C3010" s="68" t="n">
        <f aca="false">C2993-C3009</f>
        <v>0.0672486301369868</v>
      </c>
      <c r="D3010" s="68" t="n">
        <f aca="false">D2993-D3009</f>
        <v>0.0491253424657541</v>
      </c>
      <c r="E3010" s="68" t="n">
        <f aca="false">E2993-E3009</f>
        <v>0.0502580479452059</v>
      </c>
      <c r="F3010" s="68" t="n">
        <f aca="false">F2993-F3009</f>
        <v>0.0513907534246578</v>
      </c>
      <c r="G3010" s="68" t="n">
        <f aca="false">G2993-G3009</f>
        <v>0.0513907534246578</v>
      </c>
      <c r="H3010" s="2" t="s">
        <v>1256</v>
      </c>
    </row>
    <row r="3011" customFormat="false" ht="15" hidden="false" customHeight="false" outlineLevel="1" collapsed="false">
      <c r="A3011" s="7" t="s">
        <v>678</v>
      </c>
      <c r="B3011" s="8" t="s">
        <v>76</v>
      </c>
      <c r="C3011" s="59" t="n">
        <f aca="false">IF(C2993&gt;0,C3010/C2993,0)</f>
        <v>0.0258648577449949</v>
      </c>
      <c r="D3011" s="59" t="n">
        <f aca="false">IF(D2993&gt;0,D3010/D2993,0)</f>
        <v>0.0188943624868285</v>
      </c>
      <c r="E3011" s="59" t="n">
        <f aca="false">IF(E2993&gt;0,E3010/E2993,0)</f>
        <v>0.0193300184404638</v>
      </c>
      <c r="F3011" s="59" t="n">
        <f aca="false">IF(F2993&gt;0,F3010/F2993,0)</f>
        <v>0.0197656743940992</v>
      </c>
      <c r="G3011" s="59" t="n">
        <f aca="false">IF(G2993&gt;0,G3010/G2993,0)</f>
        <v>0.0197656743940992</v>
      </c>
      <c r="H3011" s="2" t="s">
        <v>1257</v>
      </c>
    </row>
    <row r="3012" customFormat="false" ht="15" hidden="false" customHeight="false" outlineLevel="1" collapsed="false">
      <c r="A3012" s="7" t="s">
        <v>679</v>
      </c>
      <c r="B3012" s="8" t="s">
        <v>64</v>
      </c>
      <c r="C3012" s="63" t="n">
        <f aca="false">(C2991+C2994)*(C2997-Pressupostos!$C$72)/365+C2993*C2998/365</f>
        <v>0.21986301369863</v>
      </c>
      <c r="D3012" s="63" t="n">
        <f aca="false">(D2991+D2994)*(D2997-Pressupostos!$C$72)/365+D2993*D2998/365</f>
        <v>0.21986301369863</v>
      </c>
      <c r="E3012" s="63" t="n">
        <f aca="false">(E2991+E2994)*(E2997-Pressupostos!$C$72)/365+E2993*E2998/365</f>
        <v>0.21986301369863</v>
      </c>
      <c r="F3012" s="63" t="n">
        <f aca="false">(F2991+F2994)*(F2997-Pressupostos!$C$72)/365+F2993*F2998/365</f>
        <v>0.21986301369863</v>
      </c>
      <c r="G3012" s="63" t="n">
        <f aca="false">(G2991+G2994)*(G2997-Pressupostos!$C$72)/365+G2993*G2998/365</f>
        <v>0.21986301369863</v>
      </c>
      <c r="H3012" s="2" t="s">
        <v>1258</v>
      </c>
    </row>
    <row r="3013" customFormat="false" ht="15" hidden="false" customHeight="false" outlineLevel="0" collapsed="false">
      <c r="A3013" s="3" t="s">
        <v>1259</v>
      </c>
      <c r="B3013" s="4"/>
      <c r="C3013" s="4"/>
      <c r="D3013" s="4"/>
      <c r="E3013" s="4"/>
      <c r="F3013" s="4"/>
      <c r="G3013" s="4"/>
      <c r="H3013" s="4"/>
    </row>
    <row r="3014" customFormat="false" ht="15" hidden="false" customHeight="false" outlineLevel="1" collapsed="false">
      <c r="A3014" s="7" t="s">
        <v>683</v>
      </c>
      <c r="B3014" s="8" t="s">
        <v>64</v>
      </c>
      <c r="C3014" s="63" t="n">
        <f aca="false">Pressupostos!$C$64*(Pressupostos!$D$10*(1+Pressupostos!$C$197))</f>
        <v>0.018375</v>
      </c>
      <c r="D3014" s="63" t="n">
        <f aca="false">Pressupostos!$C$64*(Pressupostos!$D$10*(1+Pressupostos!$C$197))</f>
        <v>0.018375</v>
      </c>
      <c r="E3014" s="63" t="n">
        <f aca="false">Pressupostos!$C$64*(Pressupostos!$D$10*(1+Pressupostos!$C$197))</f>
        <v>0.018375</v>
      </c>
      <c r="F3014" s="63" t="n">
        <f aca="false">Pressupostos!$C$64*(Pressupostos!$D$10*(1+Pressupostos!$C$197))</f>
        <v>0.018375</v>
      </c>
      <c r="G3014" s="63" t="n">
        <f aca="false">Pressupostos!$C$64*(Pressupostos!$D$10*(1+Pressupostos!$C$197))</f>
        <v>0.018375</v>
      </c>
      <c r="H3014" s="2" t="s">
        <v>1260</v>
      </c>
    </row>
    <row r="3015" customFormat="false" ht="15" hidden="false" customHeight="false" outlineLevel="1" collapsed="false">
      <c r="A3015" s="7" t="s">
        <v>684</v>
      </c>
      <c r="B3015" s="8" t="s">
        <v>64</v>
      </c>
      <c r="C3015" s="63" t="n">
        <f aca="false">C3004+C3001+C3005</f>
        <v>0.019</v>
      </c>
      <c r="D3015" s="63" t="n">
        <f aca="false">D3004+D3001+D3005</f>
        <v>0.019</v>
      </c>
      <c r="E3015" s="63" t="n">
        <f aca="false">E3004+E3001+E3005</f>
        <v>0.019</v>
      </c>
      <c r="F3015" s="63" t="n">
        <f aca="false">F3004+F3001+F3005</f>
        <v>0.019</v>
      </c>
      <c r="G3015" s="63" t="n">
        <f aca="false">G3004+G3001+G3005</f>
        <v>0.019</v>
      </c>
      <c r="H3015" s="2" t="s">
        <v>1261</v>
      </c>
    </row>
    <row r="3016" customFormat="false" ht="15" hidden="false" customHeight="false" outlineLevel="1" collapsed="false">
      <c r="A3016" s="56" t="s">
        <v>561</v>
      </c>
      <c r="B3016" s="57" t="s">
        <v>64</v>
      </c>
      <c r="C3016" s="68" t="n">
        <f aca="false">C3014-C3015</f>
        <v>-0.000625000000000004</v>
      </c>
      <c r="D3016" s="68" t="n">
        <f aca="false">D3014-D3015</f>
        <v>-0.000625000000000004</v>
      </c>
      <c r="E3016" s="68" t="n">
        <f aca="false">E3014-E3015</f>
        <v>-0.000625000000000004</v>
      </c>
      <c r="F3016" s="68" t="n">
        <f aca="false">F3014-F3015</f>
        <v>-0.000625000000000004</v>
      </c>
      <c r="G3016" s="68" t="n">
        <f aca="false">G3014-G3015</f>
        <v>-0.000625000000000004</v>
      </c>
      <c r="H3016" s="2" t="s">
        <v>1262</v>
      </c>
    </row>
    <row r="3017" customFormat="false" ht="15" hidden="false" customHeight="false" outlineLevel="0" collapsed="false">
      <c r="A3017" s="3" t="s">
        <v>1263</v>
      </c>
      <c r="B3017" s="4"/>
      <c r="C3017" s="4"/>
      <c r="D3017" s="4"/>
      <c r="E3017" s="4"/>
      <c r="F3017" s="4"/>
      <c r="G3017" s="4"/>
      <c r="H3017" s="4"/>
    </row>
    <row r="3018" customFormat="false" ht="15" hidden="false" customHeight="false" outlineLevel="1" collapsed="false">
      <c r="A3018" s="7" t="s">
        <v>608</v>
      </c>
      <c r="B3018" s="8" t="s">
        <v>11</v>
      </c>
      <c r="C3018" s="61" t="n">
        <f aca="false">C2927*1000*C2947</f>
        <v>28476</v>
      </c>
      <c r="D3018" s="61" t="n">
        <f aca="false">D2927*1000*D2947</f>
        <v>131701.5</v>
      </c>
      <c r="E3018" s="61" t="n">
        <f aca="false">E2927*1000*E2947</f>
        <v>473413.5</v>
      </c>
      <c r="F3018" s="61" t="n">
        <f aca="false">F2927*1000*F2947</f>
        <v>950386.5</v>
      </c>
      <c r="G3018" s="61" t="n">
        <f aca="false">G2927*1000*G2947</f>
        <v>1459395</v>
      </c>
      <c r="H3018" s="2" t="s">
        <v>1264</v>
      </c>
    </row>
    <row r="3019" customFormat="false" ht="15" hidden="false" customHeight="false" outlineLevel="1" collapsed="false">
      <c r="A3019" s="7" t="s">
        <v>609</v>
      </c>
      <c r="B3019" s="8" t="s">
        <v>11</v>
      </c>
      <c r="C3019" s="61" t="n">
        <f aca="false">C2928*1000*C2970</f>
        <v>158340</v>
      </c>
      <c r="D3019" s="61" t="n">
        <f aca="false">D2928*1000*D2970</f>
        <v>1105335</v>
      </c>
      <c r="E3019" s="61" t="n">
        <f aca="false">E2928*1000*E2970</f>
        <v>2183265</v>
      </c>
      <c r="F3019" s="61" t="n">
        <f aca="false">F2928*1000*F2970</f>
        <v>3602235</v>
      </c>
      <c r="G3019" s="61" t="n">
        <f aca="false">G2928*1000*G2970</f>
        <v>5450550</v>
      </c>
      <c r="H3019" s="2" t="s">
        <v>1265</v>
      </c>
    </row>
    <row r="3020" customFormat="false" ht="15" hidden="false" customHeight="false" outlineLevel="1" collapsed="false">
      <c r="A3020" s="7" t="s">
        <v>610</v>
      </c>
      <c r="B3020" s="8" t="s">
        <v>11</v>
      </c>
      <c r="C3020" s="61" t="n">
        <f aca="false">C2930*1000*C2993</f>
        <v>0</v>
      </c>
      <c r="D3020" s="61" t="n">
        <f aca="false">D2930*1000*D2993</f>
        <v>0</v>
      </c>
      <c r="E3020" s="61" t="n">
        <f aca="false">E2930*1000*E2993</f>
        <v>0</v>
      </c>
      <c r="F3020" s="61" t="n">
        <f aca="false">F2930*1000*F2993</f>
        <v>0</v>
      </c>
      <c r="G3020" s="61" t="n">
        <f aca="false">G2930*1000*G2993</f>
        <v>0</v>
      </c>
      <c r="H3020" s="2" t="s">
        <v>1266</v>
      </c>
    </row>
    <row r="3021" customFormat="false" ht="15" hidden="false" customHeight="false" outlineLevel="1" collapsed="false">
      <c r="A3021" s="7" t="s">
        <v>611</v>
      </c>
      <c r="B3021" s="8" t="s">
        <v>11</v>
      </c>
      <c r="C3021" s="61" t="n">
        <f aca="false">C3018+C3019+C3020</f>
        <v>186816</v>
      </c>
      <c r="D3021" s="61" t="n">
        <f aca="false">D3018+D3019+D3020</f>
        <v>1237036.5</v>
      </c>
      <c r="E3021" s="61" t="n">
        <f aca="false">E3018+E3019+E3020</f>
        <v>2656678.5</v>
      </c>
      <c r="F3021" s="61" t="n">
        <f aca="false">F3018+F3019+F3020</f>
        <v>4552621.5</v>
      </c>
      <c r="G3021" s="61" t="n">
        <f aca="false">G3018+G3019+G3020</f>
        <v>6909945</v>
      </c>
      <c r="H3021" s="2" t="s">
        <v>1267</v>
      </c>
    </row>
    <row r="3022" customFormat="false" ht="15" hidden="false" customHeight="false" outlineLevel="1" collapsed="false">
      <c r="A3022" s="7" t="s">
        <v>612</v>
      </c>
      <c r="B3022" s="8" t="s">
        <v>11</v>
      </c>
      <c r="C3022" s="61" t="n">
        <f aca="false">C2940*1000*Pressupostos!$C$93</f>
        <v>0</v>
      </c>
      <c r="D3022" s="61" t="n">
        <f aca="false">D2940*1000*Pressupostos!$C$93</f>
        <v>0</v>
      </c>
      <c r="E3022" s="61" t="n">
        <f aca="false">E2940*1000*Pressupostos!$C$93</f>
        <v>235500</v>
      </c>
      <c r="F3022" s="61" t="n">
        <f aca="false">F2940*1000*Pressupostos!$C$93</f>
        <v>471000</v>
      </c>
      <c r="G3022" s="61" t="n">
        <f aca="false">G2940*1000*Pressupostos!$C$93</f>
        <v>785000</v>
      </c>
      <c r="H3022" s="2" t="s">
        <v>1268</v>
      </c>
    </row>
    <row r="3023" customFormat="false" ht="15" hidden="false" customHeight="false" outlineLevel="1" collapsed="false">
      <c r="A3023" s="2" t="s">
        <v>613</v>
      </c>
      <c r="B3023" s="8" t="s">
        <v>11</v>
      </c>
      <c r="C3023" s="61" t="n">
        <f aca="false">C2938*Pressupostos!$C$80*(1-Pressupostos!$C$81)</f>
        <v>40500</v>
      </c>
      <c r="D3023" s="61" t="n">
        <f aca="false">D2938*Pressupostos!$C$80*(1-Pressupostos!$C$81)</f>
        <v>162000</v>
      </c>
      <c r="E3023" s="61" t="n">
        <f aca="false">E2938*Pressupostos!$C$80*(1-Pressupostos!$C$81)</f>
        <v>270000</v>
      </c>
      <c r="F3023" s="61" t="n">
        <f aca="false">F2938*Pressupostos!$C$80*(1-Pressupostos!$C$81)</f>
        <v>378000</v>
      </c>
      <c r="G3023" s="61" t="n">
        <f aca="false">G2938*Pressupostos!$C$80*(1-Pressupostos!$C$81)</f>
        <v>486000</v>
      </c>
      <c r="H3023" s="2" t="s">
        <v>1269</v>
      </c>
    </row>
    <row r="3024" customFormat="false" ht="15" hidden="false" customHeight="false" outlineLevel="1" collapsed="false">
      <c r="A3024" s="7" t="s">
        <v>614</v>
      </c>
      <c r="B3024" s="8" t="s">
        <v>11</v>
      </c>
      <c r="C3024" s="61" t="n">
        <f aca="false">C3023*Pressupostos!$D$27</f>
        <v>810</v>
      </c>
      <c r="D3024" s="61" t="n">
        <f aca="false">D3023*Pressupostos!$D$27</f>
        <v>3240</v>
      </c>
      <c r="E3024" s="61" t="n">
        <f aca="false">E3023*Pressupostos!$D$27</f>
        <v>5400</v>
      </c>
      <c r="F3024" s="61" t="n">
        <f aca="false">F3023*Pressupostos!$D$27</f>
        <v>7560</v>
      </c>
      <c r="G3024" s="61" t="n">
        <f aca="false">G3023*Pressupostos!$D$27</f>
        <v>9720</v>
      </c>
      <c r="H3024" s="2" t="s">
        <v>1270</v>
      </c>
    </row>
    <row r="3025" customFormat="false" ht="15" hidden="false" customHeight="false" outlineLevel="1" collapsed="false">
      <c r="A3025" s="7" t="s">
        <v>615</v>
      </c>
      <c r="B3025" s="8" t="s">
        <v>11</v>
      </c>
      <c r="C3025" s="61" t="n">
        <f aca="false">C2931*1000*C3014</f>
        <v>0</v>
      </c>
      <c r="D3025" s="61" t="n">
        <f aca="false">D2931*1000*D3014</f>
        <v>0</v>
      </c>
      <c r="E3025" s="61" t="n">
        <f aca="false">E2931*1000*E3014</f>
        <v>0</v>
      </c>
      <c r="F3025" s="61" t="n">
        <f aca="false">F2931*1000*F3014</f>
        <v>0</v>
      </c>
      <c r="G3025" s="61" t="n">
        <f aca="false">G2931*1000*G3014</f>
        <v>0</v>
      </c>
      <c r="H3025" s="2" t="s">
        <v>1271</v>
      </c>
    </row>
    <row r="3026" customFormat="false" ht="15" hidden="false" customHeight="false" outlineLevel="1" collapsed="false">
      <c r="A3026" s="7" t="s">
        <v>616</v>
      </c>
      <c r="B3026" s="8" t="s">
        <v>11</v>
      </c>
      <c r="C3026" s="61" t="n">
        <f aca="false">C2942*(Pressupostos!$C$101*Pressupostos!$C$102+Pressupostos!$C$103)</f>
        <v>0</v>
      </c>
      <c r="D3026" s="61" t="n">
        <f aca="false">D2942*(Pressupostos!$C$101*Pressupostos!$C$102+Pressupostos!$C$103)</f>
        <v>10000</v>
      </c>
      <c r="E3026" s="61" t="n">
        <f aca="false">E2942*(Pressupostos!$C$101*Pressupostos!$C$102+Pressupostos!$C$103)</f>
        <v>30000</v>
      </c>
      <c r="F3026" s="61" t="n">
        <f aca="false">F2942*(Pressupostos!$C$101*Pressupostos!$C$102+Pressupostos!$C$103)</f>
        <v>60000</v>
      </c>
      <c r="G3026" s="61" t="n">
        <f aca="false">G2942*(Pressupostos!$C$101*Pressupostos!$C$102+Pressupostos!$C$103)</f>
        <v>100000</v>
      </c>
      <c r="H3026" s="2" t="s">
        <v>1272</v>
      </c>
    </row>
    <row r="3027" customFormat="false" ht="15" hidden="false" customHeight="false" outlineLevel="1" collapsed="false">
      <c r="A3027" s="7" t="s">
        <v>617</v>
      </c>
      <c r="B3027" s="8" t="s">
        <v>11</v>
      </c>
      <c r="C3027" s="53" t="n">
        <f aca="false">Pressupostos!$C$275</f>
        <v>0</v>
      </c>
      <c r="D3027" s="53" t="n">
        <f aca="false">Pressupostos!$D$275</f>
        <v>0</v>
      </c>
      <c r="E3027" s="53" t="n">
        <f aca="false">Pressupostos!$E$275</f>
        <v>0</v>
      </c>
      <c r="F3027" s="53" t="n">
        <f aca="false">Pressupostos!$F$275</f>
        <v>10000</v>
      </c>
      <c r="G3027" s="53" t="n">
        <f aca="false">Pressupostos!$G$275</f>
        <v>30000</v>
      </c>
      <c r="H3027" s="2" t="s">
        <v>1273</v>
      </c>
    </row>
    <row r="3028" customFormat="false" ht="15" hidden="false" customHeight="false" outlineLevel="1" collapsed="false">
      <c r="A3028" s="56" t="s">
        <v>618</v>
      </c>
      <c r="B3028" s="57" t="s">
        <v>11</v>
      </c>
      <c r="C3028" s="62" t="n">
        <f aca="false">C3021+C3022+C3024+C3025+C3026+C3027</f>
        <v>187626</v>
      </c>
      <c r="D3028" s="62" t="n">
        <f aca="false">D3021+D3022+D3024+D3025+D3026+D3027</f>
        <v>1250276.5</v>
      </c>
      <c r="E3028" s="62" t="n">
        <f aca="false">E3021+E3022+E3024+E3025+E3026+E3027</f>
        <v>2927578.5</v>
      </c>
      <c r="F3028" s="62" t="n">
        <f aca="false">F3021+F3022+F3024+F3025+F3026+F3027</f>
        <v>5101181.5</v>
      </c>
      <c r="G3028" s="62" t="n">
        <f aca="false">G3021+G3022+G3024+G3025+G3026+G3027</f>
        <v>7834665</v>
      </c>
      <c r="H3028" s="2" t="s">
        <v>1274</v>
      </c>
    </row>
    <row r="3029" customFormat="false" ht="15" hidden="false" customHeight="false" outlineLevel="0" collapsed="false">
      <c r="A3029" s="3" t="s">
        <v>1275</v>
      </c>
      <c r="B3029" s="4"/>
      <c r="C3029" s="4"/>
      <c r="D3029" s="4"/>
      <c r="E3029" s="4"/>
      <c r="F3029" s="4"/>
      <c r="G3029" s="4"/>
      <c r="H3029" s="4"/>
    </row>
    <row r="3030" customFormat="false" ht="15" hidden="false" customHeight="false" outlineLevel="1" collapsed="false">
      <c r="A3030" s="2" t="s">
        <v>620</v>
      </c>
      <c r="B3030" s="8" t="s">
        <v>11</v>
      </c>
      <c r="C3030" s="61" t="n">
        <f aca="false">C2931*1000*(Pressupostos!$D$10*(1+Pressupostos!$C$197))</f>
        <v>0</v>
      </c>
      <c r="D3030" s="61" t="n">
        <f aca="false">D2931*1000*(Pressupostos!$D$10*(1+Pressupostos!$C$197))</f>
        <v>0</v>
      </c>
      <c r="E3030" s="61" t="n">
        <f aca="false">E2931*1000*(Pressupostos!$D$10*(1+Pressupostos!$C$197))</f>
        <v>0</v>
      </c>
      <c r="F3030" s="61" t="n">
        <f aca="false">F2931*1000*(Pressupostos!$D$10*(1+Pressupostos!$C$197))</f>
        <v>0</v>
      </c>
      <c r="G3030" s="61" t="n">
        <f aca="false">G2931*1000*(Pressupostos!$D$10*(1+Pressupostos!$C$197))</f>
        <v>0</v>
      </c>
      <c r="H3030" s="2" t="s">
        <v>1276</v>
      </c>
    </row>
    <row r="3031" customFormat="false" ht="15" hidden="false" customHeight="false" outlineLevel="1" collapsed="false">
      <c r="A3031" s="56" t="s">
        <v>621</v>
      </c>
      <c r="B3031" s="57" t="s">
        <v>11</v>
      </c>
      <c r="C3031" s="62" t="n">
        <f aca="false">C3021+C3022+C3023+C3030</f>
        <v>227316</v>
      </c>
      <c r="D3031" s="62" t="n">
        <f aca="false">D3021+D3022+D3023+D3030</f>
        <v>1399036.5</v>
      </c>
      <c r="E3031" s="62" t="n">
        <f aca="false">E3021+E3022+E3023+E3030</f>
        <v>3162178.5</v>
      </c>
      <c r="F3031" s="62" t="n">
        <f aca="false">F3021+F3022+F3023+F3030</f>
        <v>5401621.5</v>
      </c>
      <c r="G3031" s="62" t="n">
        <f aca="false">G3021+G3022+G3023+G3030</f>
        <v>8180945</v>
      </c>
      <c r="H3031" s="2" t="s">
        <v>1277</v>
      </c>
    </row>
    <row r="3032" customFormat="false" ht="15" hidden="false" customHeight="false" outlineLevel="1" collapsed="false">
      <c r="A3032" s="7" t="s">
        <v>622</v>
      </c>
      <c r="B3032" s="8" t="s">
        <v>11</v>
      </c>
      <c r="C3032" s="61" t="n">
        <f aca="false">C3031-C3030-C3020</f>
        <v>227316</v>
      </c>
      <c r="D3032" s="61" t="n">
        <f aca="false">D3031-D3030-D3020</f>
        <v>1399036.5</v>
      </c>
      <c r="E3032" s="61" t="n">
        <f aca="false">E3031-E3030-E3020</f>
        <v>3162178.5</v>
      </c>
      <c r="F3032" s="61" t="n">
        <f aca="false">F3031-F3030-F3020</f>
        <v>5401621.5</v>
      </c>
      <c r="G3032" s="61" t="n">
        <f aca="false">G3031-G3030-G3020</f>
        <v>8180945</v>
      </c>
      <c r="H3032" s="2" t="s">
        <v>1278</v>
      </c>
    </row>
    <row r="3033" customFormat="false" ht="15" hidden="false" customHeight="false" outlineLevel="1" collapsed="false">
      <c r="A3033" s="7" t="s">
        <v>623</v>
      </c>
      <c r="B3033" s="8" t="s">
        <v>11</v>
      </c>
      <c r="C3033" s="61" t="n">
        <f aca="false">C2927*1000*(C2945+C2948)+C2928*1000*(C2968+C2971)+C2930*1000*(C2991+C2994)+C2940*1000*Pressupostos!$C$92</f>
        <v>180800</v>
      </c>
      <c r="D3033" s="61" t="n">
        <f aca="false">D2927*1000*(D2945+D2948)+D2928*1000*(D2968+D2971)+D2930*1000*(D2991+D2994)+D2940*1000*Pressupostos!$C$92</f>
        <v>1203700</v>
      </c>
      <c r="E3033" s="61" t="n">
        <f aca="false">E2927*1000*(E2945+E2948)+E2928*1000*(E2968+E2971)+E2930*1000*(E2991+E2994)+E2940*1000*Pressupostos!$C$92</f>
        <v>2773300</v>
      </c>
      <c r="F3033" s="61" t="n">
        <f aca="false">F2927*1000*(F2945+F2948)+F2928*1000*(F2968+F2971)+F2930*1000*(F2991+F2994)+F2940*1000*Pressupostos!$C$92</f>
        <v>4796700</v>
      </c>
      <c r="G3033" s="61" t="n">
        <f aca="false">G2927*1000*(G2945+G2948)+G2928*1000*(G2968+G2971)+G2930*1000*(G2991+G2994)+G2940*1000*Pressupostos!$C$92</f>
        <v>7341000</v>
      </c>
      <c r="H3033" s="2" t="s">
        <v>1279</v>
      </c>
    </row>
    <row r="3034" customFormat="false" ht="15" hidden="false" customHeight="false" outlineLevel="1" collapsed="false">
      <c r="A3034" s="7" t="s">
        <v>624</v>
      </c>
      <c r="B3034" s="8" t="s">
        <v>11</v>
      </c>
      <c r="C3034" s="61" t="n">
        <f aca="false">C3033*Pressupostos!$C$282</f>
        <v>0</v>
      </c>
      <c r="D3034" s="61" t="n">
        <f aca="false">D3033*Pressupostos!$D$282</f>
        <v>1083330</v>
      </c>
      <c r="E3034" s="61" t="n">
        <f aca="false">E3033*Pressupostos!$E$282</f>
        <v>2495970</v>
      </c>
      <c r="F3034" s="61" t="n">
        <f aca="false">F3033*Pressupostos!$F$282</f>
        <v>4317030</v>
      </c>
      <c r="G3034" s="61" t="n">
        <f aca="false">G3033*Pressupostos!$G$282</f>
        <v>6606900</v>
      </c>
      <c r="H3034" s="2" t="s">
        <v>1280</v>
      </c>
    </row>
    <row r="3035" customFormat="false" ht="15" hidden="false" customHeight="false" outlineLevel="0" collapsed="false">
      <c r="A3035" s="3" t="s">
        <v>1281</v>
      </c>
      <c r="B3035" s="4"/>
      <c r="C3035" s="4"/>
      <c r="D3035" s="4"/>
      <c r="E3035" s="4"/>
      <c r="F3035" s="4"/>
      <c r="G3035" s="4"/>
      <c r="H3035" s="4"/>
    </row>
    <row r="3036" customFormat="false" ht="15" hidden="false" customHeight="false" outlineLevel="1" collapsed="false">
      <c r="A3036" s="7" t="s">
        <v>626</v>
      </c>
      <c r="B3036" s="8" t="s">
        <v>11</v>
      </c>
      <c r="C3036" s="61" t="n">
        <f aca="false">C2927*1000*C2964</f>
        <v>-952.976547945195</v>
      </c>
      <c r="D3036" s="61" t="n">
        <f aca="false">D2927*1000*D2964</f>
        <v>-9639.72201369858</v>
      </c>
      <c r="E3036" s="61" t="n">
        <f aca="false">E2927*1000*E2964</f>
        <v>-13508.3107945205</v>
      </c>
      <c r="F3036" s="61" t="n">
        <f aca="false">F2927*1000*F2964</f>
        <v>-23810.4053013696</v>
      </c>
      <c r="G3036" s="61" t="n">
        <f aca="false">G2927*1000*G2964</f>
        <v>-36562.7946575339</v>
      </c>
      <c r="H3036" s="2" t="s">
        <v>1282</v>
      </c>
    </row>
    <row r="3037" customFormat="false" ht="15" hidden="false" customHeight="false" outlineLevel="1" collapsed="false">
      <c r="A3037" s="7" t="s">
        <v>627</v>
      </c>
      <c r="B3037" s="8" t="s">
        <v>11</v>
      </c>
      <c r="C3037" s="61" t="n">
        <f aca="false">C2928*1000*C2987</f>
        <v>-7763.81726027401</v>
      </c>
      <c r="D3037" s="61" t="n">
        <f aca="false">D2928*1000*D2987</f>
        <v>-66280.8413013702</v>
      </c>
      <c r="E3037" s="61" t="n">
        <f aca="false">E2928*1000*E2987</f>
        <v>-122256.652191781</v>
      </c>
      <c r="F3037" s="61" t="n">
        <f aca="false">F2928*1000*F2987</f>
        <v>-199253.743356165</v>
      </c>
      <c r="G3037" s="61" t="n">
        <f aca="false">G2928*1000*G2987</f>
        <v>-301491.293835618</v>
      </c>
      <c r="H3037" s="2" t="s">
        <v>1283</v>
      </c>
    </row>
    <row r="3038" customFormat="false" ht="15" hidden="false" customHeight="false" outlineLevel="1" collapsed="false">
      <c r="A3038" s="7" t="s">
        <v>628</v>
      </c>
      <c r="B3038" s="8" t="s">
        <v>11</v>
      </c>
      <c r="C3038" s="61" t="n">
        <f aca="false">C2930*1000*C3010+C2931*1000*C3016</f>
        <v>0</v>
      </c>
      <c r="D3038" s="61" t="n">
        <f aca="false">D2930*1000*D3010+D2931*1000*D3016</f>
        <v>0</v>
      </c>
      <c r="E3038" s="61" t="n">
        <f aca="false">E2930*1000*E3010+E2931*1000*E3016</f>
        <v>0</v>
      </c>
      <c r="F3038" s="61" t="n">
        <f aca="false">F2930*1000*F3010+F2931*1000*F3016</f>
        <v>0</v>
      </c>
      <c r="G3038" s="61" t="n">
        <f aca="false">G2930*1000*G3010+G2931*1000*G3016</f>
        <v>0</v>
      </c>
      <c r="H3038" s="2" t="s">
        <v>1284</v>
      </c>
    </row>
    <row r="3039" customFormat="false" ht="15" hidden="false" customHeight="false" outlineLevel="1" collapsed="false">
      <c r="A3039" s="7" t="s">
        <v>629</v>
      </c>
      <c r="B3039" s="8" t="s">
        <v>11</v>
      </c>
      <c r="C3039" s="61" t="n">
        <f aca="false">C3036+C3037+C3038</f>
        <v>-8716.7938082192</v>
      </c>
      <c r="D3039" s="61" t="n">
        <f aca="false">D3036+D3037+D3038</f>
        <v>-75920.5633150687</v>
      </c>
      <c r="E3039" s="61" t="n">
        <f aca="false">E3036+E3037+E3038</f>
        <v>-135764.962986302</v>
      </c>
      <c r="F3039" s="61" t="n">
        <f aca="false">F3036+F3037+F3038</f>
        <v>-223064.148657535</v>
      </c>
      <c r="G3039" s="61" t="n">
        <f aca="false">G3036+G3037+G3038</f>
        <v>-338054.088493151</v>
      </c>
      <c r="H3039" s="2" t="s">
        <v>1285</v>
      </c>
    </row>
    <row r="3040" customFormat="false" ht="15" hidden="false" customHeight="false" outlineLevel="1" collapsed="false">
      <c r="A3040" s="7" t="s">
        <v>630</v>
      </c>
      <c r="B3040" s="8" t="s">
        <v>64</v>
      </c>
      <c r="C3040" s="63" t="n">
        <f aca="false">IF(C2932&gt;0,C3039/(C2932*1000),0)</f>
        <v>-0.145279896803653</v>
      </c>
      <c r="D3040" s="63" t="n">
        <f aca="false">IF(D2932&gt;0,D3039/(D2932*1000),0)</f>
        <v>-0.189801408287672</v>
      </c>
      <c r="E3040" s="63" t="n">
        <f aca="false">IF(E2932&gt;0,E3039/(E2932*1000),0)</f>
        <v>-0.159723485866237</v>
      </c>
      <c r="F3040" s="63" t="n">
        <f aca="false">IF(F2932&gt;0,F3039/(F2932*1000),0)</f>
        <v>-0.153837343901748</v>
      </c>
      <c r="G3040" s="63" t="n">
        <f aca="false">IF(G2932&gt;0,G3039/(G2932*1000),0)</f>
        <v>-0.153660949315069</v>
      </c>
      <c r="H3040" s="2" t="s">
        <v>1286</v>
      </c>
    </row>
    <row r="3041" customFormat="false" ht="15" hidden="false" customHeight="false" outlineLevel="1" collapsed="false">
      <c r="A3041" s="7" t="s">
        <v>631</v>
      </c>
      <c r="B3041" s="8" t="s">
        <v>76</v>
      </c>
      <c r="C3041" s="59" t="n">
        <f aca="false">IF(C3021&gt;0,C3039/C3021,0)</f>
        <v>-0.0466597818613995</v>
      </c>
      <c r="D3041" s="59" t="n">
        <f aca="false">IF(D3021&gt;0,D3039/D3021,0)</f>
        <v>-0.0613729371082169</v>
      </c>
      <c r="E3041" s="59" t="n">
        <f aca="false">IF(E3021&gt;0,E3039/E3021,0)</f>
        <v>-0.0511032716176616</v>
      </c>
      <c r="F3041" s="59" t="n">
        <f aca="false">IF(F3021&gt;0,F3039/F3021,0)</f>
        <v>-0.0489968578889184</v>
      </c>
      <c r="G3041" s="59" t="n">
        <f aca="false">IF(G3021&gt;0,G3039/G3021,0)</f>
        <v>-0.0489228334658454</v>
      </c>
      <c r="H3041" s="2" t="s">
        <v>1287</v>
      </c>
    </row>
    <row r="3042" customFormat="false" ht="15" hidden="false" customHeight="false" outlineLevel="1" collapsed="false">
      <c r="A3042" s="2" t="s">
        <v>632</v>
      </c>
      <c r="B3042" s="8" t="s">
        <v>64</v>
      </c>
      <c r="C3042" s="63" t="n">
        <f aca="false">Pressupostos!$C$288*Pressupostos!$C$92*(Pressupostos!$C$95+Pressupostos!$C$96-Pressupostos!$C$97)/365*Pressupostos!$C$282/Pressupostos!$D$31</f>
        <v>0</v>
      </c>
      <c r="D3042" s="63" t="n">
        <f aca="false">Pressupostos!$D$288*Pressupostos!$C$92*(Pressupostos!$C$95+Pressupostos!$C$96-Pressupostos!$C$97)/365*Pressupostos!$D$282/Pressupostos!$D$31</f>
        <v>0.0776712328767123</v>
      </c>
      <c r="E3042" s="63" t="n">
        <f aca="false">Pressupostos!$E$288*Pressupostos!$C$92*(Pressupostos!$C$95+Pressupostos!$C$96-Pressupostos!$C$97)/365*Pressupostos!$E$282/Pressupostos!$D$31</f>
        <v>0.0728167808219178</v>
      </c>
      <c r="F3042" s="63" t="n">
        <f aca="false">Pressupostos!$F$288*Pressupostos!$C$92*(Pressupostos!$C$95+Pressupostos!$C$96-Pressupostos!$C$97)/365*Pressupostos!$F$282/Pressupostos!$D$31</f>
        <v>0.0679623287671233</v>
      </c>
      <c r="G3042" s="63" t="n">
        <f aca="false">Pressupostos!$G$288*Pressupostos!$C$92*(Pressupostos!$C$95+Pressupostos!$C$96-Pressupostos!$C$97)/365*Pressupostos!$G$282/Pressupostos!$D$31</f>
        <v>0.0679623287671233</v>
      </c>
      <c r="H3042" s="2" t="s">
        <v>1288</v>
      </c>
    </row>
    <row r="3043" customFormat="false" ht="15" hidden="false" customHeight="false" outlineLevel="1" collapsed="false">
      <c r="A3043" s="7" t="s">
        <v>600</v>
      </c>
      <c r="B3043" s="8" t="s">
        <v>11</v>
      </c>
      <c r="C3043" s="61" t="n">
        <f aca="false">C2940*1000*(Pressupostos!$C$93-Pressupostos!$C$92-Pressupostos!$C$94-C3042-Pressupostos!$C$98*Pressupostos!$C$93-Pressupostos!$C$99-Pressupostos!$D$29*Pressupostos!$C$92)</f>
        <v>0</v>
      </c>
      <c r="D3043" s="61" t="n">
        <f aca="false">D2940*1000*(Pressupostos!$C$93-Pressupostos!$C$92-Pressupostos!$C$94-D3042-Pressupostos!$C$98*Pressupostos!$C$93-Pressupostos!$C$99-Pressupostos!$D$29*Pressupostos!$C$92)</f>
        <v>0</v>
      </c>
      <c r="E3043" s="61" t="n">
        <f aca="false">E2940*1000*(Pressupostos!$C$93-Pressupostos!$C$92-Pressupostos!$C$94-E3042-Pressupostos!$C$98*Pressupostos!$C$93-Pressupostos!$C$99-Pressupostos!$D$29*Pressupostos!$C$92)</f>
        <v>16502.4965753425</v>
      </c>
      <c r="F3043" s="61" t="n">
        <f aca="false">F2940*1000*(Pressupostos!$C$93-Pressupostos!$C$92-Pressupostos!$C$94-F3042-Pressupostos!$C$98*Pressupostos!$C$93-Pressupostos!$C$99-Pressupostos!$D$29*Pressupostos!$C$92)</f>
        <v>33296.2602739726</v>
      </c>
      <c r="G3043" s="61" t="n">
        <f aca="false">G2940*1000*(Pressupostos!$C$93-Pressupostos!$C$92-Pressupostos!$C$94-G3042-Pressupostos!$C$98*Pressupostos!$C$93-Pressupostos!$C$99-Pressupostos!$D$29*Pressupostos!$C$92)</f>
        <v>55493.7671232876</v>
      </c>
      <c r="H3043" s="2" t="s">
        <v>1289</v>
      </c>
    </row>
    <row r="3044" customFormat="false" ht="15" hidden="false" customHeight="false" outlineLevel="1" collapsed="false">
      <c r="A3044" s="7" t="s">
        <v>633</v>
      </c>
      <c r="B3044" s="8" t="s">
        <v>11</v>
      </c>
      <c r="C3044" s="61" t="n">
        <f aca="false">C3024</f>
        <v>810</v>
      </c>
      <c r="D3044" s="61" t="n">
        <f aca="false">D3024</f>
        <v>3240</v>
      </c>
      <c r="E3044" s="61" t="n">
        <f aca="false">E3024</f>
        <v>5400</v>
      </c>
      <c r="F3044" s="61" t="n">
        <f aca="false">F3024</f>
        <v>7560</v>
      </c>
      <c r="G3044" s="61" t="n">
        <f aca="false">G3024</f>
        <v>9720</v>
      </c>
      <c r="H3044" s="2" t="s">
        <v>1290</v>
      </c>
    </row>
    <row r="3045" customFormat="false" ht="15" hidden="false" customHeight="false" outlineLevel="1" collapsed="false">
      <c r="A3045" s="7" t="s">
        <v>634</v>
      </c>
      <c r="B3045" s="8" t="s">
        <v>11</v>
      </c>
      <c r="C3045" s="61" t="n">
        <f aca="false">C3026-C3060</f>
        <v>0</v>
      </c>
      <c r="D3045" s="61" t="n">
        <f aca="false">D3026-D3060</f>
        <v>1771.42857142857</v>
      </c>
      <c r="E3045" s="61" t="n">
        <f aca="false">E3026-E3060</f>
        <v>5314.28571428572</v>
      </c>
      <c r="F3045" s="61" t="n">
        <f aca="false">F3026-F3060</f>
        <v>10628.5714285714</v>
      </c>
      <c r="G3045" s="61" t="n">
        <f aca="false">G3026-G3060</f>
        <v>17714.2857142857</v>
      </c>
      <c r="H3045" s="2" t="s">
        <v>1291</v>
      </c>
    </row>
    <row r="3046" customFormat="false" ht="15" hidden="false" customHeight="false" outlineLevel="1" collapsed="false">
      <c r="A3046" s="7" t="s">
        <v>617</v>
      </c>
      <c r="B3046" s="8" t="s">
        <v>11</v>
      </c>
      <c r="C3046" s="61" t="n">
        <f aca="false">C3027</f>
        <v>0</v>
      </c>
      <c r="D3046" s="61" t="n">
        <f aca="false">D3027</f>
        <v>0</v>
      </c>
      <c r="E3046" s="61" t="n">
        <f aca="false">E3027</f>
        <v>0</v>
      </c>
      <c r="F3046" s="61" t="n">
        <f aca="false">F3027</f>
        <v>10000</v>
      </c>
      <c r="G3046" s="61" t="n">
        <f aca="false">G3027</f>
        <v>30000</v>
      </c>
      <c r="H3046" s="2" t="s">
        <v>1292</v>
      </c>
    </row>
    <row r="3047" customFormat="false" ht="15" hidden="false" customHeight="false" outlineLevel="1" collapsed="false">
      <c r="A3047" s="56" t="s">
        <v>635</v>
      </c>
      <c r="B3047" s="57" t="s">
        <v>11</v>
      </c>
      <c r="C3047" s="62" t="n">
        <f aca="false">C3039+C3043+C3044+C3045+C3046</f>
        <v>-7906.7938082192</v>
      </c>
      <c r="D3047" s="62" t="n">
        <f aca="false">D3039+D3043+D3044+D3045+D3046</f>
        <v>-70909.1347436402</v>
      </c>
      <c r="E3047" s="62" t="n">
        <f aca="false">E3039+E3043+E3044+E3045+E3046</f>
        <v>-108548.180696674</v>
      </c>
      <c r="F3047" s="62" t="n">
        <f aca="false">F3039+F3043+F3044+F3045+F3046</f>
        <v>-161579.316954991</v>
      </c>
      <c r="G3047" s="62" t="n">
        <f aca="false">G3039+G3043+G3044+G3045+G3046</f>
        <v>-225126.035655578</v>
      </c>
      <c r="H3047" s="2" t="s">
        <v>1293</v>
      </c>
    </row>
    <row r="3048" customFormat="false" ht="15" hidden="false" customHeight="false" outlineLevel="0" collapsed="false">
      <c r="A3048" s="3" t="s">
        <v>1294</v>
      </c>
      <c r="B3048" s="4"/>
      <c r="C3048" s="4"/>
      <c r="D3048" s="4"/>
      <c r="E3048" s="4"/>
      <c r="F3048" s="4"/>
      <c r="G3048" s="4"/>
      <c r="H3048" s="4"/>
    </row>
    <row r="3049" customFormat="false" ht="15" hidden="false" customHeight="false" outlineLevel="1" collapsed="false">
      <c r="A3049" s="7" t="s">
        <v>686</v>
      </c>
      <c r="B3049" s="8" t="s">
        <v>11</v>
      </c>
      <c r="C3049" s="61" t="n">
        <f aca="false">C2927*1000*(C2945+C2948)+C2928*1000*(C2968+C2971)+C2930*1000*(C2991+C2994)</f>
        <v>180800</v>
      </c>
      <c r="D3049" s="61" t="n">
        <f aca="false">D2927*1000*(D2945+D2948)+D2928*1000*(D2968+D2971)+D2930*1000*(D2991+D2994)</f>
        <v>1203700</v>
      </c>
      <c r="E3049" s="61" t="n">
        <f aca="false">E2927*1000*(E2945+E2948)+E2928*1000*(E2968+E2971)+E2930*1000*(E2991+E2994)</f>
        <v>2563300</v>
      </c>
      <c r="F3049" s="61" t="n">
        <f aca="false">F2927*1000*(F2945+F2948)+F2928*1000*(F2968+F2971)+F2930*1000*(F2991+F2994)</f>
        <v>4376700</v>
      </c>
      <c r="G3049" s="61" t="n">
        <f aca="false">G2927*1000*(G2945+G2948)+G2928*1000*(G2968+G2971)+G2930*1000*(G2991+G2994)</f>
        <v>6641000</v>
      </c>
      <c r="H3049" s="2" t="s">
        <v>1295</v>
      </c>
    </row>
    <row r="3050" customFormat="false" ht="15" hidden="false" customHeight="false" outlineLevel="1" collapsed="false">
      <c r="A3050" s="7" t="s">
        <v>687</v>
      </c>
      <c r="B3050" s="8" t="s">
        <v>11</v>
      </c>
      <c r="C3050" s="61" t="n">
        <f aca="false">C2940*1000*Pressupostos!$C$92</f>
        <v>0</v>
      </c>
      <c r="D3050" s="61" t="n">
        <f aca="false">D2940*1000*Pressupostos!$C$92</f>
        <v>0</v>
      </c>
      <c r="E3050" s="61" t="n">
        <f aca="false">E2940*1000*Pressupostos!$C$92</f>
        <v>210000</v>
      </c>
      <c r="F3050" s="61" t="n">
        <f aca="false">F2940*1000*Pressupostos!$C$92</f>
        <v>420000</v>
      </c>
      <c r="G3050" s="61" t="n">
        <f aca="false">G2940*1000*Pressupostos!$C$92</f>
        <v>700000</v>
      </c>
      <c r="H3050" s="2" t="s">
        <v>1296</v>
      </c>
    </row>
    <row r="3051" customFormat="false" ht="15" hidden="false" customHeight="false" outlineLevel="1" collapsed="false">
      <c r="A3051" s="7" t="s">
        <v>688</v>
      </c>
      <c r="B3051" s="8" t="s">
        <v>11</v>
      </c>
      <c r="C3051" s="61" t="n">
        <f aca="false">C3049+C3050</f>
        <v>180800</v>
      </c>
      <c r="D3051" s="61" t="n">
        <f aca="false">D3049+D3050</f>
        <v>1203700</v>
      </c>
      <c r="E3051" s="61" t="n">
        <f aca="false">E3049+E3050</f>
        <v>2773300</v>
      </c>
      <c r="F3051" s="61" t="n">
        <f aca="false">F3049+F3050</f>
        <v>4796700</v>
      </c>
      <c r="G3051" s="61" t="n">
        <f aca="false">G3049+G3050</f>
        <v>7341000</v>
      </c>
      <c r="H3051" s="2" t="s">
        <v>1297</v>
      </c>
    </row>
    <row r="3052" customFormat="false" ht="15" hidden="false" customHeight="false" outlineLevel="1" collapsed="false">
      <c r="A3052" s="7" t="s">
        <v>215</v>
      </c>
      <c r="B3052" s="8" t="s">
        <v>11</v>
      </c>
      <c r="C3052" s="61" t="n">
        <f aca="false">C2927*1000*(C2949)+C2928*1000*(C2972)+C2930*1000*(C2995)+C2940*1000*Pressupostos!$C$94</f>
        <v>7600</v>
      </c>
      <c r="D3052" s="61" t="n">
        <f aca="false">D2927*1000*(D2949)+D2928*1000*(D2972)+D2930*1000*(D2995)+D2940*1000*Pressupostos!$C$94</f>
        <v>47400</v>
      </c>
      <c r="E3052" s="61" t="n">
        <f aca="false">E2927*1000*(E2949)+E2928*1000*(E2972)+E2930*1000*(E2995)+E2940*1000*Pressupostos!$C$94</f>
        <v>106270</v>
      </c>
      <c r="F3052" s="61" t="n">
        <f aca="false">F2927*1000*(F2949)+F2928*1000*(F2972)+F2930*1000*(F2995)+F2940*1000*Pressupostos!$C$94</f>
        <v>187560</v>
      </c>
      <c r="G3052" s="61" t="n">
        <f aca="false">G2927*1000*(G2949)+G2928*1000*(G2972)+G2930*1000*(G2995)+G2940*1000*Pressupostos!$C$94</f>
        <v>286800</v>
      </c>
      <c r="H3052" s="2" t="s">
        <v>1298</v>
      </c>
    </row>
    <row r="3053" customFormat="false" ht="15" hidden="false" customHeight="false" outlineLevel="1" collapsed="false">
      <c r="A3053" s="7" t="s">
        <v>117</v>
      </c>
      <c r="B3053" s="8" t="s">
        <v>11</v>
      </c>
      <c r="C3053" s="61" t="n">
        <f aca="false">C2927*1000*(C2950)+C2928*1000*(C2973)+C2930*1000*(C2996)</f>
        <v>480</v>
      </c>
      <c r="D3053" s="61" t="n">
        <f aca="false">D2927*1000*(D2950)+D2928*1000*(D2973)+D2930*1000*(D2996)</f>
        <v>2220</v>
      </c>
      <c r="E3053" s="61" t="n">
        <f aca="false">E2927*1000*(E2950)+E2928*1000*(E2973)+E2930*1000*(E2996)</f>
        <v>7980</v>
      </c>
      <c r="F3053" s="61" t="n">
        <f aca="false">F2927*1000*(F2950)+F2928*1000*(F2973)+F2930*1000*(F2996)</f>
        <v>16020</v>
      </c>
      <c r="G3053" s="61" t="n">
        <f aca="false">G2927*1000*(G2950)+G2928*1000*(G2973)+G2930*1000*(G2996)</f>
        <v>24600</v>
      </c>
      <c r="H3053" s="2" t="s">
        <v>1299</v>
      </c>
    </row>
    <row r="3054" customFormat="false" ht="15" hidden="false" customHeight="false" outlineLevel="1" collapsed="false">
      <c r="A3054" s="7" t="s">
        <v>689</v>
      </c>
      <c r="B3054" s="8" t="s">
        <v>11</v>
      </c>
      <c r="C3054" s="61" t="n">
        <f aca="false">C2927*1000*(C2953+C2954)+C2928*1000*(C2976+C2977)+C2930*1000*(C2999+C3000)</f>
        <v>441.917808219178</v>
      </c>
      <c r="D3054" s="61" t="n">
        <f aca="false">D2927*1000*(D2953+D2954)+D2928*1000*(D2976+D2977)+D2930*1000*(D2999+D3000)</f>
        <v>2585.21917808219</v>
      </c>
      <c r="E3054" s="61" t="n">
        <f aca="false">E2927*1000*(E2953+E2954)+E2928*1000*(E2976+E2977)+E2930*1000*(E2999+E3000)</f>
        <v>4050.17671232877</v>
      </c>
      <c r="F3054" s="61" t="n">
        <f aca="false">F2927*1000*(F2953+F2954)+F2928*1000*(F2976+F2977)+F2930*1000*(F2999+F3000)</f>
        <v>6997.76849315069</v>
      </c>
      <c r="G3054" s="61" t="n">
        <f aca="false">G2927*1000*(G2953+G2954)+G2928*1000*(G2976+G2977)+G2930*1000*(G2999+G3000)</f>
        <v>10628.1232876712</v>
      </c>
      <c r="H3054" s="2" t="s">
        <v>1300</v>
      </c>
    </row>
    <row r="3055" customFormat="false" ht="15" hidden="false" customHeight="false" outlineLevel="1" collapsed="false">
      <c r="A3055" s="7" t="s">
        <v>690</v>
      </c>
      <c r="B3055" s="8" t="s">
        <v>11</v>
      </c>
      <c r="C3055" s="61" t="n">
        <f aca="false">C2927*1000*(C2955+C2956+C2957)+C2928*1000*(C2978+C2979+C2980)+C2930*1000*(C3001+C3002+C3003)</f>
        <v>2345</v>
      </c>
      <c r="D3055" s="61" t="n">
        <f aca="false">D2927*1000*(D2955+D2956+D2957)+D2928*1000*(D2978+D2979+D2980)+D2930*1000*(D3001+D3002+D3003)</f>
        <v>15225</v>
      </c>
      <c r="E3055" s="61" t="n">
        <f aca="false">E2927*1000*(E2955+E2956+E2957)+E2928*1000*(E2978+E2979+E2980)+E2930*1000*(E3001+E3002+E3003)</f>
        <v>31917</v>
      </c>
      <c r="F3055" s="61" t="n">
        <f aca="false">F2927*1000*(F2955+F2956+F2957)+F2928*1000*(F2978+F2979+F2980)+F2930*1000*(F3001+F3002+F3003)</f>
        <v>54908</v>
      </c>
      <c r="G3055" s="61" t="n">
        <f aca="false">G2927*1000*(G2955+G2956+G2957)+G2928*1000*(G2978+G2979+G2980)+G2930*1000*(G3001+G3002+G3003)</f>
        <v>83365</v>
      </c>
      <c r="H3055" s="2" t="s">
        <v>1301</v>
      </c>
    </row>
    <row r="3056" customFormat="false" ht="15" hidden="false" customHeight="false" outlineLevel="1" collapsed="false">
      <c r="A3056" s="7" t="s">
        <v>673</v>
      </c>
      <c r="B3056" s="8" t="s">
        <v>11</v>
      </c>
      <c r="C3056" s="61" t="n">
        <f aca="false">C2927*1000*(C2958)+C2928*1000*(C2981)+C2930*1000*(C3004)</f>
        <v>2880</v>
      </c>
      <c r="D3056" s="61" t="n">
        <f aca="false">D2927*1000*(D2958)+D2928*1000*(D2981)+D2930*1000*(D3004)</f>
        <v>18220</v>
      </c>
      <c r="E3056" s="61" t="n">
        <f aca="false">E2927*1000*(E2958)+E2928*1000*(E2981)+E2930*1000*(E3004)</f>
        <v>41980</v>
      </c>
      <c r="F3056" s="61" t="n">
        <f aca="false">F2927*1000*(F2958)+F2928*1000*(F2981)+F2930*1000*(F3004)</f>
        <v>74020</v>
      </c>
      <c r="G3056" s="61" t="n">
        <f aca="false">G2927*1000*(G2958)+G2928*1000*(G2981)+G2930*1000*(G3004)</f>
        <v>112600</v>
      </c>
      <c r="H3056" s="2" t="s">
        <v>1302</v>
      </c>
    </row>
    <row r="3057" customFormat="false" ht="15" hidden="false" customHeight="false" outlineLevel="1" collapsed="false">
      <c r="A3057" s="7" t="s">
        <v>691</v>
      </c>
      <c r="B3057" s="8" t="s">
        <v>11</v>
      </c>
      <c r="C3057" s="61" t="n">
        <f aca="false">C2927*1000*(C2959)+C2928*1000*(C2982)+C2930*1000*(C3005)+C2940*1000*Pressupostos!$C$99</f>
        <v>340</v>
      </c>
      <c r="D3057" s="61" t="n">
        <f aca="false">D2927*1000*(D2959)+D2928*1000*(D2982)+D2930*1000*(D3005)+D2940*1000*Pressupostos!$C$99</f>
        <v>2185</v>
      </c>
      <c r="E3057" s="61" t="n">
        <f aca="false">E2927*1000*(E2959)+E2928*1000*(E2982)+E2930*1000*(E3005)+E2940*1000*Pressupostos!$C$99</f>
        <v>5815</v>
      </c>
      <c r="F3057" s="61" t="n">
        <f aca="false">F2927*1000*(F2959)+F2928*1000*(F2982)+F2930*1000*(F3005)+F2940*1000*Pressupostos!$C$99</f>
        <v>10385</v>
      </c>
      <c r="G3057" s="61" t="n">
        <f aca="false">G2927*1000*(G2959)+G2928*1000*(G2982)+G2930*1000*(G3005)+G2940*1000*Pressupostos!$C$99</f>
        <v>16050</v>
      </c>
      <c r="H3057" s="2" t="s">
        <v>1303</v>
      </c>
    </row>
    <row r="3058" customFormat="false" ht="15" hidden="false" customHeight="false" outlineLevel="1" collapsed="false">
      <c r="A3058" s="7" t="s">
        <v>81</v>
      </c>
      <c r="B3058" s="8" t="s">
        <v>11</v>
      </c>
      <c r="C3058" s="61" t="n">
        <f aca="false">C2927*1000*(C2960)+C2928*1000*(C2983)+C2930*1000*(C3006)+C2940*1000*Pressupostos!$C$98*Pressupostos!$C$93</f>
        <v>645.876</v>
      </c>
      <c r="D3058" s="61" t="n">
        <f aca="false">D2927*1000*(D2960)+D2928*1000*(D2983)+D2930*1000*(D3006)+D2940*1000*Pressupostos!$C$98*Pressupostos!$C$93</f>
        <v>4106.214</v>
      </c>
      <c r="E3058" s="61" t="n">
        <f aca="false">E2927*1000*(E2960)+E2928*1000*(E2983)+E2930*1000*(E3006)+E2940*1000*Pressupostos!$C$98*Pressupostos!$C$93</f>
        <v>10803.276</v>
      </c>
      <c r="F3058" s="61" t="n">
        <f aca="false">F2927*1000*(F2960)+F2928*1000*(F2983)+F2930*1000*(F3006)+F2940*1000*Pressupostos!$C$98*Pressupostos!$C$93</f>
        <v>19335.024</v>
      </c>
      <c r="G3058" s="61" t="n">
        <f aca="false">G2927*1000*(G2960)+G2928*1000*(G2983)+G2930*1000*(G3006)+G2940*1000*Pressupostos!$C$98*Pressupostos!$C$93</f>
        <v>29818.02</v>
      </c>
      <c r="H3058" s="2" t="s">
        <v>1304</v>
      </c>
    </row>
    <row r="3059" customFormat="false" ht="15" hidden="false" customHeight="false" outlineLevel="1" collapsed="false">
      <c r="A3059" s="7" t="s">
        <v>692</v>
      </c>
      <c r="B3059" s="8" t="s">
        <v>11</v>
      </c>
      <c r="C3059" s="61" t="n">
        <f aca="false">C2927*1000*(C2961)+C2928*1000*(C2984)+C2930*1000*(C3007)+C2940*1000*Pressupostos!$D$29*Pressupostos!$C$92</f>
        <v>0</v>
      </c>
      <c r="D3059" s="61" t="n">
        <f aca="false">D2927*1000*(D2961)+D2928*1000*(D2984)+D2930*1000*(D3007)+D2940*1000*Pressupostos!$D$29*Pressupostos!$C$92</f>
        <v>0</v>
      </c>
      <c r="E3059" s="61" t="n">
        <f aca="false">E2927*1000*(E2961)+E2928*1000*(E2984)+E2930*1000*(E3007)+E2940*1000*Pressupostos!$D$29*Pressupostos!$C$92</f>
        <v>0</v>
      </c>
      <c r="F3059" s="61" t="n">
        <f aca="false">F2927*1000*(F2961)+F2928*1000*(F2984)+F2930*1000*(F3007)+F2940*1000*Pressupostos!$D$29*Pressupostos!$C$92</f>
        <v>0</v>
      </c>
      <c r="G3059" s="61" t="n">
        <f aca="false">G2927*1000*(G2961)+G2928*1000*(G2984)+G2930*1000*(G3007)+G2940*1000*Pressupostos!$D$29*Pressupostos!$C$92</f>
        <v>0</v>
      </c>
      <c r="H3059" s="2" t="s">
        <v>1305</v>
      </c>
    </row>
    <row r="3060" customFormat="false" ht="15" hidden="false" customHeight="false" outlineLevel="1" collapsed="false">
      <c r="A3060" s="7" t="s">
        <v>693</v>
      </c>
      <c r="B3060" s="8" t="s">
        <v>11</v>
      </c>
      <c r="C3060" s="61" t="n">
        <f aca="false">C2943*1000*Pressupostos!$C$104*Pressupostos!$D$30</f>
        <v>0</v>
      </c>
      <c r="D3060" s="61" t="n">
        <f aca="false">D2943*1000*Pressupostos!$C$104*Pressupostos!$D$30</f>
        <v>8228.57142857143</v>
      </c>
      <c r="E3060" s="61" t="n">
        <f aca="false">E2943*1000*Pressupostos!$C$104*Pressupostos!$D$30</f>
        <v>24685.7142857143</v>
      </c>
      <c r="F3060" s="61" t="n">
        <f aca="false">F2943*1000*Pressupostos!$C$104*Pressupostos!$D$30</f>
        <v>49371.4285714286</v>
      </c>
      <c r="G3060" s="61" t="n">
        <f aca="false">G2943*1000*Pressupostos!$C$104*Pressupostos!$D$30</f>
        <v>82285.7142857143</v>
      </c>
      <c r="H3060" s="2" t="s">
        <v>1306</v>
      </c>
    </row>
    <row r="3061" customFormat="false" ht="15" hidden="false" customHeight="false" outlineLevel="1" collapsed="false">
      <c r="A3061" s="7" t="s">
        <v>694</v>
      </c>
      <c r="B3061" s="8" t="s">
        <v>11</v>
      </c>
      <c r="C3061" s="61" t="n">
        <f aca="false">C2931*1000*C3015</f>
        <v>0</v>
      </c>
      <c r="D3061" s="61" t="n">
        <f aca="false">D2931*1000*D3015</f>
        <v>0</v>
      </c>
      <c r="E3061" s="61" t="n">
        <f aca="false">E2931*1000*E3015</f>
        <v>0</v>
      </c>
      <c r="F3061" s="61" t="n">
        <f aca="false">F2931*1000*F3015</f>
        <v>0</v>
      </c>
      <c r="G3061" s="61" t="n">
        <f aca="false">G2931*1000*G3015</f>
        <v>0</v>
      </c>
      <c r="H3061" s="2" t="s">
        <v>1307</v>
      </c>
    </row>
    <row r="3062" customFormat="false" ht="15" hidden="false" customHeight="false" outlineLevel="1" collapsed="false">
      <c r="A3062" s="7" t="s">
        <v>695</v>
      </c>
      <c r="B3062" s="8" t="s">
        <v>11</v>
      </c>
      <c r="C3062" s="61" t="n">
        <f aca="false">C3052+C3053+C3054+C3055+C3056+C3057+C3058+C3059+C3060+C3061</f>
        <v>14732.7938082192</v>
      </c>
      <c r="D3062" s="61" t="n">
        <f aca="false">D3052+D3053+D3054+D3055+D3056+D3057+D3058+D3059+D3060+D3061</f>
        <v>100170.004606654</v>
      </c>
      <c r="E3062" s="61" t="n">
        <f aca="false">E3052+E3053+E3054+E3055+E3056+E3057+E3058+E3059+E3060+E3061</f>
        <v>233501.166998043</v>
      </c>
      <c r="F3062" s="61" t="n">
        <f aca="false">F3052+F3053+F3054+F3055+F3056+F3057+F3058+F3059+F3060+F3061</f>
        <v>418597.221064579</v>
      </c>
      <c r="G3062" s="61" t="n">
        <f aca="false">G3052+G3053+G3054+G3055+G3056+G3057+G3058+G3059+G3060+G3061</f>
        <v>646146.857573386</v>
      </c>
      <c r="H3062" s="2" t="s">
        <v>1308</v>
      </c>
    </row>
    <row r="3063" customFormat="false" ht="15" hidden="false" customHeight="false" outlineLevel="1" collapsed="false">
      <c r="A3063" s="7" t="s">
        <v>696</v>
      </c>
      <c r="B3063" s="8" t="s">
        <v>11</v>
      </c>
      <c r="C3063" s="61" t="n">
        <f aca="false">C2927*1000*(C2962)+C2928*1000*(C2985)+C2930*1000*(C3008)</f>
        <v>0</v>
      </c>
      <c r="D3063" s="61" t="n">
        <f aca="false">D2927*1000*(D2962)+D2928*1000*(D2985)+D2930*1000*(D3008)</f>
        <v>17315.6301369863</v>
      </c>
      <c r="E3063" s="61" t="n">
        <f aca="false">E2927*1000*(E2962)+E2928*1000*(E2985)+E2930*1000*(E3008)</f>
        <v>27141.0102739726</v>
      </c>
      <c r="F3063" s="61" t="n">
        <f aca="false">F2927*1000*(F2962)+F2928*1000*(F2985)+F2930*1000*(F3008)</f>
        <v>43385.8561643836</v>
      </c>
      <c r="G3063" s="61" t="n">
        <f aca="false">G2927*1000*(G2962)+G2928*1000*(G2985)+G2930*1000*(G3008)</f>
        <v>65847.9452054795</v>
      </c>
      <c r="H3063" s="2" t="s">
        <v>1309</v>
      </c>
    </row>
    <row r="3064" customFormat="false" ht="15" hidden="false" customHeight="false" outlineLevel="1" collapsed="false">
      <c r="A3064" s="7" t="s">
        <v>697</v>
      </c>
      <c r="B3064" s="8" t="s">
        <v>11</v>
      </c>
      <c r="C3064" s="61" t="n">
        <f aca="false">C2940*1000*C3042</f>
        <v>0</v>
      </c>
      <c r="D3064" s="61" t="n">
        <f aca="false">D2940*1000*D3042</f>
        <v>0</v>
      </c>
      <c r="E3064" s="61" t="n">
        <f aca="false">E2940*1000*E3042</f>
        <v>2184.50342465753</v>
      </c>
      <c r="F3064" s="61" t="n">
        <f aca="false">F2940*1000*F3042</f>
        <v>4077.7397260274</v>
      </c>
      <c r="G3064" s="61" t="n">
        <f aca="false">G2940*1000*G3042</f>
        <v>6796.23287671233</v>
      </c>
      <c r="H3064" s="2" t="s">
        <v>1310</v>
      </c>
    </row>
    <row r="3065" customFormat="false" ht="15" hidden="false" customHeight="false" outlineLevel="1" collapsed="false">
      <c r="A3065" s="7" t="s">
        <v>698</v>
      </c>
      <c r="B3065" s="8" t="s">
        <v>11</v>
      </c>
      <c r="C3065" s="61" t="n">
        <f aca="false">C3063+C3064</f>
        <v>0</v>
      </c>
      <c r="D3065" s="61" t="n">
        <f aca="false">D3063+D3064</f>
        <v>17315.6301369863</v>
      </c>
      <c r="E3065" s="61" t="n">
        <f aca="false">E3063+E3064</f>
        <v>29325.5136986301</v>
      </c>
      <c r="F3065" s="61" t="n">
        <f aca="false">F3063+F3064</f>
        <v>47463.595890411</v>
      </c>
      <c r="G3065" s="61" t="n">
        <f aca="false">G3063+G3064</f>
        <v>72644.1780821918</v>
      </c>
      <c r="H3065" s="2" t="s">
        <v>1311</v>
      </c>
    </row>
    <row r="3066" customFormat="false" ht="15" hidden="false" customHeight="false" outlineLevel="1" collapsed="false">
      <c r="A3066" s="8" t="s">
        <v>699</v>
      </c>
      <c r="B3066" s="8" t="s">
        <v>11</v>
      </c>
      <c r="C3066" s="70" t="n">
        <f aca="false">ROUND(C3028-C3051-C3062-C3065-C3047,6)</f>
        <v>0</v>
      </c>
      <c r="D3066" s="70" t="n">
        <f aca="false">ROUND(D3028-D3051-D3062-D3065-D3047,6)</f>
        <v>0</v>
      </c>
      <c r="E3066" s="70" t="n">
        <f aca="false">ROUND(E3028-E3051-E3062-E3065-E3047,6)</f>
        <v>0</v>
      </c>
      <c r="F3066" s="70" t="n">
        <f aca="false">ROUND(F3028-F3051-F3062-F3065-F3047,6)</f>
        <v>0</v>
      </c>
      <c r="G3066" s="70" t="n">
        <f aca="false">ROUND(G3028-G3051-G3062-G3065-G3047,6)</f>
        <v>0</v>
      </c>
      <c r="H3066" s="2" t="s">
        <v>1312</v>
      </c>
    </row>
    <row r="3067" customFormat="false" ht="15" hidden="false" customHeight="false" outlineLevel="0" collapsed="false">
      <c r="A3067" s="3" t="s">
        <v>1313</v>
      </c>
      <c r="B3067" s="4"/>
      <c r="C3067" s="4"/>
      <c r="D3067" s="4"/>
      <c r="E3067" s="4"/>
      <c r="F3067" s="4"/>
      <c r="G3067" s="4"/>
      <c r="H3067" s="4"/>
    </row>
    <row r="3068" customFormat="false" ht="15" hidden="false" customHeight="false" outlineLevel="1" collapsed="false">
      <c r="A3068" s="7" t="s">
        <v>638</v>
      </c>
      <c r="B3068" s="8" t="s">
        <v>432</v>
      </c>
      <c r="C3068" s="64" t="n">
        <f aca="false">Pressupostos!$C$332</f>
        <v>1</v>
      </c>
      <c r="D3068" s="64" t="n">
        <f aca="false">Pressupostos!$D$332</f>
        <v>1</v>
      </c>
      <c r="E3068" s="64" t="n">
        <f aca="false">Pressupostos!$E$332</f>
        <v>1</v>
      </c>
      <c r="F3068" s="64" t="n">
        <f aca="false">Pressupostos!$F$332</f>
        <v>1</v>
      </c>
      <c r="G3068" s="64" t="n">
        <f aca="false">Pressupostos!$G$332</f>
        <v>1</v>
      </c>
      <c r="H3068" s="2" t="s">
        <v>1314</v>
      </c>
    </row>
    <row r="3069" customFormat="false" ht="15" hidden="false" customHeight="false" outlineLevel="1" collapsed="false">
      <c r="A3069" s="7" t="s">
        <v>639</v>
      </c>
      <c r="B3069" s="8" t="s">
        <v>432</v>
      </c>
      <c r="C3069" s="64" t="n">
        <f aca="false">Pressupostos!$C$338</f>
        <v>1</v>
      </c>
      <c r="D3069" s="64" t="n">
        <f aca="false">Pressupostos!$D$338</f>
        <v>1</v>
      </c>
      <c r="E3069" s="64" t="n">
        <f aca="false">Pressupostos!$E$338</f>
        <v>1</v>
      </c>
      <c r="F3069" s="64" t="n">
        <f aca="false">Pressupostos!$F$338</f>
        <v>1</v>
      </c>
      <c r="G3069" s="64" t="n">
        <f aca="false">Pressupostos!$G$338</f>
        <v>1</v>
      </c>
      <c r="H3069" s="2" t="s">
        <v>1315</v>
      </c>
    </row>
    <row r="3070" customFormat="false" ht="15" hidden="false" customHeight="false" outlineLevel="1" collapsed="false">
      <c r="A3070" s="7" t="s">
        <v>640</v>
      </c>
      <c r="B3070" s="8" t="s">
        <v>432</v>
      </c>
      <c r="C3070" s="64" t="n">
        <f aca="false">Pressupostos!$C$344</f>
        <v>1</v>
      </c>
      <c r="D3070" s="64" t="n">
        <f aca="false">Pressupostos!$D$344</f>
        <v>1</v>
      </c>
      <c r="E3070" s="64" t="n">
        <f aca="false">Pressupostos!$E$344</f>
        <v>2</v>
      </c>
      <c r="F3070" s="64" t="n">
        <f aca="false">Pressupostos!$F$344</f>
        <v>2</v>
      </c>
      <c r="G3070" s="64" t="n">
        <f aca="false">Pressupostos!$G$344</f>
        <v>2</v>
      </c>
      <c r="H3070" s="2" t="s">
        <v>1316</v>
      </c>
    </row>
    <row r="3071" customFormat="false" ht="15" hidden="false" customHeight="false" outlineLevel="1" collapsed="false">
      <c r="A3071" s="7" t="s">
        <v>641</v>
      </c>
      <c r="B3071" s="8" t="s">
        <v>432</v>
      </c>
      <c r="C3071" s="64" t="n">
        <f aca="false">Pressupostos!$C$350</f>
        <v>1</v>
      </c>
      <c r="D3071" s="64" t="n">
        <f aca="false">Pressupostos!$D$350</f>
        <v>1</v>
      </c>
      <c r="E3071" s="64" t="n">
        <f aca="false">Pressupostos!$E$350</f>
        <v>1</v>
      </c>
      <c r="F3071" s="64" t="n">
        <f aca="false">Pressupostos!$F$350</f>
        <v>1</v>
      </c>
      <c r="G3071" s="64" t="n">
        <f aca="false">Pressupostos!$G$350</f>
        <v>1</v>
      </c>
      <c r="H3071" s="2" t="s">
        <v>1317</v>
      </c>
    </row>
    <row r="3072" customFormat="false" ht="15" hidden="false" customHeight="false" outlineLevel="1" collapsed="false">
      <c r="A3072" s="7" t="s">
        <v>642</v>
      </c>
      <c r="B3072" s="8" t="s">
        <v>432</v>
      </c>
      <c r="C3072" s="64" t="n">
        <f aca="false">Pressupostos!$C$356</f>
        <v>0.5</v>
      </c>
      <c r="D3072" s="64" t="n">
        <f aca="false">Pressupostos!$D$356</f>
        <v>1</v>
      </c>
      <c r="E3072" s="64" t="n">
        <f aca="false">Pressupostos!$E$356</f>
        <v>1</v>
      </c>
      <c r="F3072" s="64" t="n">
        <f aca="false">Pressupostos!$F$356</f>
        <v>1</v>
      </c>
      <c r="G3072" s="64" t="n">
        <f aca="false">Pressupostos!$G$356</f>
        <v>1</v>
      </c>
      <c r="H3072" s="2" t="s">
        <v>1318</v>
      </c>
    </row>
    <row r="3073" customFormat="false" ht="15" hidden="false" customHeight="false" outlineLevel="1" collapsed="false">
      <c r="A3073" s="7" t="s">
        <v>643</v>
      </c>
      <c r="B3073" s="8" t="s">
        <v>432</v>
      </c>
      <c r="C3073" s="64" t="n">
        <f aca="false">Pressupostos!$C$362</f>
        <v>1</v>
      </c>
      <c r="D3073" s="64" t="n">
        <f aca="false">Pressupostos!$D$362</f>
        <v>1</v>
      </c>
      <c r="E3073" s="64" t="n">
        <f aca="false">Pressupostos!$E$362</f>
        <v>1</v>
      </c>
      <c r="F3073" s="64" t="n">
        <f aca="false">Pressupostos!$F$362</f>
        <v>2</v>
      </c>
      <c r="G3073" s="64" t="n">
        <f aca="false">Pressupostos!$G$362</f>
        <v>2</v>
      </c>
      <c r="H3073" s="2" t="s">
        <v>1319</v>
      </c>
    </row>
    <row r="3074" customFormat="false" ht="15" hidden="false" customHeight="false" outlineLevel="1" collapsed="false">
      <c r="A3074" s="7" t="s">
        <v>644</v>
      </c>
      <c r="B3074" s="8" t="s">
        <v>432</v>
      </c>
      <c r="C3074" s="64" t="n">
        <f aca="false">Pressupostos!$C$368</f>
        <v>0.5</v>
      </c>
      <c r="D3074" s="64" t="n">
        <f aca="false">Pressupostos!$D$368</f>
        <v>1</v>
      </c>
      <c r="E3074" s="64" t="n">
        <f aca="false">Pressupostos!$E$368</f>
        <v>1</v>
      </c>
      <c r="F3074" s="64" t="n">
        <f aca="false">Pressupostos!$F$368</f>
        <v>1</v>
      </c>
      <c r="G3074" s="64" t="n">
        <f aca="false">Pressupostos!$G$368</f>
        <v>1</v>
      </c>
      <c r="H3074" s="2" t="s">
        <v>1320</v>
      </c>
    </row>
    <row r="3075" customFormat="false" ht="15" hidden="false" customHeight="false" outlineLevel="1" collapsed="false">
      <c r="A3075" s="7" t="s">
        <v>645</v>
      </c>
      <c r="B3075" s="8" t="s">
        <v>432</v>
      </c>
      <c r="C3075" s="64" t="n">
        <f aca="false">Pressupostos!$C$374</f>
        <v>1</v>
      </c>
      <c r="D3075" s="64" t="n">
        <f aca="false">Pressupostos!$D$374</f>
        <v>1</v>
      </c>
      <c r="E3075" s="64" t="n">
        <f aca="false">Pressupostos!$E$374</f>
        <v>2</v>
      </c>
      <c r="F3075" s="64" t="n">
        <f aca="false">Pressupostos!$F$374</f>
        <v>3</v>
      </c>
      <c r="G3075" s="64" t="n">
        <f aca="false">Pressupostos!$G$374</f>
        <v>5</v>
      </c>
      <c r="H3075" s="2" t="s">
        <v>1321</v>
      </c>
    </row>
    <row r="3076" customFormat="false" ht="15" hidden="false" customHeight="false" outlineLevel="1" collapsed="false">
      <c r="A3076" s="7" t="s">
        <v>646</v>
      </c>
      <c r="B3076" s="8" t="s">
        <v>432</v>
      </c>
      <c r="C3076" s="64" t="n">
        <f aca="false">Pressupostos!$C$380</f>
        <v>0</v>
      </c>
      <c r="D3076" s="64" t="n">
        <f aca="false">Pressupostos!$D$380</f>
        <v>0</v>
      </c>
      <c r="E3076" s="64" t="n">
        <f aca="false">Pressupostos!$E$380</f>
        <v>0</v>
      </c>
      <c r="F3076" s="64" t="n">
        <f aca="false">Pressupostos!$F$380</f>
        <v>1</v>
      </c>
      <c r="G3076" s="64" t="n">
        <f aca="false">Pressupostos!$G$380</f>
        <v>1</v>
      </c>
      <c r="H3076" s="2" t="s">
        <v>1322</v>
      </c>
    </row>
    <row r="3077" customFormat="false" ht="15" hidden="false" customHeight="false" outlineLevel="1" collapsed="false">
      <c r="A3077" s="7" t="s">
        <v>647</v>
      </c>
      <c r="B3077" s="8" t="s">
        <v>432</v>
      </c>
      <c r="C3077" s="64" t="n">
        <f aca="false">Pressupostos!$C$386</f>
        <v>0</v>
      </c>
      <c r="D3077" s="64" t="n">
        <f aca="false">Pressupostos!$D$386</f>
        <v>0</v>
      </c>
      <c r="E3077" s="64" t="n">
        <f aca="false">Pressupostos!$E$386</f>
        <v>0</v>
      </c>
      <c r="F3077" s="64" t="n">
        <f aca="false">Pressupostos!$F$386</f>
        <v>0</v>
      </c>
      <c r="G3077" s="64" t="n">
        <f aca="false">Pressupostos!$G$386</f>
        <v>1</v>
      </c>
      <c r="H3077" s="2" t="s">
        <v>1323</v>
      </c>
    </row>
    <row r="3078" customFormat="false" ht="15" hidden="false" customHeight="false" outlineLevel="1" collapsed="false">
      <c r="A3078" s="7" t="s">
        <v>648</v>
      </c>
      <c r="B3078" s="8" t="s">
        <v>432</v>
      </c>
      <c r="C3078" s="64" t="n">
        <f aca="false">Pressupostos!$C$392</f>
        <v>0</v>
      </c>
      <c r="D3078" s="64" t="n">
        <f aca="false">Pressupostos!$D$392</f>
        <v>0</v>
      </c>
      <c r="E3078" s="64" t="n">
        <f aca="false">Pressupostos!$E$392</f>
        <v>1</v>
      </c>
      <c r="F3078" s="64" t="n">
        <f aca="false">Pressupostos!$F$392</f>
        <v>1</v>
      </c>
      <c r="G3078" s="64" t="n">
        <f aca="false">Pressupostos!$G$392</f>
        <v>1</v>
      </c>
      <c r="H3078" s="2" t="s">
        <v>1324</v>
      </c>
    </row>
    <row r="3079" customFormat="false" ht="15" hidden="false" customHeight="false" outlineLevel="1" collapsed="false">
      <c r="A3079" s="7" t="s">
        <v>649</v>
      </c>
      <c r="B3079" s="8" t="s">
        <v>432</v>
      </c>
      <c r="C3079" s="64" t="n">
        <f aca="false">Pressupostos!$C$398</f>
        <v>0</v>
      </c>
      <c r="D3079" s="64" t="n">
        <f aca="false">Pressupostos!$D$398</f>
        <v>0</v>
      </c>
      <c r="E3079" s="64" t="n">
        <f aca="false">Pressupostos!$E$398</f>
        <v>0</v>
      </c>
      <c r="F3079" s="64" t="n">
        <f aca="false">Pressupostos!$F$398</f>
        <v>0</v>
      </c>
      <c r="G3079" s="64" t="n">
        <f aca="false">Pressupostos!$G$398</f>
        <v>0</v>
      </c>
      <c r="H3079" s="2" t="s">
        <v>1325</v>
      </c>
    </row>
    <row r="3080" customFormat="false" ht="15" hidden="false" customHeight="false" outlineLevel="1" collapsed="false">
      <c r="A3080" s="56" t="s">
        <v>650</v>
      </c>
      <c r="B3080" s="57" t="s">
        <v>432</v>
      </c>
      <c r="C3080" s="65" t="n">
        <f aca="false">C3068+C3069+C3070+C3071+C3072+C3073+C3074+C3075+C3076+C3077+C3078+C3079</f>
        <v>7</v>
      </c>
      <c r="D3080" s="65" t="n">
        <f aca="false">D3068+D3069+D3070+D3071+D3072+D3073+D3074+D3075+D3076+D3077+D3078+D3079</f>
        <v>8</v>
      </c>
      <c r="E3080" s="65" t="n">
        <f aca="false">E3068+E3069+E3070+E3071+E3072+E3073+E3074+E3075+E3076+E3077+E3078+E3079</f>
        <v>11</v>
      </c>
      <c r="F3080" s="65" t="n">
        <f aca="false">F3068+F3069+F3070+F3071+F3072+F3073+F3074+F3075+F3076+F3077+F3078+F3079</f>
        <v>14</v>
      </c>
      <c r="G3080" s="65" t="n">
        <f aca="false">G3068+G3069+G3070+G3071+G3072+G3073+G3074+G3075+G3076+G3077+G3078+G3079</f>
        <v>17</v>
      </c>
      <c r="H3080" s="2" t="s">
        <v>1326</v>
      </c>
    </row>
    <row r="3081" customFormat="false" ht="15" hidden="false" customHeight="false" outlineLevel="0" collapsed="false">
      <c r="A3081" s="3" t="s">
        <v>1327</v>
      </c>
      <c r="B3081" s="4"/>
      <c r="C3081" s="4"/>
      <c r="D3081" s="4"/>
      <c r="E3081" s="4"/>
      <c r="F3081" s="4"/>
      <c r="G3081" s="4"/>
      <c r="H3081" s="4"/>
    </row>
    <row r="3082" customFormat="false" ht="15" hidden="false" customHeight="false" outlineLevel="1" collapsed="false">
      <c r="A3082" s="7" t="s">
        <v>638</v>
      </c>
      <c r="B3082" s="8" t="s">
        <v>11</v>
      </c>
      <c r="C3082" s="61" t="n">
        <f aca="false">C3068*Pressupostos!$C$131*(1+Pressupostos!$C$127)^0*(1+Pressupostos!$C$132)*Pressupostos!$C$128</f>
        <v>43998</v>
      </c>
      <c r="D3082" s="61" t="n">
        <f aca="false">D3068*Pressupostos!$C$131*(1+Pressupostos!$C$127)^1*(1+Pressupostos!$C$132)</f>
        <v>61800</v>
      </c>
      <c r="E3082" s="61" t="n">
        <f aca="false">E3068*Pressupostos!$C$131*(1+Pressupostos!$C$127)^2*(1+Pressupostos!$C$132)</f>
        <v>63654</v>
      </c>
      <c r="F3082" s="61" t="n">
        <f aca="false">F3068*Pressupostos!$C$131*(1+Pressupostos!$C$127)^3*(1+Pressupostos!$C$132)</f>
        <v>65563.62</v>
      </c>
      <c r="G3082" s="61" t="n">
        <f aca="false">G3068*Pressupostos!$C$131*(1+Pressupostos!$C$127)^4*(1+Pressupostos!$C$132)</f>
        <v>67530.5286</v>
      </c>
      <c r="H3082" s="2" t="s">
        <v>1328</v>
      </c>
    </row>
    <row r="3083" customFormat="false" ht="15" hidden="false" customHeight="false" outlineLevel="1" collapsed="false">
      <c r="A3083" s="7" t="s">
        <v>639</v>
      </c>
      <c r="B3083" s="8" t="s">
        <v>11</v>
      </c>
      <c r="C3083" s="61" t="n">
        <f aca="false">C3069*Pressupostos!$C$133*(1+Pressupostos!$C$127)^0*(1+Pressupostos!$C$134)*Pressupostos!$C$128</f>
        <v>47664.5</v>
      </c>
      <c r="D3083" s="61" t="n">
        <f aca="false">D3069*Pressupostos!$C$133*(1+Pressupostos!$C$127)^1*(1+Pressupostos!$C$134)</f>
        <v>66950</v>
      </c>
      <c r="E3083" s="61" t="n">
        <f aca="false">E3069*Pressupostos!$C$133*(1+Pressupostos!$C$127)^2*(1+Pressupostos!$C$134)</f>
        <v>68958.5</v>
      </c>
      <c r="F3083" s="61" t="n">
        <f aca="false">F3069*Pressupostos!$C$133*(1+Pressupostos!$C$127)^3*(1+Pressupostos!$C$134)</f>
        <v>71027.255</v>
      </c>
      <c r="G3083" s="61" t="n">
        <f aca="false">G3069*Pressupostos!$C$133*(1+Pressupostos!$C$127)^4*(1+Pressupostos!$C$134)</f>
        <v>73158.07265</v>
      </c>
      <c r="H3083" s="2" t="s">
        <v>1329</v>
      </c>
    </row>
    <row r="3084" customFormat="false" ht="15" hidden="false" customHeight="false" outlineLevel="1" collapsed="false">
      <c r="A3084" s="7" t="s">
        <v>640</v>
      </c>
      <c r="B3084" s="8" t="s">
        <v>11</v>
      </c>
      <c r="C3084" s="61" t="n">
        <f aca="false">C3070*Pressupostos!$C$135*(1+Pressupostos!$C$127)^0*(1+Pressupostos!$C$136)</f>
        <v>45000</v>
      </c>
      <c r="D3084" s="61" t="n">
        <f aca="false">D3070*Pressupostos!$C$135*(1+Pressupostos!$C$127)^1*(1+Pressupostos!$C$136)</f>
        <v>46350</v>
      </c>
      <c r="E3084" s="61" t="n">
        <f aca="false">E3070*Pressupostos!$C$135*(1+Pressupostos!$C$127)^2*(1+Pressupostos!$C$136)</f>
        <v>95481</v>
      </c>
      <c r="F3084" s="61" t="n">
        <f aca="false">F3070*Pressupostos!$C$135*(1+Pressupostos!$C$127)^3*(1+Pressupostos!$C$136)</f>
        <v>98345.43</v>
      </c>
      <c r="G3084" s="61" t="n">
        <f aca="false">G3070*Pressupostos!$C$135*(1+Pressupostos!$C$127)^4*(1+Pressupostos!$C$136)</f>
        <v>101295.7929</v>
      </c>
      <c r="H3084" s="2" t="s">
        <v>1330</v>
      </c>
    </row>
    <row r="3085" customFormat="false" ht="15" hidden="false" customHeight="false" outlineLevel="1" collapsed="false">
      <c r="A3085" s="7" t="s">
        <v>641</v>
      </c>
      <c r="B3085" s="8" t="s">
        <v>11</v>
      </c>
      <c r="C3085" s="61" t="n">
        <f aca="false">C3071*Pressupostos!$C$137*(1+Pressupostos!$C$127)^0*(1+Pressupostos!$C$138)</f>
        <v>60000</v>
      </c>
      <c r="D3085" s="61" t="n">
        <f aca="false">D3071*Pressupostos!$C$137*(1+Pressupostos!$C$127)^1*(1+Pressupostos!$C$138)</f>
        <v>61800</v>
      </c>
      <c r="E3085" s="61" t="n">
        <f aca="false">E3071*Pressupostos!$C$137*(1+Pressupostos!$C$127)^2*(1+Pressupostos!$C$138)</f>
        <v>63654</v>
      </c>
      <c r="F3085" s="61" t="n">
        <f aca="false">F3071*Pressupostos!$C$137*(1+Pressupostos!$C$127)^3*(1+Pressupostos!$C$138)</f>
        <v>65563.62</v>
      </c>
      <c r="G3085" s="61" t="n">
        <f aca="false">G3071*Pressupostos!$C$137*(1+Pressupostos!$C$127)^4*(1+Pressupostos!$C$138)</f>
        <v>67530.5286</v>
      </c>
      <c r="H3085" s="2" t="s">
        <v>1331</v>
      </c>
    </row>
    <row r="3086" customFormat="false" ht="15" hidden="false" customHeight="false" outlineLevel="1" collapsed="false">
      <c r="A3086" s="7" t="s">
        <v>642</v>
      </c>
      <c r="B3086" s="8" t="s">
        <v>11</v>
      </c>
      <c r="C3086" s="61" t="n">
        <f aca="false">C3072*Pressupostos!$C$139*(1+Pressupostos!$C$127)^0*(1+Pressupostos!$C$140)</f>
        <v>22500</v>
      </c>
      <c r="D3086" s="61" t="n">
        <f aca="false">D3072*Pressupostos!$C$139*(1+Pressupostos!$C$127)^1*(1+Pressupostos!$C$140)</f>
        <v>46350</v>
      </c>
      <c r="E3086" s="61" t="n">
        <f aca="false">E3072*Pressupostos!$C$139*(1+Pressupostos!$C$127)^2*(1+Pressupostos!$C$140)</f>
        <v>47740.5</v>
      </c>
      <c r="F3086" s="61" t="n">
        <f aca="false">F3072*Pressupostos!$C$139*(1+Pressupostos!$C$127)^3*(1+Pressupostos!$C$140)</f>
        <v>49172.715</v>
      </c>
      <c r="G3086" s="61" t="n">
        <f aca="false">G3072*Pressupostos!$C$139*(1+Pressupostos!$C$127)^4*(1+Pressupostos!$C$140)</f>
        <v>50647.89645</v>
      </c>
      <c r="H3086" s="2" t="s">
        <v>1332</v>
      </c>
    </row>
    <row r="3087" customFormat="false" ht="15" hidden="false" customHeight="false" outlineLevel="1" collapsed="false">
      <c r="A3087" s="7" t="s">
        <v>643</v>
      </c>
      <c r="B3087" s="8" t="s">
        <v>11</v>
      </c>
      <c r="C3087" s="61" t="n">
        <f aca="false">C3073*Pressupostos!$C$141*(1+Pressupostos!$C$127)^0*(1+Pressupostos!$C$142)</f>
        <v>38000</v>
      </c>
      <c r="D3087" s="61" t="n">
        <f aca="false">D3073*Pressupostos!$C$141*(1+Pressupostos!$C$127)^1*(1+Pressupostos!$C$142)</f>
        <v>39140</v>
      </c>
      <c r="E3087" s="61" t="n">
        <f aca="false">E3073*Pressupostos!$C$141*(1+Pressupostos!$C$127)^2*(1+Pressupostos!$C$142)</f>
        <v>40314.2</v>
      </c>
      <c r="F3087" s="61" t="n">
        <f aca="false">F3073*Pressupostos!$C$141*(1+Pressupostos!$C$127)^3*(1+Pressupostos!$C$142)</f>
        <v>83047.252</v>
      </c>
      <c r="G3087" s="61" t="n">
        <f aca="false">G3073*Pressupostos!$C$141*(1+Pressupostos!$C$127)^4*(1+Pressupostos!$C$142)</f>
        <v>85538.66956</v>
      </c>
      <c r="H3087" s="2" t="s">
        <v>1333</v>
      </c>
    </row>
    <row r="3088" customFormat="false" ht="15" hidden="false" customHeight="false" outlineLevel="1" collapsed="false">
      <c r="A3088" s="7" t="s">
        <v>644</v>
      </c>
      <c r="B3088" s="8" t="s">
        <v>11</v>
      </c>
      <c r="C3088" s="61" t="n">
        <f aca="false">C3074*Pressupostos!$C$143*(1+Pressupostos!$C$127)^0*(1+Pressupostos!$C$144)</f>
        <v>16000</v>
      </c>
      <c r="D3088" s="61" t="n">
        <f aca="false">D3074*Pressupostos!$C$143*(1+Pressupostos!$C$127)^1*(1+Pressupostos!$C$144)</f>
        <v>32960</v>
      </c>
      <c r="E3088" s="61" t="n">
        <f aca="false">E3074*Pressupostos!$C$143*(1+Pressupostos!$C$127)^2*(1+Pressupostos!$C$144)</f>
        <v>33948.8</v>
      </c>
      <c r="F3088" s="61" t="n">
        <f aca="false">F3074*Pressupostos!$C$143*(1+Pressupostos!$C$127)^3*(1+Pressupostos!$C$144)</f>
        <v>34967.264</v>
      </c>
      <c r="G3088" s="61" t="n">
        <f aca="false">G3074*Pressupostos!$C$143*(1+Pressupostos!$C$127)^4*(1+Pressupostos!$C$144)</f>
        <v>36016.28192</v>
      </c>
      <c r="H3088" s="2" t="s">
        <v>1334</v>
      </c>
    </row>
    <row r="3089" customFormat="false" ht="15" hidden="false" customHeight="false" outlineLevel="1" collapsed="false">
      <c r="A3089" s="7" t="s">
        <v>645</v>
      </c>
      <c r="B3089" s="8" t="s">
        <v>11</v>
      </c>
      <c r="C3089" s="61" t="n">
        <f aca="false">C3075*Pressupostos!$C$145*(1+Pressupostos!$C$127)^0*(1+Pressupostos!$C$146)</f>
        <v>34500</v>
      </c>
      <c r="D3089" s="61" t="n">
        <f aca="false">D3075*Pressupostos!$C$145*(1+Pressupostos!$C$127)^1*(1+Pressupostos!$C$146)</f>
        <v>35535</v>
      </c>
      <c r="E3089" s="61" t="n">
        <f aca="false">E3075*Pressupostos!$C$145*(1+Pressupostos!$C$127)^2*(1+Pressupostos!$C$146)</f>
        <v>73202.1</v>
      </c>
      <c r="F3089" s="61" t="n">
        <f aca="false">F3075*Pressupostos!$C$145*(1+Pressupostos!$C$127)^3*(1+Pressupostos!$C$146)</f>
        <v>113097.2445</v>
      </c>
      <c r="G3089" s="61" t="n">
        <f aca="false">G3075*Pressupostos!$C$145*(1+Pressupostos!$C$127)^4*(1+Pressupostos!$C$146)</f>
        <v>194150.269725</v>
      </c>
      <c r="H3089" s="2" t="s">
        <v>1335</v>
      </c>
    </row>
    <row r="3090" customFormat="false" ht="15" hidden="false" customHeight="false" outlineLevel="1" collapsed="false">
      <c r="A3090" s="7" t="s">
        <v>646</v>
      </c>
      <c r="B3090" s="8" t="s">
        <v>11</v>
      </c>
      <c r="C3090" s="61" t="n">
        <f aca="false">C3076*Pressupostos!$C$147*(1+Pressupostos!$C$127)^0*(1+Pressupostos!$C$148)</f>
        <v>0</v>
      </c>
      <c r="D3090" s="61" t="n">
        <f aca="false">D3076*Pressupostos!$C$147*(1+Pressupostos!$C$127)^1*(1+Pressupostos!$C$148)</f>
        <v>0</v>
      </c>
      <c r="E3090" s="61" t="n">
        <f aca="false">E3076*Pressupostos!$C$147*(1+Pressupostos!$C$127)^2*(1+Pressupostos!$C$148)</f>
        <v>0</v>
      </c>
      <c r="F3090" s="61" t="n">
        <f aca="false">F3076*Pressupostos!$C$147*(1+Pressupostos!$C$127)^3*(1+Pressupostos!$C$148)</f>
        <v>49172.715</v>
      </c>
      <c r="G3090" s="61" t="n">
        <f aca="false">G3076*Pressupostos!$C$147*(1+Pressupostos!$C$127)^4*(1+Pressupostos!$C$148)</f>
        <v>50647.89645</v>
      </c>
      <c r="H3090" s="2" t="s">
        <v>1336</v>
      </c>
    </row>
    <row r="3091" customFormat="false" ht="15" hidden="false" customHeight="false" outlineLevel="1" collapsed="false">
      <c r="A3091" s="7" t="s">
        <v>647</v>
      </c>
      <c r="B3091" s="8" t="s">
        <v>11</v>
      </c>
      <c r="C3091" s="61" t="n">
        <f aca="false">C3077*Pressupostos!$C$149*(1+Pressupostos!$C$127)^0*(1+Pressupostos!$C$150)</f>
        <v>0</v>
      </c>
      <c r="D3091" s="61" t="n">
        <f aca="false">D3077*Pressupostos!$C$149*(1+Pressupostos!$C$127)^1*(1+Pressupostos!$C$150)</f>
        <v>0</v>
      </c>
      <c r="E3091" s="61" t="n">
        <f aca="false">E3077*Pressupostos!$C$149*(1+Pressupostos!$C$127)^2*(1+Pressupostos!$C$150)</f>
        <v>0</v>
      </c>
      <c r="F3091" s="61" t="n">
        <f aca="false">F3077*Pressupostos!$C$149*(1+Pressupostos!$C$127)^3*(1+Pressupostos!$C$150)</f>
        <v>0</v>
      </c>
      <c r="G3091" s="61" t="n">
        <f aca="false">G3077*Pressupostos!$C$149*(1+Pressupostos!$C$127)^4*(1+Pressupostos!$C$150)</f>
        <v>45020.3524</v>
      </c>
      <c r="H3091" s="2" t="s">
        <v>1337</v>
      </c>
    </row>
    <row r="3092" customFormat="false" ht="15" hidden="false" customHeight="false" outlineLevel="1" collapsed="false">
      <c r="A3092" s="7" t="s">
        <v>648</v>
      </c>
      <c r="B3092" s="8" t="s">
        <v>11</v>
      </c>
      <c r="C3092" s="61" t="n">
        <f aca="false">C3078*Pressupostos!$C$151*(1+Pressupostos!$C$127)^0*(1+Pressupostos!$C$152)</f>
        <v>0</v>
      </c>
      <c r="D3092" s="61" t="n">
        <f aca="false">D3078*Pressupostos!$C$151*(1+Pressupostos!$C$127)^1*(1+Pressupostos!$C$152)</f>
        <v>0</v>
      </c>
      <c r="E3092" s="61" t="n">
        <f aca="false">E3078*Pressupostos!$C$151*(1+Pressupostos!$C$127)^2*(1+Pressupostos!$C$152)</f>
        <v>25461.6</v>
      </c>
      <c r="F3092" s="61" t="n">
        <f aca="false">F3078*Pressupostos!$C$151*(1+Pressupostos!$C$127)^3*(1+Pressupostos!$C$152)</f>
        <v>26225.448</v>
      </c>
      <c r="G3092" s="61" t="n">
        <f aca="false">G3078*Pressupostos!$C$151*(1+Pressupostos!$C$127)^4*(1+Pressupostos!$C$152)</f>
        <v>27012.21144</v>
      </c>
      <c r="H3092" s="2" t="s">
        <v>1338</v>
      </c>
    </row>
    <row r="3093" customFormat="false" ht="15" hidden="false" customHeight="false" outlineLevel="1" collapsed="false">
      <c r="A3093" s="7" t="s">
        <v>649</v>
      </c>
      <c r="B3093" s="8" t="s">
        <v>11</v>
      </c>
      <c r="C3093" s="61" t="n">
        <f aca="false">C3079*Pressupostos!$C$153*(1+Pressupostos!$C$127)^0*(1+Pressupostos!$C$154)</f>
        <v>0</v>
      </c>
      <c r="D3093" s="61" t="n">
        <f aca="false">D3079*Pressupostos!$C$153*(1+Pressupostos!$C$127)^1*(1+Pressupostos!$C$154)</f>
        <v>0</v>
      </c>
      <c r="E3093" s="61" t="n">
        <f aca="false">E3079*Pressupostos!$C$153*(1+Pressupostos!$C$127)^2*(1+Pressupostos!$C$154)</f>
        <v>0</v>
      </c>
      <c r="F3093" s="61" t="n">
        <f aca="false">F3079*Pressupostos!$C$153*(1+Pressupostos!$C$127)^3*(1+Pressupostos!$C$154)</f>
        <v>0</v>
      </c>
      <c r="G3093" s="61" t="n">
        <f aca="false">G3079*Pressupostos!$C$153*(1+Pressupostos!$C$127)^4*(1+Pressupostos!$C$154)</f>
        <v>0</v>
      </c>
      <c r="H3093" s="2" t="s">
        <v>1339</v>
      </c>
    </row>
    <row r="3094" customFormat="false" ht="15" hidden="false" customHeight="false" outlineLevel="1" collapsed="false">
      <c r="A3094" s="7" t="s">
        <v>652</v>
      </c>
      <c r="B3094" s="8" t="s">
        <v>11</v>
      </c>
      <c r="C3094" s="61" t="n">
        <f aca="false">C3082+C3083+C3084+C3085+C3086+C3087+C3088+C3089+C3090+C3091+C3092+C3093</f>
        <v>307662.5</v>
      </c>
      <c r="D3094" s="61" t="n">
        <f aca="false">D3082+D3083+D3084+D3085+D3086+D3087+D3088+D3089+D3090+D3091+D3092+D3093</f>
        <v>390885</v>
      </c>
      <c r="E3094" s="61" t="n">
        <f aca="false">E3082+E3083+E3084+E3085+E3086+E3087+E3088+E3089+E3090+E3091+E3092+E3093</f>
        <v>512414.7</v>
      </c>
      <c r="F3094" s="61" t="n">
        <f aca="false">F3082+F3083+F3084+F3085+F3086+F3087+F3088+F3089+F3090+F3091+F3092+F3093</f>
        <v>656182.5635</v>
      </c>
      <c r="G3094" s="61" t="n">
        <f aca="false">G3082+G3083+G3084+G3085+G3086+G3087+G3088+G3089+G3090+G3091+G3092+G3093</f>
        <v>798548.500695</v>
      </c>
      <c r="H3094" s="2" t="s">
        <v>1340</v>
      </c>
    </row>
    <row r="3095" customFormat="false" ht="15" hidden="false" customHeight="false" outlineLevel="1" collapsed="false">
      <c r="A3095" s="7" t="s">
        <v>653</v>
      </c>
      <c r="B3095" s="8" t="s">
        <v>11</v>
      </c>
      <c r="C3095" s="61" t="n">
        <f aca="false">C3094*(Pressupostos!$C$124+Pressupostos!$C$125)</f>
        <v>79223.09375</v>
      </c>
      <c r="D3095" s="61" t="n">
        <f aca="false">D3094*(Pressupostos!$C$124+Pressupostos!$C$125)</f>
        <v>100652.8875</v>
      </c>
      <c r="E3095" s="61" t="n">
        <f aca="false">E3094*(Pressupostos!$C$124+Pressupostos!$C$125)</f>
        <v>131946.78525</v>
      </c>
      <c r="F3095" s="61" t="n">
        <f aca="false">F3094*(Pressupostos!$C$124+Pressupostos!$C$125)</f>
        <v>168967.01010125</v>
      </c>
      <c r="G3095" s="61" t="n">
        <f aca="false">G3094*(Pressupostos!$C$124+Pressupostos!$C$125)</f>
        <v>205626.238928963</v>
      </c>
      <c r="H3095" s="2" t="s">
        <v>1341</v>
      </c>
    </row>
    <row r="3096" customFormat="false" ht="15" hidden="false" customHeight="false" outlineLevel="1" collapsed="false">
      <c r="A3096" s="7" t="s">
        <v>654</v>
      </c>
      <c r="B3096" s="8" t="s">
        <v>11</v>
      </c>
      <c r="C3096" s="61" t="n">
        <f aca="false">C3080*Pressupostos!$C$126*(1+Pressupostos!$C$127)^0</f>
        <v>14000</v>
      </c>
      <c r="D3096" s="61" t="n">
        <f aca="false">D3080*Pressupostos!$C$126*(1+Pressupostos!$C$127)^1</f>
        <v>16480</v>
      </c>
      <c r="E3096" s="61" t="n">
        <f aca="false">E3080*Pressupostos!$C$126*(1+Pressupostos!$C$127)^2</f>
        <v>23339.8</v>
      </c>
      <c r="F3096" s="61" t="n">
        <f aca="false">F3080*Pressupostos!$C$126*(1+Pressupostos!$C$127)^3</f>
        <v>30596.356</v>
      </c>
      <c r="G3096" s="61" t="n">
        <f aca="false">G3080*Pressupostos!$C$126*(1+Pressupostos!$C$127)^4</f>
        <v>38267.29954</v>
      </c>
      <c r="H3096" s="2" t="s">
        <v>1342</v>
      </c>
    </row>
    <row r="3097" customFormat="false" ht="15" hidden="false" customHeight="false" outlineLevel="1" collapsed="false">
      <c r="A3097" s="56" t="s">
        <v>655</v>
      </c>
      <c r="B3097" s="57" t="s">
        <v>11</v>
      </c>
      <c r="C3097" s="62" t="n">
        <f aca="false">C3094+C3095+C3096</f>
        <v>400885.59375</v>
      </c>
      <c r="D3097" s="62" t="n">
        <f aca="false">D3094+D3095+D3096</f>
        <v>508017.8875</v>
      </c>
      <c r="E3097" s="62" t="n">
        <f aca="false">E3094+E3095+E3096</f>
        <v>667701.28525</v>
      </c>
      <c r="F3097" s="62" t="n">
        <f aca="false">F3094+F3095+F3096</f>
        <v>855745.92960125</v>
      </c>
      <c r="G3097" s="62" t="n">
        <f aca="false">G3094+G3095+G3096</f>
        <v>1042442.03916396</v>
      </c>
      <c r="H3097" s="2" t="s">
        <v>1343</v>
      </c>
    </row>
    <row r="3098" customFormat="false" ht="15" hidden="false" customHeight="false" outlineLevel="1" collapsed="false">
      <c r="A3098" s="2" t="s">
        <v>656</v>
      </c>
      <c r="B3098" s="8" t="s">
        <v>11</v>
      </c>
      <c r="C3098" s="61" t="n">
        <f aca="false">IF(C3080&gt;0,C3097/C3080,0)</f>
        <v>57269.3705357143</v>
      </c>
      <c r="D3098" s="61" t="n">
        <f aca="false">IF(D3080&gt;0,D3097/D3080,0)</f>
        <v>63502.2359375</v>
      </c>
      <c r="E3098" s="61" t="n">
        <f aca="false">IF(E3080&gt;0,E3097/E3080,0)</f>
        <v>60700.1168409091</v>
      </c>
      <c r="F3098" s="61" t="n">
        <f aca="false">IF(F3080&gt;0,F3097/F3080,0)</f>
        <v>61124.7092572321</v>
      </c>
      <c r="G3098" s="61" t="n">
        <f aca="false">IF(G3080&gt;0,G3097/G3080,0)</f>
        <v>61320.1199508213</v>
      </c>
      <c r="H3098" s="2" t="s">
        <v>1344</v>
      </c>
    </row>
    <row r="3099" customFormat="false" ht="15" hidden="false" customHeight="false" outlineLevel="0" collapsed="false">
      <c r="A3099" s="3" t="s">
        <v>1345</v>
      </c>
      <c r="B3099" s="4"/>
      <c r="C3099" s="4"/>
      <c r="D3099" s="4"/>
      <c r="E3099" s="4"/>
      <c r="F3099" s="4"/>
      <c r="G3099" s="4"/>
      <c r="H3099" s="4"/>
    </row>
    <row r="3100" customFormat="false" ht="15" hidden="false" customHeight="false" outlineLevel="1" collapsed="false">
      <c r="A3100" s="7" t="s">
        <v>449</v>
      </c>
      <c r="B3100" s="8" t="s">
        <v>11</v>
      </c>
      <c r="C3100" s="61" t="n">
        <f aca="false">Pressupostos!$C$405*(1+Pressupostos!$C$156)*(1+Pressupostos!$C$157)^0</f>
        <v>94500</v>
      </c>
      <c r="D3100" s="61" t="n">
        <f aca="false">Pressupostos!$D$405*(1+Pressupostos!$C$156)*(1+Pressupostos!$C$157)^1</f>
        <v>53550</v>
      </c>
      <c r="E3100" s="61" t="n">
        <f aca="false">Pressupostos!$E$405*(1+Pressupostos!$C$156)*(1+Pressupostos!$C$157)^2</f>
        <v>49158.9</v>
      </c>
      <c r="F3100" s="61" t="n">
        <f aca="false">Pressupostos!$F$405*(1+Pressupostos!$C$156)*(1+Pressupostos!$C$157)^3</f>
        <v>50142.078</v>
      </c>
      <c r="G3100" s="61" t="n">
        <f aca="false">Pressupostos!$G$405*(1+Pressupostos!$C$156)*(1+Pressupostos!$C$157)^4</f>
        <v>51144.91956</v>
      </c>
      <c r="H3100" s="2" t="s">
        <v>1346</v>
      </c>
    </row>
    <row r="3101" customFormat="false" ht="15" hidden="false" customHeight="false" outlineLevel="1" collapsed="false">
      <c r="A3101" s="7" t="s">
        <v>451</v>
      </c>
      <c r="B3101" s="8" t="s">
        <v>11</v>
      </c>
      <c r="C3101" s="61" t="n">
        <f aca="false">Pressupostos!$C$411*(1+Pressupostos!$C$156)*(1+Pressupostos!$C$157)^0</f>
        <v>10500</v>
      </c>
      <c r="D3101" s="61" t="n">
        <f aca="false">Pressupostos!$D$411*(1+Pressupostos!$C$156)*(1+Pressupostos!$C$157)^1</f>
        <v>10710</v>
      </c>
      <c r="E3101" s="61" t="n">
        <f aca="false">Pressupostos!$E$411*(1+Pressupostos!$C$156)*(1+Pressupostos!$C$157)^2</f>
        <v>10924.2</v>
      </c>
      <c r="F3101" s="61" t="n">
        <f aca="false">Pressupostos!$F$411*(1+Pressupostos!$C$156)*(1+Pressupostos!$C$157)^3</f>
        <v>11142.684</v>
      </c>
      <c r="G3101" s="61" t="n">
        <f aca="false">Pressupostos!$G$411*(1+Pressupostos!$C$156)*(1+Pressupostos!$C$157)^4</f>
        <v>11365.53768</v>
      </c>
      <c r="H3101" s="2" t="s">
        <v>1347</v>
      </c>
    </row>
    <row r="3102" customFormat="false" ht="15" hidden="false" customHeight="false" outlineLevel="1" collapsed="false">
      <c r="A3102" s="7" t="s">
        <v>452</v>
      </c>
      <c r="B3102" s="8" t="s">
        <v>11</v>
      </c>
      <c r="C3102" s="61" t="n">
        <f aca="false">Pressupostos!$C$417*(1+Pressupostos!$C$156)*(1+Pressupostos!$C$157)^0</f>
        <v>12600</v>
      </c>
      <c r="D3102" s="61" t="n">
        <f aca="false">Pressupostos!$D$417*(1+Pressupostos!$C$156)*(1+Pressupostos!$C$157)^1</f>
        <v>12852</v>
      </c>
      <c r="E3102" s="61" t="n">
        <f aca="false">Pressupostos!$E$417*(1+Pressupostos!$C$156)*(1+Pressupostos!$C$157)^2</f>
        <v>13109.04</v>
      </c>
      <c r="F3102" s="61" t="n">
        <f aca="false">Pressupostos!$F$417*(1+Pressupostos!$C$156)*(1+Pressupostos!$C$157)^3</f>
        <v>0</v>
      </c>
      <c r="G3102" s="61" t="n">
        <f aca="false">Pressupostos!$G$417*(1+Pressupostos!$C$156)*(1+Pressupostos!$C$157)^4</f>
        <v>0</v>
      </c>
      <c r="H3102" s="2" t="s">
        <v>1348</v>
      </c>
    </row>
    <row r="3103" customFormat="false" ht="15" hidden="false" customHeight="false" outlineLevel="1" collapsed="false">
      <c r="A3103" s="7" t="s">
        <v>454</v>
      </c>
      <c r="B3103" s="8" t="s">
        <v>11</v>
      </c>
      <c r="C3103" s="61" t="n">
        <f aca="false">Pressupostos!$C$423*(1+Pressupostos!$C$156)*(1+Pressupostos!$C$157)^0</f>
        <v>31500</v>
      </c>
      <c r="D3103" s="61" t="n">
        <f aca="false">Pressupostos!$D$423*(1+Pressupostos!$C$156)*(1+Pressupostos!$C$157)^1</f>
        <v>42840</v>
      </c>
      <c r="E3103" s="61" t="n">
        <f aca="false">Pressupostos!$E$423*(1+Pressupostos!$C$156)*(1+Pressupostos!$C$157)^2</f>
        <v>60083.1</v>
      </c>
      <c r="F3103" s="61" t="n">
        <f aca="false">Pressupostos!$F$423*(1+Pressupostos!$C$156)*(1+Pressupostos!$C$157)^3</f>
        <v>77998.788</v>
      </c>
      <c r="G3103" s="61" t="n">
        <f aca="false">Pressupostos!$G$423*(1+Pressupostos!$C$156)*(1+Pressupostos!$C$157)^4</f>
        <v>96607.07028</v>
      </c>
      <c r="H3103" s="2" t="s">
        <v>1349</v>
      </c>
    </row>
    <row r="3104" customFormat="false" ht="15" hidden="false" customHeight="false" outlineLevel="1" collapsed="false">
      <c r="A3104" s="7" t="s">
        <v>456</v>
      </c>
      <c r="B3104" s="8" t="s">
        <v>11</v>
      </c>
      <c r="C3104" s="61" t="n">
        <f aca="false">Pressupostos!$C$429*(1+Pressupostos!$C$156)*(1+Pressupostos!$C$157)^0</f>
        <v>15750</v>
      </c>
      <c r="D3104" s="61" t="n">
        <f aca="false">Pressupostos!$D$429*(1+Pressupostos!$C$156)*(1+Pressupostos!$C$157)^1</f>
        <v>16065</v>
      </c>
      <c r="E3104" s="61" t="n">
        <f aca="false">Pressupostos!$E$429*(1+Pressupostos!$C$156)*(1+Pressupostos!$C$157)^2</f>
        <v>38234.7</v>
      </c>
      <c r="F3104" s="61" t="n">
        <f aca="false">Pressupostos!$F$429*(1+Pressupostos!$C$156)*(1+Pressupostos!$C$157)^3</f>
        <v>22285.368</v>
      </c>
      <c r="G3104" s="61" t="n">
        <f aca="false">Pressupostos!$G$429*(1+Pressupostos!$C$156)*(1+Pressupostos!$C$157)^4</f>
        <v>22731.07536</v>
      </c>
      <c r="H3104" s="2" t="s">
        <v>1350</v>
      </c>
    </row>
    <row r="3105" customFormat="false" ht="15" hidden="false" customHeight="false" outlineLevel="1" collapsed="false">
      <c r="A3105" s="7" t="s">
        <v>458</v>
      </c>
      <c r="B3105" s="8" t="s">
        <v>11</v>
      </c>
      <c r="C3105" s="61" t="n">
        <f aca="false">Pressupostos!$C$435*(1+Pressupostos!$C$156)*(1+Pressupostos!$C$157)^0</f>
        <v>10500</v>
      </c>
      <c r="D3105" s="61" t="n">
        <f aca="false">Pressupostos!$D$435*(1+Pressupostos!$C$156)*(1+Pressupostos!$C$157)^1</f>
        <v>12852</v>
      </c>
      <c r="E3105" s="61" t="n">
        <f aca="false">Pressupostos!$E$435*(1+Pressupostos!$C$156)*(1+Pressupostos!$C$157)^2</f>
        <v>16386.3</v>
      </c>
      <c r="F3105" s="61" t="n">
        <f aca="false">Pressupostos!$F$435*(1+Pressupostos!$C$156)*(1+Pressupostos!$C$157)^3</f>
        <v>20056.8312</v>
      </c>
      <c r="G3105" s="61" t="n">
        <f aca="false">Pressupostos!$G$435*(1+Pressupostos!$C$156)*(1+Pressupostos!$C$157)^4</f>
        <v>22731.07536</v>
      </c>
      <c r="H3105" s="2" t="s">
        <v>1351</v>
      </c>
    </row>
    <row r="3106" customFormat="false" ht="15" hidden="false" customHeight="false" outlineLevel="1" collapsed="false">
      <c r="A3106" s="7" t="s">
        <v>459</v>
      </c>
      <c r="B3106" s="8" t="s">
        <v>11</v>
      </c>
      <c r="C3106" s="61" t="n">
        <f aca="false">Pressupostos!$C$441*(1+Pressupostos!$C$156)*(1+Pressupostos!$C$157)^0</f>
        <v>42000</v>
      </c>
      <c r="D3106" s="61" t="n">
        <f aca="false">Pressupostos!$D$441*(1+Pressupostos!$C$156)*(1+Pressupostos!$C$157)^1</f>
        <v>53550</v>
      </c>
      <c r="E3106" s="61" t="n">
        <f aca="false">Pressupostos!$E$441*(1+Pressupostos!$C$156)*(1+Pressupostos!$C$157)^2</f>
        <v>76469.4</v>
      </c>
      <c r="F3106" s="61" t="n">
        <f aca="false">Pressupostos!$F$441*(1+Pressupostos!$C$156)*(1+Pressupostos!$C$157)^3</f>
        <v>100284.156</v>
      </c>
      <c r="G3106" s="61" t="n">
        <f aca="false">Pressupostos!$G$441*(1+Pressupostos!$C$156)*(1+Pressupostos!$C$157)^4</f>
        <v>125020.91448</v>
      </c>
      <c r="H3106" s="2" t="s">
        <v>1352</v>
      </c>
    </row>
    <row r="3107" customFormat="false" ht="15" hidden="false" customHeight="false" outlineLevel="1" collapsed="false">
      <c r="A3107" s="7" t="s">
        <v>461</v>
      </c>
      <c r="B3107" s="8" t="s">
        <v>11</v>
      </c>
      <c r="C3107" s="61" t="n">
        <f aca="false">Pressupostos!$C$447*(1+Pressupostos!$C$156)*(1+Pressupostos!$C$157)^0</f>
        <v>12600</v>
      </c>
      <c r="D3107" s="61" t="n">
        <f aca="false">Pressupostos!$D$447*(1+Pressupostos!$C$156)*(1+Pressupostos!$C$157)^1</f>
        <v>16065</v>
      </c>
      <c r="E3107" s="61" t="n">
        <f aca="false">Pressupostos!$E$447*(1+Pressupostos!$C$156)*(1+Pressupostos!$C$157)^2</f>
        <v>26218.08</v>
      </c>
      <c r="F3107" s="61" t="n">
        <f aca="false">Pressupostos!$F$447*(1+Pressupostos!$C$156)*(1+Pressupostos!$C$157)^3</f>
        <v>33428.052</v>
      </c>
      <c r="G3107" s="61" t="n">
        <f aca="false">Pressupostos!$G$447*(1+Pressupostos!$C$156)*(1+Pressupostos!$C$157)^4</f>
        <v>40915.935648</v>
      </c>
      <c r="H3107" s="2" t="s">
        <v>1353</v>
      </c>
    </row>
    <row r="3108" customFormat="false" ht="15" hidden="false" customHeight="false" outlineLevel="1" collapsed="false">
      <c r="A3108" s="7" t="s">
        <v>463</v>
      </c>
      <c r="B3108" s="8" t="s">
        <v>11</v>
      </c>
      <c r="C3108" s="61" t="n">
        <f aca="false">Pressupostos!$C$453*(1+Pressupostos!$C$156)*(1+Pressupostos!$C$157)^0</f>
        <v>18900</v>
      </c>
      <c r="D3108" s="61" t="n">
        <f aca="false">Pressupostos!$D$453*(1+Pressupostos!$C$156)*(1+Pressupostos!$C$157)^1</f>
        <v>23562</v>
      </c>
      <c r="E3108" s="61" t="n">
        <f aca="false">Pressupostos!$E$453*(1+Pressupostos!$C$156)*(1+Pressupostos!$C$157)^2</f>
        <v>32772.6</v>
      </c>
      <c r="F3108" s="61" t="n">
        <f aca="false">Pressupostos!$F$453*(1+Pressupostos!$C$156)*(1+Pressupostos!$C$157)^3</f>
        <v>42342.1992</v>
      </c>
      <c r="G3108" s="61" t="n">
        <f aca="false">Pressupostos!$G$453*(1+Pressupostos!$C$156)*(1+Pressupostos!$C$157)^4</f>
        <v>51144.91956</v>
      </c>
      <c r="H3108" s="2" t="s">
        <v>1354</v>
      </c>
    </row>
    <row r="3109" customFormat="false" ht="15" hidden="false" customHeight="false" outlineLevel="1" collapsed="false">
      <c r="A3109" s="7" t="s">
        <v>464</v>
      </c>
      <c r="B3109" s="8" t="s">
        <v>11</v>
      </c>
      <c r="C3109" s="61" t="n">
        <f aca="false">Pressupostos!$C$459*(1+Pressupostos!$C$156)*(1+Pressupostos!$C$157)^0</f>
        <v>5250</v>
      </c>
      <c r="D3109" s="61" t="n">
        <f aca="false">Pressupostos!$D$459*(1+Pressupostos!$C$156)*(1+Pressupostos!$C$157)^1</f>
        <v>8568</v>
      </c>
      <c r="E3109" s="61" t="n">
        <f aca="false">Pressupostos!$E$459*(1+Pressupostos!$C$156)*(1+Pressupostos!$C$157)^2</f>
        <v>13109.04</v>
      </c>
      <c r="F3109" s="61" t="n">
        <f aca="false">Pressupostos!$F$459*(1+Pressupostos!$C$156)*(1+Pressupostos!$C$157)^3</f>
        <v>16714.026</v>
      </c>
      <c r="G3109" s="61" t="n">
        <f aca="false">Pressupostos!$G$459*(1+Pressupostos!$C$156)*(1+Pressupostos!$C$157)^4</f>
        <v>17048.30652</v>
      </c>
      <c r="H3109" s="2" t="s">
        <v>1355</v>
      </c>
    </row>
    <row r="3110" customFormat="false" ht="15" hidden="false" customHeight="false" outlineLevel="1" collapsed="false">
      <c r="A3110" s="7" t="s">
        <v>701</v>
      </c>
      <c r="B3110" s="8" t="s">
        <v>11</v>
      </c>
      <c r="C3110" s="61" t="n">
        <f aca="false">C3100+C3101+C3102+C3103+C3104+C3105+C3106+C3107+C3108+C3109</f>
        <v>254100</v>
      </c>
      <c r="D3110" s="61" t="n">
        <f aca="false">D3100+D3101+D3102+D3103+D3104+D3105+D3106+D3107+D3108+D3109</f>
        <v>250614</v>
      </c>
      <c r="E3110" s="61" t="n">
        <f aca="false">E3100+E3101+E3102+E3103+E3104+E3105+E3106+E3107+E3108+E3109</f>
        <v>336465.36</v>
      </c>
      <c r="F3110" s="61" t="n">
        <f aca="false">F3100+F3101+F3102+F3103+F3104+F3105+F3106+F3107+F3108+F3109</f>
        <v>374394.1824</v>
      </c>
      <c r="G3110" s="61" t="n">
        <f aca="false">G3100+G3101+G3102+G3103+G3104+G3105+G3106+G3107+G3108+G3109</f>
        <v>438709.754448</v>
      </c>
      <c r="H3110" s="2" t="s">
        <v>1356</v>
      </c>
    </row>
    <row r="3111" customFormat="false" ht="15" hidden="false" customHeight="false" outlineLevel="1" collapsed="false">
      <c r="A3111" s="7" t="s">
        <v>702</v>
      </c>
      <c r="B3111" s="8" t="s">
        <v>11</v>
      </c>
      <c r="C3111" s="61" t="n">
        <f aca="false">Pressupostos!$C$114+Pressupostos!$C$115+Pressupostos!$C$116*Pressupostos!$C$294+Pressupostos!$C$466+Pressupostos!$C$306</f>
        <v>65000</v>
      </c>
      <c r="D3111" s="61" t="n">
        <f aca="false">Pressupostos!$C$115+Pressupostos!$C$116*Pressupostos!$D$294+Pressupostos!$D$466+Pressupostos!$D$306</f>
        <v>65000</v>
      </c>
      <c r="E3111" s="61" t="n">
        <f aca="false">Pressupostos!$C$115+Pressupostos!$C$116*Pressupostos!$E$294+Pressupostos!$E$466+Pressupostos!$E$306</f>
        <v>70000</v>
      </c>
      <c r="F3111" s="61" t="n">
        <f aca="false">Pressupostos!$C$115+Pressupostos!$C$116*Pressupostos!$F$294+Pressupostos!$F$466+Pressupostos!$F$306</f>
        <v>75000</v>
      </c>
      <c r="G3111" s="61" t="n">
        <f aca="false">Pressupostos!$C$115+Pressupostos!$C$116*Pressupostos!$G$294+Pressupostos!$G$466+Pressupostos!$G$306</f>
        <v>80000</v>
      </c>
      <c r="H3111" s="2" t="s">
        <v>1357</v>
      </c>
    </row>
    <row r="3112" customFormat="false" ht="15" hidden="false" customHeight="false" outlineLevel="1" collapsed="false">
      <c r="A3112" s="7" t="s">
        <v>703</v>
      </c>
      <c r="B3112" s="8" t="s">
        <v>11</v>
      </c>
      <c r="C3112" s="61" t="n">
        <f aca="false">IF(C2924&lt;Pressupostos!$C$120,0,MAX(Pressupostos!$C$300,Pressupostos!$C$118*(C3018+C3019)+Pressupostos!$C$119*C3020))</f>
        <v>0</v>
      </c>
      <c r="D3112" s="61" t="n">
        <f aca="false">IF(D2924&lt;Pressupostos!$C$120,0,MAX(Pressupostos!$D$300,Pressupostos!$C$118*(D3018+D3019)+Pressupostos!$C$119*D3020))</f>
        <v>4948.146</v>
      </c>
      <c r="E3112" s="61" t="n">
        <f aca="false">IF(E2924&lt;Pressupostos!$C$120,0,MAX(Pressupostos!$E$300,Pressupostos!$C$118*(E3018+E3019)+Pressupostos!$C$119*E3020))</f>
        <v>10626.714</v>
      </c>
      <c r="F3112" s="61" t="n">
        <f aca="false">IF(F2924&lt;Pressupostos!$C$120,0,MAX(Pressupostos!$F$300,Pressupostos!$C$118*(F3018+F3019)+Pressupostos!$C$119*F3020))</f>
        <v>18210.486</v>
      </c>
      <c r="G3112" s="61" t="n">
        <f aca="false">IF(G2924&lt;Pressupostos!$C$120,0,MAX(Pressupostos!$G$300,Pressupostos!$C$118*(G3018+G3019)+Pressupostos!$C$119*G3020))</f>
        <v>27639.78</v>
      </c>
      <c r="H3112" s="2" t="s">
        <v>1358</v>
      </c>
    </row>
    <row r="3113" customFormat="false" ht="15" hidden="false" customHeight="false" outlineLevel="1" collapsed="false">
      <c r="A3113" s="56" t="s">
        <v>704</v>
      </c>
      <c r="B3113" s="57" t="s">
        <v>11</v>
      </c>
      <c r="C3113" s="62" t="n">
        <f aca="false">C3110+C3111+C3112</f>
        <v>319100</v>
      </c>
      <c r="D3113" s="62" t="n">
        <f aca="false">D3110+D3111+D3112</f>
        <v>320562.146</v>
      </c>
      <c r="E3113" s="62" t="n">
        <f aca="false">E3110+E3111+E3112</f>
        <v>417092.074</v>
      </c>
      <c r="F3113" s="62" t="n">
        <f aca="false">F3110+F3111+F3112</f>
        <v>467604.6684</v>
      </c>
      <c r="G3113" s="62" t="n">
        <f aca="false">G3110+G3111+G3112</f>
        <v>546349.534448</v>
      </c>
      <c r="H3113" s="2" t="s">
        <v>1359</v>
      </c>
    </row>
    <row r="3114" customFormat="false" ht="15" hidden="false" customHeight="false" outlineLevel="0" collapsed="false">
      <c r="A3114" s="3" t="s">
        <v>1360</v>
      </c>
      <c r="B3114" s="4"/>
      <c r="C3114" s="4"/>
      <c r="D3114" s="4"/>
      <c r="E3114" s="4"/>
      <c r="F3114" s="4"/>
      <c r="G3114" s="4"/>
      <c r="H3114" s="4"/>
    </row>
    <row r="3115" customFormat="false" ht="15" hidden="false" customHeight="false" outlineLevel="1" collapsed="false">
      <c r="A3115" s="7" t="s">
        <v>706</v>
      </c>
      <c r="B3115" s="8" t="s">
        <v>11</v>
      </c>
      <c r="C3115" s="61" t="n">
        <f aca="false">Pressupostos!$C$165*Pressupostos!$C$313</f>
        <v>18000</v>
      </c>
      <c r="D3115" s="61" t="n">
        <f aca="false">Pressupostos!$C$165*Pressupostos!$D$313</f>
        <v>12000</v>
      </c>
      <c r="E3115" s="61" t="n">
        <f aca="false">Pressupostos!$C$165*Pressupostos!$E$313</f>
        <v>12000</v>
      </c>
      <c r="F3115" s="61" t="n">
        <f aca="false">Pressupostos!$C$165*Pressupostos!$F$313</f>
        <v>12000</v>
      </c>
      <c r="G3115" s="61" t="n">
        <f aca="false">Pressupostos!$C$165*Pressupostos!$G$313</f>
        <v>12000</v>
      </c>
      <c r="H3115" s="2" t="s">
        <v>1361</v>
      </c>
    </row>
    <row r="3116" customFormat="false" ht="15" hidden="false" customHeight="false" outlineLevel="1" collapsed="false">
      <c r="A3116" s="7" t="s">
        <v>707</v>
      </c>
      <c r="B3116" s="8" t="s">
        <v>11</v>
      </c>
      <c r="C3116" s="53" t="n">
        <f aca="false">Pressupostos!$C$319</f>
        <v>60000</v>
      </c>
      <c r="D3116" s="53" t="n">
        <f aca="false">Pressupostos!$D$319</f>
        <v>15000</v>
      </c>
      <c r="E3116" s="53" t="n">
        <f aca="false">Pressupostos!$E$319</f>
        <v>15000</v>
      </c>
      <c r="F3116" s="53" t="n">
        <f aca="false">Pressupostos!$F$319</f>
        <v>10000</v>
      </c>
      <c r="G3116" s="53" t="n">
        <f aca="false">Pressupostos!$G$319</f>
        <v>10000</v>
      </c>
      <c r="H3116" s="2" t="s">
        <v>1362</v>
      </c>
    </row>
    <row r="3117" customFormat="false" ht="15" hidden="false" customHeight="false" outlineLevel="1" collapsed="false">
      <c r="A3117" s="7" t="s">
        <v>708</v>
      </c>
      <c r="B3117" s="8" t="s">
        <v>11</v>
      </c>
      <c r="C3117" s="53" t="n">
        <f aca="false">Pressupostos!$C$325</f>
        <v>0</v>
      </c>
      <c r="D3117" s="53" t="n">
        <f aca="false">Pressupostos!$D$325</f>
        <v>15000</v>
      </c>
      <c r="E3117" s="53" t="n">
        <f aca="false">Pressupostos!$E$325</f>
        <v>15000</v>
      </c>
      <c r="F3117" s="53" t="n">
        <f aca="false">Pressupostos!$F$325</f>
        <v>10000</v>
      </c>
      <c r="G3117" s="53" t="n">
        <f aca="false">Pressupostos!$G$325</f>
        <v>10000</v>
      </c>
      <c r="H3117" s="2" t="s">
        <v>1363</v>
      </c>
    </row>
    <row r="3118" customFormat="false" ht="15" hidden="false" customHeight="false" outlineLevel="1" collapsed="false">
      <c r="A3118" s="7" t="s">
        <v>709</v>
      </c>
      <c r="B3118" s="8" t="s">
        <v>11</v>
      </c>
      <c r="C3118" s="61" t="n">
        <f aca="false">Pressupostos!$C$166*MAX(0,C3080)</f>
        <v>14000</v>
      </c>
      <c r="D3118" s="61" t="n">
        <f aca="false">Pressupostos!$C$166*MAX(0,D3080-C3080)</f>
        <v>2000</v>
      </c>
      <c r="E3118" s="61" t="n">
        <f aca="false">Pressupostos!$C$166*MAX(0,E3080-D3080)</f>
        <v>6000</v>
      </c>
      <c r="F3118" s="61" t="n">
        <f aca="false">Pressupostos!$C$166*MAX(0,F3080-E3080)</f>
        <v>6000</v>
      </c>
      <c r="G3118" s="61" t="n">
        <f aca="false">Pressupostos!$C$166*MAX(0,G3080-F3080)</f>
        <v>6000</v>
      </c>
      <c r="H3118" s="2" t="s">
        <v>1364</v>
      </c>
    </row>
    <row r="3119" customFormat="false" ht="15" hidden="false" customHeight="false" outlineLevel="1" collapsed="false">
      <c r="A3119" s="7" t="s">
        <v>424</v>
      </c>
      <c r="B3119" s="8" t="s">
        <v>11</v>
      </c>
      <c r="C3119" s="61" t="n">
        <f aca="false">C3115+C3116+C3117+C3118</f>
        <v>92000</v>
      </c>
      <c r="D3119" s="61" t="n">
        <f aca="false">D3115+D3116+D3117+D3118</f>
        <v>44000</v>
      </c>
      <c r="E3119" s="61" t="n">
        <f aca="false">E3115+E3116+E3117+E3118</f>
        <v>48000</v>
      </c>
      <c r="F3119" s="61" t="n">
        <f aca="false">F3115+F3116+F3117+F3118</f>
        <v>38000</v>
      </c>
      <c r="G3119" s="61" t="n">
        <f aca="false">G3115+G3116+G3117+G3118</f>
        <v>38000</v>
      </c>
      <c r="H3119" s="2" t="s">
        <v>1365</v>
      </c>
    </row>
    <row r="3120" customFormat="false" ht="15" hidden="false" customHeight="false" outlineLevel="1" collapsed="false">
      <c r="A3120" s="7" t="s">
        <v>710</v>
      </c>
      <c r="B3120" s="8" t="s">
        <v>11</v>
      </c>
      <c r="C3120" s="61" t="n">
        <f aca="false">(C3116*((0)&lt;Pressupostos!$C$167))/Pressupostos!$C$167</f>
        <v>20000</v>
      </c>
      <c r="D3120" s="61" t="n">
        <f aca="false">(C3116*((1)&lt;Pressupostos!$C$167)+D3116*((0)&lt;Pressupostos!$C$167))/Pressupostos!$C$167</f>
        <v>25000</v>
      </c>
      <c r="E3120" s="61" t="n">
        <f aca="false">(C3116*((2)&lt;Pressupostos!$C$167)+D3116*((1)&lt;Pressupostos!$C$167)+E3116*((0)&lt;Pressupostos!$C$167))/Pressupostos!$C$167</f>
        <v>30000</v>
      </c>
      <c r="F3120" s="61" t="n">
        <f aca="false">(C3116*((3)&lt;Pressupostos!$C$167)+D3116*((2)&lt;Pressupostos!$C$167)+E3116*((1)&lt;Pressupostos!$C$167)+F3116*((0)&lt;Pressupostos!$C$167))/Pressupostos!$C$167</f>
        <v>13333.3333333333</v>
      </c>
      <c r="G3120" s="61" t="n">
        <f aca="false">(C3116*((4)&lt;Pressupostos!$C$167)+D3116*((3)&lt;Pressupostos!$C$167)+E3116*((2)&lt;Pressupostos!$C$167)+F3116*((1)&lt;Pressupostos!$C$167)+G3116*((0)&lt;Pressupostos!$C$167))/Pressupostos!$C$167</f>
        <v>11666.6666666667</v>
      </c>
      <c r="H3120" s="2" t="s">
        <v>1366</v>
      </c>
    </row>
    <row r="3121" customFormat="false" ht="15" hidden="false" customHeight="false" outlineLevel="1" collapsed="false">
      <c r="A3121" s="7" t="s">
        <v>711</v>
      </c>
      <c r="B3121" s="8" t="s">
        <v>11</v>
      </c>
      <c r="C3121" s="61" t="n">
        <f aca="false">(C3117*((0)&lt;Pressupostos!$C$167))/Pressupostos!$C$167</f>
        <v>0</v>
      </c>
      <c r="D3121" s="61" t="n">
        <f aca="false">(C3117*((1)&lt;Pressupostos!$C$167)+D3117*((0)&lt;Pressupostos!$C$167))/Pressupostos!$C$167</f>
        <v>5000</v>
      </c>
      <c r="E3121" s="61" t="n">
        <f aca="false">(C3117*((2)&lt;Pressupostos!$C$167)+D3117*((1)&lt;Pressupostos!$C$167)+E3117*((0)&lt;Pressupostos!$C$167))/Pressupostos!$C$167</f>
        <v>10000</v>
      </c>
      <c r="F3121" s="61" t="n">
        <f aca="false">(C3117*((3)&lt;Pressupostos!$C$167)+D3117*((2)&lt;Pressupostos!$C$167)+E3117*((1)&lt;Pressupostos!$C$167)+F3117*((0)&lt;Pressupostos!$C$167))/Pressupostos!$C$167</f>
        <v>13333.3333333333</v>
      </c>
      <c r="G3121" s="61" t="n">
        <f aca="false">(C3117*((4)&lt;Pressupostos!$C$167)+D3117*((3)&lt;Pressupostos!$C$167)+E3117*((2)&lt;Pressupostos!$C$167)+F3117*((1)&lt;Pressupostos!$C$167)+G3117*((0)&lt;Pressupostos!$C$167))/Pressupostos!$C$167</f>
        <v>11666.6666666667</v>
      </c>
      <c r="H3121" s="2" t="s">
        <v>1367</v>
      </c>
    </row>
    <row r="3122" customFormat="false" ht="15" hidden="false" customHeight="false" outlineLevel="1" collapsed="false">
      <c r="A3122" s="7" t="s">
        <v>712</v>
      </c>
      <c r="B3122" s="8" t="s">
        <v>11</v>
      </c>
      <c r="C3122" s="61" t="n">
        <f aca="false">(C3115*((0)&lt;Pressupostos!$C$169))/Pressupostos!$C$169</f>
        <v>3600</v>
      </c>
      <c r="D3122" s="61" t="n">
        <f aca="false">(C3115*((1)&lt;Pressupostos!$C$169)+D3115*((0)&lt;Pressupostos!$C$169))/Pressupostos!$C$169</f>
        <v>6000</v>
      </c>
      <c r="E3122" s="61" t="n">
        <f aca="false">(C3115*((2)&lt;Pressupostos!$C$169)+D3115*((1)&lt;Pressupostos!$C$169)+E3115*((0)&lt;Pressupostos!$C$169))/Pressupostos!$C$169</f>
        <v>8400</v>
      </c>
      <c r="F3122" s="61" t="n">
        <f aca="false">(C3115*((3)&lt;Pressupostos!$C$169)+D3115*((2)&lt;Pressupostos!$C$169)+E3115*((1)&lt;Pressupostos!$C$169)+F3115*((0)&lt;Pressupostos!$C$169))/Pressupostos!$C$169</f>
        <v>10800</v>
      </c>
      <c r="G3122" s="61" t="n">
        <f aca="false">(C3115*((4)&lt;Pressupostos!$C$169)+D3115*((3)&lt;Pressupostos!$C$169)+E3115*((2)&lt;Pressupostos!$C$169)+F3115*((1)&lt;Pressupostos!$C$169)+G3115*((0)&lt;Pressupostos!$C$169))/Pressupostos!$C$169</f>
        <v>13200</v>
      </c>
      <c r="H3122" s="2" t="s">
        <v>1368</v>
      </c>
    </row>
    <row r="3123" customFormat="false" ht="15" hidden="false" customHeight="false" outlineLevel="1" collapsed="false">
      <c r="A3123" s="7" t="s">
        <v>713</v>
      </c>
      <c r="B3123" s="8" t="s">
        <v>11</v>
      </c>
      <c r="C3123" s="61" t="n">
        <f aca="false">(C3118*((0)&lt;Pressupostos!$C$168))/Pressupostos!$C$168</f>
        <v>3500</v>
      </c>
      <c r="D3123" s="61" t="n">
        <f aca="false">(C3118*((1)&lt;Pressupostos!$C$168)+D3118*((0)&lt;Pressupostos!$C$168))/Pressupostos!$C$168</f>
        <v>4000</v>
      </c>
      <c r="E3123" s="61" t="n">
        <f aca="false">(C3118*((2)&lt;Pressupostos!$C$168)+D3118*((1)&lt;Pressupostos!$C$168)+E3118*((0)&lt;Pressupostos!$C$168))/Pressupostos!$C$168</f>
        <v>5500</v>
      </c>
      <c r="F3123" s="61" t="n">
        <f aca="false">(C3118*((3)&lt;Pressupostos!$C$168)+D3118*((2)&lt;Pressupostos!$C$168)+E3118*((1)&lt;Pressupostos!$C$168)+F3118*((0)&lt;Pressupostos!$C$168))/Pressupostos!$C$168</f>
        <v>7000</v>
      </c>
      <c r="G3123" s="61" t="n">
        <f aca="false">(C3118*((4)&lt;Pressupostos!$C$168)+D3118*((3)&lt;Pressupostos!$C$168)+E3118*((2)&lt;Pressupostos!$C$168)+F3118*((1)&lt;Pressupostos!$C$168)+G3118*((0)&lt;Pressupostos!$C$168))/Pressupostos!$C$168</f>
        <v>5000</v>
      </c>
      <c r="H3123" s="2" t="s">
        <v>1369</v>
      </c>
    </row>
    <row r="3124" customFormat="false" ht="15" hidden="false" customHeight="false" outlineLevel="1" collapsed="false">
      <c r="A3124" s="7" t="s">
        <v>714</v>
      </c>
      <c r="B3124" s="8" t="s">
        <v>11</v>
      </c>
      <c r="C3124" s="61" t="n">
        <f aca="false">C3120+C3121+C3122+C3123</f>
        <v>27100</v>
      </c>
      <c r="D3124" s="61" t="n">
        <f aca="false">D3120+D3121+D3122+D3123</f>
        <v>40000</v>
      </c>
      <c r="E3124" s="61" t="n">
        <f aca="false">E3120+E3121+E3122+E3123</f>
        <v>53900</v>
      </c>
      <c r="F3124" s="61" t="n">
        <f aca="false">F3120+F3121+F3122+F3123</f>
        <v>44466.6666666667</v>
      </c>
      <c r="G3124" s="61" t="n">
        <f aca="false">G3120+G3121+G3122+G3123</f>
        <v>41533.3333333333</v>
      </c>
      <c r="H3124" s="2" t="s">
        <v>1370</v>
      </c>
    </row>
    <row r="3125" customFormat="false" ht="15" hidden="false" customHeight="false" outlineLevel="0" collapsed="false">
      <c r="A3125" s="3" t="s">
        <v>1371</v>
      </c>
      <c r="B3125" s="4"/>
      <c r="C3125" s="4"/>
      <c r="D3125" s="4"/>
      <c r="E3125" s="4"/>
      <c r="F3125" s="4"/>
      <c r="G3125" s="4"/>
      <c r="H3125" s="4"/>
    </row>
    <row r="3126" customFormat="false" ht="15" hidden="false" customHeight="false" outlineLevel="1" collapsed="false">
      <c r="A3126" s="56" t="s">
        <v>718</v>
      </c>
      <c r="B3126" s="57" t="s">
        <v>11</v>
      </c>
      <c r="C3126" s="62" t="n">
        <f aca="false">C3028</f>
        <v>187626</v>
      </c>
      <c r="D3126" s="62" t="n">
        <f aca="false">D3028</f>
        <v>1250276.5</v>
      </c>
      <c r="E3126" s="62" t="n">
        <f aca="false">E3028</f>
        <v>2927578.5</v>
      </c>
      <c r="F3126" s="62" t="n">
        <f aca="false">F3028</f>
        <v>5101181.5</v>
      </c>
      <c r="G3126" s="62" t="n">
        <f aca="false">G3028</f>
        <v>7834665</v>
      </c>
      <c r="H3126" s="2" t="s">
        <v>1372</v>
      </c>
    </row>
    <row r="3127" customFormat="false" ht="15" hidden="false" customHeight="false" outlineLevel="1" collapsed="false">
      <c r="A3127" s="7" t="s">
        <v>688</v>
      </c>
      <c r="B3127" s="8" t="s">
        <v>11</v>
      </c>
      <c r="C3127" s="61" t="n">
        <f aca="false">-C3051</f>
        <v>-180800</v>
      </c>
      <c r="D3127" s="61" t="n">
        <f aca="false">-D3051</f>
        <v>-1203700</v>
      </c>
      <c r="E3127" s="61" t="n">
        <f aca="false">-E3051</f>
        <v>-2773300</v>
      </c>
      <c r="F3127" s="61" t="n">
        <f aca="false">-F3051</f>
        <v>-4796700</v>
      </c>
      <c r="G3127" s="61" t="n">
        <f aca="false">-G3051</f>
        <v>-7341000</v>
      </c>
      <c r="H3127" s="2" t="s">
        <v>1373</v>
      </c>
    </row>
    <row r="3128" customFormat="false" ht="15" hidden="false" customHeight="false" outlineLevel="1" collapsed="false">
      <c r="A3128" s="56" t="s">
        <v>719</v>
      </c>
      <c r="B3128" s="57" t="s">
        <v>11</v>
      </c>
      <c r="C3128" s="62" t="n">
        <f aca="false">C3126+C3127</f>
        <v>6825.99999999997</v>
      </c>
      <c r="D3128" s="62" t="n">
        <f aca="false">D3126+D3127</f>
        <v>46576.4999999998</v>
      </c>
      <c r="E3128" s="62" t="n">
        <f aca="false">E3126+E3127</f>
        <v>154278.5</v>
      </c>
      <c r="F3128" s="62" t="n">
        <f aca="false">F3126+F3127</f>
        <v>304481.5</v>
      </c>
      <c r="G3128" s="62" t="n">
        <f aca="false">G3126+G3127</f>
        <v>493664.999999999</v>
      </c>
      <c r="H3128" s="2" t="s">
        <v>1374</v>
      </c>
    </row>
    <row r="3129" customFormat="false" ht="15" hidden="false" customHeight="false" outlineLevel="1" collapsed="false">
      <c r="A3129" s="2" t="s">
        <v>720</v>
      </c>
      <c r="B3129" s="8" t="s">
        <v>76</v>
      </c>
      <c r="C3129" s="59" t="n">
        <f aca="false">IF(C3126&gt;0,C3128/C3126,0)</f>
        <v>0.0363808853783589</v>
      </c>
      <c r="D3129" s="59" t="n">
        <f aca="false">IF(D3126&gt;0,D3128/D3126,0)</f>
        <v>0.0372529596453263</v>
      </c>
      <c r="E3129" s="59" t="n">
        <f aca="false">IF(E3126&gt;0,E3128/E3126,0)</f>
        <v>0.0526983307193982</v>
      </c>
      <c r="F3129" s="59" t="n">
        <f aca="false">IF(F3126&gt;0,F3128/F3126,0)</f>
        <v>0.0596884270830199</v>
      </c>
      <c r="G3129" s="59" t="n">
        <f aca="false">IF(G3126&gt;0,G3128/G3126,0)</f>
        <v>0.0630103520699352</v>
      </c>
      <c r="H3129" s="2" t="s">
        <v>1375</v>
      </c>
    </row>
    <row r="3130" customFormat="false" ht="15" hidden="false" customHeight="false" outlineLevel="1" collapsed="false">
      <c r="A3130" s="7" t="s">
        <v>721</v>
      </c>
      <c r="B3130" s="8" t="s">
        <v>11</v>
      </c>
      <c r="C3130" s="61" t="n">
        <f aca="false">-C3062</f>
        <v>-14732.7938082192</v>
      </c>
      <c r="D3130" s="61" t="n">
        <f aca="false">-D3062</f>
        <v>-100170.004606654</v>
      </c>
      <c r="E3130" s="61" t="n">
        <f aca="false">-E3062</f>
        <v>-233501.166998043</v>
      </c>
      <c r="F3130" s="61" t="n">
        <f aca="false">-F3062</f>
        <v>-418597.221064579</v>
      </c>
      <c r="G3130" s="61" t="n">
        <f aca="false">-G3062</f>
        <v>-646146.857573386</v>
      </c>
      <c r="H3130" s="2" t="s">
        <v>1376</v>
      </c>
    </row>
    <row r="3131" customFormat="false" ht="15" hidden="false" customHeight="false" outlineLevel="1" collapsed="false">
      <c r="A3131" s="7" t="s">
        <v>698</v>
      </c>
      <c r="B3131" s="8" t="s">
        <v>11</v>
      </c>
      <c r="C3131" s="61" t="n">
        <f aca="false">-C3065</f>
        <v>-0</v>
      </c>
      <c r="D3131" s="61" t="n">
        <f aca="false">-D3065</f>
        <v>-17315.6301369863</v>
      </c>
      <c r="E3131" s="61" t="n">
        <f aca="false">-E3065</f>
        <v>-29325.5136986301</v>
      </c>
      <c r="F3131" s="61" t="n">
        <f aca="false">-F3065</f>
        <v>-47463.595890411</v>
      </c>
      <c r="G3131" s="61" t="n">
        <f aca="false">-G3065</f>
        <v>-72644.1780821918</v>
      </c>
      <c r="H3131" s="2" t="s">
        <v>1377</v>
      </c>
    </row>
    <row r="3132" customFormat="false" ht="15" hidden="false" customHeight="false" outlineLevel="1" collapsed="false">
      <c r="A3132" s="56" t="s">
        <v>677</v>
      </c>
      <c r="B3132" s="57" t="s">
        <v>11</v>
      </c>
      <c r="C3132" s="62" t="n">
        <f aca="false">C3128+C3130+C3131</f>
        <v>-7906.79380821921</v>
      </c>
      <c r="D3132" s="62" t="n">
        <f aca="false">D3128+D3130+D3131</f>
        <v>-70909.1347436401</v>
      </c>
      <c r="E3132" s="62" t="n">
        <f aca="false">E3128+E3130+E3131</f>
        <v>-108548.180696674</v>
      </c>
      <c r="F3132" s="62" t="n">
        <f aca="false">F3128+F3130+F3131</f>
        <v>-161579.31695499</v>
      </c>
      <c r="G3132" s="62" t="n">
        <f aca="false">G3128+G3130+G3131</f>
        <v>-225126.035655578</v>
      </c>
      <c r="H3132" s="2" t="s">
        <v>1378</v>
      </c>
    </row>
    <row r="3133" customFormat="false" ht="15" hidden="false" customHeight="false" outlineLevel="1" collapsed="false">
      <c r="A3133" s="7" t="s">
        <v>261</v>
      </c>
      <c r="B3133" s="8" t="s">
        <v>11</v>
      </c>
      <c r="C3133" s="61" t="n">
        <f aca="false">-C3097</f>
        <v>-400885.59375</v>
      </c>
      <c r="D3133" s="61" t="n">
        <f aca="false">-D3097</f>
        <v>-508017.8875</v>
      </c>
      <c r="E3133" s="61" t="n">
        <f aca="false">-E3097</f>
        <v>-667701.28525</v>
      </c>
      <c r="F3133" s="61" t="n">
        <f aca="false">-F3097</f>
        <v>-855745.92960125</v>
      </c>
      <c r="G3133" s="61" t="n">
        <f aca="false">-G3097</f>
        <v>-1042442.03916396</v>
      </c>
      <c r="H3133" s="2" t="s">
        <v>1379</v>
      </c>
    </row>
    <row r="3134" customFormat="false" ht="15" hidden="false" customHeight="false" outlineLevel="1" collapsed="false">
      <c r="A3134" s="7" t="s">
        <v>722</v>
      </c>
      <c r="B3134" s="8" t="s">
        <v>11</v>
      </c>
      <c r="C3134" s="61" t="n">
        <f aca="false">-C3113</f>
        <v>-319100</v>
      </c>
      <c r="D3134" s="61" t="n">
        <f aca="false">-D3113</f>
        <v>-320562.146</v>
      </c>
      <c r="E3134" s="61" t="n">
        <f aca="false">-E3113</f>
        <v>-417092.074</v>
      </c>
      <c r="F3134" s="61" t="n">
        <f aca="false">-F3113</f>
        <v>-467604.6684</v>
      </c>
      <c r="G3134" s="61" t="n">
        <f aca="false">-G3113</f>
        <v>-546349.534448</v>
      </c>
      <c r="H3134" s="2" t="s">
        <v>1380</v>
      </c>
    </row>
    <row r="3135" customFormat="false" ht="15" hidden="false" customHeight="false" outlineLevel="1" collapsed="false">
      <c r="A3135" s="56" t="s">
        <v>723</v>
      </c>
      <c r="B3135" s="57" t="s">
        <v>11</v>
      </c>
      <c r="C3135" s="62" t="n">
        <f aca="false">C3132+C3133+C3134</f>
        <v>-727892.387558219</v>
      </c>
      <c r="D3135" s="62" t="n">
        <f aca="false">D3132+D3133+D3134</f>
        <v>-899489.16824364</v>
      </c>
      <c r="E3135" s="62" t="n">
        <f aca="false">E3132+E3133+E3134</f>
        <v>-1193341.53994667</v>
      </c>
      <c r="F3135" s="62" t="n">
        <f aca="false">F3132+F3133+F3134</f>
        <v>-1484929.91495624</v>
      </c>
      <c r="G3135" s="62" t="n">
        <f aca="false">G3132+G3133+G3134</f>
        <v>-1813917.60926754</v>
      </c>
      <c r="H3135" s="2" t="s">
        <v>1381</v>
      </c>
    </row>
    <row r="3136" customFormat="false" ht="15" hidden="false" customHeight="false" outlineLevel="1" collapsed="false">
      <c r="A3136" s="2" t="s">
        <v>725</v>
      </c>
      <c r="B3136" s="8" t="s">
        <v>76</v>
      </c>
      <c r="C3136" s="59" t="n">
        <f aca="false">IF(C3126&gt;0,C3135/C3126,0)</f>
        <v>-3.87948571924051</v>
      </c>
      <c r="D3136" s="59" t="n">
        <f aca="false">IF(D3126&gt;0,D3135/D3126,0)</f>
        <v>-0.719432196193114</v>
      </c>
      <c r="E3136" s="59" t="n">
        <f aca="false">IF(E3126&gt;0,E3135/E3126,0)</f>
        <v>-0.407620680349536</v>
      </c>
      <c r="F3136" s="59" t="n">
        <f aca="false">IF(F3126&gt;0,F3135/F3126,0)</f>
        <v>-0.291095291346964</v>
      </c>
      <c r="G3136" s="59" t="n">
        <f aca="false">IF(G3126&gt;0,G3135/G3126,0)</f>
        <v>-0.231524590938801</v>
      </c>
      <c r="H3136" s="2" t="s">
        <v>1382</v>
      </c>
    </row>
    <row r="3137" customFormat="false" ht="15" hidden="false" customHeight="false" outlineLevel="1" collapsed="false">
      <c r="A3137" s="2" t="s">
        <v>726</v>
      </c>
      <c r="B3137" s="8" t="s">
        <v>11</v>
      </c>
      <c r="C3137" s="61" t="n">
        <f aca="false">C3135+C3065</f>
        <v>-727892.387558219</v>
      </c>
      <c r="D3137" s="61" t="n">
        <f aca="false">D3135+D3065</f>
        <v>-882173.538106654</v>
      </c>
      <c r="E3137" s="61" t="n">
        <f aca="false">E3135+E3065</f>
        <v>-1164016.02624804</v>
      </c>
      <c r="F3137" s="61" t="n">
        <f aca="false">F3135+F3065</f>
        <v>-1437466.31906583</v>
      </c>
      <c r="G3137" s="61" t="n">
        <f aca="false">G3135+G3065</f>
        <v>-1741273.43118535</v>
      </c>
      <c r="H3137" s="2" t="s">
        <v>1383</v>
      </c>
    </row>
    <row r="3138" customFormat="false" ht="15" hidden="false" customHeight="false" outlineLevel="1" collapsed="false">
      <c r="A3138" s="7" t="s">
        <v>714</v>
      </c>
      <c r="B3138" s="8" t="s">
        <v>11</v>
      </c>
      <c r="C3138" s="61" t="n">
        <f aca="false">-C3124</f>
        <v>-27100</v>
      </c>
      <c r="D3138" s="61" t="n">
        <f aca="false">-D3124</f>
        <v>-40000</v>
      </c>
      <c r="E3138" s="61" t="n">
        <f aca="false">-E3124</f>
        <v>-53900</v>
      </c>
      <c r="F3138" s="61" t="n">
        <f aca="false">-F3124</f>
        <v>-44466.6666666667</v>
      </c>
      <c r="G3138" s="61" t="n">
        <f aca="false">-G3124</f>
        <v>-41533.3333333333</v>
      </c>
      <c r="H3138" s="2" t="s">
        <v>1384</v>
      </c>
    </row>
    <row r="3139" customFormat="false" ht="15" hidden="false" customHeight="false" outlineLevel="1" collapsed="false">
      <c r="A3139" s="56" t="s">
        <v>727</v>
      </c>
      <c r="B3139" s="57" t="s">
        <v>11</v>
      </c>
      <c r="C3139" s="62" t="n">
        <f aca="false">C3135+C3138</f>
        <v>-754992.387558219</v>
      </c>
      <c r="D3139" s="62" t="n">
        <f aca="false">D3135+D3138</f>
        <v>-939489.16824364</v>
      </c>
      <c r="E3139" s="62" t="n">
        <f aca="false">E3135+E3138</f>
        <v>-1247241.53994667</v>
      </c>
      <c r="F3139" s="62" t="n">
        <f aca="false">F3135+F3138</f>
        <v>-1529396.58162291</v>
      </c>
      <c r="G3139" s="62" t="n">
        <f aca="false">G3135+G3138</f>
        <v>-1855450.94260087</v>
      </c>
      <c r="H3139" s="2" t="s">
        <v>1385</v>
      </c>
    </row>
    <row r="3140" customFormat="false" ht="15" hidden="false" customHeight="false" outlineLevel="0" collapsed="false">
      <c r="A3140" s="3" t="s">
        <v>1386</v>
      </c>
      <c r="B3140" s="4"/>
      <c r="C3140" s="4"/>
      <c r="D3140" s="4"/>
      <c r="E3140" s="4"/>
      <c r="F3140" s="4"/>
      <c r="G3140" s="4"/>
      <c r="H3140" s="4"/>
    </row>
    <row r="3141" customFormat="false" ht="15" hidden="false" customHeight="false" outlineLevel="1" collapsed="false">
      <c r="A3141" s="7" t="s">
        <v>729</v>
      </c>
      <c r="B3141" s="8" t="s">
        <v>11</v>
      </c>
      <c r="C3141" s="61" t="n">
        <f aca="false">C3139</f>
        <v>-754992.387558219</v>
      </c>
      <c r="D3141" s="61" t="n">
        <f aca="false">D3139</f>
        <v>-939489.16824364</v>
      </c>
      <c r="E3141" s="61" t="n">
        <f aca="false">E3139</f>
        <v>-1247241.53994667</v>
      </c>
      <c r="F3141" s="61" t="n">
        <f aca="false">F3139</f>
        <v>-1529396.58162291</v>
      </c>
      <c r="G3141" s="61" t="n">
        <f aca="false">G3139</f>
        <v>-1855450.94260087</v>
      </c>
      <c r="H3141" s="2" t="s">
        <v>1387</v>
      </c>
    </row>
    <row r="3142" customFormat="false" ht="15" hidden="false" customHeight="false" outlineLevel="1" collapsed="false">
      <c r="A3142" s="7" t="s">
        <v>730</v>
      </c>
      <c r="B3142" s="8" t="s">
        <v>11</v>
      </c>
      <c r="C3142" s="61" t="n">
        <f aca="false">0</f>
        <v>0</v>
      </c>
      <c r="D3142" s="61" t="n">
        <f aca="false">C3145</f>
        <v>754992.387558219</v>
      </c>
      <c r="E3142" s="61" t="n">
        <f aca="false">D3145</f>
        <v>1694481.55580186</v>
      </c>
      <c r="F3142" s="61" t="n">
        <f aca="false">E3145</f>
        <v>2941723.09574853</v>
      </c>
      <c r="G3142" s="61" t="n">
        <f aca="false">F3145</f>
        <v>4471119.67737144</v>
      </c>
      <c r="H3142" s="2" t="s">
        <v>1388</v>
      </c>
    </row>
    <row r="3143" customFormat="false" ht="15" hidden="false" customHeight="false" outlineLevel="1" collapsed="false">
      <c r="A3143" s="7" t="s">
        <v>731</v>
      </c>
      <c r="B3143" s="8" t="s">
        <v>11</v>
      </c>
      <c r="C3143" s="61" t="n">
        <f aca="false">MAX(0,-C3141)</f>
        <v>754992.387558219</v>
      </c>
      <c r="D3143" s="61" t="n">
        <f aca="false">MAX(0,-D3141)</f>
        <v>939489.16824364</v>
      </c>
      <c r="E3143" s="61" t="n">
        <f aca="false">MAX(0,-E3141)</f>
        <v>1247241.53994667</v>
      </c>
      <c r="F3143" s="61" t="n">
        <f aca="false">MAX(0,-F3141)</f>
        <v>1529396.58162291</v>
      </c>
      <c r="G3143" s="61" t="n">
        <f aca="false">MAX(0,-G3141)</f>
        <v>1855450.94260087</v>
      </c>
      <c r="H3143" s="2" t="s">
        <v>1389</v>
      </c>
    </row>
    <row r="3144" customFormat="false" ht="15" hidden="false" customHeight="false" outlineLevel="1" collapsed="false">
      <c r="A3144" s="7" t="s">
        <v>732</v>
      </c>
      <c r="B3144" s="8" t="s">
        <v>11</v>
      </c>
      <c r="C3144" s="61" t="n">
        <f aca="false">MIN(C3142,Pressupostos!$C$181*MAX(0,C3141))</f>
        <v>0</v>
      </c>
      <c r="D3144" s="61" t="n">
        <f aca="false">MIN(D3142,Pressupostos!$C$181*MAX(0,D3141))</f>
        <v>0</v>
      </c>
      <c r="E3144" s="61" t="n">
        <f aca="false">MIN(E3142,Pressupostos!$C$181*MAX(0,E3141))</f>
        <v>0</v>
      </c>
      <c r="F3144" s="61" t="n">
        <f aca="false">MIN(F3142,Pressupostos!$C$181*MAX(0,F3141))</f>
        <v>0</v>
      </c>
      <c r="G3144" s="61" t="n">
        <f aca="false">MIN(G3142,Pressupostos!$C$181*MAX(0,G3141))</f>
        <v>0</v>
      </c>
      <c r="H3144" s="2" t="s">
        <v>1390</v>
      </c>
    </row>
    <row r="3145" customFormat="false" ht="15" hidden="false" customHeight="false" outlineLevel="1" collapsed="false">
      <c r="A3145" s="7" t="s">
        <v>733</v>
      </c>
      <c r="B3145" s="8" t="s">
        <v>11</v>
      </c>
      <c r="C3145" s="61" t="n">
        <f aca="false">C3142+C3143-C3144</f>
        <v>754992.387558219</v>
      </c>
      <c r="D3145" s="61" t="n">
        <f aca="false">D3142+D3143-D3144</f>
        <v>1694481.55580186</v>
      </c>
      <c r="E3145" s="61" t="n">
        <f aca="false">E3142+E3143-E3144</f>
        <v>2941723.09574853</v>
      </c>
      <c r="F3145" s="61" t="n">
        <f aca="false">F3142+F3143-F3144</f>
        <v>4471119.67737144</v>
      </c>
      <c r="G3145" s="61" t="n">
        <f aca="false">G3142+G3143-G3144</f>
        <v>6326570.61997232</v>
      </c>
      <c r="H3145" s="2" t="s">
        <v>1391</v>
      </c>
    </row>
    <row r="3146" customFormat="false" ht="15" hidden="false" customHeight="false" outlineLevel="1" collapsed="false">
      <c r="A3146" s="7" t="s">
        <v>734</v>
      </c>
      <c r="B3146" s="8" t="s">
        <v>11</v>
      </c>
      <c r="C3146" s="61" t="n">
        <f aca="false">MAX(0,C3141)-C3144</f>
        <v>0</v>
      </c>
      <c r="D3146" s="61" t="n">
        <f aca="false">MAX(0,D3141)-D3144</f>
        <v>0</v>
      </c>
      <c r="E3146" s="61" t="n">
        <f aca="false">MAX(0,E3141)-E3144</f>
        <v>0</v>
      </c>
      <c r="F3146" s="61" t="n">
        <f aca="false">MAX(0,F3141)-F3144</f>
        <v>0</v>
      </c>
      <c r="G3146" s="61" t="n">
        <f aca="false">MAX(0,G3141)-G3144</f>
        <v>0</v>
      </c>
      <c r="H3146" s="2" t="s">
        <v>1392</v>
      </c>
    </row>
    <row r="3147" customFormat="false" ht="15" hidden="false" customHeight="false" outlineLevel="1" collapsed="false">
      <c r="A3147" s="7" t="s">
        <v>735</v>
      </c>
      <c r="B3147" s="8" t="s">
        <v>11</v>
      </c>
      <c r="C3147" s="61" t="n">
        <f aca="false">Pressupostos!$C$172*MIN(C3146,Pressupostos!$C$173)+Pressupostos!$C$467*MAX(0,C3146-Pressupostos!$C$173)</f>
        <v>0</v>
      </c>
      <c r="D3147" s="61" t="n">
        <f aca="false">Pressupostos!$C$172*MIN(D3146,Pressupostos!$C$173)+Pressupostos!$D$467*MAX(0,D3146-Pressupostos!$C$173)</f>
        <v>0</v>
      </c>
      <c r="E3147" s="61" t="n">
        <f aca="false">Pressupostos!$C$172*MIN(E3146,Pressupostos!$C$173)+Pressupostos!$E$467*MAX(0,E3146-Pressupostos!$C$173)</f>
        <v>0</v>
      </c>
      <c r="F3147" s="61" t="n">
        <f aca="false">Pressupostos!$C$172*MIN(F3146,Pressupostos!$C$173)+Pressupostos!$F$467*MAX(0,F3146-Pressupostos!$C$173)</f>
        <v>0</v>
      </c>
      <c r="G3147" s="61" t="n">
        <f aca="false">Pressupostos!$C$172*MIN(G3146,Pressupostos!$C$173)+Pressupostos!$G$467*MAX(0,G3146-Pressupostos!$C$173)</f>
        <v>0</v>
      </c>
      <c r="H3147" s="2" t="s">
        <v>1393</v>
      </c>
    </row>
    <row r="3148" customFormat="false" ht="15" hidden="false" customHeight="false" outlineLevel="1" collapsed="false">
      <c r="A3148" s="7" t="s">
        <v>736</v>
      </c>
      <c r="B3148" s="8" t="s">
        <v>11</v>
      </c>
      <c r="C3148" s="61" t="n">
        <f aca="false">Pressupostos!$C$174*MAX(0,C3141)</f>
        <v>0</v>
      </c>
      <c r="D3148" s="61" t="n">
        <f aca="false">Pressupostos!$C$174*MAX(0,D3141)</f>
        <v>0</v>
      </c>
      <c r="E3148" s="61" t="n">
        <f aca="false">Pressupostos!$C$174*MAX(0,E3141)</f>
        <v>0</v>
      </c>
      <c r="F3148" s="61" t="n">
        <f aca="false">Pressupostos!$C$174*MAX(0,F3141)</f>
        <v>0</v>
      </c>
      <c r="G3148" s="61" t="n">
        <f aca="false">Pressupostos!$C$174*MAX(0,G3141)</f>
        <v>0</v>
      </c>
      <c r="H3148" s="2" t="s">
        <v>1394</v>
      </c>
    </row>
    <row r="3149" customFormat="false" ht="15" hidden="false" customHeight="false" outlineLevel="1" collapsed="false">
      <c r="A3149" s="7" t="s">
        <v>737</v>
      </c>
      <c r="B3149" s="8" t="s">
        <v>11</v>
      </c>
      <c r="C3149" s="61" t="n">
        <f aca="false">Pressupostos!$C$176*MAX(0,MIN(C3141,Pressupostos!$C$177)-Pressupostos!$C$175)+Pressupostos!$C$178*MAX(0,MIN(C3141,Pressupostos!$C$179)-Pressupostos!$C$177)+Pressupostos!$C$180*MAX(0,C3141-Pressupostos!$C$179)</f>
        <v>0</v>
      </c>
      <c r="D3149" s="61" t="n">
        <f aca="false">Pressupostos!$C$176*MAX(0,MIN(D3141,Pressupostos!$C$177)-Pressupostos!$C$175)+Pressupostos!$C$178*MAX(0,MIN(D3141,Pressupostos!$C$179)-Pressupostos!$C$177)+Pressupostos!$C$180*MAX(0,D3141-Pressupostos!$C$179)</f>
        <v>0</v>
      </c>
      <c r="E3149" s="61" t="n">
        <f aca="false">Pressupostos!$C$176*MAX(0,MIN(E3141,Pressupostos!$C$177)-Pressupostos!$C$175)+Pressupostos!$C$178*MAX(0,MIN(E3141,Pressupostos!$C$179)-Pressupostos!$C$177)+Pressupostos!$C$180*MAX(0,E3141-Pressupostos!$C$179)</f>
        <v>0</v>
      </c>
      <c r="F3149" s="61" t="n">
        <f aca="false">Pressupostos!$C$176*MAX(0,MIN(F3141,Pressupostos!$C$177)-Pressupostos!$C$175)+Pressupostos!$C$178*MAX(0,MIN(F3141,Pressupostos!$C$179)-Pressupostos!$C$177)+Pressupostos!$C$180*MAX(0,F3141-Pressupostos!$C$179)</f>
        <v>0</v>
      </c>
      <c r="G3149" s="61" t="n">
        <f aca="false">Pressupostos!$C$176*MAX(0,MIN(G3141,Pressupostos!$C$177)-Pressupostos!$C$175)+Pressupostos!$C$178*MAX(0,MIN(G3141,Pressupostos!$C$179)-Pressupostos!$C$177)+Pressupostos!$C$180*MAX(0,G3141-Pressupostos!$C$179)</f>
        <v>0</v>
      </c>
      <c r="H3149" s="2" t="s">
        <v>1395</v>
      </c>
    </row>
    <row r="3150" customFormat="false" ht="15" hidden="false" customHeight="false" outlineLevel="1" collapsed="false">
      <c r="A3150" s="7" t="s">
        <v>738</v>
      </c>
      <c r="B3150" s="8" t="s">
        <v>11</v>
      </c>
      <c r="C3150" s="61" t="n">
        <f aca="false">C3147+C3148+C3149</f>
        <v>0</v>
      </c>
      <c r="D3150" s="61" t="n">
        <f aca="false">D3147+D3148+D3149</f>
        <v>0</v>
      </c>
      <c r="E3150" s="61" t="n">
        <f aca="false">E3147+E3148+E3149</f>
        <v>0</v>
      </c>
      <c r="F3150" s="61" t="n">
        <f aca="false">F3147+F3148+F3149</f>
        <v>0</v>
      </c>
      <c r="G3150" s="61" t="n">
        <f aca="false">G3147+G3148+G3149</f>
        <v>0</v>
      </c>
      <c r="H3150" s="2" t="s">
        <v>1396</v>
      </c>
    </row>
    <row r="3151" customFormat="false" ht="15" hidden="false" customHeight="false" outlineLevel="0" collapsed="false">
      <c r="A3151" s="3" t="s">
        <v>1397</v>
      </c>
      <c r="B3151" s="4"/>
      <c r="C3151" s="4"/>
      <c r="D3151" s="4"/>
      <c r="E3151" s="4"/>
      <c r="F3151" s="4"/>
      <c r="G3151" s="4"/>
      <c r="H3151" s="4"/>
    </row>
    <row r="3152" customFormat="false" ht="15" hidden="false" customHeight="false" outlineLevel="1" collapsed="false">
      <c r="A3152" s="7" t="s">
        <v>738</v>
      </c>
      <c r="B3152" s="8" t="s">
        <v>11</v>
      </c>
      <c r="C3152" s="61" t="n">
        <f aca="false">-C3150</f>
        <v>-0</v>
      </c>
      <c r="D3152" s="61" t="n">
        <f aca="false">-D3150</f>
        <v>-0</v>
      </c>
      <c r="E3152" s="61" t="n">
        <f aca="false">-E3150</f>
        <v>-0</v>
      </c>
      <c r="F3152" s="61" t="n">
        <f aca="false">-F3150</f>
        <v>-0</v>
      </c>
      <c r="G3152" s="61" t="n">
        <f aca="false">-G3150</f>
        <v>-0</v>
      </c>
      <c r="H3152" s="2" t="s">
        <v>1398</v>
      </c>
    </row>
    <row r="3153" customFormat="false" ht="15" hidden="false" customHeight="false" outlineLevel="1" collapsed="false">
      <c r="A3153" s="56" t="s">
        <v>740</v>
      </c>
      <c r="B3153" s="57" t="s">
        <v>11</v>
      </c>
      <c r="C3153" s="62" t="n">
        <f aca="false">C3139+C3152</f>
        <v>-754992.387558219</v>
      </c>
      <c r="D3153" s="62" t="n">
        <f aca="false">D3139+D3152</f>
        <v>-939489.16824364</v>
      </c>
      <c r="E3153" s="62" t="n">
        <f aca="false">E3139+E3152</f>
        <v>-1247241.53994667</v>
      </c>
      <c r="F3153" s="62" t="n">
        <f aca="false">F3139+F3152</f>
        <v>-1529396.58162291</v>
      </c>
      <c r="G3153" s="62" t="n">
        <f aca="false">G3139+G3152</f>
        <v>-1855450.94260087</v>
      </c>
      <c r="H3153" s="2" t="s">
        <v>1399</v>
      </c>
    </row>
    <row r="3154" customFormat="false" ht="15" hidden="false" customHeight="false" outlineLevel="0" collapsed="false">
      <c r="A3154" s="3" t="s">
        <v>1400</v>
      </c>
      <c r="B3154" s="4"/>
      <c r="C3154" s="4"/>
      <c r="D3154" s="4"/>
      <c r="E3154" s="4"/>
      <c r="F3154" s="4"/>
      <c r="G3154" s="4"/>
      <c r="H3154" s="4"/>
    </row>
    <row r="3155" customFormat="false" ht="15" hidden="false" customHeight="false" outlineLevel="1" collapsed="false">
      <c r="A3155" s="7" t="s">
        <v>744</v>
      </c>
      <c r="B3155" s="8" t="s">
        <v>11</v>
      </c>
      <c r="C3155" s="61" t="n">
        <f aca="false">C2927*1000*((C2945+C2948)*C2951/365)+C2928*1000*((C2968+C2971)*C2974/365)+C2930*1000*((C2991+C2994)*C2997/365)</f>
        <v>25052.0547945205</v>
      </c>
      <c r="D3155" s="61" t="n">
        <f aca="false">D2927*1000*((D2945+D2948)*D2951/365)+D2928*1000*((D2968+D2971)*D2974/365)+D2930*1000*((D2991+D2994)*D2997/365)</f>
        <v>146071.232876712</v>
      </c>
      <c r="E3155" s="61" t="n">
        <f aca="false">E2927*1000*((E2945+E2948)*E2951/365)+E2928*1000*((E2968+E2971)*E2974/365)+E2930*1000*((E2991+E2994)*E2997/365)</f>
        <v>227626.02739726</v>
      </c>
      <c r="F3155" s="61" t="n">
        <f aca="false">F2927*1000*((F2945+F2948)*F2951/365)+F2928*1000*((F2968+F2971)*F2974/365)+F2930*1000*((F2991+F2994)*F2997/365)</f>
        <v>393743.835616438</v>
      </c>
      <c r="G3155" s="61" t="n">
        <f aca="false">G2927*1000*((G2945+G2948)*G2951/365)+G2928*1000*((G2968+G2971)*G2974/365)+G2930*1000*((G2991+G2994)*G2997/365)</f>
        <v>598068.493150685</v>
      </c>
      <c r="H3155" s="2" t="s">
        <v>1401</v>
      </c>
    </row>
    <row r="3156" customFormat="false" ht="15" hidden="false" customHeight="false" outlineLevel="1" collapsed="false">
      <c r="A3156" s="7" t="s">
        <v>745</v>
      </c>
      <c r="B3156" s="8" t="s">
        <v>11</v>
      </c>
      <c r="C3156" s="61" t="n">
        <f aca="false">C3155+C2940*1000*Pressupostos!$C$92*Pressupostos!$C$95/365</f>
        <v>25052.0547945205</v>
      </c>
      <c r="D3156" s="61" t="n">
        <f aca="false">D3155+D2940*1000*Pressupostos!$C$92*Pressupostos!$C$95/365</f>
        <v>146071.232876712</v>
      </c>
      <c r="E3156" s="61" t="n">
        <f aca="false">E3155+E2940*1000*Pressupostos!$C$92*Pressupostos!$C$95/365</f>
        <v>253516.438356164</v>
      </c>
      <c r="F3156" s="61" t="n">
        <f aca="false">F3155+F2940*1000*Pressupostos!$C$92*Pressupostos!$C$95/365</f>
        <v>445524.657534247</v>
      </c>
      <c r="G3156" s="61" t="n">
        <f aca="false">G3155+G2940*1000*Pressupostos!$C$92*Pressupostos!$C$95/365</f>
        <v>684369.863013699</v>
      </c>
      <c r="H3156" s="2" t="s">
        <v>1402</v>
      </c>
    </row>
    <row r="3157" customFormat="false" ht="15" hidden="false" customHeight="false" outlineLevel="1" collapsed="false">
      <c r="A3157" s="7" t="s">
        <v>746</v>
      </c>
      <c r="B3157" s="8" t="s">
        <v>11</v>
      </c>
      <c r="C3157" s="61" t="n">
        <f aca="false">C2927*1000*(C2947*C2952/365)+C2928*1000*(C2970*C2975/365)+C2930*1000*(C2993*C2998/365)+C3022*Pressupostos!$C$96/365+(C3024+C3025)*Pressupostos!$C$82/365</f>
        <v>22318.5205479452</v>
      </c>
      <c r="D3157" s="61" t="n">
        <f aca="false">D2927*1000*(D2947*D2952/365)+D2928*1000*(D2970*D2975/365)+D2930*1000*(D2993*D2998/365)+D3022*Pressupostos!$C$96/365+(D3024+D3025)*Pressupostos!$C$82/365</f>
        <v>149169.390410959</v>
      </c>
      <c r="E3157" s="61" t="n">
        <f aca="false">E2927*1000*(E2947*E2952/365)+E2928*1000*(E2970*E2975/365)+E2930*1000*(E2993*E2998/365)+E3022*Pressupostos!$C$96/365+(E3024+E3025)*Pressupostos!$C$82/365</f>
        <v>334365.47260274</v>
      </c>
      <c r="F3157" s="61" t="n">
        <f aca="false">F2927*1000*(F2947*F2952/365)+F2928*1000*(F2970*F2975/365)+F2930*1000*(F2993*F2998/365)+F3022*Pressupostos!$C$96/365+(F3024+F3025)*Pressupostos!$C$82/365</f>
        <v>574577.815068493</v>
      </c>
      <c r="G3157" s="61" t="n">
        <f aca="false">G2927*1000*(G2947*G2952/365)+G2928*1000*(G2970*G2975/365)+G2930*1000*(G2993*G2998/365)+G3022*Pressupostos!$C$96/365+(G3024+G3025)*Pressupostos!$C$82/365</f>
        <v>877247.05479452</v>
      </c>
      <c r="H3157" s="2" t="s">
        <v>1403</v>
      </c>
    </row>
    <row r="3158" customFormat="false" ht="15" hidden="false" customHeight="false" outlineLevel="1" collapsed="false">
      <c r="A3158" s="7" t="s">
        <v>747</v>
      </c>
      <c r="B3158" s="8" t="s">
        <v>11</v>
      </c>
      <c r="C3158" s="61" t="n">
        <f aca="false">C2927*1000*((C2945+C2948)*Pressupostos!$C$72/365)+C2928*1000*((C2968+C2971)*Pressupostos!$C$72/365)+C2930*1000*((C2991+C2994)*Pressupostos!$C$72/365)+C2940*1000*Pressupostos!$C$92*Pressupostos!$C$97/365</f>
        <v>14860.2739726027</v>
      </c>
      <c r="D3158" s="61" t="n">
        <f aca="false">D2927*1000*((D2945+D2948)*Pressupostos!$C$72/365)+D2928*1000*((D2968+D2971)*Pressupostos!$C$72/365)+D2930*1000*((D2991+D2994)*Pressupostos!$C$72/365)+D2940*1000*Pressupostos!$C$92*Pressupostos!$C$97/365</f>
        <v>98934.2465753425</v>
      </c>
      <c r="E3158" s="61" t="n">
        <f aca="false">E2927*1000*((E2945+E2948)*Pressupostos!$C$72/365)+E2928*1000*((E2968+E2971)*Pressupostos!$C$72/365)+E2930*1000*((E2991+E2994)*Pressupostos!$C$72/365)+E2940*1000*Pressupostos!$C$92*Pressupostos!$C$97/365</f>
        <v>227942.465753425</v>
      </c>
      <c r="F3158" s="61" t="n">
        <f aca="false">F2927*1000*((F2945+F2948)*Pressupostos!$C$72/365)+F2928*1000*((F2968+F2971)*Pressupostos!$C$72/365)+F2930*1000*((F2991+F2994)*Pressupostos!$C$72/365)+F2940*1000*Pressupostos!$C$92*Pressupostos!$C$97/365</f>
        <v>394249.315068493</v>
      </c>
      <c r="G3158" s="61" t="n">
        <f aca="false">G2927*1000*((G2945+G2948)*Pressupostos!$C$72/365)+G2928*1000*((G2968+G2971)*Pressupostos!$C$72/365)+G2930*1000*((G2991+G2994)*Pressupostos!$C$72/365)+G2940*1000*Pressupostos!$C$92*Pressupostos!$C$97/365</f>
        <v>603369.863013699</v>
      </c>
      <c r="H3158" s="2" t="s">
        <v>1404</v>
      </c>
    </row>
    <row r="3159" customFormat="false" ht="15" hidden="false" customHeight="false" outlineLevel="1" collapsed="false">
      <c r="A3159" s="56" t="s">
        <v>748</v>
      </c>
      <c r="B3159" s="57" t="s">
        <v>11</v>
      </c>
      <c r="C3159" s="62" t="n">
        <f aca="false">C3156+C3157-C3158</f>
        <v>32510.301369863</v>
      </c>
      <c r="D3159" s="62" t="n">
        <f aca="false">D3156+D3157-D3158</f>
        <v>196306.376712329</v>
      </c>
      <c r="E3159" s="62" t="n">
        <f aca="false">E3156+E3157-E3158</f>
        <v>359939.445205479</v>
      </c>
      <c r="F3159" s="62" t="n">
        <f aca="false">F3156+F3157-F3158</f>
        <v>625853.157534247</v>
      </c>
      <c r="G3159" s="62" t="n">
        <f aca="false">G3156+G3157-G3158</f>
        <v>958247.05479452</v>
      </c>
      <c r="H3159" s="2" t="s">
        <v>1405</v>
      </c>
    </row>
    <row r="3160" customFormat="false" ht="15" hidden="false" customHeight="false" outlineLevel="0" collapsed="false">
      <c r="A3160" s="3" t="s">
        <v>1406</v>
      </c>
      <c r="B3160" s="4"/>
      <c r="C3160" s="4"/>
      <c r="D3160" s="4"/>
      <c r="E3160" s="4"/>
      <c r="F3160" s="4"/>
      <c r="G3160" s="4"/>
      <c r="H3160" s="4"/>
    </row>
    <row r="3161" customFormat="false" ht="15" hidden="false" customHeight="false" outlineLevel="1" collapsed="false">
      <c r="A3161" s="56" t="s">
        <v>750</v>
      </c>
      <c r="B3161" s="57" t="s">
        <v>11</v>
      </c>
      <c r="C3161" s="62" t="n">
        <f aca="false">Pressupostos!$C$282*C3159/Pressupostos!$D$31</f>
        <v>0</v>
      </c>
      <c r="D3161" s="62" t="n">
        <f aca="false">Pressupostos!$D$282*D3159/Pressupostos!$D$31</f>
        <v>220844.67380137</v>
      </c>
      <c r="E3161" s="62" t="n">
        <f aca="false">Pressupostos!$E$282*E3159/Pressupostos!$D$31</f>
        <v>404931.875856164</v>
      </c>
      <c r="F3161" s="62" t="n">
        <f aca="false">Pressupostos!$F$282*F3159/Pressupostos!$D$31</f>
        <v>704084.802226027</v>
      </c>
      <c r="G3161" s="62" t="n">
        <f aca="false">Pressupostos!$G$282*G3159/Pressupostos!$D$31</f>
        <v>1078027.93664384</v>
      </c>
      <c r="H3161" s="2" t="s">
        <v>1407</v>
      </c>
    </row>
    <row r="3162" customFormat="false" ht="15" hidden="false" customHeight="false" outlineLevel="1" collapsed="false">
      <c r="A3162" s="7" t="s">
        <v>751</v>
      </c>
      <c r="B3162" s="8" t="s">
        <v>11</v>
      </c>
      <c r="C3162" s="61" t="n">
        <f aca="false">Pressupostos!$C$282*C3159</f>
        <v>0</v>
      </c>
      <c r="D3162" s="61" t="n">
        <f aca="false">Pressupostos!$D$282*D3159</f>
        <v>176675.739041096</v>
      </c>
      <c r="E3162" s="61" t="n">
        <f aca="false">Pressupostos!$E$282*E3159</f>
        <v>323945.500684931</v>
      </c>
      <c r="F3162" s="61" t="n">
        <f aca="false">Pressupostos!$F$282*F3159</f>
        <v>563267.841780822</v>
      </c>
      <c r="G3162" s="61" t="n">
        <f aca="false">Pressupostos!$G$282*G3159</f>
        <v>862422.349315068</v>
      </c>
      <c r="H3162" s="2" t="s">
        <v>1408</v>
      </c>
    </row>
    <row r="3163" customFormat="false" ht="15" hidden="false" customHeight="false" outlineLevel="1" collapsed="false">
      <c r="A3163" s="7" t="s">
        <v>752</v>
      </c>
      <c r="B3163" s="8" t="s">
        <v>11</v>
      </c>
      <c r="C3163" s="61" t="n">
        <f aca="false">C3161-C3162</f>
        <v>0</v>
      </c>
      <c r="D3163" s="61" t="n">
        <f aca="false">D3161-D3162</f>
        <v>44168.934760274</v>
      </c>
      <c r="E3163" s="61" t="n">
        <f aca="false">E3161-E3162</f>
        <v>80986.3751712329</v>
      </c>
      <c r="F3163" s="61" t="n">
        <f aca="false">F3161-F3162</f>
        <v>140816.960445205</v>
      </c>
      <c r="G3163" s="61" t="n">
        <f aca="false">G3161-G3162</f>
        <v>215605.587328767</v>
      </c>
      <c r="H3163" s="2" t="s">
        <v>1409</v>
      </c>
    </row>
    <row r="3164" customFormat="false" ht="15" hidden="false" customHeight="false" outlineLevel="1" collapsed="false">
      <c r="A3164" s="7" t="s">
        <v>753</v>
      </c>
      <c r="B3164" s="8" t="s">
        <v>11</v>
      </c>
      <c r="C3164" s="61" t="n">
        <f aca="false">C3159-C3162</f>
        <v>32510.301369863</v>
      </c>
      <c r="D3164" s="61" t="n">
        <f aca="false">D3159-D3162</f>
        <v>19630.6376712329</v>
      </c>
      <c r="E3164" s="61" t="n">
        <f aca="false">E3159-E3162</f>
        <v>35993.9445205479</v>
      </c>
      <c r="F3164" s="61" t="n">
        <f aca="false">F3159-F3162</f>
        <v>62585.3157534247</v>
      </c>
      <c r="G3164" s="61" t="n">
        <f aca="false">G3159-G3162</f>
        <v>95824.705479452</v>
      </c>
      <c r="H3164" s="2" t="s">
        <v>1410</v>
      </c>
    </row>
    <row r="3165" customFormat="false" ht="15" hidden="false" customHeight="false" outlineLevel="1" collapsed="false">
      <c r="A3165" s="7" t="s">
        <v>754</v>
      </c>
      <c r="B3165" s="8" t="s">
        <v>11</v>
      </c>
      <c r="C3165" s="61" t="n">
        <f aca="false">MAX(0,Pressupostos!$C$108-C3164)</f>
        <v>17489.698630137</v>
      </c>
      <c r="D3165" s="61" t="n">
        <f aca="false">MAX(0,Pressupostos!$C$108-D3164)</f>
        <v>30369.3623287671</v>
      </c>
      <c r="E3165" s="61" t="n">
        <f aca="false">MAX(0,Pressupostos!$C$108-E3164)</f>
        <v>14006.0554794521</v>
      </c>
      <c r="F3165" s="61" t="n">
        <f aca="false">MAX(0,Pressupostos!$C$108-F3164)</f>
        <v>0</v>
      </c>
      <c r="G3165" s="61" t="n">
        <f aca="false">MAX(0,Pressupostos!$C$108-G3164)</f>
        <v>0</v>
      </c>
      <c r="H3165" s="2" t="s">
        <v>1411</v>
      </c>
    </row>
    <row r="3166" customFormat="false" ht="15" hidden="false" customHeight="false" outlineLevel="1" collapsed="false">
      <c r="A3166" s="7" t="s">
        <v>755</v>
      </c>
      <c r="B3166" s="8" t="s">
        <v>11</v>
      </c>
      <c r="C3166" s="61" t="n">
        <f aca="false">Pressupostos!$C$109*C3161</f>
        <v>0</v>
      </c>
      <c r="D3166" s="61" t="n">
        <f aca="false">Pressupostos!$C$109*D3161</f>
        <v>11042.2336900685</v>
      </c>
      <c r="E3166" s="61" t="n">
        <f aca="false">Pressupostos!$C$109*E3161</f>
        <v>20246.5937928082</v>
      </c>
      <c r="F3166" s="61" t="n">
        <f aca="false">Pressupostos!$C$109*F3161</f>
        <v>35204.2401113014</v>
      </c>
      <c r="G3166" s="61" t="n">
        <f aca="false">Pressupostos!$C$109*G3161</f>
        <v>53901.3968321918</v>
      </c>
      <c r="H3166" s="2" t="s">
        <v>1412</v>
      </c>
    </row>
    <row r="3167" customFormat="false" ht="15" hidden="false" customHeight="false" outlineLevel="1" collapsed="false">
      <c r="A3167" s="2" t="s">
        <v>756</v>
      </c>
      <c r="B3167" s="8" t="s">
        <v>123</v>
      </c>
      <c r="C3167" s="61" t="n">
        <f aca="false">C3161/Pressupostos!$C$112</f>
        <v>0</v>
      </c>
      <c r="D3167" s="61" t="n">
        <f aca="false">D3161/Pressupostos!$C$112</f>
        <v>4.4168934760274</v>
      </c>
      <c r="E3167" s="61" t="n">
        <f aca="false">E3161/Pressupostos!$C$112</f>
        <v>8.09863751712329</v>
      </c>
      <c r="F3167" s="61" t="n">
        <f aca="false">F3161/Pressupostos!$C$112</f>
        <v>14.0816960445205</v>
      </c>
      <c r="G3167" s="61" t="n">
        <f aca="false">G3161/Pressupostos!$C$112</f>
        <v>21.5605587328767</v>
      </c>
      <c r="H3167" s="2" t="s">
        <v>1413</v>
      </c>
    </row>
    <row r="3168" customFormat="false" ht="15" hidden="false" customHeight="false" outlineLevel="0" collapsed="false">
      <c r="A3168" s="3" t="s">
        <v>1414</v>
      </c>
      <c r="B3168" s="4"/>
      <c r="C3168" s="4"/>
      <c r="D3168" s="4"/>
      <c r="E3168" s="4"/>
      <c r="F3168" s="4"/>
      <c r="G3168" s="4"/>
      <c r="H3168" s="4"/>
    </row>
    <row r="3169" customFormat="false" ht="15" hidden="false" customHeight="false" outlineLevel="1" collapsed="false">
      <c r="A3169" s="7" t="s">
        <v>758</v>
      </c>
      <c r="B3169" s="8" t="s">
        <v>11</v>
      </c>
      <c r="C3169" s="61" t="n">
        <f aca="false">C3135</f>
        <v>-727892.387558219</v>
      </c>
      <c r="D3169" s="61" t="n">
        <f aca="false">D3135</f>
        <v>-899489.16824364</v>
      </c>
      <c r="E3169" s="61" t="n">
        <f aca="false">E3135</f>
        <v>-1193341.53994667</v>
      </c>
      <c r="F3169" s="61" t="n">
        <f aca="false">F3135</f>
        <v>-1484929.91495624</v>
      </c>
      <c r="G3169" s="61" t="n">
        <f aca="false">G3135</f>
        <v>-1813917.60926754</v>
      </c>
      <c r="H3169" s="2" t="s">
        <v>1415</v>
      </c>
    </row>
    <row r="3170" customFormat="false" ht="15" hidden="false" customHeight="false" outlineLevel="1" collapsed="false">
      <c r="A3170" s="7" t="s">
        <v>759</v>
      </c>
      <c r="B3170" s="8" t="s">
        <v>11</v>
      </c>
      <c r="C3170" s="61" t="n">
        <f aca="false">-C3150</f>
        <v>-0</v>
      </c>
      <c r="D3170" s="61" t="n">
        <f aca="false">-D3150</f>
        <v>-0</v>
      </c>
      <c r="E3170" s="61" t="n">
        <f aca="false">-E3150</f>
        <v>-0</v>
      </c>
      <c r="F3170" s="61" t="n">
        <f aca="false">-F3150</f>
        <v>-0</v>
      </c>
      <c r="G3170" s="61" t="n">
        <f aca="false">-G3150</f>
        <v>-0</v>
      </c>
      <c r="H3170" s="2" t="s">
        <v>1416</v>
      </c>
    </row>
    <row r="3171" customFormat="false" ht="15" hidden="false" customHeight="false" outlineLevel="1" collapsed="false">
      <c r="A3171" s="7" t="s">
        <v>760</v>
      </c>
      <c r="B3171" s="8" t="s">
        <v>11</v>
      </c>
      <c r="C3171" s="61" t="n">
        <f aca="false">-C3159</f>
        <v>-32510.301369863</v>
      </c>
      <c r="D3171" s="61" t="n">
        <f aca="false">-(D3159-C3159)</f>
        <v>-163796.075342466</v>
      </c>
      <c r="E3171" s="61" t="n">
        <f aca="false">-(E3159-D3159)</f>
        <v>-163633.068493151</v>
      </c>
      <c r="F3171" s="61" t="n">
        <f aca="false">-(F3159-E3159)</f>
        <v>-265913.712328767</v>
      </c>
      <c r="G3171" s="61" t="n">
        <f aca="false">-(G3159-F3159)</f>
        <v>-332393.897260274</v>
      </c>
      <c r="H3171" s="2" t="s">
        <v>1417</v>
      </c>
    </row>
    <row r="3172" customFormat="false" ht="15" hidden="false" customHeight="false" outlineLevel="1" collapsed="false">
      <c r="A3172" s="7" t="s">
        <v>424</v>
      </c>
      <c r="B3172" s="8" t="s">
        <v>11</v>
      </c>
      <c r="C3172" s="61" t="n">
        <f aca="false">-C3119</f>
        <v>-92000</v>
      </c>
      <c r="D3172" s="61" t="n">
        <f aca="false">-D3119</f>
        <v>-44000</v>
      </c>
      <c r="E3172" s="61" t="n">
        <f aca="false">-E3119</f>
        <v>-48000</v>
      </c>
      <c r="F3172" s="61" t="n">
        <f aca="false">-F3119</f>
        <v>-38000</v>
      </c>
      <c r="G3172" s="61" t="n">
        <f aca="false">-G3119</f>
        <v>-38000</v>
      </c>
      <c r="H3172" s="2" t="s">
        <v>1418</v>
      </c>
    </row>
    <row r="3173" customFormat="false" ht="15" hidden="false" customHeight="false" outlineLevel="1" collapsed="false">
      <c r="A3173" s="7" t="s">
        <v>761</v>
      </c>
      <c r="B3173" s="8" t="s">
        <v>11</v>
      </c>
      <c r="C3173" s="61" t="n">
        <f aca="false">C3169+C3170+C3171+C3172</f>
        <v>-852402.688928082</v>
      </c>
      <c r="D3173" s="61" t="n">
        <f aca="false">D3169+D3170+D3171+D3172</f>
        <v>-1107285.24358611</v>
      </c>
      <c r="E3173" s="61" t="n">
        <f aca="false">E3169+E3170+E3171+E3172</f>
        <v>-1404974.60843982</v>
      </c>
      <c r="F3173" s="61" t="n">
        <f aca="false">F3169+F3170+F3171+F3172</f>
        <v>-1788843.62728501</v>
      </c>
      <c r="G3173" s="61" t="n">
        <f aca="false">G3169+G3170+G3171+G3172</f>
        <v>-2184311.50652781</v>
      </c>
      <c r="H3173" s="2" t="s">
        <v>1419</v>
      </c>
    </row>
    <row r="3174" customFormat="false" ht="15" hidden="false" customHeight="false" outlineLevel="1" collapsed="false">
      <c r="A3174" s="7" t="s">
        <v>762</v>
      </c>
      <c r="B3174" s="8" t="s">
        <v>11</v>
      </c>
      <c r="C3174" s="61" t="n">
        <f aca="false">C3161</f>
        <v>0</v>
      </c>
      <c r="D3174" s="61" t="n">
        <f aca="false">D3161-C3161</f>
        <v>220844.67380137</v>
      </c>
      <c r="E3174" s="61" t="n">
        <f aca="false">E3161-D3161</f>
        <v>184087.202054794</v>
      </c>
      <c r="F3174" s="61" t="n">
        <f aca="false">F3161-E3161</f>
        <v>299152.926369863</v>
      </c>
      <c r="G3174" s="61" t="n">
        <f aca="false">G3161-F3161</f>
        <v>373943.134417808</v>
      </c>
      <c r="H3174" s="2" t="s">
        <v>1420</v>
      </c>
    </row>
    <row r="3175" customFormat="false" ht="15" hidden="false" customHeight="false" outlineLevel="1" collapsed="false">
      <c r="A3175" s="7" t="s">
        <v>763</v>
      </c>
      <c r="B3175" s="8" t="s">
        <v>11</v>
      </c>
      <c r="C3175" s="61" t="n">
        <f aca="false">-C3163</f>
        <v>-0</v>
      </c>
      <c r="D3175" s="61" t="n">
        <f aca="false">-(D3163-C3163)</f>
        <v>-44168.934760274</v>
      </c>
      <c r="E3175" s="61" t="n">
        <f aca="false">-(E3163-D3163)</f>
        <v>-36817.4404109589</v>
      </c>
      <c r="F3175" s="61" t="n">
        <f aca="false">-(F3163-E3163)</f>
        <v>-59830.5852739726</v>
      </c>
      <c r="G3175" s="61" t="n">
        <f aca="false">-(G3163-F3163)</f>
        <v>-74788.6268835615</v>
      </c>
      <c r="H3175" s="2" t="s">
        <v>1421</v>
      </c>
    </row>
    <row r="3176" customFormat="false" ht="15" hidden="false" customHeight="false" outlineLevel="1" collapsed="false">
      <c r="A3176" s="7" t="s">
        <v>764</v>
      </c>
      <c r="B3176" s="8" t="s">
        <v>11</v>
      </c>
      <c r="C3176" s="61" t="n">
        <f aca="false">-C3166</f>
        <v>-0</v>
      </c>
      <c r="D3176" s="61" t="n">
        <f aca="false">-(D3166-C3166)</f>
        <v>-11042.2336900685</v>
      </c>
      <c r="E3176" s="61" t="n">
        <f aca="false">-(E3166-D3166)</f>
        <v>-9204.36010273972</v>
      </c>
      <c r="F3176" s="61" t="n">
        <f aca="false">-(F3166-E3166)</f>
        <v>-14957.6463184932</v>
      </c>
      <c r="G3176" s="61" t="n">
        <f aca="false">-(G3166-F3166)</f>
        <v>-18697.1567208904</v>
      </c>
      <c r="H3176" s="2" t="s">
        <v>1422</v>
      </c>
    </row>
    <row r="3177" customFormat="false" ht="15" hidden="false" customHeight="false" outlineLevel="1" collapsed="false">
      <c r="A3177" s="7" t="s">
        <v>765</v>
      </c>
      <c r="B3177" s="8" t="s">
        <v>11</v>
      </c>
      <c r="C3177" s="61" t="n">
        <f aca="false">-(C3165-Pressupostos!$C$108)</f>
        <v>32510.301369863</v>
      </c>
      <c r="D3177" s="61" t="n">
        <f aca="false">-(D3165-C3165)</f>
        <v>-12879.6636986301</v>
      </c>
      <c r="E3177" s="61" t="n">
        <f aca="false">-(E3165-D3165)</f>
        <v>16363.3068493151</v>
      </c>
      <c r="F3177" s="61" t="n">
        <f aca="false">-(F3165-E3165)</f>
        <v>14006.0554794521</v>
      </c>
      <c r="G3177" s="61" t="n">
        <f aca="false">-(G3165-F3165)</f>
        <v>-0</v>
      </c>
      <c r="H3177" s="2" t="s">
        <v>1423</v>
      </c>
    </row>
    <row r="3178" customFormat="false" ht="15" hidden="false" customHeight="false" outlineLevel="1" collapsed="false">
      <c r="A3178" s="56" t="s">
        <v>766</v>
      </c>
      <c r="B3178" s="57" t="s">
        <v>11</v>
      </c>
      <c r="C3178" s="62" t="n">
        <f aca="false">C3173+C3174+C3175+C3176+C3177</f>
        <v>-819892.387558219</v>
      </c>
      <c r="D3178" s="62" t="n">
        <f aca="false">D3173+D3174+D3175+D3176+D3177</f>
        <v>-954531.401933709</v>
      </c>
      <c r="E3178" s="62" t="n">
        <f aca="false">E3173+E3174+E3175+E3176+E3177</f>
        <v>-1250545.90004941</v>
      </c>
      <c r="F3178" s="62" t="n">
        <f aca="false">F3173+F3174+F3175+F3176+F3177</f>
        <v>-1550472.87702816</v>
      </c>
      <c r="G3178" s="62" t="n">
        <f aca="false">G3173+G3174+G3175+G3176+G3177</f>
        <v>-1903854.15571446</v>
      </c>
      <c r="H3178" s="2" t="s">
        <v>1424</v>
      </c>
    </row>
    <row r="3179" customFormat="false" ht="15" hidden="false" customHeight="false" outlineLevel="1" collapsed="false">
      <c r="A3179" s="56" t="s">
        <v>767</v>
      </c>
      <c r="B3179" s="57" t="s">
        <v>11</v>
      </c>
      <c r="C3179" s="62" t="n">
        <f aca="false">C3178</f>
        <v>-819892.387558219</v>
      </c>
      <c r="D3179" s="62" t="n">
        <f aca="false">C3179+D3178</f>
        <v>-1774423.78949193</v>
      </c>
      <c r="E3179" s="62" t="n">
        <f aca="false">D3179+E3178</f>
        <v>-3024969.68954134</v>
      </c>
      <c r="F3179" s="62" t="n">
        <f aca="false">E3179+F3178</f>
        <v>-4575442.5665695</v>
      </c>
      <c r="G3179" s="62" t="n">
        <f aca="false">F3179+G3178</f>
        <v>-6479296.72228396</v>
      </c>
      <c r="H3179" s="2" t="s">
        <v>1425</v>
      </c>
    </row>
    <row r="3180" customFormat="false" ht="15" hidden="false" customHeight="false" outlineLevel="1" collapsed="false">
      <c r="A3180" s="8" t="s">
        <v>768</v>
      </c>
      <c r="B3180" s="8" t="s">
        <v>11</v>
      </c>
      <c r="C3180" s="70" t="n">
        <f aca="false">ROUND(C3135-C3119-C3150-(MAX(C3164,Pressupostos!$C$108)-Pressupostos!$C$108)-(C3166)-C3178,6)</f>
        <v>0</v>
      </c>
      <c r="D3180" s="70" t="n">
        <f aca="false">ROUND(D3135-D3119-D3150-(MAX(D3164,Pressupostos!$C$108)-MAX(C3164,Pressupostos!$C$108))-(D3166-C3166)-D3178,6)</f>
        <v>0</v>
      </c>
      <c r="E3180" s="70" t="n">
        <f aca="false">ROUND(E3135-E3119-E3150-(MAX(E3164,Pressupostos!$C$108)-MAX(D3164,Pressupostos!$C$108))-(E3166-D3166)-E3178,6)</f>
        <v>0</v>
      </c>
      <c r="F3180" s="70" t="n">
        <f aca="false">ROUND(F3135-F3119-F3150-(MAX(F3164,Pressupostos!$C$108)-MAX(E3164,Pressupostos!$C$108))-(F3166-E3166)-F3178,6)</f>
        <v>0</v>
      </c>
      <c r="G3180" s="70" t="n">
        <f aca="false">ROUND(G3135-G3119-G3150-(MAX(G3164,Pressupostos!$C$108)-MAX(F3164,Pressupostos!$C$108))-(G3166-F3166)-G3178,6)</f>
        <v>0</v>
      </c>
      <c r="H3180" s="2" t="s">
        <v>1426</v>
      </c>
    </row>
    <row r="3181" customFormat="false" ht="15" hidden="false" customHeight="false" outlineLevel="0" collapsed="false">
      <c r="A3181" s="3" t="s">
        <v>1427</v>
      </c>
      <c r="B3181" s="4"/>
      <c r="C3181" s="4"/>
      <c r="D3181" s="4"/>
      <c r="E3181" s="4"/>
      <c r="F3181" s="4"/>
      <c r="G3181" s="4"/>
      <c r="H3181" s="4"/>
    </row>
    <row r="3182" customFormat="false" ht="15" hidden="false" customHeight="false" outlineLevel="1" collapsed="false">
      <c r="A3182" s="7" t="s">
        <v>770</v>
      </c>
      <c r="B3182" s="8" t="s">
        <v>11</v>
      </c>
      <c r="C3182" s="61" t="n">
        <f aca="false">0</f>
        <v>0</v>
      </c>
      <c r="D3182" s="61" t="n">
        <f aca="false">C3187</f>
        <v>150000</v>
      </c>
      <c r="E3182" s="61" t="n">
        <f aca="false">D3187</f>
        <v>150000</v>
      </c>
      <c r="F3182" s="61" t="n">
        <f aca="false">E3187</f>
        <v>150000</v>
      </c>
      <c r="G3182" s="61" t="n">
        <f aca="false">F3187</f>
        <v>150000</v>
      </c>
      <c r="H3182" s="2" t="s">
        <v>1428</v>
      </c>
    </row>
    <row r="3183" customFormat="false" ht="15" hidden="false" customHeight="false" outlineLevel="1" collapsed="false">
      <c r="A3183" s="7" t="s">
        <v>771</v>
      </c>
      <c r="B3183" s="8" t="s">
        <v>11</v>
      </c>
      <c r="C3183" s="61" t="n">
        <f aca="false">-(Pressupostos!$C$159+Pressupostos!$C$160+Pressupostos!$C$161+Pressupostos!$C$162+Pressupostos!$C$163+Pressupostos!$C$108)</f>
        <v>-145000</v>
      </c>
      <c r="D3183" s="61" t="n">
        <f aca="false">0</f>
        <v>0</v>
      </c>
      <c r="E3183" s="61" t="n">
        <f aca="false">0</f>
        <v>0</v>
      </c>
      <c r="F3183" s="61" t="n">
        <f aca="false">0</f>
        <v>0</v>
      </c>
      <c r="G3183" s="61" t="n">
        <f aca="false">0</f>
        <v>0</v>
      </c>
      <c r="H3183" s="2" t="s">
        <v>1429</v>
      </c>
    </row>
    <row r="3184" customFormat="false" ht="15" hidden="false" customHeight="false" outlineLevel="1" collapsed="false">
      <c r="A3184" s="7" t="s">
        <v>772</v>
      </c>
      <c r="B3184" s="8" t="s">
        <v>11</v>
      </c>
      <c r="C3184" s="53" t="n">
        <f aca="false">Pressupostos!$D$32</f>
        <v>1100000</v>
      </c>
      <c r="D3184" s="61" t="n">
        <f aca="false">0</f>
        <v>0</v>
      </c>
      <c r="E3184" s="61" t="n">
        <f aca="false">0</f>
        <v>0</v>
      </c>
      <c r="F3184" s="61" t="n">
        <f aca="false">0</f>
        <v>0</v>
      </c>
      <c r="G3184" s="61" t="n">
        <f aca="false">0</f>
        <v>0</v>
      </c>
      <c r="H3184" s="2" t="s">
        <v>1430</v>
      </c>
    </row>
    <row r="3185" customFormat="false" ht="15" hidden="false" customHeight="false" outlineLevel="1" collapsed="false">
      <c r="A3185" s="7" t="s">
        <v>773</v>
      </c>
      <c r="B3185" s="8" t="s">
        <v>11</v>
      </c>
      <c r="C3185" s="61" t="n">
        <f aca="false">C3182+C3183+C3184+C3178</f>
        <v>135107.612441781</v>
      </c>
      <c r="D3185" s="61" t="n">
        <f aca="false">D3182+D3183+D3184+D3178</f>
        <v>-804531.401933709</v>
      </c>
      <c r="E3185" s="61" t="n">
        <f aca="false">E3182+E3183+E3184+E3178</f>
        <v>-1100545.90004941</v>
      </c>
      <c r="F3185" s="61" t="n">
        <f aca="false">F3182+F3183+F3184+F3178</f>
        <v>-1400472.87702816</v>
      </c>
      <c r="G3185" s="61" t="n">
        <f aca="false">G3182+G3183+G3184+G3178</f>
        <v>-1753854.15571446</v>
      </c>
      <c r="H3185" s="2" t="s">
        <v>1431</v>
      </c>
    </row>
    <row r="3186" customFormat="false" ht="15" hidden="false" customHeight="false" outlineLevel="1" collapsed="false">
      <c r="A3186" s="56" t="s">
        <v>774</v>
      </c>
      <c r="B3186" s="57" t="s">
        <v>11</v>
      </c>
      <c r="C3186" s="62" t="n">
        <f aca="false">MAX(0,Pressupostos!$C$170-C3185)</f>
        <v>14892.3875582193</v>
      </c>
      <c r="D3186" s="62" t="n">
        <f aca="false">MAX(0,Pressupostos!$C$170-D3185)</f>
        <v>954531.401933709</v>
      </c>
      <c r="E3186" s="62" t="n">
        <f aca="false">MAX(0,Pressupostos!$C$170-E3185)</f>
        <v>1250545.90004941</v>
      </c>
      <c r="F3186" s="62" t="n">
        <f aca="false">MAX(0,Pressupostos!$C$170-F3185)</f>
        <v>1550472.87702816</v>
      </c>
      <c r="G3186" s="62" t="n">
        <f aca="false">MAX(0,Pressupostos!$C$170-G3185)</f>
        <v>1903854.15571446</v>
      </c>
      <c r="H3186" s="2" t="s">
        <v>1432</v>
      </c>
    </row>
    <row r="3187" customFormat="false" ht="15" hidden="false" customHeight="false" outlineLevel="1" collapsed="false">
      <c r="A3187" s="56" t="s">
        <v>775</v>
      </c>
      <c r="B3187" s="57" t="s">
        <v>11</v>
      </c>
      <c r="C3187" s="62" t="n">
        <f aca="false">C3185+C3186</f>
        <v>150000</v>
      </c>
      <c r="D3187" s="62" t="n">
        <f aca="false">D3185+D3186</f>
        <v>150000</v>
      </c>
      <c r="E3187" s="62" t="n">
        <f aca="false">E3185+E3186</f>
        <v>150000</v>
      </c>
      <c r="F3187" s="62" t="n">
        <f aca="false">F3185+F3186</f>
        <v>150000</v>
      </c>
      <c r="G3187" s="62" t="n">
        <f aca="false">G3185+G3186</f>
        <v>150000</v>
      </c>
      <c r="H3187" s="2" t="s">
        <v>1433</v>
      </c>
    </row>
    <row r="3188" customFormat="false" ht="15" hidden="false" customHeight="false" outlineLevel="1" collapsed="false">
      <c r="A3188" s="7" t="s">
        <v>776</v>
      </c>
      <c r="B3188" s="8" t="s">
        <v>11</v>
      </c>
      <c r="C3188" s="61" t="n">
        <f aca="false">C3163+C3166+C3165</f>
        <v>17489.698630137</v>
      </c>
      <c r="D3188" s="61" t="n">
        <f aca="false">D3163+D3166+D3165</f>
        <v>85580.5307791096</v>
      </c>
      <c r="E3188" s="61" t="n">
        <f aca="false">E3163+E3166+E3165</f>
        <v>115239.024443493</v>
      </c>
      <c r="F3188" s="61" t="n">
        <f aca="false">F3163+F3166+F3165</f>
        <v>176021.200556507</v>
      </c>
      <c r="G3188" s="61" t="n">
        <f aca="false">G3163+G3166+G3165</f>
        <v>269506.984160959</v>
      </c>
      <c r="H3188" s="2" t="s">
        <v>1434</v>
      </c>
    </row>
    <row r="3189" customFormat="false" ht="15" hidden="false" customHeight="false" outlineLevel="1" collapsed="false">
      <c r="A3189" s="7" t="s">
        <v>777</v>
      </c>
      <c r="B3189" s="8" t="s">
        <v>11</v>
      </c>
      <c r="C3189" s="61" t="n">
        <f aca="false">C3187+C3188</f>
        <v>167489.698630137</v>
      </c>
      <c r="D3189" s="61" t="n">
        <f aca="false">D3187+D3188</f>
        <v>235580.53077911</v>
      </c>
      <c r="E3189" s="61" t="n">
        <f aca="false">E3187+E3188</f>
        <v>265239.024443493</v>
      </c>
      <c r="F3189" s="61" t="n">
        <f aca="false">F3187+F3188</f>
        <v>326021.200556507</v>
      </c>
      <c r="G3189" s="61" t="n">
        <f aca="false">G3187+G3188</f>
        <v>419506.984160959</v>
      </c>
      <c r="H3189" s="2" t="s">
        <v>1435</v>
      </c>
    </row>
    <row r="3190" customFormat="false" ht="15" hidden="false" customHeight="false" outlineLevel="1" collapsed="false">
      <c r="A3190" s="7" t="s">
        <v>778</v>
      </c>
      <c r="B3190" s="8" t="s">
        <v>11</v>
      </c>
      <c r="C3190" s="61" t="n">
        <f aca="false">C3184+C3186</f>
        <v>1114892.38755822</v>
      </c>
      <c r="D3190" s="61" t="n">
        <f aca="false">C3190+D3184+D3186</f>
        <v>2069423.78949193</v>
      </c>
      <c r="E3190" s="61" t="n">
        <f aca="false">D3190+E3184+E3186</f>
        <v>3319969.68954134</v>
      </c>
      <c r="F3190" s="61" t="n">
        <f aca="false">E3190+F3184+F3186</f>
        <v>4870442.5665695</v>
      </c>
      <c r="G3190" s="61" t="n">
        <f aca="false">F3190+G3184+G3186</f>
        <v>6774296.72228396</v>
      </c>
      <c r="H3190" s="2" t="s">
        <v>1436</v>
      </c>
    </row>
    <row r="3191" customFormat="false" ht="15" hidden="false" customHeight="false" outlineLevel="0" collapsed="false">
      <c r="A3191" s="3" t="s">
        <v>1437</v>
      </c>
      <c r="B3191" s="4"/>
      <c r="C3191" s="4"/>
      <c r="D3191" s="4"/>
      <c r="E3191" s="4"/>
      <c r="F3191" s="4"/>
      <c r="G3191" s="4"/>
      <c r="H3191" s="4"/>
    </row>
    <row r="3192" customFormat="false" ht="15" hidden="false" customHeight="false" outlineLevel="1" collapsed="false">
      <c r="A3192" s="7" t="s">
        <v>782</v>
      </c>
      <c r="B3192" s="8" t="s">
        <v>11</v>
      </c>
      <c r="C3192" s="72" t="n">
        <f aca="false">Pressupostos!$C$159+Pressupostos!$C$160+Pressupostos!$C$161+Pressupostos!$C$162+Pressupostos!$C$163</f>
        <v>95000</v>
      </c>
      <c r="H3192" s="2" t="s">
        <v>1438</v>
      </c>
    </row>
    <row r="3193" customFormat="false" ht="15" hidden="false" customHeight="false" outlineLevel="1" collapsed="false">
      <c r="A3193" s="7" t="s">
        <v>783</v>
      </c>
      <c r="B3193" s="8" t="s">
        <v>11</v>
      </c>
      <c r="C3193" s="73" t="n">
        <f aca="false">Pressupostos!$C$108</f>
        <v>50000</v>
      </c>
      <c r="H3193" s="2" t="s">
        <v>1439</v>
      </c>
    </row>
    <row r="3194" customFormat="false" ht="15" hidden="false" customHeight="false" outlineLevel="1" collapsed="false">
      <c r="A3194" s="7" t="s">
        <v>322</v>
      </c>
      <c r="B3194" s="8" t="s">
        <v>11</v>
      </c>
      <c r="C3194" s="73" t="n">
        <f aca="false">Pressupostos!$C$170</f>
        <v>150000</v>
      </c>
      <c r="H3194" s="2" t="s">
        <v>1440</v>
      </c>
    </row>
    <row r="3195" customFormat="false" ht="15" hidden="false" customHeight="false" outlineLevel="1" collapsed="false">
      <c r="A3195" s="7" t="s">
        <v>784</v>
      </c>
      <c r="B3195" s="8" t="s">
        <v>11</v>
      </c>
      <c r="C3195" s="72" t="n">
        <f aca="false">MAX(0,-MIN($C$3179:$G$3179))</f>
        <v>6479296.72228396</v>
      </c>
      <c r="H3195" s="2" t="s">
        <v>1441</v>
      </c>
    </row>
    <row r="3196" customFormat="false" ht="15" hidden="false" customHeight="false" outlineLevel="1" collapsed="false">
      <c r="A3196" s="56" t="s">
        <v>785</v>
      </c>
      <c r="B3196" s="57" t="s">
        <v>11</v>
      </c>
      <c r="C3196" s="74" t="n">
        <f aca="false">C3192+C3193+C3194+C3195</f>
        <v>6774296.72228396</v>
      </c>
      <c r="H3196" s="2" t="s">
        <v>1442</v>
      </c>
    </row>
    <row r="3197" customFormat="false" ht="15" hidden="false" customHeight="false" outlineLevel="1" collapsed="false">
      <c r="A3197" s="7" t="s">
        <v>786</v>
      </c>
      <c r="B3197" s="8" t="s">
        <v>20</v>
      </c>
      <c r="C3197" s="75" t="n">
        <f aca="false">INDEX($C$2924:$G$2924,1,MATCH(MIN($C$3179:$G$3179),$C$3179:$G$3179,0))</f>
        <v>2031</v>
      </c>
      <c r="H3197" s="2" t="s">
        <v>1443</v>
      </c>
    </row>
    <row r="3198" customFormat="false" ht="15" hidden="false" customHeight="false" outlineLevel="1" collapsed="false">
      <c r="A3198" s="7" t="s">
        <v>787</v>
      </c>
      <c r="B3198" s="8"/>
      <c r="C3198" s="76" t="str">
        <f aca="false">IF(G3178&lt;0,"sim","não")</f>
        <v>sim</v>
      </c>
      <c r="H3198" s="2" t="s">
        <v>1444</v>
      </c>
    </row>
    <row r="3199" customFormat="false" ht="15" hidden="false" customHeight="false" outlineLevel="1" collapsed="false">
      <c r="A3199" s="7" t="s">
        <v>788</v>
      </c>
      <c r="B3199" s="8" t="s">
        <v>11</v>
      </c>
      <c r="C3199" s="72" t="n">
        <f aca="false">G3190</f>
        <v>6774296.72228396</v>
      </c>
      <c r="H3199" s="2" t="s">
        <v>1445</v>
      </c>
    </row>
    <row r="3200" customFormat="false" ht="15" hidden="false" customHeight="false" outlineLevel="0" collapsed="false">
      <c r="A3200" s="3" t="s">
        <v>1446</v>
      </c>
      <c r="B3200" s="4"/>
      <c r="C3200" s="4"/>
      <c r="D3200" s="4"/>
      <c r="E3200" s="4"/>
      <c r="F3200" s="4"/>
      <c r="G3200" s="4"/>
      <c r="H3200" s="4"/>
    </row>
    <row r="3201" customFormat="false" ht="15" hidden="false" customHeight="false" outlineLevel="1" collapsed="false">
      <c r="A3201" s="7" t="s">
        <v>790</v>
      </c>
      <c r="B3201" s="8" t="s">
        <v>11</v>
      </c>
      <c r="C3201" s="72" t="n">
        <f aca="false">C3192+C3193</f>
        <v>145000</v>
      </c>
      <c r="H3201" s="2" t="s">
        <v>1447</v>
      </c>
    </row>
    <row r="3202" customFormat="false" ht="15" hidden="false" customHeight="false" outlineLevel="1" collapsed="false">
      <c r="A3202" s="7" t="s">
        <v>791</v>
      </c>
      <c r="B3202" s="8" t="s">
        <v>11</v>
      </c>
      <c r="C3202" s="72" t="n">
        <f aca="false">-SUMPRODUCT(($C$2924:$G$2924&lt;=C3197)*$C$3135:$G$3135)</f>
        <v>6119570.61997231</v>
      </c>
      <c r="H3202" s="2" t="s">
        <v>1448</v>
      </c>
    </row>
    <row r="3203" customFormat="false" ht="15" hidden="false" customHeight="false" outlineLevel="1" collapsed="false">
      <c r="A3203" s="7" t="s">
        <v>424</v>
      </c>
      <c r="B3203" s="8" t="s">
        <v>11</v>
      </c>
      <c r="C3203" s="72" t="n">
        <f aca="false">SUMPRODUCT(($C$2924:$G$2924&lt;=C3197)*$C$3119:$G$3119)</f>
        <v>260000</v>
      </c>
      <c r="H3203" s="2" t="s">
        <v>1449</v>
      </c>
    </row>
    <row r="3204" customFormat="false" ht="15" hidden="false" customHeight="false" outlineLevel="1" collapsed="false">
      <c r="A3204" s="7" t="s">
        <v>792</v>
      </c>
      <c r="B3204" s="8" t="s">
        <v>11</v>
      </c>
      <c r="C3204" s="72" t="n">
        <f aca="false">SUMPRODUCT(($C$2924:$G$2924&lt;=C3197)*$C$3150:$G$3150)</f>
        <v>0</v>
      </c>
      <c r="H3204" s="2" t="s">
        <v>1450</v>
      </c>
    </row>
    <row r="3205" customFormat="false" ht="15" hidden="false" customHeight="false" outlineLevel="1" collapsed="false">
      <c r="A3205" s="7" t="s">
        <v>793</v>
      </c>
      <c r="B3205" s="8" t="s">
        <v>11</v>
      </c>
      <c r="C3205" s="72" t="n">
        <f aca="false">C3195-C3202-C3203-C3204</f>
        <v>99726.1023116438</v>
      </c>
      <c r="H3205" s="2" t="s">
        <v>1451</v>
      </c>
    </row>
    <row r="3206" customFormat="false" ht="15" hidden="false" customHeight="false" outlineLevel="1" collapsed="false">
      <c r="A3206" s="7" t="s">
        <v>322</v>
      </c>
      <c r="B3206" s="8" t="s">
        <v>11</v>
      </c>
      <c r="C3206" s="72" t="n">
        <f aca="false">C3194</f>
        <v>150000</v>
      </c>
      <c r="H3206" s="2" t="s">
        <v>1452</v>
      </c>
    </row>
    <row r="3207" customFormat="false" ht="15" hidden="false" customHeight="false" outlineLevel="1" collapsed="false">
      <c r="A3207" s="56" t="s">
        <v>794</v>
      </c>
      <c r="B3207" s="57" t="s">
        <v>11</v>
      </c>
      <c r="C3207" s="74" t="n">
        <f aca="false">C3201+C3202+C3203+C3204+C3205+C3206</f>
        <v>6774296.72228396</v>
      </c>
      <c r="H3207" s="2" t="s">
        <v>1453</v>
      </c>
    </row>
    <row r="3208" customFormat="false" ht="15" hidden="false" customHeight="false" outlineLevel="0" collapsed="false">
      <c r="A3208" s="3" t="s">
        <v>1454</v>
      </c>
      <c r="B3208" s="4"/>
      <c r="C3208" s="4"/>
      <c r="D3208" s="4"/>
      <c r="E3208" s="4"/>
      <c r="F3208" s="4"/>
      <c r="G3208" s="4"/>
      <c r="H3208" s="4"/>
    </row>
    <row r="3209" customFormat="false" ht="15" hidden="false" customHeight="false" outlineLevel="1" collapsed="false">
      <c r="A3209" s="7" t="s">
        <v>772</v>
      </c>
      <c r="B3209" s="8" t="s">
        <v>11</v>
      </c>
      <c r="C3209" s="73" t="n">
        <f aca="false">Pressupostos!$D$32</f>
        <v>1100000</v>
      </c>
      <c r="H3209" s="2" t="s">
        <v>1455</v>
      </c>
    </row>
    <row r="3210" customFormat="false" ht="15" hidden="false" customHeight="false" outlineLevel="1" collapsed="false">
      <c r="A3210" s="7" t="s">
        <v>796</v>
      </c>
      <c r="B3210" s="8" t="s">
        <v>11</v>
      </c>
      <c r="C3210" s="72" t="n">
        <f aca="false">C3192+Pressupostos!$C$108+Pressupostos!$C$130/12*((C3094-C3082-C3083+(C3082+C3083)/Pressupostos!$C$128*Pressupostos!$C$129)*(1+Pressupostos!$C$124+Pressupostos!$C$125)+C3080*Pressupostos!$C$126+C3113)+C3119+MAX(0,Pressupostos!$C$183*1000*(C2945+C2948)+Pressupostos!$C$184*1000*(C2968+C2971)-Pressupostos!$C$108)</f>
        <v>713321.666666667</v>
      </c>
      <c r="H3210" s="2" t="s">
        <v>1456</v>
      </c>
    </row>
    <row r="3211" customFormat="false" ht="15" hidden="false" customHeight="false" outlineLevel="1" collapsed="false">
      <c r="A3211" s="7" t="s">
        <v>798</v>
      </c>
      <c r="B3211" s="8" t="s">
        <v>11</v>
      </c>
      <c r="C3211" s="72" t="n">
        <f aca="false">C3192+Pressupostos!$C$108-C3178</f>
        <v>964892.387558219</v>
      </c>
      <c r="H3211" s="2" t="s">
        <v>1457</v>
      </c>
    </row>
    <row r="3212" customFormat="false" ht="15" hidden="false" customHeight="false" outlineLevel="1" collapsed="false">
      <c r="A3212" s="7" t="s">
        <v>799</v>
      </c>
      <c r="B3212" s="8" t="s">
        <v>11</v>
      </c>
      <c r="C3212" s="61" t="n">
        <f aca="false">Pressupostos!$D$32-C3192-Pressupostos!$C$108+C3179</f>
        <v>135107.612441781</v>
      </c>
      <c r="D3212" s="61" t="n">
        <f aca="false">Pressupostos!$D$32-C3192-Pressupostos!$C$108+D3179</f>
        <v>-819423.789491928</v>
      </c>
      <c r="E3212" s="61" t="n">
        <f aca="false">Pressupostos!$D$32-C3192-Pressupostos!$C$108+E3179</f>
        <v>-2069969.68954134</v>
      </c>
      <c r="F3212" s="61" t="n">
        <f aca="false">Pressupostos!$D$32-C3192-Pressupostos!$C$108+F3179</f>
        <v>-3620442.5665695</v>
      </c>
      <c r="G3212" s="61" t="n">
        <f aca="false">Pressupostos!$D$32-C3192-Pressupostos!$C$108+G3179</f>
        <v>-5524296.72228396</v>
      </c>
      <c r="H3212" s="2" t="s">
        <v>1458</v>
      </c>
    </row>
    <row r="3213" customFormat="false" ht="15" hidden="false" customHeight="false" outlineLevel="1" collapsed="false">
      <c r="A3213" s="7" t="s">
        <v>800</v>
      </c>
      <c r="B3213" s="8" t="s">
        <v>18</v>
      </c>
      <c r="C3213" s="77" t="str">
        <f aca="false">IF(AND(Pressupostos!$D$32-C3192-Pressupostos!$C$108&gt;0,C3212&lt;=0),12*(Pressupostos!$D$32-C3192-Pressupostos!$C$108)/(Pressupostos!$D$32-C3192-Pressupostos!$C$108-C3212),"")</f>
        <v/>
      </c>
      <c r="D3213" s="77" t="n">
        <f aca="false">IF(AND(C3212&gt;0,D3212&lt;=0),12+12*C3212/(C3212-D3212),"")</f>
        <v>13.6985207045226</v>
      </c>
      <c r="E3213" s="77" t="str">
        <f aca="false">IF(AND(D3212&gt;0,E3212&lt;=0),24+12*D3212/(D3212-E3212),"")</f>
        <v/>
      </c>
      <c r="F3213" s="77" t="str">
        <f aca="false">IF(AND(E3212&gt;0,F3212&lt;=0),36+12*E3212/(E3212-F3212),"")</f>
        <v/>
      </c>
      <c r="G3213" s="77" t="str">
        <f aca="false">IF(AND(F3212&gt;0,G3212&lt;=0),48+12*F3212/(F3212-G3212),"")</f>
        <v/>
      </c>
      <c r="H3213" s="2" t="s">
        <v>1459</v>
      </c>
    </row>
    <row r="3214" customFormat="false" ht="15" hidden="false" customHeight="false" outlineLevel="1" collapsed="false">
      <c r="A3214" s="56" t="s">
        <v>801</v>
      </c>
      <c r="B3214" s="57" t="s">
        <v>274</v>
      </c>
      <c r="C3214" s="78" t="n">
        <f aca="false">IF(COUNT($C$3213:$G$3213)=0,"&gt; 60",MIN($C$3213:$G$3213))</f>
        <v>13.6985207045226</v>
      </c>
      <c r="H3214" s="2" t="s">
        <v>1460</v>
      </c>
    </row>
    <row r="3215" customFormat="false" ht="15" hidden="false" customHeight="false" outlineLevel="0" collapsed="false">
      <c r="A3215" s="3" t="s">
        <v>1461</v>
      </c>
      <c r="B3215" s="4"/>
      <c r="C3215" s="4"/>
      <c r="D3215" s="4"/>
      <c r="E3215" s="4"/>
      <c r="F3215" s="4"/>
      <c r="G3215" s="4"/>
      <c r="H3215" s="4"/>
    </row>
    <row r="3216" customFormat="false" ht="15" hidden="false" customHeight="false" outlineLevel="1" collapsed="false">
      <c r="A3216" s="7" t="s">
        <v>803</v>
      </c>
      <c r="B3216" s="8" t="s">
        <v>18</v>
      </c>
      <c r="C3216" s="77" t="str">
        <f aca="false">IF(C3135&gt;=0,1,"")</f>
        <v/>
      </c>
      <c r="D3216" s="77" t="str">
        <f aca="false">IF(AND(C3135&lt;0,D3135&gt;=0),6.5+12*(-C3135)/(D3135-C3135),"")</f>
        <v/>
      </c>
      <c r="E3216" s="77" t="str">
        <f aca="false">IF(AND(D3135&lt;0,E3135&gt;=0),18.5+12*(-D3135)/(E3135-D3135),"")</f>
        <v/>
      </c>
      <c r="F3216" s="77" t="str">
        <f aca="false">IF(AND(E3135&lt;0,F3135&gt;=0),30.5+12*(-E3135)/(F3135-E3135),"")</f>
        <v/>
      </c>
      <c r="G3216" s="77" t="str">
        <f aca="false">IF(AND(F3135&lt;0,G3135&gt;=0),42.5+12*(-F3135)/(G3135-F3135),"")</f>
        <v/>
      </c>
      <c r="H3216" s="2" t="s">
        <v>1462</v>
      </c>
    </row>
    <row r="3217" customFormat="false" ht="15" hidden="false" customHeight="false" outlineLevel="1" collapsed="false">
      <c r="A3217" s="7" t="s">
        <v>804</v>
      </c>
      <c r="B3217" s="8" t="s">
        <v>18</v>
      </c>
      <c r="C3217" s="79" t="str">
        <f aca="false">IF(COUNT($C$3216:$G$3216)=0,"não atinge até 2031",ROUNDUP(MIN($C$3216:$G$3216),0))</f>
        <v>não atinge até 2031</v>
      </c>
      <c r="H3217" s="2" t="s">
        <v>1463</v>
      </c>
    </row>
    <row r="3218" customFormat="false" ht="15" hidden="false" customHeight="false" outlineLevel="1" collapsed="false">
      <c r="A3218" s="56" t="s">
        <v>805</v>
      </c>
      <c r="B3218" s="57" t="s">
        <v>806</v>
      </c>
      <c r="C3218" s="80" t="str">
        <f aca="false">IF(ISNUMBER(C3217),DATE(2027,C3217,1),"não atinge até 2031")</f>
        <v>não atinge até 2031</v>
      </c>
      <c r="H3218" s="2" t="s">
        <v>1464</v>
      </c>
    </row>
    <row r="3219" customFormat="false" ht="15" hidden="false" customHeight="false" outlineLevel="1" collapsed="false">
      <c r="A3219" s="7" t="s">
        <v>807</v>
      </c>
      <c r="B3219" s="8" t="s">
        <v>20</v>
      </c>
      <c r="C3219" s="81" t="str">
        <f aca="false">IF(C3135&gt;=0,C2924,"")</f>
        <v/>
      </c>
      <c r="D3219" s="81" t="str">
        <f aca="false">IF(D3135&gt;=0,D2924,"")</f>
        <v/>
      </c>
      <c r="E3219" s="81" t="str">
        <f aca="false">IF(E3135&gt;=0,E2924,"")</f>
        <v/>
      </c>
      <c r="F3219" s="81" t="str">
        <f aca="false">IF(F3135&gt;=0,F2924,"")</f>
        <v/>
      </c>
      <c r="G3219" s="81" t="str">
        <f aca="false">IF(G3135&gt;=0,G2924,"")</f>
        <v/>
      </c>
      <c r="H3219" s="2" t="s">
        <v>1465</v>
      </c>
    </row>
    <row r="3220" customFormat="false" ht="15" hidden="false" customHeight="false" outlineLevel="1" collapsed="false">
      <c r="A3220" s="7" t="s">
        <v>808</v>
      </c>
      <c r="B3220" s="8" t="s">
        <v>20</v>
      </c>
      <c r="C3220" s="75" t="str">
        <f aca="false">IF(COUNT($C$3219:$G$3219)=0,"não atinge até 2031",MIN($C$3219:$G$3219))</f>
        <v>não atinge até 2031</v>
      </c>
      <c r="H3220" s="2" t="s">
        <v>1466</v>
      </c>
    </row>
    <row r="3221" customFormat="false" ht="15" hidden="false" customHeight="false" outlineLevel="1" collapsed="false">
      <c r="A3221" s="7" t="s">
        <v>809</v>
      </c>
      <c r="B3221" s="8" t="s">
        <v>20</v>
      </c>
      <c r="C3221" s="81" t="str">
        <f aca="false">IF(C3153&gt;=0,C2924,"")</f>
        <v/>
      </c>
      <c r="D3221" s="81" t="str">
        <f aca="false">IF(D3153&gt;=0,D2924,"")</f>
        <v/>
      </c>
      <c r="E3221" s="81" t="str">
        <f aca="false">IF(E3153&gt;=0,E2924,"")</f>
        <v/>
      </c>
      <c r="F3221" s="81" t="str">
        <f aca="false">IF(F3153&gt;=0,F2924,"")</f>
        <v/>
      </c>
      <c r="G3221" s="81" t="str">
        <f aca="false">IF(G3153&gt;=0,G2924,"")</f>
        <v/>
      </c>
      <c r="H3221" s="2" t="s">
        <v>1467</v>
      </c>
    </row>
    <row r="3222" customFormat="false" ht="15" hidden="false" customHeight="false" outlineLevel="1" collapsed="false">
      <c r="A3222" s="7" t="s">
        <v>810</v>
      </c>
      <c r="B3222" s="8" t="s">
        <v>20</v>
      </c>
      <c r="C3222" s="75" t="str">
        <f aca="false">IF(COUNT($C$3221:$G$3221)=0,"não atinge até 2031",MIN($C$3221:$G$3221))</f>
        <v>não atinge até 2031</v>
      </c>
      <c r="H3222" s="2" t="s">
        <v>1468</v>
      </c>
    </row>
    <row r="3223" customFormat="false" ht="15" hidden="false" customHeight="false" outlineLevel="1" collapsed="false">
      <c r="A3223" s="7" t="s">
        <v>811</v>
      </c>
      <c r="B3223" s="8" t="s">
        <v>20</v>
      </c>
      <c r="C3223" s="81" t="str">
        <f aca="false">IF(C3178&gt;=0,C2924,"")</f>
        <v/>
      </c>
      <c r="D3223" s="81" t="str">
        <f aca="false">IF(D3178&gt;=0,D2924,"")</f>
        <v/>
      </c>
      <c r="E3223" s="81" t="str">
        <f aca="false">IF(E3178&gt;=0,E2924,"")</f>
        <v/>
      </c>
      <c r="F3223" s="81" t="str">
        <f aca="false">IF(F3178&gt;=0,F2924,"")</f>
        <v/>
      </c>
      <c r="G3223" s="81" t="str">
        <f aca="false">IF(G3178&gt;=0,G2924,"")</f>
        <v/>
      </c>
      <c r="H3223" s="2" t="s">
        <v>1469</v>
      </c>
    </row>
    <row r="3224" customFormat="false" ht="15" hidden="false" customHeight="false" outlineLevel="1" collapsed="false">
      <c r="A3224" s="7" t="s">
        <v>19</v>
      </c>
      <c r="B3224" s="8" t="s">
        <v>20</v>
      </c>
      <c r="C3224" s="75" t="str">
        <f aca="false">IF(COUNT($C$3223:$G$3223)=0,"não atinge até 2031",MIN($C$3223:$G$3223))</f>
        <v>não atinge até 2031</v>
      </c>
      <c r="H3224" s="2" t="s">
        <v>1470</v>
      </c>
    </row>
    <row r="3225" customFormat="false" ht="15" hidden="false" customHeight="false" outlineLevel="0" collapsed="false">
      <c r="A3225" s="3" t="s">
        <v>1471</v>
      </c>
      <c r="B3225" s="4"/>
      <c r="C3225" s="4"/>
      <c r="D3225" s="4"/>
      <c r="E3225" s="4"/>
      <c r="F3225" s="4"/>
      <c r="G3225" s="4"/>
      <c r="H3225" s="4"/>
    </row>
    <row r="3226" customFormat="false" ht="15" hidden="false" customHeight="false" outlineLevel="1" collapsed="false">
      <c r="A3226" s="7" t="s">
        <v>813</v>
      </c>
      <c r="B3226" s="8" t="s">
        <v>11</v>
      </c>
      <c r="C3226" s="61" t="n">
        <f aca="false">C3161</f>
        <v>0</v>
      </c>
      <c r="D3226" s="61" t="n">
        <f aca="false">D3161</f>
        <v>220844.67380137</v>
      </c>
      <c r="E3226" s="61" t="n">
        <f aca="false">E3161</f>
        <v>404931.875856164</v>
      </c>
      <c r="F3226" s="61" t="n">
        <f aca="false">F3161</f>
        <v>704084.802226027</v>
      </c>
      <c r="G3226" s="61" t="n">
        <f aca="false">G3161</f>
        <v>1078027.93664384</v>
      </c>
      <c r="H3226" s="2" t="s">
        <v>1472</v>
      </c>
    </row>
    <row r="3227" customFormat="false" ht="15" hidden="false" customHeight="false" outlineLevel="1" collapsed="false">
      <c r="A3227" s="7" t="s">
        <v>509</v>
      </c>
      <c r="B3227" s="8" t="s">
        <v>76</v>
      </c>
      <c r="C3227" s="82" t="n">
        <f aca="false">Pressupostos!$C$288</f>
        <v>0.08</v>
      </c>
      <c r="D3227" s="82" t="n">
        <f aca="false">Pressupostos!$D$288</f>
        <v>0.08</v>
      </c>
      <c r="E3227" s="82" t="n">
        <f aca="false">Pressupostos!$E$288</f>
        <v>0.075</v>
      </c>
      <c r="F3227" s="82" t="n">
        <f aca="false">Pressupostos!$F$288</f>
        <v>0.07</v>
      </c>
      <c r="G3227" s="82" t="n">
        <f aca="false">Pressupostos!$G$288</f>
        <v>0.07</v>
      </c>
      <c r="H3227" s="2" t="s">
        <v>1473</v>
      </c>
    </row>
    <row r="3228" customFormat="false" ht="15" hidden="false" customHeight="false" outlineLevel="1" collapsed="false">
      <c r="A3228" s="7" t="s">
        <v>814</v>
      </c>
      <c r="B3228" s="8" t="s">
        <v>76</v>
      </c>
      <c r="C3228" s="60" t="n">
        <f aca="false">Pressupostos!$C$288*(1-Pressupostos!$C$111)</f>
        <v>0.0576</v>
      </c>
      <c r="D3228" s="60" t="n">
        <f aca="false">Pressupostos!$D$288*(1-Pressupostos!$C$111)</f>
        <v>0.0576</v>
      </c>
      <c r="E3228" s="60" t="n">
        <f aca="false">Pressupostos!$E$288*(1-Pressupostos!$C$111)</f>
        <v>0.054</v>
      </c>
      <c r="F3228" s="60" t="n">
        <f aca="false">Pressupostos!$F$288*(1-Pressupostos!$C$111)</f>
        <v>0.0504</v>
      </c>
      <c r="G3228" s="60" t="n">
        <f aca="false">Pressupostos!$G$288*(1-Pressupostos!$C$111)</f>
        <v>0.0504</v>
      </c>
      <c r="H3228" s="2" t="s">
        <v>1474</v>
      </c>
    </row>
    <row r="3229" customFormat="false" ht="15" hidden="false" customHeight="false" outlineLevel="1" collapsed="false">
      <c r="A3229" s="7" t="s">
        <v>815</v>
      </c>
      <c r="B3229" s="8" t="s">
        <v>11</v>
      </c>
      <c r="C3229" s="61" t="n">
        <f aca="false">C3065</f>
        <v>0</v>
      </c>
      <c r="D3229" s="61" t="n">
        <f aca="false">D3065</f>
        <v>17315.6301369863</v>
      </c>
      <c r="E3229" s="61" t="n">
        <f aca="false">E3065</f>
        <v>29325.5136986301</v>
      </c>
      <c r="F3229" s="61" t="n">
        <f aca="false">F3065</f>
        <v>47463.595890411</v>
      </c>
      <c r="G3229" s="61" t="n">
        <f aca="false">G3065</f>
        <v>72644.1780821918</v>
      </c>
      <c r="H3229" s="2" t="s">
        <v>1475</v>
      </c>
    </row>
    <row r="3230" customFormat="false" ht="15" hidden="false" customHeight="false" outlineLevel="1" collapsed="false">
      <c r="A3230" s="7" t="s">
        <v>816</v>
      </c>
      <c r="B3230" s="8" t="s">
        <v>76</v>
      </c>
      <c r="C3230" s="59" t="n">
        <f aca="false">IF(C3161&gt;0,(C3164+C3166)/C3161,0)</f>
        <v>0</v>
      </c>
      <c r="D3230" s="59" t="n">
        <f aca="false">IF(D3161&gt;0,(D3164+D3166)/D3161,0)</f>
        <v>0.138888888888889</v>
      </c>
      <c r="E3230" s="59" t="n">
        <f aca="false">IF(E3161&gt;0,(E3164+E3166)/E3161,0)</f>
        <v>0.138888888888889</v>
      </c>
      <c r="F3230" s="59" t="n">
        <f aca="false">IF(F3161&gt;0,(F3164+F3166)/F3161,0)</f>
        <v>0.138888888888889</v>
      </c>
      <c r="G3230" s="59" t="n">
        <f aca="false">IF(G3161&gt;0,(G3164+G3166)/G3161,0)</f>
        <v>0.138888888888889</v>
      </c>
      <c r="H3230" s="2" t="s">
        <v>1476</v>
      </c>
    </row>
    <row r="3231" customFormat="false" ht="15" hidden="false" customHeight="false" outlineLevel="1" collapsed="false">
      <c r="A3231" s="7" t="s">
        <v>817</v>
      </c>
      <c r="B3231" s="8" t="s">
        <v>123</v>
      </c>
      <c r="C3231" s="61" t="n">
        <f aca="false">C3167</f>
        <v>0</v>
      </c>
      <c r="D3231" s="61" t="n">
        <f aca="false">D3167</f>
        <v>4.4168934760274</v>
      </c>
      <c r="E3231" s="61" t="n">
        <f aca="false">E3167</f>
        <v>8.09863751712329</v>
      </c>
      <c r="F3231" s="61" t="n">
        <f aca="false">F3167</f>
        <v>14.0816960445205</v>
      </c>
      <c r="G3231" s="61" t="n">
        <f aca="false">G3167</f>
        <v>21.5605587328767</v>
      </c>
      <c r="H3231" s="2" t="s">
        <v>1477</v>
      </c>
    </row>
    <row r="3232" customFormat="false" ht="15" hidden="false" customHeight="false" outlineLevel="1" collapsed="false">
      <c r="A3232" s="7" t="s">
        <v>818</v>
      </c>
      <c r="B3232" s="8" t="s">
        <v>11</v>
      </c>
      <c r="C3232" s="61" t="n">
        <f aca="false">C3065+C3111</f>
        <v>65000</v>
      </c>
      <c r="D3232" s="61" t="n">
        <f aca="false">D3065+D3111</f>
        <v>82315.6301369863</v>
      </c>
      <c r="E3232" s="61" t="n">
        <f aca="false">E3065+E3111</f>
        <v>99325.5136986301</v>
      </c>
      <c r="F3232" s="61" t="n">
        <f aca="false">F3065+F3111</f>
        <v>122463.595890411</v>
      </c>
      <c r="G3232" s="61" t="n">
        <f aca="false">G3065+G3111</f>
        <v>152644.178082192</v>
      </c>
      <c r="H3232" s="2" t="s">
        <v>1478</v>
      </c>
    </row>
    <row r="3233" customFormat="false" ht="15" hidden="false" customHeight="false" outlineLevel="1" collapsed="false">
      <c r="A3233" s="7" t="s">
        <v>819</v>
      </c>
      <c r="B3233" s="8" t="s">
        <v>76</v>
      </c>
      <c r="C3233" s="59" t="str">
        <f aca="false">IF(C3161&gt;0,C3232/C3161,"")</f>
        <v/>
      </c>
      <c r="D3233" s="59" t="n">
        <f aca="false">IF(D3161&gt;0,D3232/D3161,"")</f>
        <v>0.372730882389411</v>
      </c>
      <c r="E3233" s="59" t="n">
        <f aca="false">IF(E3161&gt;0,E3232/E3161,"")</f>
        <v>0.24528944156007</v>
      </c>
      <c r="F3233" s="59" t="n">
        <f aca="false">IF(F3161&gt;0,F3232/F3161,"")</f>
        <v>0.173933019862425</v>
      </c>
      <c r="G3233" s="59" t="n">
        <f aca="false">IF(G3161&gt;0,G3232/G3161,"")</f>
        <v>0.141595753591888</v>
      </c>
      <c r="H3233" s="2" t="s">
        <v>1479</v>
      </c>
    </row>
    <row r="3234" customFormat="false" ht="15" hidden="false" customHeight="false" outlineLevel="0" collapsed="false">
      <c r="A3234" s="3" t="s">
        <v>1480</v>
      </c>
      <c r="B3234" s="4"/>
      <c r="C3234" s="4"/>
      <c r="D3234" s="4"/>
      <c r="E3234" s="4"/>
      <c r="F3234" s="4"/>
      <c r="G3234" s="4"/>
      <c r="H3234" s="4"/>
    </row>
    <row r="3235" customFormat="false" ht="15" hidden="false" customHeight="false" outlineLevel="1" collapsed="false">
      <c r="A3235" s="7" t="s">
        <v>821</v>
      </c>
      <c r="B3235" s="8" t="s">
        <v>11</v>
      </c>
      <c r="C3235" s="61" t="n">
        <f aca="false">MAX(0,-C3135)</f>
        <v>727892.387558219</v>
      </c>
      <c r="D3235" s="61" t="n">
        <f aca="false">MAX(0,-D3135)</f>
        <v>899489.16824364</v>
      </c>
      <c r="E3235" s="61" t="n">
        <f aca="false">MAX(0,-E3135)</f>
        <v>1193341.53994667</v>
      </c>
      <c r="F3235" s="61" t="n">
        <f aca="false">MAX(0,-F3135)</f>
        <v>1484929.91495624</v>
      </c>
      <c r="G3235" s="61" t="n">
        <f aca="false">MAX(0,-G3135)</f>
        <v>1813917.60926754</v>
      </c>
      <c r="H3235" s="2" t="s">
        <v>1481</v>
      </c>
    </row>
    <row r="3236" customFormat="false" ht="15" hidden="false" customHeight="false" outlineLevel="1" collapsed="false">
      <c r="A3236" s="2" t="s">
        <v>822</v>
      </c>
      <c r="B3236" s="8"/>
      <c r="C3236" s="61" t="n">
        <f aca="false">IF(AND(C2924&gt;=Pressupostos!$C$120,Pressupostos!$C$118*(C3018+C3019)+Pressupostos!$C$119*C3020&gt;Pressupostos!$C$300),1,0)</f>
        <v>0</v>
      </c>
      <c r="D3236" s="61" t="n">
        <f aca="false">IF(AND(D2924&gt;=Pressupostos!$C$120,Pressupostos!$C$118*(D3018+D3019)+Pressupostos!$C$119*D3020&gt;Pressupostos!$D$300),1,0)</f>
        <v>1</v>
      </c>
      <c r="E3236" s="61" t="n">
        <f aca="false">IF(AND(E2924&gt;=Pressupostos!$C$120,Pressupostos!$C$118*(E3018+E3019)+Pressupostos!$C$119*E3020&gt;Pressupostos!$E$300),1,0)</f>
        <v>1</v>
      </c>
      <c r="F3236" s="61" t="n">
        <f aca="false">IF(AND(F2924&gt;=Pressupostos!$C$120,Pressupostos!$C$118*(F3018+F3019)+Pressupostos!$C$119*F3020&gt;Pressupostos!$F$300),1,0)</f>
        <v>1</v>
      </c>
      <c r="G3236" s="61" t="n">
        <f aca="false">IF(AND(G2924&gt;=Pressupostos!$C$120,Pressupostos!$C$118*(G3018+G3019)+Pressupostos!$C$119*G3020&gt;Pressupostos!$G$300),1,0)</f>
        <v>1</v>
      </c>
      <c r="H3236" s="2" t="s">
        <v>1482</v>
      </c>
    </row>
    <row r="3237" customFormat="false" ht="15" hidden="false" customHeight="false" outlineLevel="1" collapsed="false">
      <c r="A3237" s="7" t="s">
        <v>823</v>
      </c>
      <c r="B3237" s="8" t="s">
        <v>64</v>
      </c>
      <c r="C3237" s="63" t="n">
        <f aca="false">IF(C2928&gt;0,C3235/(C2928*1000*(1-Pressupostos!$D$22)*(1-Pressupostos!$D$25-C3236*Pressupostos!$C$118)),"n/a")</f>
        <v>14.0400506820118</v>
      </c>
      <c r="D3237" s="63" t="n">
        <f aca="false">IF(D2928&gt;0,D3235/(D2928*1000*(1-Pressupostos!$D$22)*(1-Pressupostos!$D$25-D3236*Pressupostos!$C$118)),"n/a")</f>
        <v>2.49539938867844</v>
      </c>
      <c r="E3237" s="63" t="n">
        <f aca="false">IF(E2928&gt;0,E3235/(E2928*1000*(1-Pressupostos!$D$22)*(1-Pressupostos!$D$25-E3236*Pressupostos!$C$118)),"n/a")</f>
        <v>1.67608621570895</v>
      </c>
      <c r="F3237" s="63" t="n">
        <f aca="false">IF(F2928&gt;0,F3235/(F2928*1000*(1-Pressupostos!$D$22)*(1-Pressupostos!$D$25-F3236*Pressupostos!$C$118)),"n/a")</f>
        <v>1.26407244196803</v>
      </c>
      <c r="G3237" s="63" t="n">
        <f aca="false">IF(G2928&gt;0,G3235/(G2928*1000*(1-Pressupostos!$D$22)*(1-Pressupostos!$D$25-G3236*Pressupostos!$C$118)),"n/a")</f>
        <v>1.02050533019828</v>
      </c>
      <c r="H3237" s="2" t="s">
        <v>1483</v>
      </c>
    </row>
    <row r="3238" customFormat="false" ht="15" hidden="false" customHeight="false" outlineLevel="1" collapsed="false">
      <c r="A3238" s="7" t="s">
        <v>824</v>
      </c>
      <c r="B3238" s="8" t="s">
        <v>64</v>
      </c>
      <c r="C3238" s="63" t="n">
        <f aca="false">IF(C2927&gt;0,(Pressupostos!$D$15*(1+Pressupostos!$C$197))+C3235/(C2927*1000*(1-Pressupostos!$D$16)*(1-Pressupostos!$D$18-C3236*Pressupostos!$C$118)),"n/a")</f>
        <v>105.661403358794</v>
      </c>
      <c r="D3238" s="63" t="n">
        <f aca="false">IF(D2927&gt;0,(Pressupostos!$D$15*(1+Pressupostos!$C$197))+D3235/(D2927*1000*(1-Pressupostos!$D$16)*(1-Pressupostos!$D$18-D3236*Pressupostos!$C$118)),"n/a")</f>
        <v>31.2395320545891</v>
      </c>
      <c r="E3238" s="63" t="n">
        <f aca="false">IF(E2927&gt;0,(Pressupostos!$D$15*(1+Pressupostos!$C$197))+E3235/(E2927*1000*(1-Pressupostos!$D$16)*(1-Pressupostos!$D$18-E3236*Pressupostos!$C$118)),"n/a")</f>
        <v>14.0251378019685</v>
      </c>
      <c r="F3238" s="63" t="n">
        <f aca="false">IF(F2927&gt;0,(Pressupostos!$D$15*(1+Pressupostos!$C$197))+F3235/(F2927*1000*(1-Pressupostos!$D$16)*(1-Pressupostos!$D$18-F3236*Pressupostos!$C$118)),"n/a")</f>
        <v>10.1969026509634</v>
      </c>
      <c r="G3238" s="63" t="n">
        <f aca="false">IF(G2927&gt;0,(Pressupostos!$D$15*(1+Pressupostos!$C$197))+G3235/(G2927*1000*(1-Pressupostos!$D$16)*(1-Pressupostos!$D$18-G3236*Pressupostos!$C$118)),"n/a")</f>
        <v>8.92042007956952</v>
      </c>
      <c r="H3238" s="2" t="s">
        <v>1484</v>
      </c>
    </row>
    <row r="3239" customFormat="false" ht="15" hidden="false" customHeight="false" outlineLevel="1" collapsed="false">
      <c r="A3239" s="7" t="s">
        <v>825</v>
      </c>
      <c r="B3239" s="8" t="s">
        <v>64</v>
      </c>
      <c r="C3239" s="63" t="n">
        <f aca="false">IF(Pressupostos!$D$33=1,C3010-C3236*Pressupostos!$C$119*C2993,C3016)</f>
        <v>-0.000625000000000004</v>
      </c>
      <c r="D3239" s="63" t="n">
        <f aca="false">IF(Pressupostos!$D$33=1,D3010-D3236*Pressupostos!$C$119*D2993,D3016)</f>
        <v>-0.000625000000000004</v>
      </c>
      <c r="E3239" s="63" t="n">
        <f aca="false">IF(Pressupostos!$D$33=1,E3010-E3236*Pressupostos!$C$119*E2993,E3016)</f>
        <v>-0.000625000000000004</v>
      </c>
      <c r="F3239" s="63" t="n">
        <f aca="false">IF(Pressupostos!$D$33=1,F3010-F3236*Pressupostos!$C$119*F2993,F3016)</f>
        <v>-0.000625000000000004</v>
      </c>
      <c r="G3239" s="63" t="n">
        <f aca="false">IF(Pressupostos!$D$33=1,G3010-G3236*Pressupostos!$C$119*G2993,G3016)</f>
        <v>-0.000625000000000004</v>
      </c>
      <c r="H3239" s="2" t="s">
        <v>1485</v>
      </c>
    </row>
    <row r="3240" customFormat="false" ht="15" hidden="false" customHeight="false" outlineLevel="1" collapsed="false">
      <c r="A3240" s="7" t="s">
        <v>826</v>
      </c>
      <c r="B3240" s="8" t="s">
        <v>120</v>
      </c>
      <c r="C3240" s="55" t="str">
        <f aca="false">IF(C3239&gt;0,C2929+C3235/(C3239*1000),"n/a")</f>
        <v>n/a</v>
      </c>
      <c r="D3240" s="55" t="str">
        <f aca="false">IF(D3239&gt;0,D2929+D3235/(D3239*1000),"n/a")</f>
        <v>n/a</v>
      </c>
      <c r="E3240" s="55" t="str">
        <f aca="false">IF(E3239&gt;0,E2929+E3235/(E3239*1000),"n/a")</f>
        <v>n/a</v>
      </c>
      <c r="F3240" s="55" t="str">
        <f aca="false">IF(F3239&gt;0,F2929+F3235/(F3239*1000),"n/a")</f>
        <v>n/a</v>
      </c>
      <c r="G3240" s="55" t="str">
        <f aca="false">IF(G3239&gt;0,G2929+G3235/(G3239*1000),"n/a")</f>
        <v>n/a</v>
      </c>
      <c r="H3240" s="2" t="s">
        <v>1486</v>
      </c>
    </row>
    <row r="3241" customFormat="false" ht="15" hidden="false" customHeight="false" outlineLevel="1" collapsed="false">
      <c r="A3241" s="7" t="s">
        <v>827</v>
      </c>
      <c r="B3241" s="8" t="s">
        <v>76</v>
      </c>
      <c r="C3241" s="59" t="n">
        <f aca="false">C3235/(C3097+C3110+C3111)</f>
        <v>1.01098187779986</v>
      </c>
      <c r="D3241" s="59" t="n">
        <f aca="false">D3235/(D3097+D3110+D3111)</f>
        <v>1.09210095176608</v>
      </c>
      <c r="E3241" s="59" t="n">
        <f aca="false">E3235/(E3097+E3110+E3111)</f>
        <v>1.11094637431135</v>
      </c>
      <c r="F3241" s="59" t="n">
        <f aca="false">F3235/(F3097+F3110+F3111)</f>
        <v>1.13775517379457</v>
      </c>
      <c r="G3241" s="59" t="n">
        <f aca="false">G3235/(G3097+G3110+G3111)</f>
        <v>1.16190982625127</v>
      </c>
      <c r="H3241" s="2" t="s">
        <v>1487</v>
      </c>
    </row>
    <row r="3242" customFormat="false" ht="15" hidden="false" customHeight="false" outlineLevel="1" collapsed="false">
      <c r="A3242" s="2" t="s">
        <v>828</v>
      </c>
      <c r="B3242" s="8" t="s">
        <v>76</v>
      </c>
      <c r="C3242" s="60" t="n">
        <f aca="false">Pressupostos!$C$101*Pressupostos!$C$102+Pressupostos!$C$103-Pressupostos!$D$30*Pressupostos!$C$104*Pressupostos!$C$102/(Pressupostos!$C$105*Pressupostos!$C$106)</f>
        <v>0.00354285714285715</v>
      </c>
      <c r="D3242" s="60" t="n">
        <f aca="false">Pressupostos!$C$101*Pressupostos!$C$102+Pressupostos!$C$103-Pressupostos!$D$30*Pressupostos!$C$104*Pressupostos!$C$102/(Pressupostos!$C$105*Pressupostos!$C$106)</f>
        <v>0.00354285714285715</v>
      </c>
      <c r="E3242" s="60" t="n">
        <f aca="false">Pressupostos!$C$101*Pressupostos!$C$102+Pressupostos!$C$103-Pressupostos!$D$30*Pressupostos!$C$104*Pressupostos!$C$102/(Pressupostos!$C$105*Pressupostos!$C$106)</f>
        <v>0.00354285714285715</v>
      </c>
      <c r="F3242" s="60" t="n">
        <f aca="false">Pressupostos!$C$101*Pressupostos!$C$102+Pressupostos!$C$103-Pressupostos!$D$30*Pressupostos!$C$104*Pressupostos!$C$102/(Pressupostos!$C$105*Pressupostos!$C$106)</f>
        <v>0.00354285714285715</v>
      </c>
      <c r="G3242" s="60" t="n">
        <f aca="false">Pressupostos!$C$101*Pressupostos!$C$102+Pressupostos!$C$103-Pressupostos!$D$30*Pressupostos!$C$104*Pressupostos!$C$102/(Pressupostos!$C$105*Pressupostos!$C$106)</f>
        <v>0.00354285714285715</v>
      </c>
      <c r="H3242" s="2" t="s">
        <v>1488</v>
      </c>
    </row>
    <row r="3243" customFormat="false" ht="15" hidden="false" customHeight="false" outlineLevel="1" collapsed="false">
      <c r="A3243" s="7" t="s">
        <v>829</v>
      </c>
      <c r="B3243" s="8" t="s">
        <v>11</v>
      </c>
      <c r="C3243" s="61" t="n">
        <f aca="false">IF(C3242&gt;0,C2942+C3235/C3242,"n/a")</f>
        <v>205453496.488207</v>
      </c>
      <c r="D3243" s="61" t="n">
        <f aca="false">IF(D3242&gt;0,D2942+D3235/D3242,"n/a")</f>
        <v>254388071.681672</v>
      </c>
      <c r="E3243" s="61" t="n">
        <f aca="false">IF(E3242&gt;0,E2942+E3235/E3242,"n/a")</f>
        <v>338330273.372045</v>
      </c>
      <c r="F3243" s="61" t="n">
        <f aca="false">IF(F3242&gt;0,F2942+F3235/F3242,"n/a")</f>
        <v>422133443.737648</v>
      </c>
      <c r="G3243" s="61" t="n">
        <f aca="false">IF(G3242&gt;0,G2942+G3235/G3242,"n/a")</f>
        <v>516992873.58358</v>
      </c>
      <c r="H3243" s="2" t="s">
        <v>1489</v>
      </c>
    </row>
    <row r="3246" customFormat="false" ht="15" hidden="false" customHeight="false" outlineLevel="0" collapsed="false">
      <c r="A3246" s="111" t="s">
        <v>1499</v>
      </c>
      <c r="B3246" s="112"/>
      <c r="C3246" s="112"/>
      <c r="D3246" s="112"/>
      <c r="E3246" s="112"/>
      <c r="F3246" s="112"/>
      <c r="G3246" s="112"/>
      <c r="H3246" s="112"/>
    </row>
    <row r="3247" customFormat="false" ht="15" hidden="false" customHeight="false" outlineLevel="0" collapsed="false">
      <c r="A3247" s="3" t="s">
        <v>1170</v>
      </c>
      <c r="B3247" s="4"/>
      <c r="C3247" s="4"/>
      <c r="D3247" s="4"/>
      <c r="E3247" s="4"/>
      <c r="F3247" s="4"/>
      <c r="G3247" s="4"/>
      <c r="H3247" s="4"/>
    </row>
    <row r="3248" customFormat="false" ht="15" hidden="false" customHeight="false" outlineLevel="1" collapsed="false">
      <c r="A3248" s="7" t="s">
        <v>588</v>
      </c>
      <c r="B3248" s="8"/>
      <c r="C3248" s="52" t="n">
        <v>2027</v>
      </c>
      <c r="D3248" s="52" t="n">
        <v>2028</v>
      </c>
      <c r="E3248" s="52" t="n">
        <v>2029</v>
      </c>
      <c r="F3248" s="52" t="n">
        <v>2030</v>
      </c>
      <c r="G3248" s="52" t="n">
        <v>2031</v>
      </c>
      <c r="H3248" s="2" t="s">
        <v>20</v>
      </c>
    </row>
    <row r="3249" customFormat="false" ht="15" hidden="false" customHeight="false" outlineLevel="0" collapsed="false">
      <c r="A3249" s="3" t="s">
        <v>1171</v>
      </c>
      <c r="B3249" s="4"/>
      <c r="C3249" s="4"/>
      <c r="D3249" s="4"/>
      <c r="E3249" s="4"/>
      <c r="F3249" s="4"/>
      <c r="G3249" s="4"/>
      <c r="H3249" s="4"/>
    </row>
    <row r="3250" customFormat="false" ht="15" hidden="false" customHeight="false" outlineLevel="1" collapsed="false">
      <c r="A3250" s="7" t="s">
        <v>387</v>
      </c>
      <c r="B3250" s="8" t="s">
        <v>123</v>
      </c>
      <c r="C3250" s="61" t="n">
        <f aca="false">(Pressupostos!$C$213*(1+Pressupostos!$C$195))</f>
        <v>52</v>
      </c>
      <c r="D3250" s="61" t="n">
        <f aca="false">(Pressupostos!$D$213*(1+Pressupostos!$C$195))</f>
        <v>234</v>
      </c>
      <c r="E3250" s="61" t="n">
        <f aca="false">(Pressupostos!$E$213*(1+Pressupostos!$C$195))</f>
        <v>845</v>
      </c>
      <c r="F3250" s="61" t="n">
        <f aca="false">(Pressupostos!$F$213*(1+Pressupostos!$C$195))</f>
        <v>1690</v>
      </c>
      <c r="G3250" s="61" t="n">
        <f aca="false">(Pressupostos!$G$213*(1+Pressupostos!$C$195))</f>
        <v>2600</v>
      </c>
      <c r="H3250" s="2" t="s">
        <v>1172</v>
      </c>
    </row>
    <row r="3251" customFormat="false" ht="15" hidden="false" customHeight="false" outlineLevel="1" collapsed="false">
      <c r="A3251" s="7" t="s">
        <v>590</v>
      </c>
      <c r="B3251" s="8" t="s">
        <v>120</v>
      </c>
      <c r="C3251" s="55" t="n">
        <f aca="false">(Pressupostos!$C$219*(1+Pressupostos!$C$195))</f>
        <v>10.4</v>
      </c>
      <c r="D3251" s="55" t="n">
        <f aca="false">(Pressupostos!$D$219*(1+Pressupostos!$C$195))</f>
        <v>48.1</v>
      </c>
      <c r="E3251" s="55" t="n">
        <f aca="false">(Pressupostos!$E$219*(1+Pressupostos!$C$195))</f>
        <v>172.9</v>
      </c>
      <c r="F3251" s="55" t="n">
        <f aca="false">(Pressupostos!$F$219*(1+Pressupostos!$C$195))</f>
        <v>347.1</v>
      </c>
      <c r="G3251" s="55" t="n">
        <f aca="false">(Pressupostos!$G$219*(1+Pressupostos!$C$195))</f>
        <v>533</v>
      </c>
      <c r="H3251" s="2" t="s">
        <v>1173</v>
      </c>
    </row>
    <row r="3252" customFormat="false" ht="15" hidden="false" customHeight="false" outlineLevel="1" collapsed="false">
      <c r="A3252" s="7" t="s">
        <v>591</v>
      </c>
      <c r="B3252" s="8" t="s">
        <v>120</v>
      </c>
      <c r="C3252" s="55" t="n">
        <f aca="false">(Pressupostos!$C$225*(1+Pressupostos!$C$195))</f>
        <v>67.6</v>
      </c>
      <c r="D3252" s="55" t="n">
        <f aca="false">(Pressupostos!$D$225*(1+Pressupostos!$C$195))</f>
        <v>471.9</v>
      </c>
      <c r="E3252" s="55" t="n">
        <f aca="false">(Pressupostos!$E$225*(1+Pressupostos!$C$195))</f>
        <v>932.1</v>
      </c>
      <c r="F3252" s="55" t="n">
        <f aca="false">(Pressupostos!$F$225*(1+Pressupostos!$C$195))</f>
        <v>1537.9</v>
      </c>
      <c r="G3252" s="55" t="n">
        <f aca="false">(Pressupostos!$G$225*(1+Pressupostos!$C$195))</f>
        <v>2327</v>
      </c>
      <c r="H3252" s="2" t="s">
        <v>1174</v>
      </c>
    </row>
    <row r="3253" customFormat="false" ht="15" hidden="false" customHeight="false" outlineLevel="1" collapsed="false">
      <c r="A3253" s="7" t="s">
        <v>398</v>
      </c>
      <c r="B3253" s="8" t="s">
        <v>120</v>
      </c>
      <c r="C3253" s="55" t="n">
        <f aca="false">(Pressupostos!$C$231*(1+Pressupostos!$C$195))</f>
        <v>0</v>
      </c>
      <c r="D3253" s="55" t="n">
        <f aca="false">(Pressupostos!$D$231*(1+Pressupostos!$C$195))</f>
        <v>0</v>
      </c>
      <c r="E3253" s="55" t="n">
        <f aca="false">(Pressupostos!$E$231*(1+Pressupostos!$C$195))</f>
        <v>0</v>
      </c>
      <c r="F3253" s="55" t="n">
        <f aca="false">(Pressupostos!$F$231*(1+Pressupostos!$C$195))</f>
        <v>0</v>
      </c>
      <c r="G3253" s="55" t="n">
        <f aca="false">(Pressupostos!$G$231*(1+Pressupostos!$C$195))</f>
        <v>0</v>
      </c>
      <c r="H3253" s="2" t="s">
        <v>1175</v>
      </c>
    </row>
    <row r="3254" customFormat="false" ht="15" hidden="false" customHeight="false" outlineLevel="1" collapsed="false">
      <c r="A3254" s="7" t="s">
        <v>592</v>
      </c>
      <c r="B3254" s="8" t="s">
        <v>120</v>
      </c>
      <c r="C3254" s="55" t="n">
        <f aca="false">C3253*Pressupostos!$D$33</f>
        <v>0</v>
      </c>
      <c r="D3254" s="55" t="n">
        <f aca="false">D3253*Pressupostos!$D$33</f>
        <v>0</v>
      </c>
      <c r="E3254" s="55" t="n">
        <f aca="false">E3253*Pressupostos!$D$33</f>
        <v>0</v>
      </c>
      <c r="F3254" s="55" t="n">
        <f aca="false">F3253*Pressupostos!$D$33</f>
        <v>0</v>
      </c>
      <c r="G3254" s="55" t="n">
        <f aca="false">G3253*Pressupostos!$D$33</f>
        <v>0</v>
      </c>
      <c r="H3254" s="2" t="s">
        <v>1176</v>
      </c>
    </row>
    <row r="3255" customFormat="false" ht="15" hidden="false" customHeight="false" outlineLevel="1" collapsed="false">
      <c r="A3255" s="7" t="s">
        <v>593</v>
      </c>
      <c r="B3255" s="8" t="s">
        <v>120</v>
      </c>
      <c r="C3255" s="55" t="n">
        <f aca="false">C3253-C3254</f>
        <v>0</v>
      </c>
      <c r="D3255" s="55" t="n">
        <f aca="false">D3253-D3254</f>
        <v>0</v>
      </c>
      <c r="E3255" s="55" t="n">
        <f aca="false">E3253-E3254</f>
        <v>0</v>
      </c>
      <c r="F3255" s="55" t="n">
        <f aca="false">F3253-F3254</f>
        <v>0</v>
      </c>
      <c r="G3255" s="55" t="n">
        <f aca="false">G3253-G3254</f>
        <v>0</v>
      </c>
      <c r="H3255" s="2" t="s">
        <v>1177</v>
      </c>
    </row>
    <row r="3256" customFormat="false" ht="15" hidden="false" customHeight="false" outlineLevel="1" collapsed="false">
      <c r="A3256" s="56" t="s">
        <v>594</v>
      </c>
      <c r="B3256" s="57" t="s">
        <v>120</v>
      </c>
      <c r="C3256" s="58" t="n">
        <f aca="false">C3251+C3252+C3253</f>
        <v>78</v>
      </c>
      <c r="D3256" s="58" t="n">
        <f aca="false">D3251+D3252+D3253</f>
        <v>520</v>
      </c>
      <c r="E3256" s="58" t="n">
        <f aca="false">E3251+E3252+E3253</f>
        <v>1105</v>
      </c>
      <c r="F3256" s="58" t="n">
        <f aca="false">F3251+F3252+F3253</f>
        <v>1885</v>
      </c>
      <c r="G3256" s="58" t="n">
        <f aca="false">G3251+G3252+G3253</f>
        <v>2860</v>
      </c>
      <c r="H3256" s="2" t="s">
        <v>1178</v>
      </c>
    </row>
    <row r="3257" customFormat="false" ht="15" hidden="false" customHeight="false" outlineLevel="1" collapsed="false">
      <c r="A3257" s="7" t="s">
        <v>595</v>
      </c>
      <c r="B3257" s="8" t="s">
        <v>76</v>
      </c>
      <c r="C3257" s="59" t="n">
        <f aca="false">IF(C3256&gt;0,C3251/C3256,0)</f>
        <v>0.133333333333333</v>
      </c>
      <c r="D3257" s="59" t="n">
        <f aca="false">IF(D3256&gt;0,D3251/D3256,0)</f>
        <v>0.0925</v>
      </c>
      <c r="E3257" s="59" t="n">
        <f aca="false">IF(E3256&gt;0,E3251/E3256,0)</f>
        <v>0.156470588235294</v>
      </c>
      <c r="F3257" s="59" t="n">
        <f aca="false">IF(F3256&gt;0,F3251/F3256,0)</f>
        <v>0.184137931034483</v>
      </c>
      <c r="G3257" s="59" t="n">
        <f aca="false">IF(G3256&gt;0,G3251/G3256,0)</f>
        <v>0.186363636363636</v>
      </c>
      <c r="H3257" s="2" t="s">
        <v>1179</v>
      </c>
    </row>
    <row r="3258" customFormat="false" ht="15" hidden="false" customHeight="false" outlineLevel="1" collapsed="false">
      <c r="A3258" s="7" t="s">
        <v>596</v>
      </c>
      <c r="B3258" s="8" t="s">
        <v>76</v>
      </c>
      <c r="C3258" s="60" t="n">
        <f aca="false">C3256/(Pressupostos!$C$76*1000)</f>
        <v>0.000460176991150443</v>
      </c>
      <c r="D3258" s="60" t="n">
        <f aca="false">D3256/(Pressupostos!$C$76*1000)</f>
        <v>0.00306784660766962</v>
      </c>
      <c r="E3258" s="60" t="n">
        <f aca="false">E3256/(Pressupostos!$C$76*1000)</f>
        <v>0.00651917404129794</v>
      </c>
      <c r="F3258" s="60" t="n">
        <f aca="false">F3256/(Pressupostos!$C$76*1000)</f>
        <v>0.0111209439528024</v>
      </c>
      <c r="G3258" s="60" t="n">
        <f aca="false">G3256/(Pressupostos!$C$76*1000)</f>
        <v>0.0168731563421829</v>
      </c>
      <c r="H3258" s="2" t="s">
        <v>1180</v>
      </c>
    </row>
    <row r="3259" customFormat="false" ht="15" hidden="false" customHeight="false" outlineLevel="1" collapsed="false">
      <c r="A3259" s="7" t="s">
        <v>597</v>
      </c>
      <c r="B3259" s="8" t="s">
        <v>123</v>
      </c>
      <c r="C3259" s="55" t="n">
        <f aca="false">C3251/Pressupostos!$C$40+C3252/Pressupostos!$C$47+C3253/Pressupostos!$C$59</f>
        <v>2.77333333333333</v>
      </c>
      <c r="D3259" s="55" t="n">
        <f aca="false">D3251/Pressupostos!$C$40+D3252/Pressupostos!$C$47+D3253/Pressupostos!$C$59</f>
        <v>18.135</v>
      </c>
      <c r="E3259" s="55" t="n">
        <f aca="false">E3251/Pressupostos!$C$40+E3252/Pressupostos!$C$47+E3253/Pressupostos!$C$59</f>
        <v>39.715</v>
      </c>
      <c r="F3259" s="55" t="n">
        <f aca="false">F3251/Pressupostos!$C$40+F3252/Pressupostos!$C$47+F3253/Pressupostos!$C$59</f>
        <v>68.6183333333333</v>
      </c>
      <c r="G3259" s="55" t="n">
        <f aca="false">G3251/Pressupostos!$C$40+G3252/Pressupostos!$C$47+G3253/Pressupostos!$C$59</f>
        <v>104.216666666667</v>
      </c>
      <c r="H3259" s="2" t="s">
        <v>1181</v>
      </c>
    </row>
    <row r="3260" customFormat="false" ht="15" hidden="false" customHeight="false" outlineLevel="0" collapsed="false">
      <c r="A3260" s="3" t="s">
        <v>1182</v>
      </c>
      <c r="B3260" s="4"/>
      <c r="C3260" s="4"/>
      <c r="D3260" s="4"/>
      <c r="E3260" s="4"/>
      <c r="F3260" s="4"/>
      <c r="G3260" s="4"/>
      <c r="H3260" s="4"/>
    </row>
    <row r="3261" customFormat="false" ht="15" hidden="false" customHeight="false" outlineLevel="1" collapsed="false">
      <c r="A3261" s="7" t="s">
        <v>599</v>
      </c>
      <c r="B3261" s="8" t="s">
        <v>202</v>
      </c>
      <c r="C3261" s="61" t="n">
        <f aca="false">(Pressupostos!$C$257*(1+Pressupostos!$C$195))</f>
        <v>195</v>
      </c>
      <c r="D3261" s="61" t="n">
        <f aca="false">(Pressupostos!$D$257*(1+Pressupostos!$C$195))</f>
        <v>780</v>
      </c>
      <c r="E3261" s="61" t="n">
        <f aca="false">(Pressupostos!$E$257*(1+Pressupostos!$C$195))</f>
        <v>1300</v>
      </c>
      <c r="F3261" s="61" t="n">
        <f aca="false">(Pressupostos!$F$257*(1+Pressupostos!$C$195))</f>
        <v>1820</v>
      </c>
      <c r="G3261" s="61" t="n">
        <f aca="false">(Pressupostos!$G$257*(1+Pressupostos!$C$195))</f>
        <v>2340</v>
      </c>
      <c r="H3261" s="2" t="s">
        <v>1183</v>
      </c>
    </row>
    <row r="3262" customFormat="false" ht="15" hidden="false" customHeight="false" outlineLevel="1" collapsed="false">
      <c r="A3262" s="7" t="s">
        <v>599</v>
      </c>
      <c r="B3262" s="8" t="s">
        <v>189</v>
      </c>
      <c r="C3262" s="61" t="n">
        <f aca="false">C3261*Pressupostos!$C$78</f>
        <v>146250</v>
      </c>
      <c r="D3262" s="61" t="n">
        <f aca="false">D3261*Pressupostos!$C$78</f>
        <v>585000</v>
      </c>
      <c r="E3262" s="61" t="n">
        <f aca="false">E3261*Pressupostos!$C$78</f>
        <v>975000</v>
      </c>
      <c r="F3262" s="61" t="n">
        <f aca="false">F3261*Pressupostos!$C$78</f>
        <v>1365000</v>
      </c>
      <c r="G3262" s="61" t="n">
        <f aca="false">G3261*Pressupostos!$C$78</f>
        <v>1755000</v>
      </c>
      <c r="H3262" s="2" t="s">
        <v>1184</v>
      </c>
    </row>
    <row r="3263" customFormat="false" ht="15" hidden="false" customHeight="false" outlineLevel="0" collapsed="false">
      <c r="A3263" s="3" t="s">
        <v>1185</v>
      </c>
      <c r="B3263" s="4"/>
      <c r="C3263" s="4"/>
      <c r="D3263" s="4"/>
      <c r="E3263" s="4"/>
      <c r="F3263" s="4"/>
      <c r="G3263" s="4"/>
      <c r="H3263" s="4"/>
    </row>
    <row r="3264" customFormat="false" ht="15" hidden="false" customHeight="false" outlineLevel="1" collapsed="false">
      <c r="A3264" s="7" t="s">
        <v>601</v>
      </c>
      <c r="B3264" s="8" t="s">
        <v>120</v>
      </c>
      <c r="C3264" s="55" t="n">
        <f aca="false">IF(C3248&lt;Pressupostos!$D$28,0,(Pressupostos!$C$263*(1+Pressupostos!$C$195)))</f>
        <v>0</v>
      </c>
      <c r="D3264" s="55" t="n">
        <f aca="false">IF(D3248&lt;Pressupostos!$D$28,0,(Pressupostos!$D$263*(1+Pressupostos!$C$195)))</f>
        <v>0</v>
      </c>
      <c r="E3264" s="55" t="n">
        <f aca="false">IF(E3248&lt;Pressupostos!$D$28,0,(Pressupostos!$E$263*(1+Pressupostos!$C$195)))</f>
        <v>39</v>
      </c>
      <c r="F3264" s="55" t="n">
        <f aca="false">IF(F3248&lt;Pressupostos!$D$28,0,(Pressupostos!$F$263*(1+Pressupostos!$C$195)))</f>
        <v>78</v>
      </c>
      <c r="G3264" s="55" t="n">
        <f aca="false">IF(G3248&lt;Pressupostos!$D$28,0,(Pressupostos!$G$263*(1+Pressupostos!$C$195)))</f>
        <v>130</v>
      </c>
      <c r="H3264" s="2" t="s">
        <v>1186</v>
      </c>
    </row>
    <row r="3265" customFormat="false" ht="15" hidden="false" customHeight="false" outlineLevel="0" collapsed="false">
      <c r="A3265" s="3" t="s">
        <v>1187</v>
      </c>
      <c r="B3265" s="4"/>
      <c r="C3265" s="4"/>
      <c r="D3265" s="4"/>
      <c r="E3265" s="4"/>
      <c r="F3265" s="4"/>
      <c r="G3265" s="4"/>
      <c r="H3265" s="4"/>
    </row>
    <row r="3266" customFormat="false" ht="15" hidden="false" customHeight="false" outlineLevel="1" collapsed="false">
      <c r="A3266" s="7" t="s">
        <v>603</v>
      </c>
      <c r="B3266" s="8" t="s">
        <v>11</v>
      </c>
      <c r="C3266" s="61" t="n">
        <f aca="false">(Pressupostos!$C$270)</f>
        <v>0</v>
      </c>
      <c r="D3266" s="61" t="n">
        <f aca="false">(Pressupostos!$D$270)</f>
        <v>1000000</v>
      </c>
      <c r="E3266" s="61" t="n">
        <f aca="false">(Pressupostos!$E$270)</f>
        <v>3000000</v>
      </c>
      <c r="F3266" s="61" t="n">
        <f aca="false">(Pressupostos!$F$270)</f>
        <v>6000000</v>
      </c>
      <c r="G3266" s="61" t="n">
        <f aca="false">(Pressupostos!$G$270)</f>
        <v>10000000</v>
      </c>
      <c r="H3266" s="2" t="s">
        <v>1188</v>
      </c>
    </row>
    <row r="3267" customFormat="false" ht="15" hidden="false" customHeight="false" outlineLevel="1" collapsed="false">
      <c r="A3267" s="7" t="s">
        <v>604</v>
      </c>
      <c r="B3267" s="8" t="s">
        <v>120</v>
      </c>
      <c r="C3267" s="55" t="n">
        <f aca="false">C3266/(Pressupostos!$C$105*Pressupostos!$C$106)*Pressupostos!$C$102/1000</f>
        <v>0</v>
      </c>
      <c r="D3267" s="55" t="n">
        <f aca="false">D3266/(Pressupostos!$C$105*Pressupostos!$C$106)*Pressupostos!$C$102/1000</f>
        <v>914.285714285714</v>
      </c>
      <c r="E3267" s="55" t="n">
        <f aca="false">E3266/(Pressupostos!$C$105*Pressupostos!$C$106)*Pressupostos!$C$102/1000</f>
        <v>2742.85714285714</v>
      </c>
      <c r="F3267" s="55" t="n">
        <f aca="false">F3266/(Pressupostos!$C$105*Pressupostos!$C$106)*Pressupostos!$C$102/1000</f>
        <v>5485.71428571429</v>
      </c>
      <c r="G3267" s="55" t="n">
        <f aca="false">G3266/(Pressupostos!$C$105*Pressupostos!$C$106)*Pressupostos!$C$102/1000</f>
        <v>9142.85714285714</v>
      </c>
      <c r="H3267" s="2" t="s">
        <v>1189</v>
      </c>
    </row>
    <row r="3268" customFormat="false" ht="15" hidden="false" customHeight="false" outlineLevel="0" collapsed="false">
      <c r="A3268" s="3" t="s">
        <v>1190</v>
      </c>
      <c r="B3268" s="4"/>
      <c r="C3268" s="4"/>
      <c r="D3268" s="4"/>
      <c r="E3268" s="4"/>
      <c r="F3268" s="4"/>
      <c r="G3268" s="4"/>
      <c r="H3268" s="4"/>
    </row>
    <row r="3269" customFormat="false" ht="15" hidden="false" customHeight="false" outlineLevel="1" collapsed="false">
      <c r="A3269" s="7" t="s">
        <v>669</v>
      </c>
      <c r="B3269" s="8" t="s">
        <v>64</v>
      </c>
      <c r="C3269" s="63" t="n">
        <f aca="false">Pressupostos!$D$10+Pressupostos!$D$11</f>
        <v>3.6</v>
      </c>
      <c r="D3269" s="63" t="n">
        <f aca="false">Pressupostos!$D$10+Pressupostos!$D$11</f>
        <v>3.6</v>
      </c>
      <c r="E3269" s="63" t="n">
        <f aca="false">Pressupostos!$D$10+Pressupostos!$D$11</f>
        <v>3.6</v>
      </c>
      <c r="F3269" s="63" t="n">
        <f aca="false">Pressupostos!$D$10+Pressupostos!$D$11</f>
        <v>3.6</v>
      </c>
      <c r="G3269" s="63" t="n">
        <f aca="false">Pressupostos!$D$10+Pressupostos!$D$11</f>
        <v>3.6</v>
      </c>
      <c r="H3269" s="2" t="s">
        <v>1191</v>
      </c>
    </row>
    <row r="3270" customFormat="false" ht="15" hidden="false" customHeight="false" outlineLevel="1" collapsed="false">
      <c r="A3270" s="7" t="s">
        <v>670</v>
      </c>
      <c r="B3270" s="8" t="s">
        <v>64</v>
      </c>
      <c r="C3270" s="67" t="n">
        <f aca="false">Pressupostos!$D$15</f>
        <v>5.65</v>
      </c>
      <c r="D3270" s="67" t="n">
        <f aca="false">Pressupostos!$D$15</f>
        <v>5.65</v>
      </c>
      <c r="E3270" s="67" t="n">
        <f aca="false">Pressupostos!$D$15</f>
        <v>5.65</v>
      </c>
      <c r="F3270" s="67" t="n">
        <f aca="false">Pressupostos!$D$15</f>
        <v>5.65</v>
      </c>
      <c r="G3270" s="67" t="n">
        <f aca="false">Pressupostos!$D$15</f>
        <v>5.65</v>
      </c>
      <c r="H3270" s="2" t="s">
        <v>1192</v>
      </c>
    </row>
    <row r="3271" customFormat="false" ht="15" hidden="false" customHeight="false" outlineLevel="1" collapsed="false">
      <c r="A3271" s="56" t="s">
        <v>671</v>
      </c>
      <c r="B3271" s="57" t="s">
        <v>64</v>
      </c>
      <c r="C3271" s="68" t="n">
        <f aca="false">C3270*(1-Pressupostos!$D$16)</f>
        <v>5.085</v>
      </c>
      <c r="D3271" s="68" t="n">
        <f aca="false">D3270*(1-Pressupostos!$D$16)</f>
        <v>5.085</v>
      </c>
      <c r="E3271" s="68" t="n">
        <f aca="false">E3270*(1-Pressupostos!$D$16)</f>
        <v>5.085</v>
      </c>
      <c r="F3271" s="68" t="n">
        <f aca="false">F3270*(1-Pressupostos!$D$16)</f>
        <v>5.085</v>
      </c>
      <c r="G3271" s="68" t="n">
        <f aca="false">G3270*(1-Pressupostos!$D$16)</f>
        <v>5.085</v>
      </c>
      <c r="H3271" s="2" t="s">
        <v>1193</v>
      </c>
    </row>
    <row r="3272" customFormat="false" ht="15" hidden="false" customHeight="false" outlineLevel="1" collapsed="false">
      <c r="A3272" s="7" t="s">
        <v>144</v>
      </c>
      <c r="B3272" s="8" t="s">
        <v>64</v>
      </c>
      <c r="C3272" s="67" t="n">
        <f aca="false">Pressupostos!$C$38</f>
        <v>0.55</v>
      </c>
      <c r="D3272" s="67" t="n">
        <f aca="false">Pressupostos!$C$38</f>
        <v>0.55</v>
      </c>
      <c r="E3272" s="67" t="n">
        <f aca="false">Pressupostos!$C$38</f>
        <v>0.55</v>
      </c>
      <c r="F3272" s="67" t="n">
        <f aca="false">Pressupostos!$C$38</f>
        <v>0.55</v>
      </c>
      <c r="G3272" s="67" t="n">
        <f aca="false">Pressupostos!$C$38</f>
        <v>0.55</v>
      </c>
      <c r="H3272" s="2" t="s">
        <v>1194</v>
      </c>
    </row>
    <row r="3273" customFormat="false" ht="15" hidden="false" customHeight="false" outlineLevel="1" collapsed="false">
      <c r="A3273" s="7" t="s">
        <v>215</v>
      </c>
      <c r="B3273" s="8" t="s">
        <v>64</v>
      </c>
      <c r="C3273" s="67" t="n">
        <f aca="false">Pressupostos!$C$238</f>
        <v>0.3</v>
      </c>
      <c r="D3273" s="67" t="n">
        <f aca="false">Pressupostos!$D$238</f>
        <v>0.3</v>
      </c>
      <c r="E3273" s="67" t="n">
        <f aca="false">Pressupostos!$E$238</f>
        <v>0.28</v>
      </c>
      <c r="F3273" s="67" t="n">
        <f aca="false">Pressupostos!$F$238</f>
        <v>0.27</v>
      </c>
      <c r="G3273" s="67" t="n">
        <f aca="false">Pressupostos!$G$238</f>
        <v>0.27</v>
      </c>
      <c r="H3273" s="2" t="s">
        <v>1195</v>
      </c>
    </row>
    <row r="3274" customFormat="false" ht="15" hidden="false" customHeight="false" outlineLevel="1" collapsed="false">
      <c r="A3274" s="7" t="s">
        <v>117</v>
      </c>
      <c r="B3274" s="8" t="s">
        <v>64</v>
      </c>
      <c r="C3274" s="67" t="n">
        <f aca="false">Pressupostos!$C$39</f>
        <v>0.06</v>
      </c>
      <c r="D3274" s="67" t="n">
        <f aca="false">Pressupostos!$C$39</f>
        <v>0.06</v>
      </c>
      <c r="E3274" s="67" t="n">
        <f aca="false">Pressupostos!$C$39</f>
        <v>0.06</v>
      </c>
      <c r="F3274" s="67" t="n">
        <f aca="false">Pressupostos!$C$39</f>
        <v>0.06</v>
      </c>
      <c r="G3274" s="67" t="n">
        <f aca="false">Pressupostos!$C$39</f>
        <v>0.06</v>
      </c>
      <c r="H3274" s="2" t="s">
        <v>1196</v>
      </c>
    </row>
    <row r="3275" customFormat="false" ht="15" hidden="false" customHeight="false" outlineLevel="1" collapsed="false">
      <c r="A3275" s="7" t="s">
        <v>91</v>
      </c>
      <c r="B3275" s="8" t="s">
        <v>79</v>
      </c>
      <c r="C3275" s="69" t="n">
        <f aca="false">Pressupostos!$C$244</f>
        <v>180</v>
      </c>
      <c r="D3275" s="69" t="n">
        <f aca="false">Pressupostos!$D$244</f>
        <v>180</v>
      </c>
      <c r="E3275" s="69" t="n">
        <f aca="false">Pressupostos!$E$244</f>
        <v>45</v>
      </c>
      <c r="F3275" s="69" t="n">
        <f aca="false">Pressupostos!$F$244</f>
        <v>45</v>
      </c>
      <c r="G3275" s="69" t="n">
        <f aca="false">Pressupostos!$G$244</f>
        <v>45</v>
      </c>
      <c r="H3275" s="2" t="s">
        <v>1197</v>
      </c>
    </row>
    <row r="3276" customFormat="false" ht="15" hidden="false" customHeight="false" outlineLevel="1" collapsed="false">
      <c r="A3276" s="7" t="s">
        <v>78</v>
      </c>
      <c r="B3276" s="8" t="s">
        <v>79</v>
      </c>
      <c r="C3276" s="69" t="n">
        <f aca="false">Pressupostos!$D$17</f>
        <v>35</v>
      </c>
      <c r="D3276" s="69" t="n">
        <f aca="false">Pressupostos!$D$17</f>
        <v>35</v>
      </c>
      <c r="E3276" s="69" t="n">
        <f aca="false">Pressupostos!$D$17</f>
        <v>35</v>
      </c>
      <c r="F3276" s="69" t="n">
        <f aca="false">Pressupostos!$D$17</f>
        <v>35</v>
      </c>
      <c r="G3276" s="69" t="n">
        <f aca="false">Pressupostos!$D$17</f>
        <v>35</v>
      </c>
      <c r="H3276" s="2" t="s">
        <v>1198</v>
      </c>
    </row>
    <row r="3277" customFormat="false" ht="15" hidden="false" customHeight="false" outlineLevel="1" collapsed="false">
      <c r="A3277" s="7" t="s">
        <v>490</v>
      </c>
      <c r="B3277" s="8" t="s">
        <v>64</v>
      </c>
      <c r="C3277" s="63" t="n">
        <f aca="false">Pressupostos!$C$66*C3275/30/1000</f>
        <v>0.024</v>
      </c>
      <c r="D3277" s="63" t="n">
        <f aca="false">Pressupostos!$C$66*D3275/30/1000</f>
        <v>0.024</v>
      </c>
      <c r="E3277" s="63" t="n">
        <f aca="false">Pressupostos!$C$66*E3275/30/1000</f>
        <v>0.006</v>
      </c>
      <c r="F3277" s="63" t="n">
        <f aca="false">Pressupostos!$C$66*F3275/30/1000</f>
        <v>0.006</v>
      </c>
      <c r="G3277" s="63" t="n">
        <f aca="false">Pressupostos!$C$66*G3275/30/1000</f>
        <v>0.006</v>
      </c>
      <c r="H3277" s="2" t="s">
        <v>1199</v>
      </c>
    </row>
    <row r="3278" customFormat="false" ht="15" hidden="false" customHeight="false" outlineLevel="1" collapsed="false">
      <c r="A3278" s="7" t="s">
        <v>165</v>
      </c>
      <c r="B3278" s="8" t="s">
        <v>64</v>
      </c>
      <c r="C3278" s="63" t="n">
        <f aca="false">C3269*Pressupostos!$C$67*C3275/365</f>
        <v>0.00355068493150685</v>
      </c>
      <c r="D3278" s="63" t="n">
        <f aca="false">D3269*Pressupostos!$C$67*D3275/365</f>
        <v>0.00355068493150685</v>
      </c>
      <c r="E3278" s="63" t="n">
        <f aca="false">E3269*Pressupostos!$C$67*E3275/365</f>
        <v>0.000887671232876712</v>
      </c>
      <c r="F3278" s="63" t="n">
        <f aca="false">F3269*Pressupostos!$C$67*F3275/365</f>
        <v>0.000887671232876712</v>
      </c>
      <c r="G3278" s="63" t="n">
        <f aca="false">G3269*Pressupostos!$C$67*G3275/365</f>
        <v>0.000887671232876712</v>
      </c>
      <c r="H3278" s="2" t="s">
        <v>1200</v>
      </c>
    </row>
    <row r="3279" customFormat="false" ht="15" hidden="false" customHeight="false" outlineLevel="1" collapsed="false">
      <c r="A3279" s="7" t="s">
        <v>672</v>
      </c>
      <c r="B3279" s="8" t="s">
        <v>64</v>
      </c>
      <c r="C3279" s="63" t="n">
        <f aca="false">Pressupostos!$C$41*Pressupostos!$C$68/(Pressupostos!$C$40*1000)</f>
        <v>0.03</v>
      </c>
      <c r="D3279" s="63" t="n">
        <f aca="false">Pressupostos!$C$41*Pressupostos!$C$68/(Pressupostos!$C$40*1000)</f>
        <v>0.03</v>
      </c>
      <c r="E3279" s="63" t="n">
        <f aca="false">Pressupostos!$C$41*Pressupostos!$C$68/(Pressupostos!$C$40*1000)</f>
        <v>0.03</v>
      </c>
      <c r="F3279" s="63" t="n">
        <f aca="false">Pressupostos!$C$41*Pressupostos!$C$68/(Pressupostos!$C$40*1000)</f>
        <v>0.03</v>
      </c>
      <c r="G3279" s="63" t="n">
        <f aca="false">Pressupostos!$C$41*Pressupostos!$C$68/(Pressupostos!$C$40*1000)</f>
        <v>0.03</v>
      </c>
      <c r="H3279" s="2" t="s">
        <v>1201</v>
      </c>
    </row>
    <row r="3280" customFormat="false" ht="15" hidden="false" customHeight="false" outlineLevel="1" collapsed="false">
      <c r="A3280" s="7" t="s">
        <v>492</v>
      </c>
      <c r="B3280" s="8" t="s">
        <v>64</v>
      </c>
      <c r="C3280" s="63" t="n">
        <f aca="false">Pressupostos!$C$69*C3269</f>
        <v>0.018</v>
      </c>
      <c r="D3280" s="63" t="n">
        <f aca="false">Pressupostos!$C$69*D3269</f>
        <v>0.018</v>
      </c>
      <c r="E3280" s="63" t="n">
        <f aca="false">Pressupostos!$C$69*E3269</f>
        <v>0.018</v>
      </c>
      <c r="F3280" s="63" t="n">
        <f aca="false">Pressupostos!$C$69*F3269</f>
        <v>0.018</v>
      </c>
      <c r="G3280" s="63" t="n">
        <f aca="false">Pressupostos!$C$69*G3269</f>
        <v>0.018</v>
      </c>
      <c r="H3280" s="2" t="s">
        <v>1202</v>
      </c>
    </row>
    <row r="3281" customFormat="false" ht="15" hidden="false" customHeight="false" outlineLevel="1" collapsed="false">
      <c r="A3281" s="7" t="s">
        <v>493</v>
      </c>
      <c r="B3281" s="8" t="s">
        <v>64</v>
      </c>
      <c r="C3281" s="63" t="n">
        <f aca="false">Pressupostos!$C$70*Pressupostos!$C$71*C3275/90</f>
        <v>0.018</v>
      </c>
      <c r="D3281" s="63" t="n">
        <f aca="false">Pressupostos!$C$70*Pressupostos!$C$71*D3275/90</f>
        <v>0.018</v>
      </c>
      <c r="E3281" s="63" t="n">
        <f aca="false">Pressupostos!$C$70*Pressupostos!$C$71*E3275/90</f>
        <v>0.0045</v>
      </c>
      <c r="F3281" s="63" t="n">
        <f aca="false">Pressupostos!$C$70*Pressupostos!$C$71*F3275/90</f>
        <v>0.0045</v>
      </c>
      <c r="G3281" s="63" t="n">
        <f aca="false">Pressupostos!$C$70*Pressupostos!$C$71*G3275/90</f>
        <v>0.0045</v>
      </c>
      <c r="H3281" s="2" t="s">
        <v>1203</v>
      </c>
    </row>
    <row r="3282" customFormat="false" ht="15" hidden="false" customHeight="false" outlineLevel="1" collapsed="false">
      <c r="A3282" s="7" t="s">
        <v>673</v>
      </c>
      <c r="B3282" s="8" t="s">
        <v>64</v>
      </c>
      <c r="C3282" s="63" t="n">
        <f aca="false">Pressupostos!$C$42/(Pressupostos!$C$40*1000)</f>
        <v>0.1</v>
      </c>
      <c r="D3282" s="63" t="n">
        <f aca="false">Pressupostos!$C$42/(Pressupostos!$C$40*1000)</f>
        <v>0.1</v>
      </c>
      <c r="E3282" s="63" t="n">
        <f aca="false">Pressupostos!$C$42/(Pressupostos!$C$40*1000)</f>
        <v>0.1</v>
      </c>
      <c r="F3282" s="63" t="n">
        <f aca="false">Pressupostos!$C$42/(Pressupostos!$C$40*1000)</f>
        <v>0.1</v>
      </c>
      <c r="G3282" s="63" t="n">
        <f aca="false">Pressupostos!$C$42/(Pressupostos!$C$40*1000)</f>
        <v>0.1</v>
      </c>
      <c r="H3282" s="2" t="s">
        <v>1204</v>
      </c>
    </row>
    <row r="3283" customFormat="false" ht="15" hidden="false" customHeight="false" outlineLevel="1" collapsed="false">
      <c r="A3283" s="7" t="s">
        <v>139</v>
      </c>
      <c r="B3283" s="8" t="s">
        <v>64</v>
      </c>
      <c r="C3283" s="67" t="n">
        <f aca="false">Pressupostos!$C$43</f>
        <v>0.01</v>
      </c>
      <c r="D3283" s="67" t="n">
        <f aca="false">Pressupostos!$C$43</f>
        <v>0.01</v>
      </c>
      <c r="E3283" s="67" t="n">
        <f aca="false">Pressupostos!$C$43</f>
        <v>0.01</v>
      </c>
      <c r="F3283" s="67" t="n">
        <f aca="false">Pressupostos!$C$43</f>
        <v>0.01</v>
      </c>
      <c r="G3283" s="67" t="n">
        <f aca="false">Pressupostos!$C$43</f>
        <v>0.01</v>
      </c>
      <c r="H3283" s="2" t="s">
        <v>1205</v>
      </c>
    </row>
    <row r="3284" customFormat="false" ht="15" hidden="false" customHeight="false" outlineLevel="1" collapsed="false">
      <c r="A3284" s="7" t="s">
        <v>81</v>
      </c>
      <c r="B3284" s="8" t="s">
        <v>64</v>
      </c>
      <c r="C3284" s="63" t="n">
        <f aca="false">Pressupostos!$D$18*C3271</f>
        <v>0.03051</v>
      </c>
      <c r="D3284" s="63" t="n">
        <f aca="false">Pressupostos!$D$18*D3271</f>
        <v>0.03051</v>
      </c>
      <c r="E3284" s="63" t="n">
        <f aca="false">Pressupostos!$D$18*E3271</f>
        <v>0.03051</v>
      </c>
      <c r="F3284" s="63" t="n">
        <f aca="false">Pressupostos!$D$18*F3271</f>
        <v>0.03051</v>
      </c>
      <c r="G3284" s="63" t="n">
        <f aca="false">Pressupostos!$D$18*G3271</f>
        <v>0.03051</v>
      </c>
      <c r="H3284" s="2" t="s">
        <v>1206</v>
      </c>
    </row>
    <row r="3285" customFormat="false" ht="15" hidden="false" customHeight="false" outlineLevel="1" collapsed="false">
      <c r="A3285" s="7" t="s">
        <v>674</v>
      </c>
      <c r="B3285" s="8" t="s">
        <v>64</v>
      </c>
      <c r="C3285" s="63" t="n">
        <f aca="false">Pressupostos!$C$73*C3271</f>
        <v>0</v>
      </c>
      <c r="D3285" s="63" t="n">
        <f aca="false">Pressupostos!$C$73*D3271</f>
        <v>0</v>
      </c>
      <c r="E3285" s="63" t="n">
        <f aca="false">Pressupostos!$C$73*E3271</f>
        <v>0</v>
      </c>
      <c r="F3285" s="63" t="n">
        <f aca="false">Pressupostos!$C$73*F3271</f>
        <v>0</v>
      </c>
      <c r="G3285" s="63" t="n">
        <f aca="false">Pressupostos!$C$73*G3271</f>
        <v>0</v>
      </c>
      <c r="H3285" s="2" t="s">
        <v>1207</v>
      </c>
    </row>
    <row r="3286" customFormat="false" ht="15" hidden="false" customHeight="false" outlineLevel="1" collapsed="false">
      <c r="A3286" s="7" t="s">
        <v>675</v>
      </c>
      <c r="B3286" s="8" t="s">
        <v>64</v>
      </c>
      <c r="C3286" s="63" t="n">
        <f aca="false">Pressupostos!$C$288*(C3269+C3272)*(C3275+C3276-Pressupostos!$C$72)/365*Pressupostos!$C$282/Pressupostos!$D$31</f>
        <v>0</v>
      </c>
      <c r="D3286" s="63" t="n">
        <f aca="false">Pressupostos!$D$288*(D3269+D3272)*(D3275+D3276-Pressupostos!$C$72)/365*Pressupostos!$D$282/Pressupostos!$D$31</f>
        <v>0.189308219178082</v>
      </c>
      <c r="E3286" s="63" t="n">
        <f aca="false">Pressupostos!$E$288*(E3269+E3272)*(E3275+E3276-Pressupostos!$C$72)/365*Pressupostos!$E$282/Pressupostos!$D$31</f>
        <v>0.0479666095890411</v>
      </c>
      <c r="F3286" s="63" t="n">
        <f aca="false">Pressupostos!$F$288*(F3269+F3272)*(F3275+F3276-Pressupostos!$C$72)/365*Pressupostos!$F$282/Pressupostos!$D$31</f>
        <v>0.0447688356164384</v>
      </c>
      <c r="G3286" s="63" t="n">
        <f aca="false">Pressupostos!$G$288*(G3269+G3272)*(G3275+G3276-Pressupostos!$C$72)/365*Pressupostos!$G$282/Pressupostos!$D$31</f>
        <v>0.0447688356164384</v>
      </c>
      <c r="H3286" s="2" t="s">
        <v>1208</v>
      </c>
    </row>
    <row r="3287" customFormat="false" ht="15" hidden="false" customHeight="false" outlineLevel="1" collapsed="false">
      <c r="A3287" s="7" t="s">
        <v>676</v>
      </c>
      <c r="B3287" s="8" t="s">
        <v>64</v>
      </c>
      <c r="C3287" s="63" t="n">
        <f aca="false">C3269+C3272+C3273+C3274+C3277+C3278+C3279+C3280+C3281+C3282+C3283+C3284+C3285+C3286</f>
        <v>4.74406068493151</v>
      </c>
      <c r="D3287" s="63" t="n">
        <f aca="false">D3269+D3272+D3273+D3274+D3277+D3278+D3279+D3280+D3281+D3282+D3283+D3284+D3285+D3286</f>
        <v>4.93336890410959</v>
      </c>
      <c r="E3287" s="63" t="n">
        <f aca="false">E3269+E3272+E3273+E3274+E3277+E3278+E3279+E3280+E3281+E3282+E3283+E3284+E3285+E3286</f>
        <v>4.73786428082192</v>
      </c>
      <c r="F3287" s="63" t="n">
        <f aca="false">F3269+F3272+F3273+F3274+F3277+F3278+F3279+F3280+F3281+F3282+F3283+F3284+F3285+F3286</f>
        <v>4.72466650684931</v>
      </c>
      <c r="G3287" s="63" t="n">
        <f aca="false">G3269+G3272+G3273+G3274+G3277+G3278+G3279+G3280+G3281+G3282+G3283+G3284+G3285+G3286</f>
        <v>4.72466650684931</v>
      </c>
      <c r="H3287" s="2" t="s">
        <v>1209</v>
      </c>
    </row>
    <row r="3288" customFormat="false" ht="15" hidden="false" customHeight="false" outlineLevel="1" collapsed="false">
      <c r="A3288" s="56" t="s">
        <v>677</v>
      </c>
      <c r="B3288" s="57" t="s">
        <v>64</v>
      </c>
      <c r="C3288" s="68" t="n">
        <f aca="false">C3271-C3287</f>
        <v>0.340939315068495</v>
      </c>
      <c r="D3288" s="68" t="n">
        <f aca="false">D3271-D3287</f>
        <v>0.151631095890413</v>
      </c>
      <c r="E3288" s="68" t="n">
        <f aca="false">E3271-E3287</f>
        <v>0.347135719178083</v>
      </c>
      <c r="F3288" s="68" t="n">
        <f aca="false">F3271-F3287</f>
        <v>0.360333493150686</v>
      </c>
      <c r="G3288" s="68" t="n">
        <f aca="false">G3271-G3287</f>
        <v>0.360333493150686</v>
      </c>
      <c r="H3288" s="2" t="s">
        <v>1210</v>
      </c>
    </row>
    <row r="3289" customFormat="false" ht="15" hidden="false" customHeight="false" outlineLevel="1" collapsed="false">
      <c r="A3289" s="7" t="s">
        <v>678</v>
      </c>
      <c r="B3289" s="8" t="s">
        <v>76</v>
      </c>
      <c r="C3289" s="59" t="n">
        <f aca="false">IF(C3271&gt;0,C3288/C3271,0)</f>
        <v>0.067048046227826</v>
      </c>
      <c r="D3289" s="59" t="n">
        <f aca="false">IF(D3271&gt;0,D3288/D3271,0)</f>
        <v>0.0298192912272199</v>
      </c>
      <c r="E3289" s="59" t="n">
        <f aca="false">IF(E3271&gt;0,E3288/E3271,0)</f>
        <v>0.0682666114411176</v>
      </c>
      <c r="F3289" s="59" t="n">
        <f aca="false">IF(F3271&gt;0,F3288/F3271,0)</f>
        <v>0.0708620438841074</v>
      </c>
      <c r="G3289" s="59" t="n">
        <f aca="false">IF(G3271&gt;0,G3288/G3271,0)</f>
        <v>0.0708620438841074</v>
      </c>
      <c r="H3289" s="2" t="s">
        <v>1211</v>
      </c>
    </row>
    <row r="3290" customFormat="false" ht="15" hidden="false" customHeight="false" outlineLevel="1" collapsed="false">
      <c r="A3290" s="7" t="s">
        <v>679</v>
      </c>
      <c r="B3290" s="8" t="s">
        <v>64</v>
      </c>
      <c r="C3290" s="63" t="n">
        <f aca="false">(C3269+C3272)*(C3275-Pressupostos!$C$72)/365+C3271*C3276/365</f>
        <v>2.19308219178082</v>
      </c>
      <c r="D3290" s="63" t="n">
        <f aca="false">(D3269+D3272)*(D3275-Pressupostos!$C$72)/365+D3271*D3276/365</f>
        <v>2.19308219178082</v>
      </c>
      <c r="E3290" s="63" t="n">
        <f aca="false">(E3269+E3272)*(E3275-Pressupostos!$C$72)/365+E3271*E3276/365</f>
        <v>0.658150684931507</v>
      </c>
      <c r="F3290" s="63" t="n">
        <f aca="false">(F3269+F3272)*(F3275-Pressupostos!$C$72)/365+F3271*F3276/365</f>
        <v>0.658150684931507</v>
      </c>
      <c r="G3290" s="63" t="n">
        <f aca="false">(G3269+G3272)*(G3275-Pressupostos!$C$72)/365+G3271*G3276/365</f>
        <v>0.658150684931507</v>
      </c>
      <c r="H3290" s="2" t="s">
        <v>1212</v>
      </c>
    </row>
    <row r="3291" customFormat="false" ht="15" hidden="false" customHeight="false" outlineLevel="0" collapsed="false">
      <c r="A3291" s="3" t="s">
        <v>1213</v>
      </c>
      <c r="B3291" s="4"/>
      <c r="C3291" s="4"/>
      <c r="D3291" s="4"/>
      <c r="E3291" s="4"/>
      <c r="F3291" s="4"/>
      <c r="G3291" s="4"/>
      <c r="H3291" s="4"/>
    </row>
    <row r="3292" customFormat="false" ht="15" hidden="false" customHeight="false" outlineLevel="1" collapsed="false">
      <c r="A3292" s="7" t="s">
        <v>669</v>
      </c>
      <c r="B3292" s="8" t="s">
        <v>64</v>
      </c>
      <c r="C3292" s="63" t="n">
        <f aca="false">Pressupostos!$D$10+Pressupostos!$D$12</f>
        <v>3.6</v>
      </c>
      <c r="D3292" s="63" t="n">
        <f aca="false">Pressupostos!$D$10+Pressupostos!$D$12</f>
        <v>3.6</v>
      </c>
      <c r="E3292" s="63" t="n">
        <f aca="false">Pressupostos!$D$10+Pressupostos!$D$12</f>
        <v>3.6</v>
      </c>
      <c r="F3292" s="63" t="n">
        <f aca="false">Pressupostos!$D$10+Pressupostos!$D$12</f>
        <v>3.6</v>
      </c>
      <c r="G3292" s="63" t="n">
        <f aca="false">Pressupostos!$D$10+Pressupostos!$D$12</f>
        <v>3.6</v>
      </c>
      <c r="H3292" s="2" t="s">
        <v>1214</v>
      </c>
    </row>
    <row r="3293" customFormat="false" ht="15" hidden="false" customHeight="false" outlineLevel="1" collapsed="false">
      <c r="A3293" s="7" t="s">
        <v>670</v>
      </c>
      <c r="B3293" s="8" t="s">
        <v>64</v>
      </c>
      <c r="C3293" s="63" t="n">
        <f aca="false">Pressupostos!$D$20+(Pressupostos!$C$196)</f>
        <v>4.55</v>
      </c>
      <c r="D3293" s="63" t="n">
        <f aca="false">Pressupostos!$D$20+(Pressupostos!$C$196)</f>
        <v>4.55</v>
      </c>
      <c r="E3293" s="63" t="n">
        <f aca="false">Pressupostos!$D$20+(Pressupostos!$C$196)</f>
        <v>4.55</v>
      </c>
      <c r="F3293" s="63" t="n">
        <f aca="false">Pressupostos!$D$20+(Pressupostos!$C$196)</f>
        <v>4.55</v>
      </c>
      <c r="G3293" s="63" t="n">
        <f aca="false">Pressupostos!$D$20+(Pressupostos!$C$196)</f>
        <v>4.55</v>
      </c>
      <c r="H3293" s="2" t="s">
        <v>1215</v>
      </c>
    </row>
    <row r="3294" customFormat="false" ht="15" hidden="false" customHeight="false" outlineLevel="1" collapsed="false">
      <c r="A3294" s="56" t="s">
        <v>671</v>
      </c>
      <c r="B3294" s="57" t="s">
        <v>64</v>
      </c>
      <c r="C3294" s="68" t="n">
        <f aca="false">C3293*(1-Pressupostos!$D$22)</f>
        <v>4.55</v>
      </c>
      <c r="D3294" s="68" t="n">
        <f aca="false">D3293*(1-Pressupostos!$D$22)</f>
        <v>4.55</v>
      </c>
      <c r="E3294" s="68" t="n">
        <f aca="false">E3293*(1-Pressupostos!$D$22)</f>
        <v>4.55</v>
      </c>
      <c r="F3294" s="68" t="n">
        <f aca="false">F3293*(1-Pressupostos!$D$22)</f>
        <v>4.55</v>
      </c>
      <c r="G3294" s="68" t="n">
        <f aca="false">G3293*(1-Pressupostos!$D$22)</f>
        <v>4.55</v>
      </c>
      <c r="H3294" s="2" t="s">
        <v>1216</v>
      </c>
    </row>
    <row r="3295" customFormat="false" ht="15" hidden="false" customHeight="false" outlineLevel="1" collapsed="false">
      <c r="A3295" s="7" t="s">
        <v>144</v>
      </c>
      <c r="B3295" s="8" t="s">
        <v>64</v>
      </c>
      <c r="C3295" s="67" t="n">
        <f aca="false">Pressupostos!$C$45</f>
        <v>0.45</v>
      </c>
      <c r="D3295" s="67" t="n">
        <f aca="false">Pressupostos!$C$45</f>
        <v>0.45</v>
      </c>
      <c r="E3295" s="67" t="n">
        <f aca="false">Pressupostos!$C$45</f>
        <v>0.45</v>
      </c>
      <c r="F3295" s="67" t="n">
        <f aca="false">Pressupostos!$C$45</f>
        <v>0.45</v>
      </c>
      <c r="G3295" s="67" t="n">
        <f aca="false">Pressupostos!$C$45</f>
        <v>0.45</v>
      </c>
      <c r="H3295" s="2" t="s">
        <v>1217</v>
      </c>
    </row>
    <row r="3296" customFormat="false" ht="15" hidden="false" customHeight="false" outlineLevel="1" collapsed="false">
      <c r="A3296" s="7" t="s">
        <v>215</v>
      </c>
      <c r="B3296" s="8" t="s">
        <v>64</v>
      </c>
      <c r="C3296" s="67" t="n">
        <f aca="false">Pressupostos!$C$250</f>
        <v>0.1</v>
      </c>
      <c r="D3296" s="67" t="n">
        <f aca="false">Pressupostos!$D$250</f>
        <v>0.1</v>
      </c>
      <c r="E3296" s="67" t="n">
        <f aca="false">Pressupostos!$E$250</f>
        <v>0.09</v>
      </c>
      <c r="F3296" s="67" t="n">
        <f aca="false">Pressupostos!$F$250</f>
        <v>0.09</v>
      </c>
      <c r="G3296" s="67" t="n">
        <f aca="false">Pressupostos!$G$250</f>
        <v>0.09</v>
      </c>
      <c r="H3296" s="2" t="s">
        <v>1218</v>
      </c>
    </row>
    <row r="3297" customFormat="false" ht="15" hidden="false" customHeight="false" outlineLevel="1" collapsed="false">
      <c r="A3297" s="7" t="s">
        <v>117</v>
      </c>
      <c r="B3297" s="8" t="s">
        <v>64</v>
      </c>
      <c r="C3297" s="67" t="n">
        <f aca="false">Pressupostos!$C$46</f>
        <v>0</v>
      </c>
      <c r="D3297" s="67" t="n">
        <f aca="false">Pressupostos!$C$46</f>
        <v>0</v>
      </c>
      <c r="E3297" s="67" t="n">
        <f aca="false">Pressupostos!$C$46</f>
        <v>0</v>
      </c>
      <c r="F3297" s="67" t="n">
        <f aca="false">Pressupostos!$C$46</f>
        <v>0</v>
      </c>
      <c r="G3297" s="67" t="n">
        <f aca="false">Pressupostos!$C$46</f>
        <v>0</v>
      </c>
      <c r="H3297" s="2" t="s">
        <v>1219</v>
      </c>
    </row>
    <row r="3298" customFormat="false" ht="15" hidden="false" customHeight="false" outlineLevel="1" collapsed="false">
      <c r="A3298" s="7" t="s">
        <v>91</v>
      </c>
      <c r="B3298" s="8" t="s">
        <v>79</v>
      </c>
      <c r="C3298" s="69" t="n">
        <f aca="false">Pressupostos!$D$23</f>
        <v>30</v>
      </c>
      <c r="D3298" s="69" t="n">
        <f aca="false">Pressupostos!$D$23</f>
        <v>30</v>
      </c>
      <c r="E3298" s="69" t="n">
        <f aca="false">Pressupostos!$D$23</f>
        <v>30</v>
      </c>
      <c r="F3298" s="69" t="n">
        <f aca="false">Pressupostos!$D$23</f>
        <v>30</v>
      </c>
      <c r="G3298" s="69" t="n">
        <f aca="false">Pressupostos!$D$23</f>
        <v>30</v>
      </c>
      <c r="H3298" s="2" t="s">
        <v>1220</v>
      </c>
    </row>
    <row r="3299" customFormat="false" ht="15" hidden="false" customHeight="false" outlineLevel="1" collapsed="false">
      <c r="A3299" s="7" t="s">
        <v>78</v>
      </c>
      <c r="B3299" s="8" t="s">
        <v>79</v>
      </c>
      <c r="C3299" s="69" t="n">
        <f aca="false">Pressupostos!$D$24</f>
        <v>45</v>
      </c>
      <c r="D3299" s="69" t="n">
        <f aca="false">Pressupostos!$D$24</f>
        <v>45</v>
      </c>
      <c r="E3299" s="69" t="n">
        <f aca="false">Pressupostos!$D$24</f>
        <v>45</v>
      </c>
      <c r="F3299" s="69" t="n">
        <f aca="false">Pressupostos!$D$24</f>
        <v>45</v>
      </c>
      <c r="G3299" s="69" t="n">
        <f aca="false">Pressupostos!$D$24</f>
        <v>45</v>
      </c>
      <c r="H3299" s="2" t="s">
        <v>1221</v>
      </c>
    </row>
    <row r="3300" customFormat="false" ht="15" hidden="false" customHeight="false" outlineLevel="1" collapsed="false">
      <c r="A3300" s="7" t="s">
        <v>490</v>
      </c>
      <c r="B3300" s="8" t="s">
        <v>64</v>
      </c>
      <c r="C3300" s="63" t="n">
        <f aca="false">Pressupostos!$C$66*C3298/30/1000</f>
        <v>0.004</v>
      </c>
      <c r="D3300" s="63" t="n">
        <f aca="false">Pressupostos!$C$66*D3298/30/1000</f>
        <v>0.004</v>
      </c>
      <c r="E3300" s="63" t="n">
        <f aca="false">Pressupostos!$C$66*E3298/30/1000</f>
        <v>0.004</v>
      </c>
      <c r="F3300" s="63" t="n">
        <f aca="false">Pressupostos!$C$66*F3298/30/1000</f>
        <v>0.004</v>
      </c>
      <c r="G3300" s="63" t="n">
        <f aca="false">Pressupostos!$C$66*G3298/30/1000</f>
        <v>0.004</v>
      </c>
      <c r="H3300" s="2" t="s">
        <v>1222</v>
      </c>
    </row>
    <row r="3301" customFormat="false" ht="15" hidden="false" customHeight="false" outlineLevel="1" collapsed="false">
      <c r="A3301" s="7" t="s">
        <v>165</v>
      </c>
      <c r="B3301" s="8" t="s">
        <v>64</v>
      </c>
      <c r="C3301" s="63" t="n">
        <f aca="false">C3292*Pressupostos!$C$67*C3298/365</f>
        <v>0.000591780821917808</v>
      </c>
      <c r="D3301" s="63" t="n">
        <f aca="false">D3292*Pressupostos!$C$67*D3298/365</f>
        <v>0.000591780821917808</v>
      </c>
      <c r="E3301" s="63" t="n">
        <f aca="false">E3292*Pressupostos!$C$67*E3298/365</f>
        <v>0.000591780821917808</v>
      </c>
      <c r="F3301" s="63" t="n">
        <f aca="false">F3292*Pressupostos!$C$67*F3298/365</f>
        <v>0.000591780821917808</v>
      </c>
      <c r="G3301" s="63" t="n">
        <f aca="false">G3292*Pressupostos!$C$67*G3298/365</f>
        <v>0.000591780821917808</v>
      </c>
      <c r="H3301" s="2" t="s">
        <v>1223</v>
      </c>
    </row>
    <row r="3302" customFormat="false" ht="15" hidden="false" customHeight="false" outlineLevel="1" collapsed="false">
      <c r="A3302" s="7" t="s">
        <v>672</v>
      </c>
      <c r="B3302" s="8" t="s">
        <v>64</v>
      </c>
      <c r="C3302" s="63" t="n">
        <f aca="false">Pressupostos!$C$48*Pressupostos!$C$68/(Pressupostos!$C$47*1000)</f>
        <v>0.02</v>
      </c>
      <c r="D3302" s="63" t="n">
        <f aca="false">Pressupostos!$C$48*Pressupostos!$C$68/(Pressupostos!$C$47*1000)</f>
        <v>0.02</v>
      </c>
      <c r="E3302" s="63" t="n">
        <f aca="false">Pressupostos!$C$48*Pressupostos!$C$68/(Pressupostos!$C$47*1000)</f>
        <v>0.02</v>
      </c>
      <c r="F3302" s="63" t="n">
        <f aca="false">Pressupostos!$C$48*Pressupostos!$C$68/(Pressupostos!$C$47*1000)</f>
        <v>0.02</v>
      </c>
      <c r="G3302" s="63" t="n">
        <f aca="false">Pressupostos!$C$48*Pressupostos!$C$68/(Pressupostos!$C$47*1000)</f>
        <v>0.02</v>
      </c>
      <c r="H3302" s="2" t="s">
        <v>1224</v>
      </c>
    </row>
    <row r="3303" customFormat="false" ht="15" hidden="false" customHeight="false" outlineLevel="1" collapsed="false">
      <c r="A3303" s="7" t="s">
        <v>492</v>
      </c>
      <c r="B3303" s="8" t="s">
        <v>64</v>
      </c>
      <c r="C3303" s="63" t="n">
        <f aca="false">Pressupostos!$C$69*C3292</f>
        <v>0.018</v>
      </c>
      <c r="D3303" s="63" t="n">
        <f aca="false">Pressupostos!$C$69*D3292</f>
        <v>0.018</v>
      </c>
      <c r="E3303" s="63" t="n">
        <f aca="false">Pressupostos!$C$69*E3292</f>
        <v>0.018</v>
      </c>
      <c r="F3303" s="63" t="n">
        <f aca="false">Pressupostos!$C$69*F3292</f>
        <v>0.018</v>
      </c>
      <c r="G3303" s="63" t="n">
        <f aca="false">Pressupostos!$C$69*G3292</f>
        <v>0.018</v>
      </c>
      <c r="H3303" s="2" t="s">
        <v>1225</v>
      </c>
    </row>
    <row r="3304" customFormat="false" ht="15" hidden="false" customHeight="false" outlineLevel="1" collapsed="false">
      <c r="A3304" s="7" t="s">
        <v>493</v>
      </c>
      <c r="B3304" s="8" t="s">
        <v>64</v>
      </c>
      <c r="C3304" s="63" t="n">
        <f aca="false">Pressupostos!$C$70*Pressupostos!$C$71*C3298/90</f>
        <v>0.003</v>
      </c>
      <c r="D3304" s="63" t="n">
        <f aca="false">Pressupostos!$C$70*Pressupostos!$C$71*D3298/90</f>
        <v>0.003</v>
      </c>
      <c r="E3304" s="63" t="n">
        <f aca="false">Pressupostos!$C$70*Pressupostos!$C$71*E3298/90</f>
        <v>0.003</v>
      </c>
      <c r="F3304" s="63" t="n">
        <f aca="false">Pressupostos!$C$70*Pressupostos!$C$71*F3298/90</f>
        <v>0.003</v>
      </c>
      <c r="G3304" s="63" t="n">
        <f aca="false">Pressupostos!$C$70*Pressupostos!$C$71*G3298/90</f>
        <v>0.003</v>
      </c>
      <c r="H3304" s="2" t="s">
        <v>1226</v>
      </c>
    </row>
    <row r="3305" customFormat="false" ht="15" hidden="false" customHeight="false" outlineLevel="1" collapsed="false">
      <c r="A3305" s="7" t="s">
        <v>673</v>
      </c>
      <c r="B3305" s="8" t="s">
        <v>64</v>
      </c>
      <c r="C3305" s="63" t="n">
        <f aca="false">Pressupostos!$C$49/(Pressupostos!$C$47*1000)</f>
        <v>0.04</v>
      </c>
      <c r="D3305" s="63" t="n">
        <f aca="false">Pressupostos!$C$49/(Pressupostos!$C$47*1000)</f>
        <v>0.04</v>
      </c>
      <c r="E3305" s="63" t="n">
        <f aca="false">Pressupostos!$C$49/(Pressupostos!$C$47*1000)</f>
        <v>0.04</v>
      </c>
      <c r="F3305" s="63" t="n">
        <f aca="false">Pressupostos!$C$49/(Pressupostos!$C$47*1000)</f>
        <v>0.04</v>
      </c>
      <c r="G3305" s="63" t="n">
        <f aca="false">Pressupostos!$C$49/(Pressupostos!$C$47*1000)</f>
        <v>0.04</v>
      </c>
      <c r="H3305" s="2" t="s">
        <v>1227</v>
      </c>
    </row>
    <row r="3306" customFormat="false" ht="15" hidden="false" customHeight="false" outlineLevel="1" collapsed="false">
      <c r="A3306" s="7" t="s">
        <v>139</v>
      </c>
      <c r="B3306" s="8" t="s">
        <v>64</v>
      </c>
      <c r="C3306" s="67" t="n">
        <f aca="false">Pressupostos!$C$50</f>
        <v>0.005</v>
      </c>
      <c r="D3306" s="67" t="n">
        <f aca="false">Pressupostos!$C$50</f>
        <v>0.005</v>
      </c>
      <c r="E3306" s="67" t="n">
        <f aca="false">Pressupostos!$C$50</f>
        <v>0.005</v>
      </c>
      <c r="F3306" s="67" t="n">
        <f aca="false">Pressupostos!$C$50</f>
        <v>0.005</v>
      </c>
      <c r="G3306" s="67" t="n">
        <f aca="false">Pressupostos!$C$50</f>
        <v>0.005</v>
      </c>
      <c r="H3306" s="2" t="s">
        <v>1228</v>
      </c>
    </row>
    <row r="3307" customFormat="false" ht="15" hidden="false" customHeight="false" outlineLevel="1" collapsed="false">
      <c r="A3307" s="7" t="s">
        <v>81</v>
      </c>
      <c r="B3307" s="8" t="s">
        <v>64</v>
      </c>
      <c r="C3307" s="63" t="n">
        <f aca="false">Pressupostos!$D$25*C3294</f>
        <v>0.01365</v>
      </c>
      <c r="D3307" s="63" t="n">
        <f aca="false">Pressupostos!$D$25*D3294</f>
        <v>0.01365</v>
      </c>
      <c r="E3307" s="63" t="n">
        <f aca="false">Pressupostos!$D$25*E3294</f>
        <v>0.01365</v>
      </c>
      <c r="F3307" s="63" t="n">
        <f aca="false">Pressupostos!$D$25*F3294</f>
        <v>0.01365</v>
      </c>
      <c r="G3307" s="63" t="n">
        <f aca="false">Pressupostos!$D$25*G3294</f>
        <v>0.01365</v>
      </c>
      <c r="H3307" s="2" t="s">
        <v>1229</v>
      </c>
    </row>
    <row r="3308" customFormat="false" ht="15" hidden="false" customHeight="false" outlineLevel="1" collapsed="false">
      <c r="A3308" s="7" t="s">
        <v>674</v>
      </c>
      <c r="B3308" s="8" t="s">
        <v>64</v>
      </c>
      <c r="C3308" s="63" t="n">
        <f aca="false">Pressupostos!$C$73*C3294</f>
        <v>0</v>
      </c>
      <c r="D3308" s="63" t="n">
        <f aca="false">Pressupostos!$C$73*D3294</f>
        <v>0</v>
      </c>
      <c r="E3308" s="63" t="n">
        <f aca="false">Pressupostos!$C$73*E3294</f>
        <v>0</v>
      </c>
      <c r="F3308" s="63" t="n">
        <f aca="false">Pressupostos!$C$73*F3294</f>
        <v>0</v>
      </c>
      <c r="G3308" s="63" t="n">
        <f aca="false">Pressupostos!$C$73*G3294</f>
        <v>0</v>
      </c>
      <c r="H3308" s="2" t="s">
        <v>1230</v>
      </c>
    </row>
    <row r="3309" customFormat="false" ht="15" hidden="false" customHeight="false" outlineLevel="1" collapsed="false">
      <c r="A3309" s="7" t="s">
        <v>675</v>
      </c>
      <c r="B3309" s="8" t="s">
        <v>64</v>
      </c>
      <c r="C3309" s="63" t="n">
        <f aca="false">Pressupostos!$C$288*(C3292+C3295)*(C3298+C3299-Pressupostos!$C$72)/365*Pressupostos!$C$282/Pressupostos!$D$31</f>
        <v>0</v>
      </c>
      <c r="D3309" s="63" t="n">
        <f aca="false">Pressupostos!$D$288*(D3292+D3295)*(D3298+D3299-Pressupostos!$C$72)/365*Pressupostos!$D$282/Pressupostos!$D$31</f>
        <v>0.0449383561643836</v>
      </c>
      <c r="E3309" s="63" t="n">
        <f aca="false">Pressupostos!$E$288*(E3292+E3295)*(E3298+E3299-Pressupostos!$C$72)/365*Pressupostos!$E$282/Pressupostos!$D$31</f>
        <v>0.0421297089041096</v>
      </c>
      <c r="F3309" s="63" t="n">
        <f aca="false">Pressupostos!$F$288*(F3292+F3295)*(F3298+F3299-Pressupostos!$C$72)/365*Pressupostos!$F$282/Pressupostos!$D$31</f>
        <v>0.0393210616438356</v>
      </c>
      <c r="G3309" s="63" t="n">
        <f aca="false">Pressupostos!$G$288*(G3292+G3295)*(G3298+G3299-Pressupostos!$C$72)/365*Pressupostos!$G$282/Pressupostos!$D$31</f>
        <v>0.0393210616438356</v>
      </c>
      <c r="H3309" s="2" t="s">
        <v>1231</v>
      </c>
    </row>
    <row r="3310" customFormat="false" ht="15" hidden="false" customHeight="false" outlineLevel="1" collapsed="false">
      <c r="A3310" s="7" t="s">
        <v>676</v>
      </c>
      <c r="B3310" s="8" t="s">
        <v>64</v>
      </c>
      <c r="C3310" s="63" t="n">
        <f aca="false">C3292+C3295+C3296+C3297+C3300+C3301+C3302+C3303+C3304+C3305+C3306+C3307+C3308+C3309</f>
        <v>4.25424178082192</v>
      </c>
      <c r="D3310" s="63" t="n">
        <f aca="false">D3292+D3295+D3296+D3297+D3300+D3301+D3302+D3303+D3304+D3305+D3306+D3307+D3308+D3309</f>
        <v>4.2991801369863</v>
      </c>
      <c r="E3310" s="63" t="n">
        <f aca="false">E3292+E3295+E3296+E3297+E3300+E3301+E3302+E3303+E3304+E3305+E3306+E3307+E3308+E3309</f>
        <v>4.28637148972603</v>
      </c>
      <c r="F3310" s="63" t="n">
        <f aca="false">F3292+F3295+F3296+F3297+F3300+F3301+F3302+F3303+F3304+F3305+F3306+F3307+F3308+F3309</f>
        <v>4.28356284246575</v>
      </c>
      <c r="G3310" s="63" t="n">
        <f aca="false">G3292+G3295+G3296+G3297+G3300+G3301+G3302+G3303+G3304+G3305+G3306+G3307+G3308+G3309</f>
        <v>4.28356284246575</v>
      </c>
      <c r="H3310" s="2" t="s">
        <v>1232</v>
      </c>
    </row>
    <row r="3311" customFormat="false" ht="15" hidden="false" customHeight="false" outlineLevel="1" collapsed="false">
      <c r="A3311" s="56" t="s">
        <v>677</v>
      </c>
      <c r="B3311" s="57" t="s">
        <v>64</v>
      </c>
      <c r="C3311" s="68" t="n">
        <f aca="false">C3294-C3310</f>
        <v>0.295758219178083</v>
      </c>
      <c r="D3311" s="68" t="n">
        <f aca="false">D3294-D3310</f>
        <v>0.2508198630137</v>
      </c>
      <c r="E3311" s="68" t="n">
        <f aca="false">E3294-E3310</f>
        <v>0.263628510273973</v>
      </c>
      <c r="F3311" s="68" t="n">
        <f aca="false">F3294-F3310</f>
        <v>0.266437157534247</v>
      </c>
      <c r="G3311" s="68" t="n">
        <f aca="false">G3294-G3310</f>
        <v>0.266437157534247</v>
      </c>
      <c r="H3311" s="2" t="s">
        <v>1233</v>
      </c>
    </row>
    <row r="3312" customFormat="false" ht="15" hidden="false" customHeight="false" outlineLevel="1" collapsed="false">
      <c r="A3312" s="7" t="s">
        <v>678</v>
      </c>
      <c r="B3312" s="8" t="s">
        <v>76</v>
      </c>
      <c r="C3312" s="59" t="n">
        <f aca="false">IF(C3294&gt;0,C3311/C3294,0)</f>
        <v>0.0650018064127655</v>
      </c>
      <c r="D3312" s="59" t="n">
        <f aca="false">IF(D3294&gt;0,D3311/D3294,0)</f>
        <v>0.0551252446183955</v>
      </c>
      <c r="E3312" s="59" t="n">
        <f aca="false">IF(E3294&gt;0,E3311/E3294,0)</f>
        <v>0.0579403319283457</v>
      </c>
      <c r="F3312" s="59" t="n">
        <f aca="false">IF(F3294&gt;0,F3311/F3294,0)</f>
        <v>0.0585576170404938</v>
      </c>
      <c r="G3312" s="59" t="n">
        <f aca="false">IF(G3294&gt;0,G3311/G3294,0)</f>
        <v>0.0585576170404938</v>
      </c>
      <c r="H3312" s="2" t="s">
        <v>1234</v>
      </c>
    </row>
    <row r="3313" customFormat="false" ht="15" hidden="false" customHeight="false" outlineLevel="1" collapsed="false">
      <c r="A3313" s="7" t="s">
        <v>679</v>
      </c>
      <c r="B3313" s="8" t="s">
        <v>64</v>
      </c>
      <c r="C3313" s="63" t="n">
        <f aca="false">(C3292+C3295)*(C3298-Pressupostos!$C$72)/365+C3294*C3299/365</f>
        <v>0.560958904109589</v>
      </c>
      <c r="D3313" s="63" t="n">
        <f aca="false">(D3292+D3295)*(D3298-Pressupostos!$C$72)/365+D3294*D3299/365</f>
        <v>0.560958904109589</v>
      </c>
      <c r="E3313" s="63" t="n">
        <f aca="false">(E3292+E3295)*(E3298-Pressupostos!$C$72)/365+E3294*E3299/365</f>
        <v>0.560958904109589</v>
      </c>
      <c r="F3313" s="63" t="n">
        <f aca="false">(F3292+F3295)*(F3298-Pressupostos!$C$72)/365+F3294*F3299/365</f>
        <v>0.560958904109589</v>
      </c>
      <c r="G3313" s="63" t="n">
        <f aca="false">(G3292+G3295)*(G3298-Pressupostos!$C$72)/365+G3294*G3299/365</f>
        <v>0.560958904109589</v>
      </c>
      <c r="H3313" s="2" t="s">
        <v>1235</v>
      </c>
    </row>
    <row r="3314" customFormat="false" ht="15" hidden="false" customHeight="false" outlineLevel="0" collapsed="false">
      <c r="A3314" s="3" t="s">
        <v>1236</v>
      </c>
      <c r="B3314" s="4"/>
      <c r="C3314" s="4"/>
      <c r="D3314" s="4"/>
      <c r="E3314" s="4"/>
      <c r="F3314" s="4"/>
      <c r="G3314" s="4"/>
      <c r="H3314" s="4"/>
    </row>
    <row r="3315" customFormat="false" ht="15" hidden="false" customHeight="false" outlineLevel="1" collapsed="false">
      <c r="A3315" s="7" t="s">
        <v>669</v>
      </c>
      <c r="B3315" s="8" t="s">
        <v>64</v>
      </c>
      <c r="C3315" s="63" t="n">
        <f aca="false">Pressupostos!$D$10+Pressupostos!$D$13</f>
        <v>3.5</v>
      </c>
      <c r="D3315" s="63" t="n">
        <f aca="false">Pressupostos!$D$10+Pressupostos!$D$13</f>
        <v>3.5</v>
      </c>
      <c r="E3315" s="63" t="n">
        <f aca="false">Pressupostos!$D$10+Pressupostos!$D$13</f>
        <v>3.5</v>
      </c>
      <c r="F3315" s="63" t="n">
        <f aca="false">Pressupostos!$D$10+Pressupostos!$D$13</f>
        <v>3.5</v>
      </c>
      <c r="G3315" s="63" t="n">
        <f aca="false">Pressupostos!$D$10+Pressupostos!$D$13</f>
        <v>3.5</v>
      </c>
      <c r="H3315" s="2" t="s">
        <v>1237</v>
      </c>
    </row>
    <row r="3316" customFormat="false" ht="15" hidden="false" customHeight="false" outlineLevel="1" collapsed="false">
      <c r="A3316" s="7" t="s">
        <v>670</v>
      </c>
      <c r="B3316" s="8" t="s">
        <v>64</v>
      </c>
      <c r="C3316" s="63" t="n">
        <f aca="false">Pressupostos!$D$10+Pressupostos!$C$52</f>
        <v>3.65</v>
      </c>
      <c r="D3316" s="63" t="n">
        <f aca="false">Pressupostos!$D$10+Pressupostos!$C$52</f>
        <v>3.65</v>
      </c>
      <c r="E3316" s="63" t="n">
        <f aca="false">Pressupostos!$D$10+Pressupostos!$C$52</f>
        <v>3.65</v>
      </c>
      <c r="F3316" s="63" t="n">
        <f aca="false">Pressupostos!$D$10+Pressupostos!$C$52</f>
        <v>3.65</v>
      </c>
      <c r="G3316" s="63" t="n">
        <f aca="false">Pressupostos!$D$10+Pressupostos!$C$52</f>
        <v>3.65</v>
      </c>
      <c r="H3316" s="2" t="s">
        <v>1238</v>
      </c>
    </row>
    <row r="3317" customFormat="false" ht="15" hidden="false" customHeight="false" outlineLevel="1" collapsed="false">
      <c r="A3317" s="56" t="s">
        <v>671</v>
      </c>
      <c r="B3317" s="57" t="s">
        <v>64</v>
      </c>
      <c r="C3317" s="68" t="n">
        <f aca="false">C3316*(1-Pressupostos!$C$53)</f>
        <v>3.65</v>
      </c>
      <c r="D3317" s="68" t="n">
        <f aca="false">D3316*(1-Pressupostos!$C$53)</f>
        <v>3.65</v>
      </c>
      <c r="E3317" s="68" t="n">
        <f aca="false">E3316*(1-Pressupostos!$C$53)</f>
        <v>3.65</v>
      </c>
      <c r="F3317" s="68" t="n">
        <f aca="false">F3316*(1-Pressupostos!$C$53)</f>
        <v>3.65</v>
      </c>
      <c r="G3317" s="68" t="n">
        <f aca="false">G3316*(1-Pressupostos!$C$53)</f>
        <v>3.65</v>
      </c>
      <c r="H3317" s="2" t="s">
        <v>1239</v>
      </c>
    </row>
    <row r="3318" customFormat="false" ht="15" hidden="false" customHeight="false" outlineLevel="1" collapsed="false">
      <c r="A3318" s="7" t="s">
        <v>144</v>
      </c>
      <c r="B3318" s="8" t="s">
        <v>64</v>
      </c>
      <c r="C3318" s="67" t="n">
        <f aca="false">Pressupostos!$C$54</f>
        <v>0</v>
      </c>
      <c r="D3318" s="67" t="n">
        <f aca="false">Pressupostos!$C$54</f>
        <v>0</v>
      </c>
      <c r="E3318" s="67" t="n">
        <f aca="false">Pressupostos!$C$54</f>
        <v>0</v>
      </c>
      <c r="F3318" s="67" t="n">
        <f aca="false">Pressupostos!$C$54</f>
        <v>0</v>
      </c>
      <c r="G3318" s="67" t="n">
        <f aca="false">Pressupostos!$C$54</f>
        <v>0</v>
      </c>
      <c r="H3318" s="2" t="s">
        <v>1240</v>
      </c>
    </row>
    <row r="3319" customFormat="false" ht="15" hidden="false" customHeight="false" outlineLevel="1" collapsed="false">
      <c r="A3319" s="7" t="s">
        <v>215</v>
      </c>
      <c r="B3319" s="8" t="s">
        <v>64</v>
      </c>
      <c r="C3319" s="67" t="n">
        <f aca="false">Pressupostos!$C$55</f>
        <v>0.04</v>
      </c>
      <c r="D3319" s="67" t="n">
        <f aca="false">Pressupostos!$C$55</f>
        <v>0.04</v>
      </c>
      <c r="E3319" s="67" t="n">
        <f aca="false">Pressupostos!$C$55</f>
        <v>0.04</v>
      </c>
      <c r="F3319" s="67" t="n">
        <f aca="false">Pressupostos!$C$55</f>
        <v>0.04</v>
      </c>
      <c r="G3319" s="67" t="n">
        <f aca="false">Pressupostos!$C$55</f>
        <v>0.04</v>
      </c>
      <c r="H3319" s="2" t="s">
        <v>1241</v>
      </c>
    </row>
    <row r="3320" customFormat="false" ht="15" hidden="false" customHeight="false" outlineLevel="1" collapsed="false">
      <c r="A3320" s="7" t="s">
        <v>117</v>
      </c>
      <c r="B3320" s="8" t="s">
        <v>64</v>
      </c>
      <c r="C3320" s="67" t="n">
        <f aca="false">Pressupostos!$C$56</f>
        <v>0</v>
      </c>
      <c r="D3320" s="67" t="n">
        <f aca="false">Pressupostos!$C$56</f>
        <v>0</v>
      </c>
      <c r="E3320" s="67" t="n">
        <f aca="false">Pressupostos!$C$56</f>
        <v>0</v>
      </c>
      <c r="F3320" s="67" t="n">
        <f aca="false">Pressupostos!$C$56</f>
        <v>0</v>
      </c>
      <c r="G3320" s="67" t="n">
        <f aca="false">Pressupostos!$C$56</f>
        <v>0</v>
      </c>
      <c r="H3320" s="2" t="s">
        <v>1242</v>
      </c>
    </row>
    <row r="3321" customFormat="false" ht="15" hidden="false" customHeight="false" outlineLevel="1" collapsed="false">
      <c r="A3321" s="7" t="s">
        <v>91</v>
      </c>
      <c r="B3321" s="8" t="s">
        <v>79</v>
      </c>
      <c r="C3321" s="69" t="n">
        <f aca="false">Pressupostos!$C$57</f>
        <v>15</v>
      </c>
      <c r="D3321" s="69" t="n">
        <f aca="false">Pressupostos!$C$57</f>
        <v>15</v>
      </c>
      <c r="E3321" s="69" t="n">
        <f aca="false">Pressupostos!$C$57</f>
        <v>15</v>
      </c>
      <c r="F3321" s="69" t="n">
        <f aca="false">Pressupostos!$C$57</f>
        <v>15</v>
      </c>
      <c r="G3321" s="69" t="n">
        <f aca="false">Pressupostos!$C$57</f>
        <v>15</v>
      </c>
      <c r="H3321" s="2" t="s">
        <v>1243</v>
      </c>
    </row>
    <row r="3322" customFormat="false" ht="15" hidden="false" customHeight="false" outlineLevel="1" collapsed="false">
      <c r="A3322" s="7" t="s">
        <v>78</v>
      </c>
      <c r="B3322" s="8" t="s">
        <v>79</v>
      </c>
      <c r="C3322" s="69" t="n">
        <f aca="false">Pressupostos!$C$58</f>
        <v>45</v>
      </c>
      <c r="D3322" s="69" t="n">
        <f aca="false">Pressupostos!$C$58</f>
        <v>45</v>
      </c>
      <c r="E3322" s="69" t="n">
        <f aca="false">Pressupostos!$C$58</f>
        <v>45</v>
      </c>
      <c r="F3322" s="69" t="n">
        <f aca="false">Pressupostos!$C$58</f>
        <v>45</v>
      </c>
      <c r="G3322" s="69" t="n">
        <f aca="false">Pressupostos!$C$58</f>
        <v>45</v>
      </c>
      <c r="H3322" s="2" t="s">
        <v>1244</v>
      </c>
    </row>
    <row r="3323" customFormat="false" ht="15" hidden="false" customHeight="false" outlineLevel="1" collapsed="false">
      <c r="A3323" s="7" t="s">
        <v>490</v>
      </c>
      <c r="B3323" s="8" t="s">
        <v>64</v>
      </c>
      <c r="C3323" s="63" t="n">
        <f aca="false">Pressupostos!$C$66*C3321/30/1000</f>
        <v>0.002</v>
      </c>
      <c r="D3323" s="63" t="n">
        <f aca="false">Pressupostos!$C$66*D3321/30/1000</f>
        <v>0.002</v>
      </c>
      <c r="E3323" s="63" t="n">
        <f aca="false">Pressupostos!$C$66*E3321/30/1000</f>
        <v>0.002</v>
      </c>
      <c r="F3323" s="63" t="n">
        <f aca="false">Pressupostos!$C$66*F3321/30/1000</f>
        <v>0.002</v>
      </c>
      <c r="G3323" s="63" t="n">
        <f aca="false">Pressupostos!$C$66*G3321/30/1000</f>
        <v>0.002</v>
      </c>
      <c r="H3323" s="2" t="s">
        <v>1245</v>
      </c>
    </row>
    <row r="3324" customFormat="false" ht="15" hidden="false" customHeight="false" outlineLevel="1" collapsed="false">
      <c r="A3324" s="7" t="s">
        <v>165</v>
      </c>
      <c r="B3324" s="8" t="s">
        <v>64</v>
      </c>
      <c r="C3324" s="63" t="n">
        <f aca="false">C3315*Pressupostos!$C$67*C3321/365</f>
        <v>0.000287671232876712</v>
      </c>
      <c r="D3324" s="63" t="n">
        <f aca="false">D3315*Pressupostos!$C$67*D3321/365</f>
        <v>0.000287671232876712</v>
      </c>
      <c r="E3324" s="63" t="n">
        <f aca="false">E3315*Pressupostos!$C$67*E3321/365</f>
        <v>0.000287671232876712</v>
      </c>
      <c r="F3324" s="63" t="n">
        <f aca="false">F3315*Pressupostos!$C$67*F3321/365</f>
        <v>0.000287671232876712</v>
      </c>
      <c r="G3324" s="63" t="n">
        <f aca="false">G3315*Pressupostos!$C$67*G3321/365</f>
        <v>0.000287671232876712</v>
      </c>
      <c r="H3324" s="2" t="s">
        <v>1246</v>
      </c>
    </row>
    <row r="3325" customFormat="false" ht="15" hidden="false" customHeight="false" outlineLevel="1" collapsed="false">
      <c r="A3325" s="7" t="s">
        <v>672</v>
      </c>
      <c r="B3325" s="8" t="s">
        <v>64</v>
      </c>
      <c r="C3325" s="63" t="n">
        <f aca="false">Pressupostos!$C$60*Pressupostos!$C$68/(Pressupostos!$C$59*1000)</f>
        <v>0.006</v>
      </c>
      <c r="D3325" s="63" t="n">
        <f aca="false">Pressupostos!$C$60*Pressupostos!$C$68/(Pressupostos!$C$59*1000)</f>
        <v>0.006</v>
      </c>
      <c r="E3325" s="63" t="n">
        <f aca="false">Pressupostos!$C$60*Pressupostos!$C$68/(Pressupostos!$C$59*1000)</f>
        <v>0.006</v>
      </c>
      <c r="F3325" s="63" t="n">
        <f aca="false">Pressupostos!$C$60*Pressupostos!$C$68/(Pressupostos!$C$59*1000)</f>
        <v>0.006</v>
      </c>
      <c r="G3325" s="63" t="n">
        <f aca="false">Pressupostos!$C$60*Pressupostos!$C$68/(Pressupostos!$C$59*1000)</f>
        <v>0.006</v>
      </c>
      <c r="H3325" s="2" t="s">
        <v>1247</v>
      </c>
    </row>
    <row r="3326" customFormat="false" ht="15" hidden="false" customHeight="false" outlineLevel="1" collapsed="false">
      <c r="A3326" s="7" t="s">
        <v>492</v>
      </c>
      <c r="B3326" s="8" t="s">
        <v>64</v>
      </c>
      <c r="C3326" s="63" t="n">
        <f aca="false">Pressupostos!$C$69*C3315</f>
        <v>0.0175</v>
      </c>
      <c r="D3326" s="63" t="n">
        <f aca="false">Pressupostos!$C$69*D3315</f>
        <v>0.0175</v>
      </c>
      <c r="E3326" s="63" t="n">
        <f aca="false">Pressupostos!$C$69*E3315</f>
        <v>0.0175</v>
      </c>
      <c r="F3326" s="63" t="n">
        <f aca="false">Pressupostos!$C$69*F3315</f>
        <v>0.0175</v>
      </c>
      <c r="G3326" s="63" t="n">
        <f aca="false">Pressupostos!$C$69*G3315</f>
        <v>0.0175</v>
      </c>
      <c r="H3326" s="2" t="s">
        <v>1248</v>
      </c>
    </row>
    <row r="3327" customFormat="false" ht="15" hidden="false" customHeight="false" outlineLevel="1" collapsed="false">
      <c r="A3327" s="7" t="s">
        <v>493</v>
      </c>
      <c r="B3327" s="8" t="s">
        <v>64</v>
      </c>
      <c r="C3327" s="63" t="n">
        <f aca="false">Pressupostos!$C$70*Pressupostos!$C$71*C3321/90</f>
        <v>0.0015</v>
      </c>
      <c r="D3327" s="63" t="n">
        <f aca="false">Pressupostos!$C$70*Pressupostos!$C$71*D3321/90</f>
        <v>0.0015</v>
      </c>
      <c r="E3327" s="63" t="n">
        <f aca="false">Pressupostos!$C$70*Pressupostos!$C$71*E3321/90</f>
        <v>0.0015</v>
      </c>
      <c r="F3327" s="63" t="n">
        <f aca="false">Pressupostos!$C$70*Pressupostos!$C$71*F3321/90</f>
        <v>0.0015</v>
      </c>
      <c r="G3327" s="63" t="n">
        <f aca="false">Pressupostos!$C$70*Pressupostos!$C$71*G3321/90</f>
        <v>0.0015</v>
      </c>
      <c r="H3327" s="2" t="s">
        <v>1249</v>
      </c>
    </row>
    <row r="3328" customFormat="false" ht="15" hidden="false" customHeight="false" outlineLevel="1" collapsed="false">
      <c r="A3328" s="7" t="s">
        <v>673</v>
      </c>
      <c r="B3328" s="8" t="s">
        <v>64</v>
      </c>
      <c r="C3328" s="63" t="n">
        <f aca="false">Pressupostos!$C$61/(Pressupostos!$C$59*1000)</f>
        <v>0.012</v>
      </c>
      <c r="D3328" s="63" t="n">
        <f aca="false">Pressupostos!$C$61/(Pressupostos!$C$59*1000)</f>
        <v>0.012</v>
      </c>
      <c r="E3328" s="63" t="n">
        <f aca="false">Pressupostos!$C$61/(Pressupostos!$C$59*1000)</f>
        <v>0.012</v>
      </c>
      <c r="F3328" s="63" t="n">
        <f aca="false">Pressupostos!$C$61/(Pressupostos!$C$59*1000)</f>
        <v>0.012</v>
      </c>
      <c r="G3328" s="63" t="n">
        <f aca="false">Pressupostos!$C$61/(Pressupostos!$C$59*1000)</f>
        <v>0.012</v>
      </c>
      <c r="H3328" s="2" t="s">
        <v>1250</v>
      </c>
    </row>
    <row r="3329" customFormat="false" ht="15" hidden="false" customHeight="false" outlineLevel="1" collapsed="false">
      <c r="A3329" s="7" t="s">
        <v>139</v>
      </c>
      <c r="B3329" s="8" t="s">
        <v>64</v>
      </c>
      <c r="C3329" s="67" t="n">
        <f aca="false">Pressupostos!$C$62</f>
        <v>0.001</v>
      </c>
      <c r="D3329" s="67" t="n">
        <f aca="false">Pressupostos!$C$62</f>
        <v>0.001</v>
      </c>
      <c r="E3329" s="67" t="n">
        <f aca="false">Pressupostos!$C$62</f>
        <v>0.001</v>
      </c>
      <c r="F3329" s="67" t="n">
        <f aca="false">Pressupostos!$C$62</f>
        <v>0.001</v>
      </c>
      <c r="G3329" s="67" t="n">
        <f aca="false">Pressupostos!$C$62</f>
        <v>0.001</v>
      </c>
      <c r="H3329" s="2" t="s">
        <v>1251</v>
      </c>
    </row>
    <row r="3330" customFormat="false" ht="15" hidden="false" customHeight="false" outlineLevel="1" collapsed="false">
      <c r="A3330" s="7" t="s">
        <v>81</v>
      </c>
      <c r="B3330" s="8" t="s">
        <v>64</v>
      </c>
      <c r="C3330" s="63" t="n">
        <f aca="false">Pressupostos!$C$63*C3317</f>
        <v>0.01095</v>
      </c>
      <c r="D3330" s="63" t="n">
        <f aca="false">Pressupostos!$C$63*D3317</f>
        <v>0.01095</v>
      </c>
      <c r="E3330" s="63" t="n">
        <f aca="false">Pressupostos!$C$63*E3317</f>
        <v>0.01095</v>
      </c>
      <c r="F3330" s="63" t="n">
        <f aca="false">Pressupostos!$C$63*F3317</f>
        <v>0.01095</v>
      </c>
      <c r="G3330" s="63" t="n">
        <f aca="false">Pressupostos!$C$63*G3317</f>
        <v>0.01095</v>
      </c>
      <c r="H3330" s="2" t="s">
        <v>1252</v>
      </c>
    </row>
    <row r="3331" customFormat="false" ht="15" hidden="false" customHeight="false" outlineLevel="1" collapsed="false">
      <c r="A3331" s="7" t="s">
        <v>674</v>
      </c>
      <c r="B3331" s="8" t="s">
        <v>64</v>
      </c>
      <c r="C3331" s="63" t="n">
        <f aca="false">Pressupostos!$C$73*C3317</f>
        <v>0</v>
      </c>
      <c r="D3331" s="63" t="n">
        <f aca="false">Pressupostos!$C$73*D3317</f>
        <v>0</v>
      </c>
      <c r="E3331" s="63" t="n">
        <f aca="false">Pressupostos!$C$73*E3317</f>
        <v>0</v>
      </c>
      <c r="F3331" s="63" t="n">
        <f aca="false">Pressupostos!$C$73*F3317</f>
        <v>0</v>
      </c>
      <c r="G3331" s="63" t="n">
        <f aca="false">Pressupostos!$C$73*G3317</f>
        <v>0</v>
      </c>
      <c r="H3331" s="2" t="s">
        <v>1253</v>
      </c>
    </row>
    <row r="3332" customFormat="false" ht="15" hidden="false" customHeight="false" outlineLevel="1" collapsed="false">
      <c r="A3332" s="7" t="s">
        <v>675</v>
      </c>
      <c r="B3332" s="8" t="s">
        <v>64</v>
      </c>
      <c r="C3332" s="63" t="n">
        <f aca="false">Pressupostos!$C$288*(C3315+C3318)*(C3321+C3322-Pressupostos!$C$72)/365*Pressupostos!$C$282/Pressupostos!$D$31</f>
        <v>0</v>
      </c>
      <c r="D3332" s="63" t="n">
        <f aca="false">Pressupostos!$D$288*(D3315+D3318)*(D3321+D3322-Pressupostos!$C$72)/365*Pressupostos!$D$282/Pressupostos!$D$31</f>
        <v>0.0258904109589041</v>
      </c>
      <c r="E3332" s="63" t="n">
        <f aca="false">Pressupostos!$E$288*(E3315+E3318)*(E3321+E3322-Pressupostos!$C$72)/365*Pressupostos!$E$282/Pressupostos!$D$31</f>
        <v>0.0242722602739726</v>
      </c>
      <c r="F3332" s="63" t="n">
        <f aca="false">Pressupostos!$F$288*(F3315+F3318)*(F3321+F3322-Pressupostos!$C$72)/365*Pressupostos!$F$282/Pressupostos!$D$31</f>
        <v>0.0226541095890411</v>
      </c>
      <c r="G3332" s="63" t="n">
        <f aca="false">Pressupostos!$G$288*(G3315+G3318)*(G3321+G3322-Pressupostos!$C$72)/365*Pressupostos!$G$282/Pressupostos!$D$31</f>
        <v>0.0226541095890411</v>
      </c>
      <c r="H3332" s="2" t="s">
        <v>1254</v>
      </c>
    </row>
    <row r="3333" customFormat="false" ht="15" hidden="false" customHeight="false" outlineLevel="1" collapsed="false">
      <c r="A3333" s="7" t="s">
        <v>676</v>
      </c>
      <c r="B3333" s="8" t="s">
        <v>64</v>
      </c>
      <c r="C3333" s="63" t="n">
        <f aca="false">C3315+C3318+C3319+C3320+C3323+C3324+C3325+C3326+C3327+C3328+C3329+C3330+C3331+C3332</f>
        <v>3.59123767123288</v>
      </c>
      <c r="D3333" s="63" t="n">
        <f aca="false">D3315+D3318+D3319+D3320+D3323+D3324+D3325+D3326+D3327+D3328+D3329+D3330+D3331+D3332</f>
        <v>3.61712808219178</v>
      </c>
      <c r="E3333" s="63" t="n">
        <f aca="false">E3315+E3318+E3319+E3320+E3323+E3324+E3325+E3326+E3327+E3328+E3329+E3330+E3331+E3332</f>
        <v>3.61550993150685</v>
      </c>
      <c r="F3333" s="63" t="n">
        <f aca="false">F3315+F3318+F3319+F3320+F3323+F3324+F3325+F3326+F3327+F3328+F3329+F3330+F3331+F3332</f>
        <v>3.61389178082192</v>
      </c>
      <c r="G3333" s="63" t="n">
        <f aca="false">G3315+G3318+G3319+G3320+G3323+G3324+G3325+G3326+G3327+G3328+G3329+G3330+G3331+G3332</f>
        <v>3.61389178082192</v>
      </c>
      <c r="H3333" s="2" t="s">
        <v>1255</v>
      </c>
    </row>
    <row r="3334" customFormat="false" ht="15" hidden="false" customHeight="false" outlineLevel="1" collapsed="false">
      <c r="A3334" s="56" t="s">
        <v>677</v>
      </c>
      <c r="B3334" s="57" t="s">
        <v>64</v>
      </c>
      <c r="C3334" s="68" t="n">
        <f aca="false">C3317-C3333</f>
        <v>0.058762328767124</v>
      </c>
      <c r="D3334" s="68" t="n">
        <f aca="false">D3317-D3333</f>
        <v>0.0328719178082197</v>
      </c>
      <c r="E3334" s="68" t="n">
        <f aca="false">E3317-E3333</f>
        <v>0.0344900684931515</v>
      </c>
      <c r="F3334" s="68" t="n">
        <f aca="false">F3317-F3333</f>
        <v>0.0361082191780828</v>
      </c>
      <c r="G3334" s="68" t="n">
        <f aca="false">G3317-G3333</f>
        <v>0.0361082191780828</v>
      </c>
      <c r="H3334" s="2" t="s">
        <v>1256</v>
      </c>
    </row>
    <row r="3335" customFormat="false" ht="15" hidden="false" customHeight="false" outlineLevel="1" collapsed="false">
      <c r="A3335" s="7" t="s">
        <v>678</v>
      </c>
      <c r="B3335" s="8" t="s">
        <v>76</v>
      </c>
      <c r="C3335" s="59" t="n">
        <f aca="false">IF(C3317&gt;0,C3334/C3317,0)</f>
        <v>0.0160992681553764</v>
      </c>
      <c r="D3335" s="59" t="n">
        <f aca="false">IF(D3317&gt;0,D3334/D3317,0)</f>
        <v>0.00900600487896431</v>
      </c>
      <c r="E3335" s="59" t="n">
        <f aca="false">IF(E3317&gt;0,E3334/E3317,0)</f>
        <v>0.00944933383374014</v>
      </c>
      <c r="F3335" s="59" t="n">
        <f aca="false">IF(F3317&gt;0,F3334/F3317,0)</f>
        <v>0.00989266278851584</v>
      </c>
      <c r="G3335" s="59" t="n">
        <f aca="false">IF(G3317&gt;0,G3334/G3317,0)</f>
        <v>0.00989266278851584</v>
      </c>
      <c r="H3335" s="2" t="s">
        <v>1257</v>
      </c>
    </row>
    <row r="3336" customFormat="false" ht="15" hidden="false" customHeight="false" outlineLevel="1" collapsed="false">
      <c r="A3336" s="7" t="s">
        <v>679</v>
      </c>
      <c r="B3336" s="8" t="s">
        <v>64</v>
      </c>
      <c r="C3336" s="63" t="n">
        <f aca="false">(C3315+C3318)*(C3321-Pressupostos!$C$72)/365+C3317*C3322/365</f>
        <v>0.306164383561644</v>
      </c>
      <c r="D3336" s="63" t="n">
        <f aca="false">(D3315+D3318)*(D3321-Pressupostos!$C$72)/365+D3317*D3322/365</f>
        <v>0.306164383561644</v>
      </c>
      <c r="E3336" s="63" t="n">
        <f aca="false">(E3315+E3318)*(E3321-Pressupostos!$C$72)/365+E3317*E3322/365</f>
        <v>0.306164383561644</v>
      </c>
      <c r="F3336" s="63" t="n">
        <f aca="false">(F3315+F3318)*(F3321-Pressupostos!$C$72)/365+F3317*F3322/365</f>
        <v>0.306164383561644</v>
      </c>
      <c r="G3336" s="63" t="n">
        <f aca="false">(G3315+G3318)*(G3321-Pressupostos!$C$72)/365+G3317*G3322/365</f>
        <v>0.306164383561644</v>
      </c>
      <c r="H3336" s="2" t="s">
        <v>1258</v>
      </c>
    </row>
    <row r="3337" customFormat="false" ht="15" hidden="false" customHeight="false" outlineLevel="0" collapsed="false">
      <c r="A3337" s="3" t="s">
        <v>1259</v>
      </c>
      <c r="B3337" s="4"/>
      <c r="C3337" s="4"/>
      <c r="D3337" s="4"/>
      <c r="E3337" s="4"/>
      <c r="F3337" s="4"/>
      <c r="G3337" s="4"/>
      <c r="H3337" s="4"/>
    </row>
    <row r="3338" customFormat="false" ht="15" hidden="false" customHeight="false" outlineLevel="1" collapsed="false">
      <c r="A3338" s="7" t="s">
        <v>683</v>
      </c>
      <c r="B3338" s="8" t="s">
        <v>64</v>
      </c>
      <c r="C3338" s="63" t="n">
        <f aca="false">Pressupostos!$C$64*Pressupostos!$D$10</f>
        <v>0.02625</v>
      </c>
      <c r="D3338" s="63" t="n">
        <f aca="false">Pressupostos!$C$64*Pressupostos!$D$10</f>
        <v>0.02625</v>
      </c>
      <c r="E3338" s="63" t="n">
        <f aca="false">Pressupostos!$C$64*Pressupostos!$D$10</f>
        <v>0.02625</v>
      </c>
      <c r="F3338" s="63" t="n">
        <f aca="false">Pressupostos!$C$64*Pressupostos!$D$10</f>
        <v>0.02625</v>
      </c>
      <c r="G3338" s="63" t="n">
        <f aca="false">Pressupostos!$C$64*Pressupostos!$D$10</f>
        <v>0.02625</v>
      </c>
      <c r="H3338" s="2" t="s">
        <v>1260</v>
      </c>
    </row>
    <row r="3339" customFormat="false" ht="15" hidden="false" customHeight="false" outlineLevel="1" collapsed="false">
      <c r="A3339" s="7" t="s">
        <v>684</v>
      </c>
      <c r="B3339" s="8" t="s">
        <v>64</v>
      </c>
      <c r="C3339" s="63" t="n">
        <f aca="false">C3328+C3325+C3329</f>
        <v>0.019</v>
      </c>
      <c r="D3339" s="63" t="n">
        <f aca="false">D3328+D3325+D3329</f>
        <v>0.019</v>
      </c>
      <c r="E3339" s="63" t="n">
        <f aca="false">E3328+E3325+E3329</f>
        <v>0.019</v>
      </c>
      <c r="F3339" s="63" t="n">
        <f aca="false">F3328+F3325+F3329</f>
        <v>0.019</v>
      </c>
      <c r="G3339" s="63" t="n">
        <f aca="false">G3328+G3325+G3329</f>
        <v>0.019</v>
      </c>
      <c r="H3339" s="2" t="s">
        <v>1261</v>
      </c>
    </row>
    <row r="3340" customFormat="false" ht="15" hidden="false" customHeight="false" outlineLevel="1" collapsed="false">
      <c r="A3340" s="56" t="s">
        <v>561</v>
      </c>
      <c r="B3340" s="57" t="s">
        <v>64</v>
      </c>
      <c r="C3340" s="68" t="n">
        <f aca="false">C3338-C3339</f>
        <v>0.00725</v>
      </c>
      <c r="D3340" s="68" t="n">
        <f aca="false">D3338-D3339</f>
        <v>0.00725</v>
      </c>
      <c r="E3340" s="68" t="n">
        <f aca="false">E3338-E3339</f>
        <v>0.00725</v>
      </c>
      <c r="F3340" s="68" t="n">
        <f aca="false">F3338-F3339</f>
        <v>0.00725</v>
      </c>
      <c r="G3340" s="68" t="n">
        <f aca="false">G3338-G3339</f>
        <v>0.00725</v>
      </c>
      <c r="H3340" s="2" t="s">
        <v>1262</v>
      </c>
    </row>
    <row r="3341" customFormat="false" ht="15" hidden="false" customHeight="false" outlineLevel="0" collapsed="false">
      <c r="A3341" s="3" t="s">
        <v>1263</v>
      </c>
      <c r="B3341" s="4"/>
      <c r="C3341" s="4"/>
      <c r="D3341" s="4"/>
      <c r="E3341" s="4"/>
      <c r="F3341" s="4"/>
      <c r="G3341" s="4"/>
      <c r="H3341" s="4"/>
    </row>
    <row r="3342" customFormat="false" ht="15" hidden="false" customHeight="false" outlineLevel="1" collapsed="false">
      <c r="A3342" s="7" t="s">
        <v>608</v>
      </c>
      <c r="B3342" s="8" t="s">
        <v>11</v>
      </c>
      <c r="C3342" s="61" t="n">
        <f aca="false">C3251*1000*C3271</f>
        <v>52884</v>
      </c>
      <c r="D3342" s="61" t="n">
        <f aca="false">D3251*1000*D3271</f>
        <v>244588.5</v>
      </c>
      <c r="E3342" s="61" t="n">
        <f aca="false">E3251*1000*E3271</f>
        <v>879196.5</v>
      </c>
      <c r="F3342" s="61" t="n">
        <f aca="false">F3251*1000*F3271</f>
        <v>1765003.5</v>
      </c>
      <c r="G3342" s="61" t="n">
        <f aca="false">G3251*1000*G3271</f>
        <v>2710305</v>
      </c>
      <c r="H3342" s="2" t="s">
        <v>1264</v>
      </c>
    </row>
    <row r="3343" customFormat="false" ht="15" hidden="false" customHeight="false" outlineLevel="1" collapsed="false">
      <c r="A3343" s="7" t="s">
        <v>609</v>
      </c>
      <c r="B3343" s="8" t="s">
        <v>11</v>
      </c>
      <c r="C3343" s="61" t="n">
        <f aca="false">C3252*1000*C3294</f>
        <v>307580</v>
      </c>
      <c r="D3343" s="61" t="n">
        <f aca="false">D3252*1000*D3294</f>
        <v>2147145</v>
      </c>
      <c r="E3343" s="61" t="n">
        <f aca="false">E3252*1000*E3294</f>
        <v>4241055</v>
      </c>
      <c r="F3343" s="61" t="n">
        <f aca="false">F3252*1000*F3294</f>
        <v>6997445</v>
      </c>
      <c r="G3343" s="61" t="n">
        <f aca="false">G3252*1000*G3294</f>
        <v>10587850</v>
      </c>
      <c r="H3343" s="2" t="s">
        <v>1265</v>
      </c>
    </row>
    <row r="3344" customFormat="false" ht="15" hidden="false" customHeight="false" outlineLevel="1" collapsed="false">
      <c r="A3344" s="7" t="s">
        <v>610</v>
      </c>
      <c r="B3344" s="8" t="s">
        <v>11</v>
      </c>
      <c r="C3344" s="61" t="n">
        <f aca="false">C3254*1000*C3317</f>
        <v>0</v>
      </c>
      <c r="D3344" s="61" t="n">
        <f aca="false">D3254*1000*D3317</f>
        <v>0</v>
      </c>
      <c r="E3344" s="61" t="n">
        <f aca="false">E3254*1000*E3317</f>
        <v>0</v>
      </c>
      <c r="F3344" s="61" t="n">
        <f aca="false">F3254*1000*F3317</f>
        <v>0</v>
      </c>
      <c r="G3344" s="61" t="n">
        <f aca="false">G3254*1000*G3317</f>
        <v>0</v>
      </c>
      <c r="H3344" s="2" t="s">
        <v>1266</v>
      </c>
    </row>
    <row r="3345" customFormat="false" ht="15" hidden="false" customHeight="false" outlineLevel="1" collapsed="false">
      <c r="A3345" s="7" t="s">
        <v>611</v>
      </c>
      <c r="B3345" s="8" t="s">
        <v>11</v>
      </c>
      <c r="C3345" s="61" t="n">
        <f aca="false">C3342+C3343+C3344</f>
        <v>360464</v>
      </c>
      <c r="D3345" s="61" t="n">
        <f aca="false">D3342+D3343+D3344</f>
        <v>2391733.5</v>
      </c>
      <c r="E3345" s="61" t="n">
        <f aca="false">E3342+E3343+E3344</f>
        <v>5120251.5</v>
      </c>
      <c r="F3345" s="61" t="n">
        <f aca="false">F3342+F3343+F3344</f>
        <v>8762448.5</v>
      </c>
      <c r="G3345" s="61" t="n">
        <f aca="false">G3342+G3343+G3344</f>
        <v>13298155</v>
      </c>
      <c r="H3345" s="2" t="s">
        <v>1267</v>
      </c>
    </row>
    <row r="3346" customFormat="false" ht="15" hidden="false" customHeight="false" outlineLevel="1" collapsed="false">
      <c r="A3346" s="7" t="s">
        <v>612</v>
      </c>
      <c r="B3346" s="8" t="s">
        <v>11</v>
      </c>
      <c r="C3346" s="61" t="n">
        <f aca="false">C3264*1000*Pressupostos!$C$93</f>
        <v>0</v>
      </c>
      <c r="D3346" s="61" t="n">
        <f aca="false">D3264*1000*Pressupostos!$C$93</f>
        <v>0</v>
      </c>
      <c r="E3346" s="61" t="n">
        <f aca="false">E3264*1000*Pressupostos!$C$93</f>
        <v>306150</v>
      </c>
      <c r="F3346" s="61" t="n">
        <f aca="false">F3264*1000*Pressupostos!$C$93</f>
        <v>612300</v>
      </c>
      <c r="G3346" s="61" t="n">
        <f aca="false">G3264*1000*Pressupostos!$C$93</f>
        <v>1020500</v>
      </c>
      <c r="H3346" s="2" t="s">
        <v>1268</v>
      </c>
    </row>
    <row r="3347" customFormat="false" ht="15" hidden="false" customHeight="false" outlineLevel="1" collapsed="false">
      <c r="A3347" s="2" t="s">
        <v>613</v>
      </c>
      <c r="B3347" s="8" t="s">
        <v>11</v>
      </c>
      <c r="C3347" s="61" t="n">
        <f aca="false">C3262*Pressupostos!$C$80*(1-Pressupostos!$C$81)</f>
        <v>52650</v>
      </c>
      <c r="D3347" s="61" t="n">
        <f aca="false">D3262*Pressupostos!$C$80*(1-Pressupostos!$C$81)</f>
        <v>210600</v>
      </c>
      <c r="E3347" s="61" t="n">
        <f aca="false">E3262*Pressupostos!$C$80*(1-Pressupostos!$C$81)</f>
        <v>351000</v>
      </c>
      <c r="F3347" s="61" t="n">
        <f aca="false">F3262*Pressupostos!$C$80*(1-Pressupostos!$C$81)</f>
        <v>491400</v>
      </c>
      <c r="G3347" s="61" t="n">
        <f aca="false">G3262*Pressupostos!$C$80*(1-Pressupostos!$C$81)</f>
        <v>631800</v>
      </c>
      <c r="H3347" s="2" t="s">
        <v>1269</v>
      </c>
    </row>
    <row r="3348" customFormat="false" ht="15" hidden="false" customHeight="false" outlineLevel="1" collapsed="false">
      <c r="A3348" s="7" t="s">
        <v>614</v>
      </c>
      <c r="B3348" s="8" t="s">
        <v>11</v>
      </c>
      <c r="C3348" s="61" t="n">
        <f aca="false">C3347*Pressupostos!$D$27</f>
        <v>1053</v>
      </c>
      <c r="D3348" s="61" t="n">
        <f aca="false">D3347*Pressupostos!$D$27</f>
        <v>4212</v>
      </c>
      <c r="E3348" s="61" t="n">
        <f aca="false">E3347*Pressupostos!$D$27</f>
        <v>7020</v>
      </c>
      <c r="F3348" s="61" t="n">
        <f aca="false">F3347*Pressupostos!$D$27</f>
        <v>9828</v>
      </c>
      <c r="G3348" s="61" t="n">
        <f aca="false">G3347*Pressupostos!$D$27</f>
        <v>12636</v>
      </c>
      <c r="H3348" s="2" t="s">
        <v>1270</v>
      </c>
    </row>
    <row r="3349" customFormat="false" ht="15" hidden="false" customHeight="false" outlineLevel="1" collapsed="false">
      <c r="A3349" s="7" t="s">
        <v>615</v>
      </c>
      <c r="B3349" s="8" t="s">
        <v>11</v>
      </c>
      <c r="C3349" s="61" t="n">
        <f aca="false">C3255*1000*C3338</f>
        <v>0</v>
      </c>
      <c r="D3349" s="61" t="n">
        <f aca="false">D3255*1000*D3338</f>
        <v>0</v>
      </c>
      <c r="E3349" s="61" t="n">
        <f aca="false">E3255*1000*E3338</f>
        <v>0</v>
      </c>
      <c r="F3349" s="61" t="n">
        <f aca="false">F3255*1000*F3338</f>
        <v>0</v>
      </c>
      <c r="G3349" s="61" t="n">
        <f aca="false">G3255*1000*G3338</f>
        <v>0</v>
      </c>
      <c r="H3349" s="2" t="s">
        <v>1271</v>
      </c>
    </row>
    <row r="3350" customFormat="false" ht="15" hidden="false" customHeight="false" outlineLevel="1" collapsed="false">
      <c r="A3350" s="7" t="s">
        <v>616</v>
      </c>
      <c r="B3350" s="8" t="s">
        <v>11</v>
      </c>
      <c r="C3350" s="61" t="n">
        <f aca="false">C3266*(Pressupostos!$C$101*Pressupostos!$C$102+Pressupostos!$C$103)</f>
        <v>0</v>
      </c>
      <c r="D3350" s="61" t="n">
        <f aca="false">D3266*(Pressupostos!$C$101*Pressupostos!$C$102+Pressupostos!$C$103)</f>
        <v>20000</v>
      </c>
      <c r="E3350" s="61" t="n">
        <f aca="false">E3266*(Pressupostos!$C$101*Pressupostos!$C$102+Pressupostos!$C$103)</f>
        <v>60000</v>
      </c>
      <c r="F3350" s="61" t="n">
        <f aca="false">F3266*(Pressupostos!$C$101*Pressupostos!$C$102+Pressupostos!$C$103)</f>
        <v>120000</v>
      </c>
      <c r="G3350" s="61" t="n">
        <f aca="false">G3266*(Pressupostos!$C$101*Pressupostos!$C$102+Pressupostos!$C$103)</f>
        <v>200000</v>
      </c>
      <c r="H3350" s="2" t="s">
        <v>1272</v>
      </c>
    </row>
    <row r="3351" customFormat="false" ht="15" hidden="false" customHeight="false" outlineLevel="1" collapsed="false">
      <c r="A3351" s="7" t="s">
        <v>617</v>
      </c>
      <c r="B3351" s="8" t="s">
        <v>11</v>
      </c>
      <c r="C3351" s="53" t="n">
        <f aca="false">Pressupostos!$C$275</f>
        <v>0</v>
      </c>
      <c r="D3351" s="53" t="n">
        <f aca="false">Pressupostos!$D$275</f>
        <v>0</v>
      </c>
      <c r="E3351" s="53" t="n">
        <f aca="false">Pressupostos!$E$275</f>
        <v>0</v>
      </c>
      <c r="F3351" s="53" t="n">
        <f aca="false">Pressupostos!$F$275</f>
        <v>10000</v>
      </c>
      <c r="G3351" s="53" t="n">
        <f aca="false">Pressupostos!$G$275</f>
        <v>30000</v>
      </c>
      <c r="H3351" s="2" t="s">
        <v>1273</v>
      </c>
    </row>
    <row r="3352" customFormat="false" ht="15" hidden="false" customHeight="false" outlineLevel="1" collapsed="false">
      <c r="A3352" s="56" t="s">
        <v>618</v>
      </c>
      <c r="B3352" s="57" t="s">
        <v>11</v>
      </c>
      <c r="C3352" s="62" t="n">
        <f aca="false">C3345+C3346+C3348+C3349+C3350+C3351</f>
        <v>361517</v>
      </c>
      <c r="D3352" s="62" t="n">
        <f aca="false">D3345+D3346+D3348+D3349+D3350+D3351</f>
        <v>2415945.5</v>
      </c>
      <c r="E3352" s="62" t="n">
        <f aca="false">E3345+E3346+E3348+E3349+E3350+E3351</f>
        <v>5493421.5</v>
      </c>
      <c r="F3352" s="62" t="n">
        <f aca="false">F3345+F3346+F3348+F3349+F3350+F3351</f>
        <v>9514576.5</v>
      </c>
      <c r="G3352" s="62" t="n">
        <f aca="false">G3345+G3346+G3348+G3349+G3350+G3351</f>
        <v>14561291</v>
      </c>
      <c r="H3352" s="2" t="s">
        <v>1274</v>
      </c>
    </row>
    <row r="3353" customFormat="false" ht="15" hidden="false" customHeight="false" outlineLevel="0" collapsed="false">
      <c r="A3353" s="3" t="s">
        <v>1275</v>
      </c>
      <c r="B3353" s="4"/>
      <c r="C3353" s="4"/>
      <c r="D3353" s="4"/>
      <c r="E3353" s="4"/>
      <c r="F3353" s="4"/>
      <c r="G3353" s="4"/>
      <c r="H3353" s="4"/>
    </row>
    <row r="3354" customFormat="false" ht="15" hidden="false" customHeight="false" outlineLevel="1" collapsed="false">
      <c r="A3354" s="2" t="s">
        <v>620</v>
      </c>
      <c r="B3354" s="8" t="s">
        <v>11</v>
      </c>
      <c r="C3354" s="61" t="n">
        <f aca="false">C3255*1000*Pressupostos!$D$10</f>
        <v>0</v>
      </c>
      <c r="D3354" s="61" t="n">
        <f aca="false">D3255*1000*Pressupostos!$D$10</f>
        <v>0</v>
      </c>
      <c r="E3354" s="61" t="n">
        <f aca="false">E3255*1000*Pressupostos!$D$10</f>
        <v>0</v>
      </c>
      <c r="F3354" s="61" t="n">
        <f aca="false">F3255*1000*Pressupostos!$D$10</f>
        <v>0</v>
      </c>
      <c r="G3354" s="61" t="n">
        <f aca="false">G3255*1000*Pressupostos!$D$10</f>
        <v>0</v>
      </c>
      <c r="H3354" s="2" t="s">
        <v>1276</v>
      </c>
    </row>
    <row r="3355" customFormat="false" ht="15" hidden="false" customHeight="false" outlineLevel="1" collapsed="false">
      <c r="A3355" s="56" t="s">
        <v>621</v>
      </c>
      <c r="B3355" s="57" t="s">
        <v>11</v>
      </c>
      <c r="C3355" s="62" t="n">
        <f aca="false">C3345+C3346+C3347+C3354</f>
        <v>413114</v>
      </c>
      <c r="D3355" s="62" t="n">
        <f aca="false">D3345+D3346+D3347+D3354</f>
        <v>2602333.5</v>
      </c>
      <c r="E3355" s="62" t="n">
        <f aca="false">E3345+E3346+E3347+E3354</f>
        <v>5777401.5</v>
      </c>
      <c r="F3355" s="62" t="n">
        <f aca="false">F3345+F3346+F3347+F3354</f>
        <v>9866148.5</v>
      </c>
      <c r="G3355" s="62" t="n">
        <f aca="false">G3345+G3346+G3347+G3354</f>
        <v>14950455</v>
      </c>
      <c r="H3355" s="2" t="s">
        <v>1277</v>
      </c>
    </row>
    <row r="3356" customFormat="false" ht="15" hidden="false" customHeight="false" outlineLevel="1" collapsed="false">
      <c r="A3356" s="7" t="s">
        <v>622</v>
      </c>
      <c r="B3356" s="8" t="s">
        <v>11</v>
      </c>
      <c r="C3356" s="61" t="n">
        <f aca="false">C3355-C3354-C3344</f>
        <v>413114</v>
      </c>
      <c r="D3356" s="61" t="n">
        <f aca="false">D3355-D3354-D3344</f>
        <v>2602333.5</v>
      </c>
      <c r="E3356" s="61" t="n">
        <f aca="false">E3355-E3354-E3344</f>
        <v>5777401.5</v>
      </c>
      <c r="F3356" s="61" t="n">
        <f aca="false">F3355-F3354-F3344</f>
        <v>9866148.5</v>
      </c>
      <c r="G3356" s="61" t="n">
        <f aca="false">G3355-G3354-G3344</f>
        <v>14950455</v>
      </c>
      <c r="H3356" s="2" t="s">
        <v>1278</v>
      </c>
    </row>
    <row r="3357" customFormat="false" ht="15" hidden="false" customHeight="false" outlineLevel="1" collapsed="false">
      <c r="A3357" s="7" t="s">
        <v>623</v>
      </c>
      <c r="B3357" s="8" t="s">
        <v>11</v>
      </c>
      <c r="C3357" s="61" t="n">
        <f aca="false">C3251*1000*(C3269+C3272)+C3252*1000*(C3292+C3295)+C3254*1000*(C3315+C3318)+C3264*1000*Pressupostos!$C$92</f>
        <v>316940</v>
      </c>
      <c r="D3357" s="61" t="n">
        <f aca="false">D3251*1000*(D3269+D3272)+D3252*1000*(D3292+D3295)+D3254*1000*(D3315+D3318)+D3264*1000*Pressupostos!$C$92</f>
        <v>2110810</v>
      </c>
      <c r="E3357" s="61" t="n">
        <f aca="false">E3251*1000*(E3269+E3272)+E3252*1000*(E3292+E3295)+E3254*1000*(E3315+E3318)+E3264*1000*Pressupostos!$C$92</f>
        <v>4765540</v>
      </c>
      <c r="F3357" s="61" t="n">
        <f aca="false">F3251*1000*(F3269+F3272)+F3252*1000*(F3292+F3295)+F3254*1000*(F3315+F3318)+F3264*1000*Pressupostos!$C$92</f>
        <v>8214960</v>
      </c>
      <c r="G3357" s="61" t="n">
        <f aca="false">G3251*1000*(G3269+G3272)+G3252*1000*(G3292+G3295)+G3254*1000*(G3315+G3318)+G3264*1000*Pressupostos!$C$92</f>
        <v>12546300</v>
      </c>
      <c r="H3357" s="2" t="s">
        <v>1279</v>
      </c>
    </row>
    <row r="3358" customFormat="false" ht="15" hidden="false" customHeight="false" outlineLevel="1" collapsed="false">
      <c r="A3358" s="7" t="s">
        <v>624</v>
      </c>
      <c r="B3358" s="8" t="s">
        <v>11</v>
      </c>
      <c r="C3358" s="61" t="n">
        <f aca="false">C3357*Pressupostos!$C$282</f>
        <v>0</v>
      </c>
      <c r="D3358" s="61" t="n">
        <f aca="false">D3357*Pressupostos!$D$282</f>
        <v>1899729</v>
      </c>
      <c r="E3358" s="61" t="n">
        <f aca="false">E3357*Pressupostos!$E$282</f>
        <v>4288986</v>
      </c>
      <c r="F3358" s="61" t="n">
        <f aca="false">F3357*Pressupostos!$F$282</f>
        <v>7393464</v>
      </c>
      <c r="G3358" s="61" t="n">
        <f aca="false">G3357*Pressupostos!$G$282</f>
        <v>11291670</v>
      </c>
      <c r="H3358" s="2" t="s">
        <v>1280</v>
      </c>
    </row>
    <row r="3359" customFormat="false" ht="15" hidden="false" customHeight="false" outlineLevel="0" collapsed="false">
      <c r="A3359" s="3" t="s">
        <v>1281</v>
      </c>
      <c r="B3359" s="4"/>
      <c r="C3359" s="4"/>
      <c r="D3359" s="4"/>
      <c r="E3359" s="4"/>
      <c r="F3359" s="4"/>
      <c r="G3359" s="4"/>
      <c r="H3359" s="4"/>
    </row>
    <row r="3360" customFormat="false" ht="15" hidden="false" customHeight="false" outlineLevel="1" collapsed="false">
      <c r="A3360" s="7" t="s">
        <v>626</v>
      </c>
      <c r="B3360" s="8" t="s">
        <v>11</v>
      </c>
      <c r="C3360" s="61" t="n">
        <f aca="false">C3251*1000*C3288</f>
        <v>3545.76887671235</v>
      </c>
      <c r="D3360" s="61" t="n">
        <f aca="false">D3251*1000*D3288</f>
        <v>7293.45571232887</v>
      </c>
      <c r="E3360" s="61" t="n">
        <f aca="false">E3251*1000*E3288</f>
        <v>60019.7658458906</v>
      </c>
      <c r="F3360" s="61" t="n">
        <f aca="false">F3251*1000*F3288</f>
        <v>125071.755472603</v>
      </c>
      <c r="G3360" s="61" t="n">
        <f aca="false">G3251*1000*G3288</f>
        <v>192057.751849316</v>
      </c>
      <c r="H3360" s="2" t="s">
        <v>1282</v>
      </c>
    </row>
    <row r="3361" customFormat="false" ht="15" hidden="false" customHeight="false" outlineLevel="1" collapsed="false">
      <c r="A3361" s="7" t="s">
        <v>627</v>
      </c>
      <c r="B3361" s="8" t="s">
        <v>11</v>
      </c>
      <c r="C3361" s="61" t="n">
        <f aca="false">C3252*1000*C3311</f>
        <v>19993.2556164384</v>
      </c>
      <c r="D3361" s="61" t="n">
        <f aca="false">D3252*1000*D3311</f>
        <v>118361.893356165</v>
      </c>
      <c r="E3361" s="61" t="n">
        <f aca="false">E3252*1000*E3311</f>
        <v>245728.13442637</v>
      </c>
      <c r="F3361" s="61" t="n">
        <f aca="false">F3252*1000*F3311</f>
        <v>409753.704571918</v>
      </c>
      <c r="G3361" s="61" t="n">
        <f aca="false">G3252*1000*G3311</f>
        <v>619999.265582192</v>
      </c>
      <c r="H3361" s="2" t="s">
        <v>1283</v>
      </c>
    </row>
    <row r="3362" customFormat="false" ht="15" hidden="false" customHeight="false" outlineLevel="1" collapsed="false">
      <c r="A3362" s="7" t="s">
        <v>628</v>
      </c>
      <c r="B3362" s="8" t="s">
        <v>11</v>
      </c>
      <c r="C3362" s="61" t="n">
        <f aca="false">C3254*1000*C3334+C3255*1000*C3340</f>
        <v>0</v>
      </c>
      <c r="D3362" s="61" t="n">
        <f aca="false">D3254*1000*D3334+D3255*1000*D3340</f>
        <v>0</v>
      </c>
      <c r="E3362" s="61" t="n">
        <f aca="false">E3254*1000*E3334+E3255*1000*E3340</f>
        <v>0</v>
      </c>
      <c r="F3362" s="61" t="n">
        <f aca="false">F3254*1000*F3334+F3255*1000*F3340</f>
        <v>0</v>
      </c>
      <c r="G3362" s="61" t="n">
        <f aca="false">G3254*1000*G3334+G3255*1000*G3340</f>
        <v>0</v>
      </c>
      <c r="H3362" s="2" t="s">
        <v>1284</v>
      </c>
    </row>
    <row r="3363" customFormat="false" ht="15" hidden="false" customHeight="false" outlineLevel="1" collapsed="false">
      <c r="A3363" s="7" t="s">
        <v>629</v>
      </c>
      <c r="B3363" s="8" t="s">
        <v>11</v>
      </c>
      <c r="C3363" s="61" t="n">
        <f aca="false">C3360+C3361+C3362</f>
        <v>23539.0244931508</v>
      </c>
      <c r="D3363" s="61" t="n">
        <f aca="false">D3360+D3361+D3362</f>
        <v>125655.349068494</v>
      </c>
      <c r="E3363" s="61" t="n">
        <f aca="false">E3360+E3361+E3362</f>
        <v>305747.900272261</v>
      </c>
      <c r="F3363" s="61" t="n">
        <f aca="false">F3360+F3361+F3362</f>
        <v>534825.460044521</v>
      </c>
      <c r="G3363" s="61" t="n">
        <f aca="false">G3360+G3361+G3362</f>
        <v>812057.017431508</v>
      </c>
      <c r="H3363" s="2" t="s">
        <v>1285</v>
      </c>
    </row>
    <row r="3364" customFormat="false" ht="15" hidden="false" customHeight="false" outlineLevel="1" collapsed="false">
      <c r="A3364" s="7" t="s">
        <v>630</v>
      </c>
      <c r="B3364" s="8" t="s">
        <v>64</v>
      </c>
      <c r="C3364" s="63" t="n">
        <f aca="false">IF(C3256&gt;0,C3363/(C3256*1000),0)</f>
        <v>0.301782365296805</v>
      </c>
      <c r="D3364" s="63" t="n">
        <f aca="false">IF(D3256&gt;0,D3363/(D3256*1000),0)</f>
        <v>0.241644902054796</v>
      </c>
      <c r="E3364" s="63" t="n">
        <f aca="false">IF(E3256&gt;0,E3363/(E3256*1000),0)</f>
        <v>0.276694932373087</v>
      </c>
      <c r="F3364" s="63" t="n">
        <f aca="false">IF(F3256&gt;0,F3363/(F3256*1000),0)</f>
        <v>0.283727034506377</v>
      </c>
      <c r="G3364" s="63" t="n">
        <f aca="false">IF(G3256&gt;0,G3363/(G3256*1000),0)</f>
        <v>0.283936020080947</v>
      </c>
      <c r="H3364" s="2" t="s">
        <v>1286</v>
      </c>
    </row>
    <row r="3365" customFormat="false" ht="15" hidden="false" customHeight="false" outlineLevel="1" collapsed="false">
      <c r="A3365" s="7" t="s">
        <v>631</v>
      </c>
      <c r="B3365" s="8" t="s">
        <v>76</v>
      </c>
      <c r="C3365" s="59" t="n">
        <f aca="false">IF(C3345&gt;0,C3363/C3345,0)</f>
        <v>0.0653020121098106</v>
      </c>
      <c r="D3365" s="59" t="n">
        <f aca="false">IF(D3345&gt;0,D3363/D3345,0)</f>
        <v>0.0525373537931771</v>
      </c>
      <c r="E3365" s="59" t="n">
        <f aca="false">IF(E3345&gt;0,E3363/E3345,0)</f>
        <v>0.0597134535817744</v>
      </c>
      <c r="F3365" s="59" t="n">
        <f aca="false">IF(F3345&gt;0,F3363/F3345,0)</f>
        <v>0.0610360745680299</v>
      </c>
      <c r="G3365" s="59" t="n">
        <f aca="false">IF(G3345&gt;0,G3363/G3345,0)</f>
        <v>0.0610653897049258</v>
      </c>
      <c r="H3365" s="2" t="s">
        <v>1287</v>
      </c>
    </row>
    <row r="3366" customFormat="false" ht="15" hidden="false" customHeight="false" outlineLevel="1" collapsed="false">
      <c r="A3366" s="2" t="s">
        <v>632</v>
      </c>
      <c r="B3366" s="8" t="s">
        <v>64</v>
      </c>
      <c r="C3366" s="63" t="n">
        <f aca="false">Pressupostos!$C$288*Pressupostos!$C$92*(Pressupostos!$C$95+Pressupostos!$C$96-Pressupostos!$C$97)/365*Pressupostos!$C$282/Pressupostos!$D$31</f>
        <v>0</v>
      </c>
      <c r="D3366" s="63" t="n">
        <f aca="false">Pressupostos!$D$288*Pressupostos!$C$92*(Pressupostos!$C$95+Pressupostos!$C$96-Pressupostos!$C$97)/365*Pressupostos!$D$282/Pressupostos!$D$31</f>
        <v>0.0776712328767123</v>
      </c>
      <c r="E3366" s="63" t="n">
        <f aca="false">Pressupostos!$E$288*Pressupostos!$C$92*(Pressupostos!$C$95+Pressupostos!$C$96-Pressupostos!$C$97)/365*Pressupostos!$E$282/Pressupostos!$D$31</f>
        <v>0.0728167808219178</v>
      </c>
      <c r="F3366" s="63" t="n">
        <f aca="false">Pressupostos!$F$288*Pressupostos!$C$92*(Pressupostos!$C$95+Pressupostos!$C$96-Pressupostos!$C$97)/365*Pressupostos!$F$282/Pressupostos!$D$31</f>
        <v>0.0679623287671233</v>
      </c>
      <c r="G3366" s="63" t="n">
        <f aca="false">Pressupostos!$G$288*Pressupostos!$C$92*(Pressupostos!$C$95+Pressupostos!$C$96-Pressupostos!$C$97)/365*Pressupostos!$G$282/Pressupostos!$D$31</f>
        <v>0.0679623287671233</v>
      </c>
      <c r="H3366" s="2" t="s">
        <v>1288</v>
      </c>
    </row>
    <row r="3367" customFormat="false" ht="15" hidden="false" customHeight="false" outlineLevel="1" collapsed="false">
      <c r="A3367" s="7" t="s">
        <v>600</v>
      </c>
      <c r="B3367" s="8" t="s">
        <v>11</v>
      </c>
      <c r="C3367" s="61" t="n">
        <f aca="false">C3264*1000*(Pressupostos!$C$93-Pressupostos!$C$92-Pressupostos!$C$94-C3366-Pressupostos!$C$98*Pressupostos!$C$93-Pressupostos!$C$99-Pressupostos!$D$29*Pressupostos!$C$92)</f>
        <v>0</v>
      </c>
      <c r="D3367" s="61" t="n">
        <f aca="false">D3264*1000*(Pressupostos!$C$93-Pressupostos!$C$92-Pressupostos!$C$94-D3366-Pressupostos!$C$98*Pressupostos!$C$93-Pressupostos!$C$99-Pressupostos!$D$29*Pressupostos!$C$92)</f>
        <v>0</v>
      </c>
      <c r="E3367" s="61" t="n">
        <f aca="false">E3264*1000*(Pressupostos!$C$93-Pressupostos!$C$92-Pressupostos!$C$94-E3366-Pressupostos!$C$98*Pressupostos!$C$93-Pressupostos!$C$99-Pressupostos!$D$29*Pressupostos!$C$92)</f>
        <v>21453.2455479452</v>
      </c>
      <c r="F3367" s="61" t="n">
        <f aca="false">F3264*1000*(Pressupostos!$C$93-Pressupostos!$C$92-Pressupostos!$C$94-F3366-Pressupostos!$C$98*Pressupostos!$C$93-Pressupostos!$C$99-Pressupostos!$D$29*Pressupostos!$C$92)</f>
        <v>43285.1383561644</v>
      </c>
      <c r="G3367" s="61" t="n">
        <f aca="false">G3264*1000*(Pressupostos!$C$93-Pressupostos!$C$92-Pressupostos!$C$94-G3366-Pressupostos!$C$98*Pressupostos!$C$93-Pressupostos!$C$99-Pressupostos!$D$29*Pressupostos!$C$92)</f>
        <v>72141.8972602739</v>
      </c>
      <c r="H3367" s="2" t="s">
        <v>1289</v>
      </c>
    </row>
    <row r="3368" customFormat="false" ht="15" hidden="false" customHeight="false" outlineLevel="1" collapsed="false">
      <c r="A3368" s="7" t="s">
        <v>633</v>
      </c>
      <c r="B3368" s="8" t="s">
        <v>11</v>
      </c>
      <c r="C3368" s="61" t="n">
        <f aca="false">C3348</f>
        <v>1053</v>
      </c>
      <c r="D3368" s="61" t="n">
        <f aca="false">D3348</f>
        <v>4212</v>
      </c>
      <c r="E3368" s="61" t="n">
        <f aca="false">E3348</f>
        <v>7020</v>
      </c>
      <c r="F3368" s="61" t="n">
        <f aca="false">F3348</f>
        <v>9828</v>
      </c>
      <c r="G3368" s="61" t="n">
        <f aca="false">G3348</f>
        <v>12636</v>
      </c>
      <c r="H3368" s="2" t="s">
        <v>1290</v>
      </c>
    </row>
    <row r="3369" customFormat="false" ht="15" hidden="false" customHeight="false" outlineLevel="1" collapsed="false">
      <c r="A3369" s="7" t="s">
        <v>634</v>
      </c>
      <c r="B3369" s="8" t="s">
        <v>11</v>
      </c>
      <c r="C3369" s="61" t="n">
        <f aca="false">C3350-C3384</f>
        <v>0</v>
      </c>
      <c r="D3369" s="61" t="n">
        <f aca="false">D3350-D3384</f>
        <v>3542.85714285715</v>
      </c>
      <c r="E3369" s="61" t="n">
        <f aca="false">E3350-E3384</f>
        <v>10628.5714285714</v>
      </c>
      <c r="F3369" s="61" t="n">
        <f aca="false">F3350-F3384</f>
        <v>21257.1428571429</v>
      </c>
      <c r="G3369" s="61" t="n">
        <f aca="false">G3350-G3384</f>
        <v>35428.5714285714</v>
      </c>
      <c r="H3369" s="2" t="s">
        <v>1291</v>
      </c>
    </row>
    <row r="3370" customFormat="false" ht="15" hidden="false" customHeight="false" outlineLevel="1" collapsed="false">
      <c r="A3370" s="7" t="s">
        <v>617</v>
      </c>
      <c r="B3370" s="8" t="s">
        <v>11</v>
      </c>
      <c r="C3370" s="61" t="n">
        <f aca="false">C3351</f>
        <v>0</v>
      </c>
      <c r="D3370" s="61" t="n">
        <f aca="false">D3351</f>
        <v>0</v>
      </c>
      <c r="E3370" s="61" t="n">
        <f aca="false">E3351</f>
        <v>0</v>
      </c>
      <c r="F3370" s="61" t="n">
        <f aca="false">F3351</f>
        <v>10000</v>
      </c>
      <c r="G3370" s="61" t="n">
        <f aca="false">G3351</f>
        <v>30000</v>
      </c>
      <c r="H3370" s="2" t="s">
        <v>1292</v>
      </c>
    </row>
    <row r="3371" customFormat="false" ht="15" hidden="false" customHeight="false" outlineLevel="1" collapsed="false">
      <c r="A3371" s="56" t="s">
        <v>635</v>
      </c>
      <c r="B3371" s="57" t="s">
        <v>11</v>
      </c>
      <c r="C3371" s="62" t="n">
        <f aca="false">C3363+C3367+C3368+C3369+C3370</f>
        <v>24592.0244931508</v>
      </c>
      <c r="D3371" s="62" t="n">
        <f aca="false">D3363+D3367+D3368+D3369+D3370</f>
        <v>133410.206211351</v>
      </c>
      <c r="E3371" s="62" t="n">
        <f aca="false">E3363+E3367+E3368+E3369+E3370</f>
        <v>344849.717248777</v>
      </c>
      <c r="F3371" s="62" t="n">
        <f aca="false">F3363+F3367+F3368+F3369+F3370</f>
        <v>619195.741257829</v>
      </c>
      <c r="G3371" s="62" t="n">
        <f aca="false">G3363+G3367+G3368+G3369+G3370</f>
        <v>962263.486120354</v>
      </c>
      <c r="H3371" s="2" t="s">
        <v>1293</v>
      </c>
    </row>
    <row r="3372" customFormat="false" ht="15" hidden="false" customHeight="false" outlineLevel="0" collapsed="false">
      <c r="A3372" s="3" t="s">
        <v>1294</v>
      </c>
      <c r="B3372" s="4"/>
      <c r="C3372" s="4"/>
      <c r="D3372" s="4"/>
      <c r="E3372" s="4"/>
      <c r="F3372" s="4"/>
      <c r="G3372" s="4"/>
      <c r="H3372" s="4"/>
    </row>
    <row r="3373" customFormat="false" ht="15" hidden="false" customHeight="false" outlineLevel="1" collapsed="false">
      <c r="A3373" s="7" t="s">
        <v>686</v>
      </c>
      <c r="B3373" s="8" t="s">
        <v>11</v>
      </c>
      <c r="C3373" s="61" t="n">
        <f aca="false">C3251*1000*(C3269+C3272)+C3252*1000*(C3292+C3295)+C3254*1000*(C3315+C3318)</f>
        <v>316940</v>
      </c>
      <c r="D3373" s="61" t="n">
        <f aca="false">D3251*1000*(D3269+D3272)+D3252*1000*(D3292+D3295)+D3254*1000*(D3315+D3318)</f>
        <v>2110810</v>
      </c>
      <c r="E3373" s="61" t="n">
        <f aca="false">E3251*1000*(E3269+E3272)+E3252*1000*(E3292+E3295)+E3254*1000*(E3315+E3318)</f>
        <v>4492540</v>
      </c>
      <c r="F3373" s="61" t="n">
        <f aca="false">F3251*1000*(F3269+F3272)+F3252*1000*(F3292+F3295)+F3254*1000*(F3315+F3318)</f>
        <v>7668960</v>
      </c>
      <c r="G3373" s="61" t="n">
        <f aca="false">G3251*1000*(G3269+G3272)+G3252*1000*(G3292+G3295)+G3254*1000*(G3315+G3318)</f>
        <v>11636300</v>
      </c>
      <c r="H3373" s="2" t="s">
        <v>1295</v>
      </c>
    </row>
    <row r="3374" customFormat="false" ht="15" hidden="false" customHeight="false" outlineLevel="1" collapsed="false">
      <c r="A3374" s="7" t="s">
        <v>687</v>
      </c>
      <c r="B3374" s="8" t="s">
        <v>11</v>
      </c>
      <c r="C3374" s="61" t="n">
        <f aca="false">C3264*1000*Pressupostos!$C$92</f>
        <v>0</v>
      </c>
      <c r="D3374" s="61" t="n">
        <f aca="false">D3264*1000*Pressupostos!$C$92</f>
        <v>0</v>
      </c>
      <c r="E3374" s="61" t="n">
        <f aca="false">E3264*1000*Pressupostos!$C$92</f>
        <v>273000</v>
      </c>
      <c r="F3374" s="61" t="n">
        <f aca="false">F3264*1000*Pressupostos!$C$92</f>
        <v>546000</v>
      </c>
      <c r="G3374" s="61" t="n">
        <f aca="false">G3264*1000*Pressupostos!$C$92</f>
        <v>910000</v>
      </c>
      <c r="H3374" s="2" t="s">
        <v>1296</v>
      </c>
    </row>
    <row r="3375" customFormat="false" ht="15" hidden="false" customHeight="false" outlineLevel="1" collapsed="false">
      <c r="A3375" s="7" t="s">
        <v>688</v>
      </c>
      <c r="B3375" s="8" t="s">
        <v>11</v>
      </c>
      <c r="C3375" s="61" t="n">
        <f aca="false">C3373+C3374</f>
        <v>316940</v>
      </c>
      <c r="D3375" s="61" t="n">
        <f aca="false">D3373+D3374</f>
        <v>2110810</v>
      </c>
      <c r="E3375" s="61" t="n">
        <f aca="false">E3373+E3374</f>
        <v>4765540</v>
      </c>
      <c r="F3375" s="61" t="n">
        <f aca="false">F3373+F3374</f>
        <v>8214960</v>
      </c>
      <c r="G3375" s="61" t="n">
        <f aca="false">G3373+G3374</f>
        <v>12546300</v>
      </c>
      <c r="H3375" s="2" t="s">
        <v>1297</v>
      </c>
    </row>
    <row r="3376" customFormat="false" ht="15" hidden="false" customHeight="false" outlineLevel="1" collapsed="false">
      <c r="A3376" s="7" t="s">
        <v>215</v>
      </c>
      <c r="B3376" s="8" t="s">
        <v>11</v>
      </c>
      <c r="C3376" s="61" t="n">
        <f aca="false">C3251*1000*(C3273)+C3252*1000*(C3296)+C3254*1000*(C3319)+C3264*1000*Pressupostos!$C$94</f>
        <v>9880</v>
      </c>
      <c r="D3376" s="61" t="n">
        <f aca="false">D3251*1000*(D3273)+D3252*1000*(D3296)+D3254*1000*(D3319)+D3264*1000*Pressupostos!$C$94</f>
        <v>61620</v>
      </c>
      <c r="E3376" s="61" t="n">
        <f aca="false">E3251*1000*(E3273)+E3252*1000*(E3296)+E3254*1000*(E3319)+E3264*1000*Pressupostos!$C$94</f>
        <v>138151</v>
      </c>
      <c r="F3376" s="61" t="n">
        <f aca="false">F3251*1000*(F3273)+F3252*1000*(F3296)+F3254*1000*(F3319)+F3264*1000*Pressupostos!$C$94</f>
        <v>243828</v>
      </c>
      <c r="G3376" s="61" t="n">
        <f aca="false">G3251*1000*(G3273)+G3252*1000*(G3296)+G3254*1000*(G3319)+G3264*1000*Pressupostos!$C$94</f>
        <v>372840</v>
      </c>
      <c r="H3376" s="2" t="s">
        <v>1298</v>
      </c>
    </row>
    <row r="3377" customFormat="false" ht="15" hidden="false" customHeight="false" outlineLevel="1" collapsed="false">
      <c r="A3377" s="7" t="s">
        <v>117</v>
      </c>
      <c r="B3377" s="8" t="s">
        <v>11</v>
      </c>
      <c r="C3377" s="61" t="n">
        <f aca="false">C3251*1000*(C3274)+C3252*1000*(C3297)+C3254*1000*(C3320)</f>
        <v>624</v>
      </c>
      <c r="D3377" s="61" t="n">
        <f aca="false">D3251*1000*(D3274)+D3252*1000*(D3297)+D3254*1000*(D3320)</f>
        <v>2886</v>
      </c>
      <c r="E3377" s="61" t="n">
        <f aca="false">E3251*1000*(E3274)+E3252*1000*(E3297)+E3254*1000*(E3320)</f>
        <v>10374</v>
      </c>
      <c r="F3377" s="61" t="n">
        <f aca="false">F3251*1000*(F3274)+F3252*1000*(F3297)+F3254*1000*(F3320)</f>
        <v>20826</v>
      </c>
      <c r="G3377" s="61" t="n">
        <f aca="false">G3251*1000*(G3274)+G3252*1000*(G3297)+G3254*1000*(G3320)</f>
        <v>31980</v>
      </c>
      <c r="H3377" s="2" t="s">
        <v>1299</v>
      </c>
    </row>
    <row r="3378" customFormat="false" ht="15" hidden="false" customHeight="false" outlineLevel="1" collapsed="false">
      <c r="A3378" s="7" t="s">
        <v>689</v>
      </c>
      <c r="B3378" s="8" t="s">
        <v>11</v>
      </c>
      <c r="C3378" s="61" t="n">
        <f aca="false">C3251*1000*(C3277+C3278)+C3252*1000*(C3300+C3301)+C3254*1000*(C3323+C3324)</f>
        <v>596.931506849315</v>
      </c>
      <c r="D3378" s="61" t="n">
        <f aca="false">D3251*1000*(D3277+D3278)+D3252*1000*(D3300+D3301)+D3254*1000*(D3323+D3324)</f>
        <v>3492.04931506849</v>
      </c>
      <c r="E3378" s="61" t="n">
        <f aca="false">E3251*1000*(E3277+E3278)+E3252*1000*(E3300+E3301)+E3254*1000*(E3323+E3324)</f>
        <v>5470.87726027397</v>
      </c>
      <c r="F3378" s="61" t="n">
        <f aca="false">F3251*1000*(F3277+F3278)+F3252*1000*(F3300+F3301)+F3254*1000*(F3323+F3324)</f>
        <v>9452.4104109589</v>
      </c>
      <c r="G3378" s="61" t="n">
        <f aca="false">G3251*1000*(G3277+G3278)+G3252*1000*(G3300+G3301)+G3254*1000*(G3323+G3324)</f>
        <v>14356.202739726</v>
      </c>
      <c r="H3378" s="2" t="s">
        <v>1300</v>
      </c>
    </row>
    <row r="3379" customFormat="false" ht="15" hidden="false" customHeight="false" outlineLevel="1" collapsed="false">
      <c r="A3379" s="7" t="s">
        <v>690</v>
      </c>
      <c r="B3379" s="8" t="s">
        <v>11</v>
      </c>
      <c r="C3379" s="61" t="n">
        <f aca="false">C3251*1000*(C3279+C3280+C3281)+C3252*1000*(C3302+C3303+C3304)+C3254*1000*(C3325+C3326+C3327)</f>
        <v>3458</v>
      </c>
      <c r="D3379" s="61" t="n">
        <f aca="false">D3251*1000*(D3279+D3280+D3281)+D3252*1000*(D3302+D3303+D3304)+D3254*1000*(D3325+D3326+D3327)</f>
        <v>22522.5</v>
      </c>
      <c r="E3379" s="61" t="n">
        <f aca="false">E3251*1000*(E3279+E3280+E3281)+E3252*1000*(E3302+E3303+E3304)+E3254*1000*(E3325+E3326+E3327)</f>
        <v>47293.35</v>
      </c>
      <c r="F3379" s="61" t="n">
        <f aca="false">F3251*1000*(F3279+F3280+F3281)+F3252*1000*(F3302+F3303+F3304)+F3254*1000*(F3325+F3326+F3327)</f>
        <v>81276.65</v>
      </c>
      <c r="G3379" s="61" t="n">
        <f aca="false">G3251*1000*(G3279+G3280+G3281)+G3252*1000*(G3302+G3303+G3304)+G3254*1000*(G3325+G3326+G3327)</f>
        <v>123389.5</v>
      </c>
      <c r="H3379" s="2" t="s">
        <v>1301</v>
      </c>
    </row>
    <row r="3380" customFormat="false" ht="15" hidden="false" customHeight="false" outlineLevel="1" collapsed="false">
      <c r="A3380" s="7" t="s">
        <v>673</v>
      </c>
      <c r="B3380" s="8" t="s">
        <v>11</v>
      </c>
      <c r="C3380" s="61" t="n">
        <f aca="false">C3251*1000*(C3282)+C3252*1000*(C3305)+C3254*1000*(C3328)</f>
        <v>3744</v>
      </c>
      <c r="D3380" s="61" t="n">
        <f aca="false">D3251*1000*(D3282)+D3252*1000*(D3305)+D3254*1000*(D3328)</f>
        <v>23686</v>
      </c>
      <c r="E3380" s="61" t="n">
        <f aca="false">E3251*1000*(E3282)+E3252*1000*(E3305)+E3254*1000*(E3328)</f>
        <v>54574</v>
      </c>
      <c r="F3380" s="61" t="n">
        <f aca="false">F3251*1000*(F3282)+F3252*1000*(F3305)+F3254*1000*(F3328)</f>
        <v>96226</v>
      </c>
      <c r="G3380" s="61" t="n">
        <f aca="false">G3251*1000*(G3282)+G3252*1000*(G3305)+G3254*1000*(G3328)</f>
        <v>146380</v>
      </c>
      <c r="H3380" s="2" t="s">
        <v>1302</v>
      </c>
    </row>
    <row r="3381" customFormat="false" ht="15" hidden="false" customHeight="false" outlineLevel="1" collapsed="false">
      <c r="A3381" s="7" t="s">
        <v>691</v>
      </c>
      <c r="B3381" s="8" t="s">
        <v>11</v>
      </c>
      <c r="C3381" s="61" t="n">
        <f aca="false">C3251*1000*(C3283)+C3252*1000*(C3306)+C3254*1000*(C3329)+C3264*1000*Pressupostos!$C$99</f>
        <v>442</v>
      </c>
      <c r="D3381" s="61" t="n">
        <f aca="false">D3251*1000*(D3283)+D3252*1000*(D3306)+D3254*1000*(D3329)+D3264*1000*Pressupostos!$C$99</f>
        <v>2840.5</v>
      </c>
      <c r="E3381" s="61" t="n">
        <f aca="false">E3251*1000*(E3283)+E3252*1000*(E3306)+E3254*1000*(E3329)+E3264*1000*Pressupostos!$C$99</f>
        <v>7559.5</v>
      </c>
      <c r="F3381" s="61" t="n">
        <f aca="false">F3251*1000*(F3283)+F3252*1000*(F3306)+F3254*1000*(F3329)+F3264*1000*Pressupostos!$C$99</f>
        <v>13500.5</v>
      </c>
      <c r="G3381" s="61" t="n">
        <f aca="false">G3251*1000*(G3283)+G3252*1000*(G3306)+G3254*1000*(G3329)+G3264*1000*Pressupostos!$C$99</f>
        <v>20865</v>
      </c>
      <c r="H3381" s="2" t="s">
        <v>1303</v>
      </c>
    </row>
    <row r="3382" customFormat="false" ht="15" hidden="false" customHeight="false" outlineLevel="1" collapsed="false">
      <c r="A3382" s="7" t="s">
        <v>81</v>
      </c>
      <c r="B3382" s="8" t="s">
        <v>11</v>
      </c>
      <c r="C3382" s="61" t="n">
        <f aca="false">C3251*1000*(C3284)+C3252*1000*(C3307)+C3254*1000*(C3330)+C3264*1000*Pressupostos!$C$98*Pressupostos!$C$93</f>
        <v>1240.044</v>
      </c>
      <c r="D3382" s="61" t="n">
        <f aca="false">D3251*1000*(D3284)+D3252*1000*(D3307)+D3254*1000*(D3330)+D3264*1000*Pressupostos!$C$98*Pressupostos!$C$93</f>
        <v>7908.966</v>
      </c>
      <c r="E3382" s="61" t="n">
        <f aca="false">E3251*1000*(E3284)+E3252*1000*(E3307)+E3254*1000*(E3330)+E3264*1000*Pressupostos!$C$98*Pressupostos!$C$93</f>
        <v>19835.244</v>
      </c>
      <c r="F3382" s="61" t="n">
        <f aca="false">F3251*1000*(F3284)+F3252*1000*(F3307)+F3254*1000*(F3330)+F3264*1000*Pressupostos!$C$98*Pressupostos!$C$93</f>
        <v>35256.156</v>
      </c>
      <c r="G3382" s="61" t="n">
        <f aca="false">G3251*1000*(G3284)+G3252*1000*(G3307)+G3254*1000*(G3330)+G3264*1000*Pressupostos!$C$98*Pressupostos!$C$93</f>
        <v>54148.38</v>
      </c>
      <c r="H3382" s="2" t="s">
        <v>1304</v>
      </c>
    </row>
    <row r="3383" customFormat="false" ht="15" hidden="false" customHeight="false" outlineLevel="1" collapsed="false">
      <c r="A3383" s="7" t="s">
        <v>692</v>
      </c>
      <c r="B3383" s="8" t="s">
        <v>11</v>
      </c>
      <c r="C3383" s="61" t="n">
        <f aca="false">C3251*1000*(C3285)+C3252*1000*(C3308)+C3254*1000*(C3331)+C3264*1000*Pressupostos!$D$29*Pressupostos!$C$92</f>
        <v>0</v>
      </c>
      <c r="D3383" s="61" t="n">
        <f aca="false">D3251*1000*(D3285)+D3252*1000*(D3308)+D3254*1000*(D3331)+D3264*1000*Pressupostos!$D$29*Pressupostos!$C$92</f>
        <v>0</v>
      </c>
      <c r="E3383" s="61" t="n">
        <f aca="false">E3251*1000*(E3285)+E3252*1000*(E3308)+E3254*1000*(E3331)+E3264*1000*Pressupostos!$D$29*Pressupostos!$C$92</f>
        <v>0</v>
      </c>
      <c r="F3383" s="61" t="n">
        <f aca="false">F3251*1000*(F3285)+F3252*1000*(F3308)+F3254*1000*(F3331)+F3264*1000*Pressupostos!$D$29*Pressupostos!$C$92</f>
        <v>0</v>
      </c>
      <c r="G3383" s="61" t="n">
        <f aca="false">G3251*1000*(G3285)+G3252*1000*(G3308)+G3254*1000*(G3331)+G3264*1000*Pressupostos!$D$29*Pressupostos!$C$92</f>
        <v>0</v>
      </c>
      <c r="H3383" s="2" t="s">
        <v>1305</v>
      </c>
    </row>
    <row r="3384" customFormat="false" ht="15" hidden="false" customHeight="false" outlineLevel="1" collapsed="false">
      <c r="A3384" s="7" t="s">
        <v>693</v>
      </c>
      <c r="B3384" s="8" t="s">
        <v>11</v>
      </c>
      <c r="C3384" s="61" t="n">
        <f aca="false">C3267*1000*Pressupostos!$C$104*Pressupostos!$D$30</f>
        <v>0</v>
      </c>
      <c r="D3384" s="61" t="n">
        <f aca="false">D3267*1000*Pressupostos!$C$104*Pressupostos!$D$30</f>
        <v>16457.1428571429</v>
      </c>
      <c r="E3384" s="61" t="n">
        <f aca="false">E3267*1000*Pressupostos!$C$104*Pressupostos!$D$30</f>
        <v>49371.4285714286</v>
      </c>
      <c r="F3384" s="61" t="n">
        <f aca="false">F3267*1000*Pressupostos!$C$104*Pressupostos!$D$30</f>
        <v>98742.8571428571</v>
      </c>
      <c r="G3384" s="61" t="n">
        <f aca="false">G3267*1000*Pressupostos!$C$104*Pressupostos!$D$30</f>
        <v>164571.428571429</v>
      </c>
      <c r="H3384" s="2" t="s">
        <v>1306</v>
      </c>
    </row>
    <row r="3385" customFormat="false" ht="15" hidden="false" customHeight="false" outlineLevel="1" collapsed="false">
      <c r="A3385" s="7" t="s">
        <v>694</v>
      </c>
      <c r="B3385" s="8" t="s">
        <v>11</v>
      </c>
      <c r="C3385" s="61" t="n">
        <f aca="false">C3255*1000*C3339</f>
        <v>0</v>
      </c>
      <c r="D3385" s="61" t="n">
        <f aca="false">D3255*1000*D3339</f>
        <v>0</v>
      </c>
      <c r="E3385" s="61" t="n">
        <f aca="false">E3255*1000*E3339</f>
        <v>0</v>
      </c>
      <c r="F3385" s="61" t="n">
        <f aca="false">F3255*1000*F3339</f>
        <v>0</v>
      </c>
      <c r="G3385" s="61" t="n">
        <f aca="false">G3255*1000*G3339</f>
        <v>0</v>
      </c>
      <c r="H3385" s="2" t="s">
        <v>1307</v>
      </c>
    </row>
    <row r="3386" customFormat="false" ht="15" hidden="false" customHeight="false" outlineLevel="1" collapsed="false">
      <c r="A3386" s="7" t="s">
        <v>695</v>
      </c>
      <c r="B3386" s="8" t="s">
        <v>11</v>
      </c>
      <c r="C3386" s="61" t="n">
        <f aca="false">C3376+C3377+C3378+C3379+C3380+C3381+C3382+C3383+C3384+C3385</f>
        <v>19984.9755068493</v>
      </c>
      <c r="D3386" s="61" t="n">
        <f aca="false">D3376+D3377+D3378+D3379+D3380+D3381+D3382+D3383+D3384+D3385</f>
        <v>141413.158172211</v>
      </c>
      <c r="E3386" s="61" t="n">
        <f aca="false">E3376+E3377+E3378+E3379+E3380+E3381+E3382+E3383+E3384+E3385</f>
        <v>332629.399831703</v>
      </c>
      <c r="F3386" s="61" t="n">
        <f aca="false">F3376+F3377+F3378+F3379+F3380+F3381+F3382+F3383+F3384+F3385</f>
        <v>599108.573553816</v>
      </c>
      <c r="G3386" s="61" t="n">
        <f aca="false">G3376+G3377+G3378+G3379+G3380+G3381+G3382+G3383+G3384+G3385</f>
        <v>928530.511311155</v>
      </c>
      <c r="H3386" s="2" t="s">
        <v>1308</v>
      </c>
    </row>
    <row r="3387" customFormat="false" ht="15" hidden="false" customHeight="false" outlineLevel="1" collapsed="false">
      <c r="A3387" s="7" t="s">
        <v>696</v>
      </c>
      <c r="B3387" s="8" t="s">
        <v>11</v>
      </c>
      <c r="C3387" s="61" t="n">
        <f aca="false">C3251*1000*(C3286)+C3252*1000*(C3309)+C3254*1000*(C3332)</f>
        <v>0</v>
      </c>
      <c r="D3387" s="61" t="n">
        <f aca="false">D3251*1000*(D3286)+D3252*1000*(D3309)+D3254*1000*(D3332)</f>
        <v>30312.1356164384</v>
      </c>
      <c r="E3387" s="61" t="n">
        <f aca="false">E3251*1000*(E3286)+E3252*1000*(E3309)+E3254*1000*(E3332)</f>
        <v>47562.5284674658</v>
      </c>
      <c r="F3387" s="61" t="n">
        <f aca="false">F3251*1000*(F3286)+F3252*1000*(F3309)+F3254*1000*(F3332)</f>
        <v>76011.1235445206</v>
      </c>
      <c r="G3387" s="61" t="n">
        <f aca="false">G3251*1000*(G3286)+G3252*1000*(G3309)+G3254*1000*(G3332)</f>
        <v>115361.899828767</v>
      </c>
      <c r="H3387" s="2" t="s">
        <v>1309</v>
      </c>
    </row>
    <row r="3388" customFormat="false" ht="15" hidden="false" customHeight="false" outlineLevel="1" collapsed="false">
      <c r="A3388" s="7" t="s">
        <v>697</v>
      </c>
      <c r="B3388" s="8" t="s">
        <v>11</v>
      </c>
      <c r="C3388" s="61" t="n">
        <f aca="false">C3264*1000*C3366</f>
        <v>0</v>
      </c>
      <c r="D3388" s="61" t="n">
        <f aca="false">D3264*1000*D3366</f>
        <v>0</v>
      </c>
      <c r="E3388" s="61" t="n">
        <f aca="false">E3264*1000*E3366</f>
        <v>2839.85445205479</v>
      </c>
      <c r="F3388" s="61" t="n">
        <f aca="false">F3264*1000*F3366</f>
        <v>5301.06164383562</v>
      </c>
      <c r="G3388" s="61" t="n">
        <f aca="false">G3264*1000*G3366</f>
        <v>8835.10273972603</v>
      </c>
      <c r="H3388" s="2" t="s">
        <v>1310</v>
      </c>
    </row>
    <row r="3389" customFormat="false" ht="15" hidden="false" customHeight="false" outlineLevel="1" collapsed="false">
      <c r="A3389" s="7" t="s">
        <v>698</v>
      </c>
      <c r="B3389" s="8" t="s">
        <v>11</v>
      </c>
      <c r="C3389" s="61" t="n">
        <f aca="false">C3387+C3388</f>
        <v>0</v>
      </c>
      <c r="D3389" s="61" t="n">
        <f aca="false">D3387+D3388</f>
        <v>30312.1356164384</v>
      </c>
      <c r="E3389" s="61" t="n">
        <f aca="false">E3387+E3388</f>
        <v>50402.3829195206</v>
      </c>
      <c r="F3389" s="61" t="n">
        <f aca="false">F3387+F3388</f>
        <v>81312.1851883562</v>
      </c>
      <c r="G3389" s="61" t="n">
        <f aca="false">G3387+G3388</f>
        <v>124197.002568493</v>
      </c>
      <c r="H3389" s="2" t="s">
        <v>1311</v>
      </c>
    </row>
    <row r="3390" customFormat="false" ht="15" hidden="false" customHeight="false" outlineLevel="1" collapsed="false">
      <c r="A3390" s="8" t="s">
        <v>699</v>
      </c>
      <c r="B3390" s="8" t="s">
        <v>11</v>
      </c>
      <c r="C3390" s="70" t="n">
        <f aca="false">ROUND(C3352-C3375-C3386-C3389-C3371,6)</f>
        <v>0</v>
      </c>
      <c r="D3390" s="70" t="n">
        <f aca="false">ROUND(D3352-D3375-D3386-D3389-D3371,6)</f>
        <v>-0</v>
      </c>
      <c r="E3390" s="70" t="n">
        <f aca="false">ROUND(E3352-E3375-E3386-E3389-E3371,6)</f>
        <v>0</v>
      </c>
      <c r="F3390" s="70" t="n">
        <f aca="false">ROUND(F3352-F3375-F3386-F3389-F3371,6)</f>
        <v>0</v>
      </c>
      <c r="G3390" s="70" t="n">
        <f aca="false">ROUND(G3352-G3375-G3386-G3389-G3371,6)</f>
        <v>0</v>
      </c>
      <c r="H3390" s="2" t="s">
        <v>1312</v>
      </c>
    </row>
    <row r="3391" customFormat="false" ht="15" hidden="false" customHeight="false" outlineLevel="0" collapsed="false">
      <c r="A3391" s="3" t="s">
        <v>1313</v>
      </c>
      <c r="B3391" s="4"/>
      <c r="C3391" s="4"/>
      <c r="D3391" s="4"/>
      <c r="E3391" s="4"/>
      <c r="F3391" s="4"/>
      <c r="G3391" s="4"/>
      <c r="H3391" s="4"/>
    </row>
    <row r="3392" customFormat="false" ht="15" hidden="false" customHeight="false" outlineLevel="1" collapsed="false">
      <c r="A3392" s="7" t="s">
        <v>638</v>
      </c>
      <c r="B3392" s="8" t="s">
        <v>432</v>
      </c>
      <c r="C3392" s="64" t="n">
        <f aca="false">Pressupostos!$C$332</f>
        <v>1</v>
      </c>
      <c r="D3392" s="64" t="n">
        <f aca="false">Pressupostos!$D$332</f>
        <v>1</v>
      </c>
      <c r="E3392" s="64" t="n">
        <f aca="false">Pressupostos!$E$332</f>
        <v>1</v>
      </c>
      <c r="F3392" s="64" t="n">
        <f aca="false">Pressupostos!$F$332</f>
        <v>1</v>
      </c>
      <c r="G3392" s="64" t="n">
        <f aca="false">Pressupostos!$G$332</f>
        <v>1</v>
      </c>
      <c r="H3392" s="2" t="s">
        <v>1314</v>
      </c>
    </row>
    <row r="3393" customFormat="false" ht="15" hidden="false" customHeight="false" outlineLevel="1" collapsed="false">
      <c r="A3393" s="7" t="s">
        <v>639</v>
      </c>
      <c r="B3393" s="8" t="s">
        <v>432</v>
      </c>
      <c r="C3393" s="64" t="n">
        <f aca="false">Pressupostos!$C$338</f>
        <v>1</v>
      </c>
      <c r="D3393" s="64" t="n">
        <f aca="false">Pressupostos!$D$338</f>
        <v>1</v>
      </c>
      <c r="E3393" s="64" t="n">
        <f aca="false">Pressupostos!$E$338</f>
        <v>1</v>
      </c>
      <c r="F3393" s="64" t="n">
        <f aca="false">Pressupostos!$F$338</f>
        <v>1</v>
      </c>
      <c r="G3393" s="64" t="n">
        <f aca="false">Pressupostos!$G$338</f>
        <v>1</v>
      </c>
      <c r="H3393" s="2" t="s">
        <v>1315</v>
      </c>
    </row>
    <row r="3394" customFormat="false" ht="15" hidden="false" customHeight="false" outlineLevel="1" collapsed="false">
      <c r="A3394" s="7" t="s">
        <v>640</v>
      </c>
      <c r="B3394" s="8" t="s">
        <v>432</v>
      </c>
      <c r="C3394" s="64" t="n">
        <f aca="false">Pressupostos!$C$344</f>
        <v>1</v>
      </c>
      <c r="D3394" s="64" t="n">
        <f aca="false">Pressupostos!$D$344</f>
        <v>1</v>
      </c>
      <c r="E3394" s="64" t="n">
        <f aca="false">Pressupostos!$E$344</f>
        <v>2</v>
      </c>
      <c r="F3394" s="64" t="n">
        <f aca="false">Pressupostos!$F$344</f>
        <v>2</v>
      </c>
      <c r="G3394" s="64" t="n">
        <f aca="false">Pressupostos!$G$344</f>
        <v>2</v>
      </c>
      <c r="H3394" s="2" t="s">
        <v>1316</v>
      </c>
    </row>
    <row r="3395" customFormat="false" ht="15" hidden="false" customHeight="false" outlineLevel="1" collapsed="false">
      <c r="A3395" s="7" t="s">
        <v>641</v>
      </c>
      <c r="B3395" s="8" t="s">
        <v>432</v>
      </c>
      <c r="C3395" s="64" t="n">
        <f aca="false">Pressupostos!$C$350</f>
        <v>1</v>
      </c>
      <c r="D3395" s="64" t="n">
        <f aca="false">Pressupostos!$D$350</f>
        <v>1</v>
      </c>
      <c r="E3395" s="64" t="n">
        <f aca="false">Pressupostos!$E$350</f>
        <v>1</v>
      </c>
      <c r="F3395" s="64" t="n">
        <f aca="false">Pressupostos!$F$350</f>
        <v>1</v>
      </c>
      <c r="G3395" s="64" t="n">
        <f aca="false">Pressupostos!$G$350</f>
        <v>1</v>
      </c>
      <c r="H3395" s="2" t="s">
        <v>1317</v>
      </c>
    </row>
    <row r="3396" customFormat="false" ht="15" hidden="false" customHeight="false" outlineLevel="1" collapsed="false">
      <c r="A3396" s="7" t="s">
        <v>642</v>
      </c>
      <c r="B3396" s="8" t="s">
        <v>432</v>
      </c>
      <c r="C3396" s="64" t="n">
        <f aca="false">Pressupostos!$C$356</f>
        <v>0.5</v>
      </c>
      <c r="D3396" s="64" t="n">
        <f aca="false">Pressupostos!$D$356</f>
        <v>1</v>
      </c>
      <c r="E3396" s="64" t="n">
        <f aca="false">Pressupostos!$E$356</f>
        <v>1</v>
      </c>
      <c r="F3396" s="64" t="n">
        <f aca="false">Pressupostos!$F$356</f>
        <v>1</v>
      </c>
      <c r="G3396" s="64" t="n">
        <f aca="false">Pressupostos!$G$356</f>
        <v>1</v>
      </c>
      <c r="H3396" s="2" t="s">
        <v>1318</v>
      </c>
    </row>
    <row r="3397" customFormat="false" ht="15" hidden="false" customHeight="false" outlineLevel="1" collapsed="false">
      <c r="A3397" s="7" t="s">
        <v>643</v>
      </c>
      <c r="B3397" s="8" t="s">
        <v>432</v>
      </c>
      <c r="C3397" s="64" t="n">
        <f aca="false">Pressupostos!$C$362</f>
        <v>1</v>
      </c>
      <c r="D3397" s="64" t="n">
        <f aca="false">Pressupostos!$D$362</f>
        <v>1</v>
      </c>
      <c r="E3397" s="64" t="n">
        <f aca="false">Pressupostos!$E$362</f>
        <v>1</v>
      </c>
      <c r="F3397" s="64" t="n">
        <f aca="false">Pressupostos!$F$362</f>
        <v>2</v>
      </c>
      <c r="G3397" s="64" t="n">
        <f aca="false">Pressupostos!$G$362</f>
        <v>2</v>
      </c>
      <c r="H3397" s="2" t="s">
        <v>1319</v>
      </c>
    </row>
    <row r="3398" customFormat="false" ht="15" hidden="false" customHeight="false" outlineLevel="1" collapsed="false">
      <c r="A3398" s="7" t="s">
        <v>644</v>
      </c>
      <c r="B3398" s="8" t="s">
        <v>432</v>
      </c>
      <c r="C3398" s="64" t="n">
        <f aca="false">Pressupostos!$C$368</f>
        <v>0.5</v>
      </c>
      <c r="D3398" s="64" t="n">
        <f aca="false">Pressupostos!$D$368</f>
        <v>1</v>
      </c>
      <c r="E3398" s="64" t="n">
        <f aca="false">Pressupostos!$E$368</f>
        <v>1</v>
      </c>
      <c r="F3398" s="64" t="n">
        <f aca="false">Pressupostos!$F$368</f>
        <v>1</v>
      </c>
      <c r="G3398" s="64" t="n">
        <f aca="false">Pressupostos!$G$368</f>
        <v>1</v>
      </c>
      <c r="H3398" s="2" t="s">
        <v>1320</v>
      </c>
    </row>
    <row r="3399" customFormat="false" ht="15" hidden="false" customHeight="false" outlineLevel="1" collapsed="false">
      <c r="A3399" s="7" t="s">
        <v>645</v>
      </c>
      <c r="B3399" s="8" t="s">
        <v>432</v>
      </c>
      <c r="C3399" s="64" t="n">
        <f aca="false">Pressupostos!$C$374</f>
        <v>1</v>
      </c>
      <c r="D3399" s="64" t="n">
        <f aca="false">Pressupostos!$D$374</f>
        <v>1</v>
      </c>
      <c r="E3399" s="64" t="n">
        <f aca="false">Pressupostos!$E$374</f>
        <v>2</v>
      </c>
      <c r="F3399" s="64" t="n">
        <f aca="false">Pressupostos!$F$374</f>
        <v>3</v>
      </c>
      <c r="G3399" s="64" t="n">
        <f aca="false">Pressupostos!$G$374</f>
        <v>5</v>
      </c>
      <c r="H3399" s="2" t="s">
        <v>1321</v>
      </c>
    </row>
    <row r="3400" customFormat="false" ht="15" hidden="false" customHeight="false" outlineLevel="1" collapsed="false">
      <c r="A3400" s="7" t="s">
        <v>646</v>
      </c>
      <c r="B3400" s="8" t="s">
        <v>432</v>
      </c>
      <c r="C3400" s="64" t="n">
        <f aca="false">Pressupostos!$C$380</f>
        <v>0</v>
      </c>
      <c r="D3400" s="64" t="n">
        <f aca="false">Pressupostos!$D$380</f>
        <v>0</v>
      </c>
      <c r="E3400" s="64" t="n">
        <f aca="false">Pressupostos!$E$380</f>
        <v>0</v>
      </c>
      <c r="F3400" s="64" t="n">
        <f aca="false">Pressupostos!$F$380</f>
        <v>1</v>
      </c>
      <c r="G3400" s="64" t="n">
        <f aca="false">Pressupostos!$G$380</f>
        <v>1</v>
      </c>
      <c r="H3400" s="2" t="s">
        <v>1322</v>
      </c>
    </row>
    <row r="3401" customFormat="false" ht="15" hidden="false" customHeight="false" outlineLevel="1" collapsed="false">
      <c r="A3401" s="7" t="s">
        <v>647</v>
      </c>
      <c r="B3401" s="8" t="s">
        <v>432</v>
      </c>
      <c r="C3401" s="64" t="n">
        <f aca="false">Pressupostos!$C$386</f>
        <v>0</v>
      </c>
      <c r="D3401" s="64" t="n">
        <f aca="false">Pressupostos!$D$386</f>
        <v>0</v>
      </c>
      <c r="E3401" s="64" t="n">
        <f aca="false">Pressupostos!$E$386</f>
        <v>0</v>
      </c>
      <c r="F3401" s="64" t="n">
        <f aca="false">Pressupostos!$F$386</f>
        <v>0</v>
      </c>
      <c r="G3401" s="64" t="n">
        <f aca="false">Pressupostos!$G$386</f>
        <v>1</v>
      </c>
      <c r="H3401" s="2" t="s">
        <v>1323</v>
      </c>
    </row>
    <row r="3402" customFormat="false" ht="15" hidden="false" customHeight="false" outlineLevel="1" collapsed="false">
      <c r="A3402" s="7" t="s">
        <v>648</v>
      </c>
      <c r="B3402" s="8" t="s">
        <v>432</v>
      </c>
      <c r="C3402" s="64" t="n">
        <f aca="false">Pressupostos!$C$392</f>
        <v>0</v>
      </c>
      <c r="D3402" s="64" t="n">
        <f aca="false">Pressupostos!$D$392</f>
        <v>0</v>
      </c>
      <c r="E3402" s="64" t="n">
        <f aca="false">Pressupostos!$E$392</f>
        <v>1</v>
      </c>
      <c r="F3402" s="64" t="n">
        <f aca="false">Pressupostos!$F$392</f>
        <v>1</v>
      </c>
      <c r="G3402" s="64" t="n">
        <f aca="false">Pressupostos!$G$392</f>
        <v>1</v>
      </c>
      <c r="H3402" s="2" t="s">
        <v>1324</v>
      </c>
    </row>
    <row r="3403" customFormat="false" ht="15" hidden="false" customHeight="false" outlineLevel="1" collapsed="false">
      <c r="A3403" s="7" t="s">
        <v>649</v>
      </c>
      <c r="B3403" s="8" t="s">
        <v>432</v>
      </c>
      <c r="C3403" s="64" t="n">
        <f aca="false">Pressupostos!$C$398</f>
        <v>0</v>
      </c>
      <c r="D3403" s="64" t="n">
        <f aca="false">Pressupostos!$D$398</f>
        <v>0</v>
      </c>
      <c r="E3403" s="64" t="n">
        <f aca="false">Pressupostos!$E$398</f>
        <v>0</v>
      </c>
      <c r="F3403" s="64" t="n">
        <f aca="false">Pressupostos!$F$398</f>
        <v>0</v>
      </c>
      <c r="G3403" s="64" t="n">
        <f aca="false">Pressupostos!$G$398</f>
        <v>0</v>
      </c>
      <c r="H3403" s="2" t="s">
        <v>1325</v>
      </c>
    </row>
    <row r="3404" customFormat="false" ht="15" hidden="false" customHeight="false" outlineLevel="1" collapsed="false">
      <c r="A3404" s="56" t="s">
        <v>650</v>
      </c>
      <c r="B3404" s="57" t="s">
        <v>432</v>
      </c>
      <c r="C3404" s="65" t="n">
        <f aca="false">C3392+C3393+C3394+C3395+C3396+C3397+C3398+C3399+C3400+C3401+C3402+C3403</f>
        <v>7</v>
      </c>
      <c r="D3404" s="65" t="n">
        <f aca="false">D3392+D3393+D3394+D3395+D3396+D3397+D3398+D3399+D3400+D3401+D3402+D3403</f>
        <v>8</v>
      </c>
      <c r="E3404" s="65" t="n">
        <f aca="false">E3392+E3393+E3394+E3395+E3396+E3397+E3398+E3399+E3400+E3401+E3402+E3403</f>
        <v>11</v>
      </c>
      <c r="F3404" s="65" t="n">
        <f aca="false">F3392+F3393+F3394+F3395+F3396+F3397+F3398+F3399+F3400+F3401+F3402+F3403</f>
        <v>14</v>
      </c>
      <c r="G3404" s="65" t="n">
        <f aca="false">G3392+G3393+G3394+G3395+G3396+G3397+G3398+G3399+G3400+G3401+G3402+G3403</f>
        <v>17</v>
      </c>
      <c r="H3404" s="2" t="s">
        <v>1326</v>
      </c>
    </row>
    <row r="3405" customFormat="false" ht="15" hidden="false" customHeight="false" outlineLevel="0" collapsed="false">
      <c r="A3405" s="3" t="s">
        <v>1327</v>
      </c>
      <c r="B3405" s="4"/>
      <c r="C3405" s="4"/>
      <c r="D3405" s="4"/>
      <c r="E3405" s="4"/>
      <c r="F3405" s="4"/>
      <c r="G3405" s="4"/>
      <c r="H3405" s="4"/>
    </row>
    <row r="3406" customFormat="false" ht="15" hidden="false" customHeight="false" outlineLevel="1" collapsed="false">
      <c r="A3406" s="7" t="s">
        <v>638</v>
      </c>
      <c r="B3406" s="8" t="s">
        <v>11</v>
      </c>
      <c r="C3406" s="61" t="n">
        <f aca="false">C3392*Pressupostos!$C$131*(1+Pressupostos!$C$127)^0*(1+Pressupostos!$C$132)*Pressupostos!$C$128</f>
        <v>43998</v>
      </c>
      <c r="D3406" s="61" t="n">
        <f aca="false">D3392*Pressupostos!$C$131*(1+Pressupostos!$C$127)^1*(1+Pressupostos!$C$132)</f>
        <v>61800</v>
      </c>
      <c r="E3406" s="61" t="n">
        <f aca="false">E3392*Pressupostos!$C$131*(1+Pressupostos!$C$127)^2*(1+Pressupostos!$C$132)</f>
        <v>63654</v>
      </c>
      <c r="F3406" s="61" t="n">
        <f aca="false">F3392*Pressupostos!$C$131*(1+Pressupostos!$C$127)^3*(1+Pressupostos!$C$132)</f>
        <v>65563.62</v>
      </c>
      <c r="G3406" s="61" t="n">
        <f aca="false">G3392*Pressupostos!$C$131*(1+Pressupostos!$C$127)^4*(1+Pressupostos!$C$132)</f>
        <v>67530.5286</v>
      </c>
      <c r="H3406" s="2" t="s">
        <v>1328</v>
      </c>
    </row>
    <row r="3407" customFormat="false" ht="15" hidden="false" customHeight="false" outlineLevel="1" collapsed="false">
      <c r="A3407" s="7" t="s">
        <v>639</v>
      </c>
      <c r="B3407" s="8" t="s">
        <v>11</v>
      </c>
      <c r="C3407" s="61" t="n">
        <f aca="false">C3393*Pressupostos!$C$133*(1+Pressupostos!$C$127)^0*(1+Pressupostos!$C$134)*Pressupostos!$C$128</f>
        <v>47664.5</v>
      </c>
      <c r="D3407" s="61" t="n">
        <f aca="false">D3393*Pressupostos!$C$133*(1+Pressupostos!$C$127)^1*(1+Pressupostos!$C$134)</f>
        <v>66950</v>
      </c>
      <c r="E3407" s="61" t="n">
        <f aca="false">E3393*Pressupostos!$C$133*(1+Pressupostos!$C$127)^2*(1+Pressupostos!$C$134)</f>
        <v>68958.5</v>
      </c>
      <c r="F3407" s="61" t="n">
        <f aca="false">F3393*Pressupostos!$C$133*(1+Pressupostos!$C$127)^3*(1+Pressupostos!$C$134)</f>
        <v>71027.255</v>
      </c>
      <c r="G3407" s="61" t="n">
        <f aca="false">G3393*Pressupostos!$C$133*(1+Pressupostos!$C$127)^4*(1+Pressupostos!$C$134)</f>
        <v>73158.07265</v>
      </c>
      <c r="H3407" s="2" t="s">
        <v>1329</v>
      </c>
    </row>
    <row r="3408" customFormat="false" ht="15" hidden="false" customHeight="false" outlineLevel="1" collapsed="false">
      <c r="A3408" s="7" t="s">
        <v>640</v>
      </c>
      <c r="B3408" s="8" t="s">
        <v>11</v>
      </c>
      <c r="C3408" s="61" t="n">
        <f aca="false">C3394*Pressupostos!$C$135*(1+Pressupostos!$C$127)^0*(1+Pressupostos!$C$136)</f>
        <v>45000</v>
      </c>
      <c r="D3408" s="61" t="n">
        <f aca="false">D3394*Pressupostos!$C$135*(1+Pressupostos!$C$127)^1*(1+Pressupostos!$C$136)</f>
        <v>46350</v>
      </c>
      <c r="E3408" s="61" t="n">
        <f aca="false">E3394*Pressupostos!$C$135*(1+Pressupostos!$C$127)^2*(1+Pressupostos!$C$136)</f>
        <v>95481</v>
      </c>
      <c r="F3408" s="61" t="n">
        <f aca="false">F3394*Pressupostos!$C$135*(1+Pressupostos!$C$127)^3*(1+Pressupostos!$C$136)</f>
        <v>98345.43</v>
      </c>
      <c r="G3408" s="61" t="n">
        <f aca="false">G3394*Pressupostos!$C$135*(1+Pressupostos!$C$127)^4*(1+Pressupostos!$C$136)</f>
        <v>101295.7929</v>
      </c>
      <c r="H3408" s="2" t="s">
        <v>1330</v>
      </c>
    </row>
    <row r="3409" customFormat="false" ht="15" hidden="false" customHeight="false" outlineLevel="1" collapsed="false">
      <c r="A3409" s="7" t="s">
        <v>641</v>
      </c>
      <c r="B3409" s="8" t="s">
        <v>11</v>
      </c>
      <c r="C3409" s="61" t="n">
        <f aca="false">C3395*Pressupostos!$C$137*(1+Pressupostos!$C$127)^0*(1+Pressupostos!$C$138)</f>
        <v>60000</v>
      </c>
      <c r="D3409" s="61" t="n">
        <f aca="false">D3395*Pressupostos!$C$137*(1+Pressupostos!$C$127)^1*(1+Pressupostos!$C$138)</f>
        <v>61800</v>
      </c>
      <c r="E3409" s="61" t="n">
        <f aca="false">E3395*Pressupostos!$C$137*(1+Pressupostos!$C$127)^2*(1+Pressupostos!$C$138)</f>
        <v>63654</v>
      </c>
      <c r="F3409" s="61" t="n">
        <f aca="false">F3395*Pressupostos!$C$137*(1+Pressupostos!$C$127)^3*(1+Pressupostos!$C$138)</f>
        <v>65563.62</v>
      </c>
      <c r="G3409" s="61" t="n">
        <f aca="false">G3395*Pressupostos!$C$137*(1+Pressupostos!$C$127)^4*(1+Pressupostos!$C$138)</f>
        <v>67530.5286</v>
      </c>
      <c r="H3409" s="2" t="s">
        <v>1331</v>
      </c>
    </row>
    <row r="3410" customFormat="false" ht="15" hidden="false" customHeight="false" outlineLevel="1" collapsed="false">
      <c r="A3410" s="7" t="s">
        <v>642</v>
      </c>
      <c r="B3410" s="8" t="s">
        <v>11</v>
      </c>
      <c r="C3410" s="61" t="n">
        <f aca="false">C3396*Pressupostos!$C$139*(1+Pressupostos!$C$127)^0*(1+Pressupostos!$C$140)</f>
        <v>22500</v>
      </c>
      <c r="D3410" s="61" t="n">
        <f aca="false">D3396*Pressupostos!$C$139*(1+Pressupostos!$C$127)^1*(1+Pressupostos!$C$140)</f>
        <v>46350</v>
      </c>
      <c r="E3410" s="61" t="n">
        <f aca="false">E3396*Pressupostos!$C$139*(1+Pressupostos!$C$127)^2*(1+Pressupostos!$C$140)</f>
        <v>47740.5</v>
      </c>
      <c r="F3410" s="61" t="n">
        <f aca="false">F3396*Pressupostos!$C$139*(1+Pressupostos!$C$127)^3*(1+Pressupostos!$C$140)</f>
        <v>49172.715</v>
      </c>
      <c r="G3410" s="61" t="n">
        <f aca="false">G3396*Pressupostos!$C$139*(1+Pressupostos!$C$127)^4*(1+Pressupostos!$C$140)</f>
        <v>50647.89645</v>
      </c>
      <c r="H3410" s="2" t="s">
        <v>1332</v>
      </c>
    </row>
    <row r="3411" customFormat="false" ht="15" hidden="false" customHeight="false" outlineLevel="1" collapsed="false">
      <c r="A3411" s="7" t="s">
        <v>643</v>
      </c>
      <c r="B3411" s="8" t="s">
        <v>11</v>
      </c>
      <c r="C3411" s="61" t="n">
        <f aca="false">C3397*Pressupostos!$C$141*(1+Pressupostos!$C$127)^0*(1+Pressupostos!$C$142)</f>
        <v>38000</v>
      </c>
      <c r="D3411" s="61" t="n">
        <f aca="false">D3397*Pressupostos!$C$141*(1+Pressupostos!$C$127)^1*(1+Pressupostos!$C$142)</f>
        <v>39140</v>
      </c>
      <c r="E3411" s="61" t="n">
        <f aca="false">E3397*Pressupostos!$C$141*(1+Pressupostos!$C$127)^2*(1+Pressupostos!$C$142)</f>
        <v>40314.2</v>
      </c>
      <c r="F3411" s="61" t="n">
        <f aca="false">F3397*Pressupostos!$C$141*(1+Pressupostos!$C$127)^3*(1+Pressupostos!$C$142)</f>
        <v>83047.252</v>
      </c>
      <c r="G3411" s="61" t="n">
        <f aca="false">G3397*Pressupostos!$C$141*(1+Pressupostos!$C$127)^4*(1+Pressupostos!$C$142)</f>
        <v>85538.66956</v>
      </c>
      <c r="H3411" s="2" t="s">
        <v>1333</v>
      </c>
    </row>
    <row r="3412" customFormat="false" ht="15" hidden="false" customHeight="false" outlineLevel="1" collapsed="false">
      <c r="A3412" s="7" t="s">
        <v>644</v>
      </c>
      <c r="B3412" s="8" t="s">
        <v>11</v>
      </c>
      <c r="C3412" s="61" t="n">
        <f aca="false">C3398*Pressupostos!$C$143*(1+Pressupostos!$C$127)^0*(1+Pressupostos!$C$144)</f>
        <v>16000</v>
      </c>
      <c r="D3412" s="61" t="n">
        <f aca="false">D3398*Pressupostos!$C$143*(1+Pressupostos!$C$127)^1*(1+Pressupostos!$C$144)</f>
        <v>32960</v>
      </c>
      <c r="E3412" s="61" t="n">
        <f aca="false">E3398*Pressupostos!$C$143*(1+Pressupostos!$C$127)^2*(1+Pressupostos!$C$144)</f>
        <v>33948.8</v>
      </c>
      <c r="F3412" s="61" t="n">
        <f aca="false">F3398*Pressupostos!$C$143*(1+Pressupostos!$C$127)^3*(1+Pressupostos!$C$144)</f>
        <v>34967.264</v>
      </c>
      <c r="G3412" s="61" t="n">
        <f aca="false">G3398*Pressupostos!$C$143*(1+Pressupostos!$C$127)^4*(1+Pressupostos!$C$144)</f>
        <v>36016.28192</v>
      </c>
      <c r="H3412" s="2" t="s">
        <v>1334</v>
      </c>
    </row>
    <row r="3413" customFormat="false" ht="15" hidden="false" customHeight="false" outlineLevel="1" collapsed="false">
      <c r="A3413" s="7" t="s">
        <v>645</v>
      </c>
      <c r="B3413" s="8" t="s">
        <v>11</v>
      </c>
      <c r="C3413" s="61" t="n">
        <f aca="false">C3399*Pressupostos!$C$145*(1+Pressupostos!$C$127)^0*(1+Pressupostos!$C$146)</f>
        <v>34500</v>
      </c>
      <c r="D3413" s="61" t="n">
        <f aca="false">D3399*Pressupostos!$C$145*(1+Pressupostos!$C$127)^1*(1+Pressupostos!$C$146)</f>
        <v>35535</v>
      </c>
      <c r="E3413" s="61" t="n">
        <f aca="false">E3399*Pressupostos!$C$145*(1+Pressupostos!$C$127)^2*(1+Pressupostos!$C$146)</f>
        <v>73202.1</v>
      </c>
      <c r="F3413" s="61" t="n">
        <f aca="false">F3399*Pressupostos!$C$145*(1+Pressupostos!$C$127)^3*(1+Pressupostos!$C$146)</f>
        <v>113097.2445</v>
      </c>
      <c r="G3413" s="61" t="n">
        <f aca="false">G3399*Pressupostos!$C$145*(1+Pressupostos!$C$127)^4*(1+Pressupostos!$C$146)</f>
        <v>194150.269725</v>
      </c>
      <c r="H3413" s="2" t="s">
        <v>1335</v>
      </c>
    </row>
    <row r="3414" customFormat="false" ht="15" hidden="false" customHeight="false" outlineLevel="1" collapsed="false">
      <c r="A3414" s="7" t="s">
        <v>646</v>
      </c>
      <c r="B3414" s="8" t="s">
        <v>11</v>
      </c>
      <c r="C3414" s="61" t="n">
        <f aca="false">C3400*Pressupostos!$C$147*(1+Pressupostos!$C$127)^0*(1+Pressupostos!$C$148)</f>
        <v>0</v>
      </c>
      <c r="D3414" s="61" t="n">
        <f aca="false">D3400*Pressupostos!$C$147*(1+Pressupostos!$C$127)^1*(1+Pressupostos!$C$148)</f>
        <v>0</v>
      </c>
      <c r="E3414" s="61" t="n">
        <f aca="false">E3400*Pressupostos!$C$147*(1+Pressupostos!$C$127)^2*(1+Pressupostos!$C$148)</f>
        <v>0</v>
      </c>
      <c r="F3414" s="61" t="n">
        <f aca="false">F3400*Pressupostos!$C$147*(1+Pressupostos!$C$127)^3*(1+Pressupostos!$C$148)</f>
        <v>49172.715</v>
      </c>
      <c r="G3414" s="61" t="n">
        <f aca="false">G3400*Pressupostos!$C$147*(1+Pressupostos!$C$127)^4*(1+Pressupostos!$C$148)</f>
        <v>50647.89645</v>
      </c>
      <c r="H3414" s="2" t="s">
        <v>1336</v>
      </c>
    </row>
    <row r="3415" customFormat="false" ht="15" hidden="false" customHeight="false" outlineLevel="1" collapsed="false">
      <c r="A3415" s="7" t="s">
        <v>647</v>
      </c>
      <c r="B3415" s="8" t="s">
        <v>11</v>
      </c>
      <c r="C3415" s="61" t="n">
        <f aca="false">C3401*Pressupostos!$C$149*(1+Pressupostos!$C$127)^0*(1+Pressupostos!$C$150)</f>
        <v>0</v>
      </c>
      <c r="D3415" s="61" t="n">
        <f aca="false">D3401*Pressupostos!$C$149*(1+Pressupostos!$C$127)^1*(1+Pressupostos!$C$150)</f>
        <v>0</v>
      </c>
      <c r="E3415" s="61" t="n">
        <f aca="false">E3401*Pressupostos!$C$149*(1+Pressupostos!$C$127)^2*(1+Pressupostos!$C$150)</f>
        <v>0</v>
      </c>
      <c r="F3415" s="61" t="n">
        <f aca="false">F3401*Pressupostos!$C$149*(1+Pressupostos!$C$127)^3*(1+Pressupostos!$C$150)</f>
        <v>0</v>
      </c>
      <c r="G3415" s="61" t="n">
        <f aca="false">G3401*Pressupostos!$C$149*(1+Pressupostos!$C$127)^4*(1+Pressupostos!$C$150)</f>
        <v>45020.3524</v>
      </c>
      <c r="H3415" s="2" t="s">
        <v>1337</v>
      </c>
    </row>
    <row r="3416" customFormat="false" ht="15" hidden="false" customHeight="false" outlineLevel="1" collapsed="false">
      <c r="A3416" s="7" t="s">
        <v>648</v>
      </c>
      <c r="B3416" s="8" t="s">
        <v>11</v>
      </c>
      <c r="C3416" s="61" t="n">
        <f aca="false">C3402*Pressupostos!$C$151*(1+Pressupostos!$C$127)^0*(1+Pressupostos!$C$152)</f>
        <v>0</v>
      </c>
      <c r="D3416" s="61" t="n">
        <f aca="false">D3402*Pressupostos!$C$151*(1+Pressupostos!$C$127)^1*(1+Pressupostos!$C$152)</f>
        <v>0</v>
      </c>
      <c r="E3416" s="61" t="n">
        <f aca="false">E3402*Pressupostos!$C$151*(1+Pressupostos!$C$127)^2*(1+Pressupostos!$C$152)</f>
        <v>25461.6</v>
      </c>
      <c r="F3416" s="61" t="n">
        <f aca="false">F3402*Pressupostos!$C$151*(1+Pressupostos!$C$127)^3*(1+Pressupostos!$C$152)</f>
        <v>26225.448</v>
      </c>
      <c r="G3416" s="61" t="n">
        <f aca="false">G3402*Pressupostos!$C$151*(1+Pressupostos!$C$127)^4*(1+Pressupostos!$C$152)</f>
        <v>27012.21144</v>
      </c>
      <c r="H3416" s="2" t="s">
        <v>1338</v>
      </c>
    </row>
    <row r="3417" customFormat="false" ht="15" hidden="false" customHeight="false" outlineLevel="1" collapsed="false">
      <c r="A3417" s="7" t="s">
        <v>649</v>
      </c>
      <c r="B3417" s="8" t="s">
        <v>11</v>
      </c>
      <c r="C3417" s="61" t="n">
        <f aca="false">C3403*Pressupostos!$C$153*(1+Pressupostos!$C$127)^0*(1+Pressupostos!$C$154)</f>
        <v>0</v>
      </c>
      <c r="D3417" s="61" t="n">
        <f aca="false">D3403*Pressupostos!$C$153*(1+Pressupostos!$C$127)^1*(1+Pressupostos!$C$154)</f>
        <v>0</v>
      </c>
      <c r="E3417" s="61" t="n">
        <f aca="false">E3403*Pressupostos!$C$153*(1+Pressupostos!$C$127)^2*(1+Pressupostos!$C$154)</f>
        <v>0</v>
      </c>
      <c r="F3417" s="61" t="n">
        <f aca="false">F3403*Pressupostos!$C$153*(1+Pressupostos!$C$127)^3*(1+Pressupostos!$C$154)</f>
        <v>0</v>
      </c>
      <c r="G3417" s="61" t="n">
        <f aca="false">G3403*Pressupostos!$C$153*(1+Pressupostos!$C$127)^4*(1+Pressupostos!$C$154)</f>
        <v>0</v>
      </c>
      <c r="H3417" s="2" t="s">
        <v>1339</v>
      </c>
    </row>
    <row r="3418" customFormat="false" ht="15" hidden="false" customHeight="false" outlineLevel="1" collapsed="false">
      <c r="A3418" s="7" t="s">
        <v>652</v>
      </c>
      <c r="B3418" s="8" t="s">
        <v>11</v>
      </c>
      <c r="C3418" s="61" t="n">
        <f aca="false">C3406+C3407+C3408+C3409+C3410+C3411+C3412+C3413+C3414+C3415+C3416+C3417</f>
        <v>307662.5</v>
      </c>
      <c r="D3418" s="61" t="n">
        <f aca="false">D3406+D3407+D3408+D3409+D3410+D3411+D3412+D3413+D3414+D3415+D3416+D3417</f>
        <v>390885</v>
      </c>
      <c r="E3418" s="61" t="n">
        <f aca="false">E3406+E3407+E3408+E3409+E3410+E3411+E3412+E3413+E3414+E3415+E3416+E3417</f>
        <v>512414.7</v>
      </c>
      <c r="F3418" s="61" t="n">
        <f aca="false">F3406+F3407+F3408+F3409+F3410+F3411+F3412+F3413+F3414+F3415+F3416+F3417</f>
        <v>656182.5635</v>
      </c>
      <c r="G3418" s="61" t="n">
        <f aca="false">G3406+G3407+G3408+G3409+G3410+G3411+G3412+G3413+G3414+G3415+G3416+G3417</f>
        <v>798548.500695</v>
      </c>
      <c r="H3418" s="2" t="s">
        <v>1340</v>
      </c>
    </row>
    <row r="3419" customFormat="false" ht="15" hidden="false" customHeight="false" outlineLevel="1" collapsed="false">
      <c r="A3419" s="7" t="s">
        <v>653</v>
      </c>
      <c r="B3419" s="8" t="s">
        <v>11</v>
      </c>
      <c r="C3419" s="61" t="n">
        <f aca="false">C3418*(Pressupostos!$C$124+Pressupostos!$C$125)</f>
        <v>79223.09375</v>
      </c>
      <c r="D3419" s="61" t="n">
        <f aca="false">D3418*(Pressupostos!$C$124+Pressupostos!$C$125)</f>
        <v>100652.8875</v>
      </c>
      <c r="E3419" s="61" t="n">
        <f aca="false">E3418*(Pressupostos!$C$124+Pressupostos!$C$125)</f>
        <v>131946.78525</v>
      </c>
      <c r="F3419" s="61" t="n">
        <f aca="false">F3418*(Pressupostos!$C$124+Pressupostos!$C$125)</f>
        <v>168967.01010125</v>
      </c>
      <c r="G3419" s="61" t="n">
        <f aca="false">G3418*(Pressupostos!$C$124+Pressupostos!$C$125)</f>
        <v>205626.238928963</v>
      </c>
      <c r="H3419" s="2" t="s">
        <v>1341</v>
      </c>
    </row>
    <row r="3420" customFormat="false" ht="15" hidden="false" customHeight="false" outlineLevel="1" collapsed="false">
      <c r="A3420" s="7" t="s">
        <v>654</v>
      </c>
      <c r="B3420" s="8" t="s">
        <v>11</v>
      </c>
      <c r="C3420" s="61" t="n">
        <f aca="false">C3404*Pressupostos!$C$126*(1+Pressupostos!$C$127)^0</f>
        <v>14000</v>
      </c>
      <c r="D3420" s="61" t="n">
        <f aca="false">D3404*Pressupostos!$C$126*(1+Pressupostos!$C$127)^1</f>
        <v>16480</v>
      </c>
      <c r="E3420" s="61" t="n">
        <f aca="false">E3404*Pressupostos!$C$126*(1+Pressupostos!$C$127)^2</f>
        <v>23339.8</v>
      </c>
      <c r="F3420" s="61" t="n">
        <f aca="false">F3404*Pressupostos!$C$126*(1+Pressupostos!$C$127)^3</f>
        <v>30596.356</v>
      </c>
      <c r="G3420" s="61" t="n">
        <f aca="false">G3404*Pressupostos!$C$126*(1+Pressupostos!$C$127)^4</f>
        <v>38267.29954</v>
      </c>
      <c r="H3420" s="2" t="s">
        <v>1342</v>
      </c>
    </row>
    <row r="3421" customFormat="false" ht="15" hidden="false" customHeight="false" outlineLevel="1" collapsed="false">
      <c r="A3421" s="56" t="s">
        <v>655</v>
      </c>
      <c r="B3421" s="57" t="s">
        <v>11</v>
      </c>
      <c r="C3421" s="62" t="n">
        <f aca="false">C3418+C3419+C3420</f>
        <v>400885.59375</v>
      </c>
      <c r="D3421" s="62" t="n">
        <f aca="false">D3418+D3419+D3420</f>
        <v>508017.8875</v>
      </c>
      <c r="E3421" s="62" t="n">
        <f aca="false">E3418+E3419+E3420</f>
        <v>667701.28525</v>
      </c>
      <c r="F3421" s="62" t="n">
        <f aca="false">F3418+F3419+F3420</f>
        <v>855745.92960125</v>
      </c>
      <c r="G3421" s="62" t="n">
        <f aca="false">G3418+G3419+G3420</f>
        <v>1042442.03916396</v>
      </c>
      <c r="H3421" s="2" t="s">
        <v>1343</v>
      </c>
    </row>
    <row r="3422" customFormat="false" ht="15" hidden="false" customHeight="false" outlineLevel="1" collapsed="false">
      <c r="A3422" s="2" t="s">
        <v>656</v>
      </c>
      <c r="B3422" s="8" t="s">
        <v>11</v>
      </c>
      <c r="C3422" s="61" t="n">
        <f aca="false">IF(C3404&gt;0,C3421/C3404,0)</f>
        <v>57269.3705357143</v>
      </c>
      <c r="D3422" s="61" t="n">
        <f aca="false">IF(D3404&gt;0,D3421/D3404,0)</f>
        <v>63502.2359375</v>
      </c>
      <c r="E3422" s="61" t="n">
        <f aca="false">IF(E3404&gt;0,E3421/E3404,0)</f>
        <v>60700.1168409091</v>
      </c>
      <c r="F3422" s="61" t="n">
        <f aca="false">IF(F3404&gt;0,F3421/F3404,0)</f>
        <v>61124.7092572321</v>
      </c>
      <c r="G3422" s="61" t="n">
        <f aca="false">IF(G3404&gt;0,G3421/G3404,0)</f>
        <v>61320.1199508213</v>
      </c>
      <c r="H3422" s="2" t="s">
        <v>1344</v>
      </c>
    </row>
    <row r="3423" customFormat="false" ht="15" hidden="false" customHeight="false" outlineLevel="0" collapsed="false">
      <c r="A3423" s="3" t="s">
        <v>1345</v>
      </c>
      <c r="B3423" s="4"/>
      <c r="C3423" s="4"/>
      <c r="D3423" s="4"/>
      <c r="E3423" s="4"/>
      <c r="F3423" s="4"/>
      <c r="G3423" s="4"/>
      <c r="H3423" s="4"/>
    </row>
    <row r="3424" customFormat="false" ht="15" hidden="false" customHeight="false" outlineLevel="1" collapsed="false">
      <c r="A3424" s="7" t="s">
        <v>449</v>
      </c>
      <c r="B3424" s="8" t="s">
        <v>11</v>
      </c>
      <c r="C3424" s="61" t="n">
        <f aca="false">Pressupostos!$C$405*(1+Pressupostos!$C$156)*(1+Pressupostos!$C$157)^0</f>
        <v>94500</v>
      </c>
      <c r="D3424" s="61" t="n">
        <f aca="false">Pressupostos!$D$405*(1+Pressupostos!$C$156)*(1+Pressupostos!$C$157)^1</f>
        <v>53550</v>
      </c>
      <c r="E3424" s="61" t="n">
        <f aca="false">Pressupostos!$E$405*(1+Pressupostos!$C$156)*(1+Pressupostos!$C$157)^2</f>
        <v>49158.9</v>
      </c>
      <c r="F3424" s="61" t="n">
        <f aca="false">Pressupostos!$F$405*(1+Pressupostos!$C$156)*(1+Pressupostos!$C$157)^3</f>
        <v>50142.078</v>
      </c>
      <c r="G3424" s="61" t="n">
        <f aca="false">Pressupostos!$G$405*(1+Pressupostos!$C$156)*(1+Pressupostos!$C$157)^4</f>
        <v>51144.91956</v>
      </c>
      <c r="H3424" s="2" t="s">
        <v>1346</v>
      </c>
    </row>
    <row r="3425" customFormat="false" ht="15" hidden="false" customHeight="false" outlineLevel="1" collapsed="false">
      <c r="A3425" s="7" t="s">
        <v>451</v>
      </c>
      <c r="B3425" s="8" t="s">
        <v>11</v>
      </c>
      <c r="C3425" s="61" t="n">
        <f aca="false">Pressupostos!$C$411*(1+Pressupostos!$C$156)*(1+Pressupostos!$C$157)^0</f>
        <v>10500</v>
      </c>
      <c r="D3425" s="61" t="n">
        <f aca="false">Pressupostos!$D$411*(1+Pressupostos!$C$156)*(1+Pressupostos!$C$157)^1</f>
        <v>10710</v>
      </c>
      <c r="E3425" s="61" t="n">
        <f aca="false">Pressupostos!$E$411*(1+Pressupostos!$C$156)*(1+Pressupostos!$C$157)^2</f>
        <v>10924.2</v>
      </c>
      <c r="F3425" s="61" t="n">
        <f aca="false">Pressupostos!$F$411*(1+Pressupostos!$C$156)*(1+Pressupostos!$C$157)^3</f>
        <v>11142.684</v>
      </c>
      <c r="G3425" s="61" t="n">
        <f aca="false">Pressupostos!$G$411*(1+Pressupostos!$C$156)*(1+Pressupostos!$C$157)^4</f>
        <v>11365.53768</v>
      </c>
      <c r="H3425" s="2" t="s">
        <v>1347</v>
      </c>
    </row>
    <row r="3426" customFormat="false" ht="15" hidden="false" customHeight="false" outlineLevel="1" collapsed="false">
      <c r="A3426" s="7" t="s">
        <v>452</v>
      </c>
      <c r="B3426" s="8" t="s">
        <v>11</v>
      </c>
      <c r="C3426" s="61" t="n">
        <f aca="false">Pressupostos!$C$417*(1+Pressupostos!$C$156)*(1+Pressupostos!$C$157)^0</f>
        <v>12600</v>
      </c>
      <c r="D3426" s="61" t="n">
        <f aca="false">Pressupostos!$D$417*(1+Pressupostos!$C$156)*(1+Pressupostos!$C$157)^1</f>
        <v>12852</v>
      </c>
      <c r="E3426" s="61" t="n">
        <f aca="false">Pressupostos!$E$417*(1+Pressupostos!$C$156)*(1+Pressupostos!$C$157)^2</f>
        <v>13109.04</v>
      </c>
      <c r="F3426" s="61" t="n">
        <f aca="false">Pressupostos!$F$417*(1+Pressupostos!$C$156)*(1+Pressupostos!$C$157)^3</f>
        <v>0</v>
      </c>
      <c r="G3426" s="61" t="n">
        <f aca="false">Pressupostos!$G$417*(1+Pressupostos!$C$156)*(1+Pressupostos!$C$157)^4</f>
        <v>0</v>
      </c>
      <c r="H3426" s="2" t="s">
        <v>1348</v>
      </c>
    </row>
    <row r="3427" customFormat="false" ht="15" hidden="false" customHeight="false" outlineLevel="1" collapsed="false">
      <c r="A3427" s="7" t="s">
        <v>454</v>
      </c>
      <c r="B3427" s="8" t="s">
        <v>11</v>
      </c>
      <c r="C3427" s="61" t="n">
        <f aca="false">Pressupostos!$C$423*(1+Pressupostos!$C$156)*(1+Pressupostos!$C$157)^0</f>
        <v>31500</v>
      </c>
      <c r="D3427" s="61" t="n">
        <f aca="false">Pressupostos!$D$423*(1+Pressupostos!$C$156)*(1+Pressupostos!$C$157)^1</f>
        <v>42840</v>
      </c>
      <c r="E3427" s="61" t="n">
        <f aca="false">Pressupostos!$E$423*(1+Pressupostos!$C$156)*(1+Pressupostos!$C$157)^2</f>
        <v>60083.1</v>
      </c>
      <c r="F3427" s="61" t="n">
        <f aca="false">Pressupostos!$F$423*(1+Pressupostos!$C$156)*(1+Pressupostos!$C$157)^3</f>
        <v>77998.788</v>
      </c>
      <c r="G3427" s="61" t="n">
        <f aca="false">Pressupostos!$G$423*(1+Pressupostos!$C$156)*(1+Pressupostos!$C$157)^4</f>
        <v>96607.07028</v>
      </c>
      <c r="H3427" s="2" t="s">
        <v>1349</v>
      </c>
    </row>
    <row r="3428" customFormat="false" ht="15" hidden="false" customHeight="false" outlineLevel="1" collapsed="false">
      <c r="A3428" s="7" t="s">
        <v>456</v>
      </c>
      <c r="B3428" s="8" t="s">
        <v>11</v>
      </c>
      <c r="C3428" s="61" t="n">
        <f aca="false">Pressupostos!$C$429*(1+Pressupostos!$C$156)*(1+Pressupostos!$C$157)^0</f>
        <v>15750</v>
      </c>
      <c r="D3428" s="61" t="n">
        <f aca="false">Pressupostos!$D$429*(1+Pressupostos!$C$156)*(1+Pressupostos!$C$157)^1</f>
        <v>16065</v>
      </c>
      <c r="E3428" s="61" t="n">
        <f aca="false">Pressupostos!$E$429*(1+Pressupostos!$C$156)*(1+Pressupostos!$C$157)^2</f>
        <v>38234.7</v>
      </c>
      <c r="F3428" s="61" t="n">
        <f aca="false">Pressupostos!$F$429*(1+Pressupostos!$C$156)*(1+Pressupostos!$C$157)^3</f>
        <v>22285.368</v>
      </c>
      <c r="G3428" s="61" t="n">
        <f aca="false">Pressupostos!$G$429*(1+Pressupostos!$C$156)*(1+Pressupostos!$C$157)^4</f>
        <v>22731.07536</v>
      </c>
      <c r="H3428" s="2" t="s">
        <v>1350</v>
      </c>
    </row>
    <row r="3429" customFormat="false" ht="15" hidden="false" customHeight="false" outlineLevel="1" collapsed="false">
      <c r="A3429" s="7" t="s">
        <v>458</v>
      </c>
      <c r="B3429" s="8" t="s">
        <v>11</v>
      </c>
      <c r="C3429" s="61" t="n">
        <f aca="false">Pressupostos!$C$435*(1+Pressupostos!$C$156)*(1+Pressupostos!$C$157)^0</f>
        <v>10500</v>
      </c>
      <c r="D3429" s="61" t="n">
        <f aca="false">Pressupostos!$D$435*(1+Pressupostos!$C$156)*(1+Pressupostos!$C$157)^1</f>
        <v>12852</v>
      </c>
      <c r="E3429" s="61" t="n">
        <f aca="false">Pressupostos!$E$435*(1+Pressupostos!$C$156)*(1+Pressupostos!$C$157)^2</f>
        <v>16386.3</v>
      </c>
      <c r="F3429" s="61" t="n">
        <f aca="false">Pressupostos!$F$435*(1+Pressupostos!$C$156)*(1+Pressupostos!$C$157)^3</f>
        <v>20056.8312</v>
      </c>
      <c r="G3429" s="61" t="n">
        <f aca="false">Pressupostos!$G$435*(1+Pressupostos!$C$156)*(1+Pressupostos!$C$157)^4</f>
        <v>22731.07536</v>
      </c>
      <c r="H3429" s="2" t="s">
        <v>1351</v>
      </c>
    </row>
    <row r="3430" customFormat="false" ht="15" hidden="false" customHeight="false" outlineLevel="1" collapsed="false">
      <c r="A3430" s="7" t="s">
        <v>459</v>
      </c>
      <c r="B3430" s="8" t="s">
        <v>11</v>
      </c>
      <c r="C3430" s="61" t="n">
        <f aca="false">Pressupostos!$C$441*(1+Pressupostos!$C$156)*(1+Pressupostos!$C$157)^0</f>
        <v>42000</v>
      </c>
      <c r="D3430" s="61" t="n">
        <f aca="false">Pressupostos!$D$441*(1+Pressupostos!$C$156)*(1+Pressupostos!$C$157)^1</f>
        <v>53550</v>
      </c>
      <c r="E3430" s="61" t="n">
        <f aca="false">Pressupostos!$E$441*(1+Pressupostos!$C$156)*(1+Pressupostos!$C$157)^2</f>
        <v>76469.4</v>
      </c>
      <c r="F3430" s="61" t="n">
        <f aca="false">Pressupostos!$F$441*(1+Pressupostos!$C$156)*(1+Pressupostos!$C$157)^3</f>
        <v>100284.156</v>
      </c>
      <c r="G3430" s="61" t="n">
        <f aca="false">Pressupostos!$G$441*(1+Pressupostos!$C$156)*(1+Pressupostos!$C$157)^4</f>
        <v>125020.91448</v>
      </c>
      <c r="H3430" s="2" t="s">
        <v>1352</v>
      </c>
    </row>
    <row r="3431" customFormat="false" ht="15" hidden="false" customHeight="false" outlineLevel="1" collapsed="false">
      <c r="A3431" s="7" t="s">
        <v>461</v>
      </c>
      <c r="B3431" s="8" t="s">
        <v>11</v>
      </c>
      <c r="C3431" s="61" t="n">
        <f aca="false">Pressupostos!$C$447*(1+Pressupostos!$C$156)*(1+Pressupostos!$C$157)^0</f>
        <v>12600</v>
      </c>
      <c r="D3431" s="61" t="n">
        <f aca="false">Pressupostos!$D$447*(1+Pressupostos!$C$156)*(1+Pressupostos!$C$157)^1</f>
        <v>16065</v>
      </c>
      <c r="E3431" s="61" t="n">
        <f aca="false">Pressupostos!$E$447*(1+Pressupostos!$C$156)*(1+Pressupostos!$C$157)^2</f>
        <v>26218.08</v>
      </c>
      <c r="F3431" s="61" t="n">
        <f aca="false">Pressupostos!$F$447*(1+Pressupostos!$C$156)*(1+Pressupostos!$C$157)^3</f>
        <v>33428.052</v>
      </c>
      <c r="G3431" s="61" t="n">
        <f aca="false">Pressupostos!$G$447*(1+Pressupostos!$C$156)*(1+Pressupostos!$C$157)^4</f>
        <v>40915.935648</v>
      </c>
      <c r="H3431" s="2" t="s">
        <v>1353</v>
      </c>
    </row>
    <row r="3432" customFormat="false" ht="15" hidden="false" customHeight="false" outlineLevel="1" collapsed="false">
      <c r="A3432" s="7" t="s">
        <v>463</v>
      </c>
      <c r="B3432" s="8" t="s">
        <v>11</v>
      </c>
      <c r="C3432" s="61" t="n">
        <f aca="false">Pressupostos!$C$453*(1+Pressupostos!$C$156)*(1+Pressupostos!$C$157)^0</f>
        <v>18900</v>
      </c>
      <c r="D3432" s="61" t="n">
        <f aca="false">Pressupostos!$D$453*(1+Pressupostos!$C$156)*(1+Pressupostos!$C$157)^1</f>
        <v>23562</v>
      </c>
      <c r="E3432" s="61" t="n">
        <f aca="false">Pressupostos!$E$453*(1+Pressupostos!$C$156)*(1+Pressupostos!$C$157)^2</f>
        <v>32772.6</v>
      </c>
      <c r="F3432" s="61" t="n">
        <f aca="false">Pressupostos!$F$453*(1+Pressupostos!$C$156)*(1+Pressupostos!$C$157)^3</f>
        <v>42342.1992</v>
      </c>
      <c r="G3432" s="61" t="n">
        <f aca="false">Pressupostos!$G$453*(1+Pressupostos!$C$156)*(1+Pressupostos!$C$157)^4</f>
        <v>51144.91956</v>
      </c>
      <c r="H3432" s="2" t="s">
        <v>1354</v>
      </c>
    </row>
    <row r="3433" customFormat="false" ht="15" hidden="false" customHeight="false" outlineLevel="1" collapsed="false">
      <c r="A3433" s="7" t="s">
        <v>464</v>
      </c>
      <c r="B3433" s="8" t="s">
        <v>11</v>
      </c>
      <c r="C3433" s="61" t="n">
        <f aca="false">Pressupostos!$C$459*(1+Pressupostos!$C$156)*(1+Pressupostos!$C$157)^0</f>
        <v>5250</v>
      </c>
      <c r="D3433" s="61" t="n">
        <f aca="false">Pressupostos!$D$459*(1+Pressupostos!$C$156)*(1+Pressupostos!$C$157)^1</f>
        <v>8568</v>
      </c>
      <c r="E3433" s="61" t="n">
        <f aca="false">Pressupostos!$E$459*(1+Pressupostos!$C$156)*(1+Pressupostos!$C$157)^2</f>
        <v>13109.04</v>
      </c>
      <c r="F3433" s="61" t="n">
        <f aca="false">Pressupostos!$F$459*(1+Pressupostos!$C$156)*(1+Pressupostos!$C$157)^3</f>
        <v>16714.026</v>
      </c>
      <c r="G3433" s="61" t="n">
        <f aca="false">Pressupostos!$G$459*(1+Pressupostos!$C$156)*(1+Pressupostos!$C$157)^4</f>
        <v>17048.30652</v>
      </c>
      <c r="H3433" s="2" t="s">
        <v>1355</v>
      </c>
    </row>
    <row r="3434" customFormat="false" ht="15" hidden="false" customHeight="false" outlineLevel="1" collapsed="false">
      <c r="A3434" s="7" t="s">
        <v>701</v>
      </c>
      <c r="B3434" s="8" t="s">
        <v>11</v>
      </c>
      <c r="C3434" s="61" t="n">
        <f aca="false">C3424+C3425+C3426+C3427+C3428+C3429+C3430+C3431+C3432+C3433</f>
        <v>254100</v>
      </c>
      <c r="D3434" s="61" t="n">
        <f aca="false">D3424+D3425+D3426+D3427+D3428+D3429+D3430+D3431+D3432+D3433</f>
        <v>250614</v>
      </c>
      <c r="E3434" s="61" t="n">
        <f aca="false">E3424+E3425+E3426+E3427+E3428+E3429+E3430+E3431+E3432+E3433</f>
        <v>336465.36</v>
      </c>
      <c r="F3434" s="61" t="n">
        <f aca="false">F3424+F3425+F3426+F3427+F3428+F3429+F3430+F3431+F3432+F3433</f>
        <v>374394.1824</v>
      </c>
      <c r="G3434" s="61" t="n">
        <f aca="false">G3424+G3425+G3426+G3427+G3428+G3429+G3430+G3431+G3432+G3433</f>
        <v>438709.754448</v>
      </c>
      <c r="H3434" s="2" t="s">
        <v>1356</v>
      </c>
    </row>
    <row r="3435" customFormat="false" ht="15" hidden="false" customHeight="false" outlineLevel="1" collapsed="false">
      <c r="A3435" s="7" t="s">
        <v>702</v>
      </c>
      <c r="B3435" s="8" t="s">
        <v>11</v>
      </c>
      <c r="C3435" s="61" t="n">
        <f aca="false">Pressupostos!$C$114+Pressupostos!$C$115+Pressupostos!$C$116*Pressupostos!$C$294+Pressupostos!$C$466+Pressupostos!$C$306</f>
        <v>65000</v>
      </c>
      <c r="D3435" s="61" t="n">
        <f aca="false">Pressupostos!$C$115+Pressupostos!$C$116*Pressupostos!$D$294+Pressupostos!$D$466+Pressupostos!$D$306</f>
        <v>65000</v>
      </c>
      <c r="E3435" s="61" t="n">
        <f aca="false">Pressupostos!$C$115+Pressupostos!$C$116*Pressupostos!$E$294+Pressupostos!$E$466+Pressupostos!$E$306</f>
        <v>70000</v>
      </c>
      <c r="F3435" s="61" t="n">
        <f aca="false">Pressupostos!$C$115+Pressupostos!$C$116*Pressupostos!$F$294+Pressupostos!$F$466+Pressupostos!$F$306</f>
        <v>75000</v>
      </c>
      <c r="G3435" s="61" t="n">
        <f aca="false">Pressupostos!$C$115+Pressupostos!$C$116*Pressupostos!$G$294+Pressupostos!$G$466+Pressupostos!$G$306</f>
        <v>80000</v>
      </c>
      <c r="H3435" s="2" t="s">
        <v>1357</v>
      </c>
    </row>
    <row r="3436" customFormat="false" ht="15" hidden="false" customHeight="false" outlineLevel="1" collapsed="false">
      <c r="A3436" s="7" t="s">
        <v>703</v>
      </c>
      <c r="B3436" s="8" t="s">
        <v>11</v>
      </c>
      <c r="C3436" s="61" t="n">
        <f aca="false">IF(C3248&lt;Pressupostos!$C$120,0,MAX(Pressupostos!$C$300,Pressupostos!$C$118*(C3342+C3343)+Pressupostos!$C$119*C3344))</f>
        <v>0</v>
      </c>
      <c r="D3436" s="61" t="n">
        <f aca="false">IF(D3248&lt;Pressupostos!$C$120,0,MAX(Pressupostos!$D$300,Pressupostos!$C$118*(D3342+D3343)+Pressupostos!$C$119*D3344))</f>
        <v>9566.934</v>
      </c>
      <c r="E3436" s="61" t="n">
        <f aca="false">IF(E3248&lt;Pressupostos!$C$120,0,MAX(Pressupostos!$E$300,Pressupostos!$C$118*(E3342+E3343)+Pressupostos!$C$119*E3344))</f>
        <v>20481.006</v>
      </c>
      <c r="F3436" s="61" t="n">
        <f aca="false">IF(F3248&lt;Pressupostos!$C$120,0,MAX(Pressupostos!$F$300,Pressupostos!$C$118*(F3342+F3343)+Pressupostos!$C$119*F3344))</f>
        <v>35049.794</v>
      </c>
      <c r="G3436" s="61" t="n">
        <f aca="false">IF(G3248&lt;Pressupostos!$C$120,0,MAX(Pressupostos!$G$300,Pressupostos!$C$118*(G3342+G3343)+Pressupostos!$C$119*G3344))</f>
        <v>53192.62</v>
      </c>
      <c r="H3436" s="2" t="s">
        <v>1358</v>
      </c>
    </row>
    <row r="3437" customFormat="false" ht="15" hidden="false" customHeight="false" outlineLevel="1" collapsed="false">
      <c r="A3437" s="56" t="s">
        <v>704</v>
      </c>
      <c r="B3437" s="57" t="s">
        <v>11</v>
      </c>
      <c r="C3437" s="62" t="n">
        <f aca="false">C3434+C3435+C3436</f>
        <v>319100</v>
      </c>
      <c r="D3437" s="62" t="n">
        <f aca="false">D3434+D3435+D3436</f>
        <v>325180.934</v>
      </c>
      <c r="E3437" s="62" t="n">
        <f aca="false">E3434+E3435+E3436</f>
        <v>426946.366</v>
      </c>
      <c r="F3437" s="62" t="n">
        <f aca="false">F3434+F3435+F3436</f>
        <v>484443.9764</v>
      </c>
      <c r="G3437" s="62" t="n">
        <f aca="false">G3434+G3435+G3436</f>
        <v>571902.374448</v>
      </c>
      <c r="H3437" s="2" t="s">
        <v>1359</v>
      </c>
    </row>
    <row r="3438" customFormat="false" ht="15" hidden="false" customHeight="false" outlineLevel="0" collapsed="false">
      <c r="A3438" s="3" t="s">
        <v>1360</v>
      </c>
      <c r="B3438" s="4"/>
      <c r="C3438" s="4"/>
      <c r="D3438" s="4"/>
      <c r="E3438" s="4"/>
      <c r="F3438" s="4"/>
      <c r="G3438" s="4"/>
      <c r="H3438" s="4"/>
    </row>
    <row r="3439" customFormat="false" ht="15" hidden="false" customHeight="false" outlineLevel="1" collapsed="false">
      <c r="A3439" s="7" t="s">
        <v>706</v>
      </c>
      <c r="B3439" s="8" t="s">
        <v>11</v>
      </c>
      <c r="C3439" s="61" t="n">
        <f aca="false">Pressupostos!$C$165*Pressupostos!$C$313</f>
        <v>18000</v>
      </c>
      <c r="D3439" s="61" t="n">
        <f aca="false">Pressupostos!$C$165*Pressupostos!$D$313</f>
        <v>12000</v>
      </c>
      <c r="E3439" s="61" t="n">
        <f aca="false">Pressupostos!$C$165*Pressupostos!$E$313</f>
        <v>12000</v>
      </c>
      <c r="F3439" s="61" t="n">
        <f aca="false">Pressupostos!$C$165*Pressupostos!$F$313</f>
        <v>12000</v>
      </c>
      <c r="G3439" s="61" t="n">
        <f aca="false">Pressupostos!$C$165*Pressupostos!$G$313</f>
        <v>12000</v>
      </c>
      <c r="H3439" s="2" t="s">
        <v>1361</v>
      </c>
    </row>
    <row r="3440" customFormat="false" ht="15" hidden="false" customHeight="false" outlineLevel="1" collapsed="false">
      <c r="A3440" s="7" t="s">
        <v>707</v>
      </c>
      <c r="B3440" s="8" t="s">
        <v>11</v>
      </c>
      <c r="C3440" s="53" t="n">
        <f aca="false">Pressupostos!$C$319</f>
        <v>60000</v>
      </c>
      <c r="D3440" s="53" t="n">
        <f aca="false">Pressupostos!$D$319</f>
        <v>15000</v>
      </c>
      <c r="E3440" s="53" t="n">
        <f aca="false">Pressupostos!$E$319</f>
        <v>15000</v>
      </c>
      <c r="F3440" s="53" t="n">
        <f aca="false">Pressupostos!$F$319</f>
        <v>10000</v>
      </c>
      <c r="G3440" s="53" t="n">
        <f aca="false">Pressupostos!$G$319</f>
        <v>10000</v>
      </c>
      <c r="H3440" s="2" t="s">
        <v>1362</v>
      </c>
    </row>
    <row r="3441" customFormat="false" ht="15" hidden="false" customHeight="false" outlineLevel="1" collapsed="false">
      <c r="A3441" s="7" t="s">
        <v>708</v>
      </c>
      <c r="B3441" s="8" t="s">
        <v>11</v>
      </c>
      <c r="C3441" s="53" t="n">
        <f aca="false">Pressupostos!$C$325</f>
        <v>0</v>
      </c>
      <c r="D3441" s="53" t="n">
        <f aca="false">Pressupostos!$D$325</f>
        <v>15000</v>
      </c>
      <c r="E3441" s="53" t="n">
        <f aca="false">Pressupostos!$E$325</f>
        <v>15000</v>
      </c>
      <c r="F3441" s="53" t="n">
        <f aca="false">Pressupostos!$F$325</f>
        <v>10000</v>
      </c>
      <c r="G3441" s="53" t="n">
        <f aca="false">Pressupostos!$G$325</f>
        <v>10000</v>
      </c>
      <c r="H3441" s="2" t="s">
        <v>1363</v>
      </c>
    </row>
    <row r="3442" customFormat="false" ht="15" hidden="false" customHeight="false" outlineLevel="1" collapsed="false">
      <c r="A3442" s="7" t="s">
        <v>709</v>
      </c>
      <c r="B3442" s="8" t="s">
        <v>11</v>
      </c>
      <c r="C3442" s="61" t="n">
        <f aca="false">Pressupostos!$C$166*MAX(0,C3404)</f>
        <v>14000</v>
      </c>
      <c r="D3442" s="61" t="n">
        <f aca="false">Pressupostos!$C$166*MAX(0,D3404-C3404)</f>
        <v>2000</v>
      </c>
      <c r="E3442" s="61" t="n">
        <f aca="false">Pressupostos!$C$166*MAX(0,E3404-D3404)</f>
        <v>6000</v>
      </c>
      <c r="F3442" s="61" t="n">
        <f aca="false">Pressupostos!$C$166*MAX(0,F3404-E3404)</f>
        <v>6000</v>
      </c>
      <c r="G3442" s="61" t="n">
        <f aca="false">Pressupostos!$C$166*MAX(0,G3404-F3404)</f>
        <v>6000</v>
      </c>
      <c r="H3442" s="2" t="s">
        <v>1364</v>
      </c>
    </row>
    <row r="3443" customFormat="false" ht="15" hidden="false" customHeight="false" outlineLevel="1" collapsed="false">
      <c r="A3443" s="7" t="s">
        <v>424</v>
      </c>
      <c r="B3443" s="8" t="s">
        <v>11</v>
      </c>
      <c r="C3443" s="61" t="n">
        <f aca="false">C3439+C3440+C3441+C3442</f>
        <v>92000</v>
      </c>
      <c r="D3443" s="61" t="n">
        <f aca="false">D3439+D3440+D3441+D3442</f>
        <v>44000</v>
      </c>
      <c r="E3443" s="61" t="n">
        <f aca="false">E3439+E3440+E3441+E3442</f>
        <v>48000</v>
      </c>
      <c r="F3443" s="61" t="n">
        <f aca="false">F3439+F3440+F3441+F3442</f>
        <v>38000</v>
      </c>
      <c r="G3443" s="61" t="n">
        <f aca="false">G3439+G3440+G3441+G3442</f>
        <v>38000</v>
      </c>
      <c r="H3443" s="2" t="s">
        <v>1365</v>
      </c>
    </row>
    <row r="3444" customFormat="false" ht="15" hidden="false" customHeight="false" outlineLevel="1" collapsed="false">
      <c r="A3444" s="7" t="s">
        <v>710</v>
      </c>
      <c r="B3444" s="8" t="s">
        <v>11</v>
      </c>
      <c r="C3444" s="61" t="n">
        <f aca="false">(C3440*((0)&lt;Pressupostos!$C$167))/Pressupostos!$C$167</f>
        <v>20000</v>
      </c>
      <c r="D3444" s="61" t="n">
        <f aca="false">(C3440*((1)&lt;Pressupostos!$C$167)+D3440*((0)&lt;Pressupostos!$C$167))/Pressupostos!$C$167</f>
        <v>25000</v>
      </c>
      <c r="E3444" s="61" t="n">
        <f aca="false">(C3440*((2)&lt;Pressupostos!$C$167)+D3440*((1)&lt;Pressupostos!$C$167)+E3440*((0)&lt;Pressupostos!$C$167))/Pressupostos!$C$167</f>
        <v>30000</v>
      </c>
      <c r="F3444" s="61" t="n">
        <f aca="false">(C3440*((3)&lt;Pressupostos!$C$167)+D3440*((2)&lt;Pressupostos!$C$167)+E3440*((1)&lt;Pressupostos!$C$167)+F3440*((0)&lt;Pressupostos!$C$167))/Pressupostos!$C$167</f>
        <v>13333.3333333333</v>
      </c>
      <c r="G3444" s="61" t="n">
        <f aca="false">(C3440*((4)&lt;Pressupostos!$C$167)+D3440*((3)&lt;Pressupostos!$C$167)+E3440*((2)&lt;Pressupostos!$C$167)+F3440*((1)&lt;Pressupostos!$C$167)+G3440*((0)&lt;Pressupostos!$C$167))/Pressupostos!$C$167</f>
        <v>11666.6666666667</v>
      </c>
      <c r="H3444" s="2" t="s">
        <v>1366</v>
      </c>
    </row>
    <row r="3445" customFormat="false" ht="15" hidden="false" customHeight="false" outlineLevel="1" collapsed="false">
      <c r="A3445" s="7" t="s">
        <v>711</v>
      </c>
      <c r="B3445" s="8" t="s">
        <v>11</v>
      </c>
      <c r="C3445" s="61" t="n">
        <f aca="false">(C3441*((0)&lt;Pressupostos!$C$167))/Pressupostos!$C$167</f>
        <v>0</v>
      </c>
      <c r="D3445" s="61" t="n">
        <f aca="false">(C3441*((1)&lt;Pressupostos!$C$167)+D3441*((0)&lt;Pressupostos!$C$167))/Pressupostos!$C$167</f>
        <v>5000</v>
      </c>
      <c r="E3445" s="61" t="n">
        <f aca="false">(C3441*((2)&lt;Pressupostos!$C$167)+D3441*((1)&lt;Pressupostos!$C$167)+E3441*((0)&lt;Pressupostos!$C$167))/Pressupostos!$C$167</f>
        <v>10000</v>
      </c>
      <c r="F3445" s="61" t="n">
        <f aca="false">(C3441*((3)&lt;Pressupostos!$C$167)+D3441*((2)&lt;Pressupostos!$C$167)+E3441*((1)&lt;Pressupostos!$C$167)+F3441*((0)&lt;Pressupostos!$C$167))/Pressupostos!$C$167</f>
        <v>13333.3333333333</v>
      </c>
      <c r="G3445" s="61" t="n">
        <f aca="false">(C3441*((4)&lt;Pressupostos!$C$167)+D3441*((3)&lt;Pressupostos!$C$167)+E3441*((2)&lt;Pressupostos!$C$167)+F3441*((1)&lt;Pressupostos!$C$167)+G3441*((0)&lt;Pressupostos!$C$167))/Pressupostos!$C$167</f>
        <v>11666.6666666667</v>
      </c>
      <c r="H3445" s="2" t="s">
        <v>1367</v>
      </c>
    </row>
    <row r="3446" customFormat="false" ht="15" hidden="false" customHeight="false" outlineLevel="1" collapsed="false">
      <c r="A3446" s="7" t="s">
        <v>712</v>
      </c>
      <c r="B3446" s="8" t="s">
        <v>11</v>
      </c>
      <c r="C3446" s="61" t="n">
        <f aca="false">(C3439*((0)&lt;Pressupostos!$C$169))/Pressupostos!$C$169</f>
        <v>3600</v>
      </c>
      <c r="D3446" s="61" t="n">
        <f aca="false">(C3439*((1)&lt;Pressupostos!$C$169)+D3439*((0)&lt;Pressupostos!$C$169))/Pressupostos!$C$169</f>
        <v>6000</v>
      </c>
      <c r="E3446" s="61" t="n">
        <f aca="false">(C3439*((2)&lt;Pressupostos!$C$169)+D3439*((1)&lt;Pressupostos!$C$169)+E3439*((0)&lt;Pressupostos!$C$169))/Pressupostos!$C$169</f>
        <v>8400</v>
      </c>
      <c r="F3446" s="61" t="n">
        <f aca="false">(C3439*((3)&lt;Pressupostos!$C$169)+D3439*((2)&lt;Pressupostos!$C$169)+E3439*((1)&lt;Pressupostos!$C$169)+F3439*((0)&lt;Pressupostos!$C$169))/Pressupostos!$C$169</f>
        <v>10800</v>
      </c>
      <c r="G3446" s="61" t="n">
        <f aca="false">(C3439*((4)&lt;Pressupostos!$C$169)+D3439*((3)&lt;Pressupostos!$C$169)+E3439*((2)&lt;Pressupostos!$C$169)+F3439*((1)&lt;Pressupostos!$C$169)+G3439*((0)&lt;Pressupostos!$C$169))/Pressupostos!$C$169</f>
        <v>13200</v>
      </c>
      <c r="H3446" s="2" t="s">
        <v>1368</v>
      </c>
    </row>
    <row r="3447" customFormat="false" ht="15" hidden="false" customHeight="false" outlineLevel="1" collapsed="false">
      <c r="A3447" s="7" t="s">
        <v>713</v>
      </c>
      <c r="B3447" s="8" t="s">
        <v>11</v>
      </c>
      <c r="C3447" s="61" t="n">
        <f aca="false">(C3442*((0)&lt;Pressupostos!$C$168))/Pressupostos!$C$168</f>
        <v>3500</v>
      </c>
      <c r="D3447" s="61" t="n">
        <f aca="false">(C3442*((1)&lt;Pressupostos!$C$168)+D3442*((0)&lt;Pressupostos!$C$168))/Pressupostos!$C$168</f>
        <v>4000</v>
      </c>
      <c r="E3447" s="61" t="n">
        <f aca="false">(C3442*((2)&lt;Pressupostos!$C$168)+D3442*((1)&lt;Pressupostos!$C$168)+E3442*((0)&lt;Pressupostos!$C$168))/Pressupostos!$C$168</f>
        <v>5500</v>
      </c>
      <c r="F3447" s="61" t="n">
        <f aca="false">(C3442*((3)&lt;Pressupostos!$C$168)+D3442*((2)&lt;Pressupostos!$C$168)+E3442*((1)&lt;Pressupostos!$C$168)+F3442*((0)&lt;Pressupostos!$C$168))/Pressupostos!$C$168</f>
        <v>7000</v>
      </c>
      <c r="G3447" s="61" t="n">
        <f aca="false">(C3442*((4)&lt;Pressupostos!$C$168)+D3442*((3)&lt;Pressupostos!$C$168)+E3442*((2)&lt;Pressupostos!$C$168)+F3442*((1)&lt;Pressupostos!$C$168)+G3442*((0)&lt;Pressupostos!$C$168))/Pressupostos!$C$168</f>
        <v>5000</v>
      </c>
      <c r="H3447" s="2" t="s">
        <v>1369</v>
      </c>
    </row>
    <row r="3448" customFormat="false" ht="15" hidden="false" customHeight="false" outlineLevel="1" collapsed="false">
      <c r="A3448" s="7" t="s">
        <v>714</v>
      </c>
      <c r="B3448" s="8" t="s">
        <v>11</v>
      </c>
      <c r="C3448" s="61" t="n">
        <f aca="false">C3444+C3445+C3446+C3447</f>
        <v>27100</v>
      </c>
      <c r="D3448" s="61" t="n">
        <f aca="false">D3444+D3445+D3446+D3447</f>
        <v>40000</v>
      </c>
      <c r="E3448" s="61" t="n">
        <f aca="false">E3444+E3445+E3446+E3447</f>
        <v>53900</v>
      </c>
      <c r="F3448" s="61" t="n">
        <f aca="false">F3444+F3445+F3446+F3447</f>
        <v>44466.6666666667</v>
      </c>
      <c r="G3448" s="61" t="n">
        <f aca="false">G3444+G3445+G3446+G3447</f>
        <v>41533.3333333333</v>
      </c>
      <c r="H3448" s="2" t="s">
        <v>1370</v>
      </c>
    </row>
    <row r="3449" customFormat="false" ht="15" hidden="false" customHeight="false" outlineLevel="0" collapsed="false">
      <c r="A3449" s="3" t="s">
        <v>1371</v>
      </c>
      <c r="B3449" s="4"/>
      <c r="C3449" s="4"/>
      <c r="D3449" s="4"/>
      <c r="E3449" s="4"/>
      <c r="F3449" s="4"/>
      <c r="G3449" s="4"/>
      <c r="H3449" s="4"/>
    </row>
    <row r="3450" customFormat="false" ht="15" hidden="false" customHeight="false" outlineLevel="1" collapsed="false">
      <c r="A3450" s="56" t="s">
        <v>718</v>
      </c>
      <c r="B3450" s="57" t="s">
        <v>11</v>
      </c>
      <c r="C3450" s="62" t="n">
        <f aca="false">C3352</f>
        <v>361517</v>
      </c>
      <c r="D3450" s="62" t="n">
        <f aca="false">D3352</f>
        <v>2415945.5</v>
      </c>
      <c r="E3450" s="62" t="n">
        <f aca="false">E3352</f>
        <v>5493421.5</v>
      </c>
      <c r="F3450" s="62" t="n">
        <f aca="false">F3352</f>
        <v>9514576.5</v>
      </c>
      <c r="G3450" s="62" t="n">
        <f aca="false">G3352</f>
        <v>14561291</v>
      </c>
      <c r="H3450" s="2" t="s">
        <v>1372</v>
      </c>
    </row>
    <row r="3451" customFormat="false" ht="15" hidden="false" customHeight="false" outlineLevel="1" collapsed="false">
      <c r="A3451" s="7" t="s">
        <v>688</v>
      </c>
      <c r="B3451" s="8" t="s">
        <v>11</v>
      </c>
      <c r="C3451" s="61" t="n">
        <f aca="false">-C3375</f>
        <v>-316940</v>
      </c>
      <c r="D3451" s="61" t="n">
        <f aca="false">-D3375</f>
        <v>-2110810</v>
      </c>
      <c r="E3451" s="61" t="n">
        <f aca="false">-E3375</f>
        <v>-4765540</v>
      </c>
      <c r="F3451" s="61" t="n">
        <f aca="false">-F3375</f>
        <v>-8214960</v>
      </c>
      <c r="G3451" s="61" t="n">
        <f aca="false">-G3375</f>
        <v>-12546300</v>
      </c>
      <c r="H3451" s="2" t="s">
        <v>1373</v>
      </c>
    </row>
    <row r="3452" customFormat="false" ht="15" hidden="false" customHeight="false" outlineLevel="1" collapsed="false">
      <c r="A3452" s="56" t="s">
        <v>719</v>
      </c>
      <c r="B3452" s="57" t="s">
        <v>11</v>
      </c>
      <c r="C3452" s="62" t="n">
        <f aca="false">C3450+C3451</f>
        <v>44577</v>
      </c>
      <c r="D3452" s="62" t="n">
        <f aca="false">D3450+D3451</f>
        <v>305135.5</v>
      </c>
      <c r="E3452" s="62" t="n">
        <f aca="false">E3450+E3451</f>
        <v>727881.5</v>
      </c>
      <c r="F3452" s="62" t="n">
        <f aca="false">F3450+F3451</f>
        <v>1299616.5</v>
      </c>
      <c r="G3452" s="62" t="n">
        <f aca="false">G3450+G3451</f>
        <v>2014991</v>
      </c>
      <c r="H3452" s="2" t="s">
        <v>1374</v>
      </c>
    </row>
    <row r="3453" customFormat="false" ht="15" hidden="false" customHeight="false" outlineLevel="1" collapsed="false">
      <c r="A3453" s="2" t="s">
        <v>720</v>
      </c>
      <c r="B3453" s="8" t="s">
        <v>76</v>
      </c>
      <c r="C3453" s="59" t="n">
        <f aca="false">IF(C3450&gt;0,C3452/C3450,0)</f>
        <v>0.123305404725089</v>
      </c>
      <c r="D3453" s="59" t="n">
        <f aca="false">IF(D3450&gt;0,D3452/D3450,0)</f>
        <v>0.126300655374883</v>
      </c>
      <c r="E3453" s="59" t="n">
        <f aca="false">IF(E3450&gt;0,E3452/E3450,0)</f>
        <v>0.132500573640672</v>
      </c>
      <c r="F3453" s="59" t="n">
        <f aca="false">IF(F3450&gt;0,F3452/F3450,0)</f>
        <v>0.136592154154208</v>
      </c>
      <c r="G3453" s="59" t="n">
        <f aca="false">IF(G3450&gt;0,G3452/G3450,0)</f>
        <v>0.138379969193666</v>
      </c>
      <c r="H3453" s="2" t="s">
        <v>1375</v>
      </c>
    </row>
    <row r="3454" customFormat="false" ht="15" hidden="false" customHeight="false" outlineLevel="1" collapsed="false">
      <c r="A3454" s="7" t="s">
        <v>721</v>
      </c>
      <c r="B3454" s="8" t="s">
        <v>11</v>
      </c>
      <c r="C3454" s="61" t="n">
        <f aca="false">-C3386</f>
        <v>-19984.9755068493</v>
      </c>
      <c r="D3454" s="61" t="n">
        <f aca="false">-D3386</f>
        <v>-141413.158172211</v>
      </c>
      <c r="E3454" s="61" t="n">
        <f aca="false">-E3386</f>
        <v>-332629.399831703</v>
      </c>
      <c r="F3454" s="61" t="n">
        <f aca="false">-F3386</f>
        <v>-599108.573553816</v>
      </c>
      <c r="G3454" s="61" t="n">
        <f aca="false">-G3386</f>
        <v>-928530.511311155</v>
      </c>
      <c r="H3454" s="2" t="s">
        <v>1376</v>
      </c>
    </row>
    <row r="3455" customFormat="false" ht="15" hidden="false" customHeight="false" outlineLevel="1" collapsed="false">
      <c r="A3455" s="7" t="s">
        <v>698</v>
      </c>
      <c r="B3455" s="8" t="s">
        <v>11</v>
      </c>
      <c r="C3455" s="61" t="n">
        <f aca="false">-C3389</f>
        <v>-0</v>
      </c>
      <c r="D3455" s="61" t="n">
        <f aca="false">-D3389</f>
        <v>-30312.1356164384</v>
      </c>
      <c r="E3455" s="61" t="n">
        <f aca="false">-E3389</f>
        <v>-50402.3829195206</v>
      </c>
      <c r="F3455" s="61" t="n">
        <f aca="false">-F3389</f>
        <v>-81312.1851883562</v>
      </c>
      <c r="G3455" s="61" t="n">
        <f aca="false">-G3389</f>
        <v>-124197.002568493</v>
      </c>
      <c r="H3455" s="2" t="s">
        <v>1377</v>
      </c>
    </row>
    <row r="3456" customFormat="false" ht="15" hidden="false" customHeight="false" outlineLevel="1" collapsed="false">
      <c r="A3456" s="56" t="s">
        <v>677</v>
      </c>
      <c r="B3456" s="57" t="s">
        <v>11</v>
      </c>
      <c r="C3456" s="62" t="n">
        <f aca="false">C3452+C3454+C3455</f>
        <v>24592.0244931507</v>
      </c>
      <c r="D3456" s="62" t="n">
        <f aca="false">D3452+D3454+D3455</f>
        <v>133410.20621135</v>
      </c>
      <c r="E3456" s="62" t="n">
        <f aca="false">E3452+E3454+E3455</f>
        <v>344849.717248777</v>
      </c>
      <c r="F3456" s="62" t="n">
        <f aca="false">F3452+F3454+F3455</f>
        <v>619195.741257828</v>
      </c>
      <c r="G3456" s="62" t="n">
        <f aca="false">G3452+G3454+G3455</f>
        <v>962263.486120352</v>
      </c>
      <c r="H3456" s="2" t="s">
        <v>1378</v>
      </c>
    </row>
    <row r="3457" customFormat="false" ht="15" hidden="false" customHeight="false" outlineLevel="1" collapsed="false">
      <c r="A3457" s="7" t="s">
        <v>261</v>
      </c>
      <c r="B3457" s="8" t="s">
        <v>11</v>
      </c>
      <c r="C3457" s="61" t="n">
        <f aca="false">-C3421</f>
        <v>-400885.59375</v>
      </c>
      <c r="D3457" s="61" t="n">
        <f aca="false">-D3421</f>
        <v>-508017.8875</v>
      </c>
      <c r="E3457" s="61" t="n">
        <f aca="false">-E3421</f>
        <v>-667701.28525</v>
      </c>
      <c r="F3457" s="61" t="n">
        <f aca="false">-F3421</f>
        <v>-855745.92960125</v>
      </c>
      <c r="G3457" s="61" t="n">
        <f aca="false">-G3421</f>
        <v>-1042442.03916396</v>
      </c>
      <c r="H3457" s="2" t="s">
        <v>1379</v>
      </c>
    </row>
    <row r="3458" customFormat="false" ht="15" hidden="false" customHeight="false" outlineLevel="1" collapsed="false">
      <c r="A3458" s="7" t="s">
        <v>722</v>
      </c>
      <c r="B3458" s="8" t="s">
        <v>11</v>
      </c>
      <c r="C3458" s="61" t="n">
        <f aca="false">-C3437</f>
        <v>-319100</v>
      </c>
      <c r="D3458" s="61" t="n">
        <f aca="false">-D3437</f>
        <v>-325180.934</v>
      </c>
      <c r="E3458" s="61" t="n">
        <f aca="false">-E3437</f>
        <v>-426946.366</v>
      </c>
      <c r="F3458" s="61" t="n">
        <f aca="false">-F3437</f>
        <v>-484443.9764</v>
      </c>
      <c r="G3458" s="61" t="n">
        <f aca="false">-G3437</f>
        <v>-571902.374448</v>
      </c>
      <c r="H3458" s="2" t="s">
        <v>1380</v>
      </c>
    </row>
    <row r="3459" customFormat="false" ht="15" hidden="false" customHeight="false" outlineLevel="1" collapsed="false">
      <c r="A3459" s="56" t="s">
        <v>723</v>
      </c>
      <c r="B3459" s="57" t="s">
        <v>11</v>
      </c>
      <c r="C3459" s="62" t="n">
        <f aca="false">C3456+C3457+C3458</f>
        <v>-695393.569256849</v>
      </c>
      <c r="D3459" s="62" t="n">
        <f aca="false">D3456+D3457+D3458</f>
        <v>-699788.61528865</v>
      </c>
      <c r="E3459" s="62" t="n">
        <f aca="false">E3456+E3457+E3458</f>
        <v>-749797.934001223</v>
      </c>
      <c r="F3459" s="62" t="n">
        <f aca="false">F3456+F3457+F3458</f>
        <v>-720994.164743422</v>
      </c>
      <c r="G3459" s="62" t="n">
        <f aca="false">G3456+G3457+G3458</f>
        <v>-652080.92749161</v>
      </c>
      <c r="H3459" s="2" t="s">
        <v>1381</v>
      </c>
    </row>
    <row r="3460" customFormat="false" ht="15" hidden="false" customHeight="false" outlineLevel="1" collapsed="false">
      <c r="A3460" s="2" t="s">
        <v>725</v>
      </c>
      <c r="B3460" s="8" t="s">
        <v>76</v>
      </c>
      <c r="C3460" s="59" t="n">
        <f aca="false">IF(C3450&gt;0,C3459/C3450,0)</f>
        <v>-1.92354320614757</v>
      </c>
      <c r="D3460" s="59" t="n">
        <f aca="false">IF(D3450&gt;0,D3459/D3450,0)</f>
        <v>-0.289654139668569</v>
      </c>
      <c r="E3460" s="59" t="n">
        <f aca="false">IF(E3450&gt;0,E3459/E3450,0)</f>
        <v>-0.136490151720785</v>
      </c>
      <c r="F3460" s="59" t="n">
        <f aca="false">IF(F3450&gt;0,F3459/F3450,0)</f>
        <v>-0.0757778514622718</v>
      </c>
      <c r="G3460" s="59" t="n">
        <f aca="false">IF(G3450&gt;0,G3459/G3450,0)</f>
        <v>-0.0447818072924722</v>
      </c>
      <c r="H3460" s="2" t="s">
        <v>1382</v>
      </c>
    </row>
    <row r="3461" customFormat="false" ht="15" hidden="false" customHeight="false" outlineLevel="1" collapsed="false">
      <c r="A3461" s="2" t="s">
        <v>726</v>
      </c>
      <c r="B3461" s="8" t="s">
        <v>11</v>
      </c>
      <c r="C3461" s="61" t="n">
        <f aca="false">C3459+C3389</f>
        <v>-695393.569256849</v>
      </c>
      <c r="D3461" s="61" t="n">
        <f aca="false">D3459+D3389</f>
        <v>-669476.479672212</v>
      </c>
      <c r="E3461" s="61" t="n">
        <f aca="false">E3459+E3389</f>
        <v>-699395.551081703</v>
      </c>
      <c r="F3461" s="61" t="n">
        <f aca="false">F3459+F3389</f>
        <v>-639681.979555066</v>
      </c>
      <c r="G3461" s="61" t="n">
        <f aca="false">G3459+G3389</f>
        <v>-527883.924923117</v>
      </c>
      <c r="H3461" s="2" t="s">
        <v>1383</v>
      </c>
    </row>
    <row r="3462" customFormat="false" ht="15" hidden="false" customHeight="false" outlineLevel="1" collapsed="false">
      <c r="A3462" s="7" t="s">
        <v>714</v>
      </c>
      <c r="B3462" s="8" t="s">
        <v>11</v>
      </c>
      <c r="C3462" s="61" t="n">
        <f aca="false">-C3448</f>
        <v>-27100</v>
      </c>
      <c r="D3462" s="61" t="n">
        <f aca="false">-D3448</f>
        <v>-40000</v>
      </c>
      <c r="E3462" s="61" t="n">
        <f aca="false">-E3448</f>
        <v>-53900</v>
      </c>
      <c r="F3462" s="61" t="n">
        <f aca="false">-F3448</f>
        <v>-44466.6666666667</v>
      </c>
      <c r="G3462" s="61" t="n">
        <f aca="false">-G3448</f>
        <v>-41533.3333333333</v>
      </c>
      <c r="H3462" s="2" t="s">
        <v>1384</v>
      </c>
    </row>
    <row r="3463" customFormat="false" ht="15" hidden="false" customHeight="false" outlineLevel="1" collapsed="false">
      <c r="A3463" s="56" t="s">
        <v>727</v>
      </c>
      <c r="B3463" s="57" t="s">
        <v>11</v>
      </c>
      <c r="C3463" s="62" t="n">
        <f aca="false">C3459+C3462</f>
        <v>-722493.569256849</v>
      </c>
      <c r="D3463" s="62" t="n">
        <f aca="false">D3459+D3462</f>
        <v>-739788.61528865</v>
      </c>
      <c r="E3463" s="62" t="n">
        <f aca="false">E3459+E3462</f>
        <v>-803697.934001223</v>
      </c>
      <c r="F3463" s="62" t="n">
        <f aca="false">F3459+F3462</f>
        <v>-765460.831410089</v>
      </c>
      <c r="G3463" s="62" t="n">
        <f aca="false">G3459+G3462</f>
        <v>-693614.260824944</v>
      </c>
      <c r="H3463" s="2" t="s">
        <v>1385</v>
      </c>
    </row>
    <row r="3464" customFormat="false" ht="15" hidden="false" customHeight="false" outlineLevel="0" collapsed="false">
      <c r="A3464" s="3" t="s">
        <v>1386</v>
      </c>
      <c r="B3464" s="4"/>
      <c r="C3464" s="4"/>
      <c r="D3464" s="4"/>
      <c r="E3464" s="4"/>
      <c r="F3464" s="4"/>
      <c r="G3464" s="4"/>
      <c r="H3464" s="4"/>
    </row>
    <row r="3465" customFormat="false" ht="15" hidden="false" customHeight="false" outlineLevel="1" collapsed="false">
      <c r="A3465" s="7" t="s">
        <v>729</v>
      </c>
      <c r="B3465" s="8" t="s">
        <v>11</v>
      </c>
      <c r="C3465" s="61" t="n">
        <f aca="false">C3463</f>
        <v>-722493.569256849</v>
      </c>
      <c r="D3465" s="61" t="n">
        <f aca="false">D3463</f>
        <v>-739788.61528865</v>
      </c>
      <c r="E3465" s="61" t="n">
        <f aca="false">E3463</f>
        <v>-803697.934001223</v>
      </c>
      <c r="F3465" s="61" t="n">
        <f aca="false">F3463</f>
        <v>-765460.831410089</v>
      </c>
      <c r="G3465" s="61" t="n">
        <f aca="false">G3463</f>
        <v>-693614.260824944</v>
      </c>
      <c r="H3465" s="2" t="s">
        <v>1387</v>
      </c>
    </row>
    <row r="3466" customFormat="false" ht="15" hidden="false" customHeight="false" outlineLevel="1" collapsed="false">
      <c r="A3466" s="7" t="s">
        <v>730</v>
      </c>
      <c r="B3466" s="8" t="s">
        <v>11</v>
      </c>
      <c r="C3466" s="61" t="n">
        <f aca="false">0</f>
        <v>0</v>
      </c>
      <c r="D3466" s="61" t="n">
        <f aca="false">C3469</f>
        <v>722493.569256849</v>
      </c>
      <c r="E3466" s="61" t="n">
        <f aca="false">D3469</f>
        <v>1462282.1845455</v>
      </c>
      <c r="F3466" s="61" t="n">
        <f aca="false">E3469</f>
        <v>2265980.11854672</v>
      </c>
      <c r="G3466" s="61" t="n">
        <f aca="false">F3469</f>
        <v>3031440.94995681</v>
      </c>
      <c r="H3466" s="2" t="s">
        <v>1388</v>
      </c>
    </row>
    <row r="3467" customFormat="false" ht="15" hidden="false" customHeight="false" outlineLevel="1" collapsed="false">
      <c r="A3467" s="7" t="s">
        <v>731</v>
      </c>
      <c r="B3467" s="8" t="s">
        <v>11</v>
      </c>
      <c r="C3467" s="61" t="n">
        <f aca="false">MAX(0,-C3465)</f>
        <v>722493.569256849</v>
      </c>
      <c r="D3467" s="61" t="n">
        <f aca="false">MAX(0,-D3465)</f>
        <v>739788.61528865</v>
      </c>
      <c r="E3467" s="61" t="n">
        <f aca="false">MAX(0,-E3465)</f>
        <v>803697.934001223</v>
      </c>
      <c r="F3467" s="61" t="n">
        <f aca="false">MAX(0,-F3465)</f>
        <v>765460.831410089</v>
      </c>
      <c r="G3467" s="61" t="n">
        <f aca="false">MAX(0,-G3465)</f>
        <v>693614.260824944</v>
      </c>
      <c r="H3467" s="2" t="s">
        <v>1389</v>
      </c>
    </row>
    <row r="3468" customFormat="false" ht="15" hidden="false" customHeight="false" outlineLevel="1" collapsed="false">
      <c r="A3468" s="7" t="s">
        <v>732</v>
      </c>
      <c r="B3468" s="8" t="s">
        <v>11</v>
      </c>
      <c r="C3468" s="61" t="n">
        <f aca="false">MIN(C3466,Pressupostos!$C$181*MAX(0,C3465))</f>
        <v>0</v>
      </c>
      <c r="D3468" s="61" t="n">
        <f aca="false">MIN(D3466,Pressupostos!$C$181*MAX(0,D3465))</f>
        <v>0</v>
      </c>
      <c r="E3468" s="61" t="n">
        <f aca="false">MIN(E3466,Pressupostos!$C$181*MAX(0,E3465))</f>
        <v>0</v>
      </c>
      <c r="F3468" s="61" t="n">
        <f aca="false">MIN(F3466,Pressupostos!$C$181*MAX(0,F3465))</f>
        <v>0</v>
      </c>
      <c r="G3468" s="61" t="n">
        <f aca="false">MIN(G3466,Pressupostos!$C$181*MAX(0,G3465))</f>
        <v>0</v>
      </c>
      <c r="H3468" s="2" t="s">
        <v>1390</v>
      </c>
    </row>
    <row r="3469" customFormat="false" ht="15" hidden="false" customHeight="false" outlineLevel="1" collapsed="false">
      <c r="A3469" s="7" t="s">
        <v>733</v>
      </c>
      <c r="B3469" s="8" t="s">
        <v>11</v>
      </c>
      <c r="C3469" s="61" t="n">
        <f aca="false">C3466+C3467-C3468</f>
        <v>722493.569256849</v>
      </c>
      <c r="D3469" s="61" t="n">
        <f aca="false">D3466+D3467-D3468</f>
        <v>1462282.1845455</v>
      </c>
      <c r="E3469" s="61" t="n">
        <f aca="false">E3466+E3467-E3468</f>
        <v>2265980.11854672</v>
      </c>
      <c r="F3469" s="61" t="n">
        <f aca="false">F3466+F3467-F3468</f>
        <v>3031440.94995681</v>
      </c>
      <c r="G3469" s="61" t="n">
        <f aca="false">G3466+G3467-G3468</f>
        <v>3725055.21078176</v>
      </c>
      <c r="H3469" s="2" t="s">
        <v>1391</v>
      </c>
    </row>
    <row r="3470" customFormat="false" ht="15" hidden="false" customHeight="false" outlineLevel="1" collapsed="false">
      <c r="A3470" s="7" t="s">
        <v>734</v>
      </c>
      <c r="B3470" s="8" t="s">
        <v>11</v>
      </c>
      <c r="C3470" s="61" t="n">
        <f aca="false">MAX(0,C3465)-C3468</f>
        <v>0</v>
      </c>
      <c r="D3470" s="61" t="n">
        <f aca="false">MAX(0,D3465)-D3468</f>
        <v>0</v>
      </c>
      <c r="E3470" s="61" t="n">
        <f aca="false">MAX(0,E3465)-E3468</f>
        <v>0</v>
      </c>
      <c r="F3470" s="61" t="n">
        <f aca="false">MAX(0,F3465)-F3468</f>
        <v>0</v>
      </c>
      <c r="G3470" s="61" t="n">
        <f aca="false">MAX(0,G3465)-G3468</f>
        <v>0</v>
      </c>
      <c r="H3470" s="2" t="s">
        <v>1392</v>
      </c>
    </row>
    <row r="3471" customFormat="false" ht="15" hidden="false" customHeight="false" outlineLevel="1" collapsed="false">
      <c r="A3471" s="7" t="s">
        <v>735</v>
      </c>
      <c r="B3471" s="8" t="s">
        <v>11</v>
      </c>
      <c r="C3471" s="61" t="n">
        <f aca="false">Pressupostos!$C$172*MIN(C3470,Pressupostos!$C$173)+Pressupostos!$C$467*MAX(0,C3470-Pressupostos!$C$173)</f>
        <v>0</v>
      </c>
      <c r="D3471" s="61" t="n">
        <f aca="false">Pressupostos!$C$172*MIN(D3470,Pressupostos!$C$173)+Pressupostos!$D$467*MAX(0,D3470-Pressupostos!$C$173)</f>
        <v>0</v>
      </c>
      <c r="E3471" s="61" t="n">
        <f aca="false">Pressupostos!$C$172*MIN(E3470,Pressupostos!$C$173)+Pressupostos!$E$467*MAX(0,E3470-Pressupostos!$C$173)</f>
        <v>0</v>
      </c>
      <c r="F3471" s="61" t="n">
        <f aca="false">Pressupostos!$C$172*MIN(F3470,Pressupostos!$C$173)+Pressupostos!$F$467*MAX(0,F3470-Pressupostos!$C$173)</f>
        <v>0</v>
      </c>
      <c r="G3471" s="61" t="n">
        <f aca="false">Pressupostos!$C$172*MIN(G3470,Pressupostos!$C$173)+Pressupostos!$G$467*MAX(0,G3470-Pressupostos!$C$173)</f>
        <v>0</v>
      </c>
      <c r="H3471" s="2" t="s">
        <v>1393</v>
      </c>
    </row>
    <row r="3472" customFormat="false" ht="15" hidden="false" customHeight="false" outlineLevel="1" collapsed="false">
      <c r="A3472" s="7" t="s">
        <v>736</v>
      </c>
      <c r="B3472" s="8" t="s">
        <v>11</v>
      </c>
      <c r="C3472" s="61" t="n">
        <f aca="false">Pressupostos!$C$174*MAX(0,C3465)</f>
        <v>0</v>
      </c>
      <c r="D3472" s="61" t="n">
        <f aca="false">Pressupostos!$C$174*MAX(0,D3465)</f>
        <v>0</v>
      </c>
      <c r="E3472" s="61" t="n">
        <f aca="false">Pressupostos!$C$174*MAX(0,E3465)</f>
        <v>0</v>
      </c>
      <c r="F3472" s="61" t="n">
        <f aca="false">Pressupostos!$C$174*MAX(0,F3465)</f>
        <v>0</v>
      </c>
      <c r="G3472" s="61" t="n">
        <f aca="false">Pressupostos!$C$174*MAX(0,G3465)</f>
        <v>0</v>
      </c>
      <c r="H3472" s="2" t="s">
        <v>1394</v>
      </c>
    </row>
    <row r="3473" customFormat="false" ht="15" hidden="false" customHeight="false" outlineLevel="1" collapsed="false">
      <c r="A3473" s="7" t="s">
        <v>737</v>
      </c>
      <c r="B3473" s="8" t="s">
        <v>11</v>
      </c>
      <c r="C3473" s="61" t="n">
        <f aca="false">Pressupostos!$C$176*MAX(0,MIN(C3465,Pressupostos!$C$177)-Pressupostos!$C$175)+Pressupostos!$C$178*MAX(0,MIN(C3465,Pressupostos!$C$179)-Pressupostos!$C$177)+Pressupostos!$C$180*MAX(0,C3465-Pressupostos!$C$179)</f>
        <v>0</v>
      </c>
      <c r="D3473" s="61" t="n">
        <f aca="false">Pressupostos!$C$176*MAX(0,MIN(D3465,Pressupostos!$C$177)-Pressupostos!$C$175)+Pressupostos!$C$178*MAX(0,MIN(D3465,Pressupostos!$C$179)-Pressupostos!$C$177)+Pressupostos!$C$180*MAX(0,D3465-Pressupostos!$C$179)</f>
        <v>0</v>
      </c>
      <c r="E3473" s="61" t="n">
        <f aca="false">Pressupostos!$C$176*MAX(0,MIN(E3465,Pressupostos!$C$177)-Pressupostos!$C$175)+Pressupostos!$C$178*MAX(0,MIN(E3465,Pressupostos!$C$179)-Pressupostos!$C$177)+Pressupostos!$C$180*MAX(0,E3465-Pressupostos!$C$179)</f>
        <v>0</v>
      </c>
      <c r="F3473" s="61" t="n">
        <f aca="false">Pressupostos!$C$176*MAX(0,MIN(F3465,Pressupostos!$C$177)-Pressupostos!$C$175)+Pressupostos!$C$178*MAX(0,MIN(F3465,Pressupostos!$C$179)-Pressupostos!$C$177)+Pressupostos!$C$180*MAX(0,F3465-Pressupostos!$C$179)</f>
        <v>0</v>
      </c>
      <c r="G3473" s="61" t="n">
        <f aca="false">Pressupostos!$C$176*MAX(0,MIN(G3465,Pressupostos!$C$177)-Pressupostos!$C$175)+Pressupostos!$C$178*MAX(0,MIN(G3465,Pressupostos!$C$179)-Pressupostos!$C$177)+Pressupostos!$C$180*MAX(0,G3465-Pressupostos!$C$179)</f>
        <v>0</v>
      </c>
      <c r="H3473" s="2" t="s">
        <v>1395</v>
      </c>
    </row>
    <row r="3474" customFormat="false" ht="15" hidden="false" customHeight="false" outlineLevel="1" collapsed="false">
      <c r="A3474" s="7" t="s">
        <v>738</v>
      </c>
      <c r="B3474" s="8" t="s">
        <v>11</v>
      </c>
      <c r="C3474" s="61" t="n">
        <f aca="false">C3471+C3472+C3473</f>
        <v>0</v>
      </c>
      <c r="D3474" s="61" t="n">
        <f aca="false">D3471+D3472+D3473</f>
        <v>0</v>
      </c>
      <c r="E3474" s="61" t="n">
        <f aca="false">E3471+E3472+E3473</f>
        <v>0</v>
      </c>
      <c r="F3474" s="61" t="n">
        <f aca="false">F3471+F3472+F3473</f>
        <v>0</v>
      </c>
      <c r="G3474" s="61" t="n">
        <f aca="false">G3471+G3472+G3473</f>
        <v>0</v>
      </c>
      <c r="H3474" s="2" t="s">
        <v>1396</v>
      </c>
    </row>
    <row r="3475" customFormat="false" ht="15" hidden="false" customHeight="false" outlineLevel="0" collapsed="false">
      <c r="A3475" s="3" t="s">
        <v>1397</v>
      </c>
      <c r="B3475" s="4"/>
      <c r="C3475" s="4"/>
      <c r="D3475" s="4"/>
      <c r="E3475" s="4"/>
      <c r="F3475" s="4"/>
      <c r="G3475" s="4"/>
      <c r="H3475" s="4"/>
    </row>
    <row r="3476" customFormat="false" ht="15" hidden="false" customHeight="false" outlineLevel="1" collapsed="false">
      <c r="A3476" s="7" t="s">
        <v>738</v>
      </c>
      <c r="B3476" s="8" t="s">
        <v>11</v>
      </c>
      <c r="C3476" s="61" t="n">
        <f aca="false">-C3474</f>
        <v>-0</v>
      </c>
      <c r="D3476" s="61" t="n">
        <f aca="false">-D3474</f>
        <v>-0</v>
      </c>
      <c r="E3476" s="61" t="n">
        <f aca="false">-E3474</f>
        <v>-0</v>
      </c>
      <c r="F3476" s="61" t="n">
        <f aca="false">-F3474</f>
        <v>-0</v>
      </c>
      <c r="G3476" s="61" t="n">
        <f aca="false">-G3474</f>
        <v>-0</v>
      </c>
      <c r="H3476" s="2" t="s">
        <v>1398</v>
      </c>
    </row>
    <row r="3477" customFormat="false" ht="15" hidden="false" customHeight="false" outlineLevel="1" collapsed="false">
      <c r="A3477" s="56" t="s">
        <v>740</v>
      </c>
      <c r="B3477" s="57" t="s">
        <v>11</v>
      </c>
      <c r="C3477" s="62" t="n">
        <f aca="false">C3463+C3476</f>
        <v>-722493.569256849</v>
      </c>
      <c r="D3477" s="62" t="n">
        <f aca="false">D3463+D3476</f>
        <v>-739788.61528865</v>
      </c>
      <c r="E3477" s="62" t="n">
        <f aca="false">E3463+E3476</f>
        <v>-803697.934001223</v>
      </c>
      <c r="F3477" s="62" t="n">
        <f aca="false">F3463+F3476</f>
        <v>-765460.831410089</v>
      </c>
      <c r="G3477" s="62" t="n">
        <f aca="false">G3463+G3476</f>
        <v>-693614.260824944</v>
      </c>
      <c r="H3477" s="2" t="s">
        <v>1399</v>
      </c>
    </row>
    <row r="3478" customFormat="false" ht="15" hidden="false" customHeight="false" outlineLevel="0" collapsed="false">
      <c r="A3478" s="3" t="s">
        <v>1400</v>
      </c>
      <c r="B3478" s="4"/>
      <c r="C3478" s="4"/>
      <c r="D3478" s="4"/>
      <c r="E3478" s="4"/>
      <c r="F3478" s="4"/>
      <c r="G3478" s="4"/>
      <c r="H3478" s="4"/>
    </row>
    <row r="3479" customFormat="false" ht="15" hidden="false" customHeight="false" outlineLevel="1" collapsed="false">
      <c r="A3479" s="7" t="s">
        <v>744</v>
      </c>
      <c r="B3479" s="8" t="s">
        <v>11</v>
      </c>
      <c r="C3479" s="61" t="n">
        <f aca="false">C3251*1000*((C3269+C3272)*C3275/365)+C3252*1000*((C3292+C3295)*C3298/365)+C3254*1000*((C3315+C3318)*C3321/365)</f>
        <v>43786.8493150685</v>
      </c>
      <c r="D3479" s="61" t="n">
        <f aca="false">D3251*1000*((D3269+D3272)*D3275/365)+D3252*1000*((D3292+D3295)*D3298/365)+D3254*1000*((D3315+D3318)*D3321/365)</f>
        <v>255524.794520548</v>
      </c>
      <c r="E3479" s="61" t="n">
        <f aca="false">E3251*1000*((E3269+E3272)*E3275/365)+E3252*1000*((E3292+E3295)*E3298/365)+E3254*1000*((E3315+E3318)*E3321/365)</f>
        <v>398737.602739726</v>
      </c>
      <c r="F3479" s="61" t="n">
        <f aca="false">F3251*1000*((F3269+F3272)*F3275/365)+F3252*1000*((F3292+F3295)*F3298/365)+F3254*1000*((F3315+F3318)*F3321/365)</f>
        <v>689522.671232877</v>
      </c>
      <c r="G3479" s="61" t="n">
        <f aca="false">G3251*1000*((G3269+G3272)*G3275/365)+G3252*1000*((G3292+G3295)*G3298/365)+G3254*1000*((G3315+G3318)*G3321/365)</f>
        <v>1047310.2739726</v>
      </c>
      <c r="H3479" s="2" t="s">
        <v>1401</v>
      </c>
    </row>
    <row r="3480" customFormat="false" ht="15" hidden="false" customHeight="false" outlineLevel="1" collapsed="false">
      <c r="A3480" s="7" t="s">
        <v>745</v>
      </c>
      <c r="B3480" s="8" t="s">
        <v>11</v>
      </c>
      <c r="C3480" s="61" t="n">
        <f aca="false">C3479+C3264*1000*Pressupostos!$C$92*Pressupostos!$C$95/365</f>
        <v>43786.8493150685</v>
      </c>
      <c r="D3480" s="61" t="n">
        <f aca="false">D3479+D3264*1000*Pressupostos!$C$92*Pressupostos!$C$95/365</f>
        <v>255524.794520548</v>
      </c>
      <c r="E3480" s="61" t="n">
        <f aca="false">E3479+E3264*1000*Pressupostos!$C$92*Pressupostos!$C$95/365</f>
        <v>432395.136986301</v>
      </c>
      <c r="F3480" s="61" t="n">
        <f aca="false">F3479+F3264*1000*Pressupostos!$C$92*Pressupostos!$C$95/365</f>
        <v>756837.739726028</v>
      </c>
      <c r="G3480" s="61" t="n">
        <f aca="false">G3479+G3264*1000*Pressupostos!$C$92*Pressupostos!$C$95/365</f>
        <v>1159502.05479452</v>
      </c>
      <c r="H3480" s="2" t="s">
        <v>1402</v>
      </c>
    </row>
    <row r="3481" customFormat="false" ht="15" hidden="false" customHeight="false" outlineLevel="1" collapsed="false">
      <c r="A3481" s="7" t="s">
        <v>746</v>
      </c>
      <c r="B3481" s="8" t="s">
        <v>11</v>
      </c>
      <c r="C3481" s="61" t="n">
        <f aca="false">C3251*1000*(C3271*C3276/365)+C3252*1000*(C3294*C3299/365)+C3254*1000*(C3317*C3322/365)+C3346*Pressupostos!$C$96/365+(C3348+C3349)*Pressupostos!$C$82/365</f>
        <v>43078.4383561644</v>
      </c>
      <c r="D3481" s="61" t="n">
        <f aca="false">D3251*1000*(D3271*D3276/365)+D3252*1000*(D3294*D3299/365)+D3254*1000*(D3317*D3322/365)+D3346*Pressupostos!$C$96/365+(D3348+D3349)*Pressupostos!$C$82/365</f>
        <v>288516.390410959</v>
      </c>
      <c r="E3481" s="61" t="n">
        <f aca="false">E3251*1000*(E3271*E3276/365)+E3252*1000*(E3294*E3299/365)+E3254*1000*(E3317*E3322/365)+E3346*Pressupostos!$C$96/365+(E3348+E3349)*Pressupostos!$C$82/365</f>
        <v>632916.308219178</v>
      </c>
      <c r="F3481" s="61" t="n">
        <f aca="false">F3251*1000*(F3271*F3276/365)+F3252*1000*(F3294*F3299/365)+F3254*1000*(F3317*F3322/365)+F3346*Pressupostos!$C$96/365+(F3348+F3349)*Pressupostos!$C$82/365</f>
        <v>1083079.41780822</v>
      </c>
      <c r="G3481" s="61" t="n">
        <f aca="false">G3251*1000*(G3271*G3276/365)+G3252*1000*(G3294*G3299/365)+G3254*1000*(G3317*G3322/365)+G3346*Pressupostos!$C$96/365+(G3348+G3349)*Pressupostos!$C$82/365</f>
        <v>1650158.91780822</v>
      </c>
      <c r="H3481" s="2" t="s">
        <v>1403</v>
      </c>
    </row>
    <row r="3482" customFormat="false" ht="15" hidden="false" customHeight="false" outlineLevel="1" collapsed="false">
      <c r="A3482" s="7" t="s">
        <v>747</v>
      </c>
      <c r="B3482" s="8" t="s">
        <v>11</v>
      </c>
      <c r="C3482" s="61" t="n">
        <f aca="false">C3251*1000*((C3269+C3272)*Pressupostos!$C$72/365)+C3252*1000*((C3292+C3295)*Pressupostos!$C$72/365)+C3254*1000*((C3315+C3318)*Pressupostos!$C$72/365)+C3264*1000*Pressupostos!$C$92*Pressupostos!$C$97/365</f>
        <v>26049.8630136986</v>
      </c>
      <c r="D3482" s="61" t="n">
        <f aca="false">D3251*1000*((D3269+D3272)*Pressupostos!$C$72/365)+D3252*1000*((D3292+D3295)*Pressupostos!$C$72/365)+D3254*1000*((D3315+D3318)*Pressupostos!$C$72/365)+D3264*1000*Pressupostos!$C$92*Pressupostos!$C$97/365</f>
        <v>173491.232876712</v>
      </c>
      <c r="E3482" s="61" t="n">
        <f aca="false">E3251*1000*((E3269+E3272)*Pressupostos!$C$72/365)+E3252*1000*((E3292+E3295)*Pressupostos!$C$72/365)+E3254*1000*((E3315+E3318)*Pressupostos!$C$72/365)+E3264*1000*Pressupostos!$C$92*Pressupostos!$C$97/365</f>
        <v>391688.219178082</v>
      </c>
      <c r="F3482" s="61" t="n">
        <f aca="false">F3251*1000*((F3269+F3272)*Pressupostos!$C$72/365)+F3252*1000*((F3292+F3295)*Pressupostos!$C$72/365)+F3254*1000*((F3315+F3318)*Pressupostos!$C$72/365)+F3264*1000*Pressupostos!$C$92*Pressupostos!$C$97/365</f>
        <v>675202.191780822</v>
      </c>
      <c r="G3482" s="61" t="n">
        <f aca="false">G3251*1000*((G3269+G3272)*Pressupostos!$C$72/365)+G3252*1000*((G3292+G3295)*Pressupostos!$C$72/365)+G3254*1000*((G3315+G3318)*Pressupostos!$C$72/365)+G3264*1000*Pressupostos!$C$92*Pressupostos!$C$97/365</f>
        <v>1031202.73972603</v>
      </c>
      <c r="H3482" s="2" t="s">
        <v>1404</v>
      </c>
    </row>
    <row r="3483" customFormat="false" ht="15" hidden="false" customHeight="false" outlineLevel="1" collapsed="false">
      <c r="A3483" s="56" t="s">
        <v>748</v>
      </c>
      <c r="B3483" s="57" t="s">
        <v>11</v>
      </c>
      <c r="C3483" s="62" t="n">
        <f aca="false">C3480+C3481-C3482</f>
        <v>60815.4246575343</v>
      </c>
      <c r="D3483" s="62" t="n">
        <f aca="false">D3480+D3481-D3482</f>
        <v>370549.952054795</v>
      </c>
      <c r="E3483" s="62" t="n">
        <f aca="false">E3480+E3481-E3482</f>
        <v>673623.226027397</v>
      </c>
      <c r="F3483" s="62" t="n">
        <f aca="false">F3480+F3481-F3482</f>
        <v>1164714.96575343</v>
      </c>
      <c r="G3483" s="62" t="n">
        <f aca="false">G3480+G3481-G3482</f>
        <v>1778458.23287671</v>
      </c>
      <c r="H3483" s="2" t="s">
        <v>1405</v>
      </c>
    </row>
    <row r="3484" customFormat="false" ht="15" hidden="false" customHeight="false" outlineLevel="0" collapsed="false">
      <c r="A3484" s="3" t="s">
        <v>1406</v>
      </c>
      <c r="B3484" s="4"/>
      <c r="C3484" s="4"/>
      <c r="D3484" s="4"/>
      <c r="E3484" s="4"/>
      <c r="F3484" s="4"/>
      <c r="G3484" s="4"/>
      <c r="H3484" s="4"/>
    </row>
    <row r="3485" customFormat="false" ht="15" hidden="false" customHeight="false" outlineLevel="1" collapsed="false">
      <c r="A3485" s="56" t="s">
        <v>750</v>
      </c>
      <c r="B3485" s="57" t="s">
        <v>11</v>
      </c>
      <c r="C3485" s="62" t="n">
        <f aca="false">Pressupostos!$C$282*C3483/Pressupostos!$D$31</f>
        <v>0</v>
      </c>
      <c r="D3485" s="62" t="n">
        <f aca="false">Pressupostos!$D$282*D3483/Pressupostos!$D$31</f>
        <v>416868.696061644</v>
      </c>
      <c r="E3485" s="62" t="n">
        <f aca="false">Pressupostos!$E$282*E3483/Pressupostos!$D$31</f>
        <v>757826.129280822</v>
      </c>
      <c r="F3485" s="62" t="n">
        <f aca="false">Pressupostos!$F$282*F3483/Pressupostos!$D$31</f>
        <v>1310304.3364726</v>
      </c>
      <c r="G3485" s="62" t="n">
        <f aca="false">Pressupostos!$G$282*G3483/Pressupostos!$D$31</f>
        <v>2000765.5119863</v>
      </c>
      <c r="H3485" s="2" t="s">
        <v>1407</v>
      </c>
    </row>
    <row r="3486" customFormat="false" ht="15" hidden="false" customHeight="false" outlineLevel="1" collapsed="false">
      <c r="A3486" s="7" t="s">
        <v>751</v>
      </c>
      <c r="B3486" s="8" t="s">
        <v>11</v>
      </c>
      <c r="C3486" s="61" t="n">
        <f aca="false">Pressupostos!$C$282*C3483</f>
        <v>0</v>
      </c>
      <c r="D3486" s="61" t="n">
        <f aca="false">Pressupostos!$D$282*D3483</f>
        <v>333494.956849315</v>
      </c>
      <c r="E3486" s="61" t="n">
        <f aca="false">Pressupostos!$E$282*E3483</f>
        <v>606260.903424658</v>
      </c>
      <c r="F3486" s="61" t="n">
        <f aca="false">Pressupostos!$F$282*F3483</f>
        <v>1048243.46917808</v>
      </c>
      <c r="G3486" s="61" t="n">
        <f aca="false">Pressupostos!$G$282*G3483</f>
        <v>1600612.40958904</v>
      </c>
      <c r="H3486" s="2" t="s">
        <v>1408</v>
      </c>
    </row>
    <row r="3487" customFormat="false" ht="15" hidden="false" customHeight="false" outlineLevel="1" collapsed="false">
      <c r="A3487" s="7" t="s">
        <v>752</v>
      </c>
      <c r="B3487" s="8" t="s">
        <v>11</v>
      </c>
      <c r="C3487" s="61" t="n">
        <f aca="false">C3485-C3486</f>
        <v>0</v>
      </c>
      <c r="D3487" s="61" t="n">
        <f aca="false">D3485-D3486</f>
        <v>83373.7392123287</v>
      </c>
      <c r="E3487" s="61" t="n">
        <f aca="false">E3485-E3486</f>
        <v>151565.225856164</v>
      </c>
      <c r="F3487" s="61" t="n">
        <f aca="false">F3485-F3486</f>
        <v>262060.867294521</v>
      </c>
      <c r="G3487" s="61" t="n">
        <f aca="false">G3485-G3486</f>
        <v>400153.10239726</v>
      </c>
      <c r="H3487" s="2" t="s">
        <v>1409</v>
      </c>
    </row>
    <row r="3488" customFormat="false" ht="15" hidden="false" customHeight="false" outlineLevel="1" collapsed="false">
      <c r="A3488" s="7" t="s">
        <v>753</v>
      </c>
      <c r="B3488" s="8" t="s">
        <v>11</v>
      </c>
      <c r="C3488" s="61" t="n">
        <f aca="false">C3483-C3486</f>
        <v>60815.4246575343</v>
      </c>
      <c r="D3488" s="61" t="n">
        <f aca="false">D3483-D3486</f>
        <v>37054.9952054794</v>
      </c>
      <c r="E3488" s="61" t="n">
        <f aca="false">E3483-E3486</f>
        <v>67362.3226027397</v>
      </c>
      <c r="F3488" s="61" t="n">
        <f aca="false">F3483-F3486</f>
        <v>116471.496575342</v>
      </c>
      <c r="G3488" s="61" t="n">
        <f aca="false">G3483-G3486</f>
        <v>177845.823287671</v>
      </c>
      <c r="H3488" s="2" t="s">
        <v>1410</v>
      </c>
    </row>
    <row r="3489" customFormat="false" ht="15" hidden="false" customHeight="false" outlineLevel="1" collapsed="false">
      <c r="A3489" s="7" t="s">
        <v>754</v>
      </c>
      <c r="B3489" s="8" t="s">
        <v>11</v>
      </c>
      <c r="C3489" s="61" t="n">
        <f aca="false">MAX(0,Pressupostos!$C$108-C3488)</f>
        <v>0</v>
      </c>
      <c r="D3489" s="61" t="n">
        <f aca="false">MAX(0,Pressupostos!$C$108-D3488)</f>
        <v>12945.0047945206</v>
      </c>
      <c r="E3489" s="61" t="n">
        <f aca="false">MAX(0,Pressupostos!$C$108-E3488)</f>
        <v>0</v>
      </c>
      <c r="F3489" s="61" t="n">
        <f aca="false">MAX(0,Pressupostos!$C$108-F3488)</f>
        <v>0</v>
      </c>
      <c r="G3489" s="61" t="n">
        <f aca="false">MAX(0,Pressupostos!$C$108-G3488)</f>
        <v>0</v>
      </c>
      <c r="H3489" s="2" t="s">
        <v>1411</v>
      </c>
    </row>
    <row r="3490" customFormat="false" ht="15" hidden="false" customHeight="false" outlineLevel="1" collapsed="false">
      <c r="A3490" s="7" t="s">
        <v>755</v>
      </c>
      <c r="B3490" s="8" t="s">
        <v>11</v>
      </c>
      <c r="C3490" s="61" t="n">
        <f aca="false">Pressupostos!$C$109*C3485</f>
        <v>0</v>
      </c>
      <c r="D3490" s="61" t="n">
        <f aca="false">Pressupostos!$C$109*D3485</f>
        <v>20843.4348030822</v>
      </c>
      <c r="E3490" s="61" t="n">
        <f aca="false">Pressupostos!$C$109*E3485</f>
        <v>37891.3064640411</v>
      </c>
      <c r="F3490" s="61" t="n">
        <f aca="false">Pressupostos!$C$109*F3485</f>
        <v>65515.2168236302</v>
      </c>
      <c r="G3490" s="61" t="n">
        <f aca="false">Pressupostos!$C$109*G3485</f>
        <v>100038.275599315</v>
      </c>
      <c r="H3490" s="2" t="s">
        <v>1412</v>
      </c>
    </row>
    <row r="3491" customFormat="false" ht="15" hidden="false" customHeight="false" outlineLevel="1" collapsed="false">
      <c r="A3491" s="2" t="s">
        <v>756</v>
      </c>
      <c r="B3491" s="8" t="s">
        <v>123</v>
      </c>
      <c r="C3491" s="61" t="n">
        <f aca="false">C3485/Pressupostos!$C$112</f>
        <v>0</v>
      </c>
      <c r="D3491" s="61" t="n">
        <f aca="false">D3485/Pressupostos!$C$112</f>
        <v>8.33737392123288</v>
      </c>
      <c r="E3491" s="61" t="n">
        <f aca="false">E3485/Pressupostos!$C$112</f>
        <v>15.1565225856164</v>
      </c>
      <c r="F3491" s="61" t="n">
        <f aca="false">F3485/Pressupostos!$C$112</f>
        <v>26.2060867294521</v>
      </c>
      <c r="G3491" s="61" t="n">
        <f aca="false">G3485/Pressupostos!$C$112</f>
        <v>40.015310239726</v>
      </c>
      <c r="H3491" s="2" t="s">
        <v>1413</v>
      </c>
    </row>
    <row r="3492" customFormat="false" ht="15" hidden="false" customHeight="false" outlineLevel="0" collapsed="false">
      <c r="A3492" s="3" t="s">
        <v>1414</v>
      </c>
      <c r="B3492" s="4"/>
      <c r="C3492" s="4"/>
      <c r="D3492" s="4"/>
      <c r="E3492" s="4"/>
      <c r="F3492" s="4"/>
      <c r="G3492" s="4"/>
      <c r="H3492" s="4"/>
    </row>
    <row r="3493" customFormat="false" ht="15" hidden="false" customHeight="false" outlineLevel="1" collapsed="false">
      <c r="A3493" s="7" t="s">
        <v>758</v>
      </c>
      <c r="B3493" s="8" t="s">
        <v>11</v>
      </c>
      <c r="C3493" s="61" t="n">
        <f aca="false">C3459</f>
        <v>-695393.569256849</v>
      </c>
      <c r="D3493" s="61" t="n">
        <f aca="false">D3459</f>
        <v>-699788.61528865</v>
      </c>
      <c r="E3493" s="61" t="n">
        <f aca="false">E3459</f>
        <v>-749797.934001223</v>
      </c>
      <c r="F3493" s="61" t="n">
        <f aca="false">F3459</f>
        <v>-720994.164743422</v>
      </c>
      <c r="G3493" s="61" t="n">
        <f aca="false">G3459</f>
        <v>-652080.92749161</v>
      </c>
      <c r="H3493" s="2" t="s">
        <v>1415</v>
      </c>
    </row>
    <row r="3494" customFormat="false" ht="15" hidden="false" customHeight="false" outlineLevel="1" collapsed="false">
      <c r="A3494" s="7" t="s">
        <v>759</v>
      </c>
      <c r="B3494" s="8" t="s">
        <v>11</v>
      </c>
      <c r="C3494" s="61" t="n">
        <f aca="false">-C3474</f>
        <v>-0</v>
      </c>
      <c r="D3494" s="61" t="n">
        <f aca="false">-D3474</f>
        <v>-0</v>
      </c>
      <c r="E3494" s="61" t="n">
        <f aca="false">-E3474</f>
        <v>-0</v>
      </c>
      <c r="F3494" s="61" t="n">
        <f aca="false">-F3474</f>
        <v>-0</v>
      </c>
      <c r="G3494" s="61" t="n">
        <f aca="false">-G3474</f>
        <v>-0</v>
      </c>
      <c r="H3494" s="2" t="s">
        <v>1416</v>
      </c>
    </row>
    <row r="3495" customFormat="false" ht="15" hidden="false" customHeight="false" outlineLevel="1" collapsed="false">
      <c r="A3495" s="7" t="s">
        <v>760</v>
      </c>
      <c r="B3495" s="8" t="s">
        <v>11</v>
      </c>
      <c r="C3495" s="61" t="n">
        <f aca="false">-C3483</f>
        <v>-60815.4246575343</v>
      </c>
      <c r="D3495" s="61" t="n">
        <f aca="false">-(D3483-C3483)</f>
        <v>-309734.52739726</v>
      </c>
      <c r="E3495" s="61" t="n">
        <f aca="false">-(E3483-D3483)</f>
        <v>-303073.273972603</v>
      </c>
      <c r="F3495" s="61" t="n">
        <f aca="false">-(F3483-E3483)</f>
        <v>-491091.739726028</v>
      </c>
      <c r="G3495" s="61" t="n">
        <f aca="false">-(G3483-F3483)</f>
        <v>-613743.267123288</v>
      </c>
      <c r="H3495" s="2" t="s">
        <v>1417</v>
      </c>
    </row>
    <row r="3496" customFormat="false" ht="15" hidden="false" customHeight="false" outlineLevel="1" collapsed="false">
      <c r="A3496" s="7" t="s">
        <v>424</v>
      </c>
      <c r="B3496" s="8" t="s">
        <v>11</v>
      </c>
      <c r="C3496" s="61" t="n">
        <f aca="false">-C3443</f>
        <v>-92000</v>
      </c>
      <c r="D3496" s="61" t="n">
        <f aca="false">-D3443</f>
        <v>-44000</v>
      </c>
      <c r="E3496" s="61" t="n">
        <f aca="false">-E3443</f>
        <v>-48000</v>
      </c>
      <c r="F3496" s="61" t="n">
        <f aca="false">-F3443</f>
        <v>-38000</v>
      </c>
      <c r="G3496" s="61" t="n">
        <f aca="false">-G3443</f>
        <v>-38000</v>
      </c>
      <c r="H3496" s="2" t="s">
        <v>1418</v>
      </c>
    </row>
    <row r="3497" customFormat="false" ht="15" hidden="false" customHeight="false" outlineLevel="1" collapsed="false">
      <c r="A3497" s="7" t="s">
        <v>761</v>
      </c>
      <c r="B3497" s="8" t="s">
        <v>11</v>
      </c>
      <c r="C3497" s="61" t="n">
        <f aca="false">C3493+C3494+C3495+C3496</f>
        <v>-848208.993914384</v>
      </c>
      <c r="D3497" s="61" t="n">
        <f aca="false">D3493+D3494+D3495+D3496</f>
        <v>-1053523.14268591</v>
      </c>
      <c r="E3497" s="61" t="n">
        <f aca="false">E3493+E3494+E3495+E3496</f>
        <v>-1100871.20797383</v>
      </c>
      <c r="F3497" s="61" t="n">
        <f aca="false">F3493+F3494+F3495+F3496</f>
        <v>-1250085.90446945</v>
      </c>
      <c r="G3497" s="61" t="n">
        <f aca="false">G3493+G3494+G3495+G3496</f>
        <v>-1303824.1946149</v>
      </c>
      <c r="H3497" s="2" t="s">
        <v>1419</v>
      </c>
    </row>
    <row r="3498" customFormat="false" ht="15" hidden="false" customHeight="false" outlineLevel="1" collapsed="false">
      <c r="A3498" s="7" t="s">
        <v>762</v>
      </c>
      <c r="B3498" s="8" t="s">
        <v>11</v>
      </c>
      <c r="C3498" s="61" t="n">
        <f aca="false">C3485</f>
        <v>0</v>
      </c>
      <c r="D3498" s="61" t="n">
        <f aca="false">D3485-C3485</f>
        <v>416868.696061644</v>
      </c>
      <c r="E3498" s="61" t="n">
        <f aca="false">E3485-D3485</f>
        <v>340957.433219178</v>
      </c>
      <c r="F3498" s="61" t="n">
        <f aca="false">F3485-E3485</f>
        <v>552478.207191781</v>
      </c>
      <c r="G3498" s="61" t="n">
        <f aca="false">G3485-F3485</f>
        <v>690461.175513699</v>
      </c>
      <c r="H3498" s="2" t="s">
        <v>1420</v>
      </c>
    </row>
    <row r="3499" customFormat="false" ht="15" hidden="false" customHeight="false" outlineLevel="1" collapsed="false">
      <c r="A3499" s="7" t="s">
        <v>763</v>
      </c>
      <c r="B3499" s="8" t="s">
        <v>11</v>
      </c>
      <c r="C3499" s="61" t="n">
        <f aca="false">-C3487</f>
        <v>-0</v>
      </c>
      <c r="D3499" s="61" t="n">
        <f aca="false">-(D3487-C3487)</f>
        <v>-83373.7392123287</v>
      </c>
      <c r="E3499" s="61" t="n">
        <f aca="false">-(E3487-D3487)</f>
        <v>-68191.4866438356</v>
      </c>
      <c r="F3499" s="61" t="n">
        <f aca="false">-(F3487-E3487)</f>
        <v>-110495.641438356</v>
      </c>
      <c r="G3499" s="61" t="n">
        <f aca="false">-(G3487-F3487)</f>
        <v>-138092.23510274</v>
      </c>
      <c r="H3499" s="2" t="s">
        <v>1421</v>
      </c>
    </row>
    <row r="3500" customFormat="false" ht="15" hidden="false" customHeight="false" outlineLevel="1" collapsed="false">
      <c r="A3500" s="7" t="s">
        <v>764</v>
      </c>
      <c r="B3500" s="8" t="s">
        <v>11</v>
      </c>
      <c r="C3500" s="61" t="n">
        <f aca="false">-C3490</f>
        <v>-0</v>
      </c>
      <c r="D3500" s="61" t="n">
        <f aca="false">-(D3490-C3490)</f>
        <v>-20843.4348030822</v>
      </c>
      <c r="E3500" s="61" t="n">
        <f aca="false">-(E3490-D3490)</f>
        <v>-17047.8716609589</v>
      </c>
      <c r="F3500" s="61" t="n">
        <f aca="false">-(F3490-E3490)</f>
        <v>-27623.9103595891</v>
      </c>
      <c r="G3500" s="61" t="n">
        <f aca="false">-(G3490-F3490)</f>
        <v>-34523.0587756849</v>
      </c>
      <c r="H3500" s="2" t="s">
        <v>1422</v>
      </c>
    </row>
    <row r="3501" customFormat="false" ht="15" hidden="false" customHeight="false" outlineLevel="1" collapsed="false">
      <c r="A3501" s="7" t="s">
        <v>765</v>
      </c>
      <c r="B3501" s="8" t="s">
        <v>11</v>
      </c>
      <c r="C3501" s="61" t="n">
        <f aca="false">-(C3489-Pressupostos!$C$108)</f>
        <v>50000</v>
      </c>
      <c r="D3501" s="61" t="n">
        <f aca="false">-(D3489-C3489)</f>
        <v>-12945.0047945206</v>
      </c>
      <c r="E3501" s="61" t="n">
        <f aca="false">-(E3489-D3489)</f>
        <v>12945.0047945206</v>
      </c>
      <c r="F3501" s="61" t="n">
        <f aca="false">-(F3489-E3489)</f>
        <v>-0</v>
      </c>
      <c r="G3501" s="61" t="n">
        <f aca="false">-(G3489-F3489)</f>
        <v>-0</v>
      </c>
      <c r="H3501" s="2" t="s">
        <v>1423</v>
      </c>
    </row>
    <row r="3502" customFormat="false" ht="15" hidden="false" customHeight="false" outlineLevel="1" collapsed="false">
      <c r="A3502" s="56" t="s">
        <v>766</v>
      </c>
      <c r="B3502" s="57" t="s">
        <v>11</v>
      </c>
      <c r="C3502" s="62" t="n">
        <f aca="false">C3497+C3498+C3499+C3500+C3501</f>
        <v>-798208.993914384</v>
      </c>
      <c r="D3502" s="62" t="n">
        <f aca="false">D3497+D3498+D3499+D3500+D3501</f>
        <v>-753816.625434198</v>
      </c>
      <c r="E3502" s="62" t="n">
        <f aca="false">E3497+E3498+E3499+E3500+E3501</f>
        <v>-832208.128264922</v>
      </c>
      <c r="F3502" s="62" t="n">
        <f aca="false">F3497+F3498+F3499+F3500+F3501</f>
        <v>-835727.249075614</v>
      </c>
      <c r="G3502" s="62" t="n">
        <f aca="false">G3497+G3498+G3499+G3500+G3501</f>
        <v>-785978.312979624</v>
      </c>
      <c r="H3502" s="2" t="s">
        <v>1424</v>
      </c>
    </row>
    <row r="3503" customFormat="false" ht="15" hidden="false" customHeight="false" outlineLevel="1" collapsed="false">
      <c r="A3503" s="56" t="s">
        <v>767</v>
      </c>
      <c r="B3503" s="57" t="s">
        <v>11</v>
      </c>
      <c r="C3503" s="62" t="n">
        <f aca="false">C3502</f>
        <v>-798208.993914384</v>
      </c>
      <c r="D3503" s="62" t="n">
        <f aca="false">C3503+D3502</f>
        <v>-1552025.61934858</v>
      </c>
      <c r="E3503" s="62" t="n">
        <f aca="false">D3503+E3502</f>
        <v>-2384233.7476135</v>
      </c>
      <c r="F3503" s="62" t="n">
        <f aca="false">E3503+F3502</f>
        <v>-3219960.99668912</v>
      </c>
      <c r="G3503" s="62" t="n">
        <f aca="false">F3503+G3502</f>
        <v>-4005939.30966874</v>
      </c>
      <c r="H3503" s="2" t="s">
        <v>1425</v>
      </c>
    </row>
    <row r="3504" customFormat="false" ht="15" hidden="false" customHeight="false" outlineLevel="1" collapsed="false">
      <c r="A3504" s="8" t="s">
        <v>768</v>
      </c>
      <c r="B3504" s="8" t="s">
        <v>11</v>
      </c>
      <c r="C3504" s="70" t="n">
        <f aca="false">ROUND(C3459-C3443-C3474-(MAX(C3488,Pressupostos!$C$108)-Pressupostos!$C$108)-(C3490)-C3502,6)</f>
        <v>0</v>
      </c>
      <c r="D3504" s="70" t="n">
        <f aca="false">ROUND(D3459-D3443-D3474-(MAX(D3488,Pressupostos!$C$108)-MAX(C3488,Pressupostos!$C$108))-(D3490-C3490)-D3502,6)</f>
        <v>0</v>
      </c>
      <c r="E3504" s="70" t="n">
        <f aca="false">ROUND(E3459-E3443-E3474-(MAX(E3488,Pressupostos!$C$108)-MAX(D3488,Pressupostos!$C$108))-(E3490-D3490)-E3502,6)</f>
        <v>0</v>
      </c>
      <c r="F3504" s="70" t="n">
        <f aca="false">ROUND(F3459-F3443-F3474-(MAX(F3488,Pressupostos!$C$108)-MAX(E3488,Pressupostos!$C$108))-(F3490-E3490)-F3502,6)</f>
        <v>0</v>
      </c>
      <c r="G3504" s="70" t="n">
        <f aca="false">ROUND(G3459-G3443-G3474-(MAX(G3488,Pressupostos!$C$108)-MAX(F3488,Pressupostos!$C$108))-(G3490-F3490)-G3502,6)</f>
        <v>0</v>
      </c>
      <c r="H3504" s="2" t="s">
        <v>1426</v>
      </c>
    </row>
    <row r="3505" customFormat="false" ht="15" hidden="false" customHeight="false" outlineLevel="0" collapsed="false">
      <c r="A3505" s="3" t="s">
        <v>1427</v>
      </c>
      <c r="B3505" s="4"/>
      <c r="C3505" s="4"/>
      <c r="D3505" s="4"/>
      <c r="E3505" s="4"/>
      <c r="F3505" s="4"/>
      <c r="G3505" s="4"/>
      <c r="H3505" s="4"/>
    </row>
    <row r="3506" customFormat="false" ht="15" hidden="false" customHeight="false" outlineLevel="1" collapsed="false">
      <c r="A3506" s="7" t="s">
        <v>770</v>
      </c>
      <c r="B3506" s="8" t="s">
        <v>11</v>
      </c>
      <c r="C3506" s="61" t="n">
        <f aca="false">0</f>
        <v>0</v>
      </c>
      <c r="D3506" s="61" t="n">
        <f aca="false">C3511</f>
        <v>156791.006085616</v>
      </c>
      <c r="E3506" s="61" t="n">
        <f aca="false">D3511</f>
        <v>150000</v>
      </c>
      <c r="F3506" s="61" t="n">
        <f aca="false">E3511</f>
        <v>150000</v>
      </c>
      <c r="G3506" s="61" t="n">
        <f aca="false">F3511</f>
        <v>150000</v>
      </c>
      <c r="H3506" s="2" t="s">
        <v>1428</v>
      </c>
    </row>
    <row r="3507" customFormat="false" ht="15" hidden="false" customHeight="false" outlineLevel="1" collapsed="false">
      <c r="A3507" s="7" t="s">
        <v>771</v>
      </c>
      <c r="B3507" s="8" t="s">
        <v>11</v>
      </c>
      <c r="C3507" s="61" t="n">
        <f aca="false">-(Pressupostos!$C$159+Pressupostos!$C$160+Pressupostos!$C$161+Pressupostos!$C$162+Pressupostos!$C$163+Pressupostos!$C$108)</f>
        <v>-145000</v>
      </c>
      <c r="D3507" s="61" t="n">
        <f aca="false">0</f>
        <v>0</v>
      </c>
      <c r="E3507" s="61" t="n">
        <f aca="false">0</f>
        <v>0</v>
      </c>
      <c r="F3507" s="61" t="n">
        <f aca="false">0</f>
        <v>0</v>
      </c>
      <c r="G3507" s="61" t="n">
        <f aca="false">0</f>
        <v>0</v>
      </c>
      <c r="H3507" s="2" t="s">
        <v>1429</v>
      </c>
    </row>
    <row r="3508" customFormat="false" ht="15" hidden="false" customHeight="false" outlineLevel="1" collapsed="false">
      <c r="A3508" s="7" t="s">
        <v>772</v>
      </c>
      <c r="B3508" s="8" t="s">
        <v>11</v>
      </c>
      <c r="C3508" s="53" t="n">
        <f aca="false">Pressupostos!$D$32</f>
        <v>1100000</v>
      </c>
      <c r="D3508" s="61" t="n">
        <f aca="false">0</f>
        <v>0</v>
      </c>
      <c r="E3508" s="61" t="n">
        <f aca="false">0</f>
        <v>0</v>
      </c>
      <c r="F3508" s="61" t="n">
        <f aca="false">0</f>
        <v>0</v>
      </c>
      <c r="G3508" s="61" t="n">
        <f aca="false">0</f>
        <v>0</v>
      </c>
      <c r="H3508" s="2" t="s">
        <v>1430</v>
      </c>
    </row>
    <row r="3509" customFormat="false" ht="15" hidden="false" customHeight="false" outlineLevel="1" collapsed="false">
      <c r="A3509" s="7" t="s">
        <v>773</v>
      </c>
      <c r="B3509" s="8" t="s">
        <v>11</v>
      </c>
      <c r="C3509" s="61" t="n">
        <f aca="false">C3506+C3507+C3508+C3502</f>
        <v>156791.006085616</v>
      </c>
      <c r="D3509" s="61" t="n">
        <f aca="false">D3506+D3507+D3508+D3502</f>
        <v>-597025.619348582</v>
      </c>
      <c r="E3509" s="61" t="n">
        <f aca="false">E3506+E3507+E3508+E3502</f>
        <v>-682208.128264922</v>
      </c>
      <c r="F3509" s="61" t="n">
        <f aca="false">F3506+F3507+F3508+F3502</f>
        <v>-685727.249075614</v>
      </c>
      <c r="G3509" s="61" t="n">
        <f aca="false">G3506+G3507+G3508+G3502</f>
        <v>-635978.312979624</v>
      </c>
      <c r="H3509" s="2" t="s">
        <v>1431</v>
      </c>
    </row>
    <row r="3510" customFormat="false" ht="15" hidden="false" customHeight="false" outlineLevel="1" collapsed="false">
      <c r="A3510" s="56" t="s">
        <v>774</v>
      </c>
      <c r="B3510" s="57" t="s">
        <v>11</v>
      </c>
      <c r="C3510" s="62" t="n">
        <f aca="false">MAX(0,Pressupostos!$C$170-C3509)</f>
        <v>0</v>
      </c>
      <c r="D3510" s="62" t="n">
        <f aca="false">MAX(0,Pressupostos!$C$170-D3509)</f>
        <v>747025.619348582</v>
      </c>
      <c r="E3510" s="62" t="n">
        <f aca="false">MAX(0,Pressupostos!$C$170-E3509)</f>
        <v>832208.128264922</v>
      </c>
      <c r="F3510" s="62" t="n">
        <f aca="false">MAX(0,Pressupostos!$C$170-F3509)</f>
        <v>835727.249075614</v>
      </c>
      <c r="G3510" s="62" t="n">
        <f aca="false">MAX(0,Pressupostos!$C$170-G3509)</f>
        <v>785978.312979624</v>
      </c>
      <c r="H3510" s="2" t="s">
        <v>1432</v>
      </c>
    </row>
    <row r="3511" customFormat="false" ht="15" hidden="false" customHeight="false" outlineLevel="1" collapsed="false">
      <c r="A3511" s="56" t="s">
        <v>775</v>
      </c>
      <c r="B3511" s="57" t="s">
        <v>11</v>
      </c>
      <c r="C3511" s="62" t="n">
        <f aca="false">C3509+C3510</f>
        <v>156791.006085616</v>
      </c>
      <c r="D3511" s="62" t="n">
        <f aca="false">D3509+D3510</f>
        <v>150000</v>
      </c>
      <c r="E3511" s="62" t="n">
        <f aca="false">E3509+E3510</f>
        <v>150000</v>
      </c>
      <c r="F3511" s="62" t="n">
        <f aca="false">F3509+F3510</f>
        <v>150000</v>
      </c>
      <c r="G3511" s="62" t="n">
        <f aca="false">G3509+G3510</f>
        <v>150000</v>
      </c>
      <c r="H3511" s="2" t="s">
        <v>1433</v>
      </c>
    </row>
    <row r="3512" customFormat="false" ht="15" hidden="false" customHeight="false" outlineLevel="1" collapsed="false">
      <c r="A3512" s="7" t="s">
        <v>776</v>
      </c>
      <c r="B3512" s="8" t="s">
        <v>11</v>
      </c>
      <c r="C3512" s="61" t="n">
        <f aca="false">C3487+C3490+C3489</f>
        <v>0</v>
      </c>
      <c r="D3512" s="61" t="n">
        <f aca="false">D3487+D3490+D3489</f>
        <v>117162.178809932</v>
      </c>
      <c r="E3512" s="61" t="n">
        <f aca="false">E3487+E3490+E3489</f>
        <v>189456.532320205</v>
      </c>
      <c r="F3512" s="61" t="n">
        <f aca="false">F3487+F3490+F3489</f>
        <v>327576.084118151</v>
      </c>
      <c r="G3512" s="61" t="n">
        <f aca="false">G3487+G3490+G3489</f>
        <v>500191.377996575</v>
      </c>
      <c r="H3512" s="2" t="s">
        <v>1434</v>
      </c>
    </row>
    <row r="3513" customFormat="false" ht="15" hidden="false" customHeight="false" outlineLevel="1" collapsed="false">
      <c r="A3513" s="7" t="s">
        <v>777</v>
      </c>
      <c r="B3513" s="8" t="s">
        <v>11</v>
      </c>
      <c r="C3513" s="61" t="n">
        <f aca="false">C3511+C3512</f>
        <v>156791.006085616</v>
      </c>
      <c r="D3513" s="61" t="n">
        <f aca="false">D3511+D3512</f>
        <v>267162.178809932</v>
      </c>
      <c r="E3513" s="61" t="n">
        <f aca="false">E3511+E3512</f>
        <v>339456.532320206</v>
      </c>
      <c r="F3513" s="61" t="n">
        <f aca="false">F3511+F3512</f>
        <v>477576.084118151</v>
      </c>
      <c r="G3513" s="61" t="n">
        <f aca="false">G3511+G3512</f>
        <v>650191.377996575</v>
      </c>
      <c r="H3513" s="2" t="s">
        <v>1435</v>
      </c>
    </row>
    <row r="3514" customFormat="false" ht="15" hidden="false" customHeight="false" outlineLevel="1" collapsed="false">
      <c r="A3514" s="7" t="s">
        <v>778</v>
      </c>
      <c r="B3514" s="8" t="s">
        <v>11</v>
      </c>
      <c r="C3514" s="61" t="n">
        <f aca="false">C3508+C3510</f>
        <v>1100000</v>
      </c>
      <c r="D3514" s="61" t="n">
        <f aca="false">C3514+D3508+D3510</f>
        <v>1847025.61934858</v>
      </c>
      <c r="E3514" s="61" t="n">
        <f aca="false">D3514+E3508+E3510</f>
        <v>2679233.7476135</v>
      </c>
      <c r="F3514" s="61" t="n">
        <f aca="false">E3514+F3508+F3510</f>
        <v>3514960.99668912</v>
      </c>
      <c r="G3514" s="61" t="n">
        <f aca="false">F3514+G3508+G3510</f>
        <v>4300939.30966874</v>
      </c>
      <c r="H3514" s="2" t="s">
        <v>1436</v>
      </c>
    </row>
    <row r="3515" customFormat="false" ht="15" hidden="false" customHeight="false" outlineLevel="0" collapsed="false">
      <c r="A3515" s="3" t="s">
        <v>1437</v>
      </c>
      <c r="B3515" s="4"/>
      <c r="C3515" s="4"/>
      <c r="D3515" s="4"/>
      <c r="E3515" s="4"/>
      <c r="F3515" s="4"/>
      <c r="G3515" s="4"/>
      <c r="H3515" s="4"/>
    </row>
    <row r="3516" customFormat="false" ht="15" hidden="false" customHeight="false" outlineLevel="1" collapsed="false">
      <c r="A3516" s="7" t="s">
        <v>782</v>
      </c>
      <c r="B3516" s="8" t="s">
        <v>11</v>
      </c>
      <c r="C3516" s="72" t="n">
        <f aca="false">Pressupostos!$C$159+Pressupostos!$C$160+Pressupostos!$C$161+Pressupostos!$C$162+Pressupostos!$C$163</f>
        <v>95000</v>
      </c>
      <c r="H3516" s="2" t="s">
        <v>1438</v>
      </c>
    </row>
    <row r="3517" customFormat="false" ht="15" hidden="false" customHeight="false" outlineLevel="1" collapsed="false">
      <c r="A3517" s="7" t="s">
        <v>783</v>
      </c>
      <c r="B3517" s="8" t="s">
        <v>11</v>
      </c>
      <c r="C3517" s="73" t="n">
        <f aca="false">Pressupostos!$C$108</f>
        <v>50000</v>
      </c>
      <c r="H3517" s="2" t="s">
        <v>1439</v>
      </c>
    </row>
    <row r="3518" customFormat="false" ht="15" hidden="false" customHeight="false" outlineLevel="1" collapsed="false">
      <c r="A3518" s="7" t="s">
        <v>322</v>
      </c>
      <c r="B3518" s="8" t="s">
        <v>11</v>
      </c>
      <c r="C3518" s="73" t="n">
        <f aca="false">Pressupostos!$C$170</f>
        <v>150000</v>
      </c>
      <c r="H3518" s="2" t="s">
        <v>1440</v>
      </c>
    </row>
    <row r="3519" customFormat="false" ht="15" hidden="false" customHeight="false" outlineLevel="1" collapsed="false">
      <c r="A3519" s="7" t="s">
        <v>784</v>
      </c>
      <c r="B3519" s="8" t="s">
        <v>11</v>
      </c>
      <c r="C3519" s="72" t="n">
        <f aca="false">MAX(0,-MIN($C$3503:$G$3503))</f>
        <v>4005939.30966874</v>
      </c>
      <c r="H3519" s="2" t="s">
        <v>1441</v>
      </c>
    </row>
    <row r="3520" customFormat="false" ht="15" hidden="false" customHeight="false" outlineLevel="1" collapsed="false">
      <c r="A3520" s="56" t="s">
        <v>785</v>
      </c>
      <c r="B3520" s="57" t="s">
        <v>11</v>
      </c>
      <c r="C3520" s="74" t="n">
        <f aca="false">C3516+C3517+C3518+C3519</f>
        <v>4300939.30966874</v>
      </c>
      <c r="H3520" s="2" t="s">
        <v>1442</v>
      </c>
    </row>
    <row r="3521" customFormat="false" ht="15" hidden="false" customHeight="false" outlineLevel="1" collapsed="false">
      <c r="A3521" s="7" t="s">
        <v>786</v>
      </c>
      <c r="B3521" s="8" t="s">
        <v>20</v>
      </c>
      <c r="C3521" s="75" t="n">
        <f aca="false">INDEX($C$3248:$G$3248,1,MATCH(MIN($C$3503:$G$3503),$C$3503:$G$3503,0))</f>
        <v>2031</v>
      </c>
      <c r="H3521" s="2" t="s">
        <v>1443</v>
      </c>
    </row>
    <row r="3522" customFormat="false" ht="15" hidden="false" customHeight="false" outlineLevel="1" collapsed="false">
      <c r="A3522" s="7" t="s">
        <v>787</v>
      </c>
      <c r="B3522" s="8"/>
      <c r="C3522" s="76" t="str">
        <f aca="false">IF(G3502&lt;0,"sim","não")</f>
        <v>sim</v>
      </c>
      <c r="H3522" s="2" t="s">
        <v>1444</v>
      </c>
    </row>
    <row r="3523" customFormat="false" ht="15" hidden="false" customHeight="false" outlineLevel="1" collapsed="false">
      <c r="A3523" s="7" t="s">
        <v>788</v>
      </c>
      <c r="B3523" s="8" t="s">
        <v>11</v>
      </c>
      <c r="C3523" s="72" t="n">
        <f aca="false">G3514</f>
        <v>4300939.30966874</v>
      </c>
      <c r="H3523" s="2" t="s">
        <v>1445</v>
      </c>
    </row>
    <row r="3524" customFormat="false" ht="15" hidden="false" customHeight="false" outlineLevel="0" collapsed="false">
      <c r="A3524" s="3" t="s">
        <v>1446</v>
      </c>
      <c r="B3524" s="4"/>
      <c r="C3524" s="4"/>
      <c r="D3524" s="4"/>
      <c r="E3524" s="4"/>
      <c r="F3524" s="4"/>
      <c r="G3524" s="4"/>
      <c r="H3524" s="4"/>
    </row>
    <row r="3525" customFormat="false" ht="15" hidden="false" customHeight="false" outlineLevel="1" collapsed="false">
      <c r="A3525" s="7" t="s">
        <v>790</v>
      </c>
      <c r="B3525" s="8" t="s">
        <v>11</v>
      </c>
      <c r="C3525" s="72" t="n">
        <f aca="false">C3516+C3517</f>
        <v>145000</v>
      </c>
      <c r="H3525" s="2" t="s">
        <v>1447</v>
      </c>
    </row>
    <row r="3526" customFormat="false" ht="15" hidden="false" customHeight="false" outlineLevel="1" collapsed="false">
      <c r="A3526" s="7" t="s">
        <v>791</v>
      </c>
      <c r="B3526" s="8" t="s">
        <v>11</v>
      </c>
      <c r="C3526" s="72" t="n">
        <f aca="false">-SUMPRODUCT(($C$3248:$G$3248&lt;=C3521)*$C$3459:$G$3459)</f>
        <v>3518055.21078176</v>
      </c>
      <c r="H3526" s="2" t="s">
        <v>1448</v>
      </c>
    </row>
    <row r="3527" customFormat="false" ht="15" hidden="false" customHeight="false" outlineLevel="1" collapsed="false">
      <c r="A3527" s="7" t="s">
        <v>424</v>
      </c>
      <c r="B3527" s="8" t="s">
        <v>11</v>
      </c>
      <c r="C3527" s="72" t="n">
        <f aca="false">SUMPRODUCT(($C$3248:$G$3248&lt;=C3521)*$C$3443:$G$3443)</f>
        <v>260000</v>
      </c>
      <c r="H3527" s="2" t="s">
        <v>1449</v>
      </c>
    </row>
    <row r="3528" customFormat="false" ht="15" hidden="false" customHeight="false" outlineLevel="1" collapsed="false">
      <c r="A3528" s="7" t="s">
        <v>792</v>
      </c>
      <c r="B3528" s="8" t="s">
        <v>11</v>
      </c>
      <c r="C3528" s="72" t="n">
        <f aca="false">SUMPRODUCT(($C$3248:$G$3248&lt;=C3521)*$C$3474:$G$3474)</f>
        <v>0</v>
      </c>
      <c r="H3528" s="2" t="s">
        <v>1450</v>
      </c>
    </row>
    <row r="3529" customFormat="false" ht="15" hidden="false" customHeight="false" outlineLevel="1" collapsed="false">
      <c r="A3529" s="7" t="s">
        <v>793</v>
      </c>
      <c r="B3529" s="8" t="s">
        <v>11</v>
      </c>
      <c r="C3529" s="72" t="n">
        <f aca="false">C3519-C3526-C3527-C3528</f>
        <v>227884.098886987</v>
      </c>
      <c r="H3529" s="2" t="s">
        <v>1451</v>
      </c>
    </row>
    <row r="3530" customFormat="false" ht="15" hidden="false" customHeight="false" outlineLevel="1" collapsed="false">
      <c r="A3530" s="7" t="s">
        <v>322</v>
      </c>
      <c r="B3530" s="8" t="s">
        <v>11</v>
      </c>
      <c r="C3530" s="72" t="n">
        <f aca="false">C3518</f>
        <v>150000</v>
      </c>
      <c r="H3530" s="2" t="s">
        <v>1452</v>
      </c>
    </row>
    <row r="3531" customFormat="false" ht="15" hidden="false" customHeight="false" outlineLevel="1" collapsed="false">
      <c r="A3531" s="56" t="s">
        <v>794</v>
      </c>
      <c r="B3531" s="57" t="s">
        <v>11</v>
      </c>
      <c r="C3531" s="74" t="n">
        <f aca="false">C3525+C3526+C3527+C3528+C3529+C3530</f>
        <v>4300939.30966874</v>
      </c>
      <c r="H3531" s="2" t="s">
        <v>1453</v>
      </c>
    </row>
    <row r="3532" customFormat="false" ht="15" hidden="false" customHeight="false" outlineLevel="0" collapsed="false">
      <c r="A3532" s="3" t="s">
        <v>1454</v>
      </c>
      <c r="B3532" s="4"/>
      <c r="C3532" s="4"/>
      <c r="D3532" s="4"/>
      <c r="E3532" s="4"/>
      <c r="F3532" s="4"/>
      <c r="G3532" s="4"/>
      <c r="H3532" s="4"/>
    </row>
    <row r="3533" customFormat="false" ht="15" hidden="false" customHeight="false" outlineLevel="1" collapsed="false">
      <c r="A3533" s="7" t="s">
        <v>772</v>
      </c>
      <c r="B3533" s="8" t="s">
        <v>11</v>
      </c>
      <c r="C3533" s="73" t="n">
        <f aca="false">Pressupostos!$D$32</f>
        <v>1100000</v>
      </c>
      <c r="H3533" s="2" t="s">
        <v>1455</v>
      </c>
    </row>
    <row r="3534" customFormat="false" ht="15" hidden="false" customHeight="false" outlineLevel="1" collapsed="false">
      <c r="A3534" s="7" t="s">
        <v>796</v>
      </c>
      <c r="B3534" s="8" t="s">
        <v>11</v>
      </c>
      <c r="C3534" s="72" t="n">
        <f aca="false">C3516+Pressupostos!$C$108+Pressupostos!$C$130/12*((C3418-C3406-C3407+(C3406+C3407)/Pressupostos!$C$128*Pressupostos!$C$129)*(1+Pressupostos!$C$124+Pressupostos!$C$125)+C3404*Pressupostos!$C$126+C3437)+C3443+MAX(0,Pressupostos!$C$183*1000*(C3269+C3272)+Pressupostos!$C$184*1000*(C3292+C3295)-Pressupostos!$C$108)</f>
        <v>734321.666666667</v>
      </c>
      <c r="H3534" s="2" t="s">
        <v>1456</v>
      </c>
    </row>
    <row r="3535" customFormat="false" ht="15" hidden="false" customHeight="false" outlineLevel="1" collapsed="false">
      <c r="A3535" s="7" t="s">
        <v>798</v>
      </c>
      <c r="B3535" s="8" t="s">
        <v>11</v>
      </c>
      <c r="C3535" s="72" t="n">
        <f aca="false">C3516+Pressupostos!$C$108-C3502</f>
        <v>943208.993914384</v>
      </c>
      <c r="H3535" s="2" t="s">
        <v>1457</v>
      </c>
    </row>
    <row r="3536" customFormat="false" ht="15" hidden="false" customHeight="false" outlineLevel="1" collapsed="false">
      <c r="A3536" s="7" t="s">
        <v>799</v>
      </c>
      <c r="B3536" s="8" t="s">
        <v>11</v>
      </c>
      <c r="C3536" s="61" t="n">
        <f aca="false">Pressupostos!$D$32-C3516-Pressupostos!$C$108+C3503</f>
        <v>156791.006085616</v>
      </c>
      <c r="D3536" s="61" t="n">
        <f aca="false">Pressupostos!$D$32-C3516-Pressupostos!$C$108+D3503</f>
        <v>-597025.619348582</v>
      </c>
      <c r="E3536" s="61" t="n">
        <f aca="false">Pressupostos!$D$32-C3516-Pressupostos!$C$108+E3503</f>
        <v>-1429233.7476135</v>
      </c>
      <c r="F3536" s="61" t="n">
        <f aca="false">Pressupostos!$D$32-C3516-Pressupostos!$C$108+F3503</f>
        <v>-2264960.99668912</v>
      </c>
      <c r="G3536" s="61" t="n">
        <f aca="false">Pressupostos!$D$32-C3516-Pressupostos!$C$108+G3503</f>
        <v>-3050939.30966874</v>
      </c>
      <c r="H3536" s="2" t="s">
        <v>1458</v>
      </c>
    </row>
    <row r="3537" customFormat="false" ht="15" hidden="false" customHeight="false" outlineLevel="1" collapsed="false">
      <c r="A3537" s="7" t="s">
        <v>800</v>
      </c>
      <c r="B3537" s="8" t="s">
        <v>18</v>
      </c>
      <c r="C3537" s="77" t="str">
        <f aca="false">IF(AND(Pressupostos!$D$32-C3516-Pressupostos!$C$108&gt;0,C3536&lt;=0),12*(Pressupostos!$D$32-C3516-Pressupostos!$C$108)/(Pressupostos!$D$32-C3516-Pressupostos!$C$108-C3536),"")</f>
        <v/>
      </c>
      <c r="D3537" s="77" t="n">
        <f aca="false">IF(AND(C3536&gt;0,D3536&lt;=0),12+12*C3536/(C3536-D3536),"")</f>
        <v>14.4959545989632</v>
      </c>
      <c r="E3537" s="77" t="str">
        <f aca="false">IF(AND(D3536&gt;0,E3536&lt;=0),24+12*D3536/(D3536-E3536),"")</f>
        <v/>
      </c>
      <c r="F3537" s="77" t="str">
        <f aca="false">IF(AND(E3536&gt;0,F3536&lt;=0),36+12*E3536/(E3536-F3536),"")</f>
        <v/>
      </c>
      <c r="G3537" s="77" t="str">
        <f aca="false">IF(AND(F3536&gt;0,G3536&lt;=0),48+12*F3536/(F3536-G3536),"")</f>
        <v/>
      </c>
      <c r="H3537" s="2" t="s">
        <v>1459</v>
      </c>
    </row>
    <row r="3538" customFormat="false" ht="15" hidden="false" customHeight="false" outlineLevel="1" collapsed="false">
      <c r="A3538" s="56" t="s">
        <v>801</v>
      </c>
      <c r="B3538" s="57" t="s">
        <v>274</v>
      </c>
      <c r="C3538" s="78" t="n">
        <f aca="false">IF(COUNT($C$3537:$G$3537)=0,"&gt; 60",MIN($C$3537:$G$3537))</f>
        <v>14.4959545989632</v>
      </c>
      <c r="H3538" s="2" t="s">
        <v>1460</v>
      </c>
    </row>
    <row r="3539" customFormat="false" ht="15" hidden="false" customHeight="false" outlineLevel="0" collapsed="false">
      <c r="A3539" s="3" t="s">
        <v>1461</v>
      </c>
      <c r="B3539" s="4"/>
      <c r="C3539" s="4"/>
      <c r="D3539" s="4"/>
      <c r="E3539" s="4"/>
      <c r="F3539" s="4"/>
      <c r="G3539" s="4"/>
      <c r="H3539" s="4"/>
    </row>
    <row r="3540" customFormat="false" ht="15" hidden="false" customHeight="false" outlineLevel="1" collapsed="false">
      <c r="A3540" s="7" t="s">
        <v>803</v>
      </c>
      <c r="B3540" s="8" t="s">
        <v>18</v>
      </c>
      <c r="C3540" s="77" t="str">
        <f aca="false">IF(C3459&gt;=0,1,"")</f>
        <v/>
      </c>
      <c r="D3540" s="77" t="str">
        <f aca="false">IF(AND(C3459&lt;0,D3459&gt;=0),6.5+12*(-C3459)/(D3459-C3459),"")</f>
        <v/>
      </c>
      <c r="E3540" s="77" t="str">
        <f aca="false">IF(AND(D3459&lt;0,E3459&gt;=0),18.5+12*(-D3459)/(E3459-D3459),"")</f>
        <v/>
      </c>
      <c r="F3540" s="77" t="str">
        <f aca="false">IF(AND(E3459&lt;0,F3459&gt;=0),30.5+12*(-E3459)/(F3459-E3459),"")</f>
        <v/>
      </c>
      <c r="G3540" s="77" t="str">
        <f aca="false">IF(AND(F3459&lt;0,G3459&gt;=0),42.5+12*(-F3459)/(G3459-F3459),"")</f>
        <v/>
      </c>
      <c r="H3540" s="2" t="s">
        <v>1462</v>
      </c>
    </row>
    <row r="3541" customFormat="false" ht="15" hidden="false" customHeight="false" outlineLevel="1" collapsed="false">
      <c r="A3541" s="7" t="s">
        <v>804</v>
      </c>
      <c r="B3541" s="8" t="s">
        <v>18</v>
      </c>
      <c r="C3541" s="79" t="str">
        <f aca="false">IF(COUNT($C$3540:$G$3540)=0,"não atinge até 2031",ROUNDUP(MIN($C$3540:$G$3540),0))</f>
        <v>não atinge até 2031</v>
      </c>
      <c r="H3541" s="2" t="s">
        <v>1463</v>
      </c>
    </row>
    <row r="3542" customFormat="false" ht="15" hidden="false" customHeight="false" outlineLevel="1" collapsed="false">
      <c r="A3542" s="56" t="s">
        <v>805</v>
      </c>
      <c r="B3542" s="57" t="s">
        <v>806</v>
      </c>
      <c r="C3542" s="80" t="str">
        <f aca="false">IF(ISNUMBER(C3541),DATE(2027,C3541,1),"não atinge até 2031")</f>
        <v>não atinge até 2031</v>
      </c>
      <c r="H3542" s="2" t="s">
        <v>1464</v>
      </c>
    </row>
    <row r="3543" customFormat="false" ht="15" hidden="false" customHeight="false" outlineLevel="1" collapsed="false">
      <c r="A3543" s="7" t="s">
        <v>807</v>
      </c>
      <c r="B3543" s="8" t="s">
        <v>20</v>
      </c>
      <c r="C3543" s="81" t="str">
        <f aca="false">IF(C3459&gt;=0,C3248,"")</f>
        <v/>
      </c>
      <c r="D3543" s="81" t="str">
        <f aca="false">IF(D3459&gt;=0,D3248,"")</f>
        <v/>
      </c>
      <c r="E3543" s="81" t="str">
        <f aca="false">IF(E3459&gt;=0,E3248,"")</f>
        <v/>
      </c>
      <c r="F3543" s="81" t="str">
        <f aca="false">IF(F3459&gt;=0,F3248,"")</f>
        <v/>
      </c>
      <c r="G3543" s="81" t="str">
        <f aca="false">IF(G3459&gt;=0,G3248,"")</f>
        <v/>
      </c>
      <c r="H3543" s="2" t="s">
        <v>1465</v>
      </c>
    </row>
    <row r="3544" customFormat="false" ht="15" hidden="false" customHeight="false" outlineLevel="1" collapsed="false">
      <c r="A3544" s="7" t="s">
        <v>808</v>
      </c>
      <c r="B3544" s="8" t="s">
        <v>20</v>
      </c>
      <c r="C3544" s="75" t="str">
        <f aca="false">IF(COUNT($C$3543:$G$3543)=0,"não atinge até 2031",MIN($C$3543:$G$3543))</f>
        <v>não atinge até 2031</v>
      </c>
      <c r="H3544" s="2" t="s">
        <v>1466</v>
      </c>
    </row>
    <row r="3545" customFormat="false" ht="15" hidden="false" customHeight="false" outlineLevel="1" collapsed="false">
      <c r="A3545" s="7" t="s">
        <v>809</v>
      </c>
      <c r="B3545" s="8" t="s">
        <v>20</v>
      </c>
      <c r="C3545" s="81" t="str">
        <f aca="false">IF(C3477&gt;=0,C3248,"")</f>
        <v/>
      </c>
      <c r="D3545" s="81" t="str">
        <f aca="false">IF(D3477&gt;=0,D3248,"")</f>
        <v/>
      </c>
      <c r="E3545" s="81" t="str">
        <f aca="false">IF(E3477&gt;=0,E3248,"")</f>
        <v/>
      </c>
      <c r="F3545" s="81" t="str">
        <f aca="false">IF(F3477&gt;=0,F3248,"")</f>
        <v/>
      </c>
      <c r="G3545" s="81" t="str">
        <f aca="false">IF(G3477&gt;=0,G3248,"")</f>
        <v/>
      </c>
      <c r="H3545" s="2" t="s">
        <v>1467</v>
      </c>
    </row>
    <row r="3546" customFormat="false" ht="15" hidden="false" customHeight="false" outlineLevel="1" collapsed="false">
      <c r="A3546" s="7" t="s">
        <v>810</v>
      </c>
      <c r="B3546" s="8" t="s">
        <v>20</v>
      </c>
      <c r="C3546" s="75" t="str">
        <f aca="false">IF(COUNT($C$3545:$G$3545)=0,"não atinge até 2031",MIN($C$3545:$G$3545))</f>
        <v>não atinge até 2031</v>
      </c>
      <c r="H3546" s="2" t="s">
        <v>1468</v>
      </c>
    </row>
    <row r="3547" customFormat="false" ht="15" hidden="false" customHeight="false" outlineLevel="1" collapsed="false">
      <c r="A3547" s="7" t="s">
        <v>811</v>
      </c>
      <c r="B3547" s="8" t="s">
        <v>20</v>
      </c>
      <c r="C3547" s="81" t="str">
        <f aca="false">IF(C3502&gt;=0,C3248,"")</f>
        <v/>
      </c>
      <c r="D3547" s="81" t="str">
        <f aca="false">IF(D3502&gt;=0,D3248,"")</f>
        <v/>
      </c>
      <c r="E3547" s="81" t="str">
        <f aca="false">IF(E3502&gt;=0,E3248,"")</f>
        <v/>
      </c>
      <c r="F3547" s="81" t="str">
        <f aca="false">IF(F3502&gt;=0,F3248,"")</f>
        <v/>
      </c>
      <c r="G3547" s="81" t="str">
        <f aca="false">IF(G3502&gt;=0,G3248,"")</f>
        <v/>
      </c>
      <c r="H3547" s="2" t="s">
        <v>1469</v>
      </c>
    </row>
    <row r="3548" customFormat="false" ht="15" hidden="false" customHeight="false" outlineLevel="1" collapsed="false">
      <c r="A3548" s="7" t="s">
        <v>19</v>
      </c>
      <c r="B3548" s="8" t="s">
        <v>20</v>
      </c>
      <c r="C3548" s="75" t="str">
        <f aca="false">IF(COUNT($C$3547:$G$3547)=0,"não atinge até 2031",MIN($C$3547:$G$3547))</f>
        <v>não atinge até 2031</v>
      </c>
      <c r="H3548" s="2" t="s">
        <v>1470</v>
      </c>
    </row>
    <row r="3549" customFormat="false" ht="15" hidden="false" customHeight="false" outlineLevel="0" collapsed="false">
      <c r="A3549" s="3" t="s">
        <v>1471</v>
      </c>
      <c r="B3549" s="4"/>
      <c r="C3549" s="4"/>
      <c r="D3549" s="4"/>
      <c r="E3549" s="4"/>
      <c r="F3549" s="4"/>
      <c r="G3549" s="4"/>
      <c r="H3549" s="4"/>
    </row>
    <row r="3550" customFormat="false" ht="15" hidden="false" customHeight="false" outlineLevel="1" collapsed="false">
      <c r="A3550" s="7" t="s">
        <v>813</v>
      </c>
      <c r="B3550" s="8" t="s">
        <v>11</v>
      </c>
      <c r="C3550" s="61" t="n">
        <f aca="false">C3485</f>
        <v>0</v>
      </c>
      <c r="D3550" s="61" t="n">
        <f aca="false">D3485</f>
        <v>416868.696061644</v>
      </c>
      <c r="E3550" s="61" t="n">
        <f aca="false">E3485</f>
        <v>757826.129280822</v>
      </c>
      <c r="F3550" s="61" t="n">
        <f aca="false">F3485</f>
        <v>1310304.3364726</v>
      </c>
      <c r="G3550" s="61" t="n">
        <f aca="false">G3485</f>
        <v>2000765.5119863</v>
      </c>
      <c r="H3550" s="2" t="s">
        <v>1472</v>
      </c>
    </row>
    <row r="3551" customFormat="false" ht="15" hidden="false" customHeight="false" outlineLevel="1" collapsed="false">
      <c r="A3551" s="7" t="s">
        <v>509</v>
      </c>
      <c r="B3551" s="8" t="s">
        <v>76</v>
      </c>
      <c r="C3551" s="82" t="n">
        <f aca="false">Pressupostos!$C$288</f>
        <v>0.08</v>
      </c>
      <c r="D3551" s="82" t="n">
        <f aca="false">Pressupostos!$D$288</f>
        <v>0.08</v>
      </c>
      <c r="E3551" s="82" t="n">
        <f aca="false">Pressupostos!$E$288</f>
        <v>0.075</v>
      </c>
      <c r="F3551" s="82" t="n">
        <f aca="false">Pressupostos!$F$288</f>
        <v>0.07</v>
      </c>
      <c r="G3551" s="82" t="n">
        <f aca="false">Pressupostos!$G$288</f>
        <v>0.07</v>
      </c>
      <c r="H3551" s="2" t="s">
        <v>1473</v>
      </c>
    </row>
    <row r="3552" customFormat="false" ht="15" hidden="false" customHeight="false" outlineLevel="1" collapsed="false">
      <c r="A3552" s="7" t="s">
        <v>814</v>
      </c>
      <c r="B3552" s="8" t="s">
        <v>76</v>
      </c>
      <c r="C3552" s="60" t="n">
        <f aca="false">Pressupostos!$C$288*(1-Pressupostos!$C$111)</f>
        <v>0.0576</v>
      </c>
      <c r="D3552" s="60" t="n">
        <f aca="false">Pressupostos!$D$288*(1-Pressupostos!$C$111)</f>
        <v>0.0576</v>
      </c>
      <c r="E3552" s="60" t="n">
        <f aca="false">Pressupostos!$E$288*(1-Pressupostos!$C$111)</f>
        <v>0.054</v>
      </c>
      <c r="F3552" s="60" t="n">
        <f aca="false">Pressupostos!$F$288*(1-Pressupostos!$C$111)</f>
        <v>0.0504</v>
      </c>
      <c r="G3552" s="60" t="n">
        <f aca="false">Pressupostos!$G$288*(1-Pressupostos!$C$111)</f>
        <v>0.0504</v>
      </c>
      <c r="H3552" s="2" t="s">
        <v>1474</v>
      </c>
    </row>
    <row r="3553" customFormat="false" ht="15" hidden="false" customHeight="false" outlineLevel="1" collapsed="false">
      <c r="A3553" s="7" t="s">
        <v>815</v>
      </c>
      <c r="B3553" s="8" t="s">
        <v>11</v>
      </c>
      <c r="C3553" s="61" t="n">
        <f aca="false">C3389</f>
        <v>0</v>
      </c>
      <c r="D3553" s="61" t="n">
        <f aca="false">D3389</f>
        <v>30312.1356164384</v>
      </c>
      <c r="E3553" s="61" t="n">
        <f aca="false">E3389</f>
        <v>50402.3829195206</v>
      </c>
      <c r="F3553" s="61" t="n">
        <f aca="false">F3389</f>
        <v>81312.1851883562</v>
      </c>
      <c r="G3553" s="61" t="n">
        <f aca="false">G3389</f>
        <v>124197.002568493</v>
      </c>
      <c r="H3553" s="2" t="s">
        <v>1475</v>
      </c>
    </row>
    <row r="3554" customFormat="false" ht="15" hidden="false" customHeight="false" outlineLevel="1" collapsed="false">
      <c r="A3554" s="7" t="s">
        <v>816</v>
      </c>
      <c r="B3554" s="8" t="s">
        <v>76</v>
      </c>
      <c r="C3554" s="59" t="n">
        <f aca="false">IF(C3485&gt;0,(C3488+C3490)/C3485,0)</f>
        <v>0</v>
      </c>
      <c r="D3554" s="59" t="n">
        <f aca="false">IF(D3485&gt;0,(D3488+D3490)/D3485,0)</f>
        <v>0.138888888888889</v>
      </c>
      <c r="E3554" s="59" t="n">
        <f aca="false">IF(E3485&gt;0,(E3488+E3490)/E3485,0)</f>
        <v>0.138888888888889</v>
      </c>
      <c r="F3554" s="59" t="n">
        <f aca="false">IF(F3485&gt;0,(F3488+F3490)/F3485,0)</f>
        <v>0.138888888888889</v>
      </c>
      <c r="G3554" s="59" t="n">
        <f aca="false">IF(G3485&gt;0,(G3488+G3490)/G3485,0)</f>
        <v>0.138888888888889</v>
      </c>
      <c r="H3554" s="2" t="s">
        <v>1476</v>
      </c>
    </row>
    <row r="3555" customFormat="false" ht="15" hidden="false" customHeight="false" outlineLevel="1" collapsed="false">
      <c r="A3555" s="7" t="s">
        <v>817</v>
      </c>
      <c r="B3555" s="8" t="s">
        <v>123</v>
      </c>
      <c r="C3555" s="61" t="n">
        <f aca="false">C3491</f>
        <v>0</v>
      </c>
      <c r="D3555" s="61" t="n">
        <f aca="false">D3491</f>
        <v>8.33737392123288</v>
      </c>
      <c r="E3555" s="61" t="n">
        <f aca="false">E3491</f>
        <v>15.1565225856164</v>
      </c>
      <c r="F3555" s="61" t="n">
        <f aca="false">F3491</f>
        <v>26.2060867294521</v>
      </c>
      <c r="G3555" s="61" t="n">
        <f aca="false">G3491</f>
        <v>40.015310239726</v>
      </c>
      <c r="H3555" s="2" t="s">
        <v>1477</v>
      </c>
    </row>
    <row r="3556" customFormat="false" ht="15" hidden="false" customHeight="false" outlineLevel="1" collapsed="false">
      <c r="A3556" s="7" t="s">
        <v>818</v>
      </c>
      <c r="B3556" s="8" t="s">
        <v>11</v>
      </c>
      <c r="C3556" s="61" t="n">
        <f aca="false">C3389+C3435</f>
        <v>65000</v>
      </c>
      <c r="D3556" s="61" t="n">
        <f aca="false">D3389+D3435</f>
        <v>95312.1356164384</v>
      </c>
      <c r="E3556" s="61" t="n">
        <f aca="false">E3389+E3435</f>
        <v>120402.382919521</v>
      </c>
      <c r="F3556" s="61" t="n">
        <f aca="false">F3389+F3435</f>
        <v>156312.185188356</v>
      </c>
      <c r="G3556" s="61" t="n">
        <f aca="false">G3389+G3435</f>
        <v>204197.002568493</v>
      </c>
      <c r="H3556" s="2" t="s">
        <v>1478</v>
      </c>
    </row>
    <row r="3557" customFormat="false" ht="15" hidden="false" customHeight="false" outlineLevel="1" collapsed="false">
      <c r="A3557" s="7" t="s">
        <v>819</v>
      </c>
      <c r="B3557" s="8" t="s">
        <v>76</v>
      </c>
      <c r="C3557" s="59" t="str">
        <f aca="false">IF(C3485&gt;0,C3556/C3485,"")</f>
        <v/>
      </c>
      <c r="D3557" s="59" t="n">
        <f aca="false">IF(D3485&gt;0,D3556/D3485,"")</f>
        <v>0.228638265518369</v>
      </c>
      <c r="E3557" s="59" t="n">
        <f aca="false">IF(E3485&gt;0,E3556/E3485,"")</f>
        <v>0.158878637549463</v>
      </c>
      <c r="F3557" s="59" t="n">
        <f aca="false">IF(F3485&gt;0,F3556/F3485,"")</f>
        <v>0.119294564504881</v>
      </c>
      <c r="G3557" s="59" t="n">
        <f aca="false">IF(G3485&gt;0,G3556/G3485,"")</f>
        <v>0.102059437422915</v>
      </c>
      <c r="H3557" s="2" t="s">
        <v>1479</v>
      </c>
    </row>
    <row r="3558" customFormat="false" ht="15" hidden="false" customHeight="false" outlineLevel="0" collapsed="false">
      <c r="A3558" s="3" t="s">
        <v>1480</v>
      </c>
      <c r="B3558" s="4"/>
      <c r="C3558" s="4"/>
      <c r="D3558" s="4"/>
      <c r="E3558" s="4"/>
      <c r="F3558" s="4"/>
      <c r="G3558" s="4"/>
      <c r="H3558" s="4"/>
    </row>
    <row r="3559" customFormat="false" ht="15" hidden="false" customHeight="false" outlineLevel="1" collapsed="false">
      <c r="A3559" s="7" t="s">
        <v>821</v>
      </c>
      <c r="B3559" s="8" t="s">
        <v>11</v>
      </c>
      <c r="C3559" s="61" t="n">
        <f aca="false">MAX(0,-C3459)</f>
        <v>695393.569256849</v>
      </c>
      <c r="D3559" s="61" t="n">
        <f aca="false">MAX(0,-D3459)</f>
        <v>699788.61528865</v>
      </c>
      <c r="E3559" s="61" t="n">
        <f aca="false">MAX(0,-E3459)</f>
        <v>749797.934001223</v>
      </c>
      <c r="F3559" s="61" t="n">
        <f aca="false">MAX(0,-F3459)</f>
        <v>720994.164743422</v>
      </c>
      <c r="G3559" s="61" t="n">
        <f aca="false">MAX(0,-G3459)</f>
        <v>652080.92749161</v>
      </c>
      <c r="H3559" s="2" t="s">
        <v>1481</v>
      </c>
    </row>
    <row r="3560" customFormat="false" ht="15" hidden="false" customHeight="false" outlineLevel="1" collapsed="false">
      <c r="A3560" s="2" t="s">
        <v>822</v>
      </c>
      <c r="B3560" s="8"/>
      <c r="C3560" s="61" t="n">
        <f aca="false">IF(AND(C3248&gt;=Pressupostos!$C$120,Pressupostos!$C$118*(C3342+C3343)+Pressupostos!$C$119*C3344&gt;Pressupostos!$C$300),1,0)</f>
        <v>0</v>
      </c>
      <c r="D3560" s="61" t="n">
        <f aca="false">IF(AND(D3248&gt;=Pressupostos!$C$120,Pressupostos!$C$118*(D3342+D3343)+Pressupostos!$C$119*D3344&gt;Pressupostos!$D$300),1,0)</f>
        <v>1</v>
      </c>
      <c r="E3560" s="61" t="n">
        <f aca="false">IF(AND(E3248&gt;=Pressupostos!$C$120,Pressupostos!$C$118*(E3342+E3343)+Pressupostos!$C$119*E3344&gt;Pressupostos!$E$300),1,0)</f>
        <v>1</v>
      </c>
      <c r="F3560" s="61" t="n">
        <f aca="false">IF(AND(F3248&gt;=Pressupostos!$C$120,Pressupostos!$C$118*(F3342+F3343)+Pressupostos!$C$119*F3344&gt;Pressupostos!$F$300),1,0)</f>
        <v>1</v>
      </c>
      <c r="G3560" s="61" t="n">
        <f aca="false">IF(AND(G3248&gt;=Pressupostos!$C$120,Pressupostos!$C$118*(G3342+G3343)+Pressupostos!$C$119*G3344&gt;Pressupostos!$G$300),1,0)</f>
        <v>1</v>
      </c>
      <c r="H3560" s="2" t="s">
        <v>1482</v>
      </c>
    </row>
    <row r="3561" customFormat="false" ht="15" hidden="false" customHeight="false" outlineLevel="1" collapsed="false">
      <c r="A3561" s="7" t="s">
        <v>823</v>
      </c>
      <c r="B3561" s="8" t="s">
        <v>64</v>
      </c>
      <c r="C3561" s="63" t="n">
        <f aca="false">IF(C3252&gt;0,C3559/(C3252*1000*(1-Pressupostos!$D$22)*(1-Pressupostos!$D$25-C3560*Pressupostos!$C$118)),"n/a")</f>
        <v>10.3178406411075</v>
      </c>
      <c r="D3561" s="63" t="n">
        <f aca="false">IF(D3252&gt;0,D3559/(D3252*1000*(1-Pressupostos!$D$22)*(1-Pressupostos!$D$25-D3560*Pressupostos!$C$118)),"n/a")</f>
        <v>1.49337077125949</v>
      </c>
      <c r="E3561" s="63" t="n">
        <f aca="false">IF(E3252&gt;0,E3559/(E3252*1000*(1-Pressupostos!$D$22)*(1-Pressupostos!$D$25-E3560*Pressupostos!$C$118)),"n/a")</f>
        <v>0.810088529805433</v>
      </c>
      <c r="F3561" s="63" t="n">
        <f aca="false">IF(F3252&gt;0,F3559/(F3252*1000*(1-Pressupostos!$D$22)*(1-Pressupostos!$D$25-F3560*Pressupostos!$C$118)),"n/a")</f>
        <v>0.4721221806717</v>
      </c>
      <c r="G3561" s="63" t="n">
        <f aca="false">IF(G3252&gt;0,G3559/(G3252*1000*(1-Pressupostos!$D$22)*(1-Pressupostos!$D$25-G3560*Pressupostos!$C$118)),"n/a")</f>
        <v>0.282199257064865</v>
      </c>
      <c r="H3561" s="2" t="s">
        <v>1483</v>
      </c>
    </row>
    <row r="3562" customFormat="false" ht="15" hidden="false" customHeight="false" outlineLevel="1" collapsed="false">
      <c r="A3562" s="7" t="s">
        <v>824</v>
      </c>
      <c r="B3562" s="8" t="s">
        <v>64</v>
      </c>
      <c r="C3562" s="63" t="n">
        <f aca="false">IF(C3251&gt;0,Pressupostos!$D$15+C3559/(C3251*1000*(1-Pressupostos!$D$16)*(1-Pressupostos!$D$18-C3560*Pressupostos!$C$118)),"n/a")</f>
        <v>80.3926405932227</v>
      </c>
      <c r="D3562" s="63" t="n">
        <f aca="false">IF(D3251&gt;0,Pressupostos!$D$15+D3559/(D3251*1000*(1-Pressupostos!$D$16)*(1-Pressupostos!$D$18-D3560*Pressupostos!$C$118)),"n/a")</f>
        <v>21.9784173518192</v>
      </c>
      <c r="E3562" s="63" t="n">
        <f aca="false">IF(E3251&gt;0,Pressupostos!$D$15+E3559/(E3251*1000*(1-Pressupostos!$D$16)*(1-Pressupostos!$D$18-E3560*Pressupostos!$C$118)),"n/a")</f>
        <v>10.5171142632626</v>
      </c>
      <c r="F3562" s="63" t="n">
        <f aca="false">IF(F3251&gt;0,Pressupostos!$D$15+F3559/(F3251*1000*(1-Pressupostos!$D$16)*(1-Pressupostos!$D$18-F3560*Pressupostos!$C$118)),"n/a")</f>
        <v>7.98130680906644</v>
      </c>
      <c r="G3562" s="63" t="n">
        <f aca="false">IF(G3251&gt;0,Pressupostos!$D$15+G3559/(G3251*1000*(1-Pressupostos!$D$16)*(1-Pressupostos!$D$18-G3560*Pressupostos!$C$118)),"n/a")</f>
        <v>7.02308235048338</v>
      </c>
      <c r="H3562" s="2" t="s">
        <v>1484</v>
      </c>
    </row>
    <row r="3563" customFormat="false" ht="15" hidden="false" customHeight="false" outlineLevel="1" collapsed="false">
      <c r="A3563" s="7" t="s">
        <v>825</v>
      </c>
      <c r="B3563" s="8" t="s">
        <v>64</v>
      </c>
      <c r="C3563" s="63" t="n">
        <f aca="false">IF(Pressupostos!$D$33=1,C3334-C3560*Pressupostos!$C$119*C3317,C3340)</f>
        <v>0.00725</v>
      </c>
      <c r="D3563" s="63" t="n">
        <f aca="false">IF(Pressupostos!$D$33=1,D3334-D3560*Pressupostos!$C$119*D3317,D3340)</f>
        <v>0.00725</v>
      </c>
      <c r="E3563" s="63" t="n">
        <f aca="false">IF(Pressupostos!$D$33=1,E3334-E3560*Pressupostos!$C$119*E3317,E3340)</f>
        <v>0.00725</v>
      </c>
      <c r="F3563" s="63" t="n">
        <f aca="false">IF(Pressupostos!$D$33=1,F3334-F3560*Pressupostos!$C$119*F3317,F3340)</f>
        <v>0.00725</v>
      </c>
      <c r="G3563" s="63" t="n">
        <f aca="false">IF(Pressupostos!$D$33=1,G3334-G3560*Pressupostos!$C$119*G3317,G3340)</f>
        <v>0.00725</v>
      </c>
      <c r="H3563" s="2" t="s">
        <v>1485</v>
      </c>
    </row>
    <row r="3564" customFormat="false" ht="15" hidden="false" customHeight="false" outlineLevel="1" collapsed="false">
      <c r="A3564" s="7" t="s">
        <v>826</v>
      </c>
      <c r="B3564" s="8" t="s">
        <v>120</v>
      </c>
      <c r="C3564" s="55" t="n">
        <f aca="false">IF(C3563&gt;0,C3253+C3559/(C3563*1000),"n/a")</f>
        <v>95916.3543802551</v>
      </c>
      <c r="D3564" s="55" t="n">
        <f aca="false">IF(D3563&gt;0,D3253+D3559/(D3563*1000),"n/a")</f>
        <v>96522.5676260208</v>
      </c>
      <c r="E3564" s="55" t="n">
        <f aca="false">IF(E3563&gt;0,E3253+E3559/(E3563*1000),"n/a")</f>
        <v>103420.404689824</v>
      </c>
      <c r="F3564" s="55" t="n">
        <f aca="false">IF(F3563&gt;0,F3253+F3559/(F3563*1000),"n/a")</f>
        <v>99447.4709990928</v>
      </c>
      <c r="G3564" s="55" t="n">
        <f aca="false">IF(G3563&gt;0,G3253+G3559/(G3563*1000),"n/a")</f>
        <v>89942.1968953946</v>
      </c>
      <c r="H3564" s="2" t="s">
        <v>1486</v>
      </c>
    </row>
    <row r="3565" customFormat="false" ht="15" hidden="false" customHeight="false" outlineLevel="1" collapsed="false">
      <c r="A3565" s="7" t="s">
        <v>827</v>
      </c>
      <c r="B3565" s="8" t="s">
        <v>76</v>
      </c>
      <c r="C3565" s="59" t="n">
        <f aca="false">C3559/(C3421+C3434+C3435)</f>
        <v>0.965843727004224</v>
      </c>
      <c r="D3565" s="59" t="n">
        <f aca="false">D3559/(D3421+D3434+D3435)</f>
        <v>0.849637594062493</v>
      </c>
      <c r="E3565" s="59" t="n">
        <f aca="false">E3559/(E3421+E3434+E3435)</f>
        <v>0.698027570784155</v>
      </c>
      <c r="F3565" s="59" t="n">
        <f aca="false">F3559/(F3421+F3434+F3435)</f>
        <v>0.552426638422658</v>
      </c>
      <c r="G3565" s="59" t="n">
        <f aca="false">G3559/(G3421+G3434+G3435)</f>
        <v>0.417692200181842</v>
      </c>
      <c r="H3565" s="2" t="s">
        <v>1487</v>
      </c>
    </row>
    <row r="3566" customFormat="false" ht="15" hidden="false" customHeight="false" outlineLevel="1" collapsed="false">
      <c r="A3566" s="2" t="s">
        <v>828</v>
      </c>
      <c r="B3566" s="8" t="s">
        <v>76</v>
      </c>
      <c r="C3566" s="60" t="n">
        <f aca="false">Pressupostos!$C$101*Pressupostos!$C$102+Pressupostos!$C$103-Pressupostos!$D$30*Pressupostos!$C$104*Pressupostos!$C$102/(Pressupostos!$C$105*Pressupostos!$C$106)</f>
        <v>0.00354285714285715</v>
      </c>
      <c r="D3566" s="60" t="n">
        <f aca="false">Pressupostos!$C$101*Pressupostos!$C$102+Pressupostos!$C$103-Pressupostos!$D$30*Pressupostos!$C$104*Pressupostos!$C$102/(Pressupostos!$C$105*Pressupostos!$C$106)</f>
        <v>0.00354285714285715</v>
      </c>
      <c r="E3566" s="60" t="n">
        <f aca="false">Pressupostos!$C$101*Pressupostos!$C$102+Pressupostos!$C$103-Pressupostos!$D$30*Pressupostos!$C$104*Pressupostos!$C$102/(Pressupostos!$C$105*Pressupostos!$C$106)</f>
        <v>0.00354285714285715</v>
      </c>
      <c r="F3566" s="60" t="n">
        <f aca="false">Pressupostos!$C$101*Pressupostos!$C$102+Pressupostos!$C$103-Pressupostos!$D$30*Pressupostos!$C$104*Pressupostos!$C$102/(Pressupostos!$C$105*Pressupostos!$C$106)</f>
        <v>0.00354285714285715</v>
      </c>
      <c r="G3566" s="60" t="n">
        <f aca="false">Pressupostos!$C$101*Pressupostos!$C$102+Pressupostos!$C$103-Pressupostos!$D$30*Pressupostos!$C$104*Pressupostos!$C$102/(Pressupostos!$C$105*Pressupostos!$C$106)</f>
        <v>0.00354285714285715</v>
      </c>
      <c r="H3566" s="2" t="s">
        <v>1488</v>
      </c>
    </row>
    <row r="3567" customFormat="false" ht="15" hidden="false" customHeight="false" outlineLevel="1" collapsed="false">
      <c r="A3567" s="7" t="s">
        <v>829</v>
      </c>
      <c r="B3567" s="8" t="s">
        <v>11</v>
      </c>
      <c r="C3567" s="61" t="n">
        <f aca="false">IF(C3566&gt;0,C3266+C3559/C3566,"n/a")</f>
        <v>196280442.935401</v>
      </c>
      <c r="D3567" s="61" t="n">
        <f aca="false">IF(D3566&gt;0,D3266+D3559/D3566,"n/a")</f>
        <v>198520980.121796</v>
      </c>
      <c r="E3567" s="61" t="n">
        <f aca="false">IF(E3566&gt;0,E3266+E3559/E3566,"n/a")</f>
        <v>214636513.629377</v>
      </c>
      <c r="F3567" s="61" t="n">
        <f aca="false">IF(F3566&gt;0,F3266+F3559/F3566,"n/a")</f>
        <v>209506417.467901</v>
      </c>
      <c r="G3567" s="61" t="n">
        <f aca="false">IF(G3566&gt;0,G3266+G3559/G3566,"n/a")</f>
        <v>194055100.501664</v>
      </c>
      <c r="H3567" s="2" t="s">
        <v>1489</v>
      </c>
    </row>
    <row r="3570" customFormat="false" ht="15" hidden="false" customHeight="false" outlineLevel="0" collapsed="false">
      <c r="A3570" s="111" t="s">
        <v>1500</v>
      </c>
      <c r="B3570" s="112"/>
      <c r="C3570" s="112"/>
      <c r="D3570" s="112"/>
      <c r="E3570" s="112"/>
      <c r="F3570" s="112"/>
      <c r="G3570" s="112"/>
      <c r="H3570" s="112"/>
    </row>
    <row r="3571" customFormat="false" ht="15" hidden="false" customHeight="false" outlineLevel="0" collapsed="false">
      <c r="A3571" s="3" t="s">
        <v>1170</v>
      </c>
      <c r="B3571" s="4"/>
      <c r="C3571" s="4"/>
      <c r="D3571" s="4"/>
      <c r="E3571" s="4"/>
      <c r="F3571" s="4"/>
      <c r="G3571" s="4"/>
      <c r="H3571" s="4"/>
    </row>
    <row r="3572" customFormat="false" ht="15" hidden="false" customHeight="false" outlineLevel="1" collapsed="false">
      <c r="A3572" s="7" t="s">
        <v>588</v>
      </c>
      <c r="B3572" s="8"/>
      <c r="C3572" s="52" t="n">
        <v>2027</v>
      </c>
      <c r="D3572" s="52" t="n">
        <v>2028</v>
      </c>
      <c r="E3572" s="52" t="n">
        <v>2029</v>
      </c>
      <c r="F3572" s="52" t="n">
        <v>2030</v>
      </c>
      <c r="G3572" s="52" t="n">
        <v>2031</v>
      </c>
      <c r="H3572" s="2" t="s">
        <v>20</v>
      </c>
    </row>
    <row r="3573" customFormat="false" ht="15" hidden="false" customHeight="false" outlineLevel="0" collapsed="false">
      <c r="A3573" s="3" t="s">
        <v>1171</v>
      </c>
      <c r="B3573" s="4"/>
      <c r="C3573" s="4"/>
      <c r="D3573" s="4"/>
      <c r="E3573" s="4"/>
      <c r="F3573" s="4"/>
      <c r="G3573" s="4"/>
      <c r="H3573" s="4"/>
    </row>
    <row r="3574" customFormat="false" ht="15" hidden="false" customHeight="false" outlineLevel="1" collapsed="false">
      <c r="A3574" s="7" t="s">
        <v>387</v>
      </c>
      <c r="B3574" s="8" t="s">
        <v>123</v>
      </c>
      <c r="C3574" s="53" t="n">
        <f aca="false">Pressupostos!$C$213</f>
        <v>40</v>
      </c>
      <c r="D3574" s="53" t="n">
        <f aca="false">Pressupostos!$D$213</f>
        <v>180</v>
      </c>
      <c r="E3574" s="53" t="n">
        <f aca="false">Pressupostos!$E$213</f>
        <v>650</v>
      </c>
      <c r="F3574" s="53" t="n">
        <f aca="false">Pressupostos!$F$213</f>
        <v>1300</v>
      </c>
      <c r="G3574" s="53" t="n">
        <f aca="false">Pressupostos!$G$213</f>
        <v>2000</v>
      </c>
      <c r="H3574" s="2" t="s">
        <v>1172</v>
      </c>
    </row>
    <row r="3575" customFormat="false" ht="15" hidden="false" customHeight="false" outlineLevel="1" collapsed="false">
      <c r="A3575" s="7" t="s">
        <v>590</v>
      </c>
      <c r="B3575" s="8" t="s">
        <v>120</v>
      </c>
      <c r="C3575" s="54" t="n">
        <f aca="false">Pressupostos!$C$219</f>
        <v>8</v>
      </c>
      <c r="D3575" s="54" t="n">
        <f aca="false">Pressupostos!$D$219</f>
        <v>37</v>
      </c>
      <c r="E3575" s="54" t="n">
        <f aca="false">Pressupostos!$E$219</f>
        <v>133</v>
      </c>
      <c r="F3575" s="54" t="n">
        <f aca="false">Pressupostos!$F$219</f>
        <v>267</v>
      </c>
      <c r="G3575" s="54" t="n">
        <f aca="false">Pressupostos!$G$219</f>
        <v>410</v>
      </c>
      <c r="H3575" s="2" t="s">
        <v>1173</v>
      </c>
    </row>
    <row r="3576" customFormat="false" ht="15" hidden="false" customHeight="false" outlineLevel="1" collapsed="false">
      <c r="A3576" s="7" t="s">
        <v>591</v>
      </c>
      <c r="B3576" s="8" t="s">
        <v>120</v>
      </c>
      <c r="C3576" s="54" t="n">
        <f aca="false">Pressupostos!$C$225</f>
        <v>52</v>
      </c>
      <c r="D3576" s="54" t="n">
        <f aca="false">Pressupostos!$D$225</f>
        <v>363</v>
      </c>
      <c r="E3576" s="54" t="n">
        <f aca="false">Pressupostos!$E$225</f>
        <v>717</v>
      </c>
      <c r="F3576" s="54" t="n">
        <f aca="false">Pressupostos!$F$225</f>
        <v>1183</v>
      </c>
      <c r="G3576" s="54" t="n">
        <f aca="false">Pressupostos!$G$225</f>
        <v>1790</v>
      </c>
      <c r="H3576" s="2" t="s">
        <v>1174</v>
      </c>
    </row>
    <row r="3577" customFormat="false" ht="15" hidden="false" customHeight="false" outlineLevel="1" collapsed="false">
      <c r="A3577" s="7" t="s">
        <v>398</v>
      </c>
      <c r="B3577" s="8" t="s">
        <v>120</v>
      </c>
      <c r="C3577" s="54" t="n">
        <f aca="false">Pressupostos!$C$231</f>
        <v>0</v>
      </c>
      <c r="D3577" s="54" t="n">
        <f aca="false">Pressupostos!$D$231</f>
        <v>0</v>
      </c>
      <c r="E3577" s="54" t="n">
        <f aca="false">Pressupostos!$E$231</f>
        <v>0</v>
      </c>
      <c r="F3577" s="54" t="n">
        <f aca="false">Pressupostos!$F$231</f>
        <v>0</v>
      </c>
      <c r="G3577" s="54" t="n">
        <f aca="false">Pressupostos!$G$231</f>
        <v>0</v>
      </c>
      <c r="H3577" s="2" t="s">
        <v>1175</v>
      </c>
    </row>
    <row r="3578" customFormat="false" ht="15" hidden="false" customHeight="false" outlineLevel="1" collapsed="false">
      <c r="A3578" s="7" t="s">
        <v>592</v>
      </c>
      <c r="B3578" s="8" t="s">
        <v>120</v>
      </c>
      <c r="C3578" s="55" t="n">
        <f aca="false">C3577*Pressupostos!$D$33</f>
        <v>0</v>
      </c>
      <c r="D3578" s="55" t="n">
        <f aca="false">D3577*Pressupostos!$D$33</f>
        <v>0</v>
      </c>
      <c r="E3578" s="55" t="n">
        <f aca="false">E3577*Pressupostos!$D$33</f>
        <v>0</v>
      </c>
      <c r="F3578" s="55" t="n">
        <f aca="false">F3577*Pressupostos!$D$33</f>
        <v>0</v>
      </c>
      <c r="G3578" s="55" t="n">
        <f aca="false">G3577*Pressupostos!$D$33</f>
        <v>0</v>
      </c>
      <c r="H3578" s="2" t="s">
        <v>1176</v>
      </c>
    </row>
    <row r="3579" customFormat="false" ht="15" hidden="false" customHeight="false" outlineLevel="1" collapsed="false">
      <c r="A3579" s="7" t="s">
        <v>593</v>
      </c>
      <c r="B3579" s="8" t="s">
        <v>120</v>
      </c>
      <c r="C3579" s="55" t="n">
        <f aca="false">C3577-C3578</f>
        <v>0</v>
      </c>
      <c r="D3579" s="55" t="n">
        <f aca="false">D3577-D3578</f>
        <v>0</v>
      </c>
      <c r="E3579" s="55" t="n">
        <f aca="false">E3577-E3578</f>
        <v>0</v>
      </c>
      <c r="F3579" s="55" t="n">
        <f aca="false">F3577-F3578</f>
        <v>0</v>
      </c>
      <c r="G3579" s="55" t="n">
        <f aca="false">G3577-G3578</f>
        <v>0</v>
      </c>
      <c r="H3579" s="2" t="s">
        <v>1177</v>
      </c>
    </row>
    <row r="3580" customFormat="false" ht="15" hidden="false" customHeight="false" outlineLevel="1" collapsed="false">
      <c r="A3580" s="56" t="s">
        <v>594</v>
      </c>
      <c r="B3580" s="57" t="s">
        <v>120</v>
      </c>
      <c r="C3580" s="58" t="n">
        <f aca="false">C3575+C3576+C3577</f>
        <v>60</v>
      </c>
      <c r="D3580" s="58" t="n">
        <f aca="false">D3575+D3576+D3577</f>
        <v>400</v>
      </c>
      <c r="E3580" s="58" t="n">
        <f aca="false">E3575+E3576+E3577</f>
        <v>850</v>
      </c>
      <c r="F3580" s="58" t="n">
        <f aca="false">F3575+F3576+F3577</f>
        <v>1450</v>
      </c>
      <c r="G3580" s="58" t="n">
        <f aca="false">G3575+G3576+G3577</f>
        <v>2200</v>
      </c>
      <c r="H3580" s="2" t="s">
        <v>1178</v>
      </c>
    </row>
    <row r="3581" customFormat="false" ht="15" hidden="false" customHeight="false" outlineLevel="1" collapsed="false">
      <c r="A3581" s="7" t="s">
        <v>595</v>
      </c>
      <c r="B3581" s="8" t="s">
        <v>76</v>
      </c>
      <c r="C3581" s="59" t="n">
        <f aca="false">IF(C3580&gt;0,C3575/C3580,0)</f>
        <v>0.133333333333333</v>
      </c>
      <c r="D3581" s="59" t="n">
        <f aca="false">IF(D3580&gt;0,D3575/D3580,0)</f>
        <v>0.0925</v>
      </c>
      <c r="E3581" s="59" t="n">
        <f aca="false">IF(E3580&gt;0,E3575/E3580,0)</f>
        <v>0.156470588235294</v>
      </c>
      <c r="F3581" s="59" t="n">
        <f aca="false">IF(F3580&gt;0,F3575/F3580,0)</f>
        <v>0.184137931034483</v>
      </c>
      <c r="G3581" s="59" t="n">
        <f aca="false">IF(G3580&gt;0,G3575/G3580,0)</f>
        <v>0.186363636363636</v>
      </c>
      <c r="H3581" s="2" t="s">
        <v>1179</v>
      </c>
    </row>
    <row r="3582" customFormat="false" ht="15" hidden="false" customHeight="false" outlineLevel="1" collapsed="false">
      <c r="A3582" s="7" t="s">
        <v>596</v>
      </c>
      <c r="B3582" s="8" t="s">
        <v>76</v>
      </c>
      <c r="C3582" s="60" t="n">
        <f aca="false">C3580/(Pressupostos!$C$76*1000)</f>
        <v>0.000353982300884956</v>
      </c>
      <c r="D3582" s="60" t="n">
        <f aca="false">D3580/(Pressupostos!$C$76*1000)</f>
        <v>0.00235988200589971</v>
      </c>
      <c r="E3582" s="60" t="n">
        <f aca="false">E3580/(Pressupostos!$C$76*1000)</f>
        <v>0.00501474926253687</v>
      </c>
      <c r="F3582" s="60" t="n">
        <f aca="false">F3580/(Pressupostos!$C$76*1000)</f>
        <v>0.00855457227138643</v>
      </c>
      <c r="G3582" s="60" t="n">
        <f aca="false">G3580/(Pressupostos!$C$76*1000)</f>
        <v>0.0129793510324484</v>
      </c>
      <c r="H3582" s="2" t="s">
        <v>1180</v>
      </c>
    </row>
    <row r="3583" customFormat="false" ht="15" hidden="false" customHeight="false" outlineLevel="1" collapsed="false">
      <c r="A3583" s="7" t="s">
        <v>597</v>
      </c>
      <c r="B3583" s="8" t="s">
        <v>123</v>
      </c>
      <c r="C3583" s="55" t="n">
        <f aca="false">C3575/Pressupostos!$C$40+C3576/Pressupostos!$C$47+C3577/Pressupostos!$C$59</f>
        <v>2.13333333333333</v>
      </c>
      <c r="D3583" s="55" t="n">
        <f aca="false">D3575/Pressupostos!$C$40+D3576/Pressupostos!$C$47+D3577/Pressupostos!$C$59</f>
        <v>13.95</v>
      </c>
      <c r="E3583" s="55" t="n">
        <f aca="false">E3575/Pressupostos!$C$40+E3576/Pressupostos!$C$47+E3577/Pressupostos!$C$59</f>
        <v>30.55</v>
      </c>
      <c r="F3583" s="55" t="n">
        <f aca="false">F3575/Pressupostos!$C$40+F3576/Pressupostos!$C$47+F3577/Pressupostos!$C$59</f>
        <v>52.7833333333333</v>
      </c>
      <c r="G3583" s="55" t="n">
        <f aca="false">G3575/Pressupostos!$C$40+G3576/Pressupostos!$C$47+G3577/Pressupostos!$C$59</f>
        <v>80.1666666666667</v>
      </c>
      <c r="H3583" s="2" t="s">
        <v>1181</v>
      </c>
    </row>
    <row r="3584" customFormat="false" ht="15" hidden="false" customHeight="false" outlineLevel="0" collapsed="false">
      <c r="A3584" s="3" t="s">
        <v>1182</v>
      </c>
      <c r="B3584" s="4"/>
      <c r="C3584" s="4"/>
      <c r="D3584" s="4"/>
      <c r="E3584" s="4"/>
      <c r="F3584" s="4"/>
      <c r="G3584" s="4"/>
      <c r="H3584" s="4"/>
    </row>
    <row r="3585" customFormat="false" ht="15" hidden="false" customHeight="false" outlineLevel="1" collapsed="false">
      <c r="A3585" s="7" t="s">
        <v>599</v>
      </c>
      <c r="B3585" s="8" t="s">
        <v>202</v>
      </c>
      <c r="C3585" s="53" t="n">
        <f aca="false">Pressupostos!$C$257</f>
        <v>150</v>
      </c>
      <c r="D3585" s="53" t="n">
        <f aca="false">Pressupostos!$D$257</f>
        <v>600</v>
      </c>
      <c r="E3585" s="53" t="n">
        <f aca="false">Pressupostos!$E$257</f>
        <v>1000</v>
      </c>
      <c r="F3585" s="53" t="n">
        <f aca="false">Pressupostos!$F$257</f>
        <v>1400</v>
      </c>
      <c r="G3585" s="53" t="n">
        <f aca="false">Pressupostos!$G$257</f>
        <v>1800</v>
      </c>
      <c r="H3585" s="2" t="s">
        <v>1183</v>
      </c>
    </row>
    <row r="3586" customFormat="false" ht="15" hidden="false" customHeight="false" outlineLevel="1" collapsed="false">
      <c r="A3586" s="7" t="s">
        <v>599</v>
      </c>
      <c r="B3586" s="8" t="s">
        <v>189</v>
      </c>
      <c r="C3586" s="61" t="n">
        <f aca="false">C3585*Pressupostos!$C$78</f>
        <v>112500</v>
      </c>
      <c r="D3586" s="61" t="n">
        <f aca="false">D3585*Pressupostos!$C$78</f>
        <v>450000</v>
      </c>
      <c r="E3586" s="61" t="n">
        <f aca="false">E3585*Pressupostos!$C$78</f>
        <v>750000</v>
      </c>
      <c r="F3586" s="61" t="n">
        <f aca="false">F3585*Pressupostos!$C$78</f>
        <v>1050000</v>
      </c>
      <c r="G3586" s="61" t="n">
        <f aca="false">G3585*Pressupostos!$C$78</f>
        <v>1350000</v>
      </c>
      <c r="H3586" s="2" t="s">
        <v>1184</v>
      </c>
    </row>
    <row r="3587" customFormat="false" ht="15" hidden="false" customHeight="false" outlineLevel="0" collapsed="false">
      <c r="A3587" s="3" t="s">
        <v>1185</v>
      </c>
      <c r="B3587" s="4"/>
      <c r="C3587" s="4"/>
      <c r="D3587" s="4"/>
      <c r="E3587" s="4"/>
      <c r="F3587" s="4"/>
      <c r="G3587" s="4"/>
      <c r="H3587" s="4"/>
    </row>
    <row r="3588" customFormat="false" ht="15" hidden="false" customHeight="false" outlineLevel="1" collapsed="false">
      <c r="A3588" s="7" t="s">
        <v>601</v>
      </c>
      <c r="B3588" s="8" t="s">
        <v>120</v>
      </c>
      <c r="C3588" s="55" t="n">
        <f aca="false">IF(C3572&lt;Pressupostos!$D$28,0,Pressupostos!$C$263)</f>
        <v>0</v>
      </c>
      <c r="D3588" s="55" t="n">
        <f aca="false">IF(D3572&lt;Pressupostos!$D$28,0,Pressupostos!$D$263)</f>
        <v>0</v>
      </c>
      <c r="E3588" s="55" t="n">
        <f aca="false">IF(E3572&lt;Pressupostos!$D$28,0,Pressupostos!$E$263)</f>
        <v>30</v>
      </c>
      <c r="F3588" s="55" t="n">
        <f aca="false">IF(F3572&lt;Pressupostos!$D$28,0,Pressupostos!$F$263)</f>
        <v>60</v>
      </c>
      <c r="G3588" s="55" t="n">
        <f aca="false">IF(G3572&lt;Pressupostos!$D$28,0,Pressupostos!$G$263)</f>
        <v>100</v>
      </c>
      <c r="H3588" s="2" t="s">
        <v>1186</v>
      </c>
    </row>
    <row r="3589" customFormat="false" ht="15" hidden="false" customHeight="false" outlineLevel="0" collapsed="false">
      <c r="A3589" s="3" t="s">
        <v>1187</v>
      </c>
      <c r="B3589" s="4"/>
      <c r="C3589" s="4"/>
      <c r="D3589" s="4"/>
      <c r="E3589" s="4"/>
      <c r="F3589" s="4"/>
      <c r="G3589" s="4"/>
      <c r="H3589" s="4"/>
    </row>
    <row r="3590" customFormat="false" ht="15" hidden="false" customHeight="false" outlineLevel="1" collapsed="false">
      <c r="A3590" s="7" t="s">
        <v>603</v>
      </c>
      <c r="B3590" s="8" t="s">
        <v>11</v>
      </c>
      <c r="C3590" s="53" t="n">
        <f aca="false">Pressupostos!$C$269</f>
        <v>0</v>
      </c>
      <c r="D3590" s="53" t="n">
        <f aca="false">Pressupostos!$D$269</f>
        <v>500000</v>
      </c>
      <c r="E3590" s="53" t="n">
        <f aca="false">Pressupostos!$E$269</f>
        <v>1500000</v>
      </c>
      <c r="F3590" s="53" t="n">
        <f aca="false">Pressupostos!$F$269</f>
        <v>3000000</v>
      </c>
      <c r="G3590" s="53" t="n">
        <f aca="false">Pressupostos!$G$269</f>
        <v>5000000</v>
      </c>
      <c r="H3590" s="2" t="s">
        <v>1188</v>
      </c>
    </row>
    <row r="3591" customFormat="false" ht="15" hidden="false" customHeight="false" outlineLevel="1" collapsed="false">
      <c r="A3591" s="7" t="s">
        <v>604</v>
      </c>
      <c r="B3591" s="8" t="s">
        <v>120</v>
      </c>
      <c r="C3591" s="55" t="n">
        <f aca="false">C3590/(Pressupostos!$C$105*Pressupostos!$C$106)*Pressupostos!$C$102/1000</f>
        <v>0</v>
      </c>
      <c r="D3591" s="55" t="n">
        <f aca="false">D3590/(Pressupostos!$C$105*Pressupostos!$C$106)*Pressupostos!$C$102/1000</f>
        <v>457.142857142857</v>
      </c>
      <c r="E3591" s="55" t="n">
        <f aca="false">E3590/(Pressupostos!$C$105*Pressupostos!$C$106)*Pressupostos!$C$102/1000</f>
        <v>1371.42857142857</v>
      </c>
      <c r="F3591" s="55" t="n">
        <f aca="false">F3590/(Pressupostos!$C$105*Pressupostos!$C$106)*Pressupostos!$C$102/1000</f>
        <v>2742.85714285714</v>
      </c>
      <c r="G3591" s="55" t="n">
        <f aca="false">G3590/(Pressupostos!$C$105*Pressupostos!$C$106)*Pressupostos!$C$102/1000</f>
        <v>4571.42857142857</v>
      </c>
      <c r="H3591" s="2" t="s">
        <v>1189</v>
      </c>
    </row>
    <row r="3592" customFormat="false" ht="15" hidden="false" customHeight="false" outlineLevel="0" collapsed="false">
      <c r="A3592" s="3" t="s">
        <v>1190</v>
      </c>
      <c r="B3592" s="4"/>
      <c r="C3592" s="4"/>
      <c r="D3592" s="4"/>
      <c r="E3592" s="4"/>
      <c r="F3592" s="4"/>
      <c r="G3592" s="4"/>
      <c r="H3592" s="4"/>
    </row>
    <row r="3593" customFormat="false" ht="15" hidden="false" customHeight="false" outlineLevel="1" collapsed="false">
      <c r="A3593" s="7" t="s">
        <v>669</v>
      </c>
      <c r="B3593" s="8" t="s">
        <v>64</v>
      </c>
      <c r="C3593" s="63" t="n">
        <f aca="false">Pressupostos!$D$10+Pressupostos!$D$11</f>
        <v>3.6</v>
      </c>
      <c r="D3593" s="63" t="n">
        <f aca="false">Pressupostos!$D$10+Pressupostos!$D$11</f>
        <v>3.6</v>
      </c>
      <c r="E3593" s="63" t="n">
        <f aca="false">Pressupostos!$D$10+Pressupostos!$D$11</f>
        <v>3.6</v>
      </c>
      <c r="F3593" s="63" t="n">
        <f aca="false">Pressupostos!$D$10+Pressupostos!$D$11</f>
        <v>3.6</v>
      </c>
      <c r="G3593" s="63" t="n">
        <f aca="false">Pressupostos!$D$10+Pressupostos!$D$11</f>
        <v>3.6</v>
      </c>
      <c r="H3593" s="2" t="s">
        <v>1191</v>
      </c>
    </row>
    <row r="3594" customFormat="false" ht="15" hidden="false" customHeight="false" outlineLevel="1" collapsed="false">
      <c r="A3594" s="7" t="s">
        <v>670</v>
      </c>
      <c r="B3594" s="8" t="s">
        <v>64</v>
      </c>
      <c r="C3594" s="67" t="n">
        <f aca="false">Pressupostos!$D$15</f>
        <v>5.65</v>
      </c>
      <c r="D3594" s="67" t="n">
        <f aca="false">Pressupostos!$D$15</f>
        <v>5.65</v>
      </c>
      <c r="E3594" s="67" t="n">
        <f aca="false">Pressupostos!$D$15</f>
        <v>5.65</v>
      </c>
      <c r="F3594" s="67" t="n">
        <f aca="false">Pressupostos!$D$15</f>
        <v>5.65</v>
      </c>
      <c r="G3594" s="67" t="n">
        <f aca="false">Pressupostos!$D$15</f>
        <v>5.65</v>
      </c>
      <c r="H3594" s="2" t="s">
        <v>1192</v>
      </c>
    </row>
    <row r="3595" customFormat="false" ht="15" hidden="false" customHeight="false" outlineLevel="1" collapsed="false">
      <c r="A3595" s="56" t="s">
        <v>671</v>
      </c>
      <c r="B3595" s="57" t="s">
        <v>64</v>
      </c>
      <c r="C3595" s="68" t="n">
        <f aca="false">C3594*(1-Pressupostos!$D$16)</f>
        <v>5.085</v>
      </c>
      <c r="D3595" s="68" t="n">
        <f aca="false">D3594*(1-Pressupostos!$D$16)</f>
        <v>5.085</v>
      </c>
      <c r="E3595" s="68" t="n">
        <f aca="false">E3594*(1-Pressupostos!$D$16)</f>
        <v>5.085</v>
      </c>
      <c r="F3595" s="68" t="n">
        <f aca="false">F3594*(1-Pressupostos!$D$16)</f>
        <v>5.085</v>
      </c>
      <c r="G3595" s="68" t="n">
        <f aca="false">G3594*(1-Pressupostos!$D$16)</f>
        <v>5.085</v>
      </c>
      <c r="H3595" s="2" t="s">
        <v>1193</v>
      </c>
    </row>
    <row r="3596" customFormat="false" ht="15" hidden="false" customHeight="false" outlineLevel="1" collapsed="false">
      <c r="A3596" s="7" t="s">
        <v>144</v>
      </c>
      <c r="B3596" s="8" t="s">
        <v>64</v>
      </c>
      <c r="C3596" s="67" t="n">
        <f aca="false">Pressupostos!$C$38</f>
        <v>0.55</v>
      </c>
      <c r="D3596" s="67" t="n">
        <f aca="false">Pressupostos!$C$38</f>
        <v>0.55</v>
      </c>
      <c r="E3596" s="67" t="n">
        <f aca="false">Pressupostos!$C$38</f>
        <v>0.55</v>
      </c>
      <c r="F3596" s="67" t="n">
        <f aca="false">Pressupostos!$C$38</f>
        <v>0.55</v>
      </c>
      <c r="G3596" s="67" t="n">
        <f aca="false">Pressupostos!$C$38</f>
        <v>0.55</v>
      </c>
      <c r="H3596" s="2" t="s">
        <v>1194</v>
      </c>
    </row>
    <row r="3597" customFormat="false" ht="15" hidden="false" customHeight="false" outlineLevel="1" collapsed="false">
      <c r="A3597" s="7" t="s">
        <v>215</v>
      </c>
      <c r="B3597" s="8" t="s">
        <v>64</v>
      </c>
      <c r="C3597" s="67" t="n">
        <f aca="false">Pressupostos!$C$238</f>
        <v>0.3</v>
      </c>
      <c r="D3597" s="67" t="n">
        <f aca="false">Pressupostos!$D$238</f>
        <v>0.3</v>
      </c>
      <c r="E3597" s="67" t="n">
        <f aca="false">Pressupostos!$E$238</f>
        <v>0.28</v>
      </c>
      <c r="F3597" s="67" t="n">
        <f aca="false">Pressupostos!$F$238</f>
        <v>0.27</v>
      </c>
      <c r="G3597" s="67" t="n">
        <f aca="false">Pressupostos!$G$238</f>
        <v>0.27</v>
      </c>
      <c r="H3597" s="2" t="s">
        <v>1195</v>
      </c>
    </row>
    <row r="3598" customFormat="false" ht="15" hidden="false" customHeight="false" outlineLevel="1" collapsed="false">
      <c r="A3598" s="7" t="s">
        <v>117</v>
      </c>
      <c r="B3598" s="8" t="s">
        <v>64</v>
      </c>
      <c r="C3598" s="67" t="n">
        <f aca="false">Pressupostos!$C$39</f>
        <v>0.06</v>
      </c>
      <c r="D3598" s="67" t="n">
        <f aca="false">Pressupostos!$C$39</f>
        <v>0.06</v>
      </c>
      <c r="E3598" s="67" t="n">
        <f aca="false">Pressupostos!$C$39</f>
        <v>0.06</v>
      </c>
      <c r="F3598" s="67" t="n">
        <f aca="false">Pressupostos!$C$39</f>
        <v>0.06</v>
      </c>
      <c r="G3598" s="67" t="n">
        <f aca="false">Pressupostos!$C$39</f>
        <v>0.06</v>
      </c>
      <c r="H3598" s="2" t="s">
        <v>1196</v>
      </c>
    </row>
    <row r="3599" customFormat="false" ht="15" hidden="false" customHeight="false" outlineLevel="1" collapsed="false">
      <c r="A3599" s="7" t="s">
        <v>91</v>
      </c>
      <c r="B3599" s="8" t="s">
        <v>79</v>
      </c>
      <c r="C3599" s="69" t="n">
        <f aca="false">Pressupostos!$C$244</f>
        <v>180</v>
      </c>
      <c r="D3599" s="69" t="n">
        <f aca="false">Pressupostos!$D$244</f>
        <v>180</v>
      </c>
      <c r="E3599" s="69" t="n">
        <f aca="false">Pressupostos!$E$244</f>
        <v>45</v>
      </c>
      <c r="F3599" s="69" t="n">
        <f aca="false">Pressupostos!$F$244</f>
        <v>45</v>
      </c>
      <c r="G3599" s="69" t="n">
        <f aca="false">Pressupostos!$G$244</f>
        <v>45</v>
      </c>
      <c r="H3599" s="2" t="s">
        <v>1197</v>
      </c>
    </row>
    <row r="3600" customFormat="false" ht="15" hidden="false" customHeight="false" outlineLevel="1" collapsed="false">
      <c r="A3600" s="7" t="s">
        <v>78</v>
      </c>
      <c r="B3600" s="8" t="s">
        <v>79</v>
      </c>
      <c r="C3600" s="69" t="n">
        <f aca="false">Pressupostos!$D$17</f>
        <v>35</v>
      </c>
      <c r="D3600" s="69" t="n">
        <f aca="false">Pressupostos!$D$17</f>
        <v>35</v>
      </c>
      <c r="E3600" s="69" t="n">
        <f aca="false">Pressupostos!$D$17</f>
        <v>35</v>
      </c>
      <c r="F3600" s="69" t="n">
        <f aca="false">Pressupostos!$D$17</f>
        <v>35</v>
      </c>
      <c r="G3600" s="69" t="n">
        <f aca="false">Pressupostos!$D$17</f>
        <v>35</v>
      </c>
      <c r="H3600" s="2" t="s">
        <v>1198</v>
      </c>
    </row>
    <row r="3601" customFormat="false" ht="15" hidden="false" customHeight="false" outlineLevel="1" collapsed="false">
      <c r="A3601" s="7" t="s">
        <v>490</v>
      </c>
      <c r="B3601" s="8" t="s">
        <v>64</v>
      </c>
      <c r="C3601" s="63" t="n">
        <f aca="false">Pressupostos!$C$66*C3599/30/1000</f>
        <v>0.024</v>
      </c>
      <c r="D3601" s="63" t="n">
        <f aca="false">Pressupostos!$C$66*D3599/30/1000</f>
        <v>0.024</v>
      </c>
      <c r="E3601" s="63" t="n">
        <f aca="false">Pressupostos!$C$66*E3599/30/1000</f>
        <v>0.006</v>
      </c>
      <c r="F3601" s="63" t="n">
        <f aca="false">Pressupostos!$C$66*F3599/30/1000</f>
        <v>0.006</v>
      </c>
      <c r="G3601" s="63" t="n">
        <f aca="false">Pressupostos!$C$66*G3599/30/1000</f>
        <v>0.006</v>
      </c>
      <c r="H3601" s="2" t="s">
        <v>1199</v>
      </c>
    </row>
    <row r="3602" customFormat="false" ht="15" hidden="false" customHeight="false" outlineLevel="1" collapsed="false">
      <c r="A3602" s="7" t="s">
        <v>165</v>
      </c>
      <c r="B3602" s="8" t="s">
        <v>64</v>
      </c>
      <c r="C3602" s="63" t="n">
        <f aca="false">C3593*Pressupostos!$C$67*C3599/365</f>
        <v>0.00355068493150685</v>
      </c>
      <c r="D3602" s="63" t="n">
        <f aca="false">D3593*Pressupostos!$C$67*D3599/365</f>
        <v>0.00355068493150685</v>
      </c>
      <c r="E3602" s="63" t="n">
        <f aca="false">E3593*Pressupostos!$C$67*E3599/365</f>
        <v>0.000887671232876712</v>
      </c>
      <c r="F3602" s="63" t="n">
        <f aca="false">F3593*Pressupostos!$C$67*F3599/365</f>
        <v>0.000887671232876712</v>
      </c>
      <c r="G3602" s="63" t="n">
        <f aca="false">G3593*Pressupostos!$C$67*G3599/365</f>
        <v>0.000887671232876712</v>
      </c>
      <c r="H3602" s="2" t="s">
        <v>1200</v>
      </c>
    </row>
    <row r="3603" customFormat="false" ht="15" hidden="false" customHeight="false" outlineLevel="1" collapsed="false">
      <c r="A3603" s="7" t="s">
        <v>672</v>
      </c>
      <c r="B3603" s="8" t="s">
        <v>64</v>
      </c>
      <c r="C3603" s="63" t="n">
        <f aca="false">Pressupostos!$C$41*Pressupostos!$C$68/(Pressupostos!$C$40*1000)</f>
        <v>0.03</v>
      </c>
      <c r="D3603" s="63" t="n">
        <f aca="false">Pressupostos!$C$41*Pressupostos!$C$68/(Pressupostos!$C$40*1000)</f>
        <v>0.03</v>
      </c>
      <c r="E3603" s="63" t="n">
        <f aca="false">Pressupostos!$C$41*Pressupostos!$C$68/(Pressupostos!$C$40*1000)</f>
        <v>0.03</v>
      </c>
      <c r="F3603" s="63" t="n">
        <f aca="false">Pressupostos!$C$41*Pressupostos!$C$68/(Pressupostos!$C$40*1000)</f>
        <v>0.03</v>
      </c>
      <c r="G3603" s="63" t="n">
        <f aca="false">Pressupostos!$C$41*Pressupostos!$C$68/(Pressupostos!$C$40*1000)</f>
        <v>0.03</v>
      </c>
      <c r="H3603" s="2" t="s">
        <v>1201</v>
      </c>
    </row>
    <row r="3604" customFormat="false" ht="15" hidden="false" customHeight="false" outlineLevel="1" collapsed="false">
      <c r="A3604" s="7" t="s">
        <v>492</v>
      </c>
      <c r="B3604" s="8" t="s">
        <v>64</v>
      </c>
      <c r="C3604" s="63" t="n">
        <f aca="false">Pressupostos!$C$69*C3593</f>
        <v>0.018</v>
      </c>
      <c r="D3604" s="63" t="n">
        <f aca="false">Pressupostos!$C$69*D3593</f>
        <v>0.018</v>
      </c>
      <c r="E3604" s="63" t="n">
        <f aca="false">Pressupostos!$C$69*E3593</f>
        <v>0.018</v>
      </c>
      <c r="F3604" s="63" t="n">
        <f aca="false">Pressupostos!$C$69*F3593</f>
        <v>0.018</v>
      </c>
      <c r="G3604" s="63" t="n">
        <f aca="false">Pressupostos!$C$69*G3593</f>
        <v>0.018</v>
      </c>
      <c r="H3604" s="2" t="s">
        <v>1202</v>
      </c>
    </row>
    <row r="3605" customFormat="false" ht="15" hidden="false" customHeight="false" outlineLevel="1" collapsed="false">
      <c r="A3605" s="7" t="s">
        <v>493</v>
      </c>
      <c r="B3605" s="8" t="s">
        <v>64</v>
      </c>
      <c r="C3605" s="63" t="n">
        <f aca="false">Pressupostos!$C$70*Pressupostos!$C$71*C3599/90</f>
        <v>0.018</v>
      </c>
      <c r="D3605" s="63" t="n">
        <f aca="false">Pressupostos!$C$70*Pressupostos!$C$71*D3599/90</f>
        <v>0.018</v>
      </c>
      <c r="E3605" s="63" t="n">
        <f aca="false">Pressupostos!$C$70*Pressupostos!$C$71*E3599/90</f>
        <v>0.0045</v>
      </c>
      <c r="F3605" s="63" t="n">
        <f aca="false">Pressupostos!$C$70*Pressupostos!$C$71*F3599/90</f>
        <v>0.0045</v>
      </c>
      <c r="G3605" s="63" t="n">
        <f aca="false">Pressupostos!$C$70*Pressupostos!$C$71*G3599/90</f>
        <v>0.0045</v>
      </c>
      <c r="H3605" s="2" t="s">
        <v>1203</v>
      </c>
    </row>
    <row r="3606" customFormat="false" ht="15" hidden="false" customHeight="false" outlineLevel="1" collapsed="false">
      <c r="A3606" s="7" t="s">
        <v>673</v>
      </c>
      <c r="B3606" s="8" t="s">
        <v>64</v>
      </c>
      <c r="C3606" s="63" t="n">
        <f aca="false">Pressupostos!$C$42/(Pressupostos!$C$40*1000)</f>
        <v>0.1</v>
      </c>
      <c r="D3606" s="63" t="n">
        <f aca="false">Pressupostos!$C$42/(Pressupostos!$C$40*1000)</f>
        <v>0.1</v>
      </c>
      <c r="E3606" s="63" t="n">
        <f aca="false">Pressupostos!$C$42/(Pressupostos!$C$40*1000)</f>
        <v>0.1</v>
      </c>
      <c r="F3606" s="63" t="n">
        <f aca="false">Pressupostos!$C$42/(Pressupostos!$C$40*1000)</f>
        <v>0.1</v>
      </c>
      <c r="G3606" s="63" t="n">
        <f aca="false">Pressupostos!$C$42/(Pressupostos!$C$40*1000)</f>
        <v>0.1</v>
      </c>
      <c r="H3606" s="2" t="s">
        <v>1204</v>
      </c>
    </row>
    <row r="3607" customFormat="false" ht="15" hidden="false" customHeight="false" outlineLevel="1" collapsed="false">
      <c r="A3607" s="7" t="s">
        <v>139</v>
      </c>
      <c r="B3607" s="8" t="s">
        <v>64</v>
      </c>
      <c r="C3607" s="67" t="n">
        <f aca="false">Pressupostos!$C$43</f>
        <v>0.01</v>
      </c>
      <c r="D3607" s="67" t="n">
        <f aca="false">Pressupostos!$C$43</f>
        <v>0.01</v>
      </c>
      <c r="E3607" s="67" t="n">
        <f aca="false">Pressupostos!$C$43</f>
        <v>0.01</v>
      </c>
      <c r="F3607" s="67" t="n">
        <f aca="false">Pressupostos!$C$43</f>
        <v>0.01</v>
      </c>
      <c r="G3607" s="67" t="n">
        <f aca="false">Pressupostos!$C$43</f>
        <v>0.01</v>
      </c>
      <c r="H3607" s="2" t="s">
        <v>1205</v>
      </c>
    </row>
    <row r="3608" customFormat="false" ht="15" hidden="false" customHeight="false" outlineLevel="1" collapsed="false">
      <c r="A3608" s="7" t="s">
        <v>81</v>
      </c>
      <c r="B3608" s="8" t="s">
        <v>64</v>
      </c>
      <c r="C3608" s="63" t="n">
        <f aca="false">Pressupostos!$D$18*C3595</f>
        <v>0.03051</v>
      </c>
      <c r="D3608" s="63" t="n">
        <f aca="false">Pressupostos!$D$18*D3595</f>
        <v>0.03051</v>
      </c>
      <c r="E3608" s="63" t="n">
        <f aca="false">Pressupostos!$D$18*E3595</f>
        <v>0.03051</v>
      </c>
      <c r="F3608" s="63" t="n">
        <f aca="false">Pressupostos!$D$18*F3595</f>
        <v>0.03051</v>
      </c>
      <c r="G3608" s="63" t="n">
        <f aca="false">Pressupostos!$D$18*G3595</f>
        <v>0.03051</v>
      </c>
      <c r="H3608" s="2" t="s">
        <v>1206</v>
      </c>
    </row>
    <row r="3609" customFormat="false" ht="15" hidden="false" customHeight="false" outlineLevel="1" collapsed="false">
      <c r="A3609" s="7" t="s">
        <v>674</v>
      </c>
      <c r="B3609" s="8" t="s">
        <v>64</v>
      </c>
      <c r="C3609" s="63" t="n">
        <f aca="false">Pressupostos!$C$73*C3595</f>
        <v>0</v>
      </c>
      <c r="D3609" s="63" t="n">
        <f aca="false">Pressupostos!$C$73*D3595</f>
        <v>0</v>
      </c>
      <c r="E3609" s="63" t="n">
        <f aca="false">Pressupostos!$C$73*E3595</f>
        <v>0</v>
      </c>
      <c r="F3609" s="63" t="n">
        <f aca="false">Pressupostos!$C$73*F3595</f>
        <v>0</v>
      </c>
      <c r="G3609" s="63" t="n">
        <f aca="false">Pressupostos!$C$73*G3595</f>
        <v>0</v>
      </c>
      <c r="H3609" s="2" t="s">
        <v>1207</v>
      </c>
    </row>
    <row r="3610" customFormat="false" ht="15" hidden="false" customHeight="false" outlineLevel="1" collapsed="false">
      <c r="A3610" s="7" t="s">
        <v>675</v>
      </c>
      <c r="B3610" s="8" t="s">
        <v>64</v>
      </c>
      <c r="C3610" s="63" t="n">
        <f aca="false">(Pressupostos!$C$198)*(C3593+C3596)*(C3599+C3600-Pressupostos!$C$72)/365*Pressupostos!$C$282/Pressupostos!$D$31</f>
        <v>0</v>
      </c>
      <c r="D3610" s="63" t="n">
        <f aca="false">(Pressupostos!$C$198)*(D3593+D3596)*(D3599+D3600-Pressupostos!$C$72)/365*Pressupostos!$D$282/Pressupostos!$D$31</f>
        <v>0.236635273972603</v>
      </c>
      <c r="E3610" s="63" t="n">
        <f aca="false">(Pressupostos!$C$198)*(E3593+E3596)*(E3599+E3600-Pressupostos!$C$72)/365*Pressupostos!$E$282/Pressupostos!$D$31</f>
        <v>0.0639554794520548</v>
      </c>
      <c r="F3610" s="63" t="n">
        <f aca="false">(Pressupostos!$C$198)*(F3593+F3596)*(F3599+F3600-Pressupostos!$C$72)/365*Pressupostos!$F$282/Pressupostos!$D$31</f>
        <v>0.0639554794520548</v>
      </c>
      <c r="G3610" s="63" t="n">
        <f aca="false">(Pressupostos!$C$198)*(G3593+G3596)*(G3599+G3600-Pressupostos!$C$72)/365*Pressupostos!$G$282/Pressupostos!$D$31</f>
        <v>0.0639554794520548</v>
      </c>
      <c r="H3610" s="2" t="s">
        <v>1208</v>
      </c>
    </row>
    <row r="3611" customFormat="false" ht="15" hidden="false" customHeight="false" outlineLevel="1" collapsed="false">
      <c r="A3611" s="7" t="s">
        <v>676</v>
      </c>
      <c r="B3611" s="8" t="s">
        <v>64</v>
      </c>
      <c r="C3611" s="63" t="n">
        <f aca="false">C3593+C3596+C3597+C3598+C3601+C3602+C3603+C3604+C3605+C3606+C3607+C3608+C3609+C3610</f>
        <v>4.74406068493151</v>
      </c>
      <c r="D3611" s="63" t="n">
        <f aca="false">D3593+D3596+D3597+D3598+D3601+D3602+D3603+D3604+D3605+D3606+D3607+D3608+D3609+D3610</f>
        <v>4.98069595890411</v>
      </c>
      <c r="E3611" s="63" t="n">
        <f aca="false">E3593+E3596+E3597+E3598+E3601+E3602+E3603+E3604+E3605+E3606+E3607+E3608+E3609+E3610</f>
        <v>4.75385315068493</v>
      </c>
      <c r="F3611" s="63" t="n">
        <f aca="false">F3593+F3596+F3597+F3598+F3601+F3602+F3603+F3604+F3605+F3606+F3607+F3608+F3609+F3610</f>
        <v>4.74385315068493</v>
      </c>
      <c r="G3611" s="63" t="n">
        <f aca="false">G3593+G3596+G3597+G3598+G3601+G3602+G3603+G3604+G3605+G3606+G3607+G3608+G3609+G3610</f>
        <v>4.74385315068493</v>
      </c>
      <c r="H3611" s="2" t="s">
        <v>1209</v>
      </c>
    </row>
    <row r="3612" customFormat="false" ht="15" hidden="false" customHeight="false" outlineLevel="1" collapsed="false">
      <c r="A3612" s="56" t="s">
        <v>677</v>
      </c>
      <c r="B3612" s="57" t="s">
        <v>64</v>
      </c>
      <c r="C3612" s="68" t="n">
        <f aca="false">C3595-C3611</f>
        <v>0.340939315068495</v>
      </c>
      <c r="D3612" s="68" t="n">
        <f aca="false">D3595-D3611</f>
        <v>0.104304041095893</v>
      </c>
      <c r="E3612" s="68" t="n">
        <f aca="false">E3595-E3611</f>
        <v>0.331146849315069</v>
      </c>
      <c r="F3612" s="68" t="n">
        <f aca="false">F3595-F3611</f>
        <v>0.34114684931507</v>
      </c>
      <c r="G3612" s="68" t="n">
        <f aca="false">G3595-G3611</f>
        <v>0.34114684931507</v>
      </c>
      <c r="H3612" s="2" t="s">
        <v>1210</v>
      </c>
    </row>
    <row r="3613" customFormat="false" ht="15" hidden="false" customHeight="false" outlineLevel="1" collapsed="false">
      <c r="A3613" s="7" t="s">
        <v>678</v>
      </c>
      <c r="B3613" s="8" t="s">
        <v>76</v>
      </c>
      <c r="C3613" s="59" t="n">
        <f aca="false">IF(C3595&gt;0,C3612/C3595,0)</f>
        <v>0.067048046227826</v>
      </c>
      <c r="D3613" s="59" t="n">
        <f aca="false">IF(D3595&gt;0,D3612/D3595,0)</f>
        <v>0.0205121024770684</v>
      </c>
      <c r="E3613" s="59" t="n">
        <f aca="false">IF(E3595&gt;0,E3612/E3595,0)</f>
        <v>0.0651222909174178</v>
      </c>
      <c r="F3613" s="59" t="n">
        <f aca="false">IF(F3595&gt;0,F3612/F3595,0)</f>
        <v>0.0670888592556676</v>
      </c>
      <c r="G3613" s="59" t="n">
        <f aca="false">IF(G3595&gt;0,G3612/G3595,0)</f>
        <v>0.0670888592556676</v>
      </c>
      <c r="H3613" s="2" t="s">
        <v>1211</v>
      </c>
    </row>
    <row r="3614" customFormat="false" ht="15" hidden="false" customHeight="false" outlineLevel="1" collapsed="false">
      <c r="A3614" s="7" t="s">
        <v>679</v>
      </c>
      <c r="B3614" s="8" t="s">
        <v>64</v>
      </c>
      <c r="C3614" s="63" t="n">
        <f aca="false">(C3593+C3596)*(C3599-Pressupostos!$C$72)/365+C3595*C3600/365</f>
        <v>2.19308219178082</v>
      </c>
      <c r="D3614" s="63" t="n">
        <f aca="false">(D3593+D3596)*(D3599-Pressupostos!$C$72)/365+D3595*D3600/365</f>
        <v>2.19308219178082</v>
      </c>
      <c r="E3614" s="63" t="n">
        <f aca="false">(E3593+E3596)*(E3599-Pressupostos!$C$72)/365+E3595*E3600/365</f>
        <v>0.658150684931507</v>
      </c>
      <c r="F3614" s="63" t="n">
        <f aca="false">(F3593+F3596)*(F3599-Pressupostos!$C$72)/365+F3595*F3600/365</f>
        <v>0.658150684931507</v>
      </c>
      <c r="G3614" s="63" t="n">
        <f aca="false">(G3593+G3596)*(G3599-Pressupostos!$C$72)/365+G3595*G3600/365</f>
        <v>0.658150684931507</v>
      </c>
      <c r="H3614" s="2" t="s">
        <v>1212</v>
      </c>
    </row>
    <row r="3615" customFormat="false" ht="15" hidden="false" customHeight="false" outlineLevel="0" collapsed="false">
      <c r="A3615" s="3" t="s">
        <v>1213</v>
      </c>
      <c r="B3615" s="4"/>
      <c r="C3615" s="4"/>
      <c r="D3615" s="4"/>
      <c r="E3615" s="4"/>
      <c r="F3615" s="4"/>
      <c r="G3615" s="4"/>
      <c r="H3615" s="4"/>
    </row>
    <row r="3616" customFormat="false" ht="15" hidden="false" customHeight="false" outlineLevel="1" collapsed="false">
      <c r="A3616" s="7" t="s">
        <v>669</v>
      </c>
      <c r="B3616" s="8" t="s">
        <v>64</v>
      </c>
      <c r="C3616" s="63" t="n">
        <f aca="false">Pressupostos!$D$10+Pressupostos!$D$12</f>
        <v>3.6</v>
      </c>
      <c r="D3616" s="63" t="n">
        <f aca="false">Pressupostos!$D$10+Pressupostos!$D$12</f>
        <v>3.6</v>
      </c>
      <c r="E3616" s="63" t="n">
        <f aca="false">Pressupostos!$D$10+Pressupostos!$D$12</f>
        <v>3.6</v>
      </c>
      <c r="F3616" s="63" t="n">
        <f aca="false">Pressupostos!$D$10+Pressupostos!$D$12</f>
        <v>3.6</v>
      </c>
      <c r="G3616" s="63" t="n">
        <f aca="false">Pressupostos!$D$10+Pressupostos!$D$12</f>
        <v>3.6</v>
      </c>
      <c r="H3616" s="2" t="s">
        <v>1214</v>
      </c>
    </row>
    <row r="3617" customFormat="false" ht="15" hidden="false" customHeight="false" outlineLevel="1" collapsed="false">
      <c r="A3617" s="7" t="s">
        <v>670</v>
      </c>
      <c r="B3617" s="8" t="s">
        <v>64</v>
      </c>
      <c r="C3617" s="63" t="n">
        <f aca="false">Pressupostos!$D$20+Pressupostos!$D$21</f>
        <v>4.35</v>
      </c>
      <c r="D3617" s="63" t="n">
        <f aca="false">Pressupostos!$D$20+Pressupostos!$D$21</f>
        <v>4.35</v>
      </c>
      <c r="E3617" s="63" t="n">
        <f aca="false">Pressupostos!$D$20+Pressupostos!$D$21</f>
        <v>4.35</v>
      </c>
      <c r="F3617" s="63" t="n">
        <f aca="false">Pressupostos!$D$20+Pressupostos!$D$21</f>
        <v>4.35</v>
      </c>
      <c r="G3617" s="63" t="n">
        <f aca="false">Pressupostos!$D$20+Pressupostos!$D$21</f>
        <v>4.35</v>
      </c>
      <c r="H3617" s="2" t="s">
        <v>1215</v>
      </c>
    </row>
    <row r="3618" customFormat="false" ht="15" hidden="false" customHeight="false" outlineLevel="1" collapsed="false">
      <c r="A3618" s="56" t="s">
        <v>671</v>
      </c>
      <c r="B3618" s="57" t="s">
        <v>64</v>
      </c>
      <c r="C3618" s="68" t="n">
        <f aca="false">C3617*(1-Pressupostos!$D$22)</f>
        <v>4.35</v>
      </c>
      <c r="D3618" s="68" t="n">
        <f aca="false">D3617*(1-Pressupostos!$D$22)</f>
        <v>4.35</v>
      </c>
      <c r="E3618" s="68" t="n">
        <f aca="false">E3617*(1-Pressupostos!$D$22)</f>
        <v>4.35</v>
      </c>
      <c r="F3618" s="68" t="n">
        <f aca="false">F3617*(1-Pressupostos!$D$22)</f>
        <v>4.35</v>
      </c>
      <c r="G3618" s="68" t="n">
        <f aca="false">G3617*(1-Pressupostos!$D$22)</f>
        <v>4.35</v>
      </c>
      <c r="H3618" s="2" t="s">
        <v>1216</v>
      </c>
    </row>
    <row r="3619" customFormat="false" ht="15" hidden="false" customHeight="false" outlineLevel="1" collapsed="false">
      <c r="A3619" s="7" t="s">
        <v>144</v>
      </c>
      <c r="B3619" s="8" t="s">
        <v>64</v>
      </c>
      <c r="C3619" s="67" t="n">
        <f aca="false">Pressupostos!$C$45</f>
        <v>0.45</v>
      </c>
      <c r="D3619" s="67" t="n">
        <f aca="false">Pressupostos!$C$45</f>
        <v>0.45</v>
      </c>
      <c r="E3619" s="67" t="n">
        <f aca="false">Pressupostos!$C$45</f>
        <v>0.45</v>
      </c>
      <c r="F3619" s="67" t="n">
        <f aca="false">Pressupostos!$C$45</f>
        <v>0.45</v>
      </c>
      <c r="G3619" s="67" t="n">
        <f aca="false">Pressupostos!$C$45</f>
        <v>0.45</v>
      </c>
      <c r="H3619" s="2" t="s">
        <v>1217</v>
      </c>
    </row>
    <row r="3620" customFormat="false" ht="15" hidden="false" customHeight="false" outlineLevel="1" collapsed="false">
      <c r="A3620" s="7" t="s">
        <v>215</v>
      </c>
      <c r="B3620" s="8" t="s">
        <v>64</v>
      </c>
      <c r="C3620" s="67" t="n">
        <f aca="false">Pressupostos!$C$250</f>
        <v>0.1</v>
      </c>
      <c r="D3620" s="67" t="n">
        <f aca="false">Pressupostos!$D$250</f>
        <v>0.1</v>
      </c>
      <c r="E3620" s="67" t="n">
        <f aca="false">Pressupostos!$E$250</f>
        <v>0.09</v>
      </c>
      <c r="F3620" s="67" t="n">
        <f aca="false">Pressupostos!$F$250</f>
        <v>0.09</v>
      </c>
      <c r="G3620" s="67" t="n">
        <f aca="false">Pressupostos!$G$250</f>
        <v>0.09</v>
      </c>
      <c r="H3620" s="2" t="s">
        <v>1218</v>
      </c>
    </row>
    <row r="3621" customFormat="false" ht="15" hidden="false" customHeight="false" outlineLevel="1" collapsed="false">
      <c r="A3621" s="7" t="s">
        <v>117</v>
      </c>
      <c r="B3621" s="8" t="s">
        <v>64</v>
      </c>
      <c r="C3621" s="67" t="n">
        <f aca="false">Pressupostos!$C$46</f>
        <v>0</v>
      </c>
      <c r="D3621" s="67" t="n">
        <f aca="false">Pressupostos!$C$46</f>
        <v>0</v>
      </c>
      <c r="E3621" s="67" t="n">
        <f aca="false">Pressupostos!$C$46</f>
        <v>0</v>
      </c>
      <c r="F3621" s="67" t="n">
        <f aca="false">Pressupostos!$C$46</f>
        <v>0</v>
      </c>
      <c r="G3621" s="67" t="n">
        <f aca="false">Pressupostos!$C$46</f>
        <v>0</v>
      </c>
      <c r="H3621" s="2" t="s">
        <v>1219</v>
      </c>
    </row>
    <row r="3622" customFormat="false" ht="15" hidden="false" customHeight="false" outlineLevel="1" collapsed="false">
      <c r="A3622" s="7" t="s">
        <v>91</v>
      </c>
      <c r="B3622" s="8" t="s">
        <v>79</v>
      </c>
      <c r="C3622" s="69" t="n">
        <f aca="false">Pressupostos!$D$23</f>
        <v>30</v>
      </c>
      <c r="D3622" s="69" t="n">
        <f aca="false">Pressupostos!$D$23</f>
        <v>30</v>
      </c>
      <c r="E3622" s="69" t="n">
        <f aca="false">Pressupostos!$D$23</f>
        <v>30</v>
      </c>
      <c r="F3622" s="69" t="n">
        <f aca="false">Pressupostos!$D$23</f>
        <v>30</v>
      </c>
      <c r="G3622" s="69" t="n">
        <f aca="false">Pressupostos!$D$23</f>
        <v>30</v>
      </c>
      <c r="H3622" s="2" t="s">
        <v>1220</v>
      </c>
    </row>
    <row r="3623" customFormat="false" ht="15" hidden="false" customHeight="false" outlineLevel="1" collapsed="false">
      <c r="A3623" s="7" t="s">
        <v>78</v>
      </c>
      <c r="B3623" s="8" t="s">
        <v>79</v>
      </c>
      <c r="C3623" s="69" t="n">
        <f aca="false">Pressupostos!$D$24</f>
        <v>45</v>
      </c>
      <c r="D3623" s="69" t="n">
        <f aca="false">Pressupostos!$D$24</f>
        <v>45</v>
      </c>
      <c r="E3623" s="69" t="n">
        <f aca="false">Pressupostos!$D$24</f>
        <v>45</v>
      </c>
      <c r="F3623" s="69" t="n">
        <f aca="false">Pressupostos!$D$24</f>
        <v>45</v>
      </c>
      <c r="G3623" s="69" t="n">
        <f aca="false">Pressupostos!$D$24</f>
        <v>45</v>
      </c>
      <c r="H3623" s="2" t="s">
        <v>1221</v>
      </c>
    </row>
    <row r="3624" customFormat="false" ht="15" hidden="false" customHeight="false" outlineLevel="1" collapsed="false">
      <c r="A3624" s="7" t="s">
        <v>490</v>
      </c>
      <c r="B3624" s="8" t="s">
        <v>64</v>
      </c>
      <c r="C3624" s="63" t="n">
        <f aca="false">Pressupostos!$C$66*C3622/30/1000</f>
        <v>0.004</v>
      </c>
      <c r="D3624" s="63" t="n">
        <f aca="false">Pressupostos!$C$66*D3622/30/1000</f>
        <v>0.004</v>
      </c>
      <c r="E3624" s="63" t="n">
        <f aca="false">Pressupostos!$C$66*E3622/30/1000</f>
        <v>0.004</v>
      </c>
      <c r="F3624" s="63" t="n">
        <f aca="false">Pressupostos!$C$66*F3622/30/1000</f>
        <v>0.004</v>
      </c>
      <c r="G3624" s="63" t="n">
        <f aca="false">Pressupostos!$C$66*G3622/30/1000</f>
        <v>0.004</v>
      </c>
      <c r="H3624" s="2" t="s">
        <v>1222</v>
      </c>
    </row>
    <row r="3625" customFormat="false" ht="15" hidden="false" customHeight="false" outlineLevel="1" collapsed="false">
      <c r="A3625" s="7" t="s">
        <v>165</v>
      </c>
      <c r="B3625" s="8" t="s">
        <v>64</v>
      </c>
      <c r="C3625" s="63" t="n">
        <f aca="false">C3616*Pressupostos!$C$67*C3622/365</f>
        <v>0.000591780821917808</v>
      </c>
      <c r="D3625" s="63" t="n">
        <f aca="false">D3616*Pressupostos!$C$67*D3622/365</f>
        <v>0.000591780821917808</v>
      </c>
      <c r="E3625" s="63" t="n">
        <f aca="false">E3616*Pressupostos!$C$67*E3622/365</f>
        <v>0.000591780821917808</v>
      </c>
      <c r="F3625" s="63" t="n">
        <f aca="false">F3616*Pressupostos!$C$67*F3622/365</f>
        <v>0.000591780821917808</v>
      </c>
      <c r="G3625" s="63" t="n">
        <f aca="false">G3616*Pressupostos!$C$67*G3622/365</f>
        <v>0.000591780821917808</v>
      </c>
      <c r="H3625" s="2" t="s">
        <v>1223</v>
      </c>
    </row>
    <row r="3626" customFormat="false" ht="15" hidden="false" customHeight="false" outlineLevel="1" collapsed="false">
      <c r="A3626" s="7" t="s">
        <v>672</v>
      </c>
      <c r="B3626" s="8" t="s">
        <v>64</v>
      </c>
      <c r="C3626" s="63" t="n">
        <f aca="false">Pressupostos!$C$48*Pressupostos!$C$68/(Pressupostos!$C$47*1000)</f>
        <v>0.02</v>
      </c>
      <c r="D3626" s="63" t="n">
        <f aca="false">Pressupostos!$C$48*Pressupostos!$C$68/(Pressupostos!$C$47*1000)</f>
        <v>0.02</v>
      </c>
      <c r="E3626" s="63" t="n">
        <f aca="false">Pressupostos!$C$48*Pressupostos!$C$68/(Pressupostos!$C$47*1000)</f>
        <v>0.02</v>
      </c>
      <c r="F3626" s="63" t="n">
        <f aca="false">Pressupostos!$C$48*Pressupostos!$C$68/(Pressupostos!$C$47*1000)</f>
        <v>0.02</v>
      </c>
      <c r="G3626" s="63" t="n">
        <f aca="false">Pressupostos!$C$48*Pressupostos!$C$68/(Pressupostos!$C$47*1000)</f>
        <v>0.02</v>
      </c>
      <c r="H3626" s="2" t="s">
        <v>1224</v>
      </c>
    </row>
    <row r="3627" customFormat="false" ht="15" hidden="false" customHeight="false" outlineLevel="1" collapsed="false">
      <c r="A3627" s="7" t="s">
        <v>492</v>
      </c>
      <c r="B3627" s="8" t="s">
        <v>64</v>
      </c>
      <c r="C3627" s="63" t="n">
        <f aca="false">Pressupostos!$C$69*C3616</f>
        <v>0.018</v>
      </c>
      <c r="D3627" s="63" t="n">
        <f aca="false">Pressupostos!$C$69*D3616</f>
        <v>0.018</v>
      </c>
      <c r="E3627" s="63" t="n">
        <f aca="false">Pressupostos!$C$69*E3616</f>
        <v>0.018</v>
      </c>
      <c r="F3627" s="63" t="n">
        <f aca="false">Pressupostos!$C$69*F3616</f>
        <v>0.018</v>
      </c>
      <c r="G3627" s="63" t="n">
        <f aca="false">Pressupostos!$C$69*G3616</f>
        <v>0.018</v>
      </c>
      <c r="H3627" s="2" t="s">
        <v>1225</v>
      </c>
    </row>
    <row r="3628" customFormat="false" ht="15" hidden="false" customHeight="false" outlineLevel="1" collapsed="false">
      <c r="A3628" s="7" t="s">
        <v>493</v>
      </c>
      <c r="B3628" s="8" t="s">
        <v>64</v>
      </c>
      <c r="C3628" s="63" t="n">
        <f aca="false">Pressupostos!$C$70*Pressupostos!$C$71*C3622/90</f>
        <v>0.003</v>
      </c>
      <c r="D3628" s="63" t="n">
        <f aca="false">Pressupostos!$C$70*Pressupostos!$C$71*D3622/90</f>
        <v>0.003</v>
      </c>
      <c r="E3628" s="63" t="n">
        <f aca="false">Pressupostos!$C$70*Pressupostos!$C$71*E3622/90</f>
        <v>0.003</v>
      </c>
      <c r="F3628" s="63" t="n">
        <f aca="false">Pressupostos!$C$70*Pressupostos!$C$71*F3622/90</f>
        <v>0.003</v>
      </c>
      <c r="G3628" s="63" t="n">
        <f aca="false">Pressupostos!$C$70*Pressupostos!$C$71*G3622/90</f>
        <v>0.003</v>
      </c>
      <c r="H3628" s="2" t="s">
        <v>1226</v>
      </c>
    </row>
    <row r="3629" customFormat="false" ht="15" hidden="false" customHeight="false" outlineLevel="1" collapsed="false">
      <c r="A3629" s="7" t="s">
        <v>673</v>
      </c>
      <c r="B3629" s="8" t="s">
        <v>64</v>
      </c>
      <c r="C3629" s="63" t="n">
        <f aca="false">Pressupostos!$C$49/(Pressupostos!$C$47*1000)</f>
        <v>0.04</v>
      </c>
      <c r="D3629" s="63" t="n">
        <f aca="false">Pressupostos!$C$49/(Pressupostos!$C$47*1000)</f>
        <v>0.04</v>
      </c>
      <c r="E3629" s="63" t="n">
        <f aca="false">Pressupostos!$C$49/(Pressupostos!$C$47*1000)</f>
        <v>0.04</v>
      </c>
      <c r="F3629" s="63" t="n">
        <f aca="false">Pressupostos!$C$49/(Pressupostos!$C$47*1000)</f>
        <v>0.04</v>
      </c>
      <c r="G3629" s="63" t="n">
        <f aca="false">Pressupostos!$C$49/(Pressupostos!$C$47*1000)</f>
        <v>0.04</v>
      </c>
      <c r="H3629" s="2" t="s">
        <v>1227</v>
      </c>
    </row>
    <row r="3630" customFormat="false" ht="15" hidden="false" customHeight="false" outlineLevel="1" collapsed="false">
      <c r="A3630" s="7" t="s">
        <v>139</v>
      </c>
      <c r="B3630" s="8" t="s">
        <v>64</v>
      </c>
      <c r="C3630" s="67" t="n">
        <f aca="false">Pressupostos!$C$50</f>
        <v>0.005</v>
      </c>
      <c r="D3630" s="67" t="n">
        <f aca="false">Pressupostos!$C$50</f>
        <v>0.005</v>
      </c>
      <c r="E3630" s="67" t="n">
        <f aca="false">Pressupostos!$C$50</f>
        <v>0.005</v>
      </c>
      <c r="F3630" s="67" t="n">
        <f aca="false">Pressupostos!$C$50</f>
        <v>0.005</v>
      </c>
      <c r="G3630" s="67" t="n">
        <f aca="false">Pressupostos!$C$50</f>
        <v>0.005</v>
      </c>
      <c r="H3630" s="2" t="s">
        <v>1228</v>
      </c>
    </row>
    <row r="3631" customFormat="false" ht="15" hidden="false" customHeight="false" outlineLevel="1" collapsed="false">
      <c r="A3631" s="7" t="s">
        <v>81</v>
      </c>
      <c r="B3631" s="8" t="s">
        <v>64</v>
      </c>
      <c r="C3631" s="63" t="n">
        <f aca="false">Pressupostos!$D$25*C3618</f>
        <v>0.01305</v>
      </c>
      <c r="D3631" s="63" t="n">
        <f aca="false">Pressupostos!$D$25*D3618</f>
        <v>0.01305</v>
      </c>
      <c r="E3631" s="63" t="n">
        <f aca="false">Pressupostos!$D$25*E3618</f>
        <v>0.01305</v>
      </c>
      <c r="F3631" s="63" t="n">
        <f aca="false">Pressupostos!$D$25*F3618</f>
        <v>0.01305</v>
      </c>
      <c r="G3631" s="63" t="n">
        <f aca="false">Pressupostos!$D$25*G3618</f>
        <v>0.01305</v>
      </c>
      <c r="H3631" s="2" t="s">
        <v>1229</v>
      </c>
    </row>
    <row r="3632" customFormat="false" ht="15" hidden="false" customHeight="false" outlineLevel="1" collapsed="false">
      <c r="A3632" s="7" t="s">
        <v>674</v>
      </c>
      <c r="B3632" s="8" t="s">
        <v>64</v>
      </c>
      <c r="C3632" s="63" t="n">
        <f aca="false">Pressupostos!$C$73*C3618</f>
        <v>0</v>
      </c>
      <c r="D3632" s="63" t="n">
        <f aca="false">Pressupostos!$C$73*D3618</f>
        <v>0</v>
      </c>
      <c r="E3632" s="63" t="n">
        <f aca="false">Pressupostos!$C$73*E3618</f>
        <v>0</v>
      </c>
      <c r="F3632" s="63" t="n">
        <f aca="false">Pressupostos!$C$73*F3618</f>
        <v>0</v>
      </c>
      <c r="G3632" s="63" t="n">
        <f aca="false">Pressupostos!$C$73*G3618</f>
        <v>0</v>
      </c>
      <c r="H3632" s="2" t="s">
        <v>1230</v>
      </c>
    </row>
    <row r="3633" customFormat="false" ht="15" hidden="false" customHeight="false" outlineLevel="1" collapsed="false">
      <c r="A3633" s="7" t="s">
        <v>675</v>
      </c>
      <c r="B3633" s="8" t="s">
        <v>64</v>
      </c>
      <c r="C3633" s="63" t="n">
        <f aca="false">(Pressupostos!$C$198)*(C3616+C3619)*(C3622+C3623-Pressupostos!$C$72)/365*Pressupostos!$C$282/Pressupostos!$D$31</f>
        <v>0</v>
      </c>
      <c r="D3633" s="63" t="n">
        <f aca="false">(Pressupostos!$C$198)*(D3616+D3619)*(D3622+D3623-Pressupostos!$C$72)/365*Pressupostos!$D$282/Pressupostos!$D$31</f>
        <v>0.0561729452054795</v>
      </c>
      <c r="E3633" s="63" t="n">
        <f aca="false">(Pressupostos!$C$198)*(E3616+E3619)*(E3622+E3623-Pressupostos!$C$72)/365*Pressupostos!$E$282/Pressupostos!$D$31</f>
        <v>0.0561729452054795</v>
      </c>
      <c r="F3633" s="63" t="n">
        <f aca="false">(Pressupostos!$C$198)*(F3616+F3619)*(F3622+F3623-Pressupostos!$C$72)/365*Pressupostos!$F$282/Pressupostos!$D$31</f>
        <v>0.0561729452054795</v>
      </c>
      <c r="G3633" s="63" t="n">
        <f aca="false">(Pressupostos!$C$198)*(G3616+G3619)*(G3622+G3623-Pressupostos!$C$72)/365*Pressupostos!$G$282/Pressupostos!$D$31</f>
        <v>0.0561729452054795</v>
      </c>
      <c r="H3633" s="2" t="s">
        <v>1231</v>
      </c>
    </row>
    <row r="3634" customFormat="false" ht="15" hidden="false" customHeight="false" outlineLevel="1" collapsed="false">
      <c r="A3634" s="7" t="s">
        <v>676</v>
      </c>
      <c r="B3634" s="8" t="s">
        <v>64</v>
      </c>
      <c r="C3634" s="63" t="n">
        <f aca="false">C3616+C3619+C3620+C3621+C3624+C3625+C3626+C3627+C3628+C3629+C3630+C3631+C3632+C3633</f>
        <v>4.25364178082192</v>
      </c>
      <c r="D3634" s="63" t="n">
        <f aca="false">D3616+D3619+D3620+D3621+D3624+D3625+D3626+D3627+D3628+D3629+D3630+D3631+D3632+D3633</f>
        <v>4.3098147260274</v>
      </c>
      <c r="E3634" s="63" t="n">
        <f aca="false">E3616+E3619+E3620+E3621+E3624+E3625+E3626+E3627+E3628+E3629+E3630+E3631+E3632+E3633</f>
        <v>4.2998147260274</v>
      </c>
      <c r="F3634" s="63" t="n">
        <f aca="false">F3616+F3619+F3620+F3621+F3624+F3625+F3626+F3627+F3628+F3629+F3630+F3631+F3632+F3633</f>
        <v>4.2998147260274</v>
      </c>
      <c r="G3634" s="63" t="n">
        <f aca="false">G3616+G3619+G3620+G3621+G3624+G3625+G3626+G3627+G3628+G3629+G3630+G3631+G3632+G3633</f>
        <v>4.2998147260274</v>
      </c>
      <c r="H3634" s="2" t="s">
        <v>1232</v>
      </c>
    </row>
    <row r="3635" customFormat="false" ht="15" hidden="false" customHeight="false" outlineLevel="1" collapsed="false">
      <c r="A3635" s="56" t="s">
        <v>677</v>
      </c>
      <c r="B3635" s="57" t="s">
        <v>64</v>
      </c>
      <c r="C3635" s="68" t="n">
        <f aca="false">C3618-C3634</f>
        <v>0.0963582191780832</v>
      </c>
      <c r="D3635" s="68" t="n">
        <f aca="false">D3618-D3634</f>
        <v>0.0401852739726039</v>
      </c>
      <c r="E3635" s="68" t="n">
        <f aca="false">E3618-E3634</f>
        <v>0.0501852739726036</v>
      </c>
      <c r="F3635" s="68" t="n">
        <f aca="false">F3618-F3634</f>
        <v>0.0501852739726036</v>
      </c>
      <c r="G3635" s="68" t="n">
        <f aca="false">G3618-G3634</f>
        <v>0.0501852739726036</v>
      </c>
      <c r="H3635" s="2" t="s">
        <v>1233</v>
      </c>
    </row>
    <row r="3636" customFormat="false" ht="15" hidden="false" customHeight="false" outlineLevel="1" collapsed="false">
      <c r="A3636" s="7" t="s">
        <v>678</v>
      </c>
      <c r="B3636" s="8" t="s">
        <v>76</v>
      </c>
      <c r="C3636" s="59" t="n">
        <f aca="false">IF(C3618&gt;0,C3635/C3618,0)</f>
        <v>0.0221513147535823</v>
      </c>
      <c r="D3636" s="59" t="n">
        <f aca="false">IF(D3618&gt;0,D3635/D3618,0)</f>
        <v>0.00923799401669054</v>
      </c>
      <c r="E3636" s="59" t="n">
        <f aca="false">IF(E3618&gt;0,E3635/E3618,0)</f>
        <v>0.0115368445914031</v>
      </c>
      <c r="F3636" s="59" t="n">
        <f aca="false">IF(F3618&gt;0,F3635/F3618,0)</f>
        <v>0.0115368445914031</v>
      </c>
      <c r="G3636" s="59" t="n">
        <f aca="false">IF(G3618&gt;0,G3635/G3618,0)</f>
        <v>0.0115368445914031</v>
      </c>
      <c r="H3636" s="2" t="s">
        <v>1234</v>
      </c>
    </row>
    <row r="3637" customFormat="false" ht="15" hidden="false" customHeight="false" outlineLevel="1" collapsed="false">
      <c r="A3637" s="7" t="s">
        <v>679</v>
      </c>
      <c r="B3637" s="8" t="s">
        <v>64</v>
      </c>
      <c r="C3637" s="63" t="n">
        <f aca="false">(C3616+C3619)*(C3622-Pressupostos!$C$72)/365+C3618*C3623/365</f>
        <v>0.536301369863014</v>
      </c>
      <c r="D3637" s="63" t="n">
        <f aca="false">(D3616+D3619)*(D3622-Pressupostos!$C$72)/365+D3618*D3623/365</f>
        <v>0.536301369863014</v>
      </c>
      <c r="E3637" s="63" t="n">
        <f aca="false">(E3616+E3619)*(E3622-Pressupostos!$C$72)/365+E3618*E3623/365</f>
        <v>0.536301369863014</v>
      </c>
      <c r="F3637" s="63" t="n">
        <f aca="false">(F3616+F3619)*(F3622-Pressupostos!$C$72)/365+F3618*F3623/365</f>
        <v>0.536301369863014</v>
      </c>
      <c r="G3637" s="63" t="n">
        <f aca="false">(G3616+G3619)*(G3622-Pressupostos!$C$72)/365+G3618*G3623/365</f>
        <v>0.536301369863014</v>
      </c>
      <c r="H3637" s="2" t="s">
        <v>1235</v>
      </c>
    </row>
    <row r="3638" customFormat="false" ht="15" hidden="false" customHeight="false" outlineLevel="0" collapsed="false">
      <c r="A3638" s="3" t="s">
        <v>1236</v>
      </c>
      <c r="B3638" s="4"/>
      <c r="C3638" s="4"/>
      <c r="D3638" s="4"/>
      <c r="E3638" s="4"/>
      <c r="F3638" s="4"/>
      <c r="G3638" s="4"/>
      <c r="H3638" s="4"/>
    </row>
    <row r="3639" customFormat="false" ht="15" hidden="false" customHeight="false" outlineLevel="1" collapsed="false">
      <c r="A3639" s="7" t="s">
        <v>669</v>
      </c>
      <c r="B3639" s="8" t="s">
        <v>64</v>
      </c>
      <c r="C3639" s="63" t="n">
        <f aca="false">Pressupostos!$D$10+Pressupostos!$D$13</f>
        <v>3.5</v>
      </c>
      <c r="D3639" s="63" t="n">
        <f aca="false">Pressupostos!$D$10+Pressupostos!$D$13</f>
        <v>3.5</v>
      </c>
      <c r="E3639" s="63" t="n">
        <f aca="false">Pressupostos!$D$10+Pressupostos!$D$13</f>
        <v>3.5</v>
      </c>
      <c r="F3639" s="63" t="n">
        <f aca="false">Pressupostos!$D$10+Pressupostos!$D$13</f>
        <v>3.5</v>
      </c>
      <c r="G3639" s="63" t="n">
        <f aca="false">Pressupostos!$D$10+Pressupostos!$D$13</f>
        <v>3.5</v>
      </c>
      <c r="H3639" s="2" t="s">
        <v>1237</v>
      </c>
    </row>
    <row r="3640" customFormat="false" ht="15" hidden="false" customHeight="false" outlineLevel="1" collapsed="false">
      <c r="A3640" s="7" t="s">
        <v>670</v>
      </c>
      <c r="B3640" s="8" t="s">
        <v>64</v>
      </c>
      <c r="C3640" s="63" t="n">
        <f aca="false">Pressupostos!$D$10+Pressupostos!$C$52</f>
        <v>3.65</v>
      </c>
      <c r="D3640" s="63" t="n">
        <f aca="false">Pressupostos!$D$10+Pressupostos!$C$52</f>
        <v>3.65</v>
      </c>
      <c r="E3640" s="63" t="n">
        <f aca="false">Pressupostos!$D$10+Pressupostos!$C$52</f>
        <v>3.65</v>
      </c>
      <c r="F3640" s="63" t="n">
        <f aca="false">Pressupostos!$D$10+Pressupostos!$C$52</f>
        <v>3.65</v>
      </c>
      <c r="G3640" s="63" t="n">
        <f aca="false">Pressupostos!$D$10+Pressupostos!$C$52</f>
        <v>3.65</v>
      </c>
      <c r="H3640" s="2" t="s">
        <v>1238</v>
      </c>
    </row>
    <row r="3641" customFormat="false" ht="15" hidden="false" customHeight="false" outlineLevel="1" collapsed="false">
      <c r="A3641" s="56" t="s">
        <v>671</v>
      </c>
      <c r="B3641" s="57" t="s">
        <v>64</v>
      </c>
      <c r="C3641" s="68" t="n">
        <f aca="false">C3640*(1-Pressupostos!$C$53)</f>
        <v>3.65</v>
      </c>
      <c r="D3641" s="68" t="n">
        <f aca="false">D3640*(1-Pressupostos!$C$53)</f>
        <v>3.65</v>
      </c>
      <c r="E3641" s="68" t="n">
        <f aca="false">E3640*(1-Pressupostos!$C$53)</f>
        <v>3.65</v>
      </c>
      <c r="F3641" s="68" t="n">
        <f aca="false">F3640*(1-Pressupostos!$C$53)</f>
        <v>3.65</v>
      </c>
      <c r="G3641" s="68" t="n">
        <f aca="false">G3640*(1-Pressupostos!$C$53)</f>
        <v>3.65</v>
      </c>
      <c r="H3641" s="2" t="s">
        <v>1239</v>
      </c>
    </row>
    <row r="3642" customFormat="false" ht="15" hidden="false" customHeight="false" outlineLevel="1" collapsed="false">
      <c r="A3642" s="7" t="s">
        <v>144</v>
      </c>
      <c r="B3642" s="8" t="s">
        <v>64</v>
      </c>
      <c r="C3642" s="67" t="n">
        <f aca="false">Pressupostos!$C$54</f>
        <v>0</v>
      </c>
      <c r="D3642" s="67" t="n">
        <f aca="false">Pressupostos!$C$54</f>
        <v>0</v>
      </c>
      <c r="E3642" s="67" t="n">
        <f aca="false">Pressupostos!$C$54</f>
        <v>0</v>
      </c>
      <c r="F3642" s="67" t="n">
        <f aca="false">Pressupostos!$C$54</f>
        <v>0</v>
      </c>
      <c r="G3642" s="67" t="n">
        <f aca="false">Pressupostos!$C$54</f>
        <v>0</v>
      </c>
      <c r="H3642" s="2" t="s">
        <v>1240</v>
      </c>
    </row>
    <row r="3643" customFormat="false" ht="15" hidden="false" customHeight="false" outlineLevel="1" collapsed="false">
      <c r="A3643" s="7" t="s">
        <v>215</v>
      </c>
      <c r="B3643" s="8" t="s">
        <v>64</v>
      </c>
      <c r="C3643" s="67" t="n">
        <f aca="false">Pressupostos!$C$55</f>
        <v>0.04</v>
      </c>
      <c r="D3643" s="67" t="n">
        <f aca="false">Pressupostos!$C$55</f>
        <v>0.04</v>
      </c>
      <c r="E3643" s="67" t="n">
        <f aca="false">Pressupostos!$C$55</f>
        <v>0.04</v>
      </c>
      <c r="F3643" s="67" t="n">
        <f aca="false">Pressupostos!$C$55</f>
        <v>0.04</v>
      </c>
      <c r="G3643" s="67" t="n">
        <f aca="false">Pressupostos!$C$55</f>
        <v>0.04</v>
      </c>
      <c r="H3643" s="2" t="s">
        <v>1241</v>
      </c>
    </row>
    <row r="3644" customFormat="false" ht="15" hidden="false" customHeight="false" outlineLevel="1" collapsed="false">
      <c r="A3644" s="7" t="s">
        <v>117</v>
      </c>
      <c r="B3644" s="8" t="s">
        <v>64</v>
      </c>
      <c r="C3644" s="67" t="n">
        <f aca="false">Pressupostos!$C$56</f>
        <v>0</v>
      </c>
      <c r="D3644" s="67" t="n">
        <f aca="false">Pressupostos!$C$56</f>
        <v>0</v>
      </c>
      <c r="E3644" s="67" t="n">
        <f aca="false">Pressupostos!$C$56</f>
        <v>0</v>
      </c>
      <c r="F3644" s="67" t="n">
        <f aca="false">Pressupostos!$C$56</f>
        <v>0</v>
      </c>
      <c r="G3644" s="67" t="n">
        <f aca="false">Pressupostos!$C$56</f>
        <v>0</v>
      </c>
      <c r="H3644" s="2" t="s">
        <v>1242</v>
      </c>
    </row>
    <row r="3645" customFormat="false" ht="15" hidden="false" customHeight="false" outlineLevel="1" collapsed="false">
      <c r="A3645" s="7" t="s">
        <v>91</v>
      </c>
      <c r="B3645" s="8" t="s">
        <v>79</v>
      </c>
      <c r="C3645" s="69" t="n">
        <f aca="false">Pressupostos!$C$57</f>
        <v>15</v>
      </c>
      <c r="D3645" s="69" t="n">
        <f aca="false">Pressupostos!$C$57</f>
        <v>15</v>
      </c>
      <c r="E3645" s="69" t="n">
        <f aca="false">Pressupostos!$C$57</f>
        <v>15</v>
      </c>
      <c r="F3645" s="69" t="n">
        <f aca="false">Pressupostos!$C$57</f>
        <v>15</v>
      </c>
      <c r="G3645" s="69" t="n">
        <f aca="false">Pressupostos!$C$57</f>
        <v>15</v>
      </c>
      <c r="H3645" s="2" t="s">
        <v>1243</v>
      </c>
    </row>
    <row r="3646" customFormat="false" ht="15" hidden="false" customHeight="false" outlineLevel="1" collapsed="false">
      <c r="A3646" s="7" t="s">
        <v>78</v>
      </c>
      <c r="B3646" s="8" t="s">
        <v>79</v>
      </c>
      <c r="C3646" s="69" t="n">
        <f aca="false">Pressupostos!$C$58</f>
        <v>45</v>
      </c>
      <c r="D3646" s="69" t="n">
        <f aca="false">Pressupostos!$C$58</f>
        <v>45</v>
      </c>
      <c r="E3646" s="69" t="n">
        <f aca="false">Pressupostos!$C$58</f>
        <v>45</v>
      </c>
      <c r="F3646" s="69" t="n">
        <f aca="false">Pressupostos!$C$58</f>
        <v>45</v>
      </c>
      <c r="G3646" s="69" t="n">
        <f aca="false">Pressupostos!$C$58</f>
        <v>45</v>
      </c>
      <c r="H3646" s="2" t="s">
        <v>1244</v>
      </c>
    </row>
    <row r="3647" customFormat="false" ht="15" hidden="false" customHeight="false" outlineLevel="1" collapsed="false">
      <c r="A3647" s="7" t="s">
        <v>490</v>
      </c>
      <c r="B3647" s="8" t="s">
        <v>64</v>
      </c>
      <c r="C3647" s="63" t="n">
        <f aca="false">Pressupostos!$C$66*C3645/30/1000</f>
        <v>0.002</v>
      </c>
      <c r="D3647" s="63" t="n">
        <f aca="false">Pressupostos!$C$66*D3645/30/1000</f>
        <v>0.002</v>
      </c>
      <c r="E3647" s="63" t="n">
        <f aca="false">Pressupostos!$C$66*E3645/30/1000</f>
        <v>0.002</v>
      </c>
      <c r="F3647" s="63" t="n">
        <f aca="false">Pressupostos!$C$66*F3645/30/1000</f>
        <v>0.002</v>
      </c>
      <c r="G3647" s="63" t="n">
        <f aca="false">Pressupostos!$C$66*G3645/30/1000</f>
        <v>0.002</v>
      </c>
      <c r="H3647" s="2" t="s">
        <v>1245</v>
      </c>
    </row>
    <row r="3648" customFormat="false" ht="15" hidden="false" customHeight="false" outlineLevel="1" collapsed="false">
      <c r="A3648" s="7" t="s">
        <v>165</v>
      </c>
      <c r="B3648" s="8" t="s">
        <v>64</v>
      </c>
      <c r="C3648" s="63" t="n">
        <f aca="false">C3639*Pressupostos!$C$67*C3645/365</f>
        <v>0.000287671232876712</v>
      </c>
      <c r="D3648" s="63" t="n">
        <f aca="false">D3639*Pressupostos!$C$67*D3645/365</f>
        <v>0.000287671232876712</v>
      </c>
      <c r="E3648" s="63" t="n">
        <f aca="false">E3639*Pressupostos!$C$67*E3645/365</f>
        <v>0.000287671232876712</v>
      </c>
      <c r="F3648" s="63" t="n">
        <f aca="false">F3639*Pressupostos!$C$67*F3645/365</f>
        <v>0.000287671232876712</v>
      </c>
      <c r="G3648" s="63" t="n">
        <f aca="false">G3639*Pressupostos!$C$67*G3645/365</f>
        <v>0.000287671232876712</v>
      </c>
      <c r="H3648" s="2" t="s">
        <v>1246</v>
      </c>
    </row>
    <row r="3649" customFormat="false" ht="15" hidden="false" customHeight="false" outlineLevel="1" collapsed="false">
      <c r="A3649" s="7" t="s">
        <v>672</v>
      </c>
      <c r="B3649" s="8" t="s">
        <v>64</v>
      </c>
      <c r="C3649" s="63" t="n">
        <f aca="false">Pressupostos!$C$60*Pressupostos!$C$68/(Pressupostos!$C$59*1000)</f>
        <v>0.006</v>
      </c>
      <c r="D3649" s="63" t="n">
        <f aca="false">Pressupostos!$C$60*Pressupostos!$C$68/(Pressupostos!$C$59*1000)</f>
        <v>0.006</v>
      </c>
      <c r="E3649" s="63" t="n">
        <f aca="false">Pressupostos!$C$60*Pressupostos!$C$68/(Pressupostos!$C$59*1000)</f>
        <v>0.006</v>
      </c>
      <c r="F3649" s="63" t="n">
        <f aca="false">Pressupostos!$C$60*Pressupostos!$C$68/(Pressupostos!$C$59*1000)</f>
        <v>0.006</v>
      </c>
      <c r="G3649" s="63" t="n">
        <f aca="false">Pressupostos!$C$60*Pressupostos!$C$68/(Pressupostos!$C$59*1000)</f>
        <v>0.006</v>
      </c>
      <c r="H3649" s="2" t="s">
        <v>1247</v>
      </c>
    </row>
    <row r="3650" customFormat="false" ht="15" hidden="false" customHeight="false" outlineLevel="1" collapsed="false">
      <c r="A3650" s="7" t="s">
        <v>492</v>
      </c>
      <c r="B3650" s="8" t="s">
        <v>64</v>
      </c>
      <c r="C3650" s="63" t="n">
        <f aca="false">Pressupostos!$C$69*C3639</f>
        <v>0.0175</v>
      </c>
      <c r="D3650" s="63" t="n">
        <f aca="false">Pressupostos!$C$69*D3639</f>
        <v>0.0175</v>
      </c>
      <c r="E3650" s="63" t="n">
        <f aca="false">Pressupostos!$C$69*E3639</f>
        <v>0.0175</v>
      </c>
      <c r="F3650" s="63" t="n">
        <f aca="false">Pressupostos!$C$69*F3639</f>
        <v>0.0175</v>
      </c>
      <c r="G3650" s="63" t="n">
        <f aca="false">Pressupostos!$C$69*G3639</f>
        <v>0.0175</v>
      </c>
      <c r="H3650" s="2" t="s">
        <v>1248</v>
      </c>
    </row>
    <row r="3651" customFormat="false" ht="15" hidden="false" customHeight="false" outlineLevel="1" collapsed="false">
      <c r="A3651" s="7" t="s">
        <v>493</v>
      </c>
      <c r="B3651" s="8" t="s">
        <v>64</v>
      </c>
      <c r="C3651" s="63" t="n">
        <f aca="false">Pressupostos!$C$70*Pressupostos!$C$71*C3645/90</f>
        <v>0.0015</v>
      </c>
      <c r="D3651" s="63" t="n">
        <f aca="false">Pressupostos!$C$70*Pressupostos!$C$71*D3645/90</f>
        <v>0.0015</v>
      </c>
      <c r="E3651" s="63" t="n">
        <f aca="false">Pressupostos!$C$70*Pressupostos!$C$71*E3645/90</f>
        <v>0.0015</v>
      </c>
      <c r="F3651" s="63" t="n">
        <f aca="false">Pressupostos!$C$70*Pressupostos!$C$71*F3645/90</f>
        <v>0.0015</v>
      </c>
      <c r="G3651" s="63" t="n">
        <f aca="false">Pressupostos!$C$70*Pressupostos!$C$71*G3645/90</f>
        <v>0.0015</v>
      </c>
      <c r="H3651" s="2" t="s">
        <v>1249</v>
      </c>
    </row>
    <row r="3652" customFormat="false" ht="15" hidden="false" customHeight="false" outlineLevel="1" collapsed="false">
      <c r="A3652" s="7" t="s">
        <v>673</v>
      </c>
      <c r="B3652" s="8" t="s">
        <v>64</v>
      </c>
      <c r="C3652" s="63" t="n">
        <f aca="false">Pressupostos!$C$61/(Pressupostos!$C$59*1000)</f>
        <v>0.012</v>
      </c>
      <c r="D3652" s="63" t="n">
        <f aca="false">Pressupostos!$C$61/(Pressupostos!$C$59*1000)</f>
        <v>0.012</v>
      </c>
      <c r="E3652" s="63" t="n">
        <f aca="false">Pressupostos!$C$61/(Pressupostos!$C$59*1000)</f>
        <v>0.012</v>
      </c>
      <c r="F3652" s="63" t="n">
        <f aca="false">Pressupostos!$C$61/(Pressupostos!$C$59*1000)</f>
        <v>0.012</v>
      </c>
      <c r="G3652" s="63" t="n">
        <f aca="false">Pressupostos!$C$61/(Pressupostos!$C$59*1000)</f>
        <v>0.012</v>
      </c>
      <c r="H3652" s="2" t="s">
        <v>1250</v>
      </c>
    </row>
    <row r="3653" customFormat="false" ht="15" hidden="false" customHeight="false" outlineLevel="1" collapsed="false">
      <c r="A3653" s="7" t="s">
        <v>139</v>
      </c>
      <c r="B3653" s="8" t="s">
        <v>64</v>
      </c>
      <c r="C3653" s="67" t="n">
        <f aca="false">Pressupostos!$C$62</f>
        <v>0.001</v>
      </c>
      <c r="D3653" s="67" t="n">
        <f aca="false">Pressupostos!$C$62</f>
        <v>0.001</v>
      </c>
      <c r="E3653" s="67" t="n">
        <f aca="false">Pressupostos!$C$62</f>
        <v>0.001</v>
      </c>
      <c r="F3653" s="67" t="n">
        <f aca="false">Pressupostos!$C$62</f>
        <v>0.001</v>
      </c>
      <c r="G3653" s="67" t="n">
        <f aca="false">Pressupostos!$C$62</f>
        <v>0.001</v>
      </c>
      <c r="H3653" s="2" t="s">
        <v>1251</v>
      </c>
    </row>
    <row r="3654" customFormat="false" ht="15" hidden="false" customHeight="false" outlineLevel="1" collapsed="false">
      <c r="A3654" s="7" t="s">
        <v>81</v>
      </c>
      <c r="B3654" s="8" t="s">
        <v>64</v>
      </c>
      <c r="C3654" s="63" t="n">
        <f aca="false">Pressupostos!$C$63*C3641</f>
        <v>0.01095</v>
      </c>
      <c r="D3654" s="63" t="n">
        <f aca="false">Pressupostos!$C$63*D3641</f>
        <v>0.01095</v>
      </c>
      <c r="E3654" s="63" t="n">
        <f aca="false">Pressupostos!$C$63*E3641</f>
        <v>0.01095</v>
      </c>
      <c r="F3654" s="63" t="n">
        <f aca="false">Pressupostos!$C$63*F3641</f>
        <v>0.01095</v>
      </c>
      <c r="G3654" s="63" t="n">
        <f aca="false">Pressupostos!$C$63*G3641</f>
        <v>0.01095</v>
      </c>
      <c r="H3654" s="2" t="s">
        <v>1252</v>
      </c>
    </row>
    <row r="3655" customFormat="false" ht="15" hidden="false" customHeight="false" outlineLevel="1" collapsed="false">
      <c r="A3655" s="7" t="s">
        <v>674</v>
      </c>
      <c r="B3655" s="8" t="s">
        <v>64</v>
      </c>
      <c r="C3655" s="63" t="n">
        <f aca="false">Pressupostos!$C$73*C3641</f>
        <v>0</v>
      </c>
      <c r="D3655" s="63" t="n">
        <f aca="false">Pressupostos!$C$73*D3641</f>
        <v>0</v>
      </c>
      <c r="E3655" s="63" t="n">
        <f aca="false">Pressupostos!$C$73*E3641</f>
        <v>0</v>
      </c>
      <c r="F3655" s="63" t="n">
        <f aca="false">Pressupostos!$C$73*F3641</f>
        <v>0</v>
      </c>
      <c r="G3655" s="63" t="n">
        <f aca="false">Pressupostos!$C$73*G3641</f>
        <v>0</v>
      </c>
      <c r="H3655" s="2" t="s">
        <v>1253</v>
      </c>
    </row>
    <row r="3656" customFormat="false" ht="15" hidden="false" customHeight="false" outlineLevel="1" collapsed="false">
      <c r="A3656" s="7" t="s">
        <v>675</v>
      </c>
      <c r="B3656" s="8" t="s">
        <v>64</v>
      </c>
      <c r="C3656" s="63" t="n">
        <f aca="false">(Pressupostos!$C$198)*(C3639+C3642)*(C3645+C3646-Pressupostos!$C$72)/365*Pressupostos!$C$282/Pressupostos!$D$31</f>
        <v>0</v>
      </c>
      <c r="D3656" s="63" t="n">
        <f aca="false">(Pressupostos!$C$198)*(D3639+D3642)*(D3645+D3646-Pressupostos!$C$72)/365*Pressupostos!$D$282/Pressupostos!$D$31</f>
        <v>0.0323630136986301</v>
      </c>
      <c r="E3656" s="63" t="n">
        <f aca="false">(Pressupostos!$C$198)*(E3639+E3642)*(E3645+E3646-Pressupostos!$C$72)/365*Pressupostos!$E$282/Pressupostos!$D$31</f>
        <v>0.0323630136986301</v>
      </c>
      <c r="F3656" s="63" t="n">
        <f aca="false">(Pressupostos!$C$198)*(F3639+F3642)*(F3645+F3646-Pressupostos!$C$72)/365*Pressupostos!$F$282/Pressupostos!$D$31</f>
        <v>0.0323630136986301</v>
      </c>
      <c r="G3656" s="63" t="n">
        <f aca="false">(Pressupostos!$C$198)*(G3639+G3642)*(G3645+G3646-Pressupostos!$C$72)/365*Pressupostos!$G$282/Pressupostos!$D$31</f>
        <v>0.0323630136986301</v>
      </c>
      <c r="H3656" s="2" t="s">
        <v>1254</v>
      </c>
    </row>
    <row r="3657" customFormat="false" ht="15" hidden="false" customHeight="false" outlineLevel="1" collapsed="false">
      <c r="A3657" s="7" t="s">
        <v>676</v>
      </c>
      <c r="B3657" s="8" t="s">
        <v>64</v>
      </c>
      <c r="C3657" s="63" t="n">
        <f aca="false">C3639+C3642+C3643+C3644+C3647+C3648+C3649+C3650+C3651+C3652+C3653+C3654+C3655+C3656</f>
        <v>3.59123767123288</v>
      </c>
      <c r="D3657" s="63" t="n">
        <f aca="false">D3639+D3642+D3643+D3644+D3647+D3648+D3649+D3650+D3651+D3652+D3653+D3654+D3655+D3656</f>
        <v>3.62360068493151</v>
      </c>
      <c r="E3657" s="63" t="n">
        <f aca="false">E3639+E3642+E3643+E3644+E3647+E3648+E3649+E3650+E3651+E3652+E3653+E3654+E3655+E3656</f>
        <v>3.62360068493151</v>
      </c>
      <c r="F3657" s="63" t="n">
        <f aca="false">F3639+F3642+F3643+F3644+F3647+F3648+F3649+F3650+F3651+F3652+F3653+F3654+F3655+F3656</f>
        <v>3.62360068493151</v>
      </c>
      <c r="G3657" s="63" t="n">
        <f aca="false">G3639+G3642+G3643+G3644+G3647+G3648+G3649+G3650+G3651+G3652+G3653+G3654+G3655+G3656</f>
        <v>3.62360068493151</v>
      </c>
      <c r="H3657" s="2" t="s">
        <v>1255</v>
      </c>
    </row>
    <row r="3658" customFormat="false" ht="15" hidden="false" customHeight="false" outlineLevel="1" collapsed="false">
      <c r="A3658" s="56" t="s">
        <v>677</v>
      </c>
      <c r="B3658" s="57" t="s">
        <v>64</v>
      </c>
      <c r="C3658" s="68" t="n">
        <f aca="false">C3641-C3657</f>
        <v>0.058762328767124</v>
      </c>
      <c r="D3658" s="68" t="n">
        <f aca="false">D3641-D3657</f>
        <v>0.026399315068494</v>
      </c>
      <c r="E3658" s="68" t="n">
        <f aca="false">E3641-E3657</f>
        <v>0.026399315068494</v>
      </c>
      <c r="F3658" s="68" t="n">
        <f aca="false">F3641-F3657</f>
        <v>0.026399315068494</v>
      </c>
      <c r="G3658" s="68" t="n">
        <f aca="false">G3641-G3657</f>
        <v>0.026399315068494</v>
      </c>
      <c r="H3658" s="2" t="s">
        <v>1256</v>
      </c>
    </row>
    <row r="3659" customFormat="false" ht="15" hidden="false" customHeight="false" outlineLevel="1" collapsed="false">
      <c r="A3659" s="7" t="s">
        <v>678</v>
      </c>
      <c r="B3659" s="8" t="s">
        <v>76</v>
      </c>
      <c r="C3659" s="59" t="n">
        <f aca="false">IF(C3641&gt;0,C3658/C3641,0)</f>
        <v>0.0160992681553764</v>
      </c>
      <c r="D3659" s="59" t="n">
        <f aca="false">IF(D3641&gt;0,D3658/D3641,0)</f>
        <v>0.00723268905986138</v>
      </c>
      <c r="E3659" s="59" t="n">
        <f aca="false">IF(E3641&gt;0,E3658/E3641,0)</f>
        <v>0.00723268905986138</v>
      </c>
      <c r="F3659" s="59" t="n">
        <f aca="false">IF(F3641&gt;0,F3658/F3641,0)</f>
        <v>0.00723268905986138</v>
      </c>
      <c r="G3659" s="59" t="n">
        <f aca="false">IF(G3641&gt;0,G3658/G3641,0)</f>
        <v>0.00723268905986138</v>
      </c>
      <c r="H3659" s="2" t="s">
        <v>1257</v>
      </c>
    </row>
    <row r="3660" customFormat="false" ht="15" hidden="false" customHeight="false" outlineLevel="1" collapsed="false">
      <c r="A3660" s="7" t="s">
        <v>679</v>
      </c>
      <c r="B3660" s="8" t="s">
        <v>64</v>
      </c>
      <c r="C3660" s="63" t="n">
        <f aca="false">(C3639+C3642)*(C3645-Pressupostos!$C$72)/365+C3641*C3646/365</f>
        <v>0.306164383561644</v>
      </c>
      <c r="D3660" s="63" t="n">
        <f aca="false">(D3639+D3642)*(D3645-Pressupostos!$C$72)/365+D3641*D3646/365</f>
        <v>0.306164383561644</v>
      </c>
      <c r="E3660" s="63" t="n">
        <f aca="false">(E3639+E3642)*(E3645-Pressupostos!$C$72)/365+E3641*E3646/365</f>
        <v>0.306164383561644</v>
      </c>
      <c r="F3660" s="63" t="n">
        <f aca="false">(F3639+F3642)*(F3645-Pressupostos!$C$72)/365+F3641*F3646/365</f>
        <v>0.306164383561644</v>
      </c>
      <c r="G3660" s="63" t="n">
        <f aca="false">(G3639+G3642)*(G3645-Pressupostos!$C$72)/365+G3641*G3646/365</f>
        <v>0.306164383561644</v>
      </c>
      <c r="H3660" s="2" t="s">
        <v>1258</v>
      </c>
    </row>
    <row r="3661" customFormat="false" ht="15" hidden="false" customHeight="false" outlineLevel="0" collapsed="false">
      <c r="A3661" s="3" t="s">
        <v>1259</v>
      </c>
      <c r="B3661" s="4"/>
      <c r="C3661" s="4"/>
      <c r="D3661" s="4"/>
      <c r="E3661" s="4"/>
      <c r="F3661" s="4"/>
      <c r="G3661" s="4"/>
      <c r="H3661" s="4"/>
    </row>
    <row r="3662" customFormat="false" ht="15" hidden="false" customHeight="false" outlineLevel="1" collapsed="false">
      <c r="A3662" s="7" t="s">
        <v>683</v>
      </c>
      <c r="B3662" s="8" t="s">
        <v>64</v>
      </c>
      <c r="C3662" s="63" t="n">
        <f aca="false">Pressupostos!$C$64*Pressupostos!$D$10</f>
        <v>0.02625</v>
      </c>
      <c r="D3662" s="63" t="n">
        <f aca="false">Pressupostos!$C$64*Pressupostos!$D$10</f>
        <v>0.02625</v>
      </c>
      <c r="E3662" s="63" t="n">
        <f aca="false">Pressupostos!$C$64*Pressupostos!$D$10</f>
        <v>0.02625</v>
      </c>
      <c r="F3662" s="63" t="n">
        <f aca="false">Pressupostos!$C$64*Pressupostos!$D$10</f>
        <v>0.02625</v>
      </c>
      <c r="G3662" s="63" t="n">
        <f aca="false">Pressupostos!$C$64*Pressupostos!$D$10</f>
        <v>0.02625</v>
      </c>
      <c r="H3662" s="2" t="s">
        <v>1260</v>
      </c>
    </row>
    <row r="3663" customFormat="false" ht="15" hidden="false" customHeight="false" outlineLevel="1" collapsed="false">
      <c r="A3663" s="7" t="s">
        <v>684</v>
      </c>
      <c r="B3663" s="8" t="s">
        <v>64</v>
      </c>
      <c r="C3663" s="63" t="n">
        <f aca="false">C3652+C3649+C3653</f>
        <v>0.019</v>
      </c>
      <c r="D3663" s="63" t="n">
        <f aca="false">D3652+D3649+D3653</f>
        <v>0.019</v>
      </c>
      <c r="E3663" s="63" t="n">
        <f aca="false">E3652+E3649+E3653</f>
        <v>0.019</v>
      </c>
      <c r="F3663" s="63" t="n">
        <f aca="false">F3652+F3649+F3653</f>
        <v>0.019</v>
      </c>
      <c r="G3663" s="63" t="n">
        <f aca="false">G3652+G3649+G3653</f>
        <v>0.019</v>
      </c>
      <c r="H3663" s="2" t="s">
        <v>1261</v>
      </c>
    </row>
    <row r="3664" customFormat="false" ht="15" hidden="false" customHeight="false" outlineLevel="1" collapsed="false">
      <c r="A3664" s="56" t="s">
        <v>561</v>
      </c>
      <c r="B3664" s="57" t="s">
        <v>64</v>
      </c>
      <c r="C3664" s="68" t="n">
        <f aca="false">C3662-C3663</f>
        <v>0.00725</v>
      </c>
      <c r="D3664" s="68" t="n">
        <f aca="false">D3662-D3663</f>
        <v>0.00725</v>
      </c>
      <c r="E3664" s="68" t="n">
        <f aca="false">E3662-E3663</f>
        <v>0.00725</v>
      </c>
      <c r="F3664" s="68" t="n">
        <f aca="false">F3662-F3663</f>
        <v>0.00725</v>
      </c>
      <c r="G3664" s="68" t="n">
        <f aca="false">G3662-G3663</f>
        <v>0.00725</v>
      </c>
      <c r="H3664" s="2" t="s">
        <v>1262</v>
      </c>
    </row>
    <row r="3665" customFormat="false" ht="15" hidden="false" customHeight="false" outlineLevel="0" collapsed="false">
      <c r="A3665" s="3" t="s">
        <v>1263</v>
      </c>
      <c r="B3665" s="4"/>
      <c r="C3665" s="4"/>
      <c r="D3665" s="4"/>
      <c r="E3665" s="4"/>
      <c r="F3665" s="4"/>
      <c r="G3665" s="4"/>
      <c r="H3665" s="4"/>
    </row>
    <row r="3666" customFormat="false" ht="15" hidden="false" customHeight="false" outlineLevel="1" collapsed="false">
      <c r="A3666" s="7" t="s">
        <v>608</v>
      </c>
      <c r="B3666" s="8" t="s">
        <v>11</v>
      </c>
      <c r="C3666" s="61" t="n">
        <f aca="false">C3575*1000*C3595</f>
        <v>40680</v>
      </c>
      <c r="D3666" s="61" t="n">
        <f aca="false">D3575*1000*D3595</f>
        <v>188145</v>
      </c>
      <c r="E3666" s="61" t="n">
        <f aca="false">E3575*1000*E3595</f>
        <v>676305</v>
      </c>
      <c r="F3666" s="61" t="n">
        <f aca="false">F3575*1000*F3595</f>
        <v>1357695</v>
      </c>
      <c r="G3666" s="61" t="n">
        <f aca="false">G3575*1000*G3595</f>
        <v>2084850</v>
      </c>
      <c r="H3666" s="2" t="s">
        <v>1264</v>
      </c>
    </row>
    <row r="3667" customFormat="false" ht="15" hidden="false" customHeight="false" outlineLevel="1" collapsed="false">
      <c r="A3667" s="7" t="s">
        <v>609</v>
      </c>
      <c r="B3667" s="8" t="s">
        <v>11</v>
      </c>
      <c r="C3667" s="61" t="n">
        <f aca="false">C3576*1000*C3618</f>
        <v>226200</v>
      </c>
      <c r="D3667" s="61" t="n">
        <f aca="false">D3576*1000*D3618</f>
        <v>1579050</v>
      </c>
      <c r="E3667" s="61" t="n">
        <f aca="false">E3576*1000*E3618</f>
        <v>3118950</v>
      </c>
      <c r="F3667" s="61" t="n">
        <f aca="false">F3576*1000*F3618</f>
        <v>5146050</v>
      </c>
      <c r="G3667" s="61" t="n">
        <f aca="false">G3576*1000*G3618</f>
        <v>7786500</v>
      </c>
      <c r="H3667" s="2" t="s">
        <v>1265</v>
      </c>
    </row>
    <row r="3668" customFormat="false" ht="15" hidden="false" customHeight="false" outlineLevel="1" collapsed="false">
      <c r="A3668" s="7" t="s">
        <v>610</v>
      </c>
      <c r="B3668" s="8" t="s">
        <v>11</v>
      </c>
      <c r="C3668" s="61" t="n">
        <f aca="false">C3578*1000*C3641</f>
        <v>0</v>
      </c>
      <c r="D3668" s="61" t="n">
        <f aca="false">D3578*1000*D3641</f>
        <v>0</v>
      </c>
      <c r="E3668" s="61" t="n">
        <f aca="false">E3578*1000*E3641</f>
        <v>0</v>
      </c>
      <c r="F3668" s="61" t="n">
        <f aca="false">F3578*1000*F3641</f>
        <v>0</v>
      </c>
      <c r="G3668" s="61" t="n">
        <f aca="false">G3578*1000*G3641</f>
        <v>0</v>
      </c>
      <c r="H3668" s="2" t="s">
        <v>1266</v>
      </c>
    </row>
    <row r="3669" customFormat="false" ht="15" hidden="false" customHeight="false" outlineLevel="1" collapsed="false">
      <c r="A3669" s="7" t="s">
        <v>611</v>
      </c>
      <c r="B3669" s="8" t="s">
        <v>11</v>
      </c>
      <c r="C3669" s="61" t="n">
        <f aca="false">C3666+C3667+C3668</f>
        <v>266880</v>
      </c>
      <c r="D3669" s="61" t="n">
        <f aca="false">D3666+D3667+D3668</f>
        <v>1767195</v>
      </c>
      <c r="E3669" s="61" t="n">
        <f aca="false">E3666+E3667+E3668</f>
        <v>3795255</v>
      </c>
      <c r="F3669" s="61" t="n">
        <f aca="false">F3666+F3667+F3668</f>
        <v>6503745</v>
      </c>
      <c r="G3669" s="61" t="n">
        <f aca="false">G3666+G3667+G3668</f>
        <v>9871350</v>
      </c>
      <c r="H3669" s="2" t="s">
        <v>1267</v>
      </c>
    </row>
    <row r="3670" customFormat="false" ht="15" hidden="false" customHeight="false" outlineLevel="1" collapsed="false">
      <c r="A3670" s="7" t="s">
        <v>612</v>
      </c>
      <c r="B3670" s="8" t="s">
        <v>11</v>
      </c>
      <c r="C3670" s="61" t="n">
        <f aca="false">C3588*1000*Pressupostos!$C$93</f>
        <v>0</v>
      </c>
      <c r="D3670" s="61" t="n">
        <f aca="false">D3588*1000*Pressupostos!$C$93</f>
        <v>0</v>
      </c>
      <c r="E3670" s="61" t="n">
        <f aca="false">E3588*1000*Pressupostos!$C$93</f>
        <v>235500</v>
      </c>
      <c r="F3670" s="61" t="n">
        <f aca="false">F3588*1000*Pressupostos!$C$93</f>
        <v>471000</v>
      </c>
      <c r="G3670" s="61" t="n">
        <f aca="false">G3588*1000*Pressupostos!$C$93</f>
        <v>785000</v>
      </c>
      <c r="H3670" s="2" t="s">
        <v>1268</v>
      </c>
    </row>
    <row r="3671" customFormat="false" ht="15" hidden="false" customHeight="false" outlineLevel="1" collapsed="false">
      <c r="A3671" s="2" t="s">
        <v>613</v>
      </c>
      <c r="B3671" s="8" t="s">
        <v>11</v>
      </c>
      <c r="C3671" s="61" t="n">
        <f aca="false">C3586*Pressupostos!$C$80*(1-Pressupostos!$C$81)</f>
        <v>40500</v>
      </c>
      <c r="D3671" s="61" t="n">
        <f aca="false">D3586*Pressupostos!$C$80*(1-Pressupostos!$C$81)</f>
        <v>162000</v>
      </c>
      <c r="E3671" s="61" t="n">
        <f aca="false">E3586*Pressupostos!$C$80*(1-Pressupostos!$C$81)</f>
        <v>270000</v>
      </c>
      <c r="F3671" s="61" t="n">
        <f aca="false">F3586*Pressupostos!$C$80*(1-Pressupostos!$C$81)</f>
        <v>378000</v>
      </c>
      <c r="G3671" s="61" t="n">
        <f aca="false">G3586*Pressupostos!$C$80*(1-Pressupostos!$C$81)</f>
        <v>486000</v>
      </c>
      <c r="H3671" s="2" t="s">
        <v>1269</v>
      </c>
    </row>
    <row r="3672" customFormat="false" ht="15" hidden="false" customHeight="false" outlineLevel="1" collapsed="false">
      <c r="A3672" s="7" t="s">
        <v>614</v>
      </c>
      <c r="B3672" s="8" t="s">
        <v>11</v>
      </c>
      <c r="C3672" s="61" t="n">
        <f aca="false">C3671*Pressupostos!$D$27</f>
        <v>810</v>
      </c>
      <c r="D3672" s="61" t="n">
        <f aca="false">D3671*Pressupostos!$D$27</f>
        <v>3240</v>
      </c>
      <c r="E3672" s="61" t="n">
        <f aca="false">E3671*Pressupostos!$D$27</f>
        <v>5400</v>
      </c>
      <c r="F3672" s="61" t="n">
        <f aca="false">F3671*Pressupostos!$D$27</f>
        <v>7560</v>
      </c>
      <c r="G3672" s="61" t="n">
        <f aca="false">G3671*Pressupostos!$D$27</f>
        <v>9720</v>
      </c>
      <c r="H3672" s="2" t="s">
        <v>1270</v>
      </c>
    </row>
    <row r="3673" customFormat="false" ht="15" hidden="false" customHeight="false" outlineLevel="1" collapsed="false">
      <c r="A3673" s="7" t="s">
        <v>615</v>
      </c>
      <c r="B3673" s="8" t="s">
        <v>11</v>
      </c>
      <c r="C3673" s="61" t="n">
        <f aca="false">C3579*1000*C3662</f>
        <v>0</v>
      </c>
      <c r="D3673" s="61" t="n">
        <f aca="false">D3579*1000*D3662</f>
        <v>0</v>
      </c>
      <c r="E3673" s="61" t="n">
        <f aca="false">E3579*1000*E3662</f>
        <v>0</v>
      </c>
      <c r="F3673" s="61" t="n">
        <f aca="false">F3579*1000*F3662</f>
        <v>0</v>
      </c>
      <c r="G3673" s="61" t="n">
        <f aca="false">G3579*1000*G3662</f>
        <v>0</v>
      </c>
      <c r="H3673" s="2" t="s">
        <v>1271</v>
      </c>
    </row>
    <row r="3674" customFormat="false" ht="15" hidden="false" customHeight="false" outlineLevel="1" collapsed="false">
      <c r="A3674" s="7" t="s">
        <v>616</v>
      </c>
      <c r="B3674" s="8" t="s">
        <v>11</v>
      </c>
      <c r="C3674" s="61" t="n">
        <f aca="false">C3590*(Pressupostos!$C$101*Pressupostos!$C$102+Pressupostos!$C$103)</f>
        <v>0</v>
      </c>
      <c r="D3674" s="61" t="n">
        <f aca="false">D3590*(Pressupostos!$C$101*Pressupostos!$C$102+Pressupostos!$C$103)</f>
        <v>10000</v>
      </c>
      <c r="E3674" s="61" t="n">
        <f aca="false">E3590*(Pressupostos!$C$101*Pressupostos!$C$102+Pressupostos!$C$103)</f>
        <v>30000</v>
      </c>
      <c r="F3674" s="61" t="n">
        <f aca="false">F3590*(Pressupostos!$C$101*Pressupostos!$C$102+Pressupostos!$C$103)</f>
        <v>60000</v>
      </c>
      <c r="G3674" s="61" t="n">
        <f aca="false">G3590*(Pressupostos!$C$101*Pressupostos!$C$102+Pressupostos!$C$103)</f>
        <v>100000</v>
      </c>
      <c r="H3674" s="2" t="s">
        <v>1272</v>
      </c>
    </row>
    <row r="3675" customFormat="false" ht="15" hidden="false" customHeight="false" outlineLevel="1" collapsed="false">
      <c r="A3675" s="7" t="s">
        <v>617</v>
      </c>
      <c r="B3675" s="8" t="s">
        <v>11</v>
      </c>
      <c r="C3675" s="53" t="n">
        <f aca="false">Pressupostos!$C$275</f>
        <v>0</v>
      </c>
      <c r="D3675" s="53" t="n">
        <f aca="false">Pressupostos!$D$275</f>
        <v>0</v>
      </c>
      <c r="E3675" s="53" t="n">
        <f aca="false">Pressupostos!$E$275</f>
        <v>0</v>
      </c>
      <c r="F3675" s="53" t="n">
        <f aca="false">Pressupostos!$F$275</f>
        <v>10000</v>
      </c>
      <c r="G3675" s="53" t="n">
        <f aca="false">Pressupostos!$G$275</f>
        <v>30000</v>
      </c>
      <c r="H3675" s="2" t="s">
        <v>1273</v>
      </c>
    </row>
    <row r="3676" customFormat="false" ht="15" hidden="false" customHeight="false" outlineLevel="1" collapsed="false">
      <c r="A3676" s="56" t="s">
        <v>618</v>
      </c>
      <c r="B3676" s="57" t="s">
        <v>11</v>
      </c>
      <c r="C3676" s="62" t="n">
        <f aca="false">C3669+C3670+C3672+C3673+C3674+C3675</f>
        <v>267690</v>
      </c>
      <c r="D3676" s="62" t="n">
        <f aca="false">D3669+D3670+D3672+D3673+D3674+D3675</f>
        <v>1780435</v>
      </c>
      <c r="E3676" s="62" t="n">
        <f aca="false">E3669+E3670+E3672+E3673+E3674+E3675</f>
        <v>4066155</v>
      </c>
      <c r="F3676" s="62" t="n">
        <f aca="false">F3669+F3670+F3672+F3673+F3674+F3675</f>
        <v>7052305</v>
      </c>
      <c r="G3676" s="62" t="n">
        <f aca="false">G3669+G3670+G3672+G3673+G3674+G3675</f>
        <v>10796070</v>
      </c>
      <c r="H3676" s="2" t="s">
        <v>1274</v>
      </c>
    </row>
    <row r="3677" customFormat="false" ht="15" hidden="false" customHeight="false" outlineLevel="0" collapsed="false">
      <c r="A3677" s="3" t="s">
        <v>1275</v>
      </c>
      <c r="B3677" s="4"/>
      <c r="C3677" s="4"/>
      <c r="D3677" s="4"/>
      <c r="E3677" s="4"/>
      <c r="F3677" s="4"/>
      <c r="G3677" s="4"/>
      <c r="H3677" s="4"/>
    </row>
    <row r="3678" customFormat="false" ht="15" hidden="false" customHeight="false" outlineLevel="1" collapsed="false">
      <c r="A3678" s="2" t="s">
        <v>620</v>
      </c>
      <c r="B3678" s="8" t="s">
        <v>11</v>
      </c>
      <c r="C3678" s="61" t="n">
        <f aca="false">C3579*1000*Pressupostos!$D$10</f>
        <v>0</v>
      </c>
      <c r="D3678" s="61" t="n">
        <f aca="false">D3579*1000*Pressupostos!$D$10</f>
        <v>0</v>
      </c>
      <c r="E3678" s="61" t="n">
        <f aca="false">E3579*1000*Pressupostos!$D$10</f>
        <v>0</v>
      </c>
      <c r="F3678" s="61" t="n">
        <f aca="false">F3579*1000*Pressupostos!$D$10</f>
        <v>0</v>
      </c>
      <c r="G3678" s="61" t="n">
        <f aca="false">G3579*1000*Pressupostos!$D$10</f>
        <v>0</v>
      </c>
      <c r="H3678" s="2" t="s">
        <v>1276</v>
      </c>
    </row>
    <row r="3679" customFormat="false" ht="15" hidden="false" customHeight="false" outlineLevel="1" collapsed="false">
      <c r="A3679" s="56" t="s">
        <v>621</v>
      </c>
      <c r="B3679" s="57" t="s">
        <v>11</v>
      </c>
      <c r="C3679" s="62" t="n">
        <f aca="false">C3669+C3670+C3671+C3678</f>
        <v>307380</v>
      </c>
      <c r="D3679" s="62" t="n">
        <f aca="false">D3669+D3670+D3671+D3678</f>
        <v>1929195</v>
      </c>
      <c r="E3679" s="62" t="n">
        <f aca="false">E3669+E3670+E3671+E3678</f>
        <v>4300755</v>
      </c>
      <c r="F3679" s="62" t="n">
        <f aca="false">F3669+F3670+F3671+F3678</f>
        <v>7352745</v>
      </c>
      <c r="G3679" s="62" t="n">
        <f aca="false">G3669+G3670+G3671+G3678</f>
        <v>11142350</v>
      </c>
      <c r="H3679" s="2" t="s">
        <v>1277</v>
      </c>
    </row>
    <row r="3680" customFormat="false" ht="15" hidden="false" customHeight="false" outlineLevel="1" collapsed="false">
      <c r="A3680" s="7" t="s">
        <v>622</v>
      </c>
      <c r="B3680" s="8" t="s">
        <v>11</v>
      </c>
      <c r="C3680" s="61" t="n">
        <f aca="false">C3679-C3678-C3668</f>
        <v>307380</v>
      </c>
      <c r="D3680" s="61" t="n">
        <f aca="false">D3679-D3678-D3668</f>
        <v>1929195</v>
      </c>
      <c r="E3680" s="61" t="n">
        <f aca="false">E3679-E3678-E3668</f>
        <v>4300755</v>
      </c>
      <c r="F3680" s="61" t="n">
        <f aca="false">F3679-F3678-F3668</f>
        <v>7352745</v>
      </c>
      <c r="G3680" s="61" t="n">
        <f aca="false">G3679-G3678-G3668</f>
        <v>11142350</v>
      </c>
      <c r="H3680" s="2" t="s">
        <v>1278</v>
      </c>
    </row>
    <row r="3681" customFormat="false" ht="15" hidden="false" customHeight="false" outlineLevel="1" collapsed="false">
      <c r="A3681" s="7" t="s">
        <v>623</v>
      </c>
      <c r="B3681" s="8" t="s">
        <v>11</v>
      </c>
      <c r="C3681" s="61" t="n">
        <f aca="false">C3575*1000*(C3593+C3596)+C3576*1000*(C3616+C3619)+C3578*1000*(C3639+C3642)+C3588*1000*Pressupostos!$C$92</f>
        <v>243800</v>
      </c>
      <c r="D3681" s="61" t="n">
        <f aca="false">D3575*1000*(D3593+D3596)+D3576*1000*(D3616+D3619)+D3578*1000*(D3639+D3642)+D3588*1000*Pressupostos!$C$92</f>
        <v>1623700</v>
      </c>
      <c r="E3681" s="61" t="n">
        <f aca="false">E3575*1000*(E3593+E3596)+E3576*1000*(E3616+E3619)+E3578*1000*(E3639+E3642)+E3588*1000*Pressupostos!$C$92</f>
        <v>3665800</v>
      </c>
      <c r="F3681" s="61" t="n">
        <f aca="false">F3575*1000*(F3593+F3596)+F3576*1000*(F3616+F3619)+F3578*1000*(F3639+F3642)+F3588*1000*Pressupostos!$C$92</f>
        <v>6319200</v>
      </c>
      <c r="G3681" s="61" t="n">
        <f aca="false">G3575*1000*(G3593+G3596)+G3576*1000*(G3616+G3619)+G3578*1000*(G3639+G3642)+G3588*1000*Pressupostos!$C$92</f>
        <v>9651000</v>
      </c>
      <c r="H3681" s="2" t="s">
        <v>1279</v>
      </c>
    </row>
    <row r="3682" customFormat="false" ht="15" hidden="false" customHeight="false" outlineLevel="1" collapsed="false">
      <c r="A3682" s="7" t="s">
        <v>624</v>
      </c>
      <c r="B3682" s="8" t="s">
        <v>11</v>
      </c>
      <c r="C3682" s="61" t="n">
        <f aca="false">C3681*Pressupostos!$C$282</f>
        <v>0</v>
      </c>
      <c r="D3682" s="61" t="n">
        <f aca="false">D3681*Pressupostos!$D$282</f>
        <v>1461330</v>
      </c>
      <c r="E3682" s="61" t="n">
        <f aca="false">E3681*Pressupostos!$E$282</f>
        <v>3299220</v>
      </c>
      <c r="F3682" s="61" t="n">
        <f aca="false">F3681*Pressupostos!$F$282</f>
        <v>5687280</v>
      </c>
      <c r="G3682" s="61" t="n">
        <f aca="false">G3681*Pressupostos!$G$282</f>
        <v>8685900</v>
      </c>
      <c r="H3682" s="2" t="s">
        <v>1280</v>
      </c>
    </row>
    <row r="3683" customFormat="false" ht="15" hidden="false" customHeight="false" outlineLevel="0" collapsed="false">
      <c r="A3683" s="3" t="s">
        <v>1281</v>
      </c>
      <c r="B3683" s="4"/>
      <c r="C3683" s="4"/>
      <c r="D3683" s="4"/>
      <c r="E3683" s="4"/>
      <c r="F3683" s="4"/>
      <c r="G3683" s="4"/>
      <c r="H3683" s="4"/>
    </row>
    <row r="3684" customFormat="false" ht="15" hidden="false" customHeight="false" outlineLevel="1" collapsed="false">
      <c r="A3684" s="7" t="s">
        <v>626</v>
      </c>
      <c r="B3684" s="8" t="s">
        <v>11</v>
      </c>
      <c r="C3684" s="61" t="n">
        <f aca="false">C3575*1000*C3612</f>
        <v>2727.51452054796</v>
      </c>
      <c r="D3684" s="61" t="n">
        <f aca="false">D3575*1000*D3612</f>
        <v>3859.24952054804</v>
      </c>
      <c r="E3684" s="61" t="n">
        <f aca="false">E3575*1000*E3612</f>
        <v>44042.5309589042</v>
      </c>
      <c r="F3684" s="61" t="n">
        <f aca="false">F3575*1000*F3612</f>
        <v>91086.2087671237</v>
      </c>
      <c r="G3684" s="61" t="n">
        <f aca="false">G3575*1000*G3612</f>
        <v>139870.208219179</v>
      </c>
      <c r="H3684" s="2" t="s">
        <v>1282</v>
      </c>
    </row>
    <row r="3685" customFormat="false" ht="15" hidden="false" customHeight="false" outlineLevel="1" collapsed="false">
      <c r="A3685" s="7" t="s">
        <v>627</v>
      </c>
      <c r="B3685" s="8" t="s">
        <v>11</v>
      </c>
      <c r="C3685" s="61" t="n">
        <f aca="false">C3576*1000*C3635</f>
        <v>5010.62739726033</v>
      </c>
      <c r="D3685" s="61" t="n">
        <f aca="false">D3576*1000*D3635</f>
        <v>14587.2544520552</v>
      </c>
      <c r="E3685" s="61" t="n">
        <f aca="false">E3576*1000*E3635</f>
        <v>35982.8414383568</v>
      </c>
      <c r="F3685" s="61" t="n">
        <f aca="false">F3576*1000*F3635</f>
        <v>59369.1791095901</v>
      </c>
      <c r="G3685" s="61" t="n">
        <f aca="false">G3576*1000*G3635</f>
        <v>89831.6404109605</v>
      </c>
      <c r="H3685" s="2" t="s">
        <v>1283</v>
      </c>
    </row>
    <row r="3686" customFormat="false" ht="15" hidden="false" customHeight="false" outlineLevel="1" collapsed="false">
      <c r="A3686" s="7" t="s">
        <v>628</v>
      </c>
      <c r="B3686" s="8" t="s">
        <v>11</v>
      </c>
      <c r="C3686" s="61" t="n">
        <f aca="false">C3578*1000*C3658+C3579*1000*C3664</f>
        <v>0</v>
      </c>
      <c r="D3686" s="61" t="n">
        <f aca="false">D3578*1000*D3658+D3579*1000*D3664</f>
        <v>0</v>
      </c>
      <c r="E3686" s="61" t="n">
        <f aca="false">E3578*1000*E3658+E3579*1000*E3664</f>
        <v>0</v>
      </c>
      <c r="F3686" s="61" t="n">
        <f aca="false">F3578*1000*F3658+F3579*1000*F3664</f>
        <v>0</v>
      </c>
      <c r="G3686" s="61" t="n">
        <f aca="false">G3578*1000*G3658+G3579*1000*G3664</f>
        <v>0</v>
      </c>
      <c r="H3686" s="2" t="s">
        <v>1284</v>
      </c>
    </row>
    <row r="3687" customFormat="false" ht="15" hidden="false" customHeight="false" outlineLevel="1" collapsed="false">
      <c r="A3687" s="7" t="s">
        <v>629</v>
      </c>
      <c r="B3687" s="8" t="s">
        <v>11</v>
      </c>
      <c r="C3687" s="61" t="n">
        <f aca="false">C3684+C3685+C3686</f>
        <v>7738.14191780829</v>
      </c>
      <c r="D3687" s="61" t="n">
        <f aca="false">D3684+D3685+D3686</f>
        <v>18446.5039726032</v>
      </c>
      <c r="E3687" s="61" t="n">
        <f aca="false">E3684+E3685+E3686</f>
        <v>80025.372397261</v>
      </c>
      <c r="F3687" s="61" t="n">
        <f aca="false">F3684+F3685+F3686</f>
        <v>150455.387876714</v>
      </c>
      <c r="G3687" s="61" t="n">
        <f aca="false">G3684+G3685+G3686</f>
        <v>229701.848630139</v>
      </c>
      <c r="H3687" s="2" t="s">
        <v>1285</v>
      </c>
    </row>
    <row r="3688" customFormat="false" ht="15" hidden="false" customHeight="false" outlineLevel="1" collapsed="false">
      <c r="A3688" s="7" t="s">
        <v>630</v>
      </c>
      <c r="B3688" s="8" t="s">
        <v>64</v>
      </c>
      <c r="C3688" s="63" t="n">
        <f aca="false">IF(C3580&gt;0,C3687/(C3580*1000),0)</f>
        <v>0.128969031963471</v>
      </c>
      <c r="D3688" s="63" t="n">
        <f aca="false">IF(D3580&gt;0,D3687/(D3580*1000),0)</f>
        <v>0.0461162599315081</v>
      </c>
      <c r="E3688" s="63" t="n">
        <f aca="false">IF(E3580&gt;0,E3687/(E3580*1000),0)</f>
        <v>0.0941474969379542</v>
      </c>
      <c r="F3688" s="63" t="n">
        <f aca="false">IF(F3580&gt;0,F3687/(F3580*1000),0)</f>
        <v>0.103762336466699</v>
      </c>
      <c r="G3688" s="63" t="n">
        <f aca="false">IF(G3580&gt;0,G3687/(G3580*1000),0)</f>
        <v>0.104409931195518</v>
      </c>
      <c r="H3688" s="2" t="s">
        <v>1286</v>
      </c>
    </row>
    <row r="3689" customFormat="false" ht="15" hidden="false" customHeight="false" outlineLevel="1" collapsed="false">
      <c r="A3689" s="7" t="s">
        <v>631</v>
      </c>
      <c r="B3689" s="8" t="s">
        <v>76</v>
      </c>
      <c r="C3689" s="59" t="n">
        <f aca="false">IF(C3669&gt;0,C3687/C3669,0)</f>
        <v>0.0289948363227229</v>
      </c>
      <c r="D3689" s="59" t="n">
        <f aca="false">IF(D3669&gt;0,D3687/D3669,0)</f>
        <v>0.0104382957017212</v>
      </c>
      <c r="E3689" s="59" t="n">
        <f aca="false">IF(E3669&gt;0,E3687/E3669,0)</f>
        <v>0.0210856378286205</v>
      </c>
      <c r="F3689" s="59" t="n">
        <f aca="false">IF(F3669&gt;0,F3687/F3669,0)</f>
        <v>0.023133654206417</v>
      </c>
      <c r="G3689" s="59" t="n">
        <f aca="false">IF(G3669&gt;0,G3687/G3669,0)</f>
        <v>0.0232695475927952</v>
      </c>
      <c r="H3689" s="2" t="s">
        <v>1287</v>
      </c>
    </row>
    <row r="3690" customFormat="false" ht="15" hidden="false" customHeight="false" outlineLevel="1" collapsed="false">
      <c r="A3690" s="2" t="s">
        <v>632</v>
      </c>
      <c r="B3690" s="8" t="s">
        <v>64</v>
      </c>
      <c r="C3690" s="63" t="n">
        <f aca="false">(Pressupostos!$C$198)*Pressupostos!$C$92*(Pressupostos!$C$95+Pressupostos!$C$96-Pressupostos!$C$97)/365*Pressupostos!$C$282/Pressupostos!$D$31</f>
        <v>0</v>
      </c>
      <c r="D3690" s="63" t="n">
        <f aca="false">(Pressupostos!$C$198)*Pressupostos!$C$92*(Pressupostos!$C$95+Pressupostos!$C$96-Pressupostos!$C$97)/365*Pressupostos!$D$282/Pressupostos!$D$31</f>
        <v>0.0970890410958904</v>
      </c>
      <c r="E3690" s="63" t="n">
        <f aca="false">(Pressupostos!$C$198)*Pressupostos!$C$92*(Pressupostos!$C$95+Pressupostos!$C$96-Pressupostos!$C$97)/365*Pressupostos!$E$282/Pressupostos!$D$31</f>
        <v>0.0970890410958904</v>
      </c>
      <c r="F3690" s="63" t="n">
        <f aca="false">(Pressupostos!$C$198)*Pressupostos!$C$92*(Pressupostos!$C$95+Pressupostos!$C$96-Pressupostos!$C$97)/365*Pressupostos!$F$282/Pressupostos!$D$31</f>
        <v>0.0970890410958904</v>
      </c>
      <c r="G3690" s="63" t="n">
        <f aca="false">(Pressupostos!$C$198)*Pressupostos!$C$92*(Pressupostos!$C$95+Pressupostos!$C$96-Pressupostos!$C$97)/365*Pressupostos!$G$282/Pressupostos!$D$31</f>
        <v>0.0970890410958904</v>
      </c>
      <c r="H3690" s="2" t="s">
        <v>1288</v>
      </c>
    </row>
    <row r="3691" customFormat="false" ht="15" hidden="false" customHeight="false" outlineLevel="1" collapsed="false">
      <c r="A3691" s="7" t="s">
        <v>600</v>
      </c>
      <c r="B3691" s="8" t="s">
        <v>11</v>
      </c>
      <c r="C3691" s="61" t="n">
        <f aca="false">C3588*1000*(Pressupostos!$C$93-Pressupostos!$C$92-Pressupostos!$C$94-C3690-Pressupostos!$C$98*Pressupostos!$C$93-Pressupostos!$C$99-Pressupostos!$D$29*Pressupostos!$C$92)</f>
        <v>0</v>
      </c>
      <c r="D3691" s="61" t="n">
        <f aca="false">D3588*1000*(Pressupostos!$C$93-Pressupostos!$C$92-Pressupostos!$C$94-D3690-Pressupostos!$C$98*Pressupostos!$C$93-Pressupostos!$C$99-Pressupostos!$D$29*Pressupostos!$C$92)</f>
        <v>0</v>
      </c>
      <c r="E3691" s="61" t="n">
        <f aca="false">E3588*1000*(Pressupostos!$C$93-Pressupostos!$C$92-Pressupostos!$C$94-E3690-Pressupostos!$C$98*Pressupostos!$C$93-Pressupostos!$C$99-Pressupostos!$D$29*Pressupostos!$C$92)</f>
        <v>15774.3287671233</v>
      </c>
      <c r="F3691" s="61" t="n">
        <f aca="false">F3588*1000*(Pressupostos!$C$93-Pressupostos!$C$92-Pressupostos!$C$94-F3690-Pressupostos!$C$98*Pressupostos!$C$93-Pressupostos!$C$99-Pressupostos!$D$29*Pressupostos!$C$92)</f>
        <v>31548.6575342465</v>
      </c>
      <c r="G3691" s="61" t="n">
        <f aca="false">G3588*1000*(Pressupostos!$C$93-Pressupostos!$C$92-Pressupostos!$C$94-G3690-Pressupostos!$C$98*Pressupostos!$C$93-Pressupostos!$C$99-Pressupostos!$D$29*Pressupostos!$C$92)</f>
        <v>52581.0958904109</v>
      </c>
      <c r="H3691" s="2" t="s">
        <v>1289</v>
      </c>
    </row>
    <row r="3692" customFormat="false" ht="15" hidden="false" customHeight="false" outlineLevel="1" collapsed="false">
      <c r="A3692" s="7" t="s">
        <v>633</v>
      </c>
      <c r="B3692" s="8" t="s">
        <v>11</v>
      </c>
      <c r="C3692" s="61" t="n">
        <f aca="false">C3672</f>
        <v>810</v>
      </c>
      <c r="D3692" s="61" t="n">
        <f aca="false">D3672</f>
        <v>3240</v>
      </c>
      <c r="E3692" s="61" t="n">
        <f aca="false">E3672</f>
        <v>5400</v>
      </c>
      <c r="F3692" s="61" t="n">
        <f aca="false">F3672</f>
        <v>7560</v>
      </c>
      <c r="G3692" s="61" t="n">
        <f aca="false">G3672</f>
        <v>9720</v>
      </c>
      <c r="H3692" s="2" t="s">
        <v>1290</v>
      </c>
    </row>
    <row r="3693" customFormat="false" ht="15" hidden="false" customHeight="false" outlineLevel="1" collapsed="false">
      <c r="A3693" s="7" t="s">
        <v>634</v>
      </c>
      <c r="B3693" s="8" t="s">
        <v>11</v>
      </c>
      <c r="C3693" s="61" t="n">
        <f aca="false">C3674-C3708</f>
        <v>0</v>
      </c>
      <c r="D3693" s="61" t="n">
        <f aca="false">D3674-D3708</f>
        <v>1771.42857142857</v>
      </c>
      <c r="E3693" s="61" t="n">
        <f aca="false">E3674-E3708</f>
        <v>5314.28571428572</v>
      </c>
      <c r="F3693" s="61" t="n">
        <f aca="false">F3674-F3708</f>
        <v>10628.5714285714</v>
      </c>
      <c r="G3693" s="61" t="n">
        <f aca="false">G3674-G3708</f>
        <v>17714.2857142857</v>
      </c>
      <c r="H3693" s="2" t="s">
        <v>1291</v>
      </c>
    </row>
    <row r="3694" customFormat="false" ht="15" hidden="false" customHeight="false" outlineLevel="1" collapsed="false">
      <c r="A3694" s="7" t="s">
        <v>617</v>
      </c>
      <c r="B3694" s="8" t="s">
        <v>11</v>
      </c>
      <c r="C3694" s="61" t="n">
        <f aca="false">C3675</f>
        <v>0</v>
      </c>
      <c r="D3694" s="61" t="n">
        <f aca="false">D3675</f>
        <v>0</v>
      </c>
      <c r="E3694" s="61" t="n">
        <f aca="false">E3675</f>
        <v>0</v>
      </c>
      <c r="F3694" s="61" t="n">
        <f aca="false">F3675</f>
        <v>10000</v>
      </c>
      <c r="G3694" s="61" t="n">
        <f aca="false">G3675</f>
        <v>30000</v>
      </c>
      <c r="H3694" s="2" t="s">
        <v>1292</v>
      </c>
    </row>
    <row r="3695" customFormat="false" ht="15" hidden="false" customHeight="false" outlineLevel="1" collapsed="false">
      <c r="A3695" s="56" t="s">
        <v>635</v>
      </c>
      <c r="B3695" s="57" t="s">
        <v>11</v>
      </c>
      <c r="C3695" s="62" t="n">
        <f aca="false">C3687+C3691+C3692+C3693+C3694</f>
        <v>8548.14191780829</v>
      </c>
      <c r="D3695" s="62" t="n">
        <f aca="false">D3687+D3691+D3692+D3693+D3694</f>
        <v>23457.9325440318</v>
      </c>
      <c r="E3695" s="62" t="n">
        <f aca="false">E3687+E3691+E3692+E3693+E3694</f>
        <v>106513.98687867</v>
      </c>
      <c r="F3695" s="62" t="n">
        <f aca="false">F3687+F3691+F3692+F3693+F3694</f>
        <v>210192.616839532</v>
      </c>
      <c r="G3695" s="62" t="n">
        <f aca="false">G3687+G3691+G3692+G3693+G3694</f>
        <v>339717.230234836</v>
      </c>
      <c r="H3695" s="2" t="s">
        <v>1293</v>
      </c>
    </row>
    <row r="3696" customFormat="false" ht="15" hidden="false" customHeight="false" outlineLevel="0" collapsed="false">
      <c r="A3696" s="3" t="s">
        <v>1294</v>
      </c>
      <c r="B3696" s="4"/>
      <c r="C3696" s="4"/>
      <c r="D3696" s="4"/>
      <c r="E3696" s="4"/>
      <c r="F3696" s="4"/>
      <c r="G3696" s="4"/>
      <c r="H3696" s="4"/>
    </row>
    <row r="3697" customFormat="false" ht="15" hidden="false" customHeight="false" outlineLevel="1" collapsed="false">
      <c r="A3697" s="7" t="s">
        <v>686</v>
      </c>
      <c r="B3697" s="8" t="s">
        <v>11</v>
      </c>
      <c r="C3697" s="61" t="n">
        <f aca="false">C3575*1000*(C3593+C3596)+C3576*1000*(C3616+C3619)+C3578*1000*(C3639+C3642)</f>
        <v>243800</v>
      </c>
      <c r="D3697" s="61" t="n">
        <f aca="false">D3575*1000*(D3593+D3596)+D3576*1000*(D3616+D3619)+D3578*1000*(D3639+D3642)</f>
        <v>1623700</v>
      </c>
      <c r="E3697" s="61" t="n">
        <f aca="false">E3575*1000*(E3593+E3596)+E3576*1000*(E3616+E3619)+E3578*1000*(E3639+E3642)</f>
        <v>3455800</v>
      </c>
      <c r="F3697" s="61" t="n">
        <f aca="false">F3575*1000*(F3593+F3596)+F3576*1000*(F3616+F3619)+F3578*1000*(F3639+F3642)</f>
        <v>5899200</v>
      </c>
      <c r="G3697" s="61" t="n">
        <f aca="false">G3575*1000*(G3593+G3596)+G3576*1000*(G3616+G3619)+G3578*1000*(G3639+G3642)</f>
        <v>8951000</v>
      </c>
      <c r="H3697" s="2" t="s">
        <v>1295</v>
      </c>
    </row>
    <row r="3698" customFormat="false" ht="15" hidden="false" customHeight="false" outlineLevel="1" collapsed="false">
      <c r="A3698" s="7" t="s">
        <v>687</v>
      </c>
      <c r="B3698" s="8" t="s">
        <v>11</v>
      </c>
      <c r="C3698" s="61" t="n">
        <f aca="false">C3588*1000*Pressupostos!$C$92</f>
        <v>0</v>
      </c>
      <c r="D3698" s="61" t="n">
        <f aca="false">D3588*1000*Pressupostos!$C$92</f>
        <v>0</v>
      </c>
      <c r="E3698" s="61" t="n">
        <f aca="false">E3588*1000*Pressupostos!$C$92</f>
        <v>210000</v>
      </c>
      <c r="F3698" s="61" t="n">
        <f aca="false">F3588*1000*Pressupostos!$C$92</f>
        <v>420000</v>
      </c>
      <c r="G3698" s="61" t="n">
        <f aca="false">G3588*1000*Pressupostos!$C$92</f>
        <v>700000</v>
      </c>
      <c r="H3698" s="2" t="s">
        <v>1296</v>
      </c>
    </row>
    <row r="3699" customFormat="false" ht="15" hidden="false" customHeight="false" outlineLevel="1" collapsed="false">
      <c r="A3699" s="7" t="s">
        <v>688</v>
      </c>
      <c r="B3699" s="8" t="s">
        <v>11</v>
      </c>
      <c r="C3699" s="61" t="n">
        <f aca="false">C3697+C3698</f>
        <v>243800</v>
      </c>
      <c r="D3699" s="61" t="n">
        <f aca="false">D3697+D3698</f>
        <v>1623700</v>
      </c>
      <c r="E3699" s="61" t="n">
        <f aca="false">E3697+E3698</f>
        <v>3665800</v>
      </c>
      <c r="F3699" s="61" t="n">
        <f aca="false">F3697+F3698</f>
        <v>6319200</v>
      </c>
      <c r="G3699" s="61" t="n">
        <f aca="false">G3697+G3698</f>
        <v>9651000</v>
      </c>
      <c r="H3699" s="2" t="s">
        <v>1297</v>
      </c>
    </row>
    <row r="3700" customFormat="false" ht="15" hidden="false" customHeight="false" outlineLevel="1" collapsed="false">
      <c r="A3700" s="7" t="s">
        <v>215</v>
      </c>
      <c r="B3700" s="8" t="s">
        <v>11</v>
      </c>
      <c r="C3700" s="61" t="n">
        <f aca="false">C3575*1000*(C3597)+C3576*1000*(C3620)+C3578*1000*(C3643)+C3588*1000*Pressupostos!$C$94</f>
        <v>7600</v>
      </c>
      <c r="D3700" s="61" t="n">
        <f aca="false">D3575*1000*(D3597)+D3576*1000*(D3620)+D3578*1000*(D3643)+D3588*1000*Pressupostos!$C$94</f>
        <v>47400</v>
      </c>
      <c r="E3700" s="61" t="n">
        <f aca="false">E3575*1000*(E3597)+E3576*1000*(E3620)+E3578*1000*(E3643)+E3588*1000*Pressupostos!$C$94</f>
        <v>106270</v>
      </c>
      <c r="F3700" s="61" t="n">
        <f aca="false">F3575*1000*(F3597)+F3576*1000*(F3620)+F3578*1000*(F3643)+F3588*1000*Pressupostos!$C$94</f>
        <v>187560</v>
      </c>
      <c r="G3700" s="61" t="n">
        <f aca="false">G3575*1000*(G3597)+G3576*1000*(G3620)+G3578*1000*(G3643)+G3588*1000*Pressupostos!$C$94</f>
        <v>286800</v>
      </c>
      <c r="H3700" s="2" t="s">
        <v>1298</v>
      </c>
    </row>
    <row r="3701" customFormat="false" ht="15" hidden="false" customHeight="false" outlineLevel="1" collapsed="false">
      <c r="A3701" s="7" t="s">
        <v>117</v>
      </c>
      <c r="B3701" s="8" t="s">
        <v>11</v>
      </c>
      <c r="C3701" s="61" t="n">
        <f aca="false">C3575*1000*(C3598)+C3576*1000*(C3621)+C3578*1000*(C3644)</f>
        <v>480</v>
      </c>
      <c r="D3701" s="61" t="n">
        <f aca="false">D3575*1000*(D3598)+D3576*1000*(D3621)+D3578*1000*(D3644)</f>
        <v>2220</v>
      </c>
      <c r="E3701" s="61" t="n">
        <f aca="false">E3575*1000*(E3598)+E3576*1000*(E3621)+E3578*1000*(E3644)</f>
        <v>7980</v>
      </c>
      <c r="F3701" s="61" t="n">
        <f aca="false">F3575*1000*(F3598)+F3576*1000*(F3621)+F3578*1000*(F3644)</f>
        <v>16020</v>
      </c>
      <c r="G3701" s="61" t="n">
        <f aca="false">G3575*1000*(G3598)+G3576*1000*(G3621)+G3578*1000*(G3644)</f>
        <v>24600</v>
      </c>
      <c r="H3701" s="2" t="s">
        <v>1299</v>
      </c>
    </row>
    <row r="3702" customFormat="false" ht="15" hidden="false" customHeight="false" outlineLevel="1" collapsed="false">
      <c r="A3702" s="7" t="s">
        <v>689</v>
      </c>
      <c r="B3702" s="8" t="s">
        <v>11</v>
      </c>
      <c r="C3702" s="61" t="n">
        <f aca="false">C3575*1000*(C3601+C3602)+C3576*1000*(C3624+C3625)+C3578*1000*(C3647+C3648)</f>
        <v>459.178082191781</v>
      </c>
      <c r="D3702" s="61" t="n">
        <f aca="false">D3575*1000*(D3601+D3602)+D3576*1000*(D3624+D3625)+D3578*1000*(D3647+D3648)</f>
        <v>2686.19178082192</v>
      </c>
      <c r="E3702" s="61" t="n">
        <f aca="false">E3575*1000*(E3601+E3602)+E3576*1000*(E3624+E3625)+E3578*1000*(E3647+E3648)</f>
        <v>4208.36712328767</v>
      </c>
      <c r="F3702" s="61" t="n">
        <f aca="false">F3575*1000*(F3601+F3602)+F3576*1000*(F3624+F3625)+F3578*1000*(F3647+F3648)</f>
        <v>7271.08493150685</v>
      </c>
      <c r="G3702" s="61" t="n">
        <f aca="false">G3575*1000*(G3601+G3602)+G3576*1000*(G3624+G3625)+G3578*1000*(G3647+G3648)</f>
        <v>11043.2328767123</v>
      </c>
      <c r="H3702" s="2" t="s">
        <v>1300</v>
      </c>
    </row>
    <row r="3703" customFormat="false" ht="15" hidden="false" customHeight="false" outlineLevel="1" collapsed="false">
      <c r="A3703" s="7" t="s">
        <v>690</v>
      </c>
      <c r="B3703" s="8" t="s">
        <v>11</v>
      </c>
      <c r="C3703" s="61" t="n">
        <f aca="false">C3575*1000*(C3603+C3604+C3605)+C3576*1000*(C3626+C3627+C3628)+C3578*1000*(C3649+C3650+C3651)</f>
        <v>2660</v>
      </c>
      <c r="D3703" s="61" t="n">
        <f aca="false">D3575*1000*(D3603+D3604+D3605)+D3576*1000*(D3626+D3627+D3628)+D3578*1000*(D3649+D3650+D3651)</f>
        <v>17325</v>
      </c>
      <c r="E3703" s="61" t="n">
        <f aca="false">E3575*1000*(E3603+E3604+E3605)+E3576*1000*(E3626+E3627+E3628)+E3578*1000*(E3649+E3650+E3651)</f>
        <v>36379.5</v>
      </c>
      <c r="F3703" s="61" t="n">
        <f aca="false">F3575*1000*(F3603+F3604+F3605)+F3576*1000*(F3626+F3627+F3628)+F3578*1000*(F3649+F3650+F3651)</f>
        <v>62520.5</v>
      </c>
      <c r="G3703" s="61" t="n">
        <f aca="false">G3575*1000*(G3603+G3604+G3605)+G3576*1000*(G3626+G3627+G3628)+G3578*1000*(G3649+G3650+G3651)</f>
        <v>94915</v>
      </c>
      <c r="H3703" s="2" t="s">
        <v>1301</v>
      </c>
    </row>
    <row r="3704" customFormat="false" ht="15" hidden="false" customHeight="false" outlineLevel="1" collapsed="false">
      <c r="A3704" s="7" t="s">
        <v>673</v>
      </c>
      <c r="B3704" s="8" t="s">
        <v>11</v>
      </c>
      <c r="C3704" s="61" t="n">
        <f aca="false">C3575*1000*(C3606)+C3576*1000*(C3629)+C3578*1000*(C3652)</f>
        <v>2880</v>
      </c>
      <c r="D3704" s="61" t="n">
        <f aca="false">D3575*1000*(D3606)+D3576*1000*(D3629)+D3578*1000*(D3652)</f>
        <v>18220</v>
      </c>
      <c r="E3704" s="61" t="n">
        <f aca="false">E3575*1000*(E3606)+E3576*1000*(E3629)+E3578*1000*(E3652)</f>
        <v>41980</v>
      </c>
      <c r="F3704" s="61" t="n">
        <f aca="false">F3575*1000*(F3606)+F3576*1000*(F3629)+F3578*1000*(F3652)</f>
        <v>74020</v>
      </c>
      <c r="G3704" s="61" t="n">
        <f aca="false">G3575*1000*(G3606)+G3576*1000*(G3629)+G3578*1000*(G3652)</f>
        <v>112600</v>
      </c>
      <c r="H3704" s="2" t="s">
        <v>1302</v>
      </c>
    </row>
    <row r="3705" customFormat="false" ht="15" hidden="false" customHeight="false" outlineLevel="1" collapsed="false">
      <c r="A3705" s="7" t="s">
        <v>691</v>
      </c>
      <c r="B3705" s="8" t="s">
        <v>11</v>
      </c>
      <c r="C3705" s="61" t="n">
        <f aca="false">C3575*1000*(C3607)+C3576*1000*(C3630)+C3578*1000*(C3653)+C3588*1000*Pressupostos!$C$99</f>
        <v>340</v>
      </c>
      <c r="D3705" s="61" t="n">
        <f aca="false">D3575*1000*(D3607)+D3576*1000*(D3630)+D3578*1000*(D3653)+D3588*1000*Pressupostos!$C$99</f>
        <v>2185</v>
      </c>
      <c r="E3705" s="61" t="n">
        <f aca="false">E3575*1000*(E3607)+E3576*1000*(E3630)+E3578*1000*(E3653)+E3588*1000*Pressupostos!$C$99</f>
        <v>5815</v>
      </c>
      <c r="F3705" s="61" t="n">
        <f aca="false">F3575*1000*(F3607)+F3576*1000*(F3630)+F3578*1000*(F3653)+F3588*1000*Pressupostos!$C$99</f>
        <v>10385</v>
      </c>
      <c r="G3705" s="61" t="n">
        <f aca="false">G3575*1000*(G3607)+G3576*1000*(G3630)+G3578*1000*(G3653)+G3588*1000*Pressupostos!$C$99</f>
        <v>16050</v>
      </c>
      <c r="H3705" s="2" t="s">
        <v>1303</v>
      </c>
    </row>
    <row r="3706" customFormat="false" ht="15" hidden="false" customHeight="false" outlineLevel="1" collapsed="false">
      <c r="A3706" s="7" t="s">
        <v>81</v>
      </c>
      <c r="B3706" s="8" t="s">
        <v>11</v>
      </c>
      <c r="C3706" s="61" t="n">
        <f aca="false">C3575*1000*(C3608)+C3576*1000*(C3631)+C3578*1000*(C3654)+C3588*1000*Pressupostos!$C$98*Pressupostos!$C$93</f>
        <v>922.68</v>
      </c>
      <c r="D3706" s="61" t="n">
        <f aca="false">D3575*1000*(D3608)+D3576*1000*(D3631)+D3578*1000*(D3654)+D3588*1000*Pressupostos!$C$98*Pressupostos!$C$93</f>
        <v>5866.02</v>
      </c>
      <c r="E3706" s="61" t="n">
        <f aca="false">E3575*1000*(E3608)+E3576*1000*(E3631)+E3578*1000*(E3654)+E3588*1000*Pressupostos!$C$98*Pressupostos!$C$93</f>
        <v>14827.68</v>
      </c>
      <c r="F3706" s="61" t="n">
        <f aca="false">F3575*1000*(F3608)+F3576*1000*(F3631)+F3578*1000*(F3654)+F3588*1000*Pressupostos!$C$98*Pressupostos!$C$93</f>
        <v>26410.32</v>
      </c>
      <c r="G3706" s="61" t="n">
        <f aca="false">G3575*1000*(G3608)+G3576*1000*(G3631)+G3578*1000*(G3654)+G3588*1000*Pressupostos!$C$98*Pressupostos!$C$93</f>
        <v>40578.6</v>
      </c>
      <c r="H3706" s="2" t="s">
        <v>1304</v>
      </c>
    </row>
    <row r="3707" customFormat="false" ht="15" hidden="false" customHeight="false" outlineLevel="1" collapsed="false">
      <c r="A3707" s="7" t="s">
        <v>692</v>
      </c>
      <c r="B3707" s="8" t="s">
        <v>11</v>
      </c>
      <c r="C3707" s="61" t="n">
        <f aca="false">C3575*1000*(C3609)+C3576*1000*(C3632)+C3578*1000*(C3655)+C3588*1000*Pressupostos!$D$29*Pressupostos!$C$92</f>
        <v>0</v>
      </c>
      <c r="D3707" s="61" t="n">
        <f aca="false">D3575*1000*(D3609)+D3576*1000*(D3632)+D3578*1000*(D3655)+D3588*1000*Pressupostos!$D$29*Pressupostos!$C$92</f>
        <v>0</v>
      </c>
      <c r="E3707" s="61" t="n">
        <f aca="false">E3575*1000*(E3609)+E3576*1000*(E3632)+E3578*1000*(E3655)+E3588*1000*Pressupostos!$D$29*Pressupostos!$C$92</f>
        <v>0</v>
      </c>
      <c r="F3707" s="61" t="n">
        <f aca="false">F3575*1000*(F3609)+F3576*1000*(F3632)+F3578*1000*(F3655)+F3588*1000*Pressupostos!$D$29*Pressupostos!$C$92</f>
        <v>0</v>
      </c>
      <c r="G3707" s="61" t="n">
        <f aca="false">G3575*1000*(G3609)+G3576*1000*(G3632)+G3578*1000*(G3655)+G3588*1000*Pressupostos!$D$29*Pressupostos!$C$92</f>
        <v>0</v>
      </c>
      <c r="H3707" s="2" t="s">
        <v>1305</v>
      </c>
    </row>
    <row r="3708" customFormat="false" ht="15" hidden="false" customHeight="false" outlineLevel="1" collapsed="false">
      <c r="A3708" s="7" t="s">
        <v>693</v>
      </c>
      <c r="B3708" s="8" t="s">
        <v>11</v>
      </c>
      <c r="C3708" s="61" t="n">
        <f aca="false">C3591*1000*Pressupostos!$C$104*Pressupostos!$D$30</f>
        <v>0</v>
      </c>
      <c r="D3708" s="61" t="n">
        <f aca="false">D3591*1000*Pressupostos!$C$104*Pressupostos!$D$30</f>
        <v>8228.57142857143</v>
      </c>
      <c r="E3708" s="61" t="n">
        <f aca="false">E3591*1000*Pressupostos!$C$104*Pressupostos!$D$30</f>
        <v>24685.7142857143</v>
      </c>
      <c r="F3708" s="61" t="n">
        <f aca="false">F3591*1000*Pressupostos!$C$104*Pressupostos!$D$30</f>
        <v>49371.4285714286</v>
      </c>
      <c r="G3708" s="61" t="n">
        <f aca="false">G3591*1000*Pressupostos!$C$104*Pressupostos!$D$30</f>
        <v>82285.7142857143</v>
      </c>
      <c r="H3708" s="2" t="s">
        <v>1306</v>
      </c>
    </row>
    <row r="3709" customFormat="false" ht="15" hidden="false" customHeight="false" outlineLevel="1" collapsed="false">
      <c r="A3709" s="7" t="s">
        <v>694</v>
      </c>
      <c r="B3709" s="8" t="s">
        <v>11</v>
      </c>
      <c r="C3709" s="61" t="n">
        <f aca="false">C3579*1000*C3663</f>
        <v>0</v>
      </c>
      <c r="D3709" s="61" t="n">
        <f aca="false">D3579*1000*D3663</f>
        <v>0</v>
      </c>
      <c r="E3709" s="61" t="n">
        <f aca="false">E3579*1000*E3663</f>
        <v>0</v>
      </c>
      <c r="F3709" s="61" t="n">
        <f aca="false">F3579*1000*F3663</f>
        <v>0</v>
      </c>
      <c r="G3709" s="61" t="n">
        <f aca="false">G3579*1000*G3663</f>
        <v>0</v>
      </c>
      <c r="H3709" s="2" t="s">
        <v>1307</v>
      </c>
    </row>
    <row r="3710" customFormat="false" ht="15" hidden="false" customHeight="false" outlineLevel="1" collapsed="false">
      <c r="A3710" s="7" t="s">
        <v>695</v>
      </c>
      <c r="B3710" s="8" t="s">
        <v>11</v>
      </c>
      <c r="C3710" s="61" t="n">
        <f aca="false">C3700+C3701+C3702+C3703+C3704+C3705+C3706+C3707+C3708+C3709</f>
        <v>15341.8580821918</v>
      </c>
      <c r="D3710" s="61" t="n">
        <f aca="false">D3700+D3701+D3702+D3703+D3704+D3705+D3706+D3707+D3708+D3709</f>
        <v>104130.783209393</v>
      </c>
      <c r="E3710" s="61" t="n">
        <f aca="false">E3700+E3701+E3702+E3703+E3704+E3705+E3706+E3707+E3708+E3709</f>
        <v>242146.261409002</v>
      </c>
      <c r="F3710" s="61" t="n">
        <f aca="false">F3700+F3701+F3702+F3703+F3704+F3705+F3706+F3707+F3708+F3709</f>
        <v>433558.333502936</v>
      </c>
      <c r="G3710" s="61" t="n">
        <f aca="false">G3700+G3701+G3702+G3703+G3704+G3705+G3706+G3707+G3708+G3709</f>
        <v>668872.547162427</v>
      </c>
      <c r="H3710" s="2" t="s">
        <v>1308</v>
      </c>
    </row>
    <row r="3711" customFormat="false" ht="15" hidden="false" customHeight="false" outlineLevel="1" collapsed="false">
      <c r="A3711" s="7" t="s">
        <v>696</v>
      </c>
      <c r="B3711" s="8" t="s">
        <v>11</v>
      </c>
      <c r="C3711" s="61" t="n">
        <f aca="false">C3575*1000*(C3610)+C3576*1000*(C3633)+C3578*1000*(C3656)</f>
        <v>0</v>
      </c>
      <c r="D3711" s="61" t="n">
        <f aca="false">D3575*1000*(D3610)+D3576*1000*(D3633)+D3578*1000*(D3656)</f>
        <v>29146.2842465753</v>
      </c>
      <c r="E3711" s="61" t="n">
        <f aca="false">E3575*1000*(E3610)+E3576*1000*(E3633)+E3578*1000*(E3656)</f>
        <v>48782.0804794521</v>
      </c>
      <c r="F3711" s="61" t="n">
        <f aca="false">F3575*1000*(F3610)+F3576*1000*(F3633)+F3578*1000*(F3656)</f>
        <v>83528.7071917808</v>
      </c>
      <c r="G3711" s="61" t="n">
        <f aca="false">G3575*1000*(G3610)+G3576*1000*(G3633)+G3578*1000*(G3656)</f>
        <v>126771.318493151</v>
      </c>
      <c r="H3711" s="2" t="s">
        <v>1309</v>
      </c>
    </row>
    <row r="3712" customFormat="false" ht="15" hidden="false" customHeight="false" outlineLevel="1" collapsed="false">
      <c r="A3712" s="7" t="s">
        <v>697</v>
      </c>
      <c r="B3712" s="8" t="s">
        <v>11</v>
      </c>
      <c r="C3712" s="61" t="n">
        <f aca="false">C3588*1000*C3690</f>
        <v>0</v>
      </c>
      <c r="D3712" s="61" t="n">
        <f aca="false">D3588*1000*D3690</f>
        <v>0</v>
      </c>
      <c r="E3712" s="61" t="n">
        <f aca="false">E3588*1000*E3690</f>
        <v>2912.67123287671</v>
      </c>
      <c r="F3712" s="61" t="n">
        <f aca="false">F3588*1000*F3690</f>
        <v>5825.34246575342</v>
      </c>
      <c r="G3712" s="61" t="n">
        <f aca="false">G3588*1000*G3690</f>
        <v>9708.90410958904</v>
      </c>
      <c r="H3712" s="2" t="s">
        <v>1310</v>
      </c>
    </row>
    <row r="3713" customFormat="false" ht="15" hidden="false" customHeight="false" outlineLevel="1" collapsed="false">
      <c r="A3713" s="7" t="s">
        <v>698</v>
      </c>
      <c r="B3713" s="8" t="s">
        <v>11</v>
      </c>
      <c r="C3713" s="61" t="n">
        <f aca="false">C3711+C3712</f>
        <v>0</v>
      </c>
      <c r="D3713" s="61" t="n">
        <f aca="false">D3711+D3712</f>
        <v>29146.2842465753</v>
      </c>
      <c r="E3713" s="61" t="n">
        <f aca="false">E3711+E3712</f>
        <v>51694.7517123288</v>
      </c>
      <c r="F3713" s="61" t="n">
        <f aca="false">F3711+F3712</f>
        <v>89354.0496575342</v>
      </c>
      <c r="G3713" s="61" t="n">
        <f aca="false">G3711+G3712</f>
        <v>136480.22260274</v>
      </c>
      <c r="H3713" s="2" t="s">
        <v>1311</v>
      </c>
    </row>
    <row r="3714" customFormat="false" ht="15" hidden="false" customHeight="false" outlineLevel="1" collapsed="false">
      <c r="A3714" s="8" t="s">
        <v>699</v>
      </c>
      <c r="B3714" s="8" t="s">
        <v>11</v>
      </c>
      <c r="C3714" s="70" t="n">
        <f aca="false">ROUND(C3676-C3699-C3710-C3713-C3695,6)</f>
        <v>-0</v>
      </c>
      <c r="D3714" s="70" t="n">
        <f aca="false">ROUND(D3676-D3699-D3710-D3713-D3695,6)</f>
        <v>-0</v>
      </c>
      <c r="E3714" s="70" t="n">
        <f aca="false">ROUND(E3676-E3699-E3710-E3713-E3695,6)</f>
        <v>-0</v>
      </c>
      <c r="F3714" s="70" t="n">
        <f aca="false">ROUND(F3676-F3699-F3710-F3713-F3695,6)</f>
        <v>-0</v>
      </c>
      <c r="G3714" s="70" t="n">
        <f aca="false">ROUND(G3676-G3699-G3710-G3713-G3695,6)</f>
        <v>-0</v>
      </c>
      <c r="H3714" s="2" t="s">
        <v>1312</v>
      </c>
    </row>
    <row r="3715" customFormat="false" ht="15" hidden="false" customHeight="false" outlineLevel="0" collapsed="false">
      <c r="A3715" s="3" t="s">
        <v>1313</v>
      </c>
      <c r="B3715" s="4"/>
      <c r="C3715" s="4"/>
      <c r="D3715" s="4"/>
      <c r="E3715" s="4"/>
      <c r="F3715" s="4"/>
      <c r="G3715" s="4"/>
      <c r="H3715" s="4"/>
    </row>
    <row r="3716" customFormat="false" ht="15" hidden="false" customHeight="false" outlineLevel="1" collapsed="false">
      <c r="A3716" s="7" t="s">
        <v>638</v>
      </c>
      <c r="B3716" s="8" t="s">
        <v>432</v>
      </c>
      <c r="C3716" s="64" t="n">
        <f aca="false">Pressupostos!$C$332</f>
        <v>1</v>
      </c>
      <c r="D3716" s="64" t="n">
        <f aca="false">Pressupostos!$D$332</f>
        <v>1</v>
      </c>
      <c r="E3716" s="64" t="n">
        <f aca="false">Pressupostos!$E$332</f>
        <v>1</v>
      </c>
      <c r="F3716" s="64" t="n">
        <f aca="false">Pressupostos!$F$332</f>
        <v>1</v>
      </c>
      <c r="G3716" s="64" t="n">
        <f aca="false">Pressupostos!$G$332</f>
        <v>1</v>
      </c>
      <c r="H3716" s="2" t="s">
        <v>1314</v>
      </c>
    </row>
    <row r="3717" customFormat="false" ht="15" hidden="false" customHeight="false" outlineLevel="1" collapsed="false">
      <c r="A3717" s="7" t="s">
        <v>639</v>
      </c>
      <c r="B3717" s="8" t="s">
        <v>432</v>
      </c>
      <c r="C3717" s="64" t="n">
        <f aca="false">Pressupostos!$C$338</f>
        <v>1</v>
      </c>
      <c r="D3717" s="64" t="n">
        <f aca="false">Pressupostos!$D$338</f>
        <v>1</v>
      </c>
      <c r="E3717" s="64" t="n">
        <f aca="false">Pressupostos!$E$338</f>
        <v>1</v>
      </c>
      <c r="F3717" s="64" t="n">
        <f aca="false">Pressupostos!$F$338</f>
        <v>1</v>
      </c>
      <c r="G3717" s="64" t="n">
        <f aca="false">Pressupostos!$G$338</f>
        <v>1</v>
      </c>
      <c r="H3717" s="2" t="s">
        <v>1315</v>
      </c>
    </row>
    <row r="3718" customFormat="false" ht="15" hidden="false" customHeight="false" outlineLevel="1" collapsed="false">
      <c r="A3718" s="7" t="s">
        <v>640</v>
      </c>
      <c r="B3718" s="8" t="s">
        <v>432</v>
      </c>
      <c r="C3718" s="64" t="n">
        <f aca="false">Pressupostos!$C$344</f>
        <v>1</v>
      </c>
      <c r="D3718" s="64" t="n">
        <f aca="false">Pressupostos!$D$344</f>
        <v>1</v>
      </c>
      <c r="E3718" s="64" t="n">
        <f aca="false">Pressupostos!$E$344</f>
        <v>2</v>
      </c>
      <c r="F3718" s="64" t="n">
        <f aca="false">Pressupostos!$F$344</f>
        <v>2</v>
      </c>
      <c r="G3718" s="64" t="n">
        <f aca="false">Pressupostos!$G$344</f>
        <v>2</v>
      </c>
      <c r="H3718" s="2" t="s">
        <v>1316</v>
      </c>
    </row>
    <row r="3719" customFormat="false" ht="15" hidden="false" customHeight="false" outlineLevel="1" collapsed="false">
      <c r="A3719" s="7" t="s">
        <v>641</v>
      </c>
      <c r="B3719" s="8" t="s">
        <v>432</v>
      </c>
      <c r="C3719" s="64" t="n">
        <f aca="false">Pressupostos!$C$350</f>
        <v>1</v>
      </c>
      <c r="D3719" s="64" t="n">
        <f aca="false">Pressupostos!$D$350</f>
        <v>1</v>
      </c>
      <c r="E3719" s="64" t="n">
        <f aca="false">Pressupostos!$E$350</f>
        <v>1</v>
      </c>
      <c r="F3719" s="64" t="n">
        <f aca="false">Pressupostos!$F$350</f>
        <v>1</v>
      </c>
      <c r="G3719" s="64" t="n">
        <f aca="false">Pressupostos!$G$350</f>
        <v>1</v>
      </c>
      <c r="H3719" s="2" t="s">
        <v>1317</v>
      </c>
    </row>
    <row r="3720" customFormat="false" ht="15" hidden="false" customHeight="false" outlineLevel="1" collapsed="false">
      <c r="A3720" s="7" t="s">
        <v>642</v>
      </c>
      <c r="B3720" s="8" t="s">
        <v>432</v>
      </c>
      <c r="C3720" s="64" t="n">
        <f aca="false">Pressupostos!$C$356</f>
        <v>0.5</v>
      </c>
      <c r="D3720" s="64" t="n">
        <f aca="false">Pressupostos!$D$356</f>
        <v>1</v>
      </c>
      <c r="E3720" s="64" t="n">
        <f aca="false">Pressupostos!$E$356</f>
        <v>1</v>
      </c>
      <c r="F3720" s="64" t="n">
        <f aca="false">Pressupostos!$F$356</f>
        <v>1</v>
      </c>
      <c r="G3720" s="64" t="n">
        <f aca="false">Pressupostos!$G$356</f>
        <v>1</v>
      </c>
      <c r="H3720" s="2" t="s">
        <v>1318</v>
      </c>
    </row>
    <row r="3721" customFormat="false" ht="15" hidden="false" customHeight="false" outlineLevel="1" collapsed="false">
      <c r="A3721" s="7" t="s">
        <v>643</v>
      </c>
      <c r="B3721" s="8" t="s">
        <v>432</v>
      </c>
      <c r="C3721" s="64" t="n">
        <f aca="false">Pressupostos!$C$362</f>
        <v>1</v>
      </c>
      <c r="D3721" s="64" t="n">
        <f aca="false">Pressupostos!$D$362</f>
        <v>1</v>
      </c>
      <c r="E3721" s="64" t="n">
        <f aca="false">Pressupostos!$E$362</f>
        <v>1</v>
      </c>
      <c r="F3721" s="64" t="n">
        <f aca="false">Pressupostos!$F$362</f>
        <v>2</v>
      </c>
      <c r="G3721" s="64" t="n">
        <f aca="false">Pressupostos!$G$362</f>
        <v>2</v>
      </c>
      <c r="H3721" s="2" t="s">
        <v>1319</v>
      </c>
    </row>
    <row r="3722" customFormat="false" ht="15" hidden="false" customHeight="false" outlineLevel="1" collapsed="false">
      <c r="A3722" s="7" t="s">
        <v>644</v>
      </c>
      <c r="B3722" s="8" t="s">
        <v>432</v>
      </c>
      <c r="C3722" s="64" t="n">
        <f aca="false">Pressupostos!$C$368</f>
        <v>0.5</v>
      </c>
      <c r="D3722" s="64" t="n">
        <f aca="false">Pressupostos!$D$368</f>
        <v>1</v>
      </c>
      <c r="E3722" s="64" t="n">
        <f aca="false">Pressupostos!$E$368</f>
        <v>1</v>
      </c>
      <c r="F3722" s="64" t="n">
        <f aca="false">Pressupostos!$F$368</f>
        <v>1</v>
      </c>
      <c r="G3722" s="64" t="n">
        <f aca="false">Pressupostos!$G$368</f>
        <v>1</v>
      </c>
      <c r="H3722" s="2" t="s">
        <v>1320</v>
      </c>
    </row>
    <row r="3723" customFormat="false" ht="15" hidden="false" customHeight="false" outlineLevel="1" collapsed="false">
      <c r="A3723" s="7" t="s">
        <v>645</v>
      </c>
      <c r="B3723" s="8" t="s">
        <v>432</v>
      </c>
      <c r="C3723" s="64" t="n">
        <f aca="false">Pressupostos!$C$374</f>
        <v>1</v>
      </c>
      <c r="D3723" s="64" t="n">
        <f aca="false">Pressupostos!$D$374</f>
        <v>1</v>
      </c>
      <c r="E3723" s="64" t="n">
        <f aca="false">Pressupostos!$E$374</f>
        <v>2</v>
      </c>
      <c r="F3723" s="64" t="n">
        <f aca="false">Pressupostos!$F$374</f>
        <v>3</v>
      </c>
      <c r="G3723" s="64" t="n">
        <f aca="false">Pressupostos!$G$374</f>
        <v>5</v>
      </c>
      <c r="H3723" s="2" t="s">
        <v>1321</v>
      </c>
    </row>
    <row r="3724" customFormat="false" ht="15" hidden="false" customHeight="false" outlineLevel="1" collapsed="false">
      <c r="A3724" s="7" t="s">
        <v>646</v>
      </c>
      <c r="B3724" s="8" t="s">
        <v>432</v>
      </c>
      <c r="C3724" s="64" t="n">
        <f aca="false">Pressupostos!$C$380</f>
        <v>0</v>
      </c>
      <c r="D3724" s="64" t="n">
        <f aca="false">Pressupostos!$D$380</f>
        <v>0</v>
      </c>
      <c r="E3724" s="64" t="n">
        <f aca="false">Pressupostos!$E$380</f>
        <v>0</v>
      </c>
      <c r="F3724" s="64" t="n">
        <f aca="false">Pressupostos!$F$380</f>
        <v>1</v>
      </c>
      <c r="G3724" s="64" t="n">
        <f aca="false">Pressupostos!$G$380</f>
        <v>1</v>
      </c>
      <c r="H3724" s="2" t="s">
        <v>1322</v>
      </c>
    </row>
    <row r="3725" customFormat="false" ht="15" hidden="false" customHeight="false" outlineLevel="1" collapsed="false">
      <c r="A3725" s="7" t="s">
        <v>647</v>
      </c>
      <c r="B3725" s="8" t="s">
        <v>432</v>
      </c>
      <c r="C3725" s="64" t="n">
        <f aca="false">Pressupostos!$C$386</f>
        <v>0</v>
      </c>
      <c r="D3725" s="64" t="n">
        <f aca="false">Pressupostos!$D$386</f>
        <v>0</v>
      </c>
      <c r="E3725" s="64" t="n">
        <f aca="false">Pressupostos!$E$386</f>
        <v>0</v>
      </c>
      <c r="F3725" s="64" t="n">
        <f aca="false">Pressupostos!$F$386</f>
        <v>0</v>
      </c>
      <c r="G3725" s="64" t="n">
        <f aca="false">Pressupostos!$G$386</f>
        <v>1</v>
      </c>
      <c r="H3725" s="2" t="s">
        <v>1323</v>
      </c>
    </row>
    <row r="3726" customFormat="false" ht="15" hidden="false" customHeight="false" outlineLevel="1" collapsed="false">
      <c r="A3726" s="7" t="s">
        <v>648</v>
      </c>
      <c r="B3726" s="8" t="s">
        <v>432</v>
      </c>
      <c r="C3726" s="64" t="n">
        <f aca="false">Pressupostos!$C$392</f>
        <v>0</v>
      </c>
      <c r="D3726" s="64" t="n">
        <f aca="false">Pressupostos!$D$392</f>
        <v>0</v>
      </c>
      <c r="E3726" s="64" t="n">
        <f aca="false">Pressupostos!$E$392</f>
        <v>1</v>
      </c>
      <c r="F3726" s="64" t="n">
        <f aca="false">Pressupostos!$F$392</f>
        <v>1</v>
      </c>
      <c r="G3726" s="64" t="n">
        <f aca="false">Pressupostos!$G$392</f>
        <v>1</v>
      </c>
      <c r="H3726" s="2" t="s">
        <v>1324</v>
      </c>
    </row>
    <row r="3727" customFormat="false" ht="15" hidden="false" customHeight="false" outlineLevel="1" collapsed="false">
      <c r="A3727" s="7" t="s">
        <v>649</v>
      </c>
      <c r="B3727" s="8" t="s">
        <v>432</v>
      </c>
      <c r="C3727" s="64" t="n">
        <f aca="false">Pressupostos!$C$398</f>
        <v>0</v>
      </c>
      <c r="D3727" s="64" t="n">
        <f aca="false">Pressupostos!$D$398</f>
        <v>0</v>
      </c>
      <c r="E3727" s="64" t="n">
        <f aca="false">Pressupostos!$E$398</f>
        <v>0</v>
      </c>
      <c r="F3727" s="64" t="n">
        <f aca="false">Pressupostos!$F$398</f>
        <v>0</v>
      </c>
      <c r="G3727" s="64" t="n">
        <f aca="false">Pressupostos!$G$398</f>
        <v>0</v>
      </c>
      <c r="H3727" s="2" t="s">
        <v>1325</v>
      </c>
    </row>
    <row r="3728" customFormat="false" ht="15" hidden="false" customHeight="false" outlineLevel="1" collapsed="false">
      <c r="A3728" s="56" t="s">
        <v>650</v>
      </c>
      <c r="B3728" s="57" t="s">
        <v>432</v>
      </c>
      <c r="C3728" s="65" t="n">
        <f aca="false">C3716+C3717+C3718+C3719+C3720+C3721+C3722+C3723+C3724+C3725+C3726+C3727</f>
        <v>7</v>
      </c>
      <c r="D3728" s="65" t="n">
        <f aca="false">D3716+D3717+D3718+D3719+D3720+D3721+D3722+D3723+D3724+D3725+D3726+D3727</f>
        <v>8</v>
      </c>
      <c r="E3728" s="65" t="n">
        <f aca="false">E3716+E3717+E3718+E3719+E3720+E3721+E3722+E3723+E3724+E3725+E3726+E3727</f>
        <v>11</v>
      </c>
      <c r="F3728" s="65" t="n">
        <f aca="false">F3716+F3717+F3718+F3719+F3720+F3721+F3722+F3723+F3724+F3725+F3726+F3727</f>
        <v>14</v>
      </c>
      <c r="G3728" s="65" t="n">
        <f aca="false">G3716+G3717+G3718+G3719+G3720+G3721+G3722+G3723+G3724+G3725+G3726+G3727</f>
        <v>17</v>
      </c>
      <c r="H3728" s="2" t="s">
        <v>1326</v>
      </c>
    </row>
    <row r="3729" customFormat="false" ht="15" hidden="false" customHeight="false" outlineLevel="0" collapsed="false">
      <c r="A3729" s="3" t="s">
        <v>1327</v>
      </c>
      <c r="B3729" s="4"/>
      <c r="C3729" s="4"/>
      <c r="D3729" s="4"/>
      <c r="E3729" s="4"/>
      <c r="F3729" s="4"/>
      <c r="G3729" s="4"/>
      <c r="H3729" s="4"/>
    </row>
    <row r="3730" customFormat="false" ht="15" hidden="false" customHeight="false" outlineLevel="1" collapsed="false">
      <c r="A3730" s="7" t="s">
        <v>638</v>
      </c>
      <c r="B3730" s="8" t="s">
        <v>11</v>
      </c>
      <c r="C3730" s="61" t="n">
        <f aca="false">C3716*Pressupostos!$C$131*(1+Pressupostos!$C$127)^0*(1+Pressupostos!$C$132)*Pressupostos!$C$128</f>
        <v>43998</v>
      </c>
      <c r="D3730" s="61" t="n">
        <f aca="false">D3716*Pressupostos!$C$131*(1+Pressupostos!$C$127)^1*(1+Pressupostos!$C$132)</f>
        <v>61800</v>
      </c>
      <c r="E3730" s="61" t="n">
        <f aca="false">E3716*Pressupostos!$C$131*(1+Pressupostos!$C$127)^2*(1+Pressupostos!$C$132)</f>
        <v>63654</v>
      </c>
      <c r="F3730" s="61" t="n">
        <f aca="false">F3716*Pressupostos!$C$131*(1+Pressupostos!$C$127)^3*(1+Pressupostos!$C$132)</f>
        <v>65563.62</v>
      </c>
      <c r="G3730" s="61" t="n">
        <f aca="false">G3716*Pressupostos!$C$131*(1+Pressupostos!$C$127)^4*(1+Pressupostos!$C$132)</f>
        <v>67530.5286</v>
      </c>
      <c r="H3730" s="2" t="s">
        <v>1328</v>
      </c>
    </row>
    <row r="3731" customFormat="false" ht="15" hidden="false" customHeight="false" outlineLevel="1" collapsed="false">
      <c r="A3731" s="7" t="s">
        <v>639</v>
      </c>
      <c r="B3731" s="8" t="s">
        <v>11</v>
      </c>
      <c r="C3731" s="61" t="n">
        <f aca="false">C3717*Pressupostos!$C$133*(1+Pressupostos!$C$127)^0*(1+Pressupostos!$C$134)*Pressupostos!$C$128</f>
        <v>47664.5</v>
      </c>
      <c r="D3731" s="61" t="n">
        <f aca="false">D3717*Pressupostos!$C$133*(1+Pressupostos!$C$127)^1*(1+Pressupostos!$C$134)</f>
        <v>66950</v>
      </c>
      <c r="E3731" s="61" t="n">
        <f aca="false">E3717*Pressupostos!$C$133*(1+Pressupostos!$C$127)^2*(1+Pressupostos!$C$134)</f>
        <v>68958.5</v>
      </c>
      <c r="F3731" s="61" t="n">
        <f aca="false">F3717*Pressupostos!$C$133*(1+Pressupostos!$C$127)^3*(1+Pressupostos!$C$134)</f>
        <v>71027.255</v>
      </c>
      <c r="G3731" s="61" t="n">
        <f aca="false">G3717*Pressupostos!$C$133*(1+Pressupostos!$C$127)^4*(1+Pressupostos!$C$134)</f>
        <v>73158.07265</v>
      </c>
      <c r="H3731" s="2" t="s">
        <v>1329</v>
      </c>
    </row>
    <row r="3732" customFormat="false" ht="15" hidden="false" customHeight="false" outlineLevel="1" collapsed="false">
      <c r="A3732" s="7" t="s">
        <v>640</v>
      </c>
      <c r="B3732" s="8" t="s">
        <v>11</v>
      </c>
      <c r="C3732" s="61" t="n">
        <f aca="false">C3718*Pressupostos!$C$135*(1+Pressupostos!$C$127)^0*(1+Pressupostos!$C$136)</f>
        <v>45000</v>
      </c>
      <c r="D3732" s="61" t="n">
        <f aca="false">D3718*Pressupostos!$C$135*(1+Pressupostos!$C$127)^1*(1+Pressupostos!$C$136)</f>
        <v>46350</v>
      </c>
      <c r="E3732" s="61" t="n">
        <f aca="false">E3718*Pressupostos!$C$135*(1+Pressupostos!$C$127)^2*(1+Pressupostos!$C$136)</f>
        <v>95481</v>
      </c>
      <c r="F3732" s="61" t="n">
        <f aca="false">F3718*Pressupostos!$C$135*(1+Pressupostos!$C$127)^3*(1+Pressupostos!$C$136)</f>
        <v>98345.43</v>
      </c>
      <c r="G3732" s="61" t="n">
        <f aca="false">G3718*Pressupostos!$C$135*(1+Pressupostos!$C$127)^4*(1+Pressupostos!$C$136)</f>
        <v>101295.7929</v>
      </c>
      <c r="H3732" s="2" t="s">
        <v>1330</v>
      </c>
    </row>
    <row r="3733" customFormat="false" ht="15" hidden="false" customHeight="false" outlineLevel="1" collapsed="false">
      <c r="A3733" s="7" t="s">
        <v>641</v>
      </c>
      <c r="B3733" s="8" t="s">
        <v>11</v>
      </c>
      <c r="C3733" s="61" t="n">
        <f aca="false">C3719*Pressupostos!$C$137*(1+Pressupostos!$C$127)^0*(1+Pressupostos!$C$138)</f>
        <v>60000</v>
      </c>
      <c r="D3733" s="61" t="n">
        <f aca="false">D3719*Pressupostos!$C$137*(1+Pressupostos!$C$127)^1*(1+Pressupostos!$C$138)</f>
        <v>61800</v>
      </c>
      <c r="E3733" s="61" t="n">
        <f aca="false">E3719*Pressupostos!$C$137*(1+Pressupostos!$C$127)^2*(1+Pressupostos!$C$138)</f>
        <v>63654</v>
      </c>
      <c r="F3733" s="61" t="n">
        <f aca="false">F3719*Pressupostos!$C$137*(1+Pressupostos!$C$127)^3*(1+Pressupostos!$C$138)</f>
        <v>65563.62</v>
      </c>
      <c r="G3733" s="61" t="n">
        <f aca="false">G3719*Pressupostos!$C$137*(1+Pressupostos!$C$127)^4*(1+Pressupostos!$C$138)</f>
        <v>67530.5286</v>
      </c>
      <c r="H3733" s="2" t="s">
        <v>1331</v>
      </c>
    </row>
    <row r="3734" customFormat="false" ht="15" hidden="false" customHeight="false" outlineLevel="1" collapsed="false">
      <c r="A3734" s="7" t="s">
        <v>642</v>
      </c>
      <c r="B3734" s="8" t="s">
        <v>11</v>
      </c>
      <c r="C3734" s="61" t="n">
        <f aca="false">C3720*Pressupostos!$C$139*(1+Pressupostos!$C$127)^0*(1+Pressupostos!$C$140)</f>
        <v>22500</v>
      </c>
      <c r="D3734" s="61" t="n">
        <f aca="false">D3720*Pressupostos!$C$139*(1+Pressupostos!$C$127)^1*(1+Pressupostos!$C$140)</f>
        <v>46350</v>
      </c>
      <c r="E3734" s="61" t="n">
        <f aca="false">E3720*Pressupostos!$C$139*(1+Pressupostos!$C$127)^2*(1+Pressupostos!$C$140)</f>
        <v>47740.5</v>
      </c>
      <c r="F3734" s="61" t="n">
        <f aca="false">F3720*Pressupostos!$C$139*(1+Pressupostos!$C$127)^3*(1+Pressupostos!$C$140)</f>
        <v>49172.715</v>
      </c>
      <c r="G3734" s="61" t="n">
        <f aca="false">G3720*Pressupostos!$C$139*(1+Pressupostos!$C$127)^4*(1+Pressupostos!$C$140)</f>
        <v>50647.89645</v>
      </c>
      <c r="H3734" s="2" t="s">
        <v>1332</v>
      </c>
    </row>
    <row r="3735" customFormat="false" ht="15" hidden="false" customHeight="false" outlineLevel="1" collapsed="false">
      <c r="A3735" s="7" t="s">
        <v>643</v>
      </c>
      <c r="B3735" s="8" t="s">
        <v>11</v>
      </c>
      <c r="C3735" s="61" t="n">
        <f aca="false">C3721*Pressupostos!$C$141*(1+Pressupostos!$C$127)^0*(1+Pressupostos!$C$142)</f>
        <v>38000</v>
      </c>
      <c r="D3735" s="61" t="n">
        <f aca="false">D3721*Pressupostos!$C$141*(1+Pressupostos!$C$127)^1*(1+Pressupostos!$C$142)</f>
        <v>39140</v>
      </c>
      <c r="E3735" s="61" t="n">
        <f aca="false">E3721*Pressupostos!$C$141*(1+Pressupostos!$C$127)^2*(1+Pressupostos!$C$142)</f>
        <v>40314.2</v>
      </c>
      <c r="F3735" s="61" t="n">
        <f aca="false">F3721*Pressupostos!$C$141*(1+Pressupostos!$C$127)^3*(1+Pressupostos!$C$142)</f>
        <v>83047.252</v>
      </c>
      <c r="G3735" s="61" t="n">
        <f aca="false">G3721*Pressupostos!$C$141*(1+Pressupostos!$C$127)^4*(1+Pressupostos!$C$142)</f>
        <v>85538.66956</v>
      </c>
      <c r="H3735" s="2" t="s">
        <v>1333</v>
      </c>
    </row>
    <row r="3736" customFormat="false" ht="15" hidden="false" customHeight="false" outlineLevel="1" collapsed="false">
      <c r="A3736" s="7" t="s">
        <v>644</v>
      </c>
      <c r="B3736" s="8" t="s">
        <v>11</v>
      </c>
      <c r="C3736" s="61" t="n">
        <f aca="false">C3722*Pressupostos!$C$143*(1+Pressupostos!$C$127)^0*(1+Pressupostos!$C$144)</f>
        <v>16000</v>
      </c>
      <c r="D3736" s="61" t="n">
        <f aca="false">D3722*Pressupostos!$C$143*(1+Pressupostos!$C$127)^1*(1+Pressupostos!$C$144)</f>
        <v>32960</v>
      </c>
      <c r="E3736" s="61" t="n">
        <f aca="false">E3722*Pressupostos!$C$143*(1+Pressupostos!$C$127)^2*(1+Pressupostos!$C$144)</f>
        <v>33948.8</v>
      </c>
      <c r="F3736" s="61" t="n">
        <f aca="false">F3722*Pressupostos!$C$143*(1+Pressupostos!$C$127)^3*(1+Pressupostos!$C$144)</f>
        <v>34967.264</v>
      </c>
      <c r="G3736" s="61" t="n">
        <f aca="false">G3722*Pressupostos!$C$143*(1+Pressupostos!$C$127)^4*(1+Pressupostos!$C$144)</f>
        <v>36016.28192</v>
      </c>
      <c r="H3736" s="2" t="s">
        <v>1334</v>
      </c>
    </row>
    <row r="3737" customFormat="false" ht="15" hidden="false" customHeight="false" outlineLevel="1" collapsed="false">
      <c r="A3737" s="7" t="s">
        <v>645</v>
      </c>
      <c r="B3737" s="8" t="s">
        <v>11</v>
      </c>
      <c r="C3737" s="61" t="n">
        <f aca="false">C3723*Pressupostos!$C$145*(1+Pressupostos!$C$127)^0*(1+Pressupostos!$C$146)</f>
        <v>34500</v>
      </c>
      <c r="D3737" s="61" t="n">
        <f aca="false">D3723*Pressupostos!$C$145*(1+Pressupostos!$C$127)^1*(1+Pressupostos!$C$146)</f>
        <v>35535</v>
      </c>
      <c r="E3737" s="61" t="n">
        <f aca="false">E3723*Pressupostos!$C$145*(1+Pressupostos!$C$127)^2*(1+Pressupostos!$C$146)</f>
        <v>73202.1</v>
      </c>
      <c r="F3737" s="61" t="n">
        <f aca="false">F3723*Pressupostos!$C$145*(1+Pressupostos!$C$127)^3*(1+Pressupostos!$C$146)</f>
        <v>113097.2445</v>
      </c>
      <c r="G3737" s="61" t="n">
        <f aca="false">G3723*Pressupostos!$C$145*(1+Pressupostos!$C$127)^4*(1+Pressupostos!$C$146)</f>
        <v>194150.269725</v>
      </c>
      <c r="H3737" s="2" t="s">
        <v>1335</v>
      </c>
    </row>
    <row r="3738" customFormat="false" ht="15" hidden="false" customHeight="false" outlineLevel="1" collapsed="false">
      <c r="A3738" s="7" t="s">
        <v>646</v>
      </c>
      <c r="B3738" s="8" t="s">
        <v>11</v>
      </c>
      <c r="C3738" s="61" t="n">
        <f aca="false">C3724*Pressupostos!$C$147*(1+Pressupostos!$C$127)^0*(1+Pressupostos!$C$148)</f>
        <v>0</v>
      </c>
      <c r="D3738" s="61" t="n">
        <f aca="false">D3724*Pressupostos!$C$147*(1+Pressupostos!$C$127)^1*(1+Pressupostos!$C$148)</f>
        <v>0</v>
      </c>
      <c r="E3738" s="61" t="n">
        <f aca="false">E3724*Pressupostos!$C$147*(1+Pressupostos!$C$127)^2*(1+Pressupostos!$C$148)</f>
        <v>0</v>
      </c>
      <c r="F3738" s="61" t="n">
        <f aca="false">F3724*Pressupostos!$C$147*(1+Pressupostos!$C$127)^3*(1+Pressupostos!$C$148)</f>
        <v>49172.715</v>
      </c>
      <c r="G3738" s="61" t="n">
        <f aca="false">G3724*Pressupostos!$C$147*(1+Pressupostos!$C$127)^4*(1+Pressupostos!$C$148)</f>
        <v>50647.89645</v>
      </c>
      <c r="H3738" s="2" t="s">
        <v>1336</v>
      </c>
    </row>
    <row r="3739" customFormat="false" ht="15" hidden="false" customHeight="false" outlineLevel="1" collapsed="false">
      <c r="A3739" s="7" t="s">
        <v>647</v>
      </c>
      <c r="B3739" s="8" t="s">
        <v>11</v>
      </c>
      <c r="C3739" s="61" t="n">
        <f aca="false">C3725*Pressupostos!$C$149*(1+Pressupostos!$C$127)^0*(1+Pressupostos!$C$150)</f>
        <v>0</v>
      </c>
      <c r="D3739" s="61" t="n">
        <f aca="false">D3725*Pressupostos!$C$149*(1+Pressupostos!$C$127)^1*(1+Pressupostos!$C$150)</f>
        <v>0</v>
      </c>
      <c r="E3739" s="61" t="n">
        <f aca="false">E3725*Pressupostos!$C$149*(1+Pressupostos!$C$127)^2*(1+Pressupostos!$C$150)</f>
        <v>0</v>
      </c>
      <c r="F3739" s="61" t="n">
        <f aca="false">F3725*Pressupostos!$C$149*(1+Pressupostos!$C$127)^3*(1+Pressupostos!$C$150)</f>
        <v>0</v>
      </c>
      <c r="G3739" s="61" t="n">
        <f aca="false">G3725*Pressupostos!$C$149*(1+Pressupostos!$C$127)^4*(1+Pressupostos!$C$150)</f>
        <v>45020.3524</v>
      </c>
      <c r="H3739" s="2" t="s">
        <v>1337</v>
      </c>
    </row>
    <row r="3740" customFormat="false" ht="15" hidden="false" customHeight="false" outlineLevel="1" collapsed="false">
      <c r="A3740" s="7" t="s">
        <v>648</v>
      </c>
      <c r="B3740" s="8" t="s">
        <v>11</v>
      </c>
      <c r="C3740" s="61" t="n">
        <f aca="false">C3726*Pressupostos!$C$151*(1+Pressupostos!$C$127)^0*(1+Pressupostos!$C$152)</f>
        <v>0</v>
      </c>
      <c r="D3740" s="61" t="n">
        <f aca="false">D3726*Pressupostos!$C$151*(1+Pressupostos!$C$127)^1*(1+Pressupostos!$C$152)</f>
        <v>0</v>
      </c>
      <c r="E3740" s="61" t="n">
        <f aca="false">E3726*Pressupostos!$C$151*(1+Pressupostos!$C$127)^2*(1+Pressupostos!$C$152)</f>
        <v>25461.6</v>
      </c>
      <c r="F3740" s="61" t="n">
        <f aca="false">F3726*Pressupostos!$C$151*(1+Pressupostos!$C$127)^3*(1+Pressupostos!$C$152)</f>
        <v>26225.448</v>
      </c>
      <c r="G3740" s="61" t="n">
        <f aca="false">G3726*Pressupostos!$C$151*(1+Pressupostos!$C$127)^4*(1+Pressupostos!$C$152)</f>
        <v>27012.21144</v>
      </c>
      <c r="H3740" s="2" t="s">
        <v>1338</v>
      </c>
    </row>
    <row r="3741" customFormat="false" ht="15" hidden="false" customHeight="false" outlineLevel="1" collapsed="false">
      <c r="A3741" s="7" t="s">
        <v>649</v>
      </c>
      <c r="B3741" s="8" t="s">
        <v>11</v>
      </c>
      <c r="C3741" s="61" t="n">
        <f aca="false">C3727*Pressupostos!$C$153*(1+Pressupostos!$C$127)^0*(1+Pressupostos!$C$154)</f>
        <v>0</v>
      </c>
      <c r="D3741" s="61" t="n">
        <f aca="false">D3727*Pressupostos!$C$153*(1+Pressupostos!$C$127)^1*(1+Pressupostos!$C$154)</f>
        <v>0</v>
      </c>
      <c r="E3741" s="61" t="n">
        <f aca="false">E3727*Pressupostos!$C$153*(1+Pressupostos!$C$127)^2*(1+Pressupostos!$C$154)</f>
        <v>0</v>
      </c>
      <c r="F3741" s="61" t="n">
        <f aca="false">F3727*Pressupostos!$C$153*(1+Pressupostos!$C$127)^3*(1+Pressupostos!$C$154)</f>
        <v>0</v>
      </c>
      <c r="G3741" s="61" t="n">
        <f aca="false">G3727*Pressupostos!$C$153*(1+Pressupostos!$C$127)^4*(1+Pressupostos!$C$154)</f>
        <v>0</v>
      </c>
      <c r="H3741" s="2" t="s">
        <v>1339</v>
      </c>
    </row>
    <row r="3742" customFormat="false" ht="15" hidden="false" customHeight="false" outlineLevel="1" collapsed="false">
      <c r="A3742" s="7" t="s">
        <v>652</v>
      </c>
      <c r="B3742" s="8" t="s">
        <v>11</v>
      </c>
      <c r="C3742" s="61" t="n">
        <f aca="false">C3730+C3731+C3732+C3733+C3734+C3735+C3736+C3737+C3738+C3739+C3740+C3741</f>
        <v>307662.5</v>
      </c>
      <c r="D3742" s="61" t="n">
        <f aca="false">D3730+D3731+D3732+D3733+D3734+D3735+D3736+D3737+D3738+D3739+D3740+D3741</f>
        <v>390885</v>
      </c>
      <c r="E3742" s="61" t="n">
        <f aca="false">E3730+E3731+E3732+E3733+E3734+E3735+E3736+E3737+E3738+E3739+E3740+E3741</f>
        <v>512414.7</v>
      </c>
      <c r="F3742" s="61" t="n">
        <f aca="false">F3730+F3731+F3732+F3733+F3734+F3735+F3736+F3737+F3738+F3739+F3740+F3741</f>
        <v>656182.5635</v>
      </c>
      <c r="G3742" s="61" t="n">
        <f aca="false">G3730+G3731+G3732+G3733+G3734+G3735+G3736+G3737+G3738+G3739+G3740+G3741</f>
        <v>798548.500695</v>
      </c>
      <c r="H3742" s="2" t="s">
        <v>1340</v>
      </c>
    </row>
    <row r="3743" customFormat="false" ht="15" hidden="false" customHeight="false" outlineLevel="1" collapsed="false">
      <c r="A3743" s="7" t="s">
        <v>653</v>
      </c>
      <c r="B3743" s="8" t="s">
        <v>11</v>
      </c>
      <c r="C3743" s="61" t="n">
        <f aca="false">C3742*(Pressupostos!$C$124+Pressupostos!$C$125)</f>
        <v>79223.09375</v>
      </c>
      <c r="D3743" s="61" t="n">
        <f aca="false">D3742*(Pressupostos!$C$124+Pressupostos!$C$125)</f>
        <v>100652.8875</v>
      </c>
      <c r="E3743" s="61" t="n">
        <f aca="false">E3742*(Pressupostos!$C$124+Pressupostos!$C$125)</f>
        <v>131946.78525</v>
      </c>
      <c r="F3743" s="61" t="n">
        <f aca="false">F3742*(Pressupostos!$C$124+Pressupostos!$C$125)</f>
        <v>168967.01010125</v>
      </c>
      <c r="G3743" s="61" t="n">
        <f aca="false">G3742*(Pressupostos!$C$124+Pressupostos!$C$125)</f>
        <v>205626.238928963</v>
      </c>
      <c r="H3743" s="2" t="s">
        <v>1341</v>
      </c>
    </row>
    <row r="3744" customFormat="false" ht="15" hidden="false" customHeight="false" outlineLevel="1" collapsed="false">
      <c r="A3744" s="7" t="s">
        <v>654</v>
      </c>
      <c r="B3744" s="8" t="s">
        <v>11</v>
      </c>
      <c r="C3744" s="61" t="n">
        <f aca="false">C3728*Pressupostos!$C$126*(1+Pressupostos!$C$127)^0</f>
        <v>14000</v>
      </c>
      <c r="D3744" s="61" t="n">
        <f aca="false">D3728*Pressupostos!$C$126*(1+Pressupostos!$C$127)^1</f>
        <v>16480</v>
      </c>
      <c r="E3744" s="61" t="n">
        <f aca="false">E3728*Pressupostos!$C$126*(1+Pressupostos!$C$127)^2</f>
        <v>23339.8</v>
      </c>
      <c r="F3744" s="61" t="n">
        <f aca="false">F3728*Pressupostos!$C$126*(1+Pressupostos!$C$127)^3</f>
        <v>30596.356</v>
      </c>
      <c r="G3744" s="61" t="n">
        <f aca="false">G3728*Pressupostos!$C$126*(1+Pressupostos!$C$127)^4</f>
        <v>38267.29954</v>
      </c>
      <c r="H3744" s="2" t="s">
        <v>1342</v>
      </c>
    </row>
    <row r="3745" customFormat="false" ht="15" hidden="false" customHeight="false" outlineLevel="1" collapsed="false">
      <c r="A3745" s="56" t="s">
        <v>655</v>
      </c>
      <c r="B3745" s="57" t="s">
        <v>11</v>
      </c>
      <c r="C3745" s="62" t="n">
        <f aca="false">C3742+C3743+C3744</f>
        <v>400885.59375</v>
      </c>
      <c r="D3745" s="62" t="n">
        <f aca="false">D3742+D3743+D3744</f>
        <v>508017.8875</v>
      </c>
      <c r="E3745" s="62" t="n">
        <f aca="false">E3742+E3743+E3744</f>
        <v>667701.28525</v>
      </c>
      <c r="F3745" s="62" t="n">
        <f aca="false">F3742+F3743+F3744</f>
        <v>855745.92960125</v>
      </c>
      <c r="G3745" s="62" t="n">
        <f aca="false">G3742+G3743+G3744</f>
        <v>1042442.03916396</v>
      </c>
      <c r="H3745" s="2" t="s">
        <v>1343</v>
      </c>
    </row>
    <row r="3746" customFormat="false" ht="15" hidden="false" customHeight="false" outlineLevel="1" collapsed="false">
      <c r="A3746" s="2" t="s">
        <v>656</v>
      </c>
      <c r="B3746" s="8" t="s">
        <v>11</v>
      </c>
      <c r="C3746" s="61" t="n">
        <f aca="false">IF(C3728&gt;0,C3745/C3728,0)</f>
        <v>57269.3705357143</v>
      </c>
      <c r="D3746" s="61" t="n">
        <f aca="false">IF(D3728&gt;0,D3745/D3728,0)</f>
        <v>63502.2359375</v>
      </c>
      <c r="E3746" s="61" t="n">
        <f aca="false">IF(E3728&gt;0,E3745/E3728,0)</f>
        <v>60700.1168409091</v>
      </c>
      <c r="F3746" s="61" t="n">
        <f aca="false">IF(F3728&gt;0,F3745/F3728,0)</f>
        <v>61124.7092572321</v>
      </c>
      <c r="G3746" s="61" t="n">
        <f aca="false">IF(G3728&gt;0,G3745/G3728,0)</f>
        <v>61320.1199508213</v>
      </c>
      <c r="H3746" s="2" t="s">
        <v>1344</v>
      </c>
    </row>
    <row r="3747" customFormat="false" ht="15" hidden="false" customHeight="false" outlineLevel="0" collapsed="false">
      <c r="A3747" s="3" t="s">
        <v>1345</v>
      </c>
      <c r="B3747" s="4"/>
      <c r="C3747" s="4"/>
      <c r="D3747" s="4"/>
      <c r="E3747" s="4"/>
      <c r="F3747" s="4"/>
      <c r="G3747" s="4"/>
      <c r="H3747" s="4"/>
    </row>
    <row r="3748" customFormat="false" ht="15" hidden="false" customHeight="false" outlineLevel="1" collapsed="false">
      <c r="A3748" s="7" t="s">
        <v>449</v>
      </c>
      <c r="B3748" s="8" t="s">
        <v>11</v>
      </c>
      <c r="C3748" s="61" t="n">
        <f aca="false">Pressupostos!$C$405*(1+Pressupostos!$C$156)*(1+Pressupostos!$C$157)^0</f>
        <v>94500</v>
      </c>
      <c r="D3748" s="61" t="n">
        <f aca="false">Pressupostos!$D$405*(1+Pressupostos!$C$156)*(1+Pressupostos!$C$157)^1</f>
        <v>53550</v>
      </c>
      <c r="E3748" s="61" t="n">
        <f aca="false">Pressupostos!$E$405*(1+Pressupostos!$C$156)*(1+Pressupostos!$C$157)^2</f>
        <v>49158.9</v>
      </c>
      <c r="F3748" s="61" t="n">
        <f aca="false">Pressupostos!$F$405*(1+Pressupostos!$C$156)*(1+Pressupostos!$C$157)^3</f>
        <v>50142.078</v>
      </c>
      <c r="G3748" s="61" t="n">
        <f aca="false">Pressupostos!$G$405*(1+Pressupostos!$C$156)*(1+Pressupostos!$C$157)^4</f>
        <v>51144.91956</v>
      </c>
      <c r="H3748" s="2" t="s">
        <v>1346</v>
      </c>
    </row>
    <row r="3749" customFormat="false" ht="15" hidden="false" customHeight="false" outlineLevel="1" collapsed="false">
      <c r="A3749" s="7" t="s">
        <v>451</v>
      </c>
      <c r="B3749" s="8" t="s">
        <v>11</v>
      </c>
      <c r="C3749" s="61" t="n">
        <f aca="false">Pressupostos!$C$411*(1+Pressupostos!$C$156)*(1+Pressupostos!$C$157)^0</f>
        <v>10500</v>
      </c>
      <c r="D3749" s="61" t="n">
        <f aca="false">Pressupostos!$D$411*(1+Pressupostos!$C$156)*(1+Pressupostos!$C$157)^1</f>
        <v>10710</v>
      </c>
      <c r="E3749" s="61" t="n">
        <f aca="false">Pressupostos!$E$411*(1+Pressupostos!$C$156)*(1+Pressupostos!$C$157)^2</f>
        <v>10924.2</v>
      </c>
      <c r="F3749" s="61" t="n">
        <f aca="false">Pressupostos!$F$411*(1+Pressupostos!$C$156)*(1+Pressupostos!$C$157)^3</f>
        <v>11142.684</v>
      </c>
      <c r="G3749" s="61" t="n">
        <f aca="false">Pressupostos!$G$411*(1+Pressupostos!$C$156)*(1+Pressupostos!$C$157)^4</f>
        <v>11365.53768</v>
      </c>
      <c r="H3749" s="2" t="s">
        <v>1347</v>
      </c>
    </row>
    <row r="3750" customFormat="false" ht="15" hidden="false" customHeight="false" outlineLevel="1" collapsed="false">
      <c r="A3750" s="7" t="s">
        <v>452</v>
      </c>
      <c r="B3750" s="8" t="s">
        <v>11</v>
      </c>
      <c r="C3750" s="61" t="n">
        <f aca="false">Pressupostos!$C$417*(1+Pressupostos!$C$156)*(1+Pressupostos!$C$157)^0</f>
        <v>12600</v>
      </c>
      <c r="D3750" s="61" t="n">
        <f aca="false">Pressupostos!$D$417*(1+Pressupostos!$C$156)*(1+Pressupostos!$C$157)^1</f>
        <v>12852</v>
      </c>
      <c r="E3750" s="61" t="n">
        <f aca="false">Pressupostos!$E$417*(1+Pressupostos!$C$156)*(1+Pressupostos!$C$157)^2</f>
        <v>13109.04</v>
      </c>
      <c r="F3750" s="61" t="n">
        <f aca="false">Pressupostos!$F$417*(1+Pressupostos!$C$156)*(1+Pressupostos!$C$157)^3</f>
        <v>0</v>
      </c>
      <c r="G3750" s="61" t="n">
        <f aca="false">Pressupostos!$G$417*(1+Pressupostos!$C$156)*(1+Pressupostos!$C$157)^4</f>
        <v>0</v>
      </c>
      <c r="H3750" s="2" t="s">
        <v>1348</v>
      </c>
    </row>
    <row r="3751" customFormat="false" ht="15" hidden="false" customHeight="false" outlineLevel="1" collapsed="false">
      <c r="A3751" s="7" t="s">
        <v>454</v>
      </c>
      <c r="B3751" s="8" t="s">
        <v>11</v>
      </c>
      <c r="C3751" s="61" t="n">
        <f aca="false">Pressupostos!$C$423*(1+Pressupostos!$C$156)*(1+Pressupostos!$C$157)^0</f>
        <v>31500</v>
      </c>
      <c r="D3751" s="61" t="n">
        <f aca="false">Pressupostos!$D$423*(1+Pressupostos!$C$156)*(1+Pressupostos!$C$157)^1</f>
        <v>42840</v>
      </c>
      <c r="E3751" s="61" t="n">
        <f aca="false">Pressupostos!$E$423*(1+Pressupostos!$C$156)*(1+Pressupostos!$C$157)^2</f>
        <v>60083.1</v>
      </c>
      <c r="F3751" s="61" t="n">
        <f aca="false">Pressupostos!$F$423*(1+Pressupostos!$C$156)*(1+Pressupostos!$C$157)^3</f>
        <v>77998.788</v>
      </c>
      <c r="G3751" s="61" t="n">
        <f aca="false">Pressupostos!$G$423*(1+Pressupostos!$C$156)*(1+Pressupostos!$C$157)^4</f>
        <v>96607.07028</v>
      </c>
      <c r="H3751" s="2" t="s">
        <v>1349</v>
      </c>
    </row>
    <row r="3752" customFormat="false" ht="15" hidden="false" customHeight="false" outlineLevel="1" collapsed="false">
      <c r="A3752" s="7" t="s">
        <v>456</v>
      </c>
      <c r="B3752" s="8" t="s">
        <v>11</v>
      </c>
      <c r="C3752" s="61" t="n">
        <f aca="false">Pressupostos!$C$429*(1+Pressupostos!$C$156)*(1+Pressupostos!$C$157)^0</f>
        <v>15750</v>
      </c>
      <c r="D3752" s="61" t="n">
        <f aca="false">Pressupostos!$D$429*(1+Pressupostos!$C$156)*(1+Pressupostos!$C$157)^1</f>
        <v>16065</v>
      </c>
      <c r="E3752" s="61" t="n">
        <f aca="false">Pressupostos!$E$429*(1+Pressupostos!$C$156)*(1+Pressupostos!$C$157)^2</f>
        <v>38234.7</v>
      </c>
      <c r="F3752" s="61" t="n">
        <f aca="false">Pressupostos!$F$429*(1+Pressupostos!$C$156)*(1+Pressupostos!$C$157)^3</f>
        <v>22285.368</v>
      </c>
      <c r="G3752" s="61" t="n">
        <f aca="false">Pressupostos!$G$429*(1+Pressupostos!$C$156)*(1+Pressupostos!$C$157)^4</f>
        <v>22731.07536</v>
      </c>
      <c r="H3752" s="2" t="s">
        <v>1350</v>
      </c>
    </row>
    <row r="3753" customFormat="false" ht="15" hidden="false" customHeight="false" outlineLevel="1" collapsed="false">
      <c r="A3753" s="7" t="s">
        <v>458</v>
      </c>
      <c r="B3753" s="8" t="s">
        <v>11</v>
      </c>
      <c r="C3753" s="61" t="n">
        <f aca="false">Pressupostos!$C$435*(1+Pressupostos!$C$156)*(1+Pressupostos!$C$157)^0</f>
        <v>10500</v>
      </c>
      <c r="D3753" s="61" t="n">
        <f aca="false">Pressupostos!$D$435*(1+Pressupostos!$C$156)*(1+Pressupostos!$C$157)^1</f>
        <v>12852</v>
      </c>
      <c r="E3753" s="61" t="n">
        <f aca="false">Pressupostos!$E$435*(1+Pressupostos!$C$156)*(1+Pressupostos!$C$157)^2</f>
        <v>16386.3</v>
      </c>
      <c r="F3753" s="61" t="n">
        <f aca="false">Pressupostos!$F$435*(1+Pressupostos!$C$156)*(1+Pressupostos!$C$157)^3</f>
        <v>20056.8312</v>
      </c>
      <c r="G3753" s="61" t="n">
        <f aca="false">Pressupostos!$G$435*(1+Pressupostos!$C$156)*(1+Pressupostos!$C$157)^4</f>
        <v>22731.07536</v>
      </c>
      <c r="H3753" s="2" t="s">
        <v>1351</v>
      </c>
    </row>
    <row r="3754" customFormat="false" ht="15" hidden="false" customHeight="false" outlineLevel="1" collapsed="false">
      <c r="A3754" s="7" t="s">
        <v>459</v>
      </c>
      <c r="B3754" s="8" t="s">
        <v>11</v>
      </c>
      <c r="C3754" s="61" t="n">
        <f aca="false">Pressupostos!$C$441*(1+Pressupostos!$C$156)*(1+Pressupostos!$C$157)^0</f>
        <v>42000</v>
      </c>
      <c r="D3754" s="61" t="n">
        <f aca="false">Pressupostos!$D$441*(1+Pressupostos!$C$156)*(1+Pressupostos!$C$157)^1</f>
        <v>53550</v>
      </c>
      <c r="E3754" s="61" t="n">
        <f aca="false">Pressupostos!$E$441*(1+Pressupostos!$C$156)*(1+Pressupostos!$C$157)^2</f>
        <v>76469.4</v>
      </c>
      <c r="F3754" s="61" t="n">
        <f aca="false">Pressupostos!$F$441*(1+Pressupostos!$C$156)*(1+Pressupostos!$C$157)^3</f>
        <v>100284.156</v>
      </c>
      <c r="G3754" s="61" t="n">
        <f aca="false">Pressupostos!$G$441*(1+Pressupostos!$C$156)*(1+Pressupostos!$C$157)^4</f>
        <v>125020.91448</v>
      </c>
      <c r="H3754" s="2" t="s">
        <v>1352</v>
      </c>
    </row>
    <row r="3755" customFormat="false" ht="15" hidden="false" customHeight="false" outlineLevel="1" collapsed="false">
      <c r="A3755" s="7" t="s">
        <v>461</v>
      </c>
      <c r="B3755" s="8" t="s">
        <v>11</v>
      </c>
      <c r="C3755" s="61" t="n">
        <f aca="false">Pressupostos!$C$447*(1+Pressupostos!$C$156)*(1+Pressupostos!$C$157)^0</f>
        <v>12600</v>
      </c>
      <c r="D3755" s="61" t="n">
        <f aca="false">Pressupostos!$D$447*(1+Pressupostos!$C$156)*(1+Pressupostos!$C$157)^1</f>
        <v>16065</v>
      </c>
      <c r="E3755" s="61" t="n">
        <f aca="false">Pressupostos!$E$447*(1+Pressupostos!$C$156)*(1+Pressupostos!$C$157)^2</f>
        <v>26218.08</v>
      </c>
      <c r="F3755" s="61" t="n">
        <f aca="false">Pressupostos!$F$447*(1+Pressupostos!$C$156)*(1+Pressupostos!$C$157)^3</f>
        <v>33428.052</v>
      </c>
      <c r="G3755" s="61" t="n">
        <f aca="false">Pressupostos!$G$447*(1+Pressupostos!$C$156)*(1+Pressupostos!$C$157)^4</f>
        <v>40915.935648</v>
      </c>
      <c r="H3755" s="2" t="s">
        <v>1353</v>
      </c>
    </row>
    <row r="3756" customFormat="false" ht="15" hidden="false" customHeight="false" outlineLevel="1" collapsed="false">
      <c r="A3756" s="7" t="s">
        <v>463</v>
      </c>
      <c r="B3756" s="8" t="s">
        <v>11</v>
      </c>
      <c r="C3756" s="61" t="n">
        <f aca="false">Pressupostos!$C$453*(1+Pressupostos!$C$156)*(1+Pressupostos!$C$157)^0</f>
        <v>18900</v>
      </c>
      <c r="D3756" s="61" t="n">
        <f aca="false">Pressupostos!$D$453*(1+Pressupostos!$C$156)*(1+Pressupostos!$C$157)^1</f>
        <v>23562</v>
      </c>
      <c r="E3756" s="61" t="n">
        <f aca="false">Pressupostos!$E$453*(1+Pressupostos!$C$156)*(1+Pressupostos!$C$157)^2</f>
        <v>32772.6</v>
      </c>
      <c r="F3756" s="61" t="n">
        <f aca="false">Pressupostos!$F$453*(1+Pressupostos!$C$156)*(1+Pressupostos!$C$157)^3</f>
        <v>42342.1992</v>
      </c>
      <c r="G3756" s="61" t="n">
        <f aca="false">Pressupostos!$G$453*(1+Pressupostos!$C$156)*(1+Pressupostos!$C$157)^4</f>
        <v>51144.91956</v>
      </c>
      <c r="H3756" s="2" t="s">
        <v>1354</v>
      </c>
    </row>
    <row r="3757" customFormat="false" ht="15" hidden="false" customHeight="false" outlineLevel="1" collapsed="false">
      <c r="A3757" s="7" t="s">
        <v>464</v>
      </c>
      <c r="B3757" s="8" t="s">
        <v>11</v>
      </c>
      <c r="C3757" s="61" t="n">
        <f aca="false">Pressupostos!$C$459*(1+Pressupostos!$C$156)*(1+Pressupostos!$C$157)^0</f>
        <v>5250</v>
      </c>
      <c r="D3757" s="61" t="n">
        <f aca="false">Pressupostos!$D$459*(1+Pressupostos!$C$156)*(1+Pressupostos!$C$157)^1</f>
        <v>8568</v>
      </c>
      <c r="E3757" s="61" t="n">
        <f aca="false">Pressupostos!$E$459*(1+Pressupostos!$C$156)*(1+Pressupostos!$C$157)^2</f>
        <v>13109.04</v>
      </c>
      <c r="F3757" s="61" t="n">
        <f aca="false">Pressupostos!$F$459*(1+Pressupostos!$C$156)*(1+Pressupostos!$C$157)^3</f>
        <v>16714.026</v>
      </c>
      <c r="G3757" s="61" t="n">
        <f aca="false">Pressupostos!$G$459*(1+Pressupostos!$C$156)*(1+Pressupostos!$C$157)^4</f>
        <v>17048.30652</v>
      </c>
      <c r="H3757" s="2" t="s">
        <v>1355</v>
      </c>
    </row>
    <row r="3758" customFormat="false" ht="15" hidden="false" customHeight="false" outlineLevel="1" collapsed="false">
      <c r="A3758" s="7" t="s">
        <v>701</v>
      </c>
      <c r="B3758" s="8" t="s">
        <v>11</v>
      </c>
      <c r="C3758" s="61" t="n">
        <f aca="false">C3748+C3749+C3750+C3751+C3752+C3753+C3754+C3755+C3756+C3757</f>
        <v>254100</v>
      </c>
      <c r="D3758" s="61" t="n">
        <f aca="false">D3748+D3749+D3750+D3751+D3752+D3753+D3754+D3755+D3756+D3757</f>
        <v>250614</v>
      </c>
      <c r="E3758" s="61" t="n">
        <f aca="false">E3748+E3749+E3750+E3751+E3752+E3753+E3754+E3755+E3756+E3757</f>
        <v>336465.36</v>
      </c>
      <c r="F3758" s="61" t="n">
        <f aca="false">F3748+F3749+F3750+F3751+F3752+F3753+F3754+F3755+F3756+F3757</f>
        <v>374394.1824</v>
      </c>
      <c r="G3758" s="61" t="n">
        <f aca="false">G3748+G3749+G3750+G3751+G3752+G3753+G3754+G3755+G3756+G3757</f>
        <v>438709.754448</v>
      </c>
      <c r="H3758" s="2" t="s">
        <v>1356</v>
      </c>
    </row>
    <row r="3759" customFormat="false" ht="15" hidden="false" customHeight="false" outlineLevel="1" collapsed="false">
      <c r="A3759" s="7" t="s">
        <v>702</v>
      </c>
      <c r="B3759" s="8" t="s">
        <v>11</v>
      </c>
      <c r="C3759" s="61" t="n">
        <f aca="false">Pressupostos!$C$114+Pressupostos!$C$115+Pressupostos!$C$116*Pressupostos!$C$294+Pressupostos!$C$466+Pressupostos!$C$306</f>
        <v>65000</v>
      </c>
      <c r="D3759" s="61" t="n">
        <f aca="false">Pressupostos!$C$115+Pressupostos!$C$116*Pressupostos!$D$294+Pressupostos!$D$466+Pressupostos!$D$306</f>
        <v>65000</v>
      </c>
      <c r="E3759" s="61" t="n">
        <f aca="false">Pressupostos!$C$115+Pressupostos!$C$116*Pressupostos!$E$294+Pressupostos!$E$466+Pressupostos!$E$306</f>
        <v>70000</v>
      </c>
      <c r="F3759" s="61" t="n">
        <f aca="false">Pressupostos!$C$115+Pressupostos!$C$116*Pressupostos!$F$294+Pressupostos!$F$466+Pressupostos!$F$306</f>
        <v>75000</v>
      </c>
      <c r="G3759" s="61" t="n">
        <f aca="false">Pressupostos!$C$115+Pressupostos!$C$116*Pressupostos!$G$294+Pressupostos!$G$466+Pressupostos!$G$306</f>
        <v>80000</v>
      </c>
      <c r="H3759" s="2" t="s">
        <v>1357</v>
      </c>
    </row>
    <row r="3760" customFormat="false" ht="15" hidden="false" customHeight="false" outlineLevel="1" collapsed="false">
      <c r="A3760" s="7" t="s">
        <v>703</v>
      </c>
      <c r="B3760" s="8" t="s">
        <v>11</v>
      </c>
      <c r="C3760" s="61" t="n">
        <f aca="false">IF(C3572&lt;Pressupostos!$C$120,0,MAX(Pressupostos!$C$300,Pressupostos!$C$118*(C3666+C3667)+Pressupostos!$C$119*C3668))</f>
        <v>0</v>
      </c>
      <c r="D3760" s="61" t="n">
        <f aca="false">IF(D3572&lt;Pressupostos!$C$120,0,MAX(Pressupostos!$D$300,Pressupostos!$C$118*(D3666+D3667)+Pressupostos!$C$119*D3668))</f>
        <v>7068.78</v>
      </c>
      <c r="E3760" s="61" t="n">
        <f aca="false">IF(E3572&lt;Pressupostos!$C$120,0,MAX(Pressupostos!$E$300,Pressupostos!$C$118*(E3666+E3667)+Pressupostos!$C$119*E3668))</f>
        <v>15181.02</v>
      </c>
      <c r="F3760" s="61" t="n">
        <f aca="false">IF(F3572&lt;Pressupostos!$C$120,0,MAX(Pressupostos!$F$300,Pressupostos!$C$118*(F3666+F3667)+Pressupostos!$C$119*F3668))</f>
        <v>26014.98</v>
      </c>
      <c r="G3760" s="61" t="n">
        <f aca="false">IF(G3572&lt;Pressupostos!$C$120,0,MAX(Pressupostos!$G$300,Pressupostos!$C$118*(G3666+G3667)+Pressupostos!$C$119*G3668))</f>
        <v>39485.4</v>
      </c>
      <c r="H3760" s="2" t="s">
        <v>1358</v>
      </c>
    </row>
    <row r="3761" customFormat="false" ht="15" hidden="false" customHeight="false" outlineLevel="1" collapsed="false">
      <c r="A3761" s="56" t="s">
        <v>704</v>
      </c>
      <c r="B3761" s="57" t="s">
        <v>11</v>
      </c>
      <c r="C3761" s="62" t="n">
        <f aca="false">C3758+C3759+C3760</f>
        <v>319100</v>
      </c>
      <c r="D3761" s="62" t="n">
        <f aca="false">D3758+D3759+D3760</f>
        <v>322682.78</v>
      </c>
      <c r="E3761" s="62" t="n">
        <f aca="false">E3758+E3759+E3760</f>
        <v>421646.38</v>
      </c>
      <c r="F3761" s="62" t="n">
        <f aca="false">F3758+F3759+F3760</f>
        <v>475409.1624</v>
      </c>
      <c r="G3761" s="62" t="n">
        <f aca="false">G3758+G3759+G3760</f>
        <v>558195.154448</v>
      </c>
      <c r="H3761" s="2" t="s">
        <v>1359</v>
      </c>
    </row>
    <row r="3762" customFormat="false" ht="15" hidden="false" customHeight="false" outlineLevel="0" collapsed="false">
      <c r="A3762" s="3" t="s">
        <v>1360</v>
      </c>
      <c r="B3762" s="4"/>
      <c r="C3762" s="4"/>
      <c r="D3762" s="4"/>
      <c r="E3762" s="4"/>
      <c r="F3762" s="4"/>
      <c r="G3762" s="4"/>
      <c r="H3762" s="4"/>
    </row>
    <row r="3763" customFormat="false" ht="15" hidden="false" customHeight="false" outlineLevel="1" collapsed="false">
      <c r="A3763" s="7" t="s">
        <v>706</v>
      </c>
      <c r="B3763" s="8" t="s">
        <v>11</v>
      </c>
      <c r="C3763" s="61" t="n">
        <f aca="false">Pressupostos!$C$165*Pressupostos!$C$313</f>
        <v>18000</v>
      </c>
      <c r="D3763" s="61" t="n">
        <f aca="false">Pressupostos!$C$165*Pressupostos!$D$313</f>
        <v>12000</v>
      </c>
      <c r="E3763" s="61" t="n">
        <f aca="false">Pressupostos!$C$165*Pressupostos!$E$313</f>
        <v>12000</v>
      </c>
      <c r="F3763" s="61" t="n">
        <f aca="false">Pressupostos!$C$165*Pressupostos!$F$313</f>
        <v>12000</v>
      </c>
      <c r="G3763" s="61" t="n">
        <f aca="false">Pressupostos!$C$165*Pressupostos!$G$313</f>
        <v>12000</v>
      </c>
      <c r="H3763" s="2" t="s">
        <v>1361</v>
      </c>
    </row>
    <row r="3764" customFormat="false" ht="15" hidden="false" customHeight="false" outlineLevel="1" collapsed="false">
      <c r="A3764" s="7" t="s">
        <v>707</v>
      </c>
      <c r="B3764" s="8" t="s">
        <v>11</v>
      </c>
      <c r="C3764" s="53" t="n">
        <f aca="false">Pressupostos!$C$319</f>
        <v>60000</v>
      </c>
      <c r="D3764" s="53" t="n">
        <f aca="false">Pressupostos!$D$319</f>
        <v>15000</v>
      </c>
      <c r="E3764" s="53" t="n">
        <f aca="false">Pressupostos!$E$319</f>
        <v>15000</v>
      </c>
      <c r="F3764" s="53" t="n">
        <f aca="false">Pressupostos!$F$319</f>
        <v>10000</v>
      </c>
      <c r="G3764" s="53" t="n">
        <f aca="false">Pressupostos!$G$319</f>
        <v>10000</v>
      </c>
      <c r="H3764" s="2" t="s">
        <v>1362</v>
      </c>
    </row>
    <row r="3765" customFormat="false" ht="15" hidden="false" customHeight="false" outlineLevel="1" collapsed="false">
      <c r="A3765" s="7" t="s">
        <v>708</v>
      </c>
      <c r="B3765" s="8" t="s">
        <v>11</v>
      </c>
      <c r="C3765" s="53" t="n">
        <f aca="false">Pressupostos!$C$325</f>
        <v>0</v>
      </c>
      <c r="D3765" s="53" t="n">
        <f aca="false">Pressupostos!$D$325</f>
        <v>15000</v>
      </c>
      <c r="E3765" s="53" t="n">
        <f aca="false">Pressupostos!$E$325</f>
        <v>15000</v>
      </c>
      <c r="F3765" s="53" t="n">
        <f aca="false">Pressupostos!$F$325</f>
        <v>10000</v>
      </c>
      <c r="G3765" s="53" t="n">
        <f aca="false">Pressupostos!$G$325</f>
        <v>10000</v>
      </c>
      <c r="H3765" s="2" t="s">
        <v>1363</v>
      </c>
    </row>
    <row r="3766" customFormat="false" ht="15" hidden="false" customHeight="false" outlineLevel="1" collapsed="false">
      <c r="A3766" s="7" t="s">
        <v>709</v>
      </c>
      <c r="B3766" s="8" t="s">
        <v>11</v>
      </c>
      <c r="C3766" s="61" t="n">
        <f aca="false">Pressupostos!$C$166*MAX(0,C3728)</f>
        <v>14000</v>
      </c>
      <c r="D3766" s="61" t="n">
        <f aca="false">Pressupostos!$C$166*MAX(0,D3728-C3728)</f>
        <v>2000</v>
      </c>
      <c r="E3766" s="61" t="n">
        <f aca="false">Pressupostos!$C$166*MAX(0,E3728-D3728)</f>
        <v>6000</v>
      </c>
      <c r="F3766" s="61" t="n">
        <f aca="false">Pressupostos!$C$166*MAX(0,F3728-E3728)</f>
        <v>6000</v>
      </c>
      <c r="G3766" s="61" t="n">
        <f aca="false">Pressupostos!$C$166*MAX(0,G3728-F3728)</f>
        <v>6000</v>
      </c>
      <c r="H3766" s="2" t="s">
        <v>1364</v>
      </c>
    </row>
    <row r="3767" customFormat="false" ht="15" hidden="false" customHeight="false" outlineLevel="1" collapsed="false">
      <c r="A3767" s="7" t="s">
        <v>424</v>
      </c>
      <c r="B3767" s="8" t="s">
        <v>11</v>
      </c>
      <c r="C3767" s="61" t="n">
        <f aca="false">C3763+C3764+C3765+C3766</f>
        <v>92000</v>
      </c>
      <c r="D3767" s="61" t="n">
        <f aca="false">D3763+D3764+D3765+D3766</f>
        <v>44000</v>
      </c>
      <c r="E3767" s="61" t="n">
        <f aca="false">E3763+E3764+E3765+E3766</f>
        <v>48000</v>
      </c>
      <c r="F3767" s="61" t="n">
        <f aca="false">F3763+F3764+F3765+F3766</f>
        <v>38000</v>
      </c>
      <c r="G3767" s="61" t="n">
        <f aca="false">G3763+G3764+G3765+G3766</f>
        <v>38000</v>
      </c>
      <c r="H3767" s="2" t="s">
        <v>1365</v>
      </c>
    </row>
    <row r="3768" customFormat="false" ht="15" hidden="false" customHeight="false" outlineLevel="1" collapsed="false">
      <c r="A3768" s="7" t="s">
        <v>710</v>
      </c>
      <c r="B3768" s="8" t="s">
        <v>11</v>
      </c>
      <c r="C3768" s="61" t="n">
        <f aca="false">(C3764*((0)&lt;Pressupostos!$C$167))/Pressupostos!$C$167</f>
        <v>20000</v>
      </c>
      <c r="D3768" s="61" t="n">
        <f aca="false">(C3764*((1)&lt;Pressupostos!$C$167)+D3764*((0)&lt;Pressupostos!$C$167))/Pressupostos!$C$167</f>
        <v>25000</v>
      </c>
      <c r="E3768" s="61" t="n">
        <f aca="false">(C3764*((2)&lt;Pressupostos!$C$167)+D3764*((1)&lt;Pressupostos!$C$167)+E3764*((0)&lt;Pressupostos!$C$167))/Pressupostos!$C$167</f>
        <v>30000</v>
      </c>
      <c r="F3768" s="61" t="n">
        <f aca="false">(C3764*((3)&lt;Pressupostos!$C$167)+D3764*((2)&lt;Pressupostos!$C$167)+E3764*((1)&lt;Pressupostos!$C$167)+F3764*((0)&lt;Pressupostos!$C$167))/Pressupostos!$C$167</f>
        <v>13333.3333333333</v>
      </c>
      <c r="G3768" s="61" t="n">
        <f aca="false">(C3764*((4)&lt;Pressupostos!$C$167)+D3764*((3)&lt;Pressupostos!$C$167)+E3764*((2)&lt;Pressupostos!$C$167)+F3764*((1)&lt;Pressupostos!$C$167)+G3764*((0)&lt;Pressupostos!$C$167))/Pressupostos!$C$167</f>
        <v>11666.6666666667</v>
      </c>
      <c r="H3768" s="2" t="s">
        <v>1366</v>
      </c>
    </row>
    <row r="3769" customFormat="false" ht="15" hidden="false" customHeight="false" outlineLevel="1" collapsed="false">
      <c r="A3769" s="7" t="s">
        <v>711</v>
      </c>
      <c r="B3769" s="8" t="s">
        <v>11</v>
      </c>
      <c r="C3769" s="61" t="n">
        <f aca="false">(C3765*((0)&lt;Pressupostos!$C$167))/Pressupostos!$C$167</f>
        <v>0</v>
      </c>
      <c r="D3769" s="61" t="n">
        <f aca="false">(C3765*((1)&lt;Pressupostos!$C$167)+D3765*((0)&lt;Pressupostos!$C$167))/Pressupostos!$C$167</f>
        <v>5000</v>
      </c>
      <c r="E3769" s="61" t="n">
        <f aca="false">(C3765*((2)&lt;Pressupostos!$C$167)+D3765*((1)&lt;Pressupostos!$C$167)+E3765*((0)&lt;Pressupostos!$C$167))/Pressupostos!$C$167</f>
        <v>10000</v>
      </c>
      <c r="F3769" s="61" t="n">
        <f aca="false">(C3765*((3)&lt;Pressupostos!$C$167)+D3765*((2)&lt;Pressupostos!$C$167)+E3765*((1)&lt;Pressupostos!$C$167)+F3765*((0)&lt;Pressupostos!$C$167))/Pressupostos!$C$167</f>
        <v>13333.3333333333</v>
      </c>
      <c r="G3769" s="61" t="n">
        <f aca="false">(C3765*((4)&lt;Pressupostos!$C$167)+D3765*((3)&lt;Pressupostos!$C$167)+E3765*((2)&lt;Pressupostos!$C$167)+F3765*((1)&lt;Pressupostos!$C$167)+G3765*((0)&lt;Pressupostos!$C$167))/Pressupostos!$C$167</f>
        <v>11666.6666666667</v>
      </c>
      <c r="H3769" s="2" t="s">
        <v>1367</v>
      </c>
    </row>
    <row r="3770" customFormat="false" ht="15" hidden="false" customHeight="false" outlineLevel="1" collapsed="false">
      <c r="A3770" s="7" t="s">
        <v>712</v>
      </c>
      <c r="B3770" s="8" t="s">
        <v>11</v>
      </c>
      <c r="C3770" s="61" t="n">
        <f aca="false">(C3763*((0)&lt;Pressupostos!$C$169))/Pressupostos!$C$169</f>
        <v>3600</v>
      </c>
      <c r="D3770" s="61" t="n">
        <f aca="false">(C3763*((1)&lt;Pressupostos!$C$169)+D3763*((0)&lt;Pressupostos!$C$169))/Pressupostos!$C$169</f>
        <v>6000</v>
      </c>
      <c r="E3770" s="61" t="n">
        <f aca="false">(C3763*((2)&lt;Pressupostos!$C$169)+D3763*((1)&lt;Pressupostos!$C$169)+E3763*((0)&lt;Pressupostos!$C$169))/Pressupostos!$C$169</f>
        <v>8400</v>
      </c>
      <c r="F3770" s="61" t="n">
        <f aca="false">(C3763*((3)&lt;Pressupostos!$C$169)+D3763*((2)&lt;Pressupostos!$C$169)+E3763*((1)&lt;Pressupostos!$C$169)+F3763*((0)&lt;Pressupostos!$C$169))/Pressupostos!$C$169</f>
        <v>10800</v>
      </c>
      <c r="G3770" s="61" t="n">
        <f aca="false">(C3763*((4)&lt;Pressupostos!$C$169)+D3763*((3)&lt;Pressupostos!$C$169)+E3763*((2)&lt;Pressupostos!$C$169)+F3763*((1)&lt;Pressupostos!$C$169)+G3763*((0)&lt;Pressupostos!$C$169))/Pressupostos!$C$169</f>
        <v>13200</v>
      </c>
      <c r="H3770" s="2" t="s">
        <v>1368</v>
      </c>
    </row>
    <row r="3771" customFormat="false" ht="15" hidden="false" customHeight="false" outlineLevel="1" collapsed="false">
      <c r="A3771" s="7" t="s">
        <v>713</v>
      </c>
      <c r="B3771" s="8" t="s">
        <v>11</v>
      </c>
      <c r="C3771" s="61" t="n">
        <f aca="false">(C3766*((0)&lt;Pressupostos!$C$168))/Pressupostos!$C$168</f>
        <v>3500</v>
      </c>
      <c r="D3771" s="61" t="n">
        <f aca="false">(C3766*((1)&lt;Pressupostos!$C$168)+D3766*((0)&lt;Pressupostos!$C$168))/Pressupostos!$C$168</f>
        <v>4000</v>
      </c>
      <c r="E3771" s="61" t="n">
        <f aca="false">(C3766*((2)&lt;Pressupostos!$C$168)+D3766*((1)&lt;Pressupostos!$C$168)+E3766*((0)&lt;Pressupostos!$C$168))/Pressupostos!$C$168</f>
        <v>5500</v>
      </c>
      <c r="F3771" s="61" t="n">
        <f aca="false">(C3766*((3)&lt;Pressupostos!$C$168)+D3766*((2)&lt;Pressupostos!$C$168)+E3766*((1)&lt;Pressupostos!$C$168)+F3766*((0)&lt;Pressupostos!$C$168))/Pressupostos!$C$168</f>
        <v>7000</v>
      </c>
      <c r="G3771" s="61" t="n">
        <f aca="false">(C3766*((4)&lt;Pressupostos!$C$168)+D3766*((3)&lt;Pressupostos!$C$168)+E3766*((2)&lt;Pressupostos!$C$168)+F3766*((1)&lt;Pressupostos!$C$168)+G3766*((0)&lt;Pressupostos!$C$168))/Pressupostos!$C$168</f>
        <v>5000</v>
      </c>
      <c r="H3771" s="2" t="s">
        <v>1369</v>
      </c>
    </row>
    <row r="3772" customFormat="false" ht="15" hidden="false" customHeight="false" outlineLevel="1" collapsed="false">
      <c r="A3772" s="7" t="s">
        <v>714</v>
      </c>
      <c r="B3772" s="8" t="s">
        <v>11</v>
      </c>
      <c r="C3772" s="61" t="n">
        <f aca="false">C3768+C3769+C3770+C3771</f>
        <v>27100</v>
      </c>
      <c r="D3772" s="61" t="n">
        <f aca="false">D3768+D3769+D3770+D3771</f>
        <v>40000</v>
      </c>
      <c r="E3772" s="61" t="n">
        <f aca="false">E3768+E3769+E3770+E3771</f>
        <v>53900</v>
      </c>
      <c r="F3772" s="61" t="n">
        <f aca="false">F3768+F3769+F3770+F3771</f>
        <v>44466.6666666667</v>
      </c>
      <c r="G3772" s="61" t="n">
        <f aca="false">G3768+G3769+G3770+G3771</f>
        <v>41533.3333333333</v>
      </c>
      <c r="H3772" s="2" t="s">
        <v>1370</v>
      </c>
    </row>
    <row r="3773" customFormat="false" ht="15" hidden="false" customHeight="false" outlineLevel="0" collapsed="false">
      <c r="A3773" s="3" t="s">
        <v>1371</v>
      </c>
      <c r="B3773" s="4"/>
      <c r="C3773" s="4"/>
      <c r="D3773" s="4"/>
      <c r="E3773" s="4"/>
      <c r="F3773" s="4"/>
      <c r="G3773" s="4"/>
      <c r="H3773" s="4"/>
    </row>
    <row r="3774" customFormat="false" ht="15" hidden="false" customHeight="false" outlineLevel="1" collapsed="false">
      <c r="A3774" s="56" t="s">
        <v>718</v>
      </c>
      <c r="B3774" s="57" t="s">
        <v>11</v>
      </c>
      <c r="C3774" s="62" t="n">
        <f aca="false">C3676</f>
        <v>267690</v>
      </c>
      <c r="D3774" s="62" t="n">
        <f aca="false">D3676</f>
        <v>1780435</v>
      </c>
      <c r="E3774" s="62" t="n">
        <f aca="false">E3676</f>
        <v>4066155</v>
      </c>
      <c r="F3774" s="62" t="n">
        <f aca="false">F3676</f>
        <v>7052305</v>
      </c>
      <c r="G3774" s="62" t="n">
        <f aca="false">G3676</f>
        <v>10796070</v>
      </c>
      <c r="H3774" s="2" t="s">
        <v>1372</v>
      </c>
    </row>
    <row r="3775" customFormat="false" ht="15" hidden="false" customHeight="false" outlineLevel="1" collapsed="false">
      <c r="A3775" s="7" t="s">
        <v>688</v>
      </c>
      <c r="B3775" s="8" t="s">
        <v>11</v>
      </c>
      <c r="C3775" s="61" t="n">
        <f aca="false">-C3699</f>
        <v>-243800</v>
      </c>
      <c r="D3775" s="61" t="n">
        <f aca="false">-D3699</f>
        <v>-1623700</v>
      </c>
      <c r="E3775" s="61" t="n">
        <f aca="false">-E3699</f>
        <v>-3665800</v>
      </c>
      <c r="F3775" s="61" t="n">
        <f aca="false">-F3699</f>
        <v>-6319200</v>
      </c>
      <c r="G3775" s="61" t="n">
        <f aca="false">-G3699</f>
        <v>-9651000</v>
      </c>
      <c r="H3775" s="2" t="s">
        <v>1373</v>
      </c>
    </row>
    <row r="3776" customFormat="false" ht="15" hidden="false" customHeight="false" outlineLevel="1" collapsed="false">
      <c r="A3776" s="56" t="s">
        <v>719</v>
      </c>
      <c r="B3776" s="57" t="s">
        <v>11</v>
      </c>
      <c r="C3776" s="62" t="n">
        <f aca="false">C3774+C3775</f>
        <v>23890</v>
      </c>
      <c r="D3776" s="62" t="n">
        <f aca="false">D3774+D3775</f>
        <v>156735</v>
      </c>
      <c r="E3776" s="62" t="n">
        <f aca="false">E3774+E3775</f>
        <v>400355</v>
      </c>
      <c r="F3776" s="62" t="n">
        <f aca="false">F3774+F3775</f>
        <v>733105</v>
      </c>
      <c r="G3776" s="62" t="n">
        <f aca="false">G3774+G3775</f>
        <v>1145070</v>
      </c>
      <c r="H3776" s="2" t="s">
        <v>1374</v>
      </c>
    </row>
    <row r="3777" customFormat="false" ht="15" hidden="false" customHeight="false" outlineLevel="1" collapsed="false">
      <c r="A3777" s="2" t="s">
        <v>720</v>
      </c>
      <c r="B3777" s="8" t="s">
        <v>76</v>
      </c>
      <c r="C3777" s="59" t="n">
        <f aca="false">IF(C3774&gt;0,C3776/C3774,0)</f>
        <v>0.0892450222272031</v>
      </c>
      <c r="D3777" s="59" t="n">
        <f aca="false">IF(D3774&gt;0,D3776/D3774,0)</f>
        <v>0.0880318573831675</v>
      </c>
      <c r="E3777" s="59" t="n">
        <f aca="false">IF(E3774&gt;0,E3776/E3774,0)</f>
        <v>0.0984603390672514</v>
      </c>
      <c r="F3777" s="59" t="n">
        <f aca="false">IF(F3774&gt;0,F3776/F3774,0)</f>
        <v>0.103952537503696</v>
      </c>
      <c r="G3777" s="59" t="n">
        <f aca="false">IF(G3774&gt;0,G3776/G3774,0)</f>
        <v>0.106063595363869</v>
      </c>
      <c r="H3777" s="2" t="s">
        <v>1375</v>
      </c>
    </row>
    <row r="3778" customFormat="false" ht="15" hidden="false" customHeight="false" outlineLevel="1" collapsed="false">
      <c r="A3778" s="7" t="s">
        <v>721</v>
      </c>
      <c r="B3778" s="8" t="s">
        <v>11</v>
      </c>
      <c r="C3778" s="61" t="n">
        <f aca="false">-C3710</f>
        <v>-15341.8580821918</v>
      </c>
      <c r="D3778" s="61" t="n">
        <f aca="false">-D3710</f>
        <v>-104130.783209393</v>
      </c>
      <c r="E3778" s="61" t="n">
        <f aca="false">-E3710</f>
        <v>-242146.261409002</v>
      </c>
      <c r="F3778" s="61" t="n">
        <f aca="false">-F3710</f>
        <v>-433558.333502936</v>
      </c>
      <c r="G3778" s="61" t="n">
        <f aca="false">-G3710</f>
        <v>-668872.547162427</v>
      </c>
      <c r="H3778" s="2" t="s">
        <v>1376</v>
      </c>
    </row>
    <row r="3779" customFormat="false" ht="15" hidden="false" customHeight="false" outlineLevel="1" collapsed="false">
      <c r="A3779" s="7" t="s">
        <v>698</v>
      </c>
      <c r="B3779" s="8" t="s">
        <v>11</v>
      </c>
      <c r="C3779" s="61" t="n">
        <f aca="false">-C3713</f>
        <v>-0</v>
      </c>
      <c r="D3779" s="61" t="n">
        <f aca="false">-D3713</f>
        <v>-29146.2842465753</v>
      </c>
      <c r="E3779" s="61" t="n">
        <f aca="false">-E3713</f>
        <v>-51694.7517123288</v>
      </c>
      <c r="F3779" s="61" t="n">
        <f aca="false">-F3713</f>
        <v>-89354.0496575342</v>
      </c>
      <c r="G3779" s="61" t="n">
        <f aca="false">-G3713</f>
        <v>-136480.22260274</v>
      </c>
      <c r="H3779" s="2" t="s">
        <v>1377</v>
      </c>
    </row>
    <row r="3780" customFormat="false" ht="15" hidden="false" customHeight="false" outlineLevel="1" collapsed="false">
      <c r="A3780" s="56" t="s">
        <v>677</v>
      </c>
      <c r="B3780" s="57" t="s">
        <v>11</v>
      </c>
      <c r="C3780" s="62" t="n">
        <f aca="false">C3776+C3778+C3779</f>
        <v>8548.14191780822</v>
      </c>
      <c r="D3780" s="62" t="n">
        <f aca="false">D3776+D3778+D3779</f>
        <v>23457.9325440311</v>
      </c>
      <c r="E3780" s="62" t="n">
        <f aca="false">E3776+E3778+E3779</f>
        <v>106513.986878669</v>
      </c>
      <c r="F3780" s="62" t="n">
        <f aca="false">F3776+F3778+F3779</f>
        <v>210192.61683953</v>
      </c>
      <c r="G3780" s="62" t="n">
        <f aca="false">G3776+G3778+G3779</f>
        <v>339717.230234834</v>
      </c>
      <c r="H3780" s="2" t="s">
        <v>1378</v>
      </c>
    </row>
    <row r="3781" customFormat="false" ht="15" hidden="false" customHeight="false" outlineLevel="1" collapsed="false">
      <c r="A3781" s="7" t="s">
        <v>261</v>
      </c>
      <c r="B3781" s="8" t="s">
        <v>11</v>
      </c>
      <c r="C3781" s="61" t="n">
        <f aca="false">-C3745</f>
        <v>-400885.59375</v>
      </c>
      <c r="D3781" s="61" t="n">
        <f aca="false">-D3745</f>
        <v>-508017.8875</v>
      </c>
      <c r="E3781" s="61" t="n">
        <f aca="false">-E3745</f>
        <v>-667701.28525</v>
      </c>
      <c r="F3781" s="61" t="n">
        <f aca="false">-F3745</f>
        <v>-855745.92960125</v>
      </c>
      <c r="G3781" s="61" t="n">
        <f aca="false">-G3745</f>
        <v>-1042442.03916396</v>
      </c>
      <c r="H3781" s="2" t="s">
        <v>1379</v>
      </c>
    </row>
    <row r="3782" customFormat="false" ht="15" hidden="false" customHeight="false" outlineLevel="1" collapsed="false">
      <c r="A3782" s="7" t="s">
        <v>722</v>
      </c>
      <c r="B3782" s="8" t="s">
        <v>11</v>
      </c>
      <c r="C3782" s="61" t="n">
        <f aca="false">-C3761</f>
        <v>-319100</v>
      </c>
      <c r="D3782" s="61" t="n">
        <f aca="false">-D3761</f>
        <v>-322682.78</v>
      </c>
      <c r="E3782" s="61" t="n">
        <f aca="false">-E3761</f>
        <v>-421646.38</v>
      </c>
      <c r="F3782" s="61" t="n">
        <f aca="false">-F3761</f>
        <v>-475409.1624</v>
      </c>
      <c r="G3782" s="61" t="n">
        <f aca="false">-G3761</f>
        <v>-558195.154448</v>
      </c>
      <c r="H3782" s="2" t="s">
        <v>1380</v>
      </c>
    </row>
    <row r="3783" customFormat="false" ht="15" hidden="false" customHeight="false" outlineLevel="1" collapsed="false">
      <c r="A3783" s="56" t="s">
        <v>723</v>
      </c>
      <c r="B3783" s="57" t="s">
        <v>11</v>
      </c>
      <c r="C3783" s="62" t="n">
        <f aca="false">C3780+C3781+C3782</f>
        <v>-711437.451832192</v>
      </c>
      <c r="D3783" s="62" t="n">
        <f aca="false">D3780+D3781+D3782</f>
        <v>-807242.734955969</v>
      </c>
      <c r="E3783" s="62" t="n">
        <f aca="false">E3780+E3781+E3782</f>
        <v>-982833.678371331</v>
      </c>
      <c r="F3783" s="62" t="n">
        <f aca="false">F3780+F3781+F3782</f>
        <v>-1120962.47516172</v>
      </c>
      <c r="G3783" s="62" t="n">
        <f aca="false">G3780+G3781+G3782</f>
        <v>-1260919.96337713</v>
      </c>
      <c r="H3783" s="2" t="s">
        <v>1381</v>
      </c>
    </row>
    <row r="3784" customFormat="false" ht="15" hidden="false" customHeight="false" outlineLevel="1" collapsed="false">
      <c r="A3784" s="2" t="s">
        <v>725</v>
      </c>
      <c r="B3784" s="8" t="s">
        <v>76</v>
      </c>
      <c r="C3784" s="59" t="n">
        <f aca="false">IF(C3774&gt;0,C3783/C3774,0)</f>
        <v>-2.65769155303594</v>
      </c>
      <c r="D3784" s="59" t="n">
        <f aca="false">IF(D3774&gt;0,D3783/D3774,0)</f>
        <v>-0.453396352552028</v>
      </c>
      <c r="E3784" s="59" t="n">
        <f aca="false">IF(E3774&gt;0,E3783/E3774,0)</f>
        <v>-0.241710824690975</v>
      </c>
      <c r="F3784" s="59" t="n">
        <f aca="false">IF(F3774&gt;0,F3783/F3774,0)</f>
        <v>-0.158949800832738</v>
      </c>
      <c r="G3784" s="59" t="n">
        <f aca="false">IF(G3774&gt;0,G3783/G3774,0)</f>
        <v>-0.116794348626595</v>
      </c>
      <c r="H3784" s="2" t="s">
        <v>1382</v>
      </c>
    </row>
    <row r="3785" customFormat="false" ht="15" hidden="false" customHeight="false" outlineLevel="1" collapsed="false">
      <c r="A3785" s="2" t="s">
        <v>726</v>
      </c>
      <c r="B3785" s="8" t="s">
        <v>11</v>
      </c>
      <c r="C3785" s="61" t="n">
        <f aca="false">C3783+C3713</f>
        <v>-711437.451832192</v>
      </c>
      <c r="D3785" s="61" t="n">
        <f aca="false">D3783+D3713</f>
        <v>-778096.450709394</v>
      </c>
      <c r="E3785" s="61" t="n">
        <f aca="false">E3783+E3713</f>
        <v>-931138.926659002</v>
      </c>
      <c r="F3785" s="61" t="n">
        <f aca="false">F3783+F3713</f>
        <v>-1031608.42550419</v>
      </c>
      <c r="G3785" s="61" t="n">
        <f aca="false">G3783+G3713</f>
        <v>-1124439.74077439</v>
      </c>
      <c r="H3785" s="2" t="s">
        <v>1383</v>
      </c>
    </row>
    <row r="3786" customFormat="false" ht="15" hidden="false" customHeight="false" outlineLevel="1" collapsed="false">
      <c r="A3786" s="7" t="s">
        <v>714</v>
      </c>
      <c r="B3786" s="8" t="s">
        <v>11</v>
      </c>
      <c r="C3786" s="61" t="n">
        <f aca="false">-C3772</f>
        <v>-27100</v>
      </c>
      <c r="D3786" s="61" t="n">
        <f aca="false">-D3772</f>
        <v>-40000</v>
      </c>
      <c r="E3786" s="61" t="n">
        <f aca="false">-E3772</f>
        <v>-53900</v>
      </c>
      <c r="F3786" s="61" t="n">
        <f aca="false">-F3772</f>
        <v>-44466.6666666667</v>
      </c>
      <c r="G3786" s="61" t="n">
        <f aca="false">-G3772</f>
        <v>-41533.3333333333</v>
      </c>
      <c r="H3786" s="2" t="s">
        <v>1384</v>
      </c>
    </row>
    <row r="3787" customFormat="false" ht="15" hidden="false" customHeight="false" outlineLevel="1" collapsed="false">
      <c r="A3787" s="56" t="s">
        <v>727</v>
      </c>
      <c r="B3787" s="57" t="s">
        <v>11</v>
      </c>
      <c r="C3787" s="62" t="n">
        <f aca="false">C3783+C3786</f>
        <v>-738537.451832192</v>
      </c>
      <c r="D3787" s="62" t="n">
        <f aca="false">D3783+D3786</f>
        <v>-847242.734955969</v>
      </c>
      <c r="E3787" s="62" t="n">
        <f aca="false">E3783+E3786</f>
        <v>-1036733.67837133</v>
      </c>
      <c r="F3787" s="62" t="n">
        <f aca="false">F3783+F3786</f>
        <v>-1165429.14182839</v>
      </c>
      <c r="G3787" s="62" t="n">
        <f aca="false">G3783+G3786</f>
        <v>-1302453.29671046</v>
      </c>
      <c r="H3787" s="2" t="s">
        <v>1385</v>
      </c>
    </row>
    <row r="3788" customFormat="false" ht="15" hidden="false" customHeight="false" outlineLevel="0" collapsed="false">
      <c r="A3788" s="3" t="s">
        <v>1386</v>
      </c>
      <c r="B3788" s="4"/>
      <c r="C3788" s="4"/>
      <c r="D3788" s="4"/>
      <c r="E3788" s="4"/>
      <c r="F3788" s="4"/>
      <c r="G3788" s="4"/>
      <c r="H3788" s="4"/>
    </row>
    <row r="3789" customFormat="false" ht="15" hidden="false" customHeight="false" outlineLevel="1" collapsed="false">
      <c r="A3789" s="7" t="s">
        <v>729</v>
      </c>
      <c r="B3789" s="8" t="s">
        <v>11</v>
      </c>
      <c r="C3789" s="61" t="n">
        <f aca="false">C3787</f>
        <v>-738537.451832192</v>
      </c>
      <c r="D3789" s="61" t="n">
        <f aca="false">D3787</f>
        <v>-847242.734955969</v>
      </c>
      <c r="E3789" s="61" t="n">
        <f aca="false">E3787</f>
        <v>-1036733.67837133</v>
      </c>
      <c r="F3789" s="61" t="n">
        <f aca="false">F3787</f>
        <v>-1165429.14182839</v>
      </c>
      <c r="G3789" s="61" t="n">
        <f aca="false">G3787</f>
        <v>-1302453.29671046</v>
      </c>
      <c r="H3789" s="2" t="s">
        <v>1387</v>
      </c>
    </row>
    <row r="3790" customFormat="false" ht="15" hidden="false" customHeight="false" outlineLevel="1" collapsed="false">
      <c r="A3790" s="7" t="s">
        <v>730</v>
      </c>
      <c r="B3790" s="8" t="s">
        <v>11</v>
      </c>
      <c r="C3790" s="61" t="n">
        <f aca="false">0</f>
        <v>0</v>
      </c>
      <c r="D3790" s="61" t="n">
        <f aca="false">C3793</f>
        <v>738537.451832192</v>
      </c>
      <c r="E3790" s="61" t="n">
        <f aca="false">D3793</f>
        <v>1585780.18678816</v>
      </c>
      <c r="F3790" s="61" t="n">
        <f aca="false">E3793</f>
        <v>2622513.86515949</v>
      </c>
      <c r="G3790" s="61" t="n">
        <f aca="false">F3793</f>
        <v>3787943.00698788</v>
      </c>
      <c r="H3790" s="2" t="s">
        <v>1388</v>
      </c>
    </row>
    <row r="3791" customFormat="false" ht="15" hidden="false" customHeight="false" outlineLevel="1" collapsed="false">
      <c r="A3791" s="7" t="s">
        <v>731</v>
      </c>
      <c r="B3791" s="8" t="s">
        <v>11</v>
      </c>
      <c r="C3791" s="61" t="n">
        <f aca="false">MAX(0,-C3789)</f>
        <v>738537.451832192</v>
      </c>
      <c r="D3791" s="61" t="n">
        <f aca="false">MAX(0,-D3789)</f>
        <v>847242.734955969</v>
      </c>
      <c r="E3791" s="61" t="n">
        <f aca="false">MAX(0,-E3789)</f>
        <v>1036733.67837133</v>
      </c>
      <c r="F3791" s="61" t="n">
        <f aca="false">MAX(0,-F3789)</f>
        <v>1165429.14182839</v>
      </c>
      <c r="G3791" s="61" t="n">
        <f aca="false">MAX(0,-G3789)</f>
        <v>1302453.29671046</v>
      </c>
      <c r="H3791" s="2" t="s">
        <v>1389</v>
      </c>
    </row>
    <row r="3792" customFormat="false" ht="15" hidden="false" customHeight="false" outlineLevel="1" collapsed="false">
      <c r="A3792" s="7" t="s">
        <v>732</v>
      </c>
      <c r="B3792" s="8" t="s">
        <v>11</v>
      </c>
      <c r="C3792" s="61" t="n">
        <f aca="false">MIN(C3790,Pressupostos!$C$181*MAX(0,C3789))</f>
        <v>0</v>
      </c>
      <c r="D3792" s="61" t="n">
        <f aca="false">MIN(D3790,Pressupostos!$C$181*MAX(0,D3789))</f>
        <v>0</v>
      </c>
      <c r="E3792" s="61" t="n">
        <f aca="false">MIN(E3790,Pressupostos!$C$181*MAX(0,E3789))</f>
        <v>0</v>
      </c>
      <c r="F3792" s="61" t="n">
        <f aca="false">MIN(F3790,Pressupostos!$C$181*MAX(0,F3789))</f>
        <v>0</v>
      </c>
      <c r="G3792" s="61" t="n">
        <f aca="false">MIN(G3790,Pressupostos!$C$181*MAX(0,G3789))</f>
        <v>0</v>
      </c>
      <c r="H3792" s="2" t="s">
        <v>1390</v>
      </c>
    </row>
    <row r="3793" customFormat="false" ht="15" hidden="false" customHeight="false" outlineLevel="1" collapsed="false">
      <c r="A3793" s="7" t="s">
        <v>733</v>
      </c>
      <c r="B3793" s="8" t="s">
        <v>11</v>
      </c>
      <c r="C3793" s="61" t="n">
        <f aca="false">C3790+C3791-C3792</f>
        <v>738537.451832192</v>
      </c>
      <c r="D3793" s="61" t="n">
        <f aca="false">D3790+D3791-D3792</f>
        <v>1585780.18678816</v>
      </c>
      <c r="E3793" s="61" t="n">
        <f aca="false">E3790+E3791-E3792</f>
        <v>2622513.86515949</v>
      </c>
      <c r="F3793" s="61" t="n">
        <f aca="false">F3790+F3791-F3792</f>
        <v>3787943.00698788</v>
      </c>
      <c r="G3793" s="61" t="n">
        <f aca="false">G3790+G3791-G3792</f>
        <v>5090396.30369834</v>
      </c>
      <c r="H3793" s="2" t="s">
        <v>1391</v>
      </c>
    </row>
    <row r="3794" customFormat="false" ht="15" hidden="false" customHeight="false" outlineLevel="1" collapsed="false">
      <c r="A3794" s="7" t="s">
        <v>734</v>
      </c>
      <c r="B3794" s="8" t="s">
        <v>11</v>
      </c>
      <c r="C3794" s="61" t="n">
        <f aca="false">MAX(0,C3789)-C3792</f>
        <v>0</v>
      </c>
      <c r="D3794" s="61" t="n">
        <f aca="false">MAX(0,D3789)-D3792</f>
        <v>0</v>
      </c>
      <c r="E3794" s="61" t="n">
        <f aca="false">MAX(0,E3789)-E3792</f>
        <v>0</v>
      </c>
      <c r="F3794" s="61" t="n">
        <f aca="false">MAX(0,F3789)-F3792</f>
        <v>0</v>
      </c>
      <c r="G3794" s="61" t="n">
        <f aca="false">MAX(0,G3789)-G3792</f>
        <v>0</v>
      </c>
      <c r="H3794" s="2" t="s">
        <v>1392</v>
      </c>
    </row>
    <row r="3795" customFormat="false" ht="15" hidden="false" customHeight="false" outlineLevel="1" collapsed="false">
      <c r="A3795" s="7" t="s">
        <v>735</v>
      </c>
      <c r="B3795" s="8" t="s">
        <v>11</v>
      </c>
      <c r="C3795" s="61" t="n">
        <f aca="false">Pressupostos!$C$172*MIN(C3794,Pressupostos!$C$173)+Pressupostos!$C$467*MAX(0,C3794-Pressupostos!$C$173)</f>
        <v>0</v>
      </c>
      <c r="D3795" s="61" t="n">
        <f aca="false">Pressupostos!$C$172*MIN(D3794,Pressupostos!$C$173)+Pressupostos!$D$467*MAX(0,D3794-Pressupostos!$C$173)</f>
        <v>0</v>
      </c>
      <c r="E3795" s="61" t="n">
        <f aca="false">Pressupostos!$C$172*MIN(E3794,Pressupostos!$C$173)+Pressupostos!$E$467*MAX(0,E3794-Pressupostos!$C$173)</f>
        <v>0</v>
      </c>
      <c r="F3795" s="61" t="n">
        <f aca="false">Pressupostos!$C$172*MIN(F3794,Pressupostos!$C$173)+Pressupostos!$F$467*MAX(0,F3794-Pressupostos!$C$173)</f>
        <v>0</v>
      </c>
      <c r="G3795" s="61" t="n">
        <f aca="false">Pressupostos!$C$172*MIN(G3794,Pressupostos!$C$173)+Pressupostos!$G$467*MAX(0,G3794-Pressupostos!$C$173)</f>
        <v>0</v>
      </c>
      <c r="H3795" s="2" t="s">
        <v>1393</v>
      </c>
    </row>
    <row r="3796" customFormat="false" ht="15" hidden="false" customHeight="false" outlineLevel="1" collapsed="false">
      <c r="A3796" s="7" t="s">
        <v>736</v>
      </c>
      <c r="B3796" s="8" t="s">
        <v>11</v>
      </c>
      <c r="C3796" s="61" t="n">
        <f aca="false">Pressupostos!$C$174*MAX(0,C3789)</f>
        <v>0</v>
      </c>
      <c r="D3796" s="61" t="n">
        <f aca="false">Pressupostos!$C$174*MAX(0,D3789)</f>
        <v>0</v>
      </c>
      <c r="E3796" s="61" t="n">
        <f aca="false">Pressupostos!$C$174*MAX(0,E3789)</f>
        <v>0</v>
      </c>
      <c r="F3796" s="61" t="n">
        <f aca="false">Pressupostos!$C$174*MAX(0,F3789)</f>
        <v>0</v>
      </c>
      <c r="G3796" s="61" t="n">
        <f aca="false">Pressupostos!$C$174*MAX(0,G3789)</f>
        <v>0</v>
      </c>
      <c r="H3796" s="2" t="s">
        <v>1394</v>
      </c>
    </row>
    <row r="3797" customFormat="false" ht="15" hidden="false" customHeight="false" outlineLevel="1" collapsed="false">
      <c r="A3797" s="7" t="s">
        <v>737</v>
      </c>
      <c r="B3797" s="8" t="s">
        <v>11</v>
      </c>
      <c r="C3797" s="61" t="n">
        <f aca="false">Pressupostos!$C$176*MAX(0,MIN(C3789,Pressupostos!$C$177)-Pressupostos!$C$175)+Pressupostos!$C$178*MAX(0,MIN(C3789,Pressupostos!$C$179)-Pressupostos!$C$177)+Pressupostos!$C$180*MAX(0,C3789-Pressupostos!$C$179)</f>
        <v>0</v>
      </c>
      <c r="D3797" s="61" t="n">
        <f aca="false">Pressupostos!$C$176*MAX(0,MIN(D3789,Pressupostos!$C$177)-Pressupostos!$C$175)+Pressupostos!$C$178*MAX(0,MIN(D3789,Pressupostos!$C$179)-Pressupostos!$C$177)+Pressupostos!$C$180*MAX(0,D3789-Pressupostos!$C$179)</f>
        <v>0</v>
      </c>
      <c r="E3797" s="61" t="n">
        <f aca="false">Pressupostos!$C$176*MAX(0,MIN(E3789,Pressupostos!$C$177)-Pressupostos!$C$175)+Pressupostos!$C$178*MAX(0,MIN(E3789,Pressupostos!$C$179)-Pressupostos!$C$177)+Pressupostos!$C$180*MAX(0,E3789-Pressupostos!$C$179)</f>
        <v>0</v>
      </c>
      <c r="F3797" s="61" t="n">
        <f aca="false">Pressupostos!$C$176*MAX(0,MIN(F3789,Pressupostos!$C$177)-Pressupostos!$C$175)+Pressupostos!$C$178*MAX(0,MIN(F3789,Pressupostos!$C$179)-Pressupostos!$C$177)+Pressupostos!$C$180*MAX(0,F3789-Pressupostos!$C$179)</f>
        <v>0</v>
      </c>
      <c r="G3797" s="61" t="n">
        <f aca="false">Pressupostos!$C$176*MAX(0,MIN(G3789,Pressupostos!$C$177)-Pressupostos!$C$175)+Pressupostos!$C$178*MAX(0,MIN(G3789,Pressupostos!$C$179)-Pressupostos!$C$177)+Pressupostos!$C$180*MAX(0,G3789-Pressupostos!$C$179)</f>
        <v>0</v>
      </c>
      <c r="H3797" s="2" t="s">
        <v>1395</v>
      </c>
    </row>
    <row r="3798" customFormat="false" ht="15" hidden="false" customHeight="false" outlineLevel="1" collapsed="false">
      <c r="A3798" s="7" t="s">
        <v>738</v>
      </c>
      <c r="B3798" s="8" t="s">
        <v>11</v>
      </c>
      <c r="C3798" s="61" t="n">
        <f aca="false">C3795+C3796+C3797</f>
        <v>0</v>
      </c>
      <c r="D3798" s="61" t="n">
        <f aca="false">D3795+D3796+D3797</f>
        <v>0</v>
      </c>
      <c r="E3798" s="61" t="n">
        <f aca="false">E3795+E3796+E3797</f>
        <v>0</v>
      </c>
      <c r="F3798" s="61" t="n">
        <f aca="false">F3795+F3796+F3797</f>
        <v>0</v>
      </c>
      <c r="G3798" s="61" t="n">
        <f aca="false">G3795+G3796+G3797</f>
        <v>0</v>
      </c>
      <c r="H3798" s="2" t="s">
        <v>1396</v>
      </c>
    </row>
    <row r="3799" customFormat="false" ht="15" hidden="false" customHeight="false" outlineLevel="0" collapsed="false">
      <c r="A3799" s="3" t="s">
        <v>1397</v>
      </c>
      <c r="B3799" s="4"/>
      <c r="C3799" s="4"/>
      <c r="D3799" s="4"/>
      <c r="E3799" s="4"/>
      <c r="F3799" s="4"/>
      <c r="G3799" s="4"/>
      <c r="H3799" s="4"/>
    </row>
    <row r="3800" customFormat="false" ht="15" hidden="false" customHeight="false" outlineLevel="1" collapsed="false">
      <c r="A3800" s="7" t="s">
        <v>738</v>
      </c>
      <c r="B3800" s="8" t="s">
        <v>11</v>
      </c>
      <c r="C3800" s="61" t="n">
        <f aca="false">-C3798</f>
        <v>-0</v>
      </c>
      <c r="D3800" s="61" t="n">
        <f aca="false">-D3798</f>
        <v>-0</v>
      </c>
      <c r="E3800" s="61" t="n">
        <f aca="false">-E3798</f>
        <v>-0</v>
      </c>
      <c r="F3800" s="61" t="n">
        <f aca="false">-F3798</f>
        <v>-0</v>
      </c>
      <c r="G3800" s="61" t="n">
        <f aca="false">-G3798</f>
        <v>-0</v>
      </c>
      <c r="H3800" s="2" t="s">
        <v>1398</v>
      </c>
    </row>
    <row r="3801" customFormat="false" ht="15" hidden="false" customHeight="false" outlineLevel="1" collapsed="false">
      <c r="A3801" s="56" t="s">
        <v>740</v>
      </c>
      <c r="B3801" s="57" t="s">
        <v>11</v>
      </c>
      <c r="C3801" s="62" t="n">
        <f aca="false">C3787+C3800</f>
        <v>-738537.451832192</v>
      </c>
      <c r="D3801" s="62" t="n">
        <f aca="false">D3787+D3800</f>
        <v>-847242.734955969</v>
      </c>
      <c r="E3801" s="62" t="n">
        <f aca="false">E3787+E3800</f>
        <v>-1036733.67837133</v>
      </c>
      <c r="F3801" s="62" t="n">
        <f aca="false">F3787+F3800</f>
        <v>-1165429.14182839</v>
      </c>
      <c r="G3801" s="62" t="n">
        <f aca="false">G3787+G3800</f>
        <v>-1302453.29671046</v>
      </c>
      <c r="H3801" s="2" t="s">
        <v>1399</v>
      </c>
    </row>
    <row r="3802" customFormat="false" ht="15" hidden="false" customHeight="false" outlineLevel="0" collapsed="false">
      <c r="A3802" s="3" t="s">
        <v>1400</v>
      </c>
      <c r="B3802" s="4"/>
      <c r="C3802" s="4"/>
      <c r="D3802" s="4"/>
      <c r="E3802" s="4"/>
      <c r="F3802" s="4"/>
      <c r="G3802" s="4"/>
      <c r="H3802" s="4"/>
    </row>
    <row r="3803" customFormat="false" ht="15" hidden="false" customHeight="false" outlineLevel="1" collapsed="false">
      <c r="A3803" s="7" t="s">
        <v>744</v>
      </c>
      <c r="B3803" s="8" t="s">
        <v>11</v>
      </c>
      <c r="C3803" s="61" t="n">
        <f aca="false">C3575*1000*((C3593+C3596)*C3599/365)+C3576*1000*((C3616+C3619)*C3622/365)+C3578*1000*((C3639+C3642)*C3645/365)</f>
        <v>33682.1917808219</v>
      </c>
      <c r="D3803" s="61" t="n">
        <f aca="false">D3575*1000*((D3593+D3596)*D3599/365)+D3576*1000*((D3616+D3619)*D3622/365)+D3578*1000*((D3639+D3642)*D3645/365)</f>
        <v>196557.534246575</v>
      </c>
      <c r="E3803" s="61" t="n">
        <f aca="false">E3575*1000*((E3593+E3596)*E3599/365)+E3576*1000*((E3616+E3619)*E3622/365)+E3578*1000*((E3639+E3642)*E3645/365)</f>
        <v>306721.232876712</v>
      </c>
      <c r="F3803" s="61" t="n">
        <f aca="false">F3575*1000*((F3593+F3596)*F3599/365)+F3576*1000*((F3616+F3619)*F3622/365)+F3578*1000*((F3639+F3642)*F3645/365)</f>
        <v>530402.054794521</v>
      </c>
      <c r="G3803" s="61" t="n">
        <f aca="false">G3575*1000*((G3593+G3596)*G3599/365)+G3576*1000*((G3616+G3619)*G3622/365)+G3578*1000*((G3639+G3642)*G3645/365)</f>
        <v>805623.287671233</v>
      </c>
      <c r="H3803" s="2" t="s">
        <v>1401</v>
      </c>
    </row>
    <row r="3804" customFormat="false" ht="15" hidden="false" customHeight="false" outlineLevel="1" collapsed="false">
      <c r="A3804" s="7" t="s">
        <v>745</v>
      </c>
      <c r="B3804" s="8" t="s">
        <v>11</v>
      </c>
      <c r="C3804" s="61" t="n">
        <f aca="false">C3803+C3588*1000*Pressupostos!$C$92*Pressupostos!$C$95/365</f>
        <v>33682.1917808219</v>
      </c>
      <c r="D3804" s="61" t="n">
        <f aca="false">D3803+D3588*1000*Pressupostos!$C$92*Pressupostos!$C$95/365</f>
        <v>196557.534246575</v>
      </c>
      <c r="E3804" s="61" t="n">
        <f aca="false">E3803+E3588*1000*Pressupostos!$C$92*Pressupostos!$C$95/365</f>
        <v>332611.643835617</v>
      </c>
      <c r="F3804" s="61" t="n">
        <f aca="false">F3803+F3588*1000*Pressupostos!$C$92*Pressupostos!$C$95/365</f>
        <v>582182.876712329</v>
      </c>
      <c r="G3804" s="61" t="n">
        <f aca="false">G3803+G3588*1000*Pressupostos!$C$92*Pressupostos!$C$95/365</f>
        <v>891924.657534247</v>
      </c>
      <c r="H3804" s="2" t="s">
        <v>1402</v>
      </c>
    </row>
    <row r="3805" customFormat="false" ht="15" hidden="false" customHeight="false" outlineLevel="1" collapsed="false">
      <c r="A3805" s="7" t="s">
        <v>746</v>
      </c>
      <c r="B3805" s="8" t="s">
        <v>11</v>
      </c>
      <c r="C3805" s="61" t="n">
        <f aca="false">C3575*1000*(C3595*C3600/365)+C3576*1000*(C3618*C3623/365)+C3578*1000*(C3641*C3646/365)+C3670*Pressupostos!$C$96/365+(C3672+C3673)*Pressupostos!$C$82/365</f>
        <v>31855.0684931507</v>
      </c>
      <c r="D3805" s="61" t="n">
        <f aca="false">D3575*1000*(D3595*D3600/365)+D3576*1000*(D3618*D3623/365)+D3578*1000*(D3641*D3646/365)+D3670*Pressupostos!$C$96/365+(D3672+D3673)*Pressupostos!$C$82/365</f>
        <v>212985</v>
      </c>
      <c r="E3805" s="61" t="n">
        <f aca="false">E3575*1000*(E3595*E3600/365)+E3576*1000*(E3618*E3623/365)+E3578*1000*(E3641*E3646/365)+E3670*Pressupostos!$C$96/365+(E3672+E3673)*Pressupostos!$C$82/365</f>
        <v>469179.246575342</v>
      </c>
      <c r="F3805" s="61" t="n">
        <f aca="false">F3575*1000*(F3595*F3600/365)+F3576*1000*(F3618*F3623/365)+F3578*1000*(F3641*F3646/365)+F3670*Pressupostos!$C$96/365+(F3672+F3673)*Pressupostos!$C$82/365</f>
        <v>803968.150684931</v>
      </c>
      <c r="G3805" s="61" t="n">
        <f aca="false">G3575*1000*(G3595*G3600/365)+G3576*1000*(G3618*G3623/365)+G3578*1000*(G3641*G3646/365)+G3670*Pressupostos!$C$96/365+(G3672+G3673)*Pressupostos!$C$82/365</f>
        <v>1225216.02739726</v>
      </c>
      <c r="H3805" s="2" t="s">
        <v>1403</v>
      </c>
    </row>
    <row r="3806" customFormat="false" ht="15" hidden="false" customHeight="false" outlineLevel="1" collapsed="false">
      <c r="A3806" s="7" t="s">
        <v>747</v>
      </c>
      <c r="B3806" s="8" t="s">
        <v>11</v>
      </c>
      <c r="C3806" s="61" t="n">
        <f aca="false">C3575*1000*((C3593+C3596)*Pressupostos!$C$72/365)+C3576*1000*((C3616+C3619)*Pressupostos!$C$72/365)+C3578*1000*((C3639+C3642)*Pressupostos!$C$72/365)+C3588*1000*Pressupostos!$C$92*Pressupostos!$C$97/365</f>
        <v>20038.3561643836</v>
      </c>
      <c r="D3806" s="61" t="n">
        <f aca="false">D3575*1000*((D3593+D3596)*Pressupostos!$C$72/365)+D3576*1000*((D3616+D3619)*Pressupostos!$C$72/365)+D3578*1000*((D3639+D3642)*Pressupostos!$C$72/365)+D3588*1000*Pressupostos!$C$92*Pressupostos!$C$97/365</f>
        <v>133454.794520548</v>
      </c>
      <c r="E3806" s="61" t="n">
        <f aca="false">E3575*1000*((E3593+E3596)*Pressupostos!$C$72/365)+E3576*1000*((E3616+E3619)*Pressupostos!$C$72/365)+E3578*1000*((E3639+E3642)*Pressupostos!$C$72/365)+E3588*1000*Pressupostos!$C$92*Pressupostos!$C$97/365</f>
        <v>301298.630136986</v>
      </c>
      <c r="F3806" s="61" t="n">
        <f aca="false">F3575*1000*((F3593+F3596)*Pressupostos!$C$72/365)+F3576*1000*((F3616+F3619)*Pressupostos!$C$72/365)+F3578*1000*((F3639+F3642)*Pressupostos!$C$72/365)+F3588*1000*Pressupostos!$C$92*Pressupostos!$C$97/365</f>
        <v>519386.301369863</v>
      </c>
      <c r="G3806" s="61" t="n">
        <f aca="false">G3575*1000*((G3593+G3596)*Pressupostos!$C$72/365)+G3576*1000*((G3616+G3619)*Pressupostos!$C$72/365)+G3578*1000*((G3639+G3642)*Pressupostos!$C$72/365)+G3588*1000*Pressupostos!$C$92*Pressupostos!$C$97/365</f>
        <v>793232.876712329</v>
      </c>
      <c r="H3806" s="2" t="s">
        <v>1404</v>
      </c>
    </row>
    <row r="3807" customFormat="false" ht="15" hidden="false" customHeight="false" outlineLevel="1" collapsed="false">
      <c r="A3807" s="56" t="s">
        <v>748</v>
      </c>
      <c r="B3807" s="57" t="s">
        <v>11</v>
      </c>
      <c r="C3807" s="62" t="n">
        <f aca="false">C3804+C3805-C3806</f>
        <v>45498.904109589</v>
      </c>
      <c r="D3807" s="62" t="n">
        <f aca="false">D3804+D3805-D3806</f>
        <v>276087.739726027</v>
      </c>
      <c r="E3807" s="62" t="n">
        <f aca="false">E3804+E3805-E3806</f>
        <v>500492.260273972</v>
      </c>
      <c r="F3807" s="62" t="n">
        <f aca="false">F3804+F3805-F3806</f>
        <v>866764.726027397</v>
      </c>
      <c r="G3807" s="62" t="n">
        <f aca="false">G3804+G3805-G3806</f>
        <v>1323907.80821918</v>
      </c>
      <c r="H3807" s="2" t="s">
        <v>1405</v>
      </c>
    </row>
    <row r="3808" customFormat="false" ht="15" hidden="false" customHeight="false" outlineLevel="0" collapsed="false">
      <c r="A3808" s="3" t="s">
        <v>1406</v>
      </c>
      <c r="B3808" s="4"/>
      <c r="C3808" s="4"/>
      <c r="D3808" s="4"/>
      <c r="E3808" s="4"/>
      <c r="F3808" s="4"/>
      <c r="G3808" s="4"/>
      <c r="H3808" s="4"/>
    </row>
    <row r="3809" customFormat="false" ht="15" hidden="false" customHeight="false" outlineLevel="1" collapsed="false">
      <c r="A3809" s="56" t="s">
        <v>750</v>
      </c>
      <c r="B3809" s="57" t="s">
        <v>11</v>
      </c>
      <c r="C3809" s="62" t="n">
        <f aca="false">Pressupostos!$C$282*C3807/Pressupostos!$D$31</f>
        <v>0</v>
      </c>
      <c r="D3809" s="62" t="n">
        <f aca="false">Pressupostos!$D$282*D3807/Pressupostos!$D$31</f>
        <v>310598.707191781</v>
      </c>
      <c r="E3809" s="62" t="n">
        <f aca="false">Pressupostos!$E$282*E3807/Pressupostos!$D$31</f>
        <v>563053.792808219</v>
      </c>
      <c r="F3809" s="62" t="n">
        <f aca="false">Pressupostos!$F$282*F3807/Pressupostos!$D$31</f>
        <v>975110.316780822</v>
      </c>
      <c r="G3809" s="62" t="n">
        <f aca="false">Pressupostos!$G$282*G3807/Pressupostos!$D$31</f>
        <v>1489396.28424658</v>
      </c>
      <c r="H3809" s="2" t="s">
        <v>1407</v>
      </c>
    </row>
    <row r="3810" customFormat="false" ht="15" hidden="false" customHeight="false" outlineLevel="1" collapsed="false">
      <c r="A3810" s="7" t="s">
        <v>751</v>
      </c>
      <c r="B3810" s="8" t="s">
        <v>11</v>
      </c>
      <c r="C3810" s="61" t="n">
        <f aca="false">Pressupostos!$C$282*C3807</f>
        <v>0</v>
      </c>
      <c r="D3810" s="61" t="n">
        <f aca="false">Pressupostos!$D$282*D3807</f>
        <v>248478.965753425</v>
      </c>
      <c r="E3810" s="61" t="n">
        <f aca="false">Pressupostos!$E$282*E3807</f>
        <v>450443.034246575</v>
      </c>
      <c r="F3810" s="61" t="n">
        <f aca="false">Pressupostos!$F$282*F3807</f>
        <v>780088.253424658</v>
      </c>
      <c r="G3810" s="61" t="n">
        <f aca="false">Pressupostos!$G$282*G3807</f>
        <v>1191517.02739726</v>
      </c>
      <c r="H3810" s="2" t="s">
        <v>1408</v>
      </c>
    </row>
    <row r="3811" customFormat="false" ht="15" hidden="false" customHeight="false" outlineLevel="1" collapsed="false">
      <c r="A3811" s="7" t="s">
        <v>752</v>
      </c>
      <c r="B3811" s="8" t="s">
        <v>11</v>
      </c>
      <c r="C3811" s="61" t="n">
        <f aca="false">C3809-C3810</f>
        <v>0</v>
      </c>
      <c r="D3811" s="61" t="n">
        <f aca="false">D3809-D3810</f>
        <v>62119.7414383561</v>
      </c>
      <c r="E3811" s="61" t="n">
        <f aca="false">E3809-E3810</f>
        <v>112610.758561644</v>
      </c>
      <c r="F3811" s="61" t="n">
        <f aca="false">F3809-F3810</f>
        <v>195022.063356164</v>
      </c>
      <c r="G3811" s="61" t="n">
        <f aca="false">G3809-G3810</f>
        <v>297879.256849315</v>
      </c>
      <c r="H3811" s="2" t="s">
        <v>1409</v>
      </c>
    </row>
    <row r="3812" customFormat="false" ht="15" hidden="false" customHeight="false" outlineLevel="1" collapsed="false">
      <c r="A3812" s="7" t="s">
        <v>753</v>
      </c>
      <c r="B3812" s="8" t="s">
        <v>11</v>
      </c>
      <c r="C3812" s="61" t="n">
        <f aca="false">C3807-C3810</f>
        <v>45498.904109589</v>
      </c>
      <c r="D3812" s="61" t="n">
        <f aca="false">D3807-D3810</f>
        <v>27608.7739726027</v>
      </c>
      <c r="E3812" s="61" t="n">
        <f aca="false">E3807-E3810</f>
        <v>50049.2260273973</v>
      </c>
      <c r="F3812" s="61" t="n">
        <f aca="false">F3807-F3810</f>
        <v>86676.4726027397</v>
      </c>
      <c r="G3812" s="61" t="n">
        <f aca="false">G3807-G3810</f>
        <v>132390.780821918</v>
      </c>
      <c r="H3812" s="2" t="s">
        <v>1410</v>
      </c>
    </row>
    <row r="3813" customFormat="false" ht="15" hidden="false" customHeight="false" outlineLevel="1" collapsed="false">
      <c r="A3813" s="7" t="s">
        <v>754</v>
      </c>
      <c r="B3813" s="8" t="s">
        <v>11</v>
      </c>
      <c r="C3813" s="61" t="n">
        <f aca="false">MAX(0,Pressupostos!$C$108-C3812)</f>
        <v>4501.09589041097</v>
      </c>
      <c r="D3813" s="61" t="n">
        <f aca="false">MAX(0,Pressupostos!$C$108-D3812)</f>
        <v>22391.2260273973</v>
      </c>
      <c r="E3813" s="61" t="n">
        <f aca="false">MAX(0,Pressupostos!$C$108-E3812)</f>
        <v>0</v>
      </c>
      <c r="F3813" s="61" t="n">
        <f aca="false">MAX(0,Pressupostos!$C$108-F3812)</f>
        <v>0</v>
      </c>
      <c r="G3813" s="61" t="n">
        <f aca="false">MAX(0,Pressupostos!$C$108-G3812)</f>
        <v>0</v>
      </c>
      <c r="H3813" s="2" t="s">
        <v>1411</v>
      </c>
    </row>
    <row r="3814" customFormat="false" ht="15" hidden="false" customHeight="false" outlineLevel="1" collapsed="false">
      <c r="A3814" s="7" t="s">
        <v>755</v>
      </c>
      <c r="B3814" s="8" t="s">
        <v>11</v>
      </c>
      <c r="C3814" s="61" t="n">
        <f aca="false">Pressupostos!$C$109*C3809</f>
        <v>0</v>
      </c>
      <c r="D3814" s="61" t="n">
        <f aca="false">Pressupostos!$C$109*D3809</f>
        <v>15529.935359589</v>
      </c>
      <c r="E3814" s="61" t="n">
        <f aca="false">Pressupostos!$C$109*E3809</f>
        <v>28152.689640411</v>
      </c>
      <c r="F3814" s="61" t="n">
        <f aca="false">Pressupostos!$C$109*F3809</f>
        <v>48755.5158390411</v>
      </c>
      <c r="G3814" s="61" t="n">
        <f aca="false">Pressupostos!$C$109*G3809</f>
        <v>74469.8142123288</v>
      </c>
      <c r="H3814" s="2" t="s">
        <v>1412</v>
      </c>
    </row>
    <row r="3815" customFormat="false" ht="15" hidden="false" customHeight="false" outlineLevel="1" collapsed="false">
      <c r="A3815" s="2" t="s">
        <v>756</v>
      </c>
      <c r="B3815" s="8" t="s">
        <v>123</v>
      </c>
      <c r="C3815" s="61" t="n">
        <f aca="false">C3809/Pressupostos!$C$112</f>
        <v>0</v>
      </c>
      <c r="D3815" s="61" t="n">
        <f aca="false">D3809/Pressupostos!$C$112</f>
        <v>6.21197414383562</v>
      </c>
      <c r="E3815" s="61" t="n">
        <f aca="false">E3809/Pressupostos!$C$112</f>
        <v>11.2610758561644</v>
      </c>
      <c r="F3815" s="61" t="n">
        <f aca="false">F3809/Pressupostos!$C$112</f>
        <v>19.5022063356164</v>
      </c>
      <c r="G3815" s="61" t="n">
        <f aca="false">G3809/Pressupostos!$C$112</f>
        <v>29.7879256849315</v>
      </c>
      <c r="H3815" s="2" t="s">
        <v>1413</v>
      </c>
    </row>
    <row r="3816" customFormat="false" ht="15" hidden="false" customHeight="false" outlineLevel="0" collapsed="false">
      <c r="A3816" s="3" t="s">
        <v>1414</v>
      </c>
      <c r="B3816" s="4"/>
      <c r="C3816" s="4"/>
      <c r="D3816" s="4"/>
      <c r="E3816" s="4"/>
      <c r="F3816" s="4"/>
      <c r="G3816" s="4"/>
      <c r="H3816" s="4"/>
    </row>
    <row r="3817" customFormat="false" ht="15" hidden="false" customHeight="false" outlineLevel="1" collapsed="false">
      <c r="A3817" s="7" t="s">
        <v>758</v>
      </c>
      <c r="B3817" s="8" t="s">
        <v>11</v>
      </c>
      <c r="C3817" s="61" t="n">
        <f aca="false">C3783</f>
        <v>-711437.451832192</v>
      </c>
      <c r="D3817" s="61" t="n">
        <f aca="false">D3783</f>
        <v>-807242.734955969</v>
      </c>
      <c r="E3817" s="61" t="n">
        <f aca="false">E3783</f>
        <v>-982833.678371331</v>
      </c>
      <c r="F3817" s="61" t="n">
        <f aca="false">F3783</f>
        <v>-1120962.47516172</v>
      </c>
      <c r="G3817" s="61" t="n">
        <f aca="false">G3783</f>
        <v>-1260919.96337713</v>
      </c>
      <c r="H3817" s="2" t="s">
        <v>1415</v>
      </c>
    </row>
    <row r="3818" customFormat="false" ht="15" hidden="false" customHeight="false" outlineLevel="1" collapsed="false">
      <c r="A3818" s="7" t="s">
        <v>759</v>
      </c>
      <c r="B3818" s="8" t="s">
        <v>11</v>
      </c>
      <c r="C3818" s="61" t="n">
        <f aca="false">-C3798</f>
        <v>-0</v>
      </c>
      <c r="D3818" s="61" t="n">
        <f aca="false">-D3798</f>
        <v>-0</v>
      </c>
      <c r="E3818" s="61" t="n">
        <f aca="false">-E3798</f>
        <v>-0</v>
      </c>
      <c r="F3818" s="61" t="n">
        <f aca="false">-F3798</f>
        <v>-0</v>
      </c>
      <c r="G3818" s="61" t="n">
        <f aca="false">-G3798</f>
        <v>-0</v>
      </c>
      <c r="H3818" s="2" t="s">
        <v>1416</v>
      </c>
    </row>
    <row r="3819" customFormat="false" ht="15" hidden="false" customHeight="false" outlineLevel="1" collapsed="false">
      <c r="A3819" s="7" t="s">
        <v>760</v>
      </c>
      <c r="B3819" s="8" t="s">
        <v>11</v>
      </c>
      <c r="C3819" s="61" t="n">
        <f aca="false">-C3807</f>
        <v>-45498.904109589</v>
      </c>
      <c r="D3819" s="61" t="n">
        <f aca="false">-(D3807-C3807)</f>
        <v>-230588.835616438</v>
      </c>
      <c r="E3819" s="61" t="n">
        <f aca="false">-(E3807-D3807)</f>
        <v>-224404.520547945</v>
      </c>
      <c r="F3819" s="61" t="n">
        <f aca="false">-(F3807-E3807)</f>
        <v>-366272.465753425</v>
      </c>
      <c r="G3819" s="61" t="n">
        <f aca="false">-(G3807-F3807)</f>
        <v>-457143.082191781</v>
      </c>
      <c r="H3819" s="2" t="s">
        <v>1417</v>
      </c>
    </row>
    <row r="3820" customFormat="false" ht="15" hidden="false" customHeight="false" outlineLevel="1" collapsed="false">
      <c r="A3820" s="7" t="s">
        <v>424</v>
      </c>
      <c r="B3820" s="8" t="s">
        <v>11</v>
      </c>
      <c r="C3820" s="61" t="n">
        <f aca="false">-C3767</f>
        <v>-92000</v>
      </c>
      <c r="D3820" s="61" t="n">
        <f aca="false">-D3767</f>
        <v>-44000</v>
      </c>
      <c r="E3820" s="61" t="n">
        <f aca="false">-E3767</f>
        <v>-48000</v>
      </c>
      <c r="F3820" s="61" t="n">
        <f aca="false">-F3767</f>
        <v>-38000</v>
      </c>
      <c r="G3820" s="61" t="n">
        <f aca="false">-G3767</f>
        <v>-38000</v>
      </c>
      <c r="H3820" s="2" t="s">
        <v>1418</v>
      </c>
    </row>
    <row r="3821" customFormat="false" ht="15" hidden="false" customHeight="false" outlineLevel="1" collapsed="false">
      <c r="A3821" s="7" t="s">
        <v>761</v>
      </c>
      <c r="B3821" s="8" t="s">
        <v>11</v>
      </c>
      <c r="C3821" s="61" t="n">
        <f aca="false">C3817+C3818+C3819+C3820</f>
        <v>-848936.355941781</v>
      </c>
      <c r="D3821" s="61" t="n">
        <f aca="false">D3817+D3818+D3819+D3820</f>
        <v>-1081831.57057241</v>
      </c>
      <c r="E3821" s="61" t="n">
        <f aca="false">E3817+E3818+E3819+E3820</f>
        <v>-1255238.19891928</v>
      </c>
      <c r="F3821" s="61" t="n">
        <f aca="false">F3817+F3818+F3819+F3820</f>
        <v>-1525234.94091514</v>
      </c>
      <c r="G3821" s="61" t="n">
        <f aca="false">G3817+G3818+G3819+G3820</f>
        <v>-1756063.04556891</v>
      </c>
      <c r="H3821" s="2" t="s">
        <v>1419</v>
      </c>
    </row>
    <row r="3822" customFormat="false" ht="15" hidden="false" customHeight="false" outlineLevel="1" collapsed="false">
      <c r="A3822" s="7" t="s">
        <v>762</v>
      </c>
      <c r="B3822" s="8" t="s">
        <v>11</v>
      </c>
      <c r="C3822" s="61" t="n">
        <f aca="false">C3809</f>
        <v>0</v>
      </c>
      <c r="D3822" s="61" t="n">
        <f aca="false">D3809-C3809</f>
        <v>310598.707191781</v>
      </c>
      <c r="E3822" s="61" t="n">
        <f aca="false">E3809-D3809</f>
        <v>252455.085616438</v>
      </c>
      <c r="F3822" s="61" t="n">
        <f aca="false">F3809-E3809</f>
        <v>412056.523972603</v>
      </c>
      <c r="G3822" s="61" t="n">
        <f aca="false">G3809-F3809</f>
        <v>514285.967465753</v>
      </c>
      <c r="H3822" s="2" t="s">
        <v>1420</v>
      </c>
    </row>
    <row r="3823" customFormat="false" ht="15" hidden="false" customHeight="false" outlineLevel="1" collapsed="false">
      <c r="A3823" s="7" t="s">
        <v>763</v>
      </c>
      <c r="B3823" s="8" t="s">
        <v>11</v>
      </c>
      <c r="C3823" s="61" t="n">
        <f aca="false">-C3811</f>
        <v>-0</v>
      </c>
      <c r="D3823" s="61" t="n">
        <f aca="false">-(D3811-C3811)</f>
        <v>-62119.7414383561</v>
      </c>
      <c r="E3823" s="61" t="n">
        <f aca="false">-(E3811-D3811)</f>
        <v>-50491.0171232877</v>
      </c>
      <c r="F3823" s="61" t="n">
        <f aca="false">-(F3811-E3811)</f>
        <v>-82411.3047945206</v>
      </c>
      <c r="G3823" s="61" t="n">
        <f aca="false">-(G3811-F3811)</f>
        <v>-102857.193493151</v>
      </c>
      <c r="H3823" s="2" t="s">
        <v>1421</v>
      </c>
    </row>
    <row r="3824" customFormat="false" ht="15" hidden="false" customHeight="false" outlineLevel="1" collapsed="false">
      <c r="A3824" s="7" t="s">
        <v>764</v>
      </c>
      <c r="B3824" s="8" t="s">
        <v>11</v>
      </c>
      <c r="C3824" s="61" t="n">
        <f aca="false">-C3814</f>
        <v>-0</v>
      </c>
      <c r="D3824" s="61" t="n">
        <f aca="false">-(D3814-C3814)</f>
        <v>-15529.935359589</v>
      </c>
      <c r="E3824" s="61" t="n">
        <f aca="false">-(E3814-D3814)</f>
        <v>-12622.7542808219</v>
      </c>
      <c r="F3824" s="61" t="n">
        <f aca="false">-(F3814-E3814)</f>
        <v>-20602.8261986301</v>
      </c>
      <c r="G3824" s="61" t="n">
        <f aca="false">-(G3814-F3814)</f>
        <v>-25714.2983732877</v>
      </c>
      <c r="H3824" s="2" t="s">
        <v>1422</v>
      </c>
    </row>
    <row r="3825" customFormat="false" ht="15" hidden="false" customHeight="false" outlineLevel="1" collapsed="false">
      <c r="A3825" s="7" t="s">
        <v>765</v>
      </c>
      <c r="B3825" s="8" t="s">
        <v>11</v>
      </c>
      <c r="C3825" s="61" t="n">
        <f aca="false">-(C3813-Pressupostos!$C$108)</f>
        <v>45498.904109589</v>
      </c>
      <c r="D3825" s="61" t="n">
        <f aca="false">-(D3813-C3813)</f>
        <v>-17890.1301369863</v>
      </c>
      <c r="E3825" s="61" t="n">
        <f aca="false">-(E3813-D3813)</f>
        <v>22391.2260273973</v>
      </c>
      <c r="F3825" s="61" t="n">
        <f aca="false">-(F3813-E3813)</f>
        <v>-0</v>
      </c>
      <c r="G3825" s="61" t="n">
        <f aca="false">-(G3813-F3813)</f>
        <v>-0</v>
      </c>
      <c r="H3825" s="2" t="s">
        <v>1423</v>
      </c>
    </row>
    <row r="3826" customFormat="false" ht="15" hidden="false" customHeight="false" outlineLevel="1" collapsed="false">
      <c r="A3826" s="56" t="s">
        <v>766</v>
      </c>
      <c r="B3826" s="57" t="s">
        <v>11</v>
      </c>
      <c r="C3826" s="62" t="n">
        <f aca="false">C3821+C3822+C3823+C3824+C3825</f>
        <v>-803437.451832192</v>
      </c>
      <c r="D3826" s="62" t="n">
        <f aca="false">D3821+D3822+D3823+D3824+D3825</f>
        <v>-866772.670315558</v>
      </c>
      <c r="E3826" s="62" t="n">
        <f aca="false">E3821+E3822+E3823+E3824+E3825</f>
        <v>-1043505.65867955</v>
      </c>
      <c r="F3826" s="62" t="n">
        <f aca="false">F3821+F3822+F3823+F3824+F3825</f>
        <v>-1216192.54793569</v>
      </c>
      <c r="G3826" s="62" t="n">
        <f aca="false">G3821+G3822+G3823+G3824+G3825</f>
        <v>-1370348.56996959</v>
      </c>
      <c r="H3826" s="2" t="s">
        <v>1424</v>
      </c>
    </row>
    <row r="3827" customFormat="false" ht="15" hidden="false" customHeight="false" outlineLevel="1" collapsed="false">
      <c r="A3827" s="56" t="s">
        <v>767</v>
      </c>
      <c r="B3827" s="57" t="s">
        <v>11</v>
      </c>
      <c r="C3827" s="62" t="n">
        <f aca="false">C3826</f>
        <v>-803437.451832192</v>
      </c>
      <c r="D3827" s="62" t="n">
        <f aca="false">C3827+D3826</f>
        <v>-1670210.12214775</v>
      </c>
      <c r="E3827" s="62" t="n">
        <f aca="false">D3827+E3826</f>
        <v>-2713715.7808273</v>
      </c>
      <c r="F3827" s="62" t="n">
        <f aca="false">E3827+F3826</f>
        <v>-3929908.32876299</v>
      </c>
      <c r="G3827" s="62" t="n">
        <f aca="false">F3827+G3826</f>
        <v>-5300256.89873259</v>
      </c>
      <c r="H3827" s="2" t="s">
        <v>1425</v>
      </c>
    </row>
    <row r="3828" customFormat="false" ht="15" hidden="false" customHeight="false" outlineLevel="1" collapsed="false">
      <c r="A3828" s="8" t="s">
        <v>768</v>
      </c>
      <c r="B3828" s="8" t="s">
        <v>11</v>
      </c>
      <c r="C3828" s="70" t="n">
        <f aca="false">ROUND(C3783-C3767-C3798-(MAX(C3812,Pressupostos!$C$108)-Pressupostos!$C$108)-(C3814)-C3826,6)</f>
        <v>0</v>
      </c>
      <c r="D3828" s="70" t="n">
        <f aca="false">ROUND(D3783-D3767-D3798-(MAX(D3812,Pressupostos!$C$108)-MAX(C3812,Pressupostos!$C$108))-(D3814-C3814)-D3826,6)</f>
        <v>0</v>
      </c>
      <c r="E3828" s="70" t="n">
        <f aca="false">ROUND(E3783-E3767-E3798-(MAX(E3812,Pressupostos!$C$108)-MAX(D3812,Pressupostos!$C$108))-(E3814-D3814)-E3826,6)</f>
        <v>0</v>
      </c>
      <c r="F3828" s="70" t="n">
        <f aca="false">ROUND(F3783-F3767-F3798-(MAX(F3812,Pressupostos!$C$108)-MAX(E3812,Pressupostos!$C$108))-(F3814-E3814)-F3826,6)</f>
        <v>0</v>
      </c>
      <c r="G3828" s="70" t="n">
        <f aca="false">ROUND(G3783-G3767-G3798-(MAX(G3812,Pressupostos!$C$108)-MAX(F3812,Pressupostos!$C$108))-(G3814-F3814)-G3826,6)</f>
        <v>0</v>
      </c>
      <c r="H3828" s="2" t="s">
        <v>1426</v>
      </c>
    </row>
    <row r="3829" customFormat="false" ht="15" hidden="false" customHeight="false" outlineLevel="0" collapsed="false">
      <c r="A3829" s="3" t="s">
        <v>1427</v>
      </c>
      <c r="B3829" s="4"/>
      <c r="C3829" s="4"/>
      <c r="D3829" s="4"/>
      <c r="E3829" s="4"/>
      <c r="F3829" s="4"/>
      <c r="G3829" s="4"/>
      <c r="H3829" s="4"/>
    </row>
    <row r="3830" customFormat="false" ht="15" hidden="false" customHeight="false" outlineLevel="1" collapsed="false">
      <c r="A3830" s="7" t="s">
        <v>770</v>
      </c>
      <c r="B3830" s="8" t="s">
        <v>11</v>
      </c>
      <c r="C3830" s="61" t="n">
        <f aca="false">0</f>
        <v>0</v>
      </c>
      <c r="D3830" s="61" t="n">
        <f aca="false">C3835</f>
        <v>151562.548167808</v>
      </c>
      <c r="E3830" s="61" t="n">
        <f aca="false">D3835</f>
        <v>150000</v>
      </c>
      <c r="F3830" s="61" t="n">
        <f aca="false">E3835</f>
        <v>150000</v>
      </c>
      <c r="G3830" s="61" t="n">
        <f aca="false">F3835</f>
        <v>150000</v>
      </c>
      <c r="H3830" s="2" t="s">
        <v>1428</v>
      </c>
    </row>
    <row r="3831" customFormat="false" ht="15" hidden="false" customHeight="false" outlineLevel="1" collapsed="false">
      <c r="A3831" s="7" t="s">
        <v>771</v>
      </c>
      <c r="B3831" s="8" t="s">
        <v>11</v>
      </c>
      <c r="C3831" s="61" t="n">
        <f aca="false">-(Pressupostos!$C$159+Pressupostos!$C$160+Pressupostos!$C$161+Pressupostos!$C$162+Pressupostos!$C$163+Pressupostos!$C$108)</f>
        <v>-145000</v>
      </c>
      <c r="D3831" s="61" t="n">
        <f aca="false">0</f>
        <v>0</v>
      </c>
      <c r="E3831" s="61" t="n">
        <f aca="false">0</f>
        <v>0</v>
      </c>
      <c r="F3831" s="61" t="n">
        <f aca="false">0</f>
        <v>0</v>
      </c>
      <c r="G3831" s="61" t="n">
        <f aca="false">0</f>
        <v>0</v>
      </c>
      <c r="H3831" s="2" t="s">
        <v>1429</v>
      </c>
    </row>
    <row r="3832" customFormat="false" ht="15" hidden="false" customHeight="false" outlineLevel="1" collapsed="false">
      <c r="A3832" s="7" t="s">
        <v>772</v>
      </c>
      <c r="B3832" s="8" t="s">
        <v>11</v>
      </c>
      <c r="C3832" s="53" t="n">
        <f aca="false">Pressupostos!$D$32</f>
        <v>1100000</v>
      </c>
      <c r="D3832" s="61" t="n">
        <f aca="false">0</f>
        <v>0</v>
      </c>
      <c r="E3832" s="61" t="n">
        <f aca="false">0</f>
        <v>0</v>
      </c>
      <c r="F3832" s="61" t="n">
        <f aca="false">0</f>
        <v>0</v>
      </c>
      <c r="G3832" s="61" t="n">
        <f aca="false">0</f>
        <v>0</v>
      </c>
      <c r="H3832" s="2" t="s">
        <v>1430</v>
      </c>
    </row>
    <row r="3833" customFormat="false" ht="15" hidden="false" customHeight="false" outlineLevel="1" collapsed="false">
      <c r="A3833" s="7" t="s">
        <v>773</v>
      </c>
      <c r="B3833" s="8" t="s">
        <v>11</v>
      </c>
      <c r="C3833" s="61" t="n">
        <f aca="false">C3830+C3831+C3832+C3826</f>
        <v>151562.548167808</v>
      </c>
      <c r="D3833" s="61" t="n">
        <f aca="false">D3830+D3831+D3832+D3826</f>
        <v>-715210.12214775</v>
      </c>
      <c r="E3833" s="61" t="n">
        <f aca="false">E3830+E3831+E3832+E3826</f>
        <v>-893505.65867955</v>
      </c>
      <c r="F3833" s="61" t="n">
        <f aca="false">F3830+F3831+F3832+F3826</f>
        <v>-1066192.54793569</v>
      </c>
      <c r="G3833" s="61" t="n">
        <f aca="false">G3830+G3831+G3832+G3826</f>
        <v>-1220348.56996959</v>
      </c>
      <c r="H3833" s="2" t="s">
        <v>1431</v>
      </c>
    </row>
    <row r="3834" customFormat="false" ht="15" hidden="false" customHeight="false" outlineLevel="1" collapsed="false">
      <c r="A3834" s="56" t="s">
        <v>774</v>
      </c>
      <c r="B3834" s="57" t="s">
        <v>11</v>
      </c>
      <c r="C3834" s="62" t="n">
        <f aca="false">MAX(0,Pressupostos!$C$170-C3833)</f>
        <v>0</v>
      </c>
      <c r="D3834" s="62" t="n">
        <f aca="false">MAX(0,Pressupostos!$C$170-D3833)</f>
        <v>865210.12214775</v>
      </c>
      <c r="E3834" s="62" t="n">
        <f aca="false">MAX(0,Pressupostos!$C$170-E3833)</f>
        <v>1043505.65867955</v>
      </c>
      <c r="F3834" s="62" t="n">
        <f aca="false">MAX(0,Pressupostos!$C$170-F3833)</f>
        <v>1216192.54793569</v>
      </c>
      <c r="G3834" s="62" t="n">
        <f aca="false">MAX(0,Pressupostos!$C$170-G3833)</f>
        <v>1370348.56996959</v>
      </c>
      <c r="H3834" s="2" t="s">
        <v>1432</v>
      </c>
    </row>
    <row r="3835" customFormat="false" ht="15" hidden="false" customHeight="false" outlineLevel="1" collapsed="false">
      <c r="A3835" s="56" t="s">
        <v>775</v>
      </c>
      <c r="B3835" s="57" t="s">
        <v>11</v>
      </c>
      <c r="C3835" s="62" t="n">
        <f aca="false">C3833+C3834</f>
        <v>151562.548167808</v>
      </c>
      <c r="D3835" s="62" t="n">
        <f aca="false">D3833+D3834</f>
        <v>150000</v>
      </c>
      <c r="E3835" s="62" t="n">
        <f aca="false">E3833+E3834</f>
        <v>150000</v>
      </c>
      <c r="F3835" s="62" t="n">
        <f aca="false">F3833+F3834</f>
        <v>150000</v>
      </c>
      <c r="G3835" s="62" t="n">
        <f aca="false">G3833+G3834</f>
        <v>150000</v>
      </c>
      <c r="H3835" s="2" t="s">
        <v>1433</v>
      </c>
    </row>
    <row r="3836" customFormat="false" ht="15" hidden="false" customHeight="false" outlineLevel="1" collapsed="false">
      <c r="A3836" s="7" t="s">
        <v>776</v>
      </c>
      <c r="B3836" s="8" t="s">
        <v>11</v>
      </c>
      <c r="C3836" s="61" t="n">
        <f aca="false">C3811+C3814+C3813</f>
        <v>4501.09589041097</v>
      </c>
      <c r="D3836" s="61" t="n">
        <f aca="false">D3811+D3814+D3813</f>
        <v>100040.902825342</v>
      </c>
      <c r="E3836" s="61" t="n">
        <f aca="false">E3811+E3814+E3813</f>
        <v>140763.448202055</v>
      </c>
      <c r="F3836" s="61" t="n">
        <f aca="false">F3811+F3814+F3813</f>
        <v>243777.579195205</v>
      </c>
      <c r="G3836" s="61" t="n">
        <f aca="false">G3811+G3814+G3813</f>
        <v>372349.071061644</v>
      </c>
      <c r="H3836" s="2" t="s">
        <v>1434</v>
      </c>
    </row>
    <row r="3837" customFormat="false" ht="15" hidden="false" customHeight="false" outlineLevel="1" collapsed="false">
      <c r="A3837" s="7" t="s">
        <v>777</v>
      </c>
      <c r="B3837" s="8" t="s">
        <v>11</v>
      </c>
      <c r="C3837" s="61" t="n">
        <f aca="false">C3835+C3836</f>
        <v>156063.644058219</v>
      </c>
      <c r="D3837" s="61" t="n">
        <f aca="false">D3835+D3836</f>
        <v>250040.902825342</v>
      </c>
      <c r="E3837" s="61" t="n">
        <f aca="false">E3835+E3836</f>
        <v>290763.448202055</v>
      </c>
      <c r="F3837" s="61" t="n">
        <f aca="false">F3835+F3836</f>
        <v>393777.579195206</v>
      </c>
      <c r="G3837" s="61" t="n">
        <f aca="false">G3835+G3836</f>
        <v>522349.071061644</v>
      </c>
      <c r="H3837" s="2" t="s">
        <v>1435</v>
      </c>
    </row>
    <row r="3838" customFormat="false" ht="15" hidden="false" customHeight="false" outlineLevel="1" collapsed="false">
      <c r="A3838" s="7" t="s">
        <v>778</v>
      </c>
      <c r="B3838" s="8" t="s">
        <v>11</v>
      </c>
      <c r="C3838" s="61" t="n">
        <f aca="false">C3832+C3834</f>
        <v>1100000</v>
      </c>
      <c r="D3838" s="61" t="n">
        <f aca="false">C3838+D3832+D3834</f>
        <v>1965210.12214775</v>
      </c>
      <c r="E3838" s="61" t="n">
        <f aca="false">D3838+E3832+E3834</f>
        <v>3008715.7808273</v>
      </c>
      <c r="F3838" s="61" t="n">
        <f aca="false">E3838+F3832+F3834</f>
        <v>4224908.32876299</v>
      </c>
      <c r="G3838" s="61" t="n">
        <f aca="false">F3838+G3832+G3834</f>
        <v>5595256.89873259</v>
      </c>
      <c r="H3838" s="2" t="s">
        <v>1436</v>
      </c>
    </row>
    <row r="3839" customFormat="false" ht="15" hidden="false" customHeight="false" outlineLevel="0" collapsed="false">
      <c r="A3839" s="3" t="s">
        <v>1437</v>
      </c>
      <c r="B3839" s="4"/>
      <c r="C3839" s="4"/>
      <c r="D3839" s="4"/>
      <c r="E3839" s="4"/>
      <c r="F3839" s="4"/>
      <c r="G3839" s="4"/>
      <c r="H3839" s="4"/>
    </row>
    <row r="3840" customFormat="false" ht="15" hidden="false" customHeight="false" outlineLevel="1" collapsed="false">
      <c r="A3840" s="7" t="s">
        <v>782</v>
      </c>
      <c r="B3840" s="8" t="s">
        <v>11</v>
      </c>
      <c r="C3840" s="72" t="n">
        <f aca="false">Pressupostos!$C$159+Pressupostos!$C$160+Pressupostos!$C$161+Pressupostos!$C$162+Pressupostos!$C$163</f>
        <v>95000</v>
      </c>
      <c r="H3840" s="2" t="s">
        <v>1438</v>
      </c>
    </row>
    <row r="3841" customFormat="false" ht="15" hidden="false" customHeight="false" outlineLevel="1" collapsed="false">
      <c r="A3841" s="7" t="s">
        <v>783</v>
      </c>
      <c r="B3841" s="8" t="s">
        <v>11</v>
      </c>
      <c r="C3841" s="73" t="n">
        <f aca="false">Pressupostos!$C$108</f>
        <v>50000</v>
      </c>
      <c r="H3841" s="2" t="s">
        <v>1439</v>
      </c>
    </row>
    <row r="3842" customFormat="false" ht="15" hidden="false" customHeight="false" outlineLevel="1" collapsed="false">
      <c r="A3842" s="7" t="s">
        <v>322</v>
      </c>
      <c r="B3842" s="8" t="s">
        <v>11</v>
      </c>
      <c r="C3842" s="73" t="n">
        <f aca="false">Pressupostos!$C$170</f>
        <v>150000</v>
      </c>
      <c r="H3842" s="2" t="s">
        <v>1440</v>
      </c>
    </row>
    <row r="3843" customFormat="false" ht="15" hidden="false" customHeight="false" outlineLevel="1" collapsed="false">
      <c r="A3843" s="7" t="s">
        <v>784</v>
      </c>
      <c r="B3843" s="8" t="s">
        <v>11</v>
      </c>
      <c r="C3843" s="72" t="n">
        <f aca="false">MAX(0,-MIN($C$3827:$G$3827))</f>
        <v>5300256.89873259</v>
      </c>
      <c r="H3843" s="2" t="s">
        <v>1441</v>
      </c>
    </row>
    <row r="3844" customFormat="false" ht="15" hidden="false" customHeight="false" outlineLevel="1" collapsed="false">
      <c r="A3844" s="56" t="s">
        <v>785</v>
      </c>
      <c r="B3844" s="57" t="s">
        <v>11</v>
      </c>
      <c r="C3844" s="74" t="n">
        <f aca="false">C3840+C3841+C3842+C3843</f>
        <v>5595256.89873259</v>
      </c>
      <c r="H3844" s="2" t="s">
        <v>1442</v>
      </c>
    </row>
    <row r="3845" customFormat="false" ht="15" hidden="false" customHeight="false" outlineLevel="1" collapsed="false">
      <c r="A3845" s="7" t="s">
        <v>786</v>
      </c>
      <c r="B3845" s="8" t="s">
        <v>20</v>
      </c>
      <c r="C3845" s="75" t="n">
        <f aca="false">INDEX($C$3572:$G$3572,1,MATCH(MIN($C$3827:$G$3827),$C$3827:$G$3827,0))</f>
        <v>2031</v>
      </c>
      <c r="H3845" s="2" t="s">
        <v>1443</v>
      </c>
    </row>
    <row r="3846" customFormat="false" ht="15" hidden="false" customHeight="false" outlineLevel="1" collapsed="false">
      <c r="A3846" s="7" t="s">
        <v>787</v>
      </c>
      <c r="B3846" s="8"/>
      <c r="C3846" s="76" t="str">
        <f aca="false">IF(G3826&lt;0,"sim","não")</f>
        <v>sim</v>
      </c>
      <c r="H3846" s="2" t="s">
        <v>1444</v>
      </c>
    </row>
    <row r="3847" customFormat="false" ht="15" hidden="false" customHeight="false" outlineLevel="1" collapsed="false">
      <c r="A3847" s="7" t="s">
        <v>788</v>
      </c>
      <c r="B3847" s="8" t="s">
        <v>11</v>
      </c>
      <c r="C3847" s="72" t="n">
        <f aca="false">G3838</f>
        <v>5595256.89873259</v>
      </c>
      <c r="H3847" s="2" t="s">
        <v>1445</v>
      </c>
    </row>
    <row r="3848" customFormat="false" ht="15" hidden="false" customHeight="false" outlineLevel="0" collapsed="false">
      <c r="A3848" s="3" t="s">
        <v>1446</v>
      </c>
      <c r="B3848" s="4"/>
      <c r="C3848" s="4"/>
      <c r="D3848" s="4"/>
      <c r="E3848" s="4"/>
      <c r="F3848" s="4"/>
      <c r="G3848" s="4"/>
      <c r="H3848" s="4"/>
    </row>
    <row r="3849" customFormat="false" ht="15" hidden="false" customHeight="false" outlineLevel="1" collapsed="false">
      <c r="A3849" s="7" t="s">
        <v>790</v>
      </c>
      <c r="B3849" s="8" t="s">
        <v>11</v>
      </c>
      <c r="C3849" s="72" t="n">
        <f aca="false">C3840+C3841</f>
        <v>145000</v>
      </c>
      <c r="H3849" s="2" t="s">
        <v>1447</v>
      </c>
    </row>
    <row r="3850" customFormat="false" ht="15" hidden="false" customHeight="false" outlineLevel="1" collapsed="false">
      <c r="A3850" s="7" t="s">
        <v>791</v>
      </c>
      <c r="B3850" s="8" t="s">
        <v>11</v>
      </c>
      <c r="C3850" s="72" t="n">
        <f aca="false">-SUMPRODUCT(($C$3572:$G$3572&lt;=C3845)*$C$3783:$G$3783)</f>
        <v>4883396.30369834</v>
      </c>
      <c r="H3850" s="2" t="s">
        <v>1448</v>
      </c>
    </row>
    <row r="3851" customFormat="false" ht="15" hidden="false" customHeight="false" outlineLevel="1" collapsed="false">
      <c r="A3851" s="7" t="s">
        <v>424</v>
      </c>
      <c r="B3851" s="8" t="s">
        <v>11</v>
      </c>
      <c r="C3851" s="72" t="n">
        <f aca="false">SUMPRODUCT(($C$3572:$G$3572&lt;=C3845)*$C$3767:$G$3767)</f>
        <v>260000</v>
      </c>
      <c r="H3851" s="2" t="s">
        <v>1449</v>
      </c>
    </row>
    <row r="3852" customFormat="false" ht="15" hidden="false" customHeight="false" outlineLevel="1" collapsed="false">
      <c r="A3852" s="7" t="s">
        <v>792</v>
      </c>
      <c r="B3852" s="8" t="s">
        <v>11</v>
      </c>
      <c r="C3852" s="72" t="n">
        <f aca="false">SUMPRODUCT(($C$3572:$G$3572&lt;=C3845)*$C$3798:$G$3798)</f>
        <v>0</v>
      </c>
      <c r="H3852" s="2" t="s">
        <v>1450</v>
      </c>
    </row>
    <row r="3853" customFormat="false" ht="15" hidden="false" customHeight="false" outlineLevel="1" collapsed="false">
      <c r="A3853" s="7" t="s">
        <v>793</v>
      </c>
      <c r="B3853" s="8" t="s">
        <v>11</v>
      </c>
      <c r="C3853" s="72" t="n">
        <f aca="false">C3843-C3850-C3851-C3852</f>
        <v>156860.595034247</v>
      </c>
      <c r="H3853" s="2" t="s">
        <v>1451</v>
      </c>
    </row>
    <row r="3854" customFormat="false" ht="15" hidden="false" customHeight="false" outlineLevel="1" collapsed="false">
      <c r="A3854" s="7" t="s">
        <v>322</v>
      </c>
      <c r="B3854" s="8" t="s">
        <v>11</v>
      </c>
      <c r="C3854" s="72" t="n">
        <f aca="false">C3842</f>
        <v>150000</v>
      </c>
      <c r="H3854" s="2" t="s">
        <v>1452</v>
      </c>
    </row>
    <row r="3855" customFormat="false" ht="15" hidden="false" customHeight="false" outlineLevel="1" collapsed="false">
      <c r="A3855" s="56" t="s">
        <v>794</v>
      </c>
      <c r="B3855" s="57" t="s">
        <v>11</v>
      </c>
      <c r="C3855" s="74" t="n">
        <f aca="false">C3849+C3850+C3851+C3852+C3853+C3854</f>
        <v>5595256.89873259</v>
      </c>
      <c r="H3855" s="2" t="s">
        <v>1453</v>
      </c>
    </row>
    <row r="3856" customFormat="false" ht="15" hidden="false" customHeight="false" outlineLevel="0" collapsed="false">
      <c r="A3856" s="3" t="s">
        <v>1454</v>
      </c>
      <c r="B3856" s="4"/>
      <c r="C3856" s="4"/>
      <c r="D3856" s="4"/>
      <c r="E3856" s="4"/>
      <c r="F3856" s="4"/>
      <c r="G3856" s="4"/>
      <c r="H3856" s="4"/>
    </row>
    <row r="3857" customFormat="false" ht="15" hidden="false" customHeight="false" outlineLevel="1" collapsed="false">
      <c r="A3857" s="7" t="s">
        <v>772</v>
      </c>
      <c r="B3857" s="8" t="s">
        <v>11</v>
      </c>
      <c r="C3857" s="73" t="n">
        <f aca="false">Pressupostos!$D$32</f>
        <v>1100000</v>
      </c>
      <c r="H3857" s="2" t="s">
        <v>1455</v>
      </c>
    </row>
    <row r="3858" customFormat="false" ht="15" hidden="false" customHeight="false" outlineLevel="1" collapsed="false">
      <c r="A3858" s="7" t="s">
        <v>796</v>
      </c>
      <c r="B3858" s="8" t="s">
        <v>11</v>
      </c>
      <c r="C3858" s="72" t="n">
        <f aca="false">C3840+Pressupostos!$C$108+Pressupostos!$C$130/12*((C3742-C3730-C3731+(C3730+C3731)/Pressupostos!$C$128*Pressupostos!$C$129)*(1+Pressupostos!$C$124+Pressupostos!$C$125)+C3728*Pressupostos!$C$126+C3761)+C3767+MAX(0,Pressupostos!$C$183*1000*(C3593+C3596)+Pressupostos!$C$184*1000*(C3616+C3619)-Pressupostos!$C$108)</f>
        <v>734321.666666667</v>
      </c>
      <c r="H3858" s="2" t="s">
        <v>1456</v>
      </c>
    </row>
    <row r="3859" customFormat="false" ht="15" hidden="false" customHeight="false" outlineLevel="1" collapsed="false">
      <c r="A3859" s="7" t="s">
        <v>798</v>
      </c>
      <c r="B3859" s="8" t="s">
        <v>11</v>
      </c>
      <c r="C3859" s="72" t="n">
        <f aca="false">C3840+Pressupostos!$C$108-C3826</f>
        <v>948437.451832192</v>
      </c>
      <c r="H3859" s="2" t="s">
        <v>1457</v>
      </c>
    </row>
    <row r="3860" customFormat="false" ht="15" hidden="false" customHeight="false" outlineLevel="1" collapsed="false">
      <c r="A3860" s="7" t="s">
        <v>799</v>
      </c>
      <c r="B3860" s="8" t="s">
        <v>11</v>
      </c>
      <c r="C3860" s="61" t="n">
        <f aca="false">Pressupostos!$D$32-C3840-Pressupostos!$C$108+C3827</f>
        <v>151562.548167808</v>
      </c>
      <c r="D3860" s="61" t="n">
        <f aca="false">Pressupostos!$D$32-C3840-Pressupostos!$C$108+D3827</f>
        <v>-715210.12214775</v>
      </c>
      <c r="E3860" s="61" t="n">
        <f aca="false">Pressupostos!$D$32-C3840-Pressupostos!$C$108+E3827</f>
        <v>-1758715.7808273</v>
      </c>
      <c r="F3860" s="61" t="n">
        <f aca="false">Pressupostos!$D$32-C3840-Pressupostos!$C$108+F3827</f>
        <v>-2974908.32876299</v>
      </c>
      <c r="G3860" s="61" t="n">
        <f aca="false">Pressupostos!$D$32-C3840-Pressupostos!$C$108+G3827</f>
        <v>-4345256.89873259</v>
      </c>
      <c r="H3860" s="2" t="s">
        <v>1458</v>
      </c>
    </row>
    <row r="3861" customFormat="false" ht="15" hidden="false" customHeight="false" outlineLevel="1" collapsed="false">
      <c r="A3861" s="7" t="s">
        <v>800</v>
      </c>
      <c r="B3861" s="8" t="s">
        <v>18</v>
      </c>
      <c r="C3861" s="77" t="str">
        <f aca="false">IF(AND(Pressupostos!$D$32-C3840-Pressupostos!$C$108&gt;0,C3860&lt;=0),12*(Pressupostos!$D$32-C3840-Pressupostos!$C$108)/(Pressupostos!$D$32-C3840-Pressupostos!$C$108-C3860),"")</f>
        <v/>
      </c>
      <c r="D3861" s="77" t="n">
        <f aca="false">IF(AND(C3860&gt;0,D3860&lt;=0),12+12*C3860/(C3860-D3860),"")</f>
        <v>14.098301711972</v>
      </c>
      <c r="E3861" s="77" t="str">
        <f aca="false">IF(AND(D3860&gt;0,E3860&lt;=0),24+12*D3860/(D3860-E3860),"")</f>
        <v/>
      </c>
      <c r="F3861" s="77" t="str">
        <f aca="false">IF(AND(E3860&gt;0,F3860&lt;=0),36+12*E3860/(E3860-F3860),"")</f>
        <v/>
      </c>
      <c r="G3861" s="77" t="str">
        <f aca="false">IF(AND(F3860&gt;0,G3860&lt;=0),48+12*F3860/(F3860-G3860),"")</f>
        <v/>
      </c>
      <c r="H3861" s="2" t="s">
        <v>1459</v>
      </c>
    </row>
    <row r="3862" customFormat="false" ht="15" hidden="false" customHeight="false" outlineLevel="1" collapsed="false">
      <c r="A3862" s="56" t="s">
        <v>801</v>
      </c>
      <c r="B3862" s="57" t="s">
        <v>274</v>
      </c>
      <c r="C3862" s="78" t="n">
        <f aca="false">IF(COUNT($C$3861:$G$3861)=0,"&gt; 60",MIN($C$3861:$G$3861))</f>
        <v>14.098301711972</v>
      </c>
      <c r="H3862" s="2" t="s">
        <v>1460</v>
      </c>
    </row>
    <row r="3863" customFormat="false" ht="15" hidden="false" customHeight="false" outlineLevel="0" collapsed="false">
      <c r="A3863" s="3" t="s">
        <v>1461</v>
      </c>
      <c r="B3863" s="4"/>
      <c r="C3863" s="4"/>
      <c r="D3863" s="4"/>
      <c r="E3863" s="4"/>
      <c r="F3863" s="4"/>
      <c r="G3863" s="4"/>
      <c r="H3863" s="4"/>
    </row>
    <row r="3864" customFormat="false" ht="15" hidden="false" customHeight="false" outlineLevel="1" collapsed="false">
      <c r="A3864" s="7" t="s">
        <v>803</v>
      </c>
      <c r="B3864" s="8" t="s">
        <v>18</v>
      </c>
      <c r="C3864" s="77" t="str">
        <f aca="false">IF(C3783&gt;=0,1,"")</f>
        <v/>
      </c>
      <c r="D3864" s="77" t="str">
        <f aca="false">IF(AND(C3783&lt;0,D3783&gt;=0),6.5+12*(-C3783)/(D3783-C3783),"")</f>
        <v/>
      </c>
      <c r="E3864" s="77" t="str">
        <f aca="false">IF(AND(D3783&lt;0,E3783&gt;=0),18.5+12*(-D3783)/(E3783-D3783),"")</f>
        <v/>
      </c>
      <c r="F3864" s="77" t="str">
        <f aca="false">IF(AND(E3783&lt;0,F3783&gt;=0),30.5+12*(-E3783)/(F3783-E3783),"")</f>
        <v/>
      </c>
      <c r="G3864" s="77" t="str">
        <f aca="false">IF(AND(F3783&lt;0,G3783&gt;=0),42.5+12*(-F3783)/(G3783-F3783),"")</f>
        <v/>
      </c>
      <c r="H3864" s="2" t="s">
        <v>1462</v>
      </c>
    </row>
    <row r="3865" customFormat="false" ht="15" hidden="false" customHeight="false" outlineLevel="1" collapsed="false">
      <c r="A3865" s="7" t="s">
        <v>804</v>
      </c>
      <c r="B3865" s="8" t="s">
        <v>18</v>
      </c>
      <c r="C3865" s="79" t="str">
        <f aca="false">IF(COUNT($C$3864:$G$3864)=0,"não atinge até 2031",ROUNDUP(MIN($C$3864:$G$3864),0))</f>
        <v>não atinge até 2031</v>
      </c>
      <c r="H3865" s="2" t="s">
        <v>1463</v>
      </c>
    </row>
    <row r="3866" customFormat="false" ht="15" hidden="false" customHeight="false" outlineLevel="1" collapsed="false">
      <c r="A3866" s="56" t="s">
        <v>805</v>
      </c>
      <c r="B3866" s="57" t="s">
        <v>806</v>
      </c>
      <c r="C3866" s="80" t="str">
        <f aca="false">IF(ISNUMBER(C3865),DATE(2027,C3865,1),"não atinge até 2031")</f>
        <v>não atinge até 2031</v>
      </c>
      <c r="H3866" s="2" t="s">
        <v>1464</v>
      </c>
    </row>
    <row r="3867" customFormat="false" ht="15" hidden="false" customHeight="false" outlineLevel="1" collapsed="false">
      <c r="A3867" s="7" t="s">
        <v>807</v>
      </c>
      <c r="B3867" s="8" t="s">
        <v>20</v>
      </c>
      <c r="C3867" s="81" t="str">
        <f aca="false">IF(C3783&gt;=0,C3572,"")</f>
        <v/>
      </c>
      <c r="D3867" s="81" t="str">
        <f aca="false">IF(D3783&gt;=0,D3572,"")</f>
        <v/>
      </c>
      <c r="E3867" s="81" t="str">
        <f aca="false">IF(E3783&gt;=0,E3572,"")</f>
        <v/>
      </c>
      <c r="F3867" s="81" t="str">
        <f aca="false">IF(F3783&gt;=0,F3572,"")</f>
        <v/>
      </c>
      <c r="G3867" s="81" t="str">
        <f aca="false">IF(G3783&gt;=0,G3572,"")</f>
        <v/>
      </c>
      <c r="H3867" s="2" t="s">
        <v>1465</v>
      </c>
    </row>
    <row r="3868" customFormat="false" ht="15" hidden="false" customHeight="false" outlineLevel="1" collapsed="false">
      <c r="A3868" s="7" t="s">
        <v>808</v>
      </c>
      <c r="B3868" s="8" t="s">
        <v>20</v>
      </c>
      <c r="C3868" s="75" t="str">
        <f aca="false">IF(COUNT($C$3867:$G$3867)=0,"não atinge até 2031",MIN($C$3867:$G$3867))</f>
        <v>não atinge até 2031</v>
      </c>
      <c r="H3868" s="2" t="s">
        <v>1466</v>
      </c>
    </row>
    <row r="3869" customFormat="false" ht="15" hidden="false" customHeight="false" outlineLevel="1" collapsed="false">
      <c r="A3869" s="7" t="s">
        <v>809</v>
      </c>
      <c r="B3869" s="8" t="s">
        <v>20</v>
      </c>
      <c r="C3869" s="81" t="str">
        <f aca="false">IF(C3801&gt;=0,C3572,"")</f>
        <v/>
      </c>
      <c r="D3869" s="81" t="str">
        <f aca="false">IF(D3801&gt;=0,D3572,"")</f>
        <v/>
      </c>
      <c r="E3869" s="81" t="str">
        <f aca="false">IF(E3801&gt;=0,E3572,"")</f>
        <v/>
      </c>
      <c r="F3869" s="81" t="str">
        <f aca="false">IF(F3801&gt;=0,F3572,"")</f>
        <v/>
      </c>
      <c r="G3869" s="81" t="str">
        <f aca="false">IF(G3801&gt;=0,G3572,"")</f>
        <v/>
      </c>
      <c r="H3869" s="2" t="s">
        <v>1467</v>
      </c>
    </row>
    <row r="3870" customFormat="false" ht="15" hidden="false" customHeight="false" outlineLevel="1" collapsed="false">
      <c r="A3870" s="7" t="s">
        <v>810</v>
      </c>
      <c r="B3870" s="8" t="s">
        <v>20</v>
      </c>
      <c r="C3870" s="75" t="str">
        <f aca="false">IF(COUNT($C$3869:$G$3869)=0,"não atinge até 2031",MIN($C$3869:$G$3869))</f>
        <v>não atinge até 2031</v>
      </c>
      <c r="H3870" s="2" t="s">
        <v>1468</v>
      </c>
    </row>
    <row r="3871" customFormat="false" ht="15" hidden="false" customHeight="false" outlineLevel="1" collapsed="false">
      <c r="A3871" s="7" t="s">
        <v>811</v>
      </c>
      <c r="B3871" s="8" t="s">
        <v>20</v>
      </c>
      <c r="C3871" s="81" t="str">
        <f aca="false">IF(C3826&gt;=0,C3572,"")</f>
        <v/>
      </c>
      <c r="D3871" s="81" t="str">
        <f aca="false">IF(D3826&gt;=0,D3572,"")</f>
        <v/>
      </c>
      <c r="E3871" s="81" t="str">
        <f aca="false">IF(E3826&gt;=0,E3572,"")</f>
        <v/>
      </c>
      <c r="F3871" s="81" t="str">
        <f aca="false">IF(F3826&gt;=0,F3572,"")</f>
        <v/>
      </c>
      <c r="G3871" s="81" t="str">
        <f aca="false">IF(G3826&gt;=0,G3572,"")</f>
        <v/>
      </c>
      <c r="H3871" s="2" t="s">
        <v>1469</v>
      </c>
    </row>
    <row r="3872" customFormat="false" ht="15" hidden="false" customHeight="false" outlineLevel="1" collapsed="false">
      <c r="A3872" s="7" t="s">
        <v>19</v>
      </c>
      <c r="B3872" s="8" t="s">
        <v>20</v>
      </c>
      <c r="C3872" s="75" t="str">
        <f aca="false">IF(COUNT($C$3871:$G$3871)=0,"não atinge até 2031",MIN($C$3871:$G$3871))</f>
        <v>não atinge até 2031</v>
      </c>
      <c r="H3872" s="2" t="s">
        <v>1470</v>
      </c>
    </row>
    <row r="3873" customFormat="false" ht="15" hidden="false" customHeight="false" outlineLevel="0" collapsed="false">
      <c r="A3873" s="3" t="s">
        <v>1471</v>
      </c>
      <c r="B3873" s="4"/>
      <c r="C3873" s="4"/>
      <c r="D3873" s="4"/>
      <c r="E3873" s="4"/>
      <c r="F3873" s="4"/>
      <c r="G3873" s="4"/>
      <c r="H3873" s="4"/>
    </row>
    <row r="3874" customFormat="false" ht="15" hidden="false" customHeight="false" outlineLevel="1" collapsed="false">
      <c r="A3874" s="7" t="s">
        <v>813</v>
      </c>
      <c r="B3874" s="8" t="s">
        <v>11</v>
      </c>
      <c r="C3874" s="61" t="n">
        <f aca="false">C3809</f>
        <v>0</v>
      </c>
      <c r="D3874" s="61" t="n">
        <f aca="false">D3809</f>
        <v>310598.707191781</v>
      </c>
      <c r="E3874" s="61" t="n">
        <f aca="false">E3809</f>
        <v>563053.792808219</v>
      </c>
      <c r="F3874" s="61" t="n">
        <f aca="false">F3809</f>
        <v>975110.316780822</v>
      </c>
      <c r="G3874" s="61" t="n">
        <f aca="false">G3809</f>
        <v>1489396.28424658</v>
      </c>
      <c r="H3874" s="2" t="s">
        <v>1472</v>
      </c>
    </row>
    <row r="3875" customFormat="false" ht="15" hidden="false" customHeight="false" outlineLevel="1" collapsed="false">
      <c r="A3875" s="7" t="s">
        <v>509</v>
      </c>
      <c r="B3875" s="8" t="s">
        <v>76</v>
      </c>
      <c r="C3875" s="60" t="n">
        <f aca="false">(Pressupostos!$C$198)</f>
        <v>0.1</v>
      </c>
      <c r="D3875" s="60" t="n">
        <f aca="false">(Pressupostos!$C$198)</f>
        <v>0.1</v>
      </c>
      <c r="E3875" s="60" t="n">
        <f aca="false">(Pressupostos!$C$198)</f>
        <v>0.1</v>
      </c>
      <c r="F3875" s="60" t="n">
        <f aca="false">(Pressupostos!$C$198)</f>
        <v>0.1</v>
      </c>
      <c r="G3875" s="60" t="n">
        <f aca="false">(Pressupostos!$C$198)</f>
        <v>0.1</v>
      </c>
      <c r="H3875" s="2" t="s">
        <v>1473</v>
      </c>
    </row>
    <row r="3876" customFormat="false" ht="15" hidden="false" customHeight="false" outlineLevel="1" collapsed="false">
      <c r="A3876" s="7" t="s">
        <v>814</v>
      </c>
      <c r="B3876" s="8" t="s">
        <v>76</v>
      </c>
      <c r="C3876" s="60" t="n">
        <f aca="false">(Pressupostos!$C$198)*(1-Pressupostos!$C$111)</f>
        <v>0.072</v>
      </c>
      <c r="D3876" s="60" t="n">
        <f aca="false">(Pressupostos!$C$198)*(1-Pressupostos!$C$111)</f>
        <v>0.072</v>
      </c>
      <c r="E3876" s="60" t="n">
        <f aca="false">(Pressupostos!$C$198)*(1-Pressupostos!$C$111)</f>
        <v>0.072</v>
      </c>
      <c r="F3876" s="60" t="n">
        <f aca="false">(Pressupostos!$C$198)*(1-Pressupostos!$C$111)</f>
        <v>0.072</v>
      </c>
      <c r="G3876" s="60" t="n">
        <f aca="false">(Pressupostos!$C$198)*(1-Pressupostos!$C$111)</f>
        <v>0.072</v>
      </c>
      <c r="H3876" s="2" t="s">
        <v>1474</v>
      </c>
    </row>
    <row r="3877" customFormat="false" ht="15" hidden="false" customHeight="false" outlineLevel="1" collapsed="false">
      <c r="A3877" s="7" t="s">
        <v>815</v>
      </c>
      <c r="B3877" s="8" t="s">
        <v>11</v>
      </c>
      <c r="C3877" s="61" t="n">
        <f aca="false">C3713</f>
        <v>0</v>
      </c>
      <c r="D3877" s="61" t="n">
        <f aca="false">D3713</f>
        <v>29146.2842465753</v>
      </c>
      <c r="E3877" s="61" t="n">
        <f aca="false">E3713</f>
        <v>51694.7517123288</v>
      </c>
      <c r="F3877" s="61" t="n">
        <f aca="false">F3713</f>
        <v>89354.0496575342</v>
      </c>
      <c r="G3877" s="61" t="n">
        <f aca="false">G3713</f>
        <v>136480.22260274</v>
      </c>
      <c r="H3877" s="2" t="s">
        <v>1475</v>
      </c>
    </row>
    <row r="3878" customFormat="false" ht="15" hidden="false" customHeight="false" outlineLevel="1" collapsed="false">
      <c r="A3878" s="7" t="s">
        <v>816</v>
      </c>
      <c r="B3878" s="8" t="s">
        <v>76</v>
      </c>
      <c r="C3878" s="59" t="n">
        <f aca="false">IF(C3809&gt;0,(C3812+C3814)/C3809,0)</f>
        <v>0</v>
      </c>
      <c r="D3878" s="59" t="n">
        <f aca="false">IF(D3809&gt;0,(D3812+D3814)/D3809,0)</f>
        <v>0.138888888888889</v>
      </c>
      <c r="E3878" s="59" t="n">
        <f aca="false">IF(E3809&gt;0,(E3812+E3814)/E3809,0)</f>
        <v>0.138888888888889</v>
      </c>
      <c r="F3878" s="59" t="n">
        <f aca="false">IF(F3809&gt;0,(F3812+F3814)/F3809,0)</f>
        <v>0.138888888888889</v>
      </c>
      <c r="G3878" s="59" t="n">
        <f aca="false">IF(G3809&gt;0,(G3812+G3814)/G3809,0)</f>
        <v>0.138888888888889</v>
      </c>
      <c r="H3878" s="2" t="s">
        <v>1476</v>
      </c>
    </row>
    <row r="3879" customFormat="false" ht="15" hidden="false" customHeight="false" outlineLevel="1" collapsed="false">
      <c r="A3879" s="7" t="s">
        <v>817</v>
      </c>
      <c r="B3879" s="8" t="s">
        <v>123</v>
      </c>
      <c r="C3879" s="61" t="n">
        <f aca="false">C3815</f>
        <v>0</v>
      </c>
      <c r="D3879" s="61" t="n">
        <f aca="false">D3815</f>
        <v>6.21197414383562</v>
      </c>
      <c r="E3879" s="61" t="n">
        <f aca="false">E3815</f>
        <v>11.2610758561644</v>
      </c>
      <c r="F3879" s="61" t="n">
        <f aca="false">F3815</f>
        <v>19.5022063356164</v>
      </c>
      <c r="G3879" s="61" t="n">
        <f aca="false">G3815</f>
        <v>29.7879256849315</v>
      </c>
      <c r="H3879" s="2" t="s">
        <v>1477</v>
      </c>
    </row>
    <row r="3880" customFormat="false" ht="15" hidden="false" customHeight="false" outlineLevel="1" collapsed="false">
      <c r="A3880" s="7" t="s">
        <v>818</v>
      </c>
      <c r="B3880" s="8" t="s">
        <v>11</v>
      </c>
      <c r="C3880" s="61" t="n">
        <f aca="false">C3713+C3759</f>
        <v>65000</v>
      </c>
      <c r="D3880" s="61" t="n">
        <f aca="false">D3713+D3759</f>
        <v>94146.2842465754</v>
      </c>
      <c r="E3880" s="61" t="n">
        <f aca="false">E3713+E3759</f>
        <v>121694.751712329</v>
      </c>
      <c r="F3880" s="61" t="n">
        <f aca="false">F3713+F3759</f>
        <v>164354.049657534</v>
      </c>
      <c r="G3880" s="61" t="n">
        <f aca="false">G3713+G3759</f>
        <v>216480.22260274</v>
      </c>
      <c r="H3880" s="2" t="s">
        <v>1478</v>
      </c>
    </row>
    <row r="3881" customFormat="false" ht="15" hidden="false" customHeight="false" outlineLevel="1" collapsed="false">
      <c r="A3881" s="7" t="s">
        <v>819</v>
      </c>
      <c r="B3881" s="8" t="s">
        <v>76</v>
      </c>
      <c r="C3881" s="59" t="str">
        <f aca="false">IF(C3809&gt;0,C3880/C3809,"")</f>
        <v/>
      </c>
      <c r="D3881" s="59" t="n">
        <f aca="false">IF(D3809&gt;0,D3880/D3809,"")</f>
        <v>0.303112286260883</v>
      </c>
      <c r="E3881" s="59" t="n">
        <f aca="false">IF(E3809&gt;0,E3880/E3809,"")</f>
        <v>0.216133437456089</v>
      </c>
      <c r="F3881" s="59" t="n">
        <f aca="false">IF(F3809&gt;0,F3880/F3809,"")</f>
        <v>0.168549185491262</v>
      </c>
      <c r="G3881" s="59" t="n">
        <f aca="false">IF(G3809&gt;0,G3880/G3809,"")</f>
        <v>0.145347631716597</v>
      </c>
      <c r="H3881" s="2" t="s">
        <v>1479</v>
      </c>
    </row>
    <row r="3882" customFormat="false" ht="15" hidden="false" customHeight="false" outlineLevel="0" collapsed="false">
      <c r="A3882" s="3" t="s">
        <v>1480</v>
      </c>
      <c r="B3882" s="4"/>
      <c r="C3882" s="4"/>
      <c r="D3882" s="4"/>
      <c r="E3882" s="4"/>
      <c r="F3882" s="4"/>
      <c r="G3882" s="4"/>
      <c r="H3882" s="4"/>
    </row>
    <row r="3883" customFormat="false" ht="15" hidden="false" customHeight="false" outlineLevel="1" collapsed="false">
      <c r="A3883" s="7" t="s">
        <v>821</v>
      </c>
      <c r="B3883" s="8" t="s">
        <v>11</v>
      </c>
      <c r="C3883" s="61" t="n">
        <f aca="false">MAX(0,-C3783)</f>
        <v>711437.451832192</v>
      </c>
      <c r="D3883" s="61" t="n">
        <f aca="false">MAX(0,-D3783)</f>
        <v>807242.734955969</v>
      </c>
      <c r="E3883" s="61" t="n">
        <f aca="false">MAX(0,-E3783)</f>
        <v>982833.678371331</v>
      </c>
      <c r="F3883" s="61" t="n">
        <f aca="false">MAX(0,-F3783)</f>
        <v>1120962.47516172</v>
      </c>
      <c r="G3883" s="61" t="n">
        <f aca="false">MAX(0,-G3783)</f>
        <v>1260919.96337713</v>
      </c>
      <c r="H3883" s="2" t="s">
        <v>1481</v>
      </c>
    </row>
    <row r="3884" customFormat="false" ht="15" hidden="false" customHeight="false" outlineLevel="1" collapsed="false">
      <c r="A3884" s="2" t="s">
        <v>822</v>
      </c>
      <c r="B3884" s="8"/>
      <c r="C3884" s="61" t="n">
        <f aca="false">IF(AND(C3572&gt;=Pressupostos!$C$120,Pressupostos!$C$118*(C3666+C3667)+Pressupostos!$C$119*C3668&gt;Pressupostos!$C$300),1,0)</f>
        <v>0</v>
      </c>
      <c r="D3884" s="61" t="n">
        <f aca="false">IF(AND(D3572&gt;=Pressupostos!$C$120,Pressupostos!$C$118*(D3666+D3667)+Pressupostos!$C$119*D3668&gt;Pressupostos!$D$300),1,0)</f>
        <v>1</v>
      </c>
      <c r="E3884" s="61" t="n">
        <f aca="false">IF(AND(E3572&gt;=Pressupostos!$C$120,Pressupostos!$C$118*(E3666+E3667)+Pressupostos!$C$119*E3668&gt;Pressupostos!$E$300),1,0)</f>
        <v>1</v>
      </c>
      <c r="F3884" s="61" t="n">
        <f aca="false">IF(AND(F3572&gt;=Pressupostos!$C$120,Pressupostos!$C$118*(F3666+F3667)+Pressupostos!$C$119*F3668&gt;Pressupostos!$F$300),1,0)</f>
        <v>1</v>
      </c>
      <c r="G3884" s="61" t="n">
        <f aca="false">IF(AND(G3572&gt;=Pressupostos!$C$120,Pressupostos!$C$118*(G3666+G3667)+Pressupostos!$C$119*G3668&gt;Pressupostos!$G$300),1,0)</f>
        <v>1</v>
      </c>
      <c r="H3884" s="2" t="s">
        <v>1482</v>
      </c>
    </row>
    <row r="3885" customFormat="false" ht="15" hidden="false" customHeight="false" outlineLevel="1" collapsed="false">
      <c r="A3885" s="7" t="s">
        <v>823</v>
      </c>
      <c r="B3885" s="8" t="s">
        <v>64</v>
      </c>
      <c r="C3885" s="63" t="n">
        <f aca="false">IF(C3576&gt;0,C3883/(C3576*1000*(1-Pressupostos!$D$22)*(1-Pressupostos!$D$25-C3884*Pressupostos!$C$118)),"n/a")</f>
        <v>13.7226574306032</v>
      </c>
      <c r="D3885" s="63" t="n">
        <f aca="false">IF(D3576&gt;0,D3883/(D3576*1000*(1-Pressupostos!$D$22)*(1-Pressupostos!$D$25-D3884*Pressupostos!$C$118)),"n/a")</f>
        <v>2.2394855863107</v>
      </c>
      <c r="E3885" s="63" t="n">
        <f aca="false">IF(E3576&gt;0,E3883/(E3576*1000*(1-Pressupostos!$D$22)*(1-Pressupostos!$D$25-E3884*Pressupostos!$C$118)),"n/a")</f>
        <v>1.38042121681805</v>
      </c>
      <c r="F3885" s="63" t="n">
        <f aca="false">IF(F3576&gt;0,F3883/(F3576*1000*(1-Pressupostos!$D$22)*(1-Pressupostos!$D$25-F3884*Pressupostos!$C$118)),"n/a")</f>
        <v>0.95423882235813</v>
      </c>
      <c r="G3885" s="63" t="n">
        <f aca="false">IF(G3576&gt;0,G3883/(G3576*1000*(1-Pressupostos!$D$22)*(1-Pressupostos!$D$25-G3884*Pressupostos!$C$118)),"n/a")</f>
        <v>0.70939029259404</v>
      </c>
      <c r="H3885" s="2" t="s">
        <v>1483</v>
      </c>
    </row>
    <row r="3886" customFormat="false" ht="15" hidden="false" customHeight="false" outlineLevel="1" collapsed="false">
      <c r="A3886" s="7" t="s">
        <v>824</v>
      </c>
      <c r="B3886" s="8" t="s">
        <v>64</v>
      </c>
      <c r="C3886" s="63" t="n">
        <f aca="false">IF(C3575&gt;0,Pressupostos!$D$15+C3883/(C3575*1000*(1-Pressupostos!$D$16)*(1-Pressupostos!$D$18-C3884*Pressupostos!$C$118)),"n/a")</f>
        <v>105.057200401323</v>
      </c>
      <c r="D3886" s="63" t="n">
        <f aca="false">IF(D3575&gt;0,Pressupostos!$D$15+D3883/(D3575*1000*(1-Pressupostos!$D$16)*(1-Pressupostos!$D$18-D3884*Pressupostos!$C$118)),"n/a")</f>
        <v>30.1363874467185</v>
      </c>
      <c r="E3886" s="63" t="n">
        <f aca="false">IF(E3575&gt;0,Pressupostos!$D$15+E3883/(E3575*1000*(1-Pressupostos!$D$16)*(1-Pressupostos!$D$18-E3884*Pressupostos!$C$118)),"n/a")</f>
        <v>13.9437451235102</v>
      </c>
      <c r="F3886" s="63" t="n">
        <f aca="false">IF(F3575&gt;0,Pressupostos!$D$15+F3883/(F3575*1000*(1-Pressupostos!$D$16)*(1-Pressupostos!$D$18-F3884*Pressupostos!$C$118)),"n/a")</f>
        <v>10.3619655782197</v>
      </c>
      <c r="G3886" s="63" t="n">
        <f aca="false">IF(G3575&gt;0,Pressupostos!$D$15+G3883/(G3575*1000*(1-Pressupostos!$D$16)*(1-Pressupostos!$D$18-G3884*Pressupostos!$C$118)),"n/a")</f>
        <v>9.1016437091159</v>
      </c>
      <c r="H3886" s="2" t="s">
        <v>1484</v>
      </c>
    </row>
    <row r="3887" customFormat="false" ht="15" hidden="false" customHeight="false" outlineLevel="1" collapsed="false">
      <c r="A3887" s="7" t="s">
        <v>825</v>
      </c>
      <c r="B3887" s="8" t="s">
        <v>64</v>
      </c>
      <c r="C3887" s="63" t="n">
        <f aca="false">IF(Pressupostos!$D$33=1,C3658-C3884*Pressupostos!$C$119*C3641,C3664)</f>
        <v>0.00725</v>
      </c>
      <c r="D3887" s="63" t="n">
        <f aca="false">IF(Pressupostos!$D$33=1,D3658-D3884*Pressupostos!$C$119*D3641,D3664)</f>
        <v>0.00725</v>
      </c>
      <c r="E3887" s="63" t="n">
        <f aca="false">IF(Pressupostos!$D$33=1,E3658-E3884*Pressupostos!$C$119*E3641,E3664)</f>
        <v>0.00725</v>
      </c>
      <c r="F3887" s="63" t="n">
        <f aca="false">IF(Pressupostos!$D$33=1,F3658-F3884*Pressupostos!$C$119*F3641,F3664)</f>
        <v>0.00725</v>
      </c>
      <c r="G3887" s="63" t="n">
        <f aca="false">IF(Pressupostos!$D$33=1,G3658-G3884*Pressupostos!$C$119*G3641,G3664)</f>
        <v>0.00725</v>
      </c>
      <c r="H3887" s="2" t="s">
        <v>1485</v>
      </c>
    </row>
    <row r="3888" customFormat="false" ht="15" hidden="false" customHeight="false" outlineLevel="1" collapsed="false">
      <c r="A3888" s="7" t="s">
        <v>826</v>
      </c>
      <c r="B3888" s="8" t="s">
        <v>120</v>
      </c>
      <c r="C3888" s="55" t="n">
        <f aca="false">IF(C3887&gt;0,C3577+C3883/(C3887*1000),"n/a")</f>
        <v>98129.303700992</v>
      </c>
      <c r="D3888" s="55" t="n">
        <f aca="false">IF(D3887&gt;0,D3577+D3883/(D3887*1000),"n/a")</f>
        <v>111343.825511168</v>
      </c>
      <c r="E3888" s="55" t="n">
        <f aca="false">IF(E3887&gt;0,E3577+E3883/(E3887*1000),"n/a")</f>
        <v>135563.265982253</v>
      </c>
      <c r="F3888" s="55" t="n">
        <f aca="false">IF(F3887&gt;0,F3577+F3883/(F3887*1000),"n/a")</f>
        <v>154615.51381541</v>
      </c>
      <c r="G3888" s="55" t="n">
        <f aca="false">IF(G3887&gt;0,G3577+G3883/(G3887*1000),"n/a")</f>
        <v>173919.99494857</v>
      </c>
      <c r="H3888" s="2" t="s">
        <v>1486</v>
      </c>
    </row>
    <row r="3889" customFormat="false" ht="15" hidden="false" customHeight="false" outlineLevel="1" collapsed="false">
      <c r="A3889" s="7" t="s">
        <v>827</v>
      </c>
      <c r="B3889" s="8" t="s">
        <v>76</v>
      </c>
      <c r="C3889" s="59" t="n">
        <f aca="false">C3883/(C3745+C3758+C3759)</f>
        <v>0.988127343113512</v>
      </c>
      <c r="D3889" s="59" t="n">
        <f aca="false">D3883/(D3745+D3758+D3759)</f>
        <v>0.980101362279965</v>
      </c>
      <c r="E3889" s="59" t="n">
        <f aca="false">E3883/(E3745+E3758+E3759)</f>
        <v>0.914973186625608</v>
      </c>
      <c r="F3889" s="59" t="n">
        <f aca="false">F3883/(F3745+F3758+F3759)</f>
        <v>0.858882862348687</v>
      </c>
      <c r="G3889" s="59" t="n">
        <f aca="false">G3883/(G3745+G3758+G3759)</f>
        <v>0.807685689845571</v>
      </c>
      <c r="H3889" s="2" t="s">
        <v>1487</v>
      </c>
    </row>
    <row r="3890" customFormat="false" ht="15" hidden="false" customHeight="false" outlineLevel="1" collapsed="false">
      <c r="A3890" s="2" t="s">
        <v>828</v>
      </c>
      <c r="B3890" s="8" t="s">
        <v>76</v>
      </c>
      <c r="C3890" s="60" t="n">
        <f aca="false">Pressupostos!$C$101*Pressupostos!$C$102+Pressupostos!$C$103-Pressupostos!$D$30*Pressupostos!$C$104*Pressupostos!$C$102/(Pressupostos!$C$105*Pressupostos!$C$106)</f>
        <v>0.00354285714285715</v>
      </c>
      <c r="D3890" s="60" t="n">
        <f aca="false">Pressupostos!$C$101*Pressupostos!$C$102+Pressupostos!$C$103-Pressupostos!$D$30*Pressupostos!$C$104*Pressupostos!$C$102/(Pressupostos!$C$105*Pressupostos!$C$106)</f>
        <v>0.00354285714285715</v>
      </c>
      <c r="E3890" s="60" t="n">
        <f aca="false">Pressupostos!$C$101*Pressupostos!$C$102+Pressupostos!$C$103-Pressupostos!$D$30*Pressupostos!$C$104*Pressupostos!$C$102/(Pressupostos!$C$105*Pressupostos!$C$106)</f>
        <v>0.00354285714285715</v>
      </c>
      <c r="F3890" s="60" t="n">
        <f aca="false">Pressupostos!$C$101*Pressupostos!$C$102+Pressupostos!$C$103-Pressupostos!$D$30*Pressupostos!$C$104*Pressupostos!$C$102/(Pressupostos!$C$105*Pressupostos!$C$106)</f>
        <v>0.00354285714285715</v>
      </c>
      <c r="G3890" s="60" t="n">
        <f aca="false">Pressupostos!$C$101*Pressupostos!$C$102+Pressupostos!$C$103-Pressupostos!$D$30*Pressupostos!$C$104*Pressupostos!$C$102/(Pressupostos!$C$105*Pressupostos!$C$106)</f>
        <v>0.00354285714285715</v>
      </c>
      <c r="H3890" s="2" t="s">
        <v>1488</v>
      </c>
    </row>
    <row r="3891" customFormat="false" ht="15" hidden="false" customHeight="false" outlineLevel="1" collapsed="false">
      <c r="A3891" s="7" t="s">
        <v>829</v>
      </c>
      <c r="B3891" s="8" t="s">
        <v>11</v>
      </c>
      <c r="C3891" s="61" t="n">
        <f aca="false">IF(C3890&gt;0,C3590+C3883/C3890,"n/a")</f>
        <v>200808958.178441</v>
      </c>
      <c r="D3891" s="61" t="n">
        <f aca="false">IF(D3890&gt;0,D3590+D3883/D3890,"n/a")</f>
        <v>228350771.963378</v>
      </c>
      <c r="E3891" s="61" t="n">
        <f aca="false">IF(E3890&gt;0,E3590+E3883/E3890,"n/a")</f>
        <v>278912731.798359</v>
      </c>
      <c r="F3891" s="61" t="n">
        <f aca="false">IF(F3890&gt;0,F3590+F3883/F3890,"n/a")</f>
        <v>319400698.634356</v>
      </c>
      <c r="G3891" s="61" t="n">
        <f aca="false">IF(G3890&gt;0,G3590+G3883/G3890,"n/a")</f>
        <v>360904828.372576</v>
      </c>
      <c r="H3891" s="2" t="s">
        <v>1489</v>
      </c>
    </row>
    <row r="3894" customFormat="false" ht="15" hidden="false" customHeight="false" outlineLevel="0" collapsed="false">
      <c r="A3894" s="111" t="s">
        <v>1501</v>
      </c>
      <c r="B3894" s="112"/>
      <c r="C3894" s="112"/>
      <c r="D3894" s="112"/>
      <c r="E3894" s="112"/>
      <c r="F3894" s="112"/>
      <c r="G3894" s="112"/>
      <c r="H3894" s="112"/>
    </row>
    <row r="3895" customFormat="false" ht="15" hidden="false" customHeight="false" outlineLevel="0" collapsed="false">
      <c r="A3895" s="3" t="s">
        <v>1170</v>
      </c>
      <c r="B3895" s="4"/>
      <c r="C3895" s="4"/>
      <c r="D3895" s="4"/>
      <c r="E3895" s="4"/>
      <c r="F3895" s="4"/>
      <c r="G3895" s="4"/>
      <c r="H3895" s="4"/>
    </row>
    <row r="3896" customFormat="false" ht="15" hidden="false" customHeight="false" outlineLevel="1" collapsed="false">
      <c r="A3896" s="7" t="s">
        <v>588</v>
      </c>
      <c r="B3896" s="8"/>
      <c r="C3896" s="52" t="n">
        <v>2027</v>
      </c>
      <c r="D3896" s="52" t="n">
        <v>2028</v>
      </c>
      <c r="E3896" s="52" t="n">
        <v>2029</v>
      </c>
      <c r="F3896" s="52" t="n">
        <v>2030</v>
      </c>
      <c r="G3896" s="52" t="n">
        <v>2031</v>
      </c>
      <c r="H3896" s="2" t="s">
        <v>20</v>
      </c>
    </row>
    <row r="3897" customFormat="false" ht="15" hidden="false" customHeight="false" outlineLevel="0" collapsed="false">
      <c r="A3897" s="3" t="s">
        <v>1171</v>
      </c>
      <c r="B3897" s="4"/>
      <c r="C3897" s="4"/>
      <c r="D3897" s="4"/>
      <c r="E3897" s="4"/>
      <c r="F3897" s="4"/>
      <c r="G3897" s="4"/>
      <c r="H3897" s="4"/>
    </row>
    <row r="3898" customFormat="false" ht="15" hidden="false" customHeight="false" outlineLevel="1" collapsed="false">
      <c r="A3898" s="7" t="s">
        <v>387</v>
      </c>
      <c r="B3898" s="8" t="s">
        <v>123</v>
      </c>
      <c r="C3898" s="53" t="n">
        <f aca="false">Pressupostos!$C$213</f>
        <v>40</v>
      </c>
      <c r="D3898" s="53" t="n">
        <f aca="false">Pressupostos!$D$213</f>
        <v>180</v>
      </c>
      <c r="E3898" s="53" t="n">
        <f aca="false">Pressupostos!$E$213</f>
        <v>650</v>
      </c>
      <c r="F3898" s="53" t="n">
        <f aca="false">Pressupostos!$F$213</f>
        <v>1300</v>
      </c>
      <c r="G3898" s="53" t="n">
        <f aca="false">Pressupostos!$G$213</f>
        <v>2000</v>
      </c>
      <c r="H3898" s="2" t="s">
        <v>1172</v>
      </c>
    </row>
    <row r="3899" customFormat="false" ht="15" hidden="false" customHeight="false" outlineLevel="1" collapsed="false">
      <c r="A3899" s="7" t="s">
        <v>590</v>
      </c>
      <c r="B3899" s="8" t="s">
        <v>120</v>
      </c>
      <c r="C3899" s="54" t="n">
        <f aca="false">Pressupostos!$C$219</f>
        <v>8</v>
      </c>
      <c r="D3899" s="54" t="n">
        <f aca="false">Pressupostos!$D$219</f>
        <v>37</v>
      </c>
      <c r="E3899" s="54" t="n">
        <f aca="false">Pressupostos!$E$219</f>
        <v>133</v>
      </c>
      <c r="F3899" s="54" t="n">
        <f aca="false">Pressupostos!$F$219</f>
        <v>267</v>
      </c>
      <c r="G3899" s="54" t="n">
        <f aca="false">Pressupostos!$G$219</f>
        <v>410</v>
      </c>
      <c r="H3899" s="2" t="s">
        <v>1173</v>
      </c>
    </row>
    <row r="3900" customFormat="false" ht="15" hidden="false" customHeight="false" outlineLevel="1" collapsed="false">
      <c r="A3900" s="7" t="s">
        <v>591</v>
      </c>
      <c r="B3900" s="8" t="s">
        <v>120</v>
      </c>
      <c r="C3900" s="54" t="n">
        <f aca="false">Pressupostos!$C$225</f>
        <v>52</v>
      </c>
      <c r="D3900" s="54" t="n">
        <f aca="false">Pressupostos!$D$225</f>
        <v>363</v>
      </c>
      <c r="E3900" s="54" t="n">
        <f aca="false">Pressupostos!$E$225</f>
        <v>717</v>
      </c>
      <c r="F3900" s="54" t="n">
        <f aca="false">Pressupostos!$F$225</f>
        <v>1183</v>
      </c>
      <c r="G3900" s="54" t="n">
        <f aca="false">Pressupostos!$G$225</f>
        <v>1790</v>
      </c>
      <c r="H3900" s="2" t="s">
        <v>1174</v>
      </c>
    </row>
    <row r="3901" customFormat="false" ht="15" hidden="false" customHeight="false" outlineLevel="1" collapsed="false">
      <c r="A3901" s="7" t="s">
        <v>398</v>
      </c>
      <c r="B3901" s="8" t="s">
        <v>120</v>
      </c>
      <c r="C3901" s="54" t="n">
        <f aca="false">Pressupostos!$C$231</f>
        <v>0</v>
      </c>
      <c r="D3901" s="54" t="n">
        <f aca="false">Pressupostos!$D$231</f>
        <v>0</v>
      </c>
      <c r="E3901" s="54" t="n">
        <f aca="false">Pressupostos!$E$231</f>
        <v>0</v>
      </c>
      <c r="F3901" s="54" t="n">
        <f aca="false">Pressupostos!$F$231</f>
        <v>0</v>
      </c>
      <c r="G3901" s="54" t="n">
        <f aca="false">Pressupostos!$G$231</f>
        <v>0</v>
      </c>
      <c r="H3901" s="2" t="s">
        <v>1175</v>
      </c>
    </row>
    <row r="3902" customFormat="false" ht="15" hidden="false" customHeight="false" outlineLevel="1" collapsed="false">
      <c r="A3902" s="7" t="s">
        <v>592</v>
      </c>
      <c r="B3902" s="8" t="s">
        <v>120</v>
      </c>
      <c r="C3902" s="55" t="n">
        <f aca="false">C3901*Pressupostos!$D$33</f>
        <v>0</v>
      </c>
      <c r="D3902" s="55" t="n">
        <f aca="false">D3901*Pressupostos!$D$33</f>
        <v>0</v>
      </c>
      <c r="E3902" s="55" t="n">
        <f aca="false">E3901*Pressupostos!$D$33</f>
        <v>0</v>
      </c>
      <c r="F3902" s="55" t="n">
        <f aca="false">F3901*Pressupostos!$D$33</f>
        <v>0</v>
      </c>
      <c r="G3902" s="55" t="n">
        <f aca="false">G3901*Pressupostos!$D$33</f>
        <v>0</v>
      </c>
      <c r="H3902" s="2" t="s">
        <v>1176</v>
      </c>
    </row>
    <row r="3903" customFormat="false" ht="15" hidden="false" customHeight="false" outlineLevel="1" collapsed="false">
      <c r="A3903" s="7" t="s">
        <v>593</v>
      </c>
      <c r="B3903" s="8" t="s">
        <v>120</v>
      </c>
      <c r="C3903" s="55" t="n">
        <f aca="false">C3901-C3902</f>
        <v>0</v>
      </c>
      <c r="D3903" s="55" t="n">
        <f aca="false">D3901-D3902</f>
        <v>0</v>
      </c>
      <c r="E3903" s="55" t="n">
        <f aca="false">E3901-E3902</f>
        <v>0</v>
      </c>
      <c r="F3903" s="55" t="n">
        <f aca="false">F3901-F3902</f>
        <v>0</v>
      </c>
      <c r="G3903" s="55" t="n">
        <f aca="false">G3901-G3902</f>
        <v>0</v>
      </c>
      <c r="H3903" s="2" t="s">
        <v>1177</v>
      </c>
    </row>
    <row r="3904" customFormat="false" ht="15" hidden="false" customHeight="false" outlineLevel="1" collapsed="false">
      <c r="A3904" s="56" t="s">
        <v>594</v>
      </c>
      <c r="B3904" s="57" t="s">
        <v>120</v>
      </c>
      <c r="C3904" s="58" t="n">
        <f aca="false">C3899+C3900+C3901</f>
        <v>60</v>
      </c>
      <c r="D3904" s="58" t="n">
        <f aca="false">D3899+D3900+D3901</f>
        <v>400</v>
      </c>
      <c r="E3904" s="58" t="n">
        <f aca="false">E3899+E3900+E3901</f>
        <v>850</v>
      </c>
      <c r="F3904" s="58" t="n">
        <f aca="false">F3899+F3900+F3901</f>
        <v>1450</v>
      </c>
      <c r="G3904" s="58" t="n">
        <f aca="false">G3899+G3900+G3901</f>
        <v>2200</v>
      </c>
      <c r="H3904" s="2" t="s">
        <v>1178</v>
      </c>
    </row>
    <row r="3905" customFormat="false" ht="15" hidden="false" customHeight="false" outlineLevel="1" collapsed="false">
      <c r="A3905" s="7" t="s">
        <v>595</v>
      </c>
      <c r="B3905" s="8" t="s">
        <v>76</v>
      </c>
      <c r="C3905" s="59" t="n">
        <f aca="false">IF(C3904&gt;0,C3899/C3904,0)</f>
        <v>0.133333333333333</v>
      </c>
      <c r="D3905" s="59" t="n">
        <f aca="false">IF(D3904&gt;0,D3899/D3904,0)</f>
        <v>0.0925</v>
      </c>
      <c r="E3905" s="59" t="n">
        <f aca="false">IF(E3904&gt;0,E3899/E3904,0)</f>
        <v>0.156470588235294</v>
      </c>
      <c r="F3905" s="59" t="n">
        <f aca="false">IF(F3904&gt;0,F3899/F3904,0)</f>
        <v>0.184137931034483</v>
      </c>
      <c r="G3905" s="59" t="n">
        <f aca="false">IF(G3904&gt;0,G3899/G3904,0)</f>
        <v>0.186363636363636</v>
      </c>
      <c r="H3905" s="2" t="s">
        <v>1179</v>
      </c>
    </row>
    <row r="3906" customFormat="false" ht="15" hidden="false" customHeight="false" outlineLevel="1" collapsed="false">
      <c r="A3906" s="7" t="s">
        <v>596</v>
      </c>
      <c r="B3906" s="8" t="s">
        <v>76</v>
      </c>
      <c r="C3906" s="60" t="n">
        <f aca="false">C3904/(Pressupostos!$C$76*1000)</f>
        <v>0.000353982300884956</v>
      </c>
      <c r="D3906" s="60" t="n">
        <f aca="false">D3904/(Pressupostos!$C$76*1000)</f>
        <v>0.00235988200589971</v>
      </c>
      <c r="E3906" s="60" t="n">
        <f aca="false">E3904/(Pressupostos!$C$76*1000)</f>
        <v>0.00501474926253687</v>
      </c>
      <c r="F3906" s="60" t="n">
        <f aca="false">F3904/(Pressupostos!$C$76*1000)</f>
        <v>0.00855457227138643</v>
      </c>
      <c r="G3906" s="60" t="n">
        <f aca="false">G3904/(Pressupostos!$C$76*1000)</f>
        <v>0.0129793510324484</v>
      </c>
      <c r="H3906" s="2" t="s">
        <v>1180</v>
      </c>
    </row>
    <row r="3907" customFormat="false" ht="15" hidden="false" customHeight="false" outlineLevel="1" collapsed="false">
      <c r="A3907" s="7" t="s">
        <v>597</v>
      </c>
      <c r="B3907" s="8" t="s">
        <v>123</v>
      </c>
      <c r="C3907" s="55" t="n">
        <f aca="false">C3899/Pressupostos!$C$40+C3900/Pressupostos!$C$47+C3901/Pressupostos!$C$59</f>
        <v>2.13333333333333</v>
      </c>
      <c r="D3907" s="55" t="n">
        <f aca="false">D3899/Pressupostos!$C$40+D3900/Pressupostos!$C$47+D3901/Pressupostos!$C$59</f>
        <v>13.95</v>
      </c>
      <c r="E3907" s="55" t="n">
        <f aca="false">E3899/Pressupostos!$C$40+E3900/Pressupostos!$C$47+E3901/Pressupostos!$C$59</f>
        <v>30.55</v>
      </c>
      <c r="F3907" s="55" t="n">
        <f aca="false">F3899/Pressupostos!$C$40+F3900/Pressupostos!$C$47+F3901/Pressupostos!$C$59</f>
        <v>52.7833333333333</v>
      </c>
      <c r="G3907" s="55" t="n">
        <f aca="false">G3899/Pressupostos!$C$40+G3900/Pressupostos!$C$47+G3901/Pressupostos!$C$59</f>
        <v>80.1666666666667</v>
      </c>
      <c r="H3907" s="2" t="s">
        <v>1181</v>
      </c>
    </row>
    <row r="3908" customFormat="false" ht="15" hidden="false" customHeight="false" outlineLevel="0" collapsed="false">
      <c r="A3908" s="3" t="s">
        <v>1182</v>
      </c>
      <c r="B3908" s="4"/>
      <c r="C3908" s="4"/>
      <c r="D3908" s="4"/>
      <c r="E3908" s="4"/>
      <c r="F3908" s="4"/>
      <c r="G3908" s="4"/>
      <c r="H3908" s="4"/>
    </row>
    <row r="3909" customFormat="false" ht="15" hidden="false" customHeight="false" outlineLevel="1" collapsed="false">
      <c r="A3909" s="7" t="s">
        <v>599</v>
      </c>
      <c r="B3909" s="8" t="s">
        <v>202</v>
      </c>
      <c r="C3909" s="53" t="n">
        <f aca="false">Pressupostos!$C$257</f>
        <v>150</v>
      </c>
      <c r="D3909" s="53" t="n">
        <f aca="false">Pressupostos!$D$257</f>
        <v>600</v>
      </c>
      <c r="E3909" s="53" t="n">
        <f aca="false">Pressupostos!$E$257</f>
        <v>1000</v>
      </c>
      <c r="F3909" s="53" t="n">
        <f aca="false">Pressupostos!$F$257</f>
        <v>1400</v>
      </c>
      <c r="G3909" s="53" t="n">
        <f aca="false">Pressupostos!$G$257</f>
        <v>1800</v>
      </c>
      <c r="H3909" s="2" t="s">
        <v>1183</v>
      </c>
    </row>
    <row r="3910" customFormat="false" ht="15" hidden="false" customHeight="false" outlineLevel="1" collapsed="false">
      <c r="A3910" s="7" t="s">
        <v>599</v>
      </c>
      <c r="B3910" s="8" t="s">
        <v>189</v>
      </c>
      <c r="C3910" s="61" t="n">
        <f aca="false">C3909*Pressupostos!$C$78</f>
        <v>112500</v>
      </c>
      <c r="D3910" s="61" t="n">
        <f aca="false">D3909*Pressupostos!$C$78</f>
        <v>450000</v>
      </c>
      <c r="E3910" s="61" t="n">
        <f aca="false">E3909*Pressupostos!$C$78</f>
        <v>750000</v>
      </c>
      <c r="F3910" s="61" t="n">
        <f aca="false">F3909*Pressupostos!$C$78</f>
        <v>1050000</v>
      </c>
      <c r="G3910" s="61" t="n">
        <f aca="false">G3909*Pressupostos!$C$78</f>
        <v>1350000</v>
      </c>
      <c r="H3910" s="2" t="s">
        <v>1184</v>
      </c>
    </row>
    <row r="3911" customFormat="false" ht="15" hidden="false" customHeight="false" outlineLevel="0" collapsed="false">
      <c r="A3911" s="3" t="s">
        <v>1185</v>
      </c>
      <c r="B3911" s="4"/>
      <c r="C3911" s="4"/>
      <c r="D3911" s="4"/>
      <c r="E3911" s="4"/>
      <c r="F3911" s="4"/>
      <c r="G3911" s="4"/>
      <c r="H3911" s="4"/>
    </row>
    <row r="3912" customFormat="false" ht="15" hidden="false" customHeight="false" outlineLevel="1" collapsed="false">
      <c r="A3912" s="7" t="s">
        <v>601</v>
      </c>
      <c r="B3912" s="8" t="s">
        <v>120</v>
      </c>
      <c r="C3912" s="55" t="n">
        <f aca="false">IF(C3896&lt;Pressupostos!$D$28,0,Pressupostos!$C$263)</f>
        <v>0</v>
      </c>
      <c r="D3912" s="55" t="n">
        <f aca="false">IF(D3896&lt;Pressupostos!$D$28,0,Pressupostos!$D$263)</f>
        <v>0</v>
      </c>
      <c r="E3912" s="55" t="n">
        <f aca="false">IF(E3896&lt;Pressupostos!$D$28,0,Pressupostos!$E$263)</f>
        <v>30</v>
      </c>
      <c r="F3912" s="55" t="n">
        <f aca="false">IF(F3896&lt;Pressupostos!$D$28,0,Pressupostos!$F$263)</f>
        <v>60</v>
      </c>
      <c r="G3912" s="55" t="n">
        <f aca="false">IF(G3896&lt;Pressupostos!$D$28,0,Pressupostos!$G$263)</f>
        <v>100</v>
      </c>
      <c r="H3912" s="2" t="s">
        <v>1186</v>
      </c>
    </row>
    <row r="3913" customFormat="false" ht="15" hidden="false" customHeight="false" outlineLevel="0" collapsed="false">
      <c r="A3913" s="3" t="s">
        <v>1187</v>
      </c>
      <c r="B3913" s="4"/>
      <c r="C3913" s="4"/>
      <c r="D3913" s="4"/>
      <c r="E3913" s="4"/>
      <c r="F3913" s="4"/>
      <c r="G3913" s="4"/>
      <c r="H3913" s="4"/>
    </row>
    <row r="3914" customFormat="false" ht="15" hidden="false" customHeight="false" outlineLevel="1" collapsed="false">
      <c r="A3914" s="7" t="s">
        <v>603</v>
      </c>
      <c r="B3914" s="8" t="s">
        <v>11</v>
      </c>
      <c r="C3914" s="53" t="n">
        <f aca="false">Pressupostos!$C$269</f>
        <v>0</v>
      </c>
      <c r="D3914" s="53" t="n">
        <f aca="false">Pressupostos!$D$269</f>
        <v>500000</v>
      </c>
      <c r="E3914" s="53" t="n">
        <f aca="false">Pressupostos!$E$269</f>
        <v>1500000</v>
      </c>
      <c r="F3914" s="53" t="n">
        <f aca="false">Pressupostos!$F$269</f>
        <v>3000000</v>
      </c>
      <c r="G3914" s="53" t="n">
        <f aca="false">Pressupostos!$G$269</f>
        <v>5000000</v>
      </c>
      <c r="H3914" s="2" t="s">
        <v>1188</v>
      </c>
    </row>
    <row r="3915" customFormat="false" ht="15" hidden="false" customHeight="false" outlineLevel="1" collapsed="false">
      <c r="A3915" s="7" t="s">
        <v>604</v>
      </c>
      <c r="B3915" s="8" t="s">
        <v>120</v>
      </c>
      <c r="C3915" s="55" t="n">
        <f aca="false">C3914/(Pressupostos!$C$105*Pressupostos!$C$106)*Pressupostos!$C$102/1000</f>
        <v>0</v>
      </c>
      <c r="D3915" s="55" t="n">
        <f aca="false">D3914/(Pressupostos!$C$105*Pressupostos!$C$106)*Pressupostos!$C$102/1000</f>
        <v>457.142857142857</v>
      </c>
      <c r="E3915" s="55" t="n">
        <f aca="false">E3914/(Pressupostos!$C$105*Pressupostos!$C$106)*Pressupostos!$C$102/1000</f>
        <v>1371.42857142857</v>
      </c>
      <c r="F3915" s="55" t="n">
        <f aca="false">F3914/(Pressupostos!$C$105*Pressupostos!$C$106)*Pressupostos!$C$102/1000</f>
        <v>2742.85714285714</v>
      </c>
      <c r="G3915" s="55" t="n">
        <f aca="false">G3914/(Pressupostos!$C$105*Pressupostos!$C$106)*Pressupostos!$C$102/1000</f>
        <v>4571.42857142857</v>
      </c>
      <c r="H3915" s="2" t="s">
        <v>1189</v>
      </c>
    </row>
    <row r="3916" customFormat="false" ht="15" hidden="false" customHeight="false" outlineLevel="0" collapsed="false">
      <c r="A3916" s="3" t="s">
        <v>1190</v>
      </c>
      <c r="B3916" s="4"/>
      <c r="C3916" s="4"/>
      <c r="D3916" s="4"/>
      <c r="E3916" s="4"/>
      <c r="F3916" s="4"/>
      <c r="G3916" s="4"/>
      <c r="H3916" s="4"/>
    </row>
    <row r="3917" customFormat="false" ht="15" hidden="false" customHeight="false" outlineLevel="1" collapsed="false">
      <c r="A3917" s="7" t="s">
        <v>669</v>
      </c>
      <c r="B3917" s="8" t="s">
        <v>64</v>
      </c>
      <c r="C3917" s="63" t="n">
        <f aca="false">Pressupostos!$D$10+Pressupostos!$D$11</f>
        <v>3.6</v>
      </c>
      <c r="D3917" s="63" t="n">
        <f aca="false">Pressupostos!$D$10+Pressupostos!$D$11</f>
        <v>3.6</v>
      </c>
      <c r="E3917" s="63" t="n">
        <f aca="false">Pressupostos!$D$10+Pressupostos!$D$11</f>
        <v>3.6</v>
      </c>
      <c r="F3917" s="63" t="n">
        <f aca="false">Pressupostos!$D$10+Pressupostos!$D$11</f>
        <v>3.6</v>
      </c>
      <c r="G3917" s="63" t="n">
        <f aca="false">Pressupostos!$D$10+Pressupostos!$D$11</f>
        <v>3.6</v>
      </c>
      <c r="H3917" s="2" t="s">
        <v>1191</v>
      </c>
    </row>
    <row r="3918" customFormat="false" ht="15" hidden="false" customHeight="false" outlineLevel="1" collapsed="false">
      <c r="A3918" s="7" t="s">
        <v>670</v>
      </c>
      <c r="B3918" s="8" t="s">
        <v>64</v>
      </c>
      <c r="C3918" s="67" t="n">
        <f aca="false">Pressupostos!$D$15</f>
        <v>5.65</v>
      </c>
      <c r="D3918" s="67" t="n">
        <f aca="false">Pressupostos!$D$15</f>
        <v>5.65</v>
      </c>
      <c r="E3918" s="67" t="n">
        <f aca="false">Pressupostos!$D$15</f>
        <v>5.65</v>
      </c>
      <c r="F3918" s="67" t="n">
        <f aca="false">Pressupostos!$D$15</f>
        <v>5.65</v>
      </c>
      <c r="G3918" s="67" t="n">
        <f aca="false">Pressupostos!$D$15</f>
        <v>5.65</v>
      </c>
      <c r="H3918" s="2" t="s">
        <v>1192</v>
      </c>
    </row>
    <row r="3919" customFormat="false" ht="15" hidden="false" customHeight="false" outlineLevel="1" collapsed="false">
      <c r="A3919" s="56" t="s">
        <v>671</v>
      </c>
      <c r="B3919" s="57" t="s">
        <v>64</v>
      </c>
      <c r="C3919" s="68" t="n">
        <f aca="false">C3918*(1-Pressupostos!$D$16)</f>
        <v>5.085</v>
      </c>
      <c r="D3919" s="68" t="n">
        <f aca="false">D3918*(1-Pressupostos!$D$16)</f>
        <v>5.085</v>
      </c>
      <c r="E3919" s="68" t="n">
        <f aca="false">E3918*(1-Pressupostos!$D$16)</f>
        <v>5.085</v>
      </c>
      <c r="F3919" s="68" t="n">
        <f aca="false">F3918*(1-Pressupostos!$D$16)</f>
        <v>5.085</v>
      </c>
      <c r="G3919" s="68" t="n">
        <f aca="false">G3918*(1-Pressupostos!$D$16)</f>
        <v>5.085</v>
      </c>
      <c r="H3919" s="2" t="s">
        <v>1193</v>
      </c>
    </row>
    <row r="3920" customFormat="false" ht="15" hidden="false" customHeight="false" outlineLevel="1" collapsed="false">
      <c r="A3920" s="7" t="s">
        <v>144</v>
      </c>
      <c r="B3920" s="8" t="s">
        <v>64</v>
      </c>
      <c r="C3920" s="67" t="n">
        <f aca="false">Pressupostos!$C$38</f>
        <v>0.55</v>
      </c>
      <c r="D3920" s="67" t="n">
        <f aca="false">Pressupostos!$C$38</f>
        <v>0.55</v>
      </c>
      <c r="E3920" s="67" t="n">
        <f aca="false">Pressupostos!$C$38</f>
        <v>0.55</v>
      </c>
      <c r="F3920" s="67" t="n">
        <f aca="false">Pressupostos!$C$38</f>
        <v>0.55</v>
      </c>
      <c r="G3920" s="67" t="n">
        <f aca="false">Pressupostos!$C$38</f>
        <v>0.55</v>
      </c>
      <c r="H3920" s="2" t="s">
        <v>1194</v>
      </c>
    </row>
    <row r="3921" customFormat="false" ht="15" hidden="false" customHeight="false" outlineLevel="1" collapsed="false">
      <c r="A3921" s="7" t="s">
        <v>215</v>
      </c>
      <c r="B3921" s="8" t="s">
        <v>64</v>
      </c>
      <c r="C3921" s="67" t="n">
        <f aca="false">Pressupostos!$C$238</f>
        <v>0.3</v>
      </c>
      <c r="D3921" s="67" t="n">
        <f aca="false">Pressupostos!$D$238</f>
        <v>0.3</v>
      </c>
      <c r="E3921" s="67" t="n">
        <f aca="false">Pressupostos!$E$238</f>
        <v>0.28</v>
      </c>
      <c r="F3921" s="67" t="n">
        <f aca="false">Pressupostos!$F$238</f>
        <v>0.27</v>
      </c>
      <c r="G3921" s="67" t="n">
        <f aca="false">Pressupostos!$G$238</f>
        <v>0.27</v>
      </c>
      <c r="H3921" s="2" t="s">
        <v>1195</v>
      </c>
    </row>
    <row r="3922" customFormat="false" ht="15" hidden="false" customHeight="false" outlineLevel="1" collapsed="false">
      <c r="A3922" s="7" t="s">
        <v>117</v>
      </c>
      <c r="B3922" s="8" t="s">
        <v>64</v>
      </c>
      <c r="C3922" s="67" t="n">
        <f aca="false">Pressupostos!$C$39</f>
        <v>0.06</v>
      </c>
      <c r="D3922" s="67" t="n">
        <f aca="false">Pressupostos!$C$39</f>
        <v>0.06</v>
      </c>
      <c r="E3922" s="67" t="n">
        <f aca="false">Pressupostos!$C$39</f>
        <v>0.06</v>
      </c>
      <c r="F3922" s="67" t="n">
        <f aca="false">Pressupostos!$C$39</f>
        <v>0.06</v>
      </c>
      <c r="G3922" s="67" t="n">
        <f aca="false">Pressupostos!$C$39</f>
        <v>0.06</v>
      </c>
      <c r="H3922" s="2" t="s">
        <v>1196</v>
      </c>
    </row>
    <row r="3923" customFormat="false" ht="15" hidden="false" customHeight="false" outlineLevel="1" collapsed="false">
      <c r="A3923" s="7" t="s">
        <v>91</v>
      </c>
      <c r="B3923" s="8" t="s">
        <v>79</v>
      </c>
      <c r="C3923" s="69" t="n">
        <f aca="false">Pressupostos!$C$244</f>
        <v>180</v>
      </c>
      <c r="D3923" s="69" t="n">
        <f aca="false">Pressupostos!$D$244</f>
        <v>180</v>
      </c>
      <c r="E3923" s="69" t="n">
        <f aca="false">Pressupostos!$E$244</f>
        <v>45</v>
      </c>
      <c r="F3923" s="69" t="n">
        <f aca="false">Pressupostos!$F$244</f>
        <v>45</v>
      </c>
      <c r="G3923" s="69" t="n">
        <f aca="false">Pressupostos!$G$244</f>
        <v>45</v>
      </c>
      <c r="H3923" s="2" t="s">
        <v>1197</v>
      </c>
    </row>
    <row r="3924" customFormat="false" ht="15" hidden="false" customHeight="false" outlineLevel="1" collapsed="false">
      <c r="A3924" s="7" t="s">
        <v>78</v>
      </c>
      <c r="B3924" s="8" t="s">
        <v>79</v>
      </c>
      <c r="C3924" s="69" t="n">
        <f aca="false">Pressupostos!$D$17</f>
        <v>35</v>
      </c>
      <c r="D3924" s="69" t="n">
        <f aca="false">Pressupostos!$D$17</f>
        <v>35</v>
      </c>
      <c r="E3924" s="69" t="n">
        <f aca="false">Pressupostos!$D$17</f>
        <v>35</v>
      </c>
      <c r="F3924" s="69" t="n">
        <f aca="false">Pressupostos!$D$17</f>
        <v>35</v>
      </c>
      <c r="G3924" s="69" t="n">
        <f aca="false">Pressupostos!$D$17</f>
        <v>35</v>
      </c>
      <c r="H3924" s="2" t="s">
        <v>1198</v>
      </c>
    </row>
    <row r="3925" customFormat="false" ht="15" hidden="false" customHeight="false" outlineLevel="1" collapsed="false">
      <c r="A3925" s="7" t="s">
        <v>490</v>
      </c>
      <c r="B3925" s="8" t="s">
        <v>64</v>
      </c>
      <c r="C3925" s="63" t="n">
        <f aca="false">Pressupostos!$C$66*C3923/30/1000</f>
        <v>0.024</v>
      </c>
      <c r="D3925" s="63" t="n">
        <f aca="false">Pressupostos!$C$66*D3923/30/1000</f>
        <v>0.024</v>
      </c>
      <c r="E3925" s="63" t="n">
        <f aca="false">Pressupostos!$C$66*E3923/30/1000</f>
        <v>0.006</v>
      </c>
      <c r="F3925" s="63" t="n">
        <f aca="false">Pressupostos!$C$66*F3923/30/1000</f>
        <v>0.006</v>
      </c>
      <c r="G3925" s="63" t="n">
        <f aca="false">Pressupostos!$C$66*G3923/30/1000</f>
        <v>0.006</v>
      </c>
      <c r="H3925" s="2" t="s">
        <v>1199</v>
      </c>
    </row>
    <row r="3926" customFormat="false" ht="15" hidden="false" customHeight="false" outlineLevel="1" collapsed="false">
      <c r="A3926" s="7" t="s">
        <v>165</v>
      </c>
      <c r="B3926" s="8" t="s">
        <v>64</v>
      </c>
      <c r="C3926" s="63" t="n">
        <f aca="false">C3917*Pressupostos!$C$67*C3923/365</f>
        <v>0.00355068493150685</v>
      </c>
      <c r="D3926" s="63" t="n">
        <f aca="false">D3917*Pressupostos!$C$67*D3923/365</f>
        <v>0.00355068493150685</v>
      </c>
      <c r="E3926" s="63" t="n">
        <f aca="false">E3917*Pressupostos!$C$67*E3923/365</f>
        <v>0.000887671232876712</v>
      </c>
      <c r="F3926" s="63" t="n">
        <f aca="false">F3917*Pressupostos!$C$67*F3923/365</f>
        <v>0.000887671232876712</v>
      </c>
      <c r="G3926" s="63" t="n">
        <f aca="false">G3917*Pressupostos!$C$67*G3923/365</f>
        <v>0.000887671232876712</v>
      </c>
      <c r="H3926" s="2" t="s">
        <v>1200</v>
      </c>
    </row>
    <row r="3927" customFormat="false" ht="15" hidden="false" customHeight="false" outlineLevel="1" collapsed="false">
      <c r="A3927" s="7" t="s">
        <v>672</v>
      </c>
      <c r="B3927" s="8" t="s">
        <v>64</v>
      </c>
      <c r="C3927" s="63" t="n">
        <f aca="false">Pressupostos!$C$41*Pressupostos!$C$68/(Pressupostos!$C$40*1000)</f>
        <v>0.03</v>
      </c>
      <c r="D3927" s="63" t="n">
        <f aca="false">Pressupostos!$C$41*Pressupostos!$C$68/(Pressupostos!$C$40*1000)</f>
        <v>0.03</v>
      </c>
      <c r="E3927" s="63" t="n">
        <f aca="false">Pressupostos!$C$41*Pressupostos!$C$68/(Pressupostos!$C$40*1000)</f>
        <v>0.03</v>
      </c>
      <c r="F3927" s="63" t="n">
        <f aca="false">Pressupostos!$C$41*Pressupostos!$C$68/(Pressupostos!$C$40*1000)</f>
        <v>0.03</v>
      </c>
      <c r="G3927" s="63" t="n">
        <f aca="false">Pressupostos!$C$41*Pressupostos!$C$68/(Pressupostos!$C$40*1000)</f>
        <v>0.03</v>
      </c>
      <c r="H3927" s="2" t="s">
        <v>1201</v>
      </c>
    </row>
    <row r="3928" customFormat="false" ht="15" hidden="false" customHeight="false" outlineLevel="1" collapsed="false">
      <c r="A3928" s="7" t="s">
        <v>492</v>
      </c>
      <c r="B3928" s="8" t="s">
        <v>64</v>
      </c>
      <c r="C3928" s="63" t="n">
        <f aca="false">Pressupostos!$C$69*C3917</f>
        <v>0.018</v>
      </c>
      <c r="D3928" s="63" t="n">
        <f aca="false">Pressupostos!$C$69*D3917</f>
        <v>0.018</v>
      </c>
      <c r="E3928" s="63" t="n">
        <f aca="false">Pressupostos!$C$69*E3917</f>
        <v>0.018</v>
      </c>
      <c r="F3928" s="63" t="n">
        <f aca="false">Pressupostos!$C$69*F3917</f>
        <v>0.018</v>
      </c>
      <c r="G3928" s="63" t="n">
        <f aca="false">Pressupostos!$C$69*G3917</f>
        <v>0.018</v>
      </c>
      <c r="H3928" s="2" t="s">
        <v>1202</v>
      </c>
    </row>
    <row r="3929" customFormat="false" ht="15" hidden="false" customHeight="false" outlineLevel="1" collapsed="false">
      <c r="A3929" s="7" t="s">
        <v>493</v>
      </c>
      <c r="B3929" s="8" t="s">
        <v>64</v>
      </c>
      <c r="C3929" s="63" t="n">
        <f aca="false">Pressupostos!$C$70*Pressupostos!$C$71*C3923/90</f>
        <v>0.018</v>
      </c>
      <c r="D3929" s="63" t="n">
        <f aca="false">Pressupostos!$C$70*Pressupostos!$C$71*D3923/90</f>
        <v>0.018</v>
      </c>
      <c r="E3929" s="63" t="n">
        <f aca="false">Pressupostos!$C$70*Pressupostos!$C$71*E3923/90</f>
        <v>0.0045</v>
      </c>
      <c r="F3929" s="63" t="n">
        <f aca="false">Pressupostos!$C$70*Pressupostos!$C$71*F3923/90</f>
        <v>0.0045</v>
      </c>
      <c r="G3929" s="63" t="n">
        <f aca="false">Pressupostos!$C$70*Pressupostos!$C$71*G3923/90</f>
        <v>0.0045</v>
      </c>
      <c r="H3929" s="2" t="s">
        <v>1203</v>
      </c>
    </row>
    <row r="3930" customFormat="false" ht="15" hidden="false" customHeight="false" outlineLevel="1" collapsed="false">
      <c r="A3930" s="7" t="s">
        <v>673</v>
      </c>
      <c r="B3930" s="8" t="s">
        <v>64</v>
      </c>
      <c r="C3930" s="63" t="n">
        <f aca="false">Pressupostos!$C$42/(Pressupostos!$C$40*1000)</f>
        <v>0.1</v>
      </c>
      <c r="D3930" s="63" t="n">
        <f aca="false">Pressupostos!$C$42/(Pressupostos!$C$40*1000)</f>
        <v>0.1</v>
      </c>
      <c r="E3930" s="63" t="n">
        <f aca="false">Pressupostos!$C$42/(Pressupostos!$C$40*1000)</f>
        <v>0.1</v>
      </c>
      <c r="F3930" s="63" t="n">
        <f aca="false">Pressupostos!$C$42/(Pressupostos!$C$40*1000)</f>
        <v>0.1</v>
      </c>
      <c r="G3930" s="63" t="n">
        <f aca="false">Pressupostos!$C$42/(Pressupostos!$C$40*1000)</f>
        <v>0.1</v>
      </c>
      <c r="H3930" s="2" t="s">
        <v>1204</v>
      </c>
    </row>
    <row r="3931" customFormat="false" ht="15" hidden="false" customHeight="false" outlineLevel="1" collapsed="false">
      <c r="A3931" s="7" t="s">
        <v>139</v>
      </c>
      <c r="B3931" s="8" t="s">
        <v>64</v>
      </c>
      <c r="C3931" s="67" t="n">
        <f aca="false">Pressupostos!$C$43</f>
        <v>0.01</v>
      </c>
      <c r="D3931" s="67" t="n">
        <f aca="false">Pressupostos!$C$43</f>
        <v>0.01</v>
      </c>
      <c r="E3931" s="67" t="n">
        <f aca="false">Pressupostos!$C$43</f>
        <v>0.01</v>
      </c>
      <c r="F3931" s="67" t="n">
        <f aca="false">Pressupostos!$C$43</f>
        <v>0.01</v>
      </c>
      <c r="G3931" s="67" t="n">
        <f aca="false">Pressupostos!$C$43</f>
        <v>0.01</v>
      </c>
      <c r="H3931" s="2" t="s">
        <v>1205</v>
      </c>
    </row>
    <row r="3932" customFormat="false" ht="15" hidden="false" customHeight="false" outlineLevel="1" collapsed="false">
      <c r="A3932" s="7" t="s">
        <v>81</v>
      </c>
      <c r="B3932" s="8" t="s">
        <v>64</v>
      </c>
      <c r="C3932" s="63" t="n">
        <f aca="false">Pressupostos!$D$18*C3919</f>
        <v>0.03051</v>
      </c>
      <c r="D3932" s="63" t="n">
        <f aca="false">Pressupostos!$D$18*D3919</f>
        <v>0.03051</v>
      </c>
      <c r="E3932" s="63" t="n">
        <f aca="false">Pressupostos!$D$18*E3919</f>
        <v>0.03051</v>
      </c>
      <c r="F3932" s="63" t="n">
        <f aca="false">Pressupostos!$D$18*F3919</f>
        <v>0.03051</v>
      </c>
      <c r="G3932" s="63" t="n">
        <f aca="false">Pressupostos!$D$18*G3919</f>
        <v>0.03051</v>
      </c>
      <c r="H3932" s="2" t="s">
        <v>1206</v>
      </c>
    </row>
    <row r="3933" customFormat="false" ht="15" hidden="false" customHeight="false" outlineLevel="1" collapsed="false">
      <c r="A3933" s="7" t="s">
        <v>674</v>
      </c>
      <c r="B3933" s="8" t="s">
        <v>64</v>
      </c>
      <c r="C3933" s="63" t="n">
        <f aca="false">Pressupostos!$C$73*C3919</f>
        <v>0</v>
      </c>
      <c r="D3933" s="63" t="n">
        <f aca="false">Pressupostos!$C$73*D3919</f>
        <v>0</v>
      </c>
      <c r="E3933" s="63" t="n">
        <f aca="false">Pressupostos!$C$73*E3919</f>
        <v>0</v>
      </c>
      <c r="F3933" s="63" t="n">
        <f aca="false">Pressupostos!$C$73*F3919</f>
        <v>0</v>
      </c>
      <c r="G3933" s="63" t="n">
        <f aca="false">Pressupostos!$C$73*G3919</f>
        <v>0</v>
      </c>
      <c r="H3933" s="2" t="s">
        <v>1207</v>
      </c>
    </row>
    <row r="3934" customFormat="false" ht="15" hidden="false" customHeight="false" outlineLevel="1" collapsed="false">
      <c r="A3934" s="7" t="s">
        <v>675</v>
      </c>
      <c r="B3934" s="8" t="s">
        <v>64</v>
      </c>
      <c r="C3934" s="63" t="n">
        <f aca="false">(Pressupostos!$C$199)*(C3917+C3920)*(C3923+C3924-Pressupostos!$C$72)/365*Pressupostos!$C$282/Pressupostos!$D$31</f>
        <v>0</v>
      </c>
      <c r="D3934" s="63" t="n">
        <f aca="false">(Pressupostos!$C$199)*(D3917+D3920)*(D3923+D3924-Pressupostos!$C$72)/365*Pressupostos!$D$282/Pressupostos!$D$31</f>
        <v>0.283962328767123</v>
      </c>
      <c r="E3934" s="63" t="n">
        <f aca="false">(Pressupostos!$C$199)*(E3917+E3920)*(E3923+E3924-Pressupostos!$C$72)/365*Pressupostos!$E$282/Pressupostos!$D$31</f>
        <v>0.0767465753424658</v>
      </c>
      <c r="F3934" s="63" t="n">
        <f aca="false">(Pressupostos!$C$199)*(F3917+F3920)*(F3923+F3924-Pressupostos!$C$72)/365*Pressupostos!$F$282/Pressupostos!$D$31</f>
        <v>0.0767465753424658</v>
      </c>
      <c r="G3934" s="63" t="n">
        <f aca="false">(Pressupostos!$C$199)*(G3917+G3920)*(G3923+G3924-Pressupostos!$C$72)/365*Pressupostos!$G$282/Pressupostos!$D$31</f>
        <v>0.0767465753424658</v>
      </c>
      <c r="H3934" s="2" t="s">
        <v>1208</v>
      </c>
    </row>
    <row r="3935" customFormat="false" ht="15" hidden="false" customHeight="false" outlineLevel="1" collapsed="false">
      <c r="A3935" s="7" t="s">
        <v>676</v>
      </c>
      <c r="B3935" s="8" t="s">
        <v>64</v>
      </c>
      <c r="C3935" s="63" t="n">
        <f aca="false">C3917+C3920+C3921+C3922+C3925+C3926+C3927+C3928+C3929+C3930+C3931+C3932+C3933+C3934</f>
        <v>4.74406068493151</v>
      </c>
      <c r="D3935" s="63" t="n">
        <f aca="false">D3917+D3920+D3921+D3922+D3925+D3926+D3927+D3928+D3929+D3930+D3931+D3932+D3933+D3934</f>
        <v>5.02802301369863</v>
      </c>
      <c r="E3935" s="63" t="n">
        <f aca="false">E3917+E3920+E3921+E3922+E3925+E3926+E3927+E3928+E3929+E3930+E3931+E3932+E3933+E3934</f>
        <v>4.76664424657534</v>
      </c>
      <c r="F3935" s="63" t="n">
        <f aca="false">F3917+F3920+F3921+F3922+F3925+F3926+F3927+F3928+F3929+F3930+F3931+F3932+F3933+F3934</f>
        <v>4.75664424657534</v>
      </c>
      <c r="G3935" s="63" t="n">
        <f aca="false">G3917+G3920+G3921+G3922+G3925+G3926+G3927+G3928+G3929+G3930+G3931+G3932+G3933+G3934</f>
        <v>4.75664424657534</v>
      </c>
      <c r="H3935" s="2" t="s">
        <v>1209</v>
      </c>
    </row>
    <row r="3936" customFormat="false" ht="15" hidden="false" customHeight="false" outlineLevel="1" collapsed="false">
      <c r="A3936" s="56" t="s">
        <v>677</v>
      </c>
      <c r="B3936" s="57" t="s">
        <v>64</v>
      </c>
      <c r="C3936" s="68" t="n">
        <f aca="false">C3919-C3935</f>
        <v>0.340939315068495</v>
      </c>
      <c r="D3936" s="68" t="n">
        <f aca="false">D3919-D3935</f>
        <v>0.0569769863013718</v>
      </c>
      <c r="E3936" s="68" t="n">
        <f aca="false">E3919-E3935</f>
        <v>0.318355753424658</v>
      </c>
      <c r="F3936" s="68" t="n">
        <f aca="false">F3919-F3935</f>
        <v>0.328355753424659</v>
      </c>
      <c r="G3936" s="68" t="n">
        <f aca="false">G3919-G3935</f>
        <v>0.328355753424659</v>
      </c>
      <c r="H3936" s="2" t="s">
        <v>1210</v>
      </c>
    </row>
    <row r="3937" customFormat="false" ht="15" hidden="false" customHeight="false" outlineLevel="1" collapsed="false">
      <c r="A3937" s="7" t="s">
        <v>678</v>
      </c>
      <c r="B3937" s="8" t="s">
        <v>76</v>
      </c>
      <c r="C3937" s="59" t="n">
        <f aca="false">IF(C3919&gt;0,C3936/C3919,0)</f>
        <v>0.067048046227826</v>
      </c>
      <c r="D3937" s="59" t="n">
        <f aca="false">IF(D3919&gt;0,D3936/D3919,0)</f>
        <v>0.0112049137269168</v>
      </c>
      <c r="E3937" s="59" t="n">
        <f aca="false">IF(E3919&gt;0,E3936/E3919,0)</f>
        <v>0.0626068344984578</v>
      </c>
      <c r="F3937" s="59" t="n">
        <f aca="false">IF(F3919&gt;0,F3936/F3919,0)</f>
        <v>0.0645734028367077</v>
      </c>
      <c r="G3937" s="59" t="n">
        <f aca="false">IF(G3919&gt;0,G3936/G3919,0)</f>
        <v>0.0645734028367077</v>
      </c>
      <c r="H3937" s="2" t="s">
        <v>1211</v>
      </c>
    </row>
    <row r="3938" customFormat="false" ht="15" hidden="false" customHeight="false" outlineLevel="1" collapsed="false">
      <c r="A3938" s="7" t="s">
        <v>679</v>
      </c>
      <c r="B3938" s="8" t="s">
        <v>64</v>
      </c>
      <c r="C3938" s="63" t="n">
        <f aca="false">(C3917+C3920)*(C3923-Pressupostos!$C$72)/365+C3919*C3924/365</f>
        <v>2.19308219178082</v>
      </c>
      <c r="D3938" s="63" t="n">
        <f aca="false">(D3917+D3920)*(D3923-Pressupostos!$C$72)/365+D3919*D3924/365</f>
        <v>2.19308219178082</v>
      </c>
      <c r="E3938" s="63" t="n">
        <f aca="false">(E3917+E3920)*(E3923-Pressupostos!$C$72)/365+E3919*E3924/365</f>
        <v>0.658150684931507</v>
      </c>
      <c r="F3938" s="63" t="n">
        <f aca="false">(F3917+F3920)*(F3923-Pressupostos!$C$72)/365+F3919*F3924/365</f>
        <v>0.658150684931507</v>
      </c>
      <c r="G3938" s="63" t="n">
        <f aca="false">(G3917+G3920)*(G3923-Pressupostos!$C$72)/365+G3919*G3924/365</f>
        <v>0.658150684931507</v>
      </c>
      <c r="H3938" s="2" t="s">
        <v>1212</v>
      </c>
    </row>
    <row r="3939" customFormat="false" ht="15" hidden="false" customHeight="false" outlineLevel="0" collapsed="false">
      <c r="A3939" s="3" t="s">
        <v>1213</v>
      </c>
      <c r="B3939" s="4"/>
      <c r="C3939" s="4"/>
      <c r="D3939" s="4"/>
      <c r="E3939" s="4"/>
      <c r="F3939" s="4"/>
      <c r="G3939" s="4"/>
      <c r="H3939" s="4"/>
    </row>
    <row r="3940" customFormat="false" ht="15" hidden="false" customHeight="false" outlineLevel="1" collapsed="false">
      <c r="A3940" s="7" t="s">
        <v>669</v>
      </c>
      <c r="B3940" s="8" t="s">
        <v>64</v>
      </c>
      <c r="C3940" s="63" t="n">
        <f aca="false">Pressupostos!$D$10+Pressupostos!$D$12</f>
        <v>3.6</v>
      </c>
      <c r="D3940" s="63" t="n">
        <f aca="false">Pressupostos!$D$10+Pressupostos!$D$12</f>
        <v>3.6</v>
      </c>
      <c r="E3940" s="63" t="n">
        <f aca="false">Pressupostos!$D$10+Pressupostos!$D$12</f>
        <v>3.6</v>
      </c>
      <c r="F3940" s="63" t="n">
        <f aca="false">Pressupostos!$D$10+Pressupostos!$D$12</f>
        <v>3.6</v>
      </c>
      <c r="G3940" s="63" t="n">
        <f aca="false">Pressupostos!$D$10+Pressupostos!$D$12</f>
        <v>3.6</v>
      </c>
      <c r="H3940" s="2" t="s">
        <v>1214</v>
      </c>
    </row>
    <row r="3941" customFormat="false" ht="15" hidden="false" customHeight="false" outlineLevel="1" collapsed="false">
      <c r="A3941" s="7" t="s">
        <v>670</v>
      </c>
      <c r="B3941" s="8" t="s">
        <v>64</v>
      </c>
      <c r="C3941" s="63" t="n">
        <f aca="false">Pressupostos!$D$20+Pressupostos!$D$21</f>
        <v>4.35</v>
      </c>
      <c r="D3941" s="63" t="n">
        <f aca="false">Pressupostos!$D$20+Pressupostos!$D$21</f>
        <v>4.35</v>
      </c>
      <c r="E3941" s="63" t="n">
        <f aca="false">Pressupostos!$D$20+Pressupostos!$D$21</f>
        <v>4.35</v>
      </c>
      <c r="F3941" s="63" t="n">
        <f aca="false">Pressupostos!$D$20+Pressupostos!$D$21</f>
        <v>4.35</v>
      </c>
      <c r="G3941" s="63" t="n">
        <f aca="false">Pressupostos!$D$20+Pressupostos!$D$21</f>
        <v>4.35</v>
      </c>
      <c r="H3941" s="2" t="s">
        <v>1215</v>
      </c>
    </row>
    <row r="3942" customFormat="false" ht="15" hidden="false" customHeight="false" outlineLevel="1" collapsed="false">
      <c r="A3942" s="56" t="s">
        <v>671</v>
      </c>
      <c r="B3942" s="57" t="s">
        <v>64</v>
      </c>
      <c r="C3942" s="68" t="n">
        <f aca="false">C3941*(1-Pressupostos!$D$22)</f>
        <v>4.35</v>
      </c>
      <c r="D3942" s="68" t="n">
        <f aca="false">D3941*(1-Pressupostos!$D$22)</f>
        <v>4.35</v>
      </c>
      <c r="E3942" s="68" t="n">
        <f aca="false">E3941*(1-Pressupostos!$D$22)</f>
        <v>4.35</v>
      </c>
      <c r="F3942" s="68" t="n">
        <f aca="false">F3941*(1-Pressupostos!$D$22)</f>
        <v>4.35</v>
      </c>
      <c r="G3942" s="68" t="n">
        <f aca="false">G3941*(1-Pressupostos!$D$22)</f>
        <v>4.35</v>
      </c>
      <c r="H3942" s="2" t="s">
        <v>1216</v>
      </c>
    </row>
    <row r="3943" customFormat="false" ht="15" hidden="false" customHeight="false" outlineLevel="1" collapsed="false">
      <c r="A3943" s="7" t="s">
        <v>144</v>
      </c>
      <c r="B3943" s="8" t="s">
        <v>64</v>
      </c>
      <c r="C3943" s="67" t="n">
        <f aca="false">Pressupostos!$C$45</f>
        <v>0.45</v>
      </c>
      <c r="D3943" s="67" t="n">
        <f aca="false">Pressupostos!$C$45</f>
        <v>0.45</v>
      </c>
      <c r="E3943" s="67" t="n">
        <f aca="false">Pressupostos!$C$45</f>
        <v>0.45</v>
      </c>
      <c r="F3943" s="67" t="n">
        <f aca="false">Pressupostos!$C$45</f>
        <v>0.45</v>
      </c>
      <c r="G3943" s="67" t="n">
        <f aca="false">Pressupostos!$C$45</f>
        <v>0.45</v>
      </c>
      <c r="H3943" s="2" t="s">
        <v>1217</v>
      </c>
    </row>
    <row r="3944" customFormat="false" ht="15" hidden="false" customHeight="false" outlineLevel="1" collapsed="false">
      <c r="A3944" s="7" t="s">
        <v>215</v>
      </c>
      <c r="B3944" s="8" t="s">
        <v>64</v>
      </c>
      <c r="C3944" s="67" t="n">
        <f aca="false">Pressupostos!$C$250</f>
        <v>0.1</v>
      </c>
      <c r="D3944" s="67" t="n">
        <f aca="false">Pressupostos!$D$250</f>
        <v>0.1</v>
      </c>
      <c r="E3944" s="67" t="n">
        <f aca="false">Pressupostos!$E$250</f>
        <v>0.09</v>
      </c>
      <c r="F3944" s="67" t="n">
        <f aca="false">Pressupostos!$F$250</f>
        <v>0.09</v>
      </c>
      <c r="G3944" s="67" t="n">
        <f aca="false">Pressupostos!$G$250</f>
        <v>0.09</v>
      </c>
      <c r="H3944" s="2" t="s">
        <v>1218</v>
      </c>
    </row>
    <row r="3945" customFormat="false" ht="15" hidden="false" customHeight="false" outlineLevel="1" collapsed="false">
      <c r="A3945" s="7" t="s">
        <v>117</v>
      </c>
      <c r="B3945" s="8" t="s">
        <v>64</v>
      </c>
      <c r="C3945" s="67" t="n">
        <f aca="false">Pressupostos!$C$46</f>
        <v>0</v>
      </c>
      <c r="D3945" s="67" t="n">
        <f aca="false">Pressupostos!$C$46</f>
        <v>0</v>
      </c>
      <c r="E3945" s="67" t="n">
        <f aca="false">Pressupostos!$C$46</f>
        <v>0</v>
      </c>
      <c r="F3945" s="67" t="n">
        <f aca="false">Pressupostos!$C$46</f>
        <v>0</v>
      </c>
      <c r="G3945" s="67" t="n">
        <f aca="false">Pressupostos!$C$46</f>
        <v>0</v>
      </c>
      <c r="H3945" s="2" t="s">
        <v>1219</v>
      </c>
    </row>
    <row r="3946" customFormat="false" ht="15" hidden="false" customHeight="false" outlineLevel="1" collapsed="false">
      <c r="A3946" s="7" t="s">
        <v>91</v>
      </c>
      <c r="B3946" s="8" t="s">
        <v>79</v>
      </c>
      <c r="C3946" s="69" t="n">
        <f aca="false">Pressupostos!$D$23</f>
        <v>30</v>
      </c>
      <c r="D3946" s="69" t="n">
        <f aca="false">Pressupostos!$D$23</f>
        <v>30</v>
      </c>
      <c r="E3946" s="69" t="n">
        <f aca="false">Pressupostos!$D$23</f>
        <v>30</v>
      </c>
      <c r="F3946" s="69" t="n">
        <f aca="false">Pressupostos!$D$23</f>
        <v>30</v>
      </c>
      <c r="G3946" s="69" t="n">
        <f aca="false">Pressupostos!$D$23</f>
        <v>30</v>
      </c>
      <c r="H3946" s="2" t="s">
        <v>1220</v>
      </c>
    </row>
    <row r="3947" customFormat="false" ht="15" hidden="false" customHeight="false" outlineLevel="1" collapsed="false">
      <c r="A3947" s="7" t="s">
        <v>78</v>
      </c>
      <c r="B3947" s="8" t="s">
        <v>79</v>
      </c>
      <c r="C3947" s="69" t="n">
        <f aca="false">Pressupostos!$D$24</f>
        <v>45</v>
      </c>
      <c r="D3947" s="69" t="n">
        <f aca="false">Pressupostos!$D$24</f>
        <v>45</v>
      </c>
      <c r="E3947" s="69" t="n">
        <f aca="false">Pressupostos!$D$24</f>
        <v>45</v>
      </c>
      <c r="F3947" s="69" t="n">
        <f aca="false">Pressupostos!$D$24</f>
        <v>45</v>
      </c>
      <c r="G3947" s="69" t="n">
        <f aca="false">Pressupostos!$D$24</f>
        <v>45</v>
      </c>
      <c r="H3947" s="2" t="s">
        <v>1221</v>
      </c>
    </row>
    <row r="3948" customFormat="false" ht="15" hidden="false" customHeight="false" outlineLevel="1" collapsed="false">
      <c r="A3948" s="7" t="s">
        <v>490</v>
      </c>
      <c r="B3948" s="8" t="s">
        <v>64</v>
      </c>
      <c r="C3948" s="63" t="n">
        <f aca="false">Pressupostos!$C$66*C3946/30/1000</f>
        <v>0.004</v>
      </c>
      <c r="D3948" s="63" t="n">
        <f aca="false">Pressupostos!$C$66*D3946/30/1000</f>
        <v>0.004</v>
      </c>
      <c r="E3948" s="63" t="n">
        <f aca="false">Pressupostos!$C$66*E3946/30/1000</f>
        <v>0.004</v>
      </c>
      <c r="F3948" s="63" t="n">
        <f aca="false">Pressupostos!$C$66*F3946/30/1000</f>
        <v>0.004</v>
      </c>
      <c r="G3948" s="63" t="n">
        <f aca="false">Pressupostos!$C$66*G3946/30/1000</f>
        <v>0.004</v>
      </c>
      <c r="H3948" s="2" t="s">
        <v>1222</v>
      </c>
    </row>
    <row r="3949" customFormat="false" ht="15" hidden="false" customHeight="false" outlineLevel="1" collapsed="false">
      <c r="A3949" s="7" t="s">
        <v>165</v>
      </c>
      <c r="B3949" s="8" t="s">
        <v>64</v>
      </c>
      <c r="C3949" s="63" t="n">
        <f aca="false">C3940*Pressupostos!$C$67*C3946/365</f>
        <v>0.000591780821917808</v>
      </c>
      <c r="D3949" s="63" t="n">
        <f aca="false">D3940*Pressupostos!$C$67*D3946/365</f>
        <v>0.000591780821917808</v>
      </c>
      <c r="E3949" s="63" t="n">
        <f aca="false">E3940*Pressupostos!$C$67*E3946/365</f>
        <v>0.000591780821917808</v>
      </c>
      <c r="F3949" s="63" t="n">
        <f aca="false">F3940*Pressupostos!$C$67*F3946/365</f>
        <v>0.000591780821917808</v>
      </c>
      <c r="G3949" s="63" t="n">
        <f aca="false">G3940*Pressupostos!$C$67*G3946/365</f>
        <v>0.000591780821917808</v>
      </c>
      <c r="H3949" s="2" t="s">
        <v>1223</v>
      </c>
    </row>
    <row r="3950" customFormat="false" ht="15" hidden="false" customHeight="false" outlineLevel="1" collapsed="false">
      <c r="A3950" s="7" t="s">
        <v>672</v>
      </c>
      <c r="B3950" s="8" t="s">
        <v>64</v>
      </c>
      <c r="C3950" s="63" t="n">
        <f aca="false">Pressupostos!$C$48*Pressupostos!$C$68/(Pressupostos!$C$47*1000)</f>
        <v>0.02</v>
      </c>
      <c r="D3950" s="63" t="n">
        <f aca="false">Pressupostos!$C$48*Pressupostos!$C$68/(Pressupostos!$C$47*1000)</f>
        <v>0.02</v>
      </c>
      <c r="E3950" s="63" t="n">
        <f aca="false">Pressupostos!$C$48*Pressupostos!$C$68/(Pressupostos!$C$47*1000)</f>
        <v>0.02</v>
      </c>
      <c r="F3950" s="63" t="n">
        <f aca="false">Pressupostos!$C$48*Pressupostos!$C$68/(Pressupostos!$C$47*1000)</f>
        <v>0.02</v>
      </c>
      <c r="G3950" s="63" t="n">
        <f aca="false">Pressupostos!$C$48*Pressupostos!$C$68/(Pressupostos!$C$47*1000)</f>
        <v>0.02</v>
      </c>
      <c r="H3950" s="2" t="s">
        <v>1224</v>
      </c>
    </row>
    <row r="3951" customFormat="false" ht="15" hidden="false" customHeight="false" outlineLevel="1" collapsed="false">
      <c r="A3951" s="7" t="s">
        <v>492</v>
      </c>
      <c r="B3951" s="8" t="s">
        <v>64</v>
      </c>
      <c r="C3951" s="63" t="n">
        <f aca="false">Pressupostos!$C$69*C3940</f>
        <v>0.018</v>
      </c>
      <c r="D3951" s="63" t="n">
        <f aca="false">Pressupostos!$C$69*D3940</f>
        <v>0.018</v>
      </c>
      <c r="E3951" s="63" t="n">
        <f aca="false">Pressupostos!$C$69*E3940</f>
        <v>0.018</v>
      </c>
      <c r="F3951" s="63" t="n">
        <f aca="false">Pressupostos!$C$69*F3940</f>
        <v>0.018</v>
      </c>
      <c r="G3951" s="63" t="n">
        <f aca="false">Pressupostos!$C$69*G3940</f>
        <v>0.018</v>
      </c>
      <c r="H3951" s="2" t="s">
        <v>1225</v>
      </c>
    </row>
    <row r="3952" customFormat="false" ht="15" hidden="false" customHeight="false" outlineLevel="1" collapsed="false">
      <c r="A3952" s="7" t="s">
        <v>493</v>
      </c>
      <c r="B3952" s="8" t="s">
        <v>64</v>
      </c>
      <c r="C3952" s="63" t="n">
        <f aca="false">Pressupostos!$C$70*Pressupostos!$C$71*C3946/90</f>
        <v>0.003</v>
      </c>
      <c r="D3952" s="63" t="n">
        <f aca="false">Pressupostos!$C$70*Pressupostos!$C$71*D3946/90</f>
        <v>0.003</v>
      </c>
      <c r="E3952" s="63" t="n">
        <f aca="false">Pressupostos!$C$70*Pressupostos!$C$71*E3946/90</f>
        <v>0.003</v>
      </c>
      <c r="F3952" s="63" t="n">
        <f aca="false">Pressupostos!$C$70*Pressupostos!$C$71*F3946/90</f>
        <v>0.003</v>
      </c>
      <c r="G3952" s="63" t="n">
        <f aca="false">Pressupostos!$C$70*Pressupostos!$C$71*G3946/90</f>
        <v>0.003</v>
      </c>
      <c r="H3952" s="2" t="s">
        <v>1226</v>
      </c>
    </row>
    <row r="3953" customFormat="false" ht="15" hidden="false" customHeight="false" outlineLevel="1" collapsed="false">
      <c r="A3953" s="7" t="s">
        <v>673</v>
      </c>
      <c r="B3953" s="8" t="s">
        <v>64</v>
      </c>
      <c r="C3953" s="63" t="n">
        <f aca="false">Pressupostos!$C$49/(Pressupostos!$C$47*1000)</f>
        <v>0.04</v>
      </c>
      <c r="D3953" s="63" t="n">
        <f aca="false">Pressupostos!$C$49/(Pressupostos!$C$47*1000)</f>
        <v>0.04</v>
      </c>
      <c r="E3953" s="63" t="n">
        <f aca="false">Pressupostos!$C$49/(Pressupostos!$C$47*1000)</f>
        <v>0.04</v>
      </c>
      <c r="F3953" s="63" t="n">
        <f aca="false">Pressupostos!$C$49/(Pressupostos!$C$47*1000)</f>
        <v>0.04</v>
      </c>
      <c r="G3953" s="63" t="n">
        <f aca="false">Pressupostos!$C$49/(Pressupostos!$C$47*1000)</f>
        <v>0.04</v>
      </c>
      <c r="H3953" s="2" t="s">
        <v>1227</v>
      </c>
    </row>
    <row r="3954" customFormat="false" ht="15" hidden="false" customHeight="false" outlineLevel="1" collapsed="false">
      <c r="A3954" s="7" t="s">
        <v>139</v>
      </c>
      <c r="B3954" s="8" t="s">
        <v>64</v>
      </c>
      <c r="C3954" s="67" t="n">
        <f aca="false">Pressupostos!$C$50</f>
        <v>0.005</v>
      </c>
      <c r="D3954" s="67" t="n">
        <f aca="false">Pressupostos!$C$50</f>
        <v>0.005</v>
      </c>
      <c r="E3954" s="67" t="n">
        <f aca="false">Pressupostos!$C$50</f>
        <v>0.005</v>
      </c>
      <c r="F3954" s="67" t="n">
        <f aca="false">Pressupostos!$C$50</f>
        <v>0.005</v>
      </c>
      <c r="G3954" s="67" t="n">
        <f aca="false">Pressupostos!$C$50</f>
        <v>0.005</v>
      </c>
      <c r="H3954" s="2" t="s">
        <v>1228</v>
      </c>
    </row>
    <row r="3955" customFormat="false" ht="15" hidden="false" customHeight="false" outlineLevel="1" collapsed="false">
      <c r="A3955" s="7" t="s">
        <v>81</v>
      </c>
      <c r="B3955" s="8" t="s">
        <v>64</v>
      </c>
      <c r="C3955" s="63" t="n">
        <f aca="false">Pressupostos!$D$25*C3942</f>
        <v>0.01305</v>
      </c>
      <c r="D3955" s="63" t="n">
        <f aca="false">Pressupostos!$D$25*D3942</f>
        <v>0.01305</v>
      </c>
      <c r="E3955" s="63" t="n">
        <f aca="false">Pressupostos!$D$25*E3942</f>
        <v>0.01305</v>
      </c>
      <c r="F3955" s="63" t="n">
        <f aca="false">Pressupostos!$D$25*F3942</f>
        <v>0.01305</v>
      </c>
      <c r="G3955" s="63" t="n">
        <f aca="false">Pressupostos!$D$25*G3942</f>
        <v>0.01305</v>
      </c>
      <c r="H3955" s="2" t="s">
        <v>1229</v>
      </c>
    </row>
    <row r="3956" customFormat="false" ht="15" hidden="false" customHeight="false" outlineLevel="1" collapsed="false">
      <c r="A3956" s="7" t="s">
        <v>674</v>
      </c>
      <c r="B3956" s="8" t="s">
        <v>64</v>
      </c>
      <c r="C3956" s="63" t="n">
        <f aca="false">Pressupostos!$C$73*C3942</f>
        <v>0</v>
      </c>
      <c r="D3956" s="63" t="n">
        <f aca="false">Pressupostos!$C$73*D3942</f>
        <v>0</v>
      </c>
      <c r="E3956" s="63" t="n">
        <f aca="false">Pressupostos!$C$73*E3942</f>
        <v>0</v>
      </c>
      <c r="F3956" s="63" t="n">
        <f aca="false">Pressupostos!$C$73*F3942</f>
        <v>0</v>
      </c>
      <c r="G3956" s="63" t="n">
        <f aca="false">Pressupostos!$C$73*G3942</f>
        <v>0</v>
      </c>
      <c r="H3956" s="2" t="s">
        <v>1230</v>
      </c>
    </row>
    <row r="3957" customFormat="false" ht="15" hidden="false" customHeight="false" outlineLevel="1" collapsed="false">
      <c r="A3957" s="7" t="s">
        <v>675</v>
      </c>
      <c r="B3957" s="8" t="s">
        <v>64</v>
      </c>
      <c r="C3957" s="63" t="n">
        <f aca="false">(Pressupostos!$C$199)*(C3940+C3943)*(C3946+C3947-Pressupostos!$C$72)/365*Pressupostos!$C$282/Pressupostos!$D$31</f>
        <v>0</v>
      </c>
      <c r="D3957" s="63" t="n">
        <f aca="false">(Pressupostos!$C$199)*(D3940+D3943)*(D3946+D3947-Pressupostos!$C$72)/365*Pressupostos!$D$282/Pressupostos!$D$31</f>
        <v>0.0674075342465754</v>
      </c>
      <c r="E3957" s="63" t="n">
        <f aca="false">(Pressupostos!$C$199)*(E3940+E3943)*(E3946+E3947-Pressupostos!$C$72)/365*Pressupostos!$E$282/Pressupostos!$D$31</f>
        <v>0.0674075342465754</v>
      </c>
      <c r="F3957" s="63" t="n">
        <f aca="false">(Pressupostos!$C$199)*(F3940+F3943)*(F3946+F3947-Pressupostos!$C$72)/365*Pressupostos!$F$282/Pressupostos!$D$31</f>
        <v>0.0674075342465754</v>
      </c>
      <c r="G3957" s="63" t="n">
        <f aca="false">(Pressupostos!$C$199)*(G3940+G3943)*(G3946+G3947-Pressupostos!$C$72)/365*Pressupostos!$G$282/Pressupostos!$D$31</f>
        <v>0.0674075342465754</v>
      </c>
      <c r="H3957" s="2" t="s">
        <v>1231</v>
      </c>
    </row>
    <row r="3958" customFormat="false" ht="15" hidden="false" customHeight="false" outlineLevel="1" collapsed="false">
      <c r="A3958" s="7" t="s">
        <v>676</v>
      </c>
      <c r="B3958" s="8" t="s">
        <v>64</v>
      </c>
      <c r="C3958" s="63" t="n">
        <f aca="false">C3940+C3943+C3944+C3945+C3948+C3949+C3950+C3951+C3952+C3953+C3954+C3955+C3956+C3957</f>
        <v>4.25364178082192</v>
      </c>
      <c r="D3958" s="63" t="n">
        <f aca="false">D3940+D3943+D3944+D3945+D3948+D3949+D3950+D3951+D3952+D3953+D3954+D3955+D3956+D3957</f>
        <v>4.32104931506849</v>
      </c>
      <c r="E3958" s="63" t="n">
        <f aca="false">E3940+E3943+E3944+E3945+E3948+E3949+E3950+E3951+E3952+E3953+E3954+E3955+E3956+E3957</f>
        <v>4.31104931506849</v>
      </c>
      <c r="F3958" s="63" t="n">
        <f aca="false">F3940+F3943+F3944+F3945+F3948+F3949+F3950+F3951+F3952+F3953+F3954+F3955+F3956+F3957</f>
        <v>4.31104931506849</v>
      </c>
      <c r="G3958" s="63" t="n">
        <f aca="false">G3940+G3943+G3944+G3945+G3948+G3949+G3950+G3951+G3952+G3953+G3954+G3955+G3956+G3957</f>
        <v>4.31104931506849</v>
      </c>
      <c r="H3958" s="2" t="s">
        <v>1232</v>
      </c>
    </row>
    <row r="3959" customFormat="false" ht="15" hidden="false" customHeight="false" outlineLevel="1" collapsed="false">
      <c r="A3959" s="56" t="s">
        <v>677</v>
      </c>
      <c r="B3959" s="57" t="s">
        <v>64</v>
      </c>
      <c r="C3959" s="68" t="n">
        <f aca="false">C3942-C3958</f>
        <v>0.0963582191780832</v>
      </c>
      <c r="D3959" s="68" t="n">
        <f aca="false">D3942-D3958</f>
        <v>0.028950684931508</v>
      </c>
      <c r="E3959" s="68" t="n">
        <f aca="false">E3942-E3958</f>
        <v>0.0389506849315078</v>
      </c>
      <c r="F3959" s="68" t="n">
        <f aca="false">F3942-F3958</f>
        <v>0.0389506849315078</v>
      </c>
      <c r="G3959" s="68" t="n">
        <f aca="false">G3942-G3958</f>
        <v>0.0389506849315078</v>
      </c>
      <c r="H3959" s="2" t="s">
        <v>1233</v>
      </c>
    </row>
    <row r="3960" customFormat="false" ht="15" hidden="false" customHeight="false" outlineLevel="1" collapsed="false">
      <c r="A3960" s="7" t="s">
        <v>678</v>
      </c>
      <c r="B3960" s="8" t="s">
        <v>76</v>
      </c>
      <c r="C3960" s="59" t="n">
        <f aca="false">IF(C3942&gt;0,C3959/C3942,0)</f>
        <v>0.0221513147535823</v>
      </c>
      <c r="D3960" s="59" t="n">
        <f aca="false">IF(D3942&gt;0,D3959/D3942,0)</f>
        <v>0.00665532986931218</v>
      </c>
      <c r="E3960" s="59" t="n">
        <f aca="false">IF(E3942&gt;0,E3959/E3942,0)</f>
        <v>0.00895418044402478</v>
      </c>
      <c r="F3960" s="59" t="n">
        <f aca="false">IF(F3942&gt;0,F3959/F3942,0)</f>
        <v>0.00895418044402478</v>
      </c>
      <c r="G3960" s="59" t="n">
        <f aca="false">IF(G3942&gt;0,G3959/G3942,0)</f>
        <v>0.00895418044402478</v>
      </c>
      <c r="H3960" s="2" t="s">
        <v>1234</v>
      </c>
    </row>
    <row r="3961" customFormat="false" ht="15" hidden="false" customHeight="false" outlineLevel="1" collapsed="false">
      <c r="A3961" s="7" t="s">
        <v>679</v>
      </c>
      <c r="B3961" s="8" t="s">
        <v>64</v>
      </c>
      <c r="C3961" s="63" t="n">
        <f aca="false">(C3940+C3943)*(C3946-Pressupostos!$C$72)/365+C3942*C3947/365</f>
        <v>0.536301369863014</v>
      </c>
      <c r="D3961" s="63" t="n">
        <f aca="false">(D3940+D3943)*(D3946-Pressupostos!$C$72)/365+D3942*D3947/365</f>
        <v>0.536301369863014</v>
      </c>
      <c r="E3961" s="63" t="n">
        <f aca="false">(E3940+E3943)*(E3946-Pressupostos!$C$72)/365+E3942*E3947/365</f>
        <v>0.536301369863014</v>
      </c>
      <c r="F3961" s="63" t="n">
        <f aca="false">(F3940+F3943)*(F3946-Pressupostos!$C$72)/365+F3942*F3947/365</f>
        <v>0.536301369863014</v>
      </c>
      <c r="G3961" s="63" t="n">
        <f aca="false">(G3940+G3943)*(G3946-Pressupostos!$C$72)/365+G3942*G3947/365</f>
        <v>0.536301369863014</v>
      </c>
      <c r="H3961" s="2" t="s">
        <v>1235</v>
      </c>
    </row>
    <row r="3962" customFormat="false" ht="15" hidden="false" customHeight="false" outlineLevel="0" collapsed="false">
      <c r="A3962" s="3" t="s">
        <v>1236</v>
      </c>
      <c r="B3962" s="4"/>
      <c r="C3962" s="4"/>
      <c r="D3962" s="4"/>
      <c r="E3962" s="4"/>
      <c r="F3962" s="4"/>
      <c r="G3962" s="4"/>
      <c r="H3962" s="4"/>
    </row>
    <row r="3963" customFormat="false" ht="15" hidden="false" customHeight="false" outlineLevel="1" collapsed="false">
      <c r="A3963" s="7" t="s">
        <v>669</v>
      </c>
      <c r="B3963" s="8" t="s">
        <v>64</v>
      </c>
      <c r="C3963" s="63" t="n">
        <f aca="false">Pressupostos!$D$10+Pressupostos!$D$13</f>
        <v>3.5</v>
      </c>
      <c r="D3963" s="63" t="n">
        <f aca="false">Pressupostos!$D$10+Pressupostos!$D$13</f>
        <v>3.5</v>
      </c>
      <c r="E3963" s="63" t="n">
        <f aca="false">Pressupostos!$D$10+Pressupostos!$D$13</f>
        <v>3.5</v>
      </c>
      <c r="F3963" s="63" t="n">
        <f aca="false">Pressupostos!$D$10+Pressupostos!$D$13</f>
        <v>3.5</v>
      </c>
      <c r="G3963" s="63" t="n">
        <f aca="false">Pressupostos!$D$10+Pressupostos!$D$13</f>
        <v>3.5</v>
      </c>
      <c r="H3963" s="2" t="s">
        <v>1237</v>
      </c>
    </row>
    <row r="3964" customFormat="false" ht="15" hidden="false" customHeight="false" outlineLevel="1" collapsed="false">
      <c r="A3964" s="7" t="s">
        <v>670</v>
      </c>
      <c r="B3964" s="8" t="s">
        <v>64</v>
      </c>
      <c r="C3964" s="63" t="n">
        <f aca="false">Pressupostos!$D$10+Pressupostos!$C$52</f>
        <v>3.65</v>
      </c>
      <c r="D3964" s="63" t="n">
        <f aca="false">Pressupostos!$D$10+Pressupostos!$C$52</f>
        <v>3.65</v>
      </c>
      <c r="E3964" s="63" t="n">
        <f aca="false">Pressupostos!$D$10+Pressupostos!$C$52</f>
        <v>3.65</v>
      </c>
      <c r="F3964" s="63" t="n">
        <f aca="false">Pressupostos!$D$10+Pressupostos!$C$52</f>
        <v>3.65</v>
      </c>
      <c r="G3964" s="63" t="n">
        <f aca="false">Pressupostos!$D$10+Pressupostos!$C$52</f>
        <v>3.65</v>
      </c>
      <c r="H3964" s="2" t="s">
        <v>1238</v>
      </c>
    </row>
    <row r="3965" customFormat="false" ht="15" hidden="false" customHeight="false" outlineLevel="1" collapsed="false">
      <c r="A3965" s="56" t="s">
        <v>671</v>
      </c>
      <c r="B3965" s="57" t="s">
        <v>64</v>
      </c>
      <c r="C3965" s="68" t="n">
        <f aca="false">C3964*(1-Pressupostos!$C$53)</f>
        <v>3.65</v>
      </c>
      <c r="D3965" s="68" t="n">
        <f aca="false">D3964*(1-Pressupostos!$C$53)</f>
        <v>3.65</v>
      </c>
      <c r="E3965" s="68" t="n">
        <f aca="false">E3964*(1-Pressupostos!$C$53)</f>
        <v>3.65</v>
      </c>
      <c r="F3965" s="68" t="n">
        <f aca="false">F3964*(1-Pressupostos!$C$53)</f>
        <v>3.65</v>
      </c>
      <c r="G3965" s="68" t="n">
        <f aca="false">G3964*(1-Pressupostos!$C$53)</f>
        <v>3.65</v>
      </c>
      <c r="H3965" s="2" t="s">
        <v>1239</v>
      </c>
    </row>
    <row r="3966" customFormat="false" ht="15" hidden="false" customHeight="false" outlineLevel="1" collapsed="false">
      <c r="A3966" s="7" t="s">
        <v>144</v>
      </c>
      <c r="B3966" s="8" t="s">
        <v>64</v>
      </c>
      <c r="C3966" s="67" t="n">
        <f aca="false">Pressupostos!$C$54</f>
        <v>0</v>
      </c>
      <c r="D3966" s="67" t="n">
        <f aca="false">Pressupostos!$C$54</f>
        <v>0</v>
      </c>
      <c r="E3966" s="67" t="n">
        <f aca="false">Pressupostos!$C$54</f>
        <v>0</v>
      </c>
      <c r="F3966" s="67" t="n">
        <f aca="false">Pressupostos!$C$54</f>
        <v>0</v>
      </c>
      <c r="G3966" s="67" t="n">
        <f aca="false">Pressupostos!$C$54</f>
        <v>0</v>
      </c>
      <c r="H3966" s="2" t="s">
        <v>1240</v>
      </c>
    </row>
    <row r="3967" customFormat="false" ht="15" hidden="false" customHeight="false" outlineLevel="1" collapsed="false">
      <c r="A3967" s="7" t="s">
        <v>215</v>
      </c>
      <c r="B3967" s="8" t="s">
        <v>64</v>
      </c>
      <c r="C3967" s="67" t="n">
        <f aca="false">Pressupostos!$C$55</f>
        <v>0.04</v>
      </c>
      <c r="D3967" s="67" t="n">
        <f aca="false">Pressupostos!$C$55</f>
        <v>0.04</v>
      </c>
      <c r="E3967" s="67" t="n">
        <f aca="false">Pressupostos!$C$55</f>
        <v>0.04</v>
      </c>
      <c r="F3967" s="67" t="n">
        <f aca="false">Pressupostos!$C$55</f>
        <v>0.04</v>
      </c>
      <c r="G3967" s="67" t="n">
        <f aca="false">Pressupostos!$C$55</f>
        <v>0.04</v>
      </c>
      <c r="H3967" s="2" t="s">
        <v>1241</v>
      </c>
    </row>
    <row r="3968" customFormat="false" ht="15" hidden="false" customHeight="false" outlineLevel="1" collapsed="false">
      <c r="A3968" s="7" t="s">
        <v>117</v>
      </c>
      <c r="B3968" s="8" t="s">
        <v>64</v>
      </c>
      <c r="C3968" s="67" t="n">
        <f aca="false">Pressupostos!$C$56</f>
        <v>0</v>
      </c>
      <c r="D3968" s="67" t="n">
        <f aca="false">Pressupostos!$C$56</f>
        <v>0</v>
      </c>
      <c r="E3968" s="67" t="n">
        <f aca="false">Pressupostos!$C$56</f>
        <v>0</v>
      </c>
      <c r="F3968" s="67" t="n">
        <f aca="false">Pressupostos!$C$56</f>
        <v>0</v>
      </c>
      <c r="G3968" s="67" t="n">
        <f aca="false">Pressupostos!$C$56</f>
        <v>0</v>
      </c>
      <c r="H3968" s="2" t="s">
        <v>1242</v>
      </c>
    </row>
    <row r="3969" customFormat="false" ht="15" hidden="false" customHeight="false" outlineLevel="1" collapsed="false">
      <c r="A3969" s="7" t="s">
        <v>91</v>
      </c>
      <c r="B3969" s="8" t="s">
        <v>79</v>
      </c>
      <c r="C3969" s="69" t="n">
        <f aca="false">Pressupostos!$C$57</f>
        <v>15</v>
      </c>
      <c r="D3969" s="69" t="n">
        <f aca="false">Pressupostos!$C$57</f>
        <v>15</v>
      </c>
      <c r="E3969" s="69" t="n">
        <f aca="false">Pressupostos!$C$57</f>
        <v>15</v>
      </c>
      <c r="F3969" s="69" t="n">
        <f aca="false">Pressupostos!$C$57</f>
        <v>15</v>
      </c>
      <c r="G3969" s="69" t="n">
        <f aca="false">Pressupostos!$C$57</f>
        <v>15</v>
      </c>
      <c r="H3969" s="2" t="s">
        <v>1243</v>
      </c>
    </row>
    <row r="3970" customFormat="false" ht="15" hidden="false" customHeight="false" outlineLevel="1" collapsed="false">
      <c r="A3970" s="7" t="s">
        <v>78</v>
      </c>
      <c r="B3970" s="8" t="s">
        <v>79</v>
      </c>
      <c r="C3970" s="69" t="n">
        <f aca="false">Pressupostos!$C$58</f>
        <v>45</v>
      </c>
      <c r="D3970" s="69" t="n">
        <f aca="false">Pressupostos!$C$58</f>
        <v>45</v>
      </c>
      <c r="E3970" s="69" t="n">
        <f aca="false">Pressupostos!$C$58</f>
        <v>45</v>
      </c>
      <c r="F3970" s="69" t="n">
        <f aca="false">Pressupostos!$C$58</f>
        <v>45</v>
      </c>
      <c r="G3970" s="69" t="n">
        <f aca="false">Pressupostos!$C$58</f>
        <v>45</v>
      </c>
      <c r="H3970" s="2" t="s">
        <v>1244</v>
      </c>
    </row>
    <row r="3971" customFormat="false" ht="15" hidden="false" customHeight="false" outlineLevel="1" collapsed="false">
      <c r="A3971" s="7" t="s">
        <v>490</v>
      </c>
      <c r="B3971" s="8" t="s">
        <v>64</v>
      </c>
      <c r="C3971" s="63" t="n">
        <f aca="false">Pressupostos!$C$66*C3969/30/1000</f>
        <v>0.002</v>
      </c>
      <c r="D3971" s="63" t="n">
        <f aca="false">Pressupostos!$C$66*D3969/30/1000</f>
        <v>0.002</v>
      </c>
      <c r="E3971" s="63" t="n">
        <f aca="false">Pressupostos!$C$66*E3969/30/1000</f>
        <v>0.002</v>
      </c>
      <c r="F3971" s="63" t="n">
        <f aca="false">Pressupostos!$C$66*F3969/30/1000</f>
        <v>0.002</v>
      </c>
      <c r="G3971" s="63" t="n">
        <f aca="false">Pressupostos!$C$66*G3969/30/1000</f>
        <v>0.002</v>
      </c>
      <c r="H3971" s="2" t="s">
        <v>1245</v>
      </c>
    </row>
    <row r="3972" customFormat="false" ht="15" hidden="false" customHeight="false" outlineLevel="1" collapsed="false">
      <c r="A3972" s="7" t="s">
        <v>165</v>
      </c>
      <c r="B3972" s="8" t="s">
        <v>64</v>
      </c>
      <c r="C3972" s="63" t="n">
        <f aca="false">C3963*Pressupostos!$C$67*C3969/365</f>
        <v>0.000287671232876712</v>
      </c>
      <c r="D3972" s="63" t="n">
        <f aca="false">D3963*Pressupostos!$C$67*D3969/365</f>
        <v>0.000287671232876712</v>
      </c>
      <c r="E3972" s="63" t="n">
        <f aca="false">E3963*Pressupostos!$C$67*E3969/365</f>
        <v>0.000287671232876712</v>
      </c>
      <c r="F3972" s="63" t="n">
        <f aca="false">F3963*Pressupostos!$C$67*F3969/365</f>
        <v>0.000287671232876712</v>
      </c>
      <c r="G3972" s="63" t="n">
        <f aca="false">G3963*Pressupostos!$C$67*G3969/365</f>
        <v>0.000287671232876712</v>
      </c>
      <c r="H3972" s="2" t="s">
        <v>1246</v>
      </c>
    </row>
    <row r="3973" customFormat="false" ht="15" hidden="false" customHeight="false" outlineLevel="1" collapsed="false">
      <c r="A3973" s="7" t="s">
        <v>672</v>
      </c>
      <c r="B3973" s="8" t="s">
        <v>64</v>
      </c>
      <c r="C3973" s="63" t="n">
        <f aca="false">Pressupostos!$C$60*Pressupostos!$C$68/(Pressupostos!$C$59*1000)</f>
        <v>0.006</v>
      </c>
      <c r="D3973" s="63" t="n">
        <f aca="false">Pressupostos!$C$60*Pressupostos!$C$68/(Pressupostos!$C$59*1000)</f>
        <v>0.006</v>
      </c>
      <c r="E3973" s="63" t="n">
        <f aca="false">Pressupostos!$C$60*Pressupostos!$C$68/(Pressupostos!$C$59*1000)</f>
        <v>0.006</v>
      </c>
      <c r="F3973" s="63" t="n">
        <f aca="false">Pressupostos!$C$60*Pressupostos!$C$68/(Pressupostos!$C$59*1000)</f>
        <v>0.006</v>
      </c>
      <c r="G3973" s="63" t="n">
        <f aca="false">Pressupostos!$C$60*Pressupostos!$C$68/(Pressupostos!$C$59*1000)</f>
        <v>0.006</v>
      </c>
      <c r="H3973" s="2" t="s">
        <v>1247</v>
      </c>
    </row>
    <row r="3974" customFormat="false" ht="15" hidden="false" customHeight="false" outlineLevel="1" collapsed="false">
      <c r="A3974" s="7" t="s">
        <v>492</v>
      </c>
      <c r="B3974" s="8" t="s">
        <v>64</v>
      </c>
      <c r="C3974" s="63" t="n">
        <f aca="false">Pressupostos!$C$69*C3963</f>
        <v>0.0175</v>
      </c>
      <c r="D3974" s="63" t="n">
        <f aca="false">Pressupostos!$C$69*D3963</f>
        <v>0.0175</v>
      </c>
      <c r="E3974" s="63" t="n">
        <f aca="false">Pressupostos!$C$69*E3963</f>
        <v>0.0175</v>
      </c>
      <c r="F3974" s="63" t="n">
        <f aca="false">Pressupostos!$C$69*F3963</f>
        <v>0.0175</v>
      </c>
      <c r="G3974" s="63" t="n">
        <f aca="false">Pressupostos!$C$69*G3963</f>
        <v>0.0175</v>
      </c>
      <c r="H3974" s="2" t="s">
        <v>1248</v>
      </c>
    </row>
    <row r="3975" customFormat="false" ht="15" hidden="false" customHeight="false" outlineLevel="1" collapsed="false">
      <c r="A3975" s="7" t="s">
        <v>493</v>
      </c>
      <c r="B3975" s="8" t="s">
        <v>64</v>
      </c>
      <c r="C3975" s="63" t="n">
        <f aca="false">Pressupostos!$C$70*Pressupostos!$C$71*C3969/90</f>
        <v>0.0015</v>
      </c>
      <c r="D3975" s="63" t="n">
        <f aca="false">Pressupostos!$C$70*Pressupostos!$C$71*D3969/90</f>
        <v>0.0015</v>
      </c>
      <c r="E3975" s="63" t="n">
        <f aca="false">Pressupostos!$C$70*Pressupostos!$C$71*E3969/90</f>
        <v>0.0015</v>
      </c>
      <c r="F3975" s="63" t="n">
        <f aca="false">Pressupostos!$C$70*Pressupostos!$C$71*F3969/90</f>
        <v>0.0015</v>
      </c>
      <c r="G3975" s="63" t="n">
        <f aca="false">Pressupostos!$C$70*Pressupostos!$C$71*G3969/90</f>
        <v>0.0015</v>
      </c>
      <c r="H3975" s="2" t="s">
        <v>1249</v>
      </c>
    </row>
    <row r="3976" customFormat="false" ht="15" hidden="false" customHeight="false" outlineLevel="1" collapsed="false">
      <c r="A3976" s="7" t="s">
        <v>673</v>
      </c>
      <c r="B3976" s="8" t="s">
        <v>64</v>
      </c>
      <c r="C3976" s="63" t="n">
        <f aca="false">Pressupostos!$C$61/(Pressupostos!$C$59*1000)</f>
        <v>0.012</v>
      </c>
      <c r="D3976" s="63" t="n">
        <f aca="false">Pressupostos!$C$61/(Pressupostos!$C$59*1000)</f>
        <v>0.012</v>
      </c>
      <c r="E3976" s="63" t="n">
        <f aca="false">Pressupostos!$C$61/(Pressupostos!$C$59*1000)</f>
        <v>0.012</v>
      </c>
      <c r="F3976" s="63" t="n">
        <f aca="false">Pressupostos!$C$61/(Pressupostos!$C$59*1000)</f>
        <v>0.012</v>
      </c>
      <c r="G3976" s="63" t="n">
        <f aca="false">Pressupostos!$C$61/(Pressupostos!$C$59*1000)</f>
        <v>0.012</v>
      </c>
      <c r="H3976" s="2" t="s">
        <v>1250</v>
      </c>
    </row>
    <row r="3977" customFormat="false" ht="15" hidden="false" customHeight="false" outlineLevel="1" collapsed="false">
      <c r="A3977" s="7" t="s">
        <v>139</v>
      </c>
      <c r="B3977" s="8" t="s">
        <v>64</v>
      </c>
      <c r="C3977" s="67" t="n">
        <f aca="false">Pressupostos!$C$62</f>
        <v>0.001</v>
      </c>
      <c r="D3977" s="67" t="n">
        <f aca="false">Pressupostos!$C$62</f>
        <v>0.001</v>
      </c>
      <c r="E3977" s="67" t="n">
        <f aca="false">Pressupostos!$C$62</f>
        <v>0.001</v>
      </c>
      <c r="F3977" s="67" t="n">
        <f aca="false">Pressupostos!$C$62</f>
        <v>0.001</v>
      </c>
      <c r="G3977" s="67" t="n">
        <f aca="false">Pressupostos!$C$62</f>
        <v>0.001</v>
      </c>
      <c r="H3977" s="2" t="s">
        <v>1251</v>
      </c>
    </row>
    <row r="3978" customFormat="false" ht="15" hidden="false" customHeight="false" outlineLevel="1" collapsed="false">
      <c r="A3978" s="7" t="s">
        <v>81</v>
      </c>
      <c r="B3978" s="8" t="s">
        <v>64</v>
      </c>
      <c r="C3978" s="63" t="n">
        <f aca="false">Pressupostos!$C$63*C3965</f>
        <v>0.01095</v>
      </c>
      <c r="D3978" s="63" t="n">
        <f aca="false">Pressupostos!$C$63*D3965</f>
        <v>0.01095</v>
      </c>
      <c r="E3978" s="63" t="n">
        <f aca="false">Pressupostos!$C$63*E3965</f>
        <v>0.01095</v>
      </c>
      <c r="F3978" s="63" t="n">
        <f aca="false">Pressupostos!$C$63*F3965</f>
        <v>0.01095</v>
      </c>
      <c r="G3978" s="63" t="n">
        <f aca="false">Pressupostos!$C$63*G3965</f>
        <v>0.01095</v>
      </c>
      <c r="H3978" s="2" t="s">
        <v>1252</v>
      </c>
    </row>
    <row r="3979" customFormat="false" ht="15" hidden="false" customHeight="false" outlineLevel="1" collapsed="false">
      <c r="A3979" s="7" t="s">
        <v>674</v>
      </c>
      <c r="B3979" s="8" t="s">
        <v>64</v>
      </c>
      <c r="C3979" s="63" t="n">
        <f aca="false">Pressupostos!$C$73*C3965</f>
        <v>0</v>
      </c>
      <c r="D3979" s="63" t="n">
        <f aca="false">Pressupostos!$C$73*D3965</f>
        <v>0</v>
      </c>
      <c r="E3979" s="63" t="n">
        <f aca="false">Pressupostos!$C$73*E3965</f>
        <v>0</v>
      </c>
      <c r="F3979" s="63" t="n">
        <f aca="false">Pressupostos!$C$73*F3965</f>
        <v>0</v>
      </c>
      <c r="G3979" s="63" t="n">
        <f aca="false">Pressupostos!$C$73*G3965</f>
        <v>0</v>
      </c>
      <c r="H3979" s="2" t="s">
        <v>1253</v>
      </c>
    </row>
    <row r="3980" customFormat="false" ht="15" hidden="false" customHeight="false" outlineLevel="1" collapsed="false">
      <c r="A3980" s="7" t="s">
        <v>675</v>
      </c>
      <c r="B3980" s="8" t="s">
        <v>64</v>
      </c>
      <c r="C3980" s="63" t="n">
        <f aca="false">(Pressupostos!$C$199)*(C3963+C3966)*(C3969+C3970-Pressupostos!$C$72)/365*Pressupostos!$C$282/Pressupostos!$D$31</f>
        <v>0</v>
      </c>
      <c r="D3980" s="63" t="n">
        <f aca="false">(Pressupostos!$C$199)*(D3963+D3966)*(D3969+D3970-Pressupostos!$C$72)/365*Pressupostos!$D$282/Pressupostos!$D$31</f>
        <v>0.0388356164383562</v>
      </c>
      <c r="E3980" s="63" t="n">
        <f aca="false">(Pressupostos!$C$199)*(E3963+E3966)*(E3969+E3970-Pressupostos!$C$72)/365*Pressupostos!$E$282/Pressupostos!$D$31</f>
        <v>0.0388356164383562</v>
      </c>
      <c r="F3980" s="63" t="n">
        <f aca="false">(Pressupostos!$C$199)*(F3963+F3966)*(F3969+F3970-Pressupostos!$C$72)/365*Pressupostos!$F$282/Pressupostos!$D$31</f>
        <v>0.0388356164383562</v>
      </c>
      <c r="G3980" s="63" t="n">
        <f aca="false">(Pressupostos!$C$199)*(G3963+G3966)*(G3969+G3970-Pressupostos!$C$72)/365*Pressupostos!$G$282/Pressupostos!$D$31</f>
        <v>0.0388356164383562</v>
      </c>
      <c r="H3980" s="2" t="s">
        <v>1254</v>
      </c>
    </row>
    <row r="3981" customFormat="false" ht="15" hidden="false" customHeight="false" outlineLevel="1" collapsed="false">
      <c r="A3981" s="7" t="s">
        <v>676</v>
      </c>
      <c r="B3981" s="8" t="s">
        <v>64</v>
      </c>
      <c r="C3981" s="63" t="n">
        <f aca="false">C3963+C3966+C3967+C3968+C3971+C3972+C3973+C3974+C3975+C3976+C3977+C3978+C3979+C3980</f>
        <v>3.59123767123288</v>
      </c>
      <c r="D3981" s="63" t="n">
        <f aca="false">D3963+D3966+D3967+D3968+D3971+D3972+D3973+D3974+D3975+D3976+D3977+D3978+D3979+D3980</f>
        <v>3.63007328767123</v>
      </c>
      <c r="E3981" s="63" t="n">
        <f aca="false">E3963+E3966+E3967+E3968+E3971+E3972+E3973+E3974+E3975+E3976+E3977+E3978+E3979+E3980</f>
        <v>3.63007328767123</v>
      </c>
      <c r="F3981" s="63" t="n">
        <f aca="false">F3963+F3966+F3967+F3968+F3971+F3972+F3973+F3974+F3975+F3976+F3977+F3978+F3979+F3980</f>
        <v>3.63007328767123</v>
      </c>
      <c r="G3981" s="63" t="n">
        <f aca="false">G3963+G3966+G3967+G3968+G3971+G3972+G3973+G3974+G3975+G3976+G3977+G3978+G3979+G3980</f>
        <v>3.63007328767123</v>
      </c>
      <c r="H3981" s="2" t="s">
        <v>1255</v>
      </c>
    </row>
    <row r="3982" customFormat="false" ht="15" hidden="false" customHeight="false" outlineLevel="1" collapsed="false">
      <c r="A3982" s="56" t="s">
        <v>677</v>
      </c>
      <c r="B3982" s="57" t="s">
        <v>64</v>
      </c>
      <c r="C3982" s="68" t="n">
        <f aca="false">C3965-C3981</f>
        <v>0.058762328767124</v>
      </c>
      <c r="D3982" s="68" t="n">
        <f aca="false">D3965-D3981</f>
        <v>0.0199267123287679</v>
      </c>
      <c r="E3982" s="68" t="n">
        <f aca="false">E3965-E3981</f>
        <v>0.0199267123287679</v>
      </c>
      <c r="F3982" s="68" t="n">
        <f aca="false">F3965-F3981</f>
        <v>0.0199267123287679</v>
      </c>
      <c r="G3982" s="68" t="n">
        <f aca="false">G3965-G3981</f>
        <v>0.0199267123287679</v>
      </c>
      <c r="H3982" s="2" t="s">
        <v>1256</v>
      </c>
    </row>
    <row r="3983" customFormat="false" ht="15" hidden="false" customHeight="false" outlineLevel="1" collapsed="false">
      <c r="A3983" s="7" t="s">
        <v>678</v>
      </c>
      <c r="B3983" s="8" t="s">
        <v>76</v>
      </c>
      <c r="C3983" s="59" t="n">
        <f aca="false">IF(C3965&gt;0,C3982/C3965,0)</f>
        <v>0.0160992681553764</v>
      </c>
      <c r="D3983" s="59" t="n">
        <f aca="false">IF(D3965&gt;0,D3982/D3965,0)</f>
        <v>0.00545937324075832</v>
      </c>
      <c r="E3983" s="59" t="n">
        <f aca="false">IF(E3965&gt;0,E3982/E3965,0)</f>
        <v>0.00545937324075832</v>
      </c>
      <c r="F3983" s="59" t="n">
        <f aca="false">IF(F3965&gt;0,F3982/F3965,0)</f>
        <v>0.00545937324075832</v>
      </c>
      <c r="G3983" s="59" t="n">
        <f aca="false">IF(G3965&gt;0,G3982/G3965,0)</f>
        <v>0.00545937324075832</v>
      </c>
      <c r="H3983" s="2" t="s">
        <v>1257</v>
      </c>
    </row>
    <row r="3984" customFormat="false" ht="15" hidden="false" customHeight="false" outlineLevel="1" collapsed="false">
      <c r="A3984" s="7" t="s">
        <v>679</v>
      </c>
      <c r="B3984" s="8" t="s">
        <v>64</v>
      </c>
      <c r="C3984" s="63" t="n">
        <f aca="false">(C3963+C3966)*(C3969-Pressupostos!$C$72)/365+C3965*C3970/365</f>
        <v>0.306164383561644</v>
      </c>
      <c r="D3984" s="63" t="n">
        <f aca="false">(D3963+D3966)*(D3969-Pressupostos!$C$72)/365+D3965*D3970/365</f>
        <v>0.306164383561644</v>
      </c>
      <c r="E3984" s="63" t="n">
        <f aca="false">(E3963+E3966)*(E3969-Pressupostos!$C$72)/365+E3965*E3970/365</f>
        <v>0.306164383561644</v>
      </c>
      <c r="F3984" s="63" t="n">
        <f aca="false">(F3963+F3966)*(F3969-Pressupostos!$C$72)/365+F3965*F3970/365</f>
        <v>0.306164383561644</v>
      </c>
      <c r="G3984" s="63" t="n">
        <f aca="false">(G3963+G3966)*(G3969-Pressupostos!$C$72)/365+G3965*G3970/365</f>
        <v>0.306164383561644</v>
      </c>
      <c r="H3984" s="2" t="s">
        <v>1258</v>
      </c>
    </row>
    <row r="3985" customFormat="false" ht="15" hidden="false" customHeight="false" outlineLevel="0" collapsed="false">
      <c r="A3985" s="3" t="s">
        <v>1259</v>
      </c>
      <c r="B3985" s="4"/>
      <c r="C3985" s="4"/>
      <c r="D3985" s="4"/>
      <c r="E3985" s="4"/>
      <c r="F3985" s="4"/>
      <c r="G3985" s="4"/>
      <c r="H3985" s="4"/>
    </row>
    <row r="3986" customFormat="false" ht="15" hidden="false" customHeight="false" outlineLevel="1" collapsed="false">
      <c r="A3986" s="7" t="s">
        <v>683</v>
      </c>
      <c r="B3986" s="8" t="s">
        <v>64</v>
      </c>
      <c r="C3986" s="63" t="n">
        <f aca="false">Pressupostos!$C$64*Pressupostos!$D$10</f>
        <v>0.02625</v>
      </c>
      <c r="D3986" s="63" t="n">
        <f aca="false">Pressupostos!$C$64*Pressupostos!$D$10</f>
        <v>0.02625</v>
      </c>
      <c r="E3986" s="63" t="n">
        <f aca="false">Pressupostos!$C$64*Pressupostos!$D$10</f>
        <v>0.02625</v>
      </c>
      <c r="F3986" s="63" t="n">
        <f aca="false">Pressupostos!$C$64*Pressupostos!$D$10</f>
        <v>0.02625</v>
      </c>
      <c r="G3986" s="63" t="n">
        <f aca="false">Pressupostos!$C$64*Pressupostos!$D$10</f>
        <v>0.02625</v>
      </c>
      <c r="H3986" s="2" t="s">
        <v>1260</v>
      </c>
    </row>
    <row r="3987" customFormat="false" ht="15" hidden="false" customHeight="false" outlineLevel="1" collapsed="false">
      <c r="A3987" s="7" t="s">
        <v>684</v>
      </c>
      <c r="B3987" s="8" t="s">
        <v>64</v>
      </c>
      <c r="C3987" s="63" t="n">
        <f aca="false">C3976+C3973+C3977</f>
        <v>0.019</v>
      </c>
      <c r="D3987" s="63" t="n">
        <f aca="false">D3976+D3973+D3977</f>
        <v>0.019</v>
      </c>
      <c r="E3987" s="63" t="n">
        <f aca="false">E3976+E3973+E3977</f>
        <v>0.019</v>
      </c>
      <c r="F3987" s="63" t="n">
        <f aca="false">F3976+F3973+F3977</f>
        <v>0.019</v>
      </c>
      <c r="G3987" s="63" t="n">
        <f aca="false">G3976+G3973+G3977</f>
        <v>0.019</v>
      </c>
      <c r="H3987" s="2" t="s">
        <v>1261</v>
      </c>
    </row>
    <row r="3988" customFormat="false" ht="15" hidden="false" customHeight="false" outlineLevel="1" collapsed="false">
      <c r="A3988" s="56" t="s">
        <v>561</v>
      </c>
      <c r="B3988" s="57" t="s">
        <v>64</v>
      </c>
      <c r="C3988" s="68" t="n">
        <f aca="false">C3986-C3987</f>
        <v>0.00725</v>
      </c>
      <c r="D3988" s="68" t="n">
        <f aca="false">D3986-D3987</f>
        <v>0.00725</v>
      </c>
      <c r="E3988" s="68" t="n">
        <f aca="false">E3986-E3987</f>
        <v>0.00725</v>
      </c>
      <c r="F3988" s="68" t="n">
        <f aca="false">F3986-F3987</f>
        <v>0.00725</v>
      </c>
      <c r="G3988" s="68" t="n">
        <f aca="false">G3986-G3987</f>
        <v>0.00725</v>
      </c>
      <c r="H3988" s="2" t="s">
        <v>1262</v>
      </c>
    </row>
    <row r="3989" customFormat="false" ht="15" hidden="false" customHeight="false" outlineLevel="0" collapsed="false">
      <c r="A3989" s="3" t="s">
        <v>1263</v>
      </c>
      <c r="B3989" s="4"/>
      <c r="C3989" s="4"/>
      <c r="D3989" s="4"/>
      <c r="E3989" s="4"/>
      <c r="F3989" s="4"/>
      <c r="G3989" s="4"/>
      <c r="H3989" s="4"/>
    </row>
    <row r="3990" customFormat="false" ht="15" hidden="false" customHeight="false" outlineLevel="1" collapsed="false">
      <c r="A3990" s="7" t="s">
        <v>608</v>
      </c>
      <c r="B3990" s="8" t="s">
        <v>11</v>
      </c>
      <c r="C3990" s="61" t="n">
        <f aca="false">C3899*1000*C3919</f>
        <v>40680</v>
      </c>
      <c r="D3990" s="61" t="n">
        <f aca="false">D3899*1000*D3919</f>
        <v>188145</v>
      </c>
      <c r="E3990" s="61" t="n">
        <f aca="false">E3899*1000*E3919</f>
        <v>676305</v>
      </c>
      <c r="F3990" s="61" t="n">
        <f aca="false">F3899*1000*F3919</f>
        <v>1357695</v>
      </c>
      <c r="G3990" s="61" t="n">
        <f aca="false">G3899*1000*G3919</f>
        <v>2084850</v>
      </c>
      <c r="H3990" s="2" t="s">
        <v>1264</v>
      </c>
    </row>
    <row r="3991" customFormat="false" ht="15" hidden="false" customHeight="false" outlineLevel="1" collapsed="false">
      <c r="A3991" s="7" t="s">
        <v>609</v>
      </c>
      <c r="B3991" s="8" t="s">
        <v>11</v>
      </c>
      <c r="C3991" s="61" t="n">
        <f aca="false">C3900*1000*C3942</f>
        <v>226200</v>
      </c>
      <c r="D3991" s="61" t="n">
        <f aca="false">D3900*1000*D3942</f>
        <v>1579050</v>
      </c>
      <c r="E3991" s="61" t="n">
        <f aca="false">E3900*1000*E3942</f>
        <v>3118950</v>
      </c>
      <c r="F3991" s="61" t="n">
        <f aca="false">F3900*1000*F3942</f>
        <v>5146050</v>
      </c>
      <c r="G3991" s="61" t="n">
        <f aca="false">G3900*1000*G3942</f>
        <v>7786500</v>
      </c>
      <c r="H3991" s="2" t="s">
        <v>1265</v>
      </c>
    </row>
    <row r="3992" customFormat="false" ht="15" hidden="false" customHeight="false" outlineLevel="1" collapsed="false">
      <c r="A3992" s="7" t="s">
        <v>610</v>
      </c>
      <c r="B3992" s="8" t="s">
        <v>11</v>
      </c>
      <c r="C3992" s="61" t="n">
        <f aca="false">C3902*1000*C3965</f>
        <v>0</v>
      </c>
      <c r="D3992" s="61" t="n">
        <f aca="false">D3902*1000*D3965</f>
        <v>0</v>
      </c>
      <c r="E3992" s="61" t="n">
        <f aca="false">E3902*1000*E3965</f>
        <v>0</v>
      </c>
      <c r="F3992" s="61" t="n">
        <f aca="false">F3902*1000*F3965</f>
        <v>0</v>
      </c>
      <c r="G3992" s="61" t="n">
        <f aca="false">G3902*1000*G3965</f>
        <v>0</v>
      </c>
      <c r="H3992" s="2" t="s">
        <v>1266</v>
      </c>
    </row>
    <row r="3993" customFormat="false" ht="15" hidden="false" customHeight="false" outlineLevel="1" collapsed="false">
      <c r="A3993" s="7" t="s">
        <v>611</v>
      </c>
      <c r="B3993" s="8" t="s">
        <v>11</v>
      </c>
      <c r="C3993" s="61" t="n">
        <f aca="false">C3990+C3991+C3992</f>
        <v>266880</v>
      </c>
      <c r="D3993" s="61" t="n">
        <f aca="false">D3990+D3991+D3992</f>
        <v>1767195</v>
      </c>
      <c r="E3993" s="61" t="n">
        <f aca="false">E3990+E3991+E3992</f>
        <v>3795255</v>
      </c>
      <c r="F3993" s="61" t="n">
        <f aca="false">F3990+F3991+F3992</f>
        <v>6503745</v>
      </c>
      <c r="G3993" s="61" t="n">
        <f aca="false">G3990+G3991+G3992</f>
        <v>9871350</v>
      </c>
      <c r="H3993" s="2" t="s">
        <v>1267</v>
      </c>
    </row>
    <row r="3994" customFormat="false" ht="15" hidden="false" customHeight="false" outlineLevel="1" collapsed="false">
      <c r="A3994" s="7" t="s">
        <v>612</v>
      </c>
      <c r="B3994" s="8" t="s">
        <v>11</v>
      </c>
      <c r="C3994" s="61" t="n">
        <f aca="false">C3912*1000*Pressupostos!$C$93</f>
        <v>0</v>
      </c>
      <c r="D3994" s="61" t="n">
        <f aca="false">D3912*1000*Pressupostos!$C$93</f>
        <v>0</v>
      </c>
      <c r="E3994" s="61" t="n">
        <f aca="false">E3912*1000*Pressupostos!$C$93</f>
        <v>235500</v>
      </c>
      <c r="F3994" s="61" t="n">
        <f aca="false">F3912*1000*Pressupostos!$C$93</f>
        <v>471000</v>
      </c>
      <c r="G3994" s="61" t="n">
        <f aca="false">G3912*1000*Pressupostos!$C$93</f>
        <v>785000</v>
      </c>
      <c r="H3994" s="2" t="s">
        <v>1268</v>
      </c>
    </row>
    <row r="3995" customFormat="false" ht="15" hidden="false" customHeight="false" outlineLevel="1" collapsed="false">
      <c r="A3995" s="2" t="s">
        <v>613</v>
      </c>
      <c r="B3995" s="8" t="s">
        <v>11</v>
      </c>
      <c r="C3995" s="61" t="n">
        <f aca="false">C3910*Pressupostos!$C$80*(1-Pressupostos!$C$81)</f>
        <v>40500</v>
      </c>
      <c r="D3995" s="61" t="n">
        <f aca="false">D3910*Pressupostos!$C$80*(1-Pressupostos!$C$81)</f>
        <v>162000</v>
      </c>
      <c r="E3995" s="61" t="n">
        <f aca="false">E3910*Pressupostos!$C$80*(1-Pressupostos!$C$81)</f>
        <v>270000</v>
      </c>
      <c r="F3995" s="61" t="n">
        <f aca="false">F3910*Pressupostos!$C$80*(1-Pressupostos!$C$81)</f>
        <v>378000</v>
      </c>
      <c r="G3995" s="61" t="n">
        <f aca="false">G3910*Pressupostos!$C$80*(1-Pressupostos!$C$81)</f>
        <v>486000</v>
      </c>
      <c r="H3995" s="2" t="s">
        <v>1269</v>
      </c>
    </row>
    <row r="3996" customFormat="false" ht="15" hidden="false" customHeight="false" outlineLevel="1" collapsed="false">
      <c r="A3996" s="7" t="s">
        <v>614</v>
      </c>
      <c r="B3996" s="8" t="s">
        <v>11</v>
      </c>
      <c r="C3996" s="61" t="n">
        <f aca="false">C3995*Pressupostos!$D$27</f>
        <v>810</v>
      </c>
      <c r="D3996" s="61" t="n">
        <f aca="false">D3995*Pressupostos!$D$27</f>
        <v>3240</v>
      </c>
      <c r="E3996" s="61" t="n">
        <f aca="false">E3995*Pressupostos!$D$27</f>
        <v>5400</v>
      </c>
      <c r="F3996" s="61" t="n">
        <f aca="false">F3995*Pressupostos!$D$27</f>
        <v>7560</v>
      </c>
      <c r="G3996" s="61" t="n">
        <f aca="false">G3995*Pressupostos!$D$27</f>
        <v>9720</v>
      </c>
      <c r="H3996" s="2" t="s">
        <v>1270</v>
      </c>
    </row>
    <row r="3997" customFormat="false" ht="15" hidden="false" customHeight="false" outlineLevel="1" collapsed="false">
      <c r="A3997" s="7" t="s">
        <v>615</v>
      </c>
      <c r="B3997" s="8" t="s">
        <v>11</v>
      </c>
      <c r="C3997" s="61" t="n">
        <f aca="false">C3903*1000*C3986</f>
        <v>0</v>
      </c>
      <c r="D3997" s="61" t="n">
        <f aca="false">D3903*1000*D3986</f>
        <v>0</v>
      </c>
      <c r="E3997" s="61" t="n">
        <f aca="false">E3903*1000*E3986</f>
        <v>0</v>
      </c>
      <c r="F3997" s="61" t="n">
        <f aca="false">F3903*1000*F3986</f>
        <v>0</v>
      </c>
      <c r="G3997" s="61" t="n">
        <f aca="false">G3903*1000*G3986</f>
        <v>0</v>
      </c>
      <c r="H3997" s="2" t="s">
        <v>1271</v>
      </c>
    </row>
    <row r="3998" customFormat="false" ht="15" hidden="false" customHeight="false" outlineLevel="1" collapsed="false">
      <c r="A3998" s="7" t="s">
        <v>616</v>
      </c>
      <c r="B3998" s="8" t="s">
        <v>11</v>
      </c>
      <c r="C3998" s="61" t="n">
        <f aca="false">C3914*(Pressupostos!$C$101*Pressupostos!$C$102+Pressupostos!$C$103)</f>
        <v>0</v>
      </c>
      <c r="D3998" s="61" t="n">
        <f aca="false">D3914*(Pressupostos!$C$101*Pressupostos!$C$102+Pressupostos!$C$103)</f>
        <v>10000</v>
      </c>
      <c r="E3998" s="61" t="n">
        <f aca="false">E3914*(Pressupostos!$C$101*Pressupostos!$C$102+Pressupostos!$C$103)</f>
        <v>30000</v>
      </c>
      <c r="F3998" s="61" t="n">
        <f aca="false">F3914*(Pressupostos!$C$101*Pressupostos!$C$102+Pressupostos!$C$103)</f>
        <v>60000</v>
      </c>
      <c r="G3998" s="61" t="n">
        <f aca="false">G3914*(Pressupostos!$C$101*Pressupostos!$C$102+Pressupostos!$C$103)</f>
        <v>100000</v>
      </c>
      <c r="H3998" s="2" t="s">
        <v>1272</v>
      </c>
    </row>
    <row r="3999" customFormat="false" ht="15" hidden="false" customHeight="false" outlineLevel="1" collapsed="false">
      <c r="A3999" s="7" t="s">
        <v>617</v>
      </c>
      <c r="B3999" s="8" t="s">
        <v>11</v>
      </c>
      <c r="C3999" s="53" t="n">
        <f aca="false">Pressupostos!$C$275</f>
        <v>0</v>
      </c>
      <c r="D3999" s="53" t="n">
        <f aca="false">Pressupostos!$D$275</f>
        <v>0</v>
      </c>
      <c r="E3999" s="53" t="n">
        <f aca="false">Pressupostos!$E$275</f>
        <v>0</v>
      </c>
      <c r="F3999" s="53" t="n">
        <f aca="false">Pressupostos!$F$275</f>
        <v>10000</v>
      </c>
      <c r="G3999" s="53" t="n">
        <f aca="false">Pressupostos!$G$275</f>
        <v>30000</v>
      </c>
      <c r="H3999" s="2" t="s">
        <v>1273</v>
      </c>
    </row>
    <row r="4000" customFormat="false" ht="15" hidden="false" customHeight="false" outlineLevel="1" collapsed="false">
      <c r="A4000" s="56" t="s">
        <v>618</v>
      </c>
      <c r="B4000" s="57" t="s">
        <v>11</v>
      </c>
      <c r="C4000" s="62" t="n">
        <f aca="false">C3993+C3994+C3996+C3997+C3998+C3999</f>
        <v>267690</v>
      </c>
      <c r="D4000" s="62" t="n">
        <f aca="false">D3993+D3994+D3996+D3997+D3998+D3999</f>
        <v>1780435</v>
      </c>
      <c r="E4000" s="62" t="n">
        <f aca="false">E3993+E3994+E3996+E3997+E3998+E3999</f>
        <v>4066155</v>
      </c>
      <c r="F4000" s="62" t="n">
        <f aca="false">F3993+F3994+F3996+F3997+F3998+F3999</f>
        <v>7052305</v>
      </c>
      <c r="G4000" s="62" t="n">
        <f aca="false">G3993+G3994+G3996+G3997+G3998+G3999</f>
        <v>10796070</v>
      </c>
      <c r="H4000" s="2" t="s">
        <v>1274</v>
      </c>
    </row>
    <row r="4001" customFormat="false" ht="15" hidden="false" customHeight="false" outlineLevel="0" collapsed="false">
      <c r="A4001" s="3" t="s">
        <v>1275</v>
      </c>
      <c r="B4001" s="4"/>
      <c r="C4001" s="4"/>
      <c r="D4001" s="4"/>
      <c r="E4001" s="4"/>
      <c r="F4001" s="4"/>
      <c r="G4001" s="4"/>
      <c r="H4001" s="4"/>
    </row>
    <row r="4002" customFormat="false" ht="15" hidden="false" customHeight="false" outlineLevel="1" collapsed="false">
      <c r="A4002" s="2" t="s">
        <v>620</v>
      </c>
      <c r="B4002" s="8" t="s">
        <v>11</v>
      </c>
      <c r="C4002" s="61" t="n">
        <f aca="false">C3903*1000*Pressupostos!$D$10</f>
        <v>0</v>
      </c>
      <c r="D4002" s="61" t="n">
        <f aca="false">D3903*1000*Pressupostos!$D$10</f>
        <v>0</v>
      </c>
      <c r="E4002" s="61" t="n">
        <f aca="false">E3903*1000*Pressupostos!$D$10</f>
        <v>0</v>
      </c>
      <c r="F4002" s="61" t="n">
        <f aca="false">F3903*1000*Pressupostos!$D$10</f>
        <v>0</v>
      </c>
      <c r="G4002" s="61" t="n">
        <f aca="false">G3903*1000*Pressupostos!$D$10</f>
        <v>0</v>
      </c>
      <c r="H4002" s="2" t="s">
        <v>1276</v>
      </c>
    </row>
    <row r="4003" customFormat="false" ht="15" hidden="false" customHeight="false" outlineLevel="1" collapsed="false">
      <c r="A4003" s="56" t="s">
        <v>621</v>
      </c>
      <c r="B4003" s="57" t="s">
        <v>11</v>
      </c>
      <c r="C4003" s="62" t="n">
        <f aca="false">C3993+C3994+C3995+C4002</f>
        <v>307380</v>
      </c>
      <c r="D4003" s="62" t="n">
        <f aca="false">D3993+D3994+D3995+D4002</f>
        <v>1929195</v>
      </c>
      <c r="E4003" s="62" t="n">
        <f aca="false">E3993+E3994+E3995+E4002</f>
        <v>4300755</v>
      </c>
      <c r="F4003" s="62" t="n">
        <f aca="false">F3993+F3994+F3995+F4002</f>
        <v>7352745</v>
      </c>
      <c r="G4003" s="62" t="n">
        <f aca="false">G3993+G3994+G3995+G4002</f>
        <v>11142350</v>
      </c>
      <c r="H4003" s="2" t="s">
        <v>1277</v>
      </c>
    </row>
    <row r="4004" customFormat="false" ht="15" hidden="false" customHeight="false" outlineLevel="1" collapsed="false">
      <c r="A4004" s="7" t="s">
        <v>622</v>
      </c>
      <c r="B4004" s="8" t="s">
        <v>11</v>
      </c>
      <c r="C4004" s="61" t="n">
        <f aca="false">C4003-C4002-C3992</f>
        <v>307380</v>
      </c>
      <c r="D4004" s="61" t="n">
        <f aca="false">D4003-D4002-D3992</f>
        <v>1929195</v>
      </c>
      <c r="E4004" s="61" t="n">
        <f aca="false">E4003-E4002-E3992</f>
        <v>4300755</v>
      </c>
      <c r="F4004" s="61" t="n">
        <f aca="false">F4003-F4002-F3992</f>
        <v>7352745</v>
      </c>
      <c r="G4004" s="61" t="n">
        <f aca="false">G4003-G4002-G3992</f>
        <v>11142350</v>
      </c>
      <c r="H4004" s="2" t="s">
        <v>1278</v>
      </c>
    </row>
    <row r="4005" customFormat="false" ht="15" hidden="false" customHeight="false" outlineLevel="1" collapsed="false">
      <c r="A4005" s="7" t="s">
        <v>623</v>
      </c>
      <c r="B4005" s="8" t="s">
        <v>11</v>
      </c>
      <c r="C4005" s="61" t="n">
        <f aca="false">C3899*1000*(C3917+C3920)+C3900*1000*(C3940+C3943)+C3902*1000*(C3963+C3966)+C3912*1000*Pressupostos!$C$92</f>
        <v>243800</v>
      </c>
      <c r="D4005" s="61" t="n">
        <f aca="false">D3899*1000*(D3917+D3920)+D3900*1000*(D3940+D3943)+D3902*1000*(D3963+D3966)+D3912*1000*Pressupostos!$C$92</f>
        <v>1623700</v>
      </c>
      <c r="E4005" s="61" t="n">
        <f aca="false">E3899*1000*(E3917+E3920)+E3900*1000*(E3940+E3943)+E3902*1000*(E3963+E3966)+E3912*1000*Pressupostos!$C$92</f>
        <v>3665800</v>
      </c>
      <c r="F4005" s="61" t="n">
        <f aca="false">F3899*1000*(F3917+F3920)+F3900*1000*(F3940+F3943)+F3902*1000*(F3963+F3966)+F3912*1000*Pressupostos!$C$92</f>
        <v>6319200</v>
      </c>
      <c r="G4005" s="61" t="n">
        <f aca="false">G3899*1000*(G3917+G3920)+G3900*1000*(G3940+G3943)+G3902*1000*(G3963+G3966)+G3912*1000*Pressupostos!$C$92</f>
        <v>9651000</v>
      </c>
      <c r="H4005" s="2" t="s">
        <v>1279</v>
      </c>
    </row>
    <row r="4006" customFormat="false" ht="15" hidden="false" customHeight="false" outlineLevel="1" collapsed="false">
      <c r="A4006" s="7" t="s">
        <v>624</v>
      </c>
      <c r="B4006" s="8" t="s">
        <v>11</v>
      </c>
      <c r="C4006" s="61" t="n">
        <f aca="false">C4005*Pressupostos!$C$282</f>
        <v>0</v>
      </c>
      <c r="D4006" s="61" t="n">
        <f aca="false">D4005*Pressupostos!$D$282</f>
        <v>1461330</v>
      </c>
      <c r="E4006" s="61" t="n">
        <f aca="false">E4005*Pressupostos!$E$282</f>
        <v>3299220</v>
      </c>
      <c r="F4006" s="61" t="n">
        <f aca="false">F4005*Pressupostos!$F$282</f>
        <v>5687280</v>
      </c>
      <c r="G4006" s="61" t="n">
        <f aca="false">G4005*Pressupostos!$G$282</f>
        <v>8685900</v>
      </c>
      <c r="H4006" s="2" t="s">
        <v>1280</v>
      </c>
    </row>
    <row r="4007" customFormat="false" ht="15" hidden="false" customHeight="false" outlineLevel="0" collapsed="false">
      <c r="A4007" s="3" t="s">
        <v>1281</v>
      </c>
      <c r="B4007" s="4"/>
      <c r="C4007" s="4"/>
      <c r="D4007" s="4"/>
      <c r="E4007" s="4"/>
      <c r="F4007" s="4"/>
      <c r="G4007" s="4"/>
      <c r="H4007" s="4"/>
    </row>
    <row r="4008" customFormat="false" ht="15" hidden="false" customHeight="false" outlineLevel="1" collapsed="false">
      <c r="A4008" s="7" t="s">
        <v>626</v>
      </c>
      <c r="B4008" s="8" t="s">
        <v>11</v>
      </c>
      <c r="C4008" s="61" t="n">
        <f aca="false">C3899*1000*C3936</f>
        <v>2727.51452054796</v>
      </c>
      <c r="D4008" s="61" t="n">
        <f aca="false">D3899*1000*D3936</f>
        <v>2108.14849315076</v>
      </c>
      <c r="E4008" s="61" t="n">
        <f aca="false">E3899*1000*E3936</f>
        <v>42341.3152054795</v>
      </c>
      <c r="F4008" s="61" t="n">
        <f aca="false">F3899*1000*F3936</f>
        <v>87670.9861643839</v>
      </c>
      <c r="G4008" s="61" t="n">
        <f aca="false">G3899*1000*G3936</f>
        <v>134625.85890411</v>
      </c>
      <c r="H4008" s="2" t="s">
        <v>1282</v>
      </c>
    </row>
    <row r="4009" customFormat="false" ht="15" hidden="false" customHeight="false" outlineLevel="1" collapsed="false">
      <c r="A4009" s="7" t="s">
        <v>627</v>
      </c>
      <c r="B4009" s="8" t="s">
        <v>11</v>
      </c>
      <c r="C4009" s="61" t="n">
        <f aca="false">C3900*1000*C3959</f>
        <v>5010.62739726033</v>
      </c>
      <c r="D4009" s="61" t="n">
        <f aca="false">D3900*1000*D3959</f>
        <v>10509.0986301374</v>
      </c>
      <c r="E4009" s="61" t="n">
        <f aca="false">E3900*1000*E3959</f>
        <v>27927.6410958911</v>
      </c>
      <c r="F4009" s="61" t="n">
        <f aca="false">F3900*1000*F3959</f>
        <v>46078.6602739737</v>
      </c>
      <c r="G4009" s="61" t="n">
        <f aca="false">G3900*1000*G3959</f>
        <v>69721.7260273989</v>
      </c>
      <c r="H4009" s="2" t="s">
        <v>1283</v>
      </c>
    </row>
    <row r="4010" customFormat="false" ht="15" hidden="false" customHeight="false" outlineLevel="1" collapsed="false">
      <c r="A4010" s="7" t="s">
        <v>628</v>
      </c>
      <c r="B4010" s="8" t="s">
        <v>11</v>
      </c>
      <c r="C4010" s="61" t="n">
        <f aca="false">C3902*1000*C3982+C3903*1000*C3988</f>
        <v>0</v>
      </c>
      <c r="D4010" s="61" t="n">
        <f aca="false">D3902*1000*D3982+D3903*1000*D3988</f>
        <v>0</v>
      </c>
      <c r="E4010" s="61" t="n">
        <f aca="false">E3902*1000*E3982+E3903*1000*E3988</f>
        <v>0</v>
      </c>
      <c r="F4010" s="61" t="n">
        <f aca="false">F3902*1000*F3982+F3903*1000*F3988</f>
        <v>0</v>
      </c>
      <c r="G4010" s="61" t="n">
        <f aca="false">G3902*1000*G3982+G3903*1000*G3988</f>
        <v>0</v>
      </c>
      <c r="H4010" s="2" t="s">
        <v>1284</v>
      </c>
    </row>
    <row r="4011" customFormat="false" ht="15" hidden="false" customHeight="false" outlineLevel="1" collapsed="false">
      <c r="A4011" s="7" t="s">
        <v>629</v>
      </c>
      <c r="B4011" s="8" t="s">
        <v>11</v>
      </c>
      <c r="C4011" s="61" t="n">
        <f aca="false">C4008+C4009+C4010</f>
        <v>7738.14191780829</v>
      </c>
      <c r="D4011" s="61" t="n">
        <f aca="false">D4008+D4009+D4010</f>
        <v>12617.2471232882</v>
      </c>
      <c r="E4011" s="61" t="n">
        <f aca="false">E4008+E4009+E4010</f>
        <v>70268.9563013706</v>
      </c>
      <c r="F4011" s="61" t="n">
        <f aca="false">F4008+F4009+F4010</f>
        <v>133749.646438358</v>
      </c>
      <c r="G4011" s="61" t="n">
        <f aca="false">G4008+G4009+G4010</f>
        <v>204347.584931509</v>
      </c>
      <c r="H4011" s="2" t="s">
        <v>1285</v>
      </c>
    </row>
    <row r="4012" customFormat="false" ht="15" hidden="false" customHeight="false" outlineLevel="1" collapsed="false">
      <c r="A4012" s="7" t="s">
        <v>630</v>
      </c>
      <c r="B4012" s="8" t="s">
        <v>64</v>
      </c>
      <c r="C4012" s="63" t="n">
        <f aca="false">IF(C3904&gt;0,C4011/(C3904*1000),0)</f>
        <v>0.128969031963471</v>
      </c>
      <c r="D4012" s="63" t="n">
        <f aca="false">IF(D3904&gt;0,D4011/(D3904*1000),0)</f>
        <v>0.0315431178082204</v>
      </c>
      <c r="E4012" s="63" t="n">
        <f aca="false">IF(E3904&gt;0,E4011/(E3904*1000),0)</f>
        <v>0.0826693603545537</v>
      </c>
      <c r="F4012" s="63" t="n">
        <f aca="false">IF(F3904&gt;0,F4011/(F3904*1000),0)</f>
        <v>0.0922411354747294</v>
      </c>
      <c r="G4012" s="63" t="n">
        <f aca="false">IF(G3904&gt;0,G4011/(G3904*1000),0)</f>
        <v>0.0928852658779587</v>
      </c>
      <c r="H4012" s="2" t="s">
        <v>1286</v>
      </c>
    </row>
    <row r="4013" customFormat="false" ht="15" hidden="false" customHeight="false" outlineLevel="1" collapsed="false">
      <c r="A4013" s="7" t="s">
        <v>631</v>
      </c>
      <c r="B4013" s="8" t="s">
        <v>76</v>
      </c>
      <c r="C4013" s="59" t="n">
        <f aca="false">IF(C3993&gt;0,C4011/C3993,0)</f>
        <v>0.0289948363227229</v>
      </c>
      <c r="D4013" s="59" t="n">
        <f aca="false">IF(D3993&gt;0,D4011/D3993,0)</f>
        <v>0.00713970281903704</v>
      </c>
      <c r="E4013" s="59" t="n">
        <f aca="false">IF(E3993&gt;0,E4011/E3993,0)</f>
        <v>0.0185149499312617</v>
      </c>
      <c r="F4013" s="59" t="n">
        <f aca="false">IF(F3993&gt;0,F4011/F3993,0)</f>
        <v>0.0205650200674162</v>
      </c>
      <c r="G4013" s="59" t="n">
        <f aca="false">IF(G3993&gt;0,G4011/G3993,0)</f>
        <v>0.0207010778598175</v>
      </c>
      <c r="H4013" s="2" t="s">
        <v>1287</v>
      </c>
    </row>
    <row r="4014" customFormat="false" ht="15" hidden="false" customHeight="false" outlineLevel="1" collapsed="false">
      <c r="A4014" s="2" t="s">
        <v>632</v>
      </c>
      <c r="B4014" s="8" t="s">
        <v>64</v>
      </c>
      <c r="C4014" s="63" t="n">
        <f aca="false">(Pressupostos!$C$199)*Pressupostos!$C$92*(Pressupostos!$C$95+Pressupostos!$C$96-Pressupostos!$C$97)/365*Pressupostos!$C$282/Pressupostos!$D$31</f>
        <v>0</v>
      </c>
      <c r="D4014" s="63" t="n">
        <f aca="false">(Pressupostos!$C$199)*Pressupostos!$C$92*(Pressupostos!$C$95+Pressupostos!$C$96-Pressupostos!$C$97)/365*Pressupostos!$D$282/Pressupostos!$D$31</f>
        <v>0.116506849315068</v>
      </c>
      <c r="E4014" s="63" t="n">
        <f aca="false">(Pressupostos!$C$199)*Pressupostos!$C$92*(Pressupostos!$C$95+Pressupostos!$C$96-Pressupostos!$C$97)/365*Pressupostos!$E$282/Pressupostos!$D$31</f>
        <v>0.116506849315068</v>
      </c>
      <c r="F4014" s="63" t="n">
        <f aca="false">(Pressupostos!$C$199)*Pressupostos!$C$92*(Pressupostos!$C$95+Pressupostos!$C$96-Pressupostos!$C$97)/365*Pressupostos!$F$282/Pressupostos!$D$31</f>
        <v>0.116506849315068</v>
      </c>
      <c r="G4014" s="63" t="n">
        <f aca="false">(Pressupostos!$C$199)*Pressupostos!$C$92*(Pressupostos!$C$95+Pressupostos!$C$96-Pressupostos!$C$97)/365*Pressupostos!$G$282/Pressupostos!$D$31</f>
        <v>0.116506849315068</v>
      </c>
      <c r="H4014" s="2" t="s">
        <v>1288</v>
      </c>
    </row>
    <row r="4015" customFormat="false" ht="15" hidden="false" customHeight="false" outlineLevel="1" collapsed="false">
      <c r="A4015" s="7" t="s">
        <v>600</v>
      </c>
      <c r="B4015" s="8" t="s">
        <v>11</v>
      </c>
      <c r="C4015" s="61" t="n">
        <f aca="false">C3912*1000*(Pressupostos!$C$93-Pressupostos!$C$92-Pressupostos!$C$94-C4014-Pressupostos!$C$98*Pressupostos!$C$93-Pressupostos!$C$99-Pressupostos!$D$29*Pressupostos!$C$92)</f>
        <v>0</v>
      </c>
      <c r="D4015" s="61" t="n">
        <f aca="false">D3912*1000*(Pressupostos!$C$93-Pressupostos!$C$92-Pressupostos!$C$94-D4014-Pressupostos!$C$98*Pressupostos!$C$93-Pressupostos!$C$99-Pressupostos!$D$29*Pressupostos!$C$92)</f>
        <v>0</v>
      </c>
      <c r="E4015" s="61" t="n">
        <f aca="false">E3912*1000*(Pressupostos!$C$93-Pressupostos!$C$92-Pressupostos!$C$94-E4014-Pressupostos!$C$98*Pressupostos!$C$93-Pressupostos!$C$99-Pressupostos!$D$29*Pressupostos!$C$92)</f>
        <v>15191.7945205479</v>
      </c>
      <c r="F4015" s="61" t="n">
        <f aca="false">F3912*1000*(Pressupostos!$C$93-Pressupostos!$C$92-Pressupostos!$C$94-F4014-Pressupostos!$C$98*Pressupostos!$C$93-Pressupostos!$C$99-Pressupostos!$D$29*Pressupostos!$C$92)</f>
        <v>30383.5890410959</v>
      </c>
      <c r="G4015" s="61" t="n">
        <f aca="false">G3912*1000*(Pressupostos!$C$93-Pressupostos!$C$92-Pressupostos!$C$94-G4014-Pressupostos!$C$98*Pressupostos!$C$93-Pressupostos!$C$99-Pressupostos!$D$29*Pressupostos!$C$92)</f>
        <v>50639.3150684931</v>
      </c>
      <c r="H4015" s="2" t="s">
        <v>1289</v>
      </c>
    </row>
    <row r="4016" customFormat="false" ht="15" hidden="false" customHeight="false" outlineLevel="1" collapsed="false">
      <c r="A4016" s="7" t="s">
        <v>633</v>
      </c>
      <c r="B4016" s="8" t="s">
        <v>11</v>
      </c>
      <c r="C4016" s="61" t="n">
        <f aca="false">C3996</f>
        <v>810</v>
      </c>
      <c r="D4016" s="61" t="n">
        <f aca="false">D3996</f>
        <v>3240</v>
      </c>
      <c r="E4016" s="61" t="n">
        <f aca="false">E3996</f>
        <v>5400</v>
      </c>
      <c r="F4016" s="61" t="n">
        <f aca="false">F3996</f>
        <v>7560</v>
      </c>
      <c r="G4016" s="61" t="n">
        <f aca="false">G3996</f>
        <v>9720</v>
      </c>
      <c r="H4016" s="2" t="s">
        <v>1290</v>
      </c>
    </row>
    <row r="4017" customFormat="false" ht="15" hidden="false" customHeight="false" outlineLevel="1" collapsed="false">
      <c r="A4017" s="7" t="s">
        <v>634</v>
      </c>
      <c r="B4017" s="8" t="s">
        <v>11</v>
      </c>
      <c r="C4017" s="61" t="n">
        <f aca="false">C3998-C4032</f>
        <v>0</v>
      </c>
      <c r="D4017" s="61" t="n">
        <f aca="false">D3998-D4032</f>
        <v>1771.42857142857</v>
      </c>
      <c r="E4017" s="61" t="n">
        <f aca="false">E3998-E4032</f>
        <v>5314.28571428572</v>
      </c>
      <c r="F4017" s="61" t="n">
        <f aca="false">F3998-F4032</f>
        <v>10628.5714285714</v>
      </c>
      <c r="G4017" s="61" t="n">
        <f aca="false">G3998-G4032</f>
        <v>17714.2857142857</v>
      </c>
      <c r="H4017" s="2" t="s">
        <v>1291</v>
      </c>
    </row>
    <row r="4018" customFormat="false" ht="15" hidden="false" customHeight="false" outlineLevel="1" collapsed="false">
      <c r="A4018" s="7" t="s">
        <v>617</v>
      </c>
      <c r="B4018" s="8" t="s">
        <v>11</v>
      </c>
      <c r="C4018" s="61" t="n">
        <f aca="false">C3999</f>
        <v>0</v>
      </c>
      <c r="D4018" s="61" t="n">
        <f aca="false">D3999</f>
        <v>0</v>
      </c>
      <c r="E4018" s="61" t="n">
        <f aca="false">E3999</f>
        <v>0</v>
      </c>
      <c r="F4018" s="61" t="n">
        <f aca="false">F3999</f>
        <v>10000</v>
      </c>
      <c r="G4018" s="61" t="n">
        <f aca="false">G3999</f>
        <v>30000</v>
      </c>
      <c r="H4018" s="2" t="s">
        <v>1292</v>
      </c>
    </row>
    <row r="4019" customFormat="false" ht="15" hidden="false" customHeight="false" outlineLevel="1" collapsed="false">
      <c r="A4019" s="56" t="s">
        <v>635</v>
      </c>
      <c r="B4019" s="57" t="s">
        <v>11</v>
      </c>
      <c r="C4019" s="62" t="n">
        <f aca="false">C4011+C4015+C4016+C4017+C4018</f>
        <v>8548.14191780829</v>
      </c>
      <c r="D4019" s="62" t="n">
        <f aca="false">D4011+D4015+D4016+D4017+D4018</f>
        <v>17628.6756947167</v>
      </c>
      <c r="E4019" s="62" t="n">
        <f aca="false">E4011+E4015+E4016+E4017+E4018</f>
        <v>96175.0365362043</v>
      </c>
      <c r="F4019" s="62" t="n">
        <f aca="false">F4011+F4015+F4016+F4017+F4018</f>
        <v>192321.806908025</v>
      </c>
      <c r="G4019" s="62" t="n">
        <f aca="false">G4011+G4015+G4016+G4017+G4018</f>
        <v>312421.185714288</v>
      </c>
      <c r="H4019" s="2" t="s">
        <v>1293</v>
      </c>
    </row>
    <row r="4020" customFormat="false" ht="15" hidden="false" customHeight="false" outlineLevel="0" collapsed="false">
      <c r="A4020" s="3" t="s">
        <v>1294</v>
      </c>
      <c r="B4020" s="4"/>
      <c r="C4020" s="4"/>
      <c r="D4020" s="4"/>
      <c r="E4020" s="4"/>
      <c r="F4020" s="4"/>
      <c r="G4020" s="4"/>
      <c r="H4020" s="4"/>
    </row>
    <row r="4021" customFormat="false" ht="15" hidden="false" customHeight="false" outlineLevel="1" collapsed="false">
      <c r="A4021" s="7" t="s">
        <v>686</v>
      </c>
      <c r="B4021" s="8" t="s">
        <v>11</v>
      </c>
      <c r="C4021" s="61" t="n">
        <f aca="false">C3899*1000*(C3917+C3920)+C3900*1000*(C3940+C3943)+C3902*1000*(C3963+C3966)</f>
        <v>243800</v>
      </c>
      <c r="D4021" s="61" t="n">
        <f aca="false">D3899*1000*(D3917+D3920)+D3900*1000*(D3940+D3943)+D3902*1000*(D3963+D3966)</f>
        <v>1623700</v>
      </c>
      <c r="E4021" s="61" t="n">
        <f aca="false">E3899*1000*(E3917+E3920)+E3900*1000*(E3940+E3943)+E3902*1000*(E3963+E3966)</f>
        <v>3455800</v>
      </c>
      <c r="F4021" s="61" t="n">
        <f aca="false">F3899*1000*(F3917+F3920)+F3900*1000*(F3940+F3943)+F3902*1000*(F3963+F3966)</f>
        <v>5899200</v>
      </c>
      <c r="G4021" s="61" t="n">
        <f aca="false">G3899*1000*(G3917+G3920)+G3900*1000*(G3940+G3943)+G3902*1000*(G3963+G3966)</f>
        <v>8951000</v>
      </c>
      <c r="H4021" s="2" t="s">
        <v>1295</v>
      </c>
    </row>
    <row r="4022" customFormat="false" ht="15" hidden="false" customHeight="false" outlineLevel="1" collapsed="false">
      <c r="A4022" s="7" t="s">
        <v>687</v>
      </c>
      <c r="B4022" s="8" t="s">
        <v>11</v>
      </c>
      <c r="C4022" s="61" t="n">
        <f aca="false">C3912*1000*Pressupostos!$C$92</f>
        <v>0</v>
      </c>
      <c r="D4022" s="61" t="n">
        <f aca="false">D3912*1000*Pressupostos!$C$92</f>
        <v>0</v>
      </c>
      <c r="E4022" s="61" t="n">
        <f aca="false">E3912*1000*Pressupostos!$C$92</f>
        <v>210000</v>
      </c>
      <c r="F4022" s="61" t="n">
        <f aca="false">F3912*1000*Pressupostos!$C$92</f>
        <v>420000</v>
      </c>
      <c r="G4022" s="61" t="n">
        <f aca="false">G3912*1000*Pressupostos!$C$92</f>
        <v>700000</v>
      </c>
      <c r="H4022" s="2" t="s">
        <v>1296</v>
      </c>
    </row>
    <row r="4023" customFormat="false" ht="15" hidden="false" customHeight="false" outlineLevel="1" collapsed="false">
      <c r="A4023" s="7" t="s">
        <v>688</v>
      </c>
      <c r="B4023" s="8" t="s">
        <v>11</v>
      </c>
      <c r="C4023" s="61" t="n">
        <f aca="false">C4021+C4022</f>
        <v>243800</v>
      </c>
      <c r="D4023" s="61" t="n">
        <f aca="false">D4021+D4022</f>
        <v>1623700</v>
      </c>
      <c r="E4023" s="61" t="n">
        <f aca="false">E4021+E4022</f>
        <v>3665800</v>
      </c>
      <c r="F4023" s="61" t="n">
        <f aca="false">F4021+F4022</f>
        <v>6319200</v>
      </c>
      <c r="G4023" s="61" t="n">
        <f aca="false">G4021+G4022</f>
        <v>9651000</v>
      </c>
      <c r="H4023" s="2" t="s">
        <v>1297</v>
      </c>
    </row>
    <row r="4024" customFormat="false" ht="15" hidden="false" customHeight="false" outlineLevel="1" collapsed="false">
      <c r="A4024" s="7" t="s">
        <v>215</v>
      </c>
      <c r="B4024" s="8" t="s">
        <v>11</v>
      </c>
      <c r="C4024" s="61" t="n">
        <f aca="false">C3899*1000*(C3921)+C3900*1000*(C3944)+C3902*1000*(C3967)+C3912*1000*Pressupostos!$C$94</f>
        <v>7600</v>
      </c>
      <c r="D4024" s="61" t="n">
        <f aca="false">D3899*1000*(D3921)+D3900*1000*(D3944)+D3902*1000*(D3967)+D3912*1000*Pressupostos!$C$94</f>
        <v>47400</v>
      </c>
      <c r="E4024" s="61" t="n">
        <f aca="false">E3899*1000*(E3921)+E3900*1000*(E3944)+E3902*1000*(E3967)+E3912*1000*Pressupostos!$C$94</f>
        <v>106270</v>
      </c>
      <c r="F4024" s="61" t="n">
        <f aca="false">F3899*1000*(F3921)+F3900*1000*(F3944)+F3902*1000*(F3967)+F3912*1000*Pressupostos!$C$94</f>
        <v>187560</v>
      </c>
      <c r="G4024" s="61" t="n">
        <f aca="false">G3899*1000*(G3921)+G3900*1000*(G3944)+G3902*1000*(G3967)+G3912*1000*Pressupostos!$C$94</f>
        <v>286800</v>
      </c>
      <c r="H4024" s="2" t="s">
        <v>1298</v>
      </c>
    </row>
    <row r="4025" customFormat="false" ht="15" hidden="false" customHeight="false" outlineLevel="1" collapsed="false">
      <c r="A4025" s="7" t="s">
        <v>117</v>
      </c>
      <c r="B4025" s="8" t="s">
        <v>11</v>
      </c>
      <c r="C4025" s="61" t="n">
        <f aca="false">C3899*1000*(C3922)+C3900*1000*(C3945)+C3902*1000*(C3968)</f>
        <v>480</v>
      </c>
      <c r="D4025" s="61" t="n">
        <f aca="false">D3899*1000*(D3922)+D3900*1000*(D3945)+D3902*1000*(D3968)</f>
        <v>2220</v>
      </c>
      <c r="E4025" s="61" t="n">
        <f aca="false">E3899*1000*(E3922)+E3900*1000*(E3945)+E3902*1000*(E3968)</f>
        <v>7980</v>
      </c>
      <c r="F4025" s="61" t="n">
        <f aca="false">F3899*1000*(F3922)+F3900*1000*(F3945)+F3902*1000*(F3968)</f>
        <v>16020</v>
      </c>
      <c r="G4025" s="61" t="n">
        <f aca="false">G3899*1000*(G3922)+G3900*1000*(G3945)+G3902*1000*(G3968)</f>
        <v>24600</v>
      </c>
      <c r="H4025" s="2" t="s">
        <v>1299</v>
      </c>
    </row>
    <row r="4026" customFormat="false" ht="15" hidden="false" customHeight="false" outlineLevel="1" collapsed="false">
      <c r="A4026" s="7" t="s">
        <v>689</v>
      </c>
      <c r="B4026" s="8" t="s">
        <v>11</v>
      </c>
      <c r="C4026" s="61" t="n">
        <f aca="false">C3899*1000*(C3925+C3926)+C3900*1000*(C3948+C3949)+C3902*1000*(C3971+C3972)</f>
        <v>459.178082191781</v>
      </c>
      <c r="D4026" s="61" t="n">
        <f aca="false">D3899*1000*(D3925+D3926)+D3900*1000*(D3948+D3949)+D3902*1000*(D3971+D3972)</f>
        <v>2686.19178082192</v>
      </c>
      <c r="E4026" s="61" t="n">
        <f aca="false">E3899*1000*(E3925+E3926)+E3900*1000*(E3948+E3949)+E3902*1000*(E3971+E3972)</f>
        <v>4208.36712328767</v>
      </c>
      <c r="F4026" s="61" t="n">
        <f aca="false">F3899*1000*(F3925+F3926)+F3900*1000*(F3948+F3949)+F3902*1000*(F3971+F3972)</f>
        <v>7271.08493150685</v>
      </c>
      <c r="G4026" s="61" t="n">
        <f aca="false">G3899*1000*(G3925+G3926)+G3900*1000*(G3948+G3949)+G3902*1000*(G3971+G3972)</f>
        <v>11043.2328767123</v>
      </c>
      <c r="H4026" s="2" t="s">
        <v>1300</v>
      </c>
    </row>
    <row r="4027" customFormat="false" ht="15" hidden="false" customHeight="false" outlineLevel="1" collapsed="false">
      <c r="A4027" s="7" t="s">
        <v>690</v>
      </c>
      <c r="B4027" s="8" t="s">
        <v>11</v>
      </c>
      <c r="C4027" s="61" t="n">
        <f aca="false">C3899*1000*(C3927+C3928+C3929)+C3900*1000*(C3950+C3951+C3952)+C3902*1000*(C3973+C3974+C3975)</f>
        <v>2660</v>
      </c>
      <c r="D4027" s="61" t="n">
        <f aca="false">D3899*1000*(D3927+D3928+D3929)+D3900*1000*(D3950+D3951+D3952)+D3902*1000*(D3973+D3974+D3975)</f>
        <v>17325</v>
      </c>
      <c r="E4027" s="61" t="n">
        <f aca="false">E3899*1000*(E3927+E3928+E3929)+E3900*1000*(E3950+E3951+E3952)+E3902*1000*(E3973+E3974+E3975)</f>
        <v>36379.5</v>
      </c>
      <c r="F4027" s="61" t="n">
        <f aca="false">F3899*1000*(F3927+F3928+F3929)+F3900*1000*(F3950+F3951+F3952)+F3902*1000*(F3973+F3974+F3975)</f>
        <v>62520.5</v>
      </c>
      <c r="G4027" s="61" t="n">
        <f aca="false">G3899*1000*(G3927+G3928+G3929)+G3900*1000*(G3950+G3951+G3952)+G3902*1000*(G3973+G3974+G3975)</f>
        <v>94915</v>
      </c>
      <c r="H4027" s="2" t="s">
        <v>1301</v>
      </c>
    </row>
    <row r="4028" customFormat="false" ht="15" hidden="false" customHeight="false" outlineLevel="1" collapsed="false">
      <c r="A4028" s="7" t="s">
        <v>673</v>
      </c>
      <c r="B4028" s="8" t="s">
        <v>11</v>
      </c>
      <c r="C4028" s="61" t="n">
        <f aca="false">C3899*1000*(C3930)+C3900*1000*(C3953)+C3902*1000*(C3976)</f>
        <v>2880</v>
      </c>
      <c r="D4028" s="61" t="n">
        <f aca="false">D3899*1000*(D3930)+D3900*1000*(D3953)+D3902*1000*(D3976)</f>
        <v>18220</v>
      </c>
      <c r="E4028" s="61" t="n">
        <f aca="false">E3899*1000*(E3930)+E3900*1000*(E3953)+E3902*1000*(E3976)</f>
        <v>41980</v>
      </c>
      <c r="F4028" s="61" t="n">
        <f aca="false">F3899*1000*(F3930)+F3900*1000*(F3953)+F3902*1000*(F3976)</f>
        <v>74020</v>
      </c>
      <c r="G4028" s="61" t="n">
        <f aca="false">G3899*1000*(G3930)+G3900*1000*(G3953)+G3902*1000*(G3976)</f>
        <v>112600</v>
      </c>
      <c r="H4028" s="2" t="s">
        <v>1302</v>
      </c>
    </row>
    <row r="4029" customFormat="false" ht="15" hidden="false" customHeight="false" outlineLevel="1" collapsed="false">
      <c r="A4029" s="7" t="s">
        <v>691</v>
      </c>
      <c r="B4029" s="8" t="s">
        <v>11</v>
      </c>
      <c r="C4029" s="61" t="n">
        <f aca="false">C3899*1000*(C3931)+C3900*1000*(C3954)+C3902*1000*(C3977)+C3912*1000*Pressupostos!$C$99</f>
        <v>340</v>
      </c>
      <c r="D4029" s="61" t="n">
        <f aca="false">D3899*1000*(D3931)+D3900*1000*(D3954)+D3902*1000*(D3977)+D3912*1000*Pressupostos!$C$99</f>
        <v>2185</v>
      </c>
      <c r="E4029" s="61" t="n">
        <f aca="false">E3899*1000*(E3931)+E3900*1000*(E3954)+E3902*1000*(E3977)+E3912*1000*Pressupostos!$C$99</f>
        <v>5815</v>
      </c>
      <c r="F4029" s="61" t="n">
        <f aca="false">F3899*1000*(F3931)+F3900*1000*(F3954)+F3902*1000*(F3977)+F3912*1000*Pressupostos!$C$99</f>
        <v>10385</v>
      </c>
      <c r="G4029" s="61" t="n">
        <f aca="false">G3899*1000*(G3931)+G3900*1000*(G3954)+G3902*1000*(G3977)+G3912*1000*Pressupostos!$C$99</f>
        <v>16050</v>
      </c>
      <c r="H4029" s="2" t="s">
        <v>1303</v>
      </c>
    </row>
    <row r="4030" customFormat="false" ht="15" hidden="false" customHeight="false" outlineLevel="1" collapsed="false">
      <c r="A4030" s="7" t="s">
        <v>81</v>
      </c>
      <c r="B4030" s="8" t="s">
        <v>11</v>
      </c>
      <c r="C4030" s="61" t="n">
        <f aca="false">C3899*1000*(C3932)+C3900*1000*(C3955)+C3902*1000*(C3978)+C3912*1000*Pressupostos!$C$98*Pressupostos!$C$93</f>
        <v>922.68</v>
      </c>
      <c r="D4030" s="61" t="n">
        <f aca="false">D3899*1000*(D3932)+D3900*1000*(D3955)+D3902*1000*(D3978)+D3912*1000*Pressupostos!$C$98*Pressupostos!$C$93</f>
        <v>5866.02</v>
      </c>
      <c r="E4030" s="61" t="n">
        <f aca="false">E3899*1000*(E3932)+E3900*1000*(E3955)+E3902*1000*(E3978)+E3912*1000*Pressupostos!$C$98*Pressupostos!$C$93</f>
        <v>14827.68</v>
      </c>
      <c r="F4030" s="61" t="n">
        <f aca="false">F3899*1000*(F3932)+F3900*1000*(F3955)+F3902*1000*(F3978)+F3912*1000*Pressupostos!$C$98*Pressupostos!$C$93</f>
        <v>26410.32</v>
      </c>
      <c r="G4030" s="61" t="n">
        <f aca="false">G3899*1000*(G3932)+G3900*1000*(G3955)+G3902*1000*(G3978)+G3912*1000*Pressupostos!$C$98*Pressupostos!$C$93</f>
        <v>40578.6</v>
      </c>
      <c r="H4030" s="2" t="s">
        <v>1304</v>
      </c>
    </row>
    <row r="4031" customFormat="false" ht="15" hidden="false" customHeight="false" outlineLevel="1" collapsed="false">
      <c r="A4031" s="7" t="s">
        <v>692</v>
      </c>
      <c r="B4031" s="8" t="s">
        <v>11</v>
      </c>
      <c r="C4031" s="61" t="n">
        <f aca="false">C3899*1000*(C3933)+C3900*1000*(C3956)+C3902*1000*(C3979)+C3912*1000*Pressupostos!$D$29*Pressupostos!$C$92</f>
        <v>0</v>
      </c>
      <c r="D4031" s="61" t="n">
        <f aca="false">D3899*1000*(D3933)+D3900*1000*(D3956)+D3902*1000*(D3979)+D3912*1000*Pressupostos!$D$29*Pressupostos!$C$92</f>
        <v>0</v>
      </c>
      <c r="E4031" s="61" t="n">
        <f aca="false">E3899*1000*(E3933)+E3900*1000*(E3956)+E3902*1000*(E3979)+E3912*1000*Pressupostos!$D$29*Pressupostos!$C$92</f>
        <v>0</v>
      </c>
      <c r="F4031" s="61" t="n">
        <f aca="false">F3899*1000*(F3933)+F3900*1000*(F3956)+F3902*1000*(F3979)+F3912*1000*Pressupostos!$D$29*Pressupostos!$C$92</f>
        <v>0</v>
      </c>
      <c r="G4031" s="61" t="n">
        <f aca="false">G3899*1000*(G3933)+G3900*1000*(G3956)+G3902*1000*(G3979)+G3912*1000*Pressupostos!$D$29*Pressupostos!$C$92</f>
        <v>0</v>
      </c>
      <c r="H4031" s="2" t="s">
        <v>1305</v>
      </c>
    </row>
    <row r="4032" customFormat="false" ht="15" hidden="false" customHeight="false" outlineLevel="1" collapsed="false">
      <c r="A4032" s="7" t="s">
        <v>693</v>
      </c>
      <c r="B4032" s="8" t="s">
        <v>11</v>
      </c>
      <c r="C4032" s="61" t="n">
        <f aca="false">C3915*1000*Pressupostos!$C$104*Pressupostos!$D$30</f>
        <v>0</v>
      </c>
      <c r="D4032" s="61" t="n">
        <f aca="false">D3915*1000*Pressupostos!$C$104*Pressupostos!$D$30</f>
        <v>8228.57142857143</v>
      </c>
      <c r="E4032" s="61" t="n">
        <f aca="false">E3915*1000*Pressupostos!$C$104*Pressupostos!$D$30</f>
        <v>24685.7142857143</v>
      </c>
      <c r="F4032" s="61" t="n">
        <f aca="false">F3915*1000*Pressupostos!$C$104*Pressupostos!$D$30</f>
        <v>49371.4285714286</v>
      </c>
      <c r="G4032" s="61" t="n">
        <f aca="false">G3915*1000*Pressupostos!$C$104*Pressupostos!$D$30</f>
        <v>82285.7142857143</v>
      </c>
      <c r="H4032" s="2" t="s">
        <v>1306</v>
      </c>
    </row>
    <row r="4033" customFormat="false" ht="15" hidden="false" customHeight="false" outlineLevel="1" collapsed="false">
      <c r="A4033" s="7" t="s">
        <v>694</v>
      </c>
      <c r="B4033" s="8" t="s">
        <v>11</v>
      </c>
      <c r="C4033" s="61" t="n">
        <f aca="false">C3903*1000*C3987</f>
        <v>0</v>
      </c>
      <c r="D4033" s="61" t="n">
        <f aca="false">D3903*1000*D3987</f>
        <v>0</v>
      </c>
      <c r="E4033" s="61" t="n">
        <f aca="false">E3903*1000*E3987</f>
        <v>0</v>
      </c>
      <c r="F4033" s="61" t="n">
        <f aca="false">F3903*1000*F3987</f>
        <v>0</v>
      </c>
      <c r="G4033" s="61" t="n">
        <f aca="false">G3903*1000*G3987</f>
        <v>0</v>
      </c>
      <c r="H4033" s="2" t="s">
        <v>1307</v>
      </c>
    </row>
    <row r="4034" customFormat="false" ht="15" hidden="false" customHeight="false" outlineLevel="1" collapsed="false">
      <c r="A4034" s="7" t="s">
        <v>695</v>
      </c>
      <c r="B4034" s="8" t="s">
        <v>11</v>
      </c>
      <c r="C4034" s="61" t="n">
        <f aca="false">C4024+C4025+C4026+C4027+C4028+C4029+C4030+C4031+C4032+C4033</f>
        <v>15341.8580821918</v>
      </c>
      <c r="D4034" s="61" t="n">
        <f aca="false">D4024+D4025+D4026+D4027+D4028+D4029+D4030+D4031+D4032+D4033</f>
        <v>104130.783209393</v>
      </c>
      <c r="E4034" s="61" t="n">
        <f aca="false">E4024+E4025+E4026+E4027+E4028+E4029+E4030+E4031+E4032+E4033</f>
        <v>242146.261409002</v>
      </c>
      <c r="F4034" s="61" t="n">
        <f aca="false">F4024+F4025+F4026+F4027+F4028+F4029+F4030+F4031+F4032+F4033</f>
        <v>433558.333502936</v>
      </c>
      <c r="G4034" s="61" t="n">
        <f aca="false">G4024+G4025+G4026+G4027+G4028+G4029+G4030+G4031+G4032+G4033</f>
        <v>668872.547162427</v>
      </c>
      <c r="H4034" s="2" t="s">
        <v>1308</v>
      </c>
    </row>
    <row r="4035" customFormat="false" ht="15" hidden="false" customHeight="false" outlineLevel="1" collapsed="false">
      <c r="A4035" s="7" t="s">
        <v>696</v>
      </c>
      <c r="B4035" s="8" t="s">
        <v>11</v>
      </c>
      <c r="C4035" s="61" t="n">
        <f aca="false">C3899*1000*(C3934)+C3900*1000*(C3957)+C3902*1000*(C3980)</f>
        <v>0</v>
      </c>
      <c r="D4035" s="61" t="n">
        <f aca="false">D3899*1000*(D3934)+D3900*1000*(D3957)+D3902*1000*(D3980)</f>
        <v>34975.5410958904</v>
      </c>
      <c r="E4035" s="61" t="n">
        <f aca="false">E3899*1000*(E3934)+E3900*1000*(E3957)+E3902*1000*(E3980)</f>
        <v>58538.4965753425</v>
      </c>
      <c r="F4035" s="61" t="n">
        <f aca="false">F3899*1000*(F3934)+F3900*1000*(F3957)+F3902*1000*(F3980)</f>
        <v>100234.448630137</v>
      </c>
      <c r="G4035" s="61" t="n">
        <f aca="false">G3899*1000*(G3934)+G3900*1000*(G3957)+G3902*1000*(G3980)</f>
        <v>152125.582191781</v>
      </c>
      <c r="H4035" s="2" t="s">
        <v>1309</v>
      </c>
    </row>
    <row r="4036" customFormat="false" ht="15" hidden="false" customHeight="false" outlineLevel="1" collapsed="false">
      <c r="A4036" s="7" t="s">
        <v>697</v>
      </c>
      <c r="B4036" s="8" t="s">
        <v>11</v>
      </c>
      <c r="C4036" s="61" t="n">
        <f aca="false">C3912*1000*C4014</f>
        <v>0</v>
      </c>
      <c r="D4036" s="61" t="n">
        <f aca="false">D3912*1000*D4014</f>
        <v>0</v>
      </c>
      <c r="E4036" s="61" t="n">
        <f aca="false">E3912*1000*E4014</f>
        <v>3495.20547945205</v>
      </c>
      <c r="F4036" s="61" t="n">
        <f aca="false">F3912*1000*F4014</f>
        <v>6990.41095890411</v>
      </c>
      <c r="G4036" s="61" t="n">
        <f aca="false">G3912*1000*G4014</f>
        <v>11650.6849315068</v>
      </c>
      <c r="H4036" s="2" t="s">
        <v>1310</v>
      </c>
    </row>
    <row r="4037" customFormat="false" ht="15" hidden="false" customHeight="false" outlineLevel="1" collapsed="false">
      <c r="A4037" s="7" t="s">
        <v>698</v>
      </c>
      <c r="B4037" s="8" t="s">
        <v>11</v>
      </c>
      <c r="C4037" s="61" t="n">
        <f aca="false">C4035+C4036</f>
        <v>0</v>
      </c>
      <c r="D4037" s="61" t="n">
        <f aca="false">D4035+D4036</f>
        <v>34975.5410958904</v>
      </c>
      <c r="E4037" s="61" t="n">
        <f aca="false">E4035+E4036</f>
        <v>62033.7020547945</v>
      </c>
      <c r="F4037" s="61" t="n">
        <f aca="false">F4035+F4036</f>
        <v>107224.859589041</v>
      </c>
      <c r="G4037" s="61" t="n">
        <f aca="false">G4035+G4036</f>
        <v>163776.267123288</v>
      </c>
      <c r="H4037" s="2" t="s">
        <v>1311</v>
      </c>
    </row>
    <row r="4038" customFormat="false" ht="15" hidden="false" customHeight="false" outlineLevel="1" collapsed="false">
      <c r="A4038" s="8" t="s">
        <v>699</v>
      </c>
      <c r="B4038" s="8" t="s">
        <v>11</v>
      </c>
      <c r="C4038" s="70" t="n">
        <f aca="false">ROUND(C4000-C4023-C4034-C4037-C4019,6)</f>
        <v>-0</v>
      </c>
      <c r="D4038" s="70" t="n">
        <f aca="false">ROUND(D4000-D4023-D4034-D4037-D4019,6)</f>
        <v>-0</v>
      </c>
      <c r="E4038" s="70" t="n">
        <f aca="false">ROUND(E4000-E4023-E4034-E4037-E4019,6)</f>
        <v>-0</v>
      </c>
      <c r="F4038" s="70" t="n">
        <f aca="false">ROUND(F4000-F4023-F4034-F4037-F4019,6)</f>
        <v>-0</v>
      </c>
      <c r="G4038" s="70" t="n">
        <f aca="false">ROUND(G4000-G4023-G4034-G4037-G4019,6)</f>
        <v>-0</v>
      </c>
      <c r="H4038" s="2" t="s">
        <v>1312</v>
      </c>
    </row>
    <row r="4039" customFormat="false" ht="15" hidden="false" customHeight="false" outlineLevel="0" collapsed="false">
      <c r="A4039" s="3" t="s">
        <v>1313</v>
      </c>
      <c r="B4039" s="4"/>
      <c r="C4039" s="4"/>
      <c r="D4039" s="4"/>
      <c r="E4039" s="4"/>
      <c r="F4039" s="4"/>
      <c r="G4039" s="4"/>
      <c r="H4039" s="4"/>
    </row>
    <row r="4040" customFormat="false" ht="15" hidden="false" customHeight="false" outlineLevel="1" collapsed="false">
      <c r="A4040" s="7" t="s">
        <v>638</v>
      </c>
      <c r="B4040" s="8" t="s">
        <v>432</v>
      </c>
      <c r="C4040" s="64" t="n">
        <f aca="false">Pressupostos!$C$332</f>
        <v>1</v>
      </c>
      <c r="D4040" s="64" t="n">
        <f aca="false">Pressupostos!$D$332</f>
        <v>1</v>
      </c>
      <c r="E4040" s="64" t="n">
        <f aca="false">Pressupostos!$E$332</f>
        <v>1</v>
      </c>
      <c r="F4040" s="64" t="n">
        <f aca="false">Pressupostos!$F$332</f>
        <v>1</v>
      </c>
      <c r="G4040" s="64" t="n">
        <f aca="false">Pressupostos!$G$332</f>
        <v>1</v>
      </c>
      <c r="H4040" s="2" t="s">
        <v>1314</v>
      </c>
    </row>
    <row r="4041" customFormat="false" ht="15" hidden="false" customHeight="false" outlineLevel="1" collapsed="false">
      <c r="A4041" s="7" t="s">
        <v>639</v>
      </c>
      <c r="B4041" s="8" t="s">
        <v>432</v>
      </c>
      <c r="C4041" s="64" t="n">
        <f aca="false">Pressupostos!$C$338</f>
        <v>1</v>
      </c>
      <c r="D4041" s="64" t="n">
        <f aca="false">Pressupostos!$D$338</f>
        <v>1</v>
      </c>
      <c r="E4041" s="64" t="n">
        <f aca="false">Pressupostos!$E$338</f>
        <v>1</v>
      </c>
      <c r="F4041" s="64" t="n">
        <f aca="false">Pressupostos!$F$338</f>
        <v>1</v>
      </c>
      <c r="G4041" s="64" t="n">
        <f aca="false">Pressupostos!$G$338</f>
        <v>1</v>
      </c>
      <c r="H4041" s="2" t="s">
        <v>1315</v>
      </c>
    </row>
    <row r="4042" customFormat="false" ht="15" hidden="false" customHeight="false" outlineLevel="1" collapsed="false">
      <c r="A4042" s="7" t="s">
        <v>640</v>
      </c>
      <c r="B4042" s="8" t="s">
        <v>432</v>
      </c>
      <c r="C4042" s="64" t="n">
        <f aca="false">Pressupostos!$C$344</f>
        <v>1</v>
      </c>
      <c r="D4042" s="64" t="n">
        <f aca="false">Pressupostos!$D$344</f>
        <v>1</v>
      </c>
      <c r="E4042" s="64" t="n">
        <f aca="false">Pressupostos!$E$344</f>
        <v>2</v>
      </c>
      <c r="F4042" s="64" t="n">
        <f aca="false">Pressupostos!$F$344</f>
        <v>2</v>
      </c>
      <c r="G4042" s="64" t="n">
        <f aca="false">Pressupostos!$G$344</f>
        <v>2</v>
      </c>
      <c r="H4042" s="2" t="s">
        <v>1316</v>
      </c>
    </row>
    <row r="4043" customFormat="false" ht="15" hidden="false" customHeight="false" outlineLevel="1" collapsed="false">
      <c r="A4043" s="7" t="s">
        <v>641</v>
      </c>
      <c r="B4043" s="8" t="s">
        <v>432</v>
      </c>
      <c r="C4043" s="64" t="n">
        <f aca="false">Pressupostos!$C$350</f>
        <v>1</v>
      </c>
      <c r="D4043" s="64" t="n">
        <f aca="false">Pressupostos!$D$350</f>
        <v>1</v>
      </c>
      <c r="E4043" s="64" t="n">
        <f aca="false">Pressupostos!$E$350</f>
        <v>1</v>
      </c>
      <c r="F4043" s="64" t="n">
        <f aca="false">Pressupostos!$F$350</f>
        <v>1</v>
      </c>
      <c r="G4043" s="64" t="n">
        <f aca="false">Pressupostos!$G$350</f>
        <v>1</v>
      </c>
      <c r="H4043" s="2" t="s">
        <v>1317</v>
      </c>
    </row>
    <row r="4044" customFormat="false" ht="15" hidden="false" customHeight="false" outlineLevel="1" collapsed="false">
      <c r="A4044" s="7" t="s">
        <v>642</v>
      </c>
      <c r="B4044" s="8" t="s">
        <v>432</v>
      </c>
      <c r="C4044" s="64" t="n">
        <f aca="false">Pressupostos!$C$356</f>
        <v>0.5</v>
      </c>
      <c r="D4044" s="64" t="n">
        <f aca="false">Pressupostos!$D$356</f>
        <v>1</v>
      </c>
      <c r="E4044" s="64" t="n">
        <f aca="false">Pressupostos!$E$356</f>
        <v>1</v>
      </c>
      <c r="F4044" s="64" t="n">
        <f aca="false">Pressupostos!$F$356</f>
        <v>1</v>
      </c>
      <c r="G4044" s="64" t="n">
        <f aca="false">Pressupostos!$G$356</f>
        <v>1</v>
      </c>
      <c r="H4044" s="2" t="s">
        <v>1318</v>
      </c>
    </row>
    <row r="4045" customFormat="false" ht="15" hidden="false" customHeight="false" outlineLevel="1" collapsed="false">
      <c r="A4045" s="7" t="s">
        <v>643</v>
      </c>
      <c r="B4045" s="8" t="s">
        <v>432</v>
      </c>
      <c r="C4045" s="64" t="n">
        <f aca="false">Pressupostos!$C$362</f>
        <v>1</v>
      </c>
      <c r="D4045" s="64" t="n">
        <f aca="false">Pressupostos!$D$362</f>
        <v>1</v>
      </c>
      <c r="E4045" s="64" t="n">
        <f aca="false">Pressupostos!$E$362</f>
        <v>1</v>
      </c>
      <c r="F4045" s="64" t="n">
        <f aca="false">Pressupostos!$F$362</f>
        <v>2</v>
      </c>
      <c r="G4045" s="64" t="n">
        <f aca="false">Pressupostos!$G$362</f>
        <v>2</v>
      </c>
      <c r="H4045" s="2" t="s">
        <v>1319</v>
      </c>
    </row>
    <row r="4046" customFormat="false" ht="15" hidden="false" customHeight="false" outlineLevel="1" collapsed="false">
      <c r="A4046" s="7" t="s">
        <v>644</v>
      </c>
      <c r="B4046" s="8" t="s">
        <v>432</v>
      </c>
      <c r="C4046" s="64" t="n">
        <f aca="false">Pressupostos!$C$368</f>
        <v>0.5</v>
      </c>
      <c r="D4046" s="64" t="n">
        <f aca="false">Pressupostos!$D$368</f>
        <v>1</v>
      </c>
      <c r="E4046" s="64" t="n">
        <f aca="false">Pressupostos!$E$368</f>
        <v>1</v>
      </c>
      <c r="F4046" s="64" t="n">
        <f aca="false">Pressupostos!$F$368</f>
        <v>1</v>
      </c>
      <c r="G4046" s="64" t="n">
        <f aca="false">Pressupostos!$G$368</f>
        <v>1</v>
      </c>
      <c r="H4046" s="2" t="s">
        <v>1320</v>
      </c>
    </row>
    <row r="4047" customFormat="false" ht="15" hidden="false" customHeight="false" outlineLevel="1" collapsed="false">
      <c r="A4047" s="7" t="s">
        <v>645</v>
      </c>
      <c r="B4047" s="8" t="s">
        <v>432</v>
      </c>
      <c r="C4047" s="64" t="n">
        <f aca="false">Pressupostos!$C$374</f>
        <v>1</v>
      </c>
      <c r="D4047" s="64" t="n">
        <f aca="false">Pressupostos!$D$374</f>
        <v>1</v>
      </c>
      <c r="E4047" s="64" t="n">
        <f aca="false">Pressupostos!$E$374</f>
        <v>2</v>
      </c>
      <c r="F4047" s="64" t="n">
        <f aca="false">Pressupostos!$F$374</f>
        <v>3</v>
      </c>
      <c r="G4047" s="64" t="n">
        <f aca="false">Pressupostos!$G$374</f>
        <v>5</v>
      </c>
      <c r="H4047" s="2" t="s">
        <v>1321</v>
      </c>
    </row>
    <row r="4048" customFormat="false" ht="15" hidden="false" customHeight="false" outlineLevel="1" collapsed="false">
      <c r="A4048" s="7" t="s">
        <v>646</v>
      </c>
      <c r="B4048" s="8" t="s">
        <v>432</v>
      </c>
      <c r="C4048" s="64" t="n">
        <f aca="false">Pressupostos!$C$380</f>
        <v>0</v>
      </c>
      <c r="D4048" s="64" t="n">
        <f aca="false">Pressupostos!$D$380</f>
        <v>0</v>
      </c>
      <c r="E4048" s="64" t="n">
        <f aca="false">Pressupostos!$E$380</f>
        <v>0</v>
      </c>
      <c r="F4048" s="64" t="n">
        <f aca="false">Pressupostos!$F$380</f>
        <v>1</v>
      </c>
      <c r="G4048" s="64" t="n">
        <f aca="false">Pressupostos!$G$380</f>
        <v>1</v>
      </c>
      <c r="H4048" s="2" t="s">
        <v>1322</v>
      </c>
    </row>
    <row r="4049" customFormat="false" ht="15" hidden="false" customHeight="false" outlineLevel="1" collapsed="false">
      <c r="A4049" s="7" t="s">
        <v>647</v>
      </c>
      <c r="B4049" s="8" t="s">
        <v>432</v>
      </c>
      <c r="C4049" s="64" t="n">
        <f aca="false">Pressupostos!$C$386</f>
        <v>0</v>
      </c>
      <c r="D4049" s="64" t="n">
        <f aca="false">Pressupostos!$D$386</f>
        <v>0</v>
      </c>
      <c r="E4049" s="64" t="n">
        <f aca="false">Pressupostos!$E$386</f>
        <v>0</v>
      </c>
      <c r="F4049" s="64" t="n">
        <f aca="false">Pressupostos!$F$386</f>
        <v>0</v>
      </c>
      <c r="G4049" s="64" t="n">
        <f aca="false">Pressupostos!$G$386</f>
        <v>1</v>
      </c>
      <c r="H4049" s="2" t="s">
        <v>1323</v>
      </c>
    </row>
    <row r="4050" customFormat="false" ht="15" hidden="false" customHeight="false" outlineLevel="1" collapsed="false">
      <c r="A4050" s="7" t="s">
        <v>648</v>
      </c>
      <c r="B4050" s="8" t="s">
        <v>432</v>
      </c>
      <c r="C4050" s="64" t="n">
        <f aca="false">Pressupostos!$C$392</f>
        <v>0</v>
      </c>
      <c r="D4050" s="64" t="n">
        <f aca="false">Pressupostos!$D$392</f>
        <v>0</v>
      </c>
      <c r="E4050" s="64" t="n">
        <f aca="false">Pressupostos!$E$392</f>
        <v>1</v>
      </c>
      <c r="F4050" s="64" t="n">
        <f aca="false">Pressupostos!$F$392</f>
        <v>1</v>
      </c>
      <c r="G4050" s="64" t="n">
        <f aca="false">Pressupostos!$G$392</f>
        <v>1</v>
      </c>
      <c r="H4050" s="2" t="s">
        <v>1324</v>
      </c>
    </row>
    <row r="4051" customFormat="false" ht="15" hidden="false" customHeight="false" outlineLevel="1" collapsed="false">
      <c r="A4051" s="7" t="s">
        <v>649</v>
      </c>
      <c r="B4051" s="8" t="s">
        <v>432</v>
      </c>
      <c r="C4051" s="64" t="n">
        <f aca="false">Pressupostos!$C$398</f>
        <v>0</v>
      </c>
      <c r="D4051" s="64" t="n">
        <f aca="false">Pressupostos!$D$398</f>
        <v>0</v>
      </c>
      <c r="E4051" s="64" t="n">
        <f aca="false">Pressupostos!$E$398</f>
        <v>0</v>
      </c>
      <c r="F4051" s="64" t="n">
        <f aca="false">Pressupostos!$F$398</f>
        <v>0</v>
      </c>
      <c r="G4051" s="64" t="n">
        <f aca="false">Pressupostos!$G$398</f>
        <v>0</v>
      </c>
      <c r="H4051" s="2" t="s">
        <v>1325</v>
      </c>
    </row>
    <row r="4052" customFormat="false" ht="15" hidden="false" customHeight="false" outlineLevel="1" collapsed="false">
      <c r="A4052" s="56" t="s">
        <v>650</v>
      </c>
      <c r="B4052" s="57" t="s">
        <v>432</v>
      </c>
      <c r="C4052" s="65" t="n">
        <f aca="false">C4040+C4041+C4042+C4043+C4044+C4045+C4046+C4047+C4048+C4049+C4050+C4051</f>
        <v>7</v>
      </c>
      <c r="D4052" s="65" t="n">
        <f aca="false">D4040+D4041+D4042+D4043+D4044+D4045+D4046+D4047+D4048+D4049+D4050+D4051</f>
        <v>8</v>
      </c>
      <c r="E4052" s="65" t="n">
        <f aca="false">E4040+E4041+E4042+E4043+E4044+E4045+E4046+E4047+E4048+E4049+E4050+E4051</f>
        <v>11</v>
      </c>
      <c r="F4052" s="65" t="n">
        <f aca="false">F4040+F4041+F4042+F4043+F4044+F4045+F4046+F4047+F4048+F4049+F4050+F4051</f>
        <v>14</v>
      </c>
      <c r="G4052" s="65" t="n">
        <f aca="false">G4040+G4041+G4042+G4043+G4044+G4045+G4046+G4047+G4048+G4049+G4050+G4051</f>
        <v>17</v>
      </c>
      <c r="H4052" s="2" t="s">
        <v>1326</v>
      </c>
    </row>
    <row r="4053" customFormat="false" ht="15" hidden="false" customHeight="false" outlineLevel="0" collapsed="false">
      <c r="A4053" s="3" t="s">
        <v>1327</v>
      </c>
      <c r="B4053" s="4"/>
      <c r="C4053" s="4"/>
      <c r="D4053" s="4"/>
      <c r="E4053" s="4"/>
      <c r="F4053" s="4"/>
      <c r="G4053" s="4"/>
      <c r="H4053" s="4"/>
    </row>
    <row r="4054" customFormat="false" ht="15" hidden="false" customHeight="false" outlineLevel="1" collapsed="false">
      <c r="A4054" s="7" t="s">
        <v>638</v>
      </c>
      <c r="B4054" s="8" t="s">
        <v>11</v>
      </c>
      <c r="C4054" s="61" t="n">
        <f aca="false">C4040*Pressupostos!$C$131*(1+Pressupostos!$C$127)^0*(1+Pressupostos!$C$132)*Pressupostos!$C$128</f>
        <v>43998</v>
      </c>
      <c r="D4054" s="61" t="n">
        <f aca="false">D4040*Pressupostos!$C$131*(1+Pressupostos!$C$127)^1*(1+Pressupostos!$C$132)</f>
        <v>61800</v>
      </c>
      <c r="E4054" s="61" t="n">
        <f aca="false">E4040*Pressupostos!$C$131*(1+Pressupostos!$C$127)^2*(1+Pressupostos!$C$132)</f>
        <v>63654</v>
      </c>
      <c r="F4054" s="61" t="n">
        <f aca="false">F4040*Pressupostos!$C$131*(1+Pressupostos!$C$127)^3*(1+Pressupostos!$C$132)</f>
        <v>65563.62</v>
      </c>
      <c r="G4054" s="61" t="n">
        <f aca="false">G4040*Pressupostos!$C$131*(1+Pressupostos!$C$127)^4*(1+Pressupostos!$C$132)</f>
        <v>67530.5286</v>
      </c>
      <c r="H4054" s="2" t="s">
        <v>1328</v>
      </c>
    </row>
    <row r="4055" customFormat="false" ht="15" hidden="false" customHeight="false" outlineLevel="1" collapsed="false">
      <c r="A4055" s="7" t="s">
        <v>639</v>
      </c>
      <c r="B4055" s="8" t="s">
        <v>11</v>
      </c>
      <c r="C4055" s="61" t="n">
        <f aca="false">C4041*Pressupostos!$C$133*(1+Pressupostos!$C$127)^0*(1+Pressupostos!$C$134)*Pressupostos!$C$128</f>
        <v>47664.5</v>
      </c>
      <c r="D4055" s="61" t="n">
        <f aca="false">D4041*Pressupostos!$C$133*(1+Pressupostos!$C$127)^1*(1+Pressupostos!$C$134)</f>
        <v>66950</v>
      </c>
      <c r="E4055" s="61" t="n">
        <f aca="false">E4041*Pressupostos!$C$133*(1+Pressupostos!$C$127)^2*(1+Pressupostos!$C$134)</f>
        <v>68958.5</v>
      </c>
      <c r="F4055" s="61" t="n">
        <f aca="false">F4041*Pressupostos!$C$133*(1+Pressupostos!$C$127)^3*(1+Pressupostos!$C$134)</f>
        <v>71027.255</v>
      </c>
      <c r="G4055" s="61" t="n">
        <f aca="false">G4041*Pressupostos!$C$133*(1+Pressupostos!$C$127)^4*(1+Pressupostos!$C$134)</f>
        <v>73158.07265</v>
      </c>
      <c r="H4055" s="2" t="s">
        <v>1329</v>
      </c>
    </row>
    <row r="4056" customFormat="false" ht="15" hidden="false" customHeight="false" outlineLevel="1" collapsed="false">
      <c r="A4056" s="7" t="s">
        <v>640</v>
      </c>
      <c r="B4056" s="8" t="s">
        <v>11</v>
      </c>
      <c r="C4056" s="61" t="n">
        <f aca="false">C4042*Pressupostos!$C$135*(1+Pressupostos!$C$127)^0*(1+Pressupostos!$C$136)</f>
        <v>45000</v>
      </c>
      <c r="D4056" s="61" t="n">
        <f aca="false">D4042*Pressupostos!$C$135*(1+Pressupostos!$C$127)^1*(1+Pressupostos!$C$136)</f>
        <v>46350</v>
      </c>
      <c r="E4056" s="61" t="n">
        <f aca="false">E4042*Pressupostos!$C$135*(1+Pressupostos!$C$127)^2*(1+Pressupostos!$C$136)</f>
        <v>95481</v>
      </c>
      <c r="F4056" s="61" t="n">
        <f aca="false">F4042*Pressupostos!$C$135*(1+Pressupostos!$C$127)^3*(1+Pressupostos!$C$136)</f>
        <v>98345.43</v>
      </c>
      <c r="G4056" s="61" t="n">
        <f aca="false">G4042*Pressupostos!$C$135*(1+Pressupostos!$C$127)^4*(1+Pressupostos!$C$136)</f>
        <v>101295.7929</v>
      </c>
      <c r="H4056" s="2" t="s">
        <v>1330</v>
      </c>
    </row>
    <row r="4057" customFormat="false" ht="15" hidden="false" customHeight="false" outlineLevel="1" collapsed="false">
      <c r="A4057" s="7" t="s">
        <v>641</v>
      </c>
      <c r="B4057" s="8" t="s">
        <v>11</v>
      </c>
      <c r="C4057" s="61" t="n">
        <f aca="false">C4043*Pressupostos!$C$137*(1+Pressupostos!$C$127)^0*(1+Pressupostos!$C$138)</f>
        <v>60000</v>
      </c>
      <c r="D4057" s="61" t="n">
        <f aca="false">D4043*Pressupostos!$C$137*(1+Pressupostos!$C$127)^1*(1+Pressupostos!$C$138)</f>
        <v>61800</v>
      </c>
      <c r="E4057" s="61" t="n">
        <f aca="false">E4043*Pressupostos!$C$137*(1+Pressupostos!$C$127)^2*(1+Pressupostos!$C$138)</f>
        <v>63654</v>
      </c>
      <c r="F4057" s="61" t="n">
        <f aca="false">F4043*Pressupostos!$C$137*(1+Pressupostos!$C$127)^3*(1+Pressupostos!$C$138)</f>
        <v>65563.62</v>
      </c>
      <c r="G4057" s="61" t="n">
        <f aca="false">G4043*Pressupostos!$C$137*(1+Pressupostos!$C$127)^4*(1+Pressupostos!$C$138)</f>
        <v>67530.5286</v>
      </c>
      <c r="H4057" s="2" t="s">
        <v>1331</v>
      </c>
    </row>
    <row r="4058" customFormat="false" ht="15" hidden="false" customHeight="false" outlineLevel="1" collapsed="false">
      <c r="A4058" s="7" t="s">
        <v>642</v>
      </c>
      <c r="B4058" s="8" t="s">
        <v>11</v>
      </c>
      <c r="C4058" s="61" t="n">
        <f aca="false">C4044*Pressupostos!$C$139*(1+Pressupostos!$C$127)^0*(1+Pressupostos!$C$140)</f>
        <v>22500</v>
      </c>
      <c r="D4058" s="61" t="n">
        <f aca="false">D4044*Pressupostos!$C$139*(1+Pressupostos!$C$127)^1*(1+Pressupostos!$C$140)</f>
        <v>46350</v>
      </c>
      <c r="E4058" s="61" t="n">
        <f aca="false">E4044*Pressupostos!$C$139*(1+Pressupostos!$C$127)^2*(1+Pressupostos!$C$140)</f>
        <v>47740.5</v>
      </c>
      <c r="F4058" s="61" t="n">
        <f aca="false">F4044*Pressupostos!$C$139*(1+Pressupostos!$C$127)^3*(1+Pressupostos!$C$140)</f>
        <v>49172.715</v>
      </c>
      <c r="G4058" s="61" t="n">
        <f aca="false">G4044*Pressupostos!$C$139*(1+Pressupostos!$C$127)^4*(1+Pressupostos!$C$140)</f>
        <v>50647.89645</v>
      </c>
      <c r="H4058" s="2" t="s">
        <v>1332</v>
      </c>
    </row>
    <row r="4059" customFormat="false" ht="15" hidden="false" customHeight="false" outlineLevel="1" collapsed="false">
      <c r="A4059" s="7" t="s">
        <v>643</v>
      </c>
      <c r="B4059" s="8" t="s">
        <v>11</v>
      </c>
      <c r="C4059" s="61" t="n">
        <f aca="false">C4045*Pressupostos!$C$141*(1+Pressupostos!$C$127)^0*(1+Pressupostos!$C$142)</f>
        <v>38000</v>
      </c>
      <c r="D4059" s="61" t="n">
        <f aca="false">D4045*Pressupostos!$C$141*(1+Pressupostos!$C$127)^1*(1+Pressupostos!$C$142)</f>
        <v>39140</v>
      </c>
      <c r="E4059" s="61" t="n">
        <f aca="false">E4045*Pressupostos!$C$141*(1+Pressupostos!$C$127)^2*(1+Pressupostos!$C$142)</f>
        <v>40314.2</v>
      </c>
      <c r="F4059" s="61" t="n">
        <f aca="false">F4045*Pressupostos!$C$141*(1+Pressupostos!$C$127)^3*(1+Pressupostos!$C$142)</f>
        <v>83047.252</v>
      </c>
      <c r="G4059" s="61" t="n">
        <f aca="false">G4045*Pressupostos!$C$141*(1+Pressupostos!$C$127)^4*(1+Pressupostos!$C$142)</f>
        <v>85538.66956</v>
      </c>
      <c r="H4059" s="2" t="s">
        <v>1333</v>
      </c>
    </row>
    <row r="4060" customFormat="false" ht="15" hidden="false" customHeight="false" outlineLevel="1" collapsed="false">
      <c r="A4060" s="7" t="s">
        <v>644</v>
      </c>
      <c r="B4060" s="8" t="s">
        <v>11</v>
      </c>
      <c r="C4060" s="61" t="n">
        <f aca="false">C4046*Pressupostos!$C$143*(1+Pressupostos!$C$127)^0*(1+Pressupostos!$C$144)</f>
        <v>16000</v>
      </c>
      <c r="D4060" s="61" t="n">
        <f aca="false">D4046*Pressupostos!$C$143*(1+Pressupostos!$C$127)^1*(1+Pressupostos!$C$144)</f>
        <v>32960</v>
      </c>
      <c r="E4060" s="61" t="n">
        <f aca="false">E4046*Pressupostos!$C$143*(1+Pressupostos!$C$127)^2*(1+Pressupostos!$C$144)</f>
        <v>33948.8</v>
      </c>
      <c r="F4060" s="61" t="n">
        <f aca="false">F4046*Pressupostos!$C$143*(1+Pressupostos!$C$127)^3*(1+Pressupostos!$C$144)</f>
        <v>34967.264</v>
      </c>
      <c r="G4060" s="61" t="n">
        <f aca="false">G4046*Pressupostos!$C$143*(1+Pressupostos!$C$127)^4*(1+Pressupostos!$C$144)</f>
        <v>36016.28192</v>
      </c>
      <c r="H4060" s="2" t="s">
        <v>1334</v>
      </c>
    </row>
    <row r="4061" customFormat="false" ht="15" hidden="false" customHeight="false" outlineLevel="1" collapsed="false">
      <c r="A4061" s="7" t="s">
        <v>645</v>
      </c>
      <c r="B4061" s="8" t="s">
        <v>11</v>
      </c>
      <c r="C4061" s="61" t="n">
        <f aca="false">C4047*Pressupostos!$C$145*(1+Pressupostos!$C$127)^0*(1+Pressupostos!$C$146)</f>
        <v>34500</v>
      </c>
      <c r="D4061" s="61" t="n">
        <f aca="false">D4047*Pressupostos!$C$145*(1+Pressupostos!$C$127)^1*(1+Pressupostos!$C$146)</f>
        <v>35535</v>
      </c>
      <c r="E4061" s="61" t="n">
        <f aca="false">E4047*Pressupostos!$C$145*(1+Pressupostos!$C$127)^2*(1+Pressupostos!$C$146)</f>
        <v>73202.1</v>
      </c>
      <c r="F4061" s="61" t="n">
        <f aca="false">F4047*Pressupostos!$C$145*(1+Pressupostos!$C$127)^3*(1+Pressupostos!$C$146)</f>
        <v>113097.2445</v>
      </c>
      <c r="G4061" s="61" t="n">
        <f aca="false">G4047*Pressupostos!$C$145*(1+Pressupostos!$C$127)^4*(1+Pressupostos!$C$146)</f>
        <v>194150.269725</v>
      </c>
      <c r="H4061" s="2" t="s">
        <v>1335</v>
      </c>
    </row>
    <row r="4062" customFormat="false" ht="15" hidden="false" customHeight="false" outlineLevel="1" collapsed="false">
      <c r="A4062" s="7" t="s">
        <v>646</v>
      </c>
      <c r="B4062" s="8" t="s">
        <v>11</v>
      </c>
      <c r="C4062" s="61" t="n">
        <f aca="false">C4048*Pressupostos!$C$147*(1+Pressupostos!$C$127)^0*(1+Pressupostos!$C$148)</f>
        <v>0</v>
      </c>
      <c r="D4062" s="61" t="n">
        <f aca="false">D4048*Pressupostos!$C$147*(1+Pressupostos!$C$127)^1*(1+Pressupostos!$C$148)</f>
        <v>0</v>
      </c>
      <c r="E4062" s="61" t="n">
        <f aca="false">E4048*Pressupostos!$C$147*(1+Pressupostos!$C$127)^2*(1+Pressupostos!$C$148)</f>
        <v>0</v>
      </c>
      <c r="F4062" s="61" t="n">
        <f aca="false">F4048*Pressupostos!$C$147*(1+Pressupostos!$C$127)^3*(1+Pressupostos!$C$148)</f>
        <v>49172.715</v>
      </c>
      <c r="G4062" s="61" t="n">
        <f aca="false">G4048*Pressupostos!$C$147*(1+Pressupostos!$C$127)^4*(1+Pressupostos!$C$148)</f>
        <v>50647.89645</v>
      </c>
      <c r="H4062" s="2" t="s">
        <v>1336</v>
      </c>
    </row>
    <row r="4063" customFormat="false" ht="15" hidden="false" customHeight="false" outlineLevel="1" collapsed="false">
      <c r="A4063" s="7" t="s">
        <v>647</v>
      </c>
      <c r="B4063" s="8" t="s">
        <v>11</v>
      </c>
      <c r="C4063" s="61" t="n">
        <f aca="false">C4049*Pressupostos!$C$149*(1+Pressupostos!$C$127)^0*(1+Pressupostos!$C$150)</f>
        <v>0</v>
      </c>
      <c r="D4063" s="61" t="n">
        <f aca="false">D4049*Pressupostos!$C$149*(1+Pressupostos!$C$127)^1*(1+Pressupostos!$C$150)</f>
        <v>0</v>
      </c>
      <c r="E4063" s="61" t="n">
        <f aca="false">E4049*Pressupostos!$C$149*(1+Pressupostos!$C$127)^2*(1+Pressupostos!$C$150)</f>
        <v>0</v>
      </c>
      <c r="F4063" s="61" t="n">
        <f aca="false">F4049*Pressupostos!$C$149*(1+Pressupostos!$C$127)^3*(1+Pressupostos!$C$150)</f>
        <v>0</v>
      </c>
      <c r="G4063" s="61" t="n">
        <f aca="false">G4049*Pressupostos!$C$149*(1+Pressupostos!$C$127)^4*(1+Pressupostos!$C$150)</f>
        <v>45020.3524</v>
      </c>
      <c r="H4063" s="2" t="s">
        <v>1337</v>
      </c>
    </row>
    <row r="4064" customFormat="false" ht="15" hidden="false" customHeight="false" outlineLevel="1" collapsed="false">
      <c r="A4064" s="7" t="s">
        <v>648</v>
      </c>
      <c r="B4064" s="8" t="s">
        <v>11</v>
      </c>
      <c r="C4064" s="61" t="n">
        <f aca="false">C4050*Pressupostos!$C$151*(1+Pressupostos!$C$127)^0*(1+Pressupostos!$C$152)</f>
        <v>0</v>
      </c>
      <c r="D4064" s="61" t="n">
        <f aca="false">D4050*Pressupostos!$C$151*(1+Pressupostos!$C$127)^1*(1+Pressupostos!$C$152)</f>
        <v>0</v>
      </c>
      <c r="E4064" s="61" t="n">
        <f aca="false">E4050*Pressupostos!$C$151*(1+Pressupostos!$C$127)^2*(1+Pressupostos!$C$152)</f>
        <v>25461.6</v>
      </c>
      <c r="F4064" s="61" t="n">
        <f aca="false">F4050*Pressupostos!$C$151*(1+Pressupostos!$C$127)^3*(1+Pressupostos!$C$152)</f>
        <v>26225.448</v>
      </c>
      <c r="G4064" s="61" t="n">
        <f aca="false">G4050*Pressupostos!$C$151*(1+Pressupostos!$C$127)^4*(1+Pressupostos!$C$152)</f>
        <v>27012.21144</v>
      </c>
      <c r="H4064" s="2" t="s">
        <v>1338</v>
      </c>
    </row>
    <row r="4065" customFormat="false" ht="15" hidden="false" customHeight="false" outlineLevel="1" collapsed="false">
      <c r="A4065" s="7" t="s">
        <v>649</v>
      </c>
      <c r="B4065" s="8" t="s">
        <v>11</v>
      </c>
      <c r="C4065" s="61" t="n">
        <f aca="false">C4051*Pressupostos!$C$153*(1+Pressupostos!$C$127)^0*(1+Pressupostos!$C$154)</f>
        <v>0</v>
      </c>
      <c r="D4065" s="61" t="n">
        <f aca="false">D4051*Pressupostos!$C$153*(1+Pressupostos!$C$127)^1*(1+Pressupostos!$C$154)</f>
        <v>0</v>
      </c>
      <c r="E4065" s="61" t="n">
        <f aca="false">E4051*Pressupostos!$C$153*(1+Pressupostos!$C$127)^2*(1+Pressupostos!$C$154)</f>
        <v>0</v>
      </c>
      <c r="F4065" s="61" t="n">
        <f aca="false">F4051*Pressupostos!$C$153*(1+Pressupostos!$C$127)^3*(1+Pressupostos!$C$154)</f>
        <v>0</v>
      </c>
      <c r="G4065" s="61" t="n">
        <f aca="false">G4051*Pressupostos!$C$153*(1+Pressupostos!$C$127)^4*(1+Pressupostos!$C$154)</f>
        <v>0</v>
      </c>
      <c r="H4065" s="2" t="s">
        <v>1339</v>
      </c>
    </row>
    <row r="4066" customFormat="false" ht="15" hidden="false" customHeight="false" outlineLevel="1" collapsed="false">
      <c r="A4066" s="7" t="s">
        <v>652</v>
      </c>
      <c r="B4066" s="8" t="s">
        <v>11</v>
      </c>
      <c r="C4066" s="61" t="n">
        <f aca="false">C4054+C4055+C4056+C4057+C4058+C4059+C4060+C4061+C4062+C4063+C4064+C4065</f>
        <v>307662.5</v>
      </c>
      <c r="D4066" s="61" t="n">
        <f aca="false">D4054+D4055+D4056+D4057+D4058+D4059+D4060+D4061+D4062+D4063+D4064+D4065</f>
        <v>390885</v>
      </c>
      <c r="E4066" s="61" t="n">
        <f aca="false">E4054+E4055+E4056+E4057+E4058+E4059+E4060+E4061+E4062+E4063+E4064+E4065</f>
        <v>512414.7</v>
      </c>
      <c r="F4066" s="61" t="n">
        <f aca="false">F4054+F4055+F4056+F4057+F4058+F4059+F4060+F4061+F4062+F4063+F4064+F4065</f>
        <v>656182.5635</v>
      </c>
      <c r="G4066" s="61" t="n">
        <f aca="false">G4054+G4055+G4056+G4057+G4058+G4059+G4060+G4061+G4062+G4063+G4064+G4065</f>
        <v>798548.500695</v>
      </c>
      <c r="H4066" s="2" t="s">
        <v>1340</v>
      </c>
    </row>
    <row r="4067" customFormat="false" ht="15" hidden="false" customHeight="false" outlineLevel="1" collapsed="false">
      <c r="A4067" s="7" t="s">
        <v>653</v>
      </c>
      <c r="B4067" s="8" t="s">
        <v>11</v>
      </c>
      <c r="C4067" s="61" t="n">
        <f aca="false">C4066*(Pressupostos!$C$124+Pressupostos!$C$125)</f>
        <v>79223.09375</v>
      </c>
      <c r="D4067" s="61" t="n">
        <f aca="false">D4066*(Pressupostos!$C$124+Pressupostos!$C$125)</f>
        <v>100652.8875</v>
      </c>
      <c r="E4067" s="61" t="n">
        <f aca="false">E4066*(Pressupostos!$C$124+Pressupostos!$C$125)</f>
        <v>131946.78525</v>
      </c>
      <c r="F4067" s="61" t="n">
        <f aca="false">F4066*(Pressupostos!$C$124+Pressupostos!$C$125)</f>
        <v>168967.01010125</v>
      </c>
      <c r="G4067" s="61" t="n">
        <f aca="false">G4066*(Pressupostos!$C$124+Pressupostos!$C$125)</f>
        <v>205626.238928963</v>
      </c>
      <c r="H4067" s="2" t="s">
        <v>1341</v>
      </c>
    </row>
    <row r="4068" customFormat="false" ht="15" hidden="false" customHeight="false" outlineLevel="1" collapsed="false">
      <c r="A4068" s="7" t="s">
        <v>654</v>
      </c>
      <c r="B4068" s="8" t="s">
        <v>11</v>
      </c>
      <c r="C4068" s="61" t="n">
        <f aca="false">C4052*Pressupostos!$C$126*(1+Pressupostos!$C$127)^0</f>
        <v>14000</v>
      </c>
      <c r="D4068" s="61" t="n">
        <f aca="false">D4052*Pressupostos!$C$126*(1+Pressupostos!$C$127)^1</f>
        <v>16480</v>
      </c>
      <c r="E4068" s="61" t="n">
        <f aca="false">E4052*Pressupostos!$C$126*(1+Pressupostos!$C$127)^2</f>
        <v>23339.8</v>
      </c>
      <c r="F4068" s="61" t="n">
        <f aca="false">F4052*Pressupostos!$C$126*(1+Pressupostos!$C$127)^3</f>
        <v>30596.356</v>
      </c>
      <c r="G4068" s="61" t="n">
        <f aca="false">G4052*Pressupostos!$C$126*(1+Pressupostos!$C$127)^4</f>
        <v>38267.29954</v>
      </c>
      <c r="H4068" s="2" t="s">
        <v>1342</v>
      </c>
    </row>
    <row r="4069" customFormat="false" ht="15" hidden="false" customHeight="false" outlineLevel="1" collapsed="false">
      <c r="A4069" s="56" t="s">
        <v>655</v>
      </c>
      <c r="B4069" s="57" t="s">
        <v>11</v>
      </c>
      <c r="C4069" s="62" t="n">
        <f aca="false">C4066+C4067+C4068</f>
        <v>400885.59375</v>
      </c>
      <c r="D4069" s="62" t="n">
        <f aca="false">D4066+D4067+D4068</f>
        <v>508017.8875</v>
      </c>
      <c r="E4069" s="62" t="n">
        <f aca="false">E4066+E4067+E4068</f>
        <v>667701.28525</v>
      </c>
      <c r="F4069" s="62" t="n">
        <f aca="false">F4066+F4067+F4068</f>
        <v>855745.92960125</v>
      </c>
      <c r="G4069" s="62" t="n">
        <f aca="false">G4066+G4067+G4068</f>
        <v>1042442.03916396</v>
      </c>
      <c r="H4069" s="2" t="s">
        <v>1343</v>
      </c>
    </row>
    <row r="4070" customFormat="false" ht="15" hidden="false" customHeight="false" outlineLevel="1" collapsed="false">
      <c r="A4070" s="2" t="s">
        <v>656</v>
      </c>
      <c r="B4070" s="8" t="s">
        <v>11</v>
      </c>
      <c r="C4070" s="61" t="n">
        <f aca="false">IF(C4052&gt;0,C4069/C4052,0)</f>
        <v>57269.3705357143</v>
      </c>
      <c r="D4070" s="61" t="n">
        <f aca="false">IF(D4052&gt;0,D4069/D4052,0)</f>
        <v>63502.2359375</v>
      </c>
      <c r="E4070" s="61" t="n">
        <f aca="false">IF(E4052&gt;0,E4069/E4052,0)</f>
        <v>60700.1168409091</v>
      </c>
      <c r="F4070" s="61" t="n">
        <f aca="false">IF(F4052&gt;0,F4069/F4052,0)</f>
        <v>61124.7092572321</v>
      </c>
      <c r="G4070" s="61" t="n">
        <f aca="false">IF(G4052&gt;0,G4069/G4052,0)</f>
        <v>61320.1199508213</v>
      </c>
      <c r="H4070" s="2" t="s">
        <v>1344</v>
      </c>
    </row>
    <row r="4071" customFormat="false" ht="15" hidden="false" customHeight="false" outlineLevel="0" collapsed="false">
      <c r="A4071" s="3" t="s">
        <v>1345</v>
      </c>
      <c r="B4071" s="4"/>
      <c r="C4071" s="4"/>
      <c r="D4071" s="4"/>
      <c r="E4071" s="4"/>
      <c r="F4071" s="4"/>
      <c r="G4071" s="4"/>
      <c r="H4071" s="4"/>
    </row>
    <row r="4072" customFormat="false" ht="15" hidden="false" customHeight="false" outlineLevel="1" collapsed="false">
      <c r="A4072" s="7" t="s">
        <v>449</v>
      </c>
      <c r="B4072" s="8" t="s">
        <v>11</v>
      </c>
      <c r="C4072" s="61" t="n">
        <f aca="false">Pressupostos!$C$405*(1+Pressupostos!$C$156)*(1+Pressupostos!$C$157)^0</f>
        <v>94500</v>
      </c>
      <c r="D4072" s="61" t="n">
        <f aca="false">Pressupostos!$D$405*(1+Pressupostos!$C$156)*(1+Pressupostos!$C$157)^1</f>
        <v>53550</v>
      </c>
      <c r="E4072" s="61" t="n">
        <f aca="false">Pressupostos!$E$405*(1+Pressupostos!$C$156)*(1+Pressupostos!$C$157)^2</f>
        <v>49158.9</v>
      </c>
      <c r="F4072" s="61" t="n">
        <f aca="false">Pressupostos!$F$405*(1+Pressupostos!$C$156)*(1+Pressupostos!$C$157)^3</f>
        <v>50142.078</v>
      </c>
      <c r="G4072" s="61" t="n">
        <f aca="false">Pressupostos!$G$405*(1+Pressupostos!$C$156)*(1+Pressupostos!$C$157)^4</f>
        <v>51144.91956</v>
      </c>
      <c r="H4072" s="2" t="s">
        <v>1346</v>
      </c>
    </row>
    <row r="4073" customFormat="false" ht="15" hidden="false" customHeight="false" outlineLevel="1" collapsed="false">
      <c r="A4073" s="7" t="s">
        <v>451</v>
      </c>
      <c r="B4073" s="8" t="s">
        <v>11</v>
      </c>
      <c r="C4073" s="61" t="n">
        <f aca="false">Pressupostos!$C$411*(1+Pressupostos!$C$156)*(1+Pressupostos!$C$157)^0</f>
        <v>10500</v>
      </c>
      <c r="D4073" s="61" t="n">
        <f aca="false">Pressupostos!$D$411*(1+Pressupostos!$C$156)*(1+Pressupostos!$C$157)^1</f>
        <v>10710</v>
      </c>
      <c r="E4073" s="61" t="n">
        <f aca="false">Pressupostos!$E$411*(1+Pressupostos!$C$156)*(1+Pressupostos!$C$157)^2</f>
        <v>10924.2</v>
      </c>
      <c r="F4073" s="61" t="n">
        <f aca="false">Pressupostos!$F$411*(1+Pressupostos!$C$156)*(1+Pressupostos!$C$157)^3</f>
        <v>11142.684</v>
      </c>
      <c r="G4073" s="61" t="n">
        <f aca="false">Pressupostos!$G$411*(1+Pressupostos!$C$156)*(1+Pressupostos!$C$157)^4</f>
        <v>11365.53768</v>
      </c>
      <c r="H4073" s="2" t="s">
        <v>1347</v>
      </c>
    </row>
    <row r="4074" customFormat="false" ht="15" hidden="false" customHeight="false" outlineLevel="1" collapsed="false">
      <c r="A4074" s="7" t="s">
        <v>452</v>
      </c>
      <c r="B4074" s="8" t="s">
        <v>11</v>
      </c>
      <c r="C4074" s="61" t="n">
        <f aca="false">Pressupostos!$C$417*(1+Pressupostos!$C$156)*(1+Pressupostos!$C$157)^0</f>
        <v>12600</v>
      </c>
      <c r="D4074" s="61" t="n">
        <f aca="false">Pressupostos!$D$417*(1+Pressupostos!$C$156)*(1+Pressupostos!$C$157)^1</f>
        <v>12852</v>
      </c>
      <c r="E4074" s="61" t="n">
        <f aca="false">Pressupostos!$E$417*(1+Pressupostos!$C$156)*(1+Pressupostos!$C$157)^2</f>
        <v>13109.04</v>
      </c>
      <c r="F4074" s="61" t="n">
        <f aca="false">Pressupostos!$F$417*(1+Pressupostos!$C$156)*(1+Pressupostos!$C$157)^3</f>
        <v>0</v>
      </c>
      <c r="G4074" s="61" t="n">
        <f aca="false">Pressupostos!$G$417*(1+Pressupostos!$C$156)*(1+Pressupostos!$C$157)^4</f>
        <v>0</v>
      </c>
      <c r="H4074" s="2" t="s">
        <v>1348</v>
      </c>
    </row>
    <row r="4075" customFormat="false" ht="15" hidden="false" customHeight="false" outlineLevel="1" collapsed="false">
      <c r="A4075" s="7" t="s">
        <v>454</v>
      </c>
      <c r="B4075" s="8" t="s">
        <v>11</v>
      </c>
      <c r="C4075" s="61" t="n">
        <f aca="false">Pressupostos!$C$423*(1+Pressupostos!$C$156)*(1+Pressupostos!$C$157)^0</f>
        <v>31500</v>
      </c>
      <c r="D4075" s="61" t="n">
        <f aca="false">Pressupostos!$D$423*(1+Pressupostos!$C$156)*(1+Pressupostos!$C$157)^1</f>
        <v>42840</v>
      </c>
      <c r="E4075" s="61" t="n">
        <f aca="false">Pressupostos!$E$423*(1+Pressupostos!$C$156)*(1+Pressupostos!$C$157)^2</f>
        <v>60083.1</v>
      </c>
      <c r="F4075" s="61" t="n">
        <f aca="false">Pressupostos!$F$423*(1+Pressupostos!$C$156)*(1+Pressupostos!$C$157)^3</f>
        <v>77998.788</v>
      </c>
      <c r="G4075" s="61" t="n">
        <f aca="false">Pressupostos!$G$423*(1+Pressupostos!$C$156)*(1+Pressupostos!$C$157)^4</f>
        <v>96607.07028</v>
      </c>
      <c r="H4075" s="2" t="s">
        <v>1349</v>
      </c>
    </row>
    <row r="4076" customFormat="false" ht="15" hidden="false" customHeight="false" outlineLevel="1" collapsed="false">
      <c r="A4076" s="7" t="s">
        <v>456</v>
      </c>
      <c r="B4076" s="8" t="s">
        <v>11</v>
      </c>
      <c r="C4076" s="61" t="n">
        <f aca="false">Pressupostos!$C$429*(1+Pressupostos!$C$156)*(1+Pressupostos!$C$157)^0</f>
        <v>15750</v>
      </c>
      <c r="D4076" s="61" t="n">
        <f aca="false">Pressupostos!$D$429*(1+Pressupostos!$C$156)*(1+Pressupostos!$C$157)^1</f>
        <v>16065</v>
      </c>
      <c r="E4076" s="61" t="n">
        <f aca="false">Pressupostos!$E$429*(1+Pressupostos!$C$156)*(1+Pressupostos!$C$157)^2</f>
        <v>38234.7</v>
      </c>
      <c r="F4076" s="61" t="n">
        <f aca="false">Pressupostos!$F$429*(1+Pressupostos!$C$156)*(1+Pressupostos!$C$157)^3</f>
        <v>22285.368</v>
      </c>
      <c r="G4076" s="61" t="n">
        <f aca="false">Pressupostos!$G$429*(1+Pressupostos!$C$156)*(1+Pressupostos!$C$157)^4</f>
        <v>22731.07536</v>
      </c>
      <c r="H4076" s="2" t="s">
        <v>1350</v>
      </c>
    </row>
    <row r="4077" customFormat="false" ht="15" hidden="false" customHeight="false" outlineLevel="1" collapsed="false">
      <c r="A4077" s="7" t="s">
        <v>458</v>
      </c>
      <c r="B4077" s="8" t="s">
        <v>11</v>
      </c>
      <c r="C4077" s="61" t="n">
        <f aca="false">Pressupostos!$C$435*(1+Pressupostos!$C$156)*(1+Pressupostos!$C$157)^0</f>
        <v>10500</v>
      </c>
      <c r="D4077" s="61" t="n">
        <f aca="false">Pressupostos!$D$435*(1+Pressupostos!$C$156)*(1+Pressupostos!$C$157)^1</f>
        <v>12852</v>
      </c>
      <c r="E4077" s="61" t="n">
        <f aca="false">Pressupostos!$E$435*(1+Pressupostos!$C$156)*(1+Pressupostos!$C$157)^2</f>
        <v>16386.3</v>
      </c>
      <c r="F4077" s="61" t="n">
        <f aca="false">Pressupostos!$F$435*(1+Pressupostos!$C$156)*(1+Pressupostos!$C$157)^3</f>
        <v>20056.8312</v>
      </c>
      <c r="G4077" s="61" t="n">
        <f aca="false">Pressupostos!$G$435*(1+Pressupostos!$C$156)*(1+Pressupostos!$C$157)^4</f>
        <v>22731.07536</v>
      </c>
      <c r="H4077" s="2" t="s">
        <v>1351</v>
      </c>
    </row>
    <row r="4078" customFormat="false" ht="15" hidden="false" customHeight="false" outlineLevel="1" collapsed="false">
      <c r="A4078" s="7" t="s">
        <v>459</v>
      </c>
      <c r="B4078" s="8" t="s">
        <v>11</v>
      </c>
      <c r="C4078" s="61" t="n">
        <f aca="false">Pressupostos!$C$441*(1+Pressupostos!$C$156)*(1+Pressupostos!$C$157)^0</f>
        <v>42000</v>
      </c>
      <c r="D4078" s="61" t="n">
        <f aca="false">Pressupostos!$D$441*(1+Pressupostos!$C$156)*(1+Pressupostos!$C$157)^1</f>
        <v>53550</v>
      </c>
      <c r="E4078" s="61" t="n">
        <f aca="false">Pressupostos!$E$441*(1+Pressupostos!$C$156)*(1+Pressupostos!$C$157)^2</f>
        <v>76469.4</v>
      </c>
      <c r="F4078" s="61" t="n">
        <f aca="false">Pressupostos!$F$441*(1+Pressupostos!$C$156)*(1+Pressupostos!$C$157)^3</f>
        <v>100284.156</v>
      </c>
      <c r="G4078" s="61" t="n">
        <f aca="false">Pressupostos!$G$441*(1+Pressupostos!$C$156)*(1+Pressupostos!$C$157)^4</f>
        <v>125020.91448</v>
      </c>
      <c r="H4078" s="2" t="s">
        <v>1352</v>
      </c>
    </row>
    <row r="4079" customFormat="false" ht="15" hidden="false" customHeight="false" outlineLevel="1" collapsed="false">
      <c r="A4079" s="7" t="s">
        <v>461</v>
      </c>
      <c r="B4079" s="8" t="s">
        <v>11</v>
      </c>
      <c r="C4079" s="61" t="n">
        <f aca="false">Pressupostos!$C$447*(1+Pressupostos!$C$156)*(1+Pressupostos!$C$157)^0</f>
        <v>12600</v>
      </c>
      <c r="D4079" s="61" t="n">
        <f aca="false">Pressupostos!$D$447*(1+Pressupostos!$C$156)*(1+Pressupostos!$C$157)^1</f>
        <v>16065</v>
      </c>
      <c r="E4079" s="61" t="n">
        <f aca="false">Pressupostos!$E$447*(1+Pressupostos!$C$156)*(1+Pressupostos!$C$157)^2</f>
        <v>26218.08</v>
      </c>
      <c r="F4079" s="61" t="n">
        <f aca="false">Pressupostos!$F$447*(1+Pressupostos!$C$156)*(1+Pressupostos!$C$157)^3</f>
        <v>33428.052</v>
      </c>
      <c r="G4079" s="61" t="n">
        <f aca="false">Pressupostos!$G$447*(1+Pressupostos!$C$156)*(1+Pressupostos!$C$157)^4</f>
        <v>40915.935648</v>
      </c>
      <c r="H4079" s="2" t="s">
        <v>1353</v>
      </c>
    </row>
    <row r="4080" customFormat="false" ht="15" hidden="false" customHeight="false" outlineLevel="1" collapsed="false">
      <c r="A4080" s="7" t="s">
        <v>463</v>
      </c>
      <c r="B4080" s="8" t="s">
        <v>11</v>
      </c>
      <c r="C4080" s="61" t="n">
        <f aca="false">Pressupostos!$C$453*(1+Pressupostos!$C$156)*(1+Pressupostos!$C$157)^0</f>
        <v>18900</v>
      </c>
      <c r="D4080" s="61" t="n">
        <f aca="false">Pressupostos!$D$453*(1+Pressupostos!$C$156)*(1+Pressupostos!$C$157)^1</f>
        <v>23562</v>
      </c>
      <c r="E4080" s="61" t="n">
        <f aca="false">Pressupostos!$E$453*(1+Pressupostos!$C$156)*(1+Pressupostos!$C$157)^2</f>
        <v>32772.6</v>
      </c>
      <c r="F4080" s="61" t="n">
        <f aca="false">Pressupostos!$F$453*(1+Pressupostos!$C$156)*(1+Pressupostos!$C$157)^3</f>
        <v>42342.1992</v>
      </c>
      <c r="G4080" s="61" t="n">
        <f aca="false">Pressupostos!$G$453*(1+Pressupostos!$C$156)*(1+Pressupostos!$C$157)^4</f>
        <v>51144.91956</v>
      </c>
      <c r="H4080" s="2" t="s">
        <v>1354</v>
      </c>
    </row>
    <row r="4081" customFormat="false" ht="15" hidden="false" customHeight="false" outlineLevel="1" collapsed="false">
      <c r="A4081" s="7" t="s">
        <v>464</v>
      </c>
      <c r="B4081" s="8" t="s">
        <v>11</v>
      </c>
      <c r="C4081" s="61" t="n">
        <f aca="false">Pressupostos!$C$459*(1+Pressupostos!$C$156)*(1+Pressupostos!$C$157)^0</f>
        <v>5250</v>
      </c>
      <c r="D4081" s="61" t="n">
        <f aca="false">Pressupostos!$D$459*(1+Pressupostos!$C$156)*(1+Pressupostos!$C$157)^1</f>
        <v>8568</v>
      </c>
      <c r="E4081" s="61" t="n">
        <f aca="false">Pressupostos!$E$459*(1+Pressupostos!$C$156)*(1+Pressupostos!$C$157)^2</f>
        <v>13109.04</v>
      </c>
      <c r="F4081" s="61" t="n">
        <f aca="false">Pressupostos!$F$459*(1+Pressupostos!$C$156)*(1+Pressupostos!$C$157)^3</f>
        <v>16714.026</v>
      </c>
      <c r="G4081" s="61" t="n">
        <f aca="false">Pressupostos!$G$459*(1+Pressupostos!$C$156)*(1+Pressupostos!$C$157)^4</f>
        <v>17048.30652</v>
      </c>
      <c r="H4081" s="2" t="s">
        <v>1355</v>
      </c>
    </row>
    <row r="4082" customFormat="false" ht="15" hidden="false" customHeight="false" outlineLevel="1" collapsed="false">
      <c r="A4082" s="7" t="s">
        <v>701</v>
      </c>
      <c r="B4082" s="8" t="s">
        <v>11</v>
      </c>
      <c r="C4082" s="61" t="n">
        <f aca="false">C4072+C4073+C4074+C4075+C4076+C4077+C4078+C4079+C4080+C4081</f>
        <v>254100</v>
      </c>
      <c r="D4082" s="61" t="n">
        <f aca="false">D4072+D4073+D4074+D4075+D4076+D4077+D4078+D4079+D4080+D4081</f>
        <v>250614</v>
      </c>
      <c r="E4082" s="61" t="n">
        <f aca="false">E4072+E4073+E4074+E4075+E4076+E4077+E4078+E4079+E4080+E4081</f>
        <v>336465.36</v>
      </c>
      <c r="F4082" s="61" t="n">
        <f aca="false">F4072+F4073+F4074+F4075+F4076+F4077+F4078+F4079+F4080+F4081</f>
        <v>374394.1824</v>
      </c>
      <c r="G4082" s="61" t="n">
        <f aca="false">G4072+G4073+G4074+G4075+G4076+G4077+G4078+G4079+G4080+G4081</f>
        <v>438709.754448</v>
      </c>
      <c r="H4082" s="2" t="s">
        <v>1356</v>
      </c>
    </row>
    <row r="4083" customFormat="false" ht="15" hidden="false" customHeight="false" outlineLevel="1" collapsed="false">
      <c r="A4083" s="7" t="s">
        <v>702</v>
      </c>
      <c r="B4083" s="8" t="s">
        <v>11</v>
      </c>
      <c r="C4083" s="61" t="n">
        <f aca="false">Pressupostos!$C$114+Pressupostos!$C$115+Pressupostos!$C$116*Pressupostos!$C$294+Pressupostos!$C$466+Pressupostos!$C$306</f>
        <v>65000</v>
      </c>
      <c r="D4083" s="61" t="n">
        <f aca="false">Pressupostos!$C$115+Pressupostos!$C$116*Pressupostos!$D$294+Pressupostos!$D$466+Pressupostos!$D$306</f>
        <v>65000</v>
      </c>
      <c r="E4083" s="61" t="n">
        <f aca="false">Pressupostos!$C$115+Pressupostos!$C$116*Pressupostos!$E$294+Pressupostos!$E$466+Pressupostos!$E$306</f>
        <v>70000</v>
      </c>
      <c r="F4083" s="61" t="n">
        <f aca="false">Pressupostos!$C$115+Pressupostos!$C$116*Pressupostos!$F$294+Pressupostos!$F$466+Pressupostos!$F$306</f>
        <v>75000</v>
      </c>
      <c r="G4083" s="61" t="n">
        <f aca="false">Pressupostos!$C$115+Pressupostos!$C$116*Pressupostos!$G$294+Pressupostos!$G$466+Pressupostos!$G$306</f>
        <v>80000</v>
      </c>
      <c r="H4083" s="2" t="s">
        <v>1357</v>
      </c>
    </row>
    <row r="4084" customFormat="false" ht="15" hidden="false" customHeight="false" outlineLevel="1" collapsed="false">
      <c r="A4084" s="7" t="s">
        <v>703</v>
      </c>
      <c r="B4084" s="8" t="s">
        <v>11</v>
      </c>
      <c r="C4084" s="61" t="n">
        <f aca="false">IF(C3896&lt;Pressupostos!$C$120,0,MAX(Pressupostos!$C$300,Pressupostos!$C$118*(C3990+C3991)+Pressupostos!$C$119*C3992))</f>
        <v>0</v>
      </c>
      <c r="D4084" s="61" t="n">
        <f aca="false">IF(D3896&lt;Pressupostos!$C$120,0,MAX(Pressupostos!$D$300,Pressupostos!$C$118*(D3990+D3991)+Pressupostos!$C$119*D3992))</f>
        <v>7068.78</v>
      </c>
      <c r="E4084" s="61" t="n">
        <f aca="false">IF(E3896&lt;Pressupostos!$C$120,0,MAX(Pressupostos!$E$300,Pressupostos!$C$118*(E3990+E3991)+Pressupostos!$C$119*E3992))</f>
        <v>15181.02</v>
      </c>
      <c r="F4084" s="61" t="n">
        <f aca="false">IF(F3896&lt;Pressupostos!$C$120,0,MAX(Pressupostos!$F$300,Pressupostos!$C$118*(F3990+F3991)+Pressupostos!$C$119*F3992))</f>
        <v>26014.98</v>
      </c>
      <c r="G4084" s="61" t="n">
        <f aca="false">IF(G3896&lt;Pressupostos!$C$120,0,MAX(Pressupostos!$G$300,Pressupostos!$C$118*(G3990+G3991)+Pressupostos!$C$119*G3992))</f>
        <v>39485.4</v>
      </c>
      <c r="H4084" s="2" t="s">
        <v>1358</v>
      </c>
    </row>
    <row r="4085" customFormat="false" ht="15" hidden="false" customHeight="false" outlineLevel="1" collapsed="false">
      <c r="A4085" s="56" t="s">
        <v>704</v>
      </c>
      <c r="B4085" s="57" t="s">
        <v>11</v>
      </c>
      <c r="C4085" s="62" t="n">
        <f aca="false">C4082+C4083+C4084</f>
        <v>319100</v>
      </c>
      <c r="D4085" s="62" t="n">
        <f aca="false">D4082+D4083+D4084</f>
        <v>322682.78</v>
      </c>
      <c r="E4085" s="62" t="n">
        <f aca="false">E4082+E4083+E4084</f>
        <v>421646.38</v>
      </c>
      <c r="F4085" s="62" t="n">
        <f aca="false">F4082+F4083+F4084</f>
        <v>475409.1624</v>
      </c>
      <c r="G4085" s="62" t="n">
        <f aca="false">G4082+G4083+G4084</f>
        <v>558195.154448</v>
      </c>
      <c r="H4085" s="2" t="s">
        <v>1359</v>
      </c>
    </row>
    <row r="4086" customFormat="false" ht="15" hidden="false" customHeight="false" outlineLevel="0" collapsed="false">
      <c r="A4086" s="3" t="s">
        <v>1360</v>
      </c>
      <c r="B4086" s="4"/>
      <c r="C4086" s="4"/>
      <c r="D4086" s="4"/>
      <c r="E4086" s="4"/>
      <c r="F4086" s="4"/>
      <c r="G4086" s="4"/>
      <c r="H4086" s="4"/>
    </row>
    <row r="4087" customFormat="false" ht="15" hidden="false" customHeight="false" outlineLevel="1" collapsed="false">
      <c r="A4087" s="7" t="s">
        <v>706</v>
      </c>
      <c r="B4087" s="8" t="s">
        <v>11</v>
      </c>
      <c r="C4087" s="61" t="n">
        <f aca="false">Pressupostos!$C$165*Pressupostos!$C$313</f>
        <v>18000</v>
      </c>
      <c r="D4087" s="61" t="n">
        <f aca="false">Pressupostos!$C$165*Pressupostos!$D$313</f>
        <v>12000</v>
      </c>
      <c r="E4087" s="61" t="n">
        <f aca="false">Pressupostos!$C$165*Pressupostos!$E$313</f>
        <v>12000</v>
      </c>
      <c r="F4087" s="61" t="n">
        <f aca="false">Pressupostos!$C$165*Pressupostos!$F$313</f>
        <v>12000</v>
      </c>
      <c r="G4087" s="61" t="n">
        <f aca="false">Pressupostos!$C$165*Pressupostos!$G$313</f>
        <v>12000</v>
      </c>
      <c r="H4087" s="2" t="s">
        <v>1361</v>
      </c>
    </row>
    <row r="4088" customFormat="false" ht="15" hidden="false" customHeight="false" outlineLevel="1" collapsed="false">
      <c r="A4088" s="7" t="s">
        <v>707</v>
      </c>
      <c r="B4088" s="8" t="s">
        <v>11</v>
      </c>
      <c r="C4088" s="53" t="n">
        <f aca="false">Pressupostos!$C$319</f>
        <v>60000</v>
      </c>
      <c r="D4088" s="53" t="n">
        <f aca="false">Pressupostos!$D$319</f>
        <v>15000</v>
      </c>
      <c r="E4088" s="53" t="n">
        <f aca="false">Pressupostos!$E$319</f>
        <v>15000</v>
      </c>
      <c r="F4088" s="53" t="n">
        <f aca="false">Pressupostos!$F$319</f>
        <v>10000</v>
      </c>
      <c r="G4088" s="53" t="n">
        <f aca="false">Pressupostos!$G$319</f>
        <v>10000</v>
      </c>
      <c r="H4088" s="2" t="s">
        <v>1362</v>
      </c>
    </row>
    <row r="4089" customFormat="false" ht="15" hidden="false" customHeight="false" outlineLevel="1" collapsed="false">
      <c r="A4089" s="7" t="s">
        <v>708</v>
      </c>
      <c r="B4089" s="8" t="s">
        <v>11</v>
      </c>
      <c r="C4089" s="53" t="n">
        <f aca="false">Pressupostos!$C$325</f>
        <v>0</v>
      </c>
      <c r="D4089" s="53" t="n">
        <f aca="false">Pressupostos!$D$325</f>
        <v>15000</v>
      </c>
      <c r="E4089" s="53" t="n">
        <f aca="false">Pressupostos!$E$325</f>
        <v>15000</v>
      </c>
      <c r="F4089" s="53" t="n">
        <f aca="false">Pressupostos!$F$325</f>
        <v>10000</v>
      </c>
      <c r="G4089" s="53" t="n">
        <f aca="false">Pressupostos!$G$325</f>
        <v>10000</v>
      </c>
      <c r="H4089" s="2" t="s">
        <v>1363</v>
      </c>
    </row>
    <row r="4090" customFormat="false" ht="15" hidden="false" customHeight="false" outlineLevel="1" collapsed="false">
      <c r="A4090" s="7" t="s">
        <v>709</v>
      </c>
      <c r="B4090" s="8" t="s">
        <v>11</v>
      </c>
      <c r="C4090" s="61" t="n">
        <f aca="false">Pressupostos!$C$166*MAX(0,C4052)</f>
        <v>14000</v>
      </c>
      <c r="D4090" s="61" t="n">
        <f aca="false">Pressupostos!$C$166*MAX(0,D4052-C4052)</f>
        <v>2000</v>
      </c>
      <c r="E4090" s="61" t="n">
        <f aca="false">Pressupostos!$C$166*MAX(0,E4052-D4052)</f>
        <v>6000</v>
      </c>
      <c r="F4090" s="61" t="n">
        <f aca="false">Pressupostos!$C$166*MAX(0,F4052-E4052)</f>
        <v>6000</v>
      </c>
      <c r="G4090" s="61" t="n">
        <f aca="false">Pressupostos!$C$166*MAX(0,G4052-F4052)</f>
        <v>6000</v>
      </c>
      <c r="H4090" s="2" t="s">
        <v>1364</v>
      </c>
    </row>
    <row r="4091" customFormat="false" ht="15" hidden="false" customHeight="false" outlineLevel="1" collapsed="false">
      <c r="A4091" s="7" t="s">
        <v>424</v>
      </c>
      <c r="B4091" s="8" t="s">
        <v>11</v>
      </c>
      <c r="C4091" s="61" t="n">
        <f aca="false">C4087+C4088+C4089+C4090</f>
        <v>92000</v>
      </c>
      <c r="D4091" s="61" t="n">
        <f aca="false">D4087+D4088+D4089+D4090</f>
        <v>44000</v>
      </c>
      <c r="E4091" s="61" t="n">
        <f aca="false">E4087+E4088+E4089+E4090</f>
        <v>48000</v>
      </c>
      <c r="F4091" s="61" t="n">
        <f aca="false">F4087+F4088+F4089+F4090</f>
        <v>38000</v>
      </c>
      <c r="G4091" s="61" t="n">
        <f aca="false">G4087+G4088+G4089+G4090</f>
        <v>38000</v>
      </c>
      <c r="H4091" s="2" t="s">
        <v>1365</v>
      </c>
    </row>
    <row r="4092" customFormat="false" ht="15" hidden="false" customHeight="false" outlineLevel="1" collapsed="false">
      <c r="A4092" s="7" t="s">
        <v>710</v>
      </c>
      <c r="B4092" s="8" t="s">
        <v>11</v>
      </c>
      <c r="C4092" s="61" t="n">
        <f aca="false">(C4088*((0)&lt;Pressupostos!$C$167))/Pressupostos!$C$167</f>
        <v>20000</v>
      </c>
      <c r="D4092" s="61" t="n">
        <f aca="false">(C4088*((1)&lt;Pressupostos!$C$167)+D4088*((0)&lt;Pressupostos!$C$167))/Pressupostos!$C$167</f>
        <v>25000</v>
      </c>
      <c r="E4092" s="61" t="n">
        <f aca="false">(C4088*((2)&lt;Pressupostos!$C$167)+D4088*((1)&lt;Pressupostos!$C$167)+E4088*((0)&lt;Pressupostos!$C$167))/Pressupostos!$C$167</f>
        <v>30000</v>
      </c>
      <c r="F4092" s="61" t="n">
        <f aca="false">(C4088*((3)&lt;Pressupostos!$C$167)+D4088*((2)&lt;Pressupostos!$C$167)+E4088*((1)&lt;Pressupostos!$C$167)+F4088*((0)&lt;Pressupostos!$C$167))/Pressupostos!$C$167</f>
        <v>13333.3333333333</v>
      </c>
      <c r="G4092" s="61" t="n">
        <f aca="false">(C4088*((4)&lt;Pressupostos!$C$167)+D4088*((3)&lt;Pressupostos!$C$167)+E4088*((2)&lt;Pressupostos!$C$167)+F4088*((1)&lt;Pressupostos!$C$167)+G4088*((0)&lt;Pressupostos!$C$167))/Pressupostos!$C$167</f>
        <v>11666.6666666667</v>
      </c>
      <c r="H4092" s="2" t="s">
        <v>1366</v>
      </c>
    </row>
    <row r="4093" customFormat="false" ht="15" hidden="false" customHeight="false" outlineLevel="1" collapsed="false">
      <c r="A4093" s="7" t="s">
        <v>711</v>
      </c>
      <c r="B4093" s="8" t="s">
        <v>11</v>
      </c>
      <c r="C4093" s="61" t="n">
        <f aca="false">(C4089*((0)&lt;Pressupostos!$C$167))/Pressupostos!$C$167</f>
        <v>0</v>
      </c>
      <c r="D4093" s="61" t="n">
        <f aca="false">(C4089*((1)&lt;Pressupostos!$C$167)+D4089*((0)&lt;Pressupostos!$C$167))/Pressupostos!$C$167</f>
        <v>5000</v>
      </c>
      <c r="E4093" s="61" t="n">
        <f aca="false">(C4089*((2)&lt;Pressupostos!$C$167)+D4089*((1)&lt;Pressupostos!$C$167)+E4089*((0)&lt;Pressupostos!$C$167))/Pressupostos!$C$167</f>
        <v>10000</v>
      </c>
      <c r="F4093" s="61" t="n">
        <f aca="false">(C4089*((3)&lt;Pressupostos!$C$167)+D4089*((2)&lt;Pressupostos!$C$167)+E4089*((1)&lt;Pressupostos!$C$167)+F4089*((0)&lt;Pressupostos!$C$167))/Pressupostos!$C$167</f>
        <v>13333.3333333333</v>
      </c>
      <c r="G4093" s="61" t="n">
        <f aca="false">(C4089*((4)&lt;Pressupostos!$C$167)+D4089*((3)&lt;Pressupostos!$C$167)+E4089*((2)&lt;Pressupostos!$C$167)+F4089*((1)&lt;Pressupostos!$C$167)+G4089*((0)&lt;Pressupostos!$C$167))/Pressupostos!$C$167</f>
        <v>11666.6666666667</v>
      </c>
      <c r="H4093" s="2" t="s">
        <v>1367</v>
      </c>
    </row>
    <row r="4094" customFormat="false" ht="15" hidden="false" customHeight="false" outlineLevel="1" collapsed="false">
      <c r="A4094" s="7" t="s">
        <v>712</v>
      </c>
      <c r="B4094" s="8" t="s">
        <v>11</v>
      </c>
      <c r="C4094" s="61" t="n">
        <f aca="false">(C4087*((0)&lt;Pressupostos!$C$169))/Pressupostos!$C$169</f>
        <v>3600</v>
      </c>
      <c r="D4094" s="61" t="n">
        <f aca="false">(C4087*((1)&lt;Pressupostos!$C$169)+D4087*((0)&lt;Pressupostos!$C$169))/Pressupostos!$C$169</f>
        <v>6000</v>
      </c>
      <c r="E4094" s="61" t="n">
        <f aca="false">(C4087*((2)&lt;Pressupostos!$C$169)+D4087*((1)&lt;Pressupostos!$C$169)+E4087*((0)&lt;Pressupostos!$C$169))/Pressupostos!$C$169</f>
        <v>8400</v>
      </c>
      <c r="F4094" s="61" t="n">
        <f aca="false">(C4087*((3)&lt;Pressupostos!$C$169)+D4087*((2)&lt;Pressupostos!$C$169)+E4087*((1)&lt;Pressupostos!$C$169)+F4087*((0)&lt;Pressupostos!$C$169))/Pressupostos!$C$169</f>
        <v>10800</v>
      </c>
      <c r="G4094" s="61" t="n">
        <f aca="false">(C4087*((4)&lt;Pressupostos!$C$169)+D4087*((3)&lt;Pressupostos!$C$169)+E4087*((2)&lt;Pressupostos!$C$169)+F4087*((1)&lt;Pressupostos!$C$169)+G4087*((0)&lt;Pressupostos!$C$169))/Pressupostos!$C$169</f>
        <v>13200</v>
      </c>
      <c r="H4094" s="2" t="s">
        <v>1368</v>
      </c>
    </row>
    <row r="4095" customFormat="false" ht="15" hidden="false" customHeight="false" outlineLevel="1" collapsed="false">
      <c r="A4095" s="7" t="s">
        <v>713</v>
      </c>
      <c r="B4095" s="8" t="s">
        <v>11</v>
      </c>
      <c r="C4095" s="61" t="n">
        <f aca="false">(C4090*((0)&lt;Pressupostos!$C$168))/Pressupostos!$C$168</f>
        <v>3500</v>
      </c>
      <c r="D4095" s="61" t="n">
        <f aca="false">(C4090*((1)&lt;Pressupostos!$C$168)+D4090*((0)&lt;Pressupostos!$C$168))/Pressupostos!$C$168</f>
        <v>4000</v>
      </c>
      <c r="E4095" s="61" t="n">
        <f aca="false">(C4090*((2)&lt;Pressupostos!$C$168)+D4090*((1)&lt;Pressupostos!$C$168)+E4090*((0)&lt;Pressupostos!$C$168))/Pressupostos!$C$168</f>
        <v>5500</v>
      </c>
      <c r="F4095" s="61" t="n">
        <f aca="false">(C4090*((3)&lt;Pressupostos!$C$168)+D4090*((2)&lt;Pressupostos!$C$168)+E4090*((1)&lt;Pressupostos!$C$168)+F4090*((0)&lt;Pressupostos!$C$168))/Pressupostos!$C$168</f>
        <v>7000</v>
      </c>
      <c r="G4095" s="61" t="n">
        <f aca="false">(C4090*((4)&lt;Pressupostos!$C$168)+D4090*((3)&lt;Pressupostos!$C$168)+E4090*((2)&lt;Pressupostos!$C$168)+F4090*((1)&lt;Pressupostos!$C$168)+G4090*((0)&lt;Pressupostos!$C$168))/Pressupostos!$C$168</f>
        <v>5000</v>
      </c>
      <c r="H4095" s="2" t="s">
        <v>1369</v>
      </c>
    </row>
    <row r="4096" customFormat="false" ht="15" hidden="false" customHeight="false" outlineLevel="1" collapsed="false">
      <c r="A4096" s="7" t="s">
        <v>714</v>
      </c>
      <c r="B4096" s="8" t="s">
        <v>11</v>
      </c>
      <c r="C4096" s="61" t="n">
        <f aca="false">C4092+C4093+C4094+C4095</f>
        <v>27100</v>
      </c>
      <c r="D4096" s="61" t="n">
        <f aca="false">D4092+D4093+D4094+D4095</f>
        <v>40000</v>
      </c>
      <c r="E4096" s="61" t="n">
        <f aca="false">E4092+E4093+E4094+E4095</f>
        <v>53900</v>
      </c>
      <c r="F4096" s="61" t="n">
        <f aca="false">F4092+F4093+F4094+F4095</f>
        <v>44466.6666666667</v>
      </c>
      <c r="G4096" s="61" t="n">
        <f aca="false">G4092+G4093+G4094+G4095</f>
        <v>41533.3333333333</v>
      </c>
      <c r="H4096" s="2" t="s">
        <v>1370</v>
      </c>
    </row>
    <row r="4097" customFormat="false" ht="15" hidden="false" customHeight="false" outlineLevel="0" collapsed="false">
      <c r="A4097" s="3" t="s">
        <v>1371</v>
      </c>
      <c r="B4097" s="4"/>
      <c r="C4097" s="4"/>
      <c r="D4097" s="4"/>
      <c r="E4097" s="4"/>
      <c r="F4097" s="4"/>
      <c r="G4097" s="4"/>
      <c r="H4097" s="4"/>
    </row>
    <row r="4098" customFormat="false" ht="15" hidden="false" customHeight="false" outlineLevel="1" collapsed="false">
      <c r="A4098" s="56" t="s">
        <v>718</v>
      </c>
      <c r="B4098" s="57" t="s">
        <v>11</v>
      </c>
      <c r="C4098" s="62" t="n">
        <f aca="false">C4000</f>
        <v>267690</v>
      </c>
      <c r="D4098" s="62" t="n">
        <f aca="false">D4000</f>
        <v>1780435</v>
      </c>
      <c r="E4098" s="62" t="n">
        <f aca="false">E4000</f>
        <v>4066155</v>
      </c>
      <c r="F4098" s="62" t="n">
        <f aca="false">F4000</f>
        <v>7052305</v>
      </c>
      <c r="G4098" s="62" t="n">
        <f aca="false">G4000</f>
        <v>10796070</v>
      </c>
      <c r="H4098" s="2" t="s">
        <v>1372</v>
      </c>
    </row>
    <row r="4099" customFormat="false" ht="15" hidden="false" customHeight="false" outlineLevel="1" collapsed="false">
      <c r="A4099" s="7" t="s">
        <v>688</v>
      </c>
      <c r="B4099" s="8" t="s">
        <v>11</v>
      </c>
      <c r="C4099" s="61" t="n">
        <f aca="false">-C4023</f>
        <v>-243800</v>
      </c>
      <c r="D4099" s="61" t="n">
        <f aca="false">-D4023</f>
        <v>-1623700</v>
      </c>
      <c r="E4099" s="61" t="n">
        <f aca="false">-E4023</f>
        <v>-3665800</v>
      </c>
      <c r="F4099" s="61" t="n">
        <f aca="false">-F4023</f>
        <v>-6319200</v>
      </c>
      <c r="G4099" s="61" t="n">
        <f aca="false">-G4023</f>
        <v>-9651000</v>
      </c>
      <c r="H4099" s="2" t="s">
        <v>1373</v>
      </c>
    </row>
    <row r="4100" customFormat="false" ht="15" hidden="false" customHeight="false" outlineLevel="1" collapsed="false">
      <c r="A4100" s="56" t="s">
        <v>719</v>
      </c>
      <c r="B4100" s="57" t="s">
        <v>11</v>
      </c>
      <c r="C4100" s="62" t="n">
        <f aca="false">C4098+C4099</f>
        <v>23890</v>
      </c>
      <c r="D4100" s="62" t="n">
        <f aca="false">D4098+D4099</f>
        <v>156735</v>
      </c>
      <c r="E4100" s="62" t="n">
        <f aca="false">E4098+E4099</f>
        <v>400355</v>
      </c>
      <c r="F4100" s="62" t="n">
        <f aca="false">F4098+F4099</f>
        <v>733105</v>
      </c>
      <c r="G4100" s="62" t="n">
        <f aca="false">G4098+G4099</f>
        <v>1145070</v>
      </c>
      <c r="H4100" s="2" t="s">
        <v>1374</v>
      </c>
    </row>
    <row r="4101" customFormat="false" ht="15" hidden="false" customHeight="false" outlineLevel="1" collapsed="false">
      <c r="A4101" s="2" t="s">
        <v>720</v>
      </c>
      <c r="B4101" s="8" t="s">
        <v>76</v>
      </c>
      <c r="C4101" s="59" t="n">
        <f aca="false">IF(C4098&gt;0,C4100/C4098,0)</f>
        <v>0.0892450222272031</v>
      </c>
      <c r="D4101" s="59" t="n">
        <f aca="false">IF(D4098&gt;0,D4100/D4098,0)</f>
        <v>0.0880318573831675</v>
      </c>
      <c r="E4101" s="59" t="n">
        <f aca="false">IF(E4098&gt;0,E4100/E4098,0)</f>
        <v>0.0984603390672514</v>
      </c>
      <c r="F4101" s="59" t="n">
        <f aca="false">IF(F4098&gt;0,F4100/F4098,0)</f>
        <v>0.103952537503696</v>
      </c>
      <c r="G4101" s="59" t="n">
        <f aca="false">IF(G4098&gt;0,G4100/G4098,0)</f>
        <v>0.106063595363869</v>
      </c>
      <c r="H4101" s="2" t="s">
        <v>1375</v>
      </c>
    </row>
    <row r="4102" customFormat="false" ht="15" hidden="false" customHeight="false" outlineLevel="1" collapsed="false">
      <c r="A4102" s="7" t="s">
        <v>721</v>
      </c>
      <c r="B4102" s="8" t="s">
        <v>11</v>
      </c>
      <c r="C4102" s="61" t="n">
        <f aca="false">-C4034</f>
        <v>-15341.8580821918</v>
      </c>
      <c r="D4102" s="61" t="n">
        <f aca="false">-D4034</f>
        <v>-104130.783209393</v>
      </c>
      <c r="E4102" s="61" t="n">
        <f aca="false">-E4034</f>
        <v>-242146.261409002</v>
      </c>
      <c r="F4102" s="61" t="n">
        <f aca="false">-F4034</f>
        <v>-433558.333502936</v>
      </c>
      <c r="G4102" s="61" t="n">
        <f aca="false">-G4034</f>
        <v>-668872.547162427</v>
      </c>
      <c r="H4102" s="2" t="s">
        <v>1376</v>
      </c>
    </row>
    <row r="4103" customFormat="false" ht="15" hidden="false" customHeight="false" outlineLevel="1" collapsed="false">
      <c r="A4103" s="7" t="s">
        <v>698</v>
      </c>
      <c r="B4103" s="8" t="s">
        <v>11</v>
      </c>
      <c r="C4103" s="61" t="n">
        <f aca="false">-C4037</f>
        <v>-0</v>
      </c>
      <c r="D4103" s="61" t="n">
        <f aca="false">-D4037</f>
        <v>-34975.5410958904</v>
      </c>
      <c r="E4103" s="61" t="n">
        <f aca="false">-E4037</f>
        <v>-62033.7020547945</v>
      </c>
      <c r="F4103" s="61" t="n">
        <f aca="false">-F4037</f>
        <v>-107224.859589041</v>
      </c>
      <c r="G4103" s="61" t="n">
        <f aca="false">-G4037</f>
        <v>-163776.267123288</v>
      </c>
      <c r="H4103" s="2" t="s">
        <v>1377</v>
      </c>
    </row>
    <row r="4104" customFormat="false" ht="15" hidden="false" customHeight="false" outlineLevel="1" collapsed="false">
      <c r="A4104" s="56" t="s">
        <v>677</v>
      </c>
      <c r="B4104" s="57" t="s">
        <v>11</v>
      </c>
      <c r="C4104" s="62" t="n">
        <f aca="false">C4100+C4102+C4103</f>
        <v>8548.14191780822</v>
      </c>
      <c r="D4104" s="62" t="n">
        <f aca="false">D4100+D4102+D4103</f>
        <v>17628.675694716</v>
      </c>
      <c r="E4104" s="62" t="n">
        <f aca="false">E4100+E4102+E4103</f>
        <v>96175.0365362031</v>
      </c>
      <c r="F4104" s="62" t="n">
        <f aca="false">F4100+F4102+F4103</f>
        <v>192321.806908023</v>
      </c>
      <c r="G4104" s="62" t="n">
        <f aca="false">G4100+G4102+G4103</f>
        <v>312421.185714286</v>
      </c>
      <c r="H4104" s="2" t="s">
        <v>1378</v>
      </c>
    </row>
    <row r="4105" customFormat="false" ht="15" hidden="false" customHeight="false" outlineLevel="1" collapsed="false">
      <c r="A4105" s="7" t="s">
        <v>261</v>
      </c>
      <c r="B4105" s="8" t="s">
        <v>11</v>
      </c>
      <c r="C4105" s="61" t="n">
        <f aca="false">-C4069</f>
        <v>-400885.59375</v>
      </c>
      <c r="D4105" s="61" t="n">
        <f aca="false">-D4069</f>
        <v>-508017.8875</v>
      </c>
      <c r="E4105" s="61" t="n">
        <f aca="false">-E4069</f>
        <v>-667701.28525</v>
      </c>
      <c r="F4105" s="61" t="n">
        <f aca="false">-F4069</f>
        <v>-855745.92960125</v>
      </c>
      <c r="G4105" s="61" t="n">
        <f aca="false">-G4069</f>
        <v>-1042442.03916396</v>
      </c>
      <c r="H4105" s="2" t="s">
        <v>1379</v>
      </c>
    </row>
    <row r="4106" customFormat="false" ht="15" hidden="false" customHeight="false" outlineLevel="1" collapsed="false">
      <c r="A4106" s="7" t="s">
        <v>722</v>
      </c>
      <c r="B4106" s="8" t="s">
        <v>11</v>
      </c>
      <c r="C4106" s="61" t="n">
        <f aca="false">-C4085</f>
        <v>-319100</v>
      </c>
      <c r="D4106" s="61" t="n">
        <f aca="false">-D4085</f>
        <v>-322682.78</v>
      </c>
      <c r="E4106" s="61" t="n">
        <f aca="false">-E4085</f>
        <v>-421646.38</v>
      </c>
      <c r="F4106" s="61" t="n">
        <f aca="false">-F4085</f>
        <v>-475409.1624</v>
      </c>
      <c r="G4106" s="61" t="n">
        <f aca="false">-G4085</f>
        <v>-558195.154448</v>
      </c>
      <c r="H4106" s="2" t="s">
        <v>1380</v>
      </c>
    </row>
    <row r="4107" customFormat="false" ht="15" hidden="false" customHeight="false" outlineLevel="1" collapsed="false">
      <c r="A4107" s="56" t="s">
        <v>723</v>
      </c>
      <c r="B4107" s="57" t="s">
        <v>11</v>
      </c>
      <c r="C4107" s="62" t="n">
        <f aca="false">C4104+C4105+C4106</f>
        <v>-711437.451832192</v>
      </c>
      <c r="D4107" s="62" t="n">
        <f aca="false">D4104+D4105+D4106</f>
        <v>-813071.991805284</v>
      </c>
      <c r="E4107" s="62" t="n">
        <f aca="false">E4104+E4105+E4106</f>
        <v>-993172.628713797</v>
      </c>
      <c r="F4107" s="62" t="n">
        <f aca="false">F4104+F4105+F4106</f>
        <v>-1138833.28509323</v>
      </c>
      <c r="G4107" s="62" t="n">
        <f aca="false">G4104+G4105+G4106</f>
        <v>-1288216.00789768</v>
      </c>
      <c r="H4107" s="2" t="s">
        <v>1381</v>
      </c>
    </row>
    <row r="4108" customFormat="false" ht="15" hidden="false" customHeight="false" outlineLevel="1" collapsed="false">
      <c r="A4108" s="2" t="s">
        <v>725</v>
      </c>
      <c r="B4108" s="8" t="s">
        <v>76</v>
      </c>
      <c r="C4108" s="59" t="n">
        <f aca="false">IF(C4098&gt;0,C4107/C4098,0)</f>
        <v>-2.65769155303594</v>
      </c>
      <c r="D4108" s="59" t="n">
        <f aca="false">IF(D4098&gt;0,D4107/D4098,0)</f>
        <v>-0.456670415828314</v>
      </c>
      <c r="E4108" s="59" t="n">
        <f aca="false">IF(E4098&gt;0,E4107/E4098,0)</f>
        <v>-0.244253509449049</v>
      </c>
      <c r="F4108" s="59" t="n">
        <f aca="false">IF(F4098&gt;0,F4107/F4098,0)</f>
        <v>-0.161483838985016</v>
      </c>
      <c r="G4108" s="59" t="n">
        <f aca="false">IF(G4098&gt;0,G4107/G4098,0)</f>
        <v>-0.119322680188039</v>
      </c>
      <c r="H4108" s="2" t="s">
        <v>1382</v>
      </c>
    </row>
    <row r="4109" customFormat="false" ht="15" hidden="false" customHeight="false" outlineLevel="1" collapsed="false">
      <c r="A4109" s="2" t="s">
        <v>726</v>
      </c>
      <c r="B4109" s="8" t="s">
        <v>11</v>
      </c>
      <c r="C4109" s="61" t="n">
        <f aca="false">C4107+C4037</f>
        <v>-711437.451832192</v>
      </c>
      <c r="D4109" s="61" t="n">
        <f aca="false">D4107+D4037</f>
        <v>-778096.450709394</v>
      </c>
      <c r="E4109" s="61" t="n">
        <f aca="false">E4107+E4037</f>
        <v>-931138.926659002</v>
      </c>
      <c r="F4109" s="61" t="n">
        <f aca="false">F4107+F4037</f>
        <v>-1031608.42550419</v>
      </c>
      <c r="G4109" s="61" t="n">
        <f aca="false">G4107+G4037</f>
        <v>-1124439.74077439</v>
      </c>
      <c r="H4109" s="2" t="s">
        <v>1383</v>
      </c>
    </row>
    <row r="4110" customFormat="false" ht="15" hidden="false" customHeight="false" outlineLevel="1" collapsed="false">
      <c r="A4110" s="7" t="s">
        <v>714</v>
      </c>
      <c r="B4110" s="8" t="s">
        <v>11</v>
      </c>
      <c r="C4110" s="61" t="n">
        <f aca="false">-C4096</f>
        <v>-27100</v>
      </c>
      <c r="D4110" s="61" t="n">
        <f aca="false">-D4096</f>
        <v>-40000</v>
      </c>
      <c r="E4110" s="61" t="n">
        <f aca="false">-E4096</f>
        <v>-53900</v>
      </c>
      <c r="F4110" s="61" t="n">
        <f aca="false">-F4096</f>
        <v>-44466.6666666667</v>
      </c>
      <c r="G4110" s="61" t="n">
        <f aca="false">-G4096</f>
        <v>-41533.3333333333</v>
      </c>
      <c r="H4110" s="2" t="s">
        <v>1384</v>
      </c>
    </row>
    <row r="4111" customFormat="false" ht="15" hidden="false" customHeight="false" outlineLevel="1" collapsed="false">
      <c r="A4111" s="56" t="s">
        <v>727</v>
      </c>
      <c r="B4111" s="57" t="s">
        <v>11</v>
      </c>
      <c r="C4111" s="62" t="n">
        <f aca="false">C4107+C4110</f>
        <v>-738537.451832192</v>
      </c>
      <c r="D4111" s="62" t="n">
        <f aca="false">D4107+D4110</f>
        <v>-853071.991805284</v>
      </c>
      <c r="E4111" s="62" t="n">
        <f aca="false">E4107+E4110</f>
        <v>-1047072.6287138</v>
      </c>
      <c r="F4111" s="62" t="n">
        <f aca="false">F4107+F4110</f>
        <v>-1183299.95175989</v>
      </c>
      <c r="G4111" s="62" t="n">
        <f aca="false">G4107+G4110</f>
        <v>-1329749.34123101</v>
      </c>
      <c r="H4111" s="2" t="s">
        <v>1385</v>
      </c>
    </row>
    <row r="4112" customFormat="false" ht="15" hidden="false" customHeight="false" outlineLevel="0" collapsed="false">
      <c r="A4112" s="3" t="s">
        <v>1386</v>
      </c>
      <c r="B4112" s="4"/>
      <c r="C4112" s="4"/>
      <c r="D4112" s="4"/>
      <c r="E4112" s="4"/>
      <c r="F4112" s="4"/>
      <c r="G4112" s="4"/>
      <c r="H4112" s="4"/>
    </row>
    <row r="4113" customFormat="false" ht="15" hidden="false" customHeight="false" outlineLevel="1" collapsed="false">
      <c r="A4113" s="7" t="s">
        <v>729</v>
      </c>
      <c r="B4113" s="8" t="s">
        <v>11</v>
      </c>
      <c r="C4113" s="61" t="n">
        <f aca="false">C4111</f>
        <v>-738537.451832192</v>
      </c>
      <c r="D4113" s="61" t="n">
        <f aca="false">D4111</f>
        <v>-853071.991805284</v>
      </c>
      <c r="E4113" s="61" t="n">
        <f aca="false">E4111</f>
        <v>-1047072.6287138</v>
      </c>
      <c r="F4113" s="61" t="n">
        <f aca="false">F4111</f>
        <v>-1183299.95175989</v>
      </c>
      <c r="G4113" s="61" t="n">
        <f aca="false">G4111</f>
        <v>-1329749.34123101</v>
      </c>
      <c r="H4113" s="2" t="s">
        <v>1387</v>
      </c>
    </row>
    <row r="4114" customFormat="false" ht="15" hidden="false" customHeight="false" outlineLevel="1" collapsed="false">
      <c r="A4114" s="7" t="s">
        <v>730</v>
      </c>
      <c r="B4114" s="8" t="s">
        <v>11</v>
      </c>
      <c r="C4114" s="61" t="n">
        <f aca="false">0</f>
        <v>0</v>
      </c>
      <c r="D4114" s="61" t="n">
        <f aca="false">C4117</f>
        <v>738537.451832192</v>
      </c>
      <c r="E4114" s="61" t="n">
        <f aca="false">D4117</f>
        <v>1591609.44363748</v>
      </c>
      <c r="F4114" s="61" t="n">
        <f aca="false">E4117</f>
        <v>2638682.07235127</v>
      </c>
      <c r="G4114" s="61" t="n">
        <f aca="false">F4117</f>
        <v>3821982.02411117</v>
      </c>
      <c r="H4114" s="2" t="s">
        <v>1388</v>
      </c>
    </row>
    <row r="4115" customFormat="false" ht="15" hidden="false" customHeight="false" outlineLevel="1" collapsed="false">
      <c r="A4115" s="7" t="s">
        <v>731</v>
      </c>
      <c r="B4115" s="8" t="s">
        <v>11</v>
      </c>
      <c r="C4115" s="61" t="n">
        <f aca="false">MAX(0,-C4113)</f>
        <v>738537.451832192</v>
      </c>
      <c r="D4115" s="61" t="n">
        <f aca="false">MAX(0,-D4113)</f>
        <v>853071.991805284</v>
      </c>
      <c r="E4115" s="61" t="n">
        <f aca="false">MAX(0,-E4113)</f>
        <v>1047072.6287138</v>
      </c>
      <c r="F4115" s="61" t="n">
        <f aca="false">MAX(0,-F4113)</f>
        <v>1183299.95175989</v>
      </c>
      <c r="G4115" s="61" t="n">
        <f aca="false">MAX(0,-G4113)</f>
        <v>1329749.34123101</v>
      </c>
      <c r="H4115" s="2" t="s">
        <v>1389</v>
      </c>
    </row>
    <row r="4116" customFormat="false" ht="15" hidden="false" customHeight="false" outlineLevel="1" collapsed="false">
      <c r="A4116" s="7" t="s">
        <v>732</v>
      </c>
      <c r="B4116" s="8" t="s">
        <v>11</v>
      </c>
      <c r="C4116" s="61" t="n">
        <f aca="false">MIN(C4114,Pressupostos!$C$181*MAX(0,C4113))</f>
        <v>0</v>
      </c>
      <c r="D4116" s="61" t="n">
        <f aca="false">MIN(D4114,Pressupostos!$C$181*MAX(0,D4113))</f>
        <v>0</v>
      </c>
      <c r="E4116" s="61" t="n">
        <f aca="false">MIN(E4114,Pressupostos!$C$181*MAX(0,E4113))</f>
        <v>0</v>
      </c>
      <c r="F4116" s="61" t="n">
        <f aca="false">MIN(F4114,Pressupostos!$C$181*MAX(0,F4113))</f>
        <v>0</v>
      </c>
      <c r="G4116" s="61" t="n">
        <f aca="false">MIN(G4114,Pressupostos!$C$181*MAX(0,G4113))</f>
        <v>0</v>
      </c>
      <c r="H4116" s="2" t="s">
        <v>1390</v>
      </c>
    </row>
    <row r="4117" customFormat="false" ht="15" hidden="false" customHeight="false" outlineLevel="1" collapsed="false">
      <c r="A4117" s="7" t="s">
        <v>733</v>
      </c>
      <c r="B4117" s="8" t="s">
        <v>11</v>
      </c>
      <c r="C4117" s="61" t="n">
        <f aca="false">C4114+C4115-C4116</f>
        <v>738537.451832192</v>
      </c>
      <c r="D4117" s="61" t="n">
        <f aca="false">D4114+D4115-D4116</f>
        <v>1591609.44363748</v>
      </c>
      <c r="E4117" s="61" t="n">
        <f aca="false">E4114+E4115-E4116</f>
        <v>2638682.07235127</v>
      </c>
      <c r="F4117" s="61" t="n">
        <f aca="false">F4114+F4115-F4116</f>
        <v>3821982.02411117</v>
      </c>
      <c r="G4117" s="61" t="n">
        <f aca="false">G4114+G4115-G4116</f>
        <v>5151731.36534218</v>
      </c>
      <c r="H4117" s="2" t="s">
        <v>1391</v>
      </c>
    </row>
    <row r="4118" customFormat="false" ht="15" hidden="false" customHeight="false" outlineLevel="1" collapsed="false">
      <c r="A4118" s="7" t="s">
        <v>734</v>
      </c>
      <c r="B4118" s="8" t="s">
        <v>11</v>
      </c>
      <c r="C4118" s="61" t="n">
        <f aca="false">MAX(0,C4113)-C4116</f>
        <v>0</v>
      </c>
      <c r="D4118" s="61" t="n">
        <f aca="false">MAX(0,D4113)-D4116</f>
        <v>0</v>
      </c>
      <c r="E4118" s="61" t="n">
        <f aca="false">MAX(0,E4113)-E4116</f>
        <v>0</v>
      </c>
      <c r="F4118" s="61" t="n">
        <f aca="false">MAX(0,F4113)-F4116</f>
        <v>0</v>
      </c>
      <c r="G4118" s="61" t="n">
        <f aca="false">MAX(0,G4113)-G4116</f>
        <v>0</v>
      </c>
      <c r="H4118" s="2" t="s">
        <v>1392</v>
      </c>
    </row>
    <row r="4119" customFormat="false" ht="15" hidden="false" customHeight="false" outlineLevel="1" collapsed="false">
      <c r="A4119" s="7" t="s">
        <v>735</v>
      </c>
      <c r="B4119" s="8" t="s">
        <v>11</v>
      </c>
      <c r="C4119" s="61" t="n">
        <f aca="false">Pressupostos!$C$172*MIN(C4118,Pressupostos!$C$173)+Pressupostos!$C$467*MAX(0,C4118-Pressupostos!$C$173)</f>
        <v>0</v>
      </c>
      <c r="D4119" s="61" t="n">
        <f aca="false">Pressupostos!$C$172*MIN(D4118,Pressupostos!$C$173)+Pressupostos!$D$467*MAX(0,D4118-Pressupostos!$C$173)</f>
        <v>0</v>
      </c>
      <c r="E4119" s="61" t="n">
        <f aca="false">Pressupostos!$C$172*MIN(E4118,Pressupostos!$C$173)+Pressupostos!$E$467*MAX(0,E4118-Pressupostos!$C$173)</f>
        <v>0</v>
      </c>
      <c r="F4119" s="61" t="n">
        <f aca="false">Pressupostos!$C$172*MIN(F4118,Pressupostos!$C$173)+Pressupostos!$F$467*MAX(0,F4118-Pressupostos!$C$173)</f>
        <v>0</v>
      </c>
      <c r="G4119" s="61" t="n">
        <f aca="false">Pressupostos!$C$172*MIN(G4118,Pressupostos!$C$173)+Pressupostos!$G$467*MAX(0,G4118-Pressupostos!$C$173)</f>
        <v>0</v>
      </c>
      <c r="H4119" s="2" t="s">
        <v>1393</v>
      </c>
    </row>
    <row r="4120" customFormat="false" ht="15" hidden="false" customHeight="false" outlineLevel="1" collapsed="false">
      <c r="A4120" s="7" t="s">
        <v>736</v>
      </c>
      <c r="B4120" s="8" t="s">
        <v>11</v>
      </c>
      <c r="C4120" s="61" t="n">
        <f aca="false">Pressupostos!$C$174*MAX(0,C4113)</f>
        <v>0</v>
      </c>
      <c r="D4120" s="61" t="n">
        <f aca="false">Pressupostos!$C$174*MAX(0,D4113)</f>
        <v>0</v>
      </c>
      <c r="E4120" s="61" t="n">
        <f aca="false">Pressupostos!$C$174*MAX(0,E4113)</f>
        <v>0</v>
      </c>
      <c r="F4120" s="61" t="n">
        <f aca="false">Pressupostos!$C$174*MAX(0,F4113)</f>
        <v>0</v>
      </c>
      <c r="G4120" s="61" t="n">
        <f aca="false">Pressupostos!$C$174*MAX(0,G4113)</f>
        <v>0</v>
      </c>
      <c r="H4120" s="2" t="s">
        <v>1394</v>
      </c>
    </row>
    <row r="4121" customFormat="false" ht="15" hidden="false" customHeight="false" outlineLevel="1" collapsed="false">
      <c r="A4121" s="7" t="s">
        <v>737</v>
      </c>
      <c r="B4121" s="8" t="s">
        <v>11</v>
      </c>
      <c r="C4121" s="61" t="n">
        <f aca="false">Pressupostos!$C$176*MAX(0,MIN(C4113,Pressupostos!$C$177)-Pressupostos!$C$175)+Pressupostos!$C$178*MAX(0,MIN(C4113,Pressupostos!$C$179)-Pressupostos!$C$177)+Pressupostos!$C$180*MAX(0,C4113-Pressupostos!$C$179)</f>
        <v>0</v>
      </c>
      <c r="D4121" s="61" t="n">
        <f aca="false">Pressupostos!$C$176*MAX(0,MIN(D4113,Pressupostos!$C$177)-Pressupostos!$C$175)+Pressupostos!$C$178*MAX(0,MIN(D4113,Pressupostos!$C$179)-Pressupostos!$C$177)+Pressupostos!$C$180*MAX(0,D4113-Pressupostos!$C$179)</f>
        <v>0</v>
      </c>
      <c r="E4121" s="61" t="n">
        <f aca="false">Pressupostos!$C$176*MAX(0,MIN(E4113,Pressupostos!$C$177)-Pressupostos!$C$175)+Pressupostos!$C$178*MAX(0,MIN(E4113,Pressupostos!$C$179)-Pressupostos!$C$177)+Pressupostos!$C$180*MAX(0,E4113-Pressupostos!$C$179)</f>
        <v>0</v>
      </c>
      <c r="F4121" s="61" t="n">
        <f aca="false">Pressupostos!$C$176*MAX(0,MIN(F4113,Pressupostos!$C$177)-Pressupostos!$C$175)+Pressupostos!$C$178*MAX(0,MIN(F4113,Pressupostos!$C$179)-Pressupostos!$C$177)+Pressupostos!$C$180*MAX(0,F4113-Pressupostos!$C$179)</f>
        <v>0</v>
      </c>
      <c r="G4121" s="61" t="n">
        <f aca="false">Pressupostos!$C$176*MAX(0,MIN(G4113,Pressupostos!$C$177)-Pressupostos!$C$175)+Pressupostos!$C$178*MAX(0,MIN(G4113,Pressupostos!$C$179)-Pressupostos!$C$177)+Pressupostos!$C$180*MAX(0,G4113-Pressupostos!$C$179)</f>
        <v>0</v>
      </c>
      <c r="H4121" s="2" t="s">
        <v>1395</v>
      </c>
    </row>
    <row r="4122" customFormat="false" ht="15" hidden="false" customHeight="false" outlineLevel="1" collapsed="false">
      <c r="A4122" s="7" t="s">
        <v>738</v>
      </c>
      <c r="B4122" s="8" t="s">
        <v>11</v>
      </c>
      <c r="C4122" s="61" t="n">
        <f aca="false">C4119+C4120+C4121</f>
        <v>0</v>
      </c>
      <c r="D4122" s="61" t="n">
        <f aca="false">D4119+D4120+D4121</f>
        <v>0</v>
      </c>
      <c r="E4122" s="61" t="n">
        <f aca="false">E4119+E4120+E4121</f>
        <v>0</v>
      </c>
      <c r="F4122" s="61" t="n">
        <f aca="false">F4119+F4120+F4121</f>
        <v>0</v>
      </c>
      <c r="G4122" s="61" t="n">
        <f aca="false">G4119+G4120+G4121</f>
        <v>0</v>
      </c>
      <c r="H4122" s="2" t="s">
        <v>1396</v>
      </c>
    </row>
    <row r="4123" customFormat="false" ht="15" hidden="false" customHeight="false" outlineLevel="0" collapsed="false">
      <c r="A4123" s="3" t="s">
        <v>1397</v>
      </c>
      <c r="B4123" s="4"/>
      <c r="C4123" s="4"/>
      <c r="D4123" s="4"/>
      <c r="E4123" s="4"/>
      <c r="F4123" s="4"/>
      <c r="G4123" s="4"/>
      <c r="H4123" s="4"/>
    </row>
    <row r="4124" customFormat="false" ht="15" hidden="false" customHeight="false" outlineLevel="1" collapsed="false">
      <c r="A4124" s="7" t="s">
        <v>738</v>
      </c>
      <c r="B4124" s="8" t="s">
        <v>11</v>
      </c>
      <c r="C4124" s="61" t="n">
        <f aca="false">-C4122</f>
        <v>-0</v>
      </c>
      <c r="D4124" s="61" t="n">
        <f aca="false">-D4122</f>
        <v>-0</v>
      </c>
      <c r="E4124" s="61" t="n">
        <f aca="false">-E4122</f>
        <v>-0</v>
      </c>
      <c r="F4124" s="61" t="n">
        <f aca="false">-F4122</f>
        <v>-0</v>
      </c>
      <c r="G4124" s="61" t="n">
        <f aca="false">-G4122</f>
        <v>-0</v>
      </c>
      <c r="H4124" s="2" t="s">
        <v>1398</v>
      </c>
    </row>
    <row r="4125" customFormat="false" ht="15" hidden="false" customHeight="false" outlineLevel="1" collapsed="false">
      <c r="A4125" s="56" t="s">
        <v>740</v>
      </c>
      <c r="B4125" s="57" t="s">
        <v>11</v>
      </c>
      <c r="C4125" s="62" t="n">
        <f aca="false">C4111+C4124</f>
        <v>-738537.451832192</v>
      </c>
      <c r="D4125" s="62" t="n">
        <f aca="false">D4111+D4124</f>
        <v>-853071.991805284</v>
      </c>
      <c r="E4125" s="62" t="n">
        <f aca="false">E4111+E4124</f>
        <v>-1047072.6287138</v>
      </c>
      <c r="F4125" s="62" t="n">
        <f aca="false">F4111+F4124</f>
        <v>-1183299.95175989</v>
      </c>
      <c r="G4125" s="62" t="n">
        <f aca="false">G4111+G4124</f>
        <v>-1329749.34123101</v>
      </c>
      <c r="H4125" s="2" t="s">
        <v>1399</v>
      </c>
    </row>
    <row r="4126" customFormat="false" ht="15" hidden="false" customHeight="false" outlineLevel="0" collapsed="false">
      <c r="A4126" s="3" t="s">
        <v>1400</v>
      </c>
      <c r="B4126" s="4"/>
      <c r="C4126" s="4"/>
      <c r="D4126" s="4"/>
      <c r="E4126" s="4"/>
      <c r="F4126" s="4"/>
      <c r="G4126" s="4"/>
      <c r="H4126" s="4"/>
    </row>
    <row r="4127" customFormat="false" ht="15" hidden="false" customHeight="false" outlineLevel="1" collapsed="false">
      <c r="A4127" s="7" t="s">
        <v>744</v>
      </c>
      <c r="B4127" s="8" t="s">
        <v>11</v>
      </c>
      <c r="C4127" s="61" t="n">
        <f aca="false">C3899*1000*((C3917+C3920)*C3923/365)+C3900*1000*((C3940+C3943)*C3946/365)+C3902*1000*((C3963+C3966)*C3969/365)</f>
        <v>33682.1917808219</v>
      </c>
      <c r="D4127" s="61" t="n">
        <f aca="false">D3899*1000*((D3917+D3920)*D3923/365)+D3900*1000*((D3940+D3943)*D3946/365)+D3902*1000*((D3963+D3966)*D3969/365)</f>
        <v>196557.534246575</v>
      </c>
      <c r="E4127" s="61" t="n">
        <f aca="false">E3899*1000*((E3917+E3920)*E3923/365)+E3900*1000*((E3940+E3943)*E3946/365)+E3902*1000*((E3963+E3966)*E3969/365)</f>
        <v>306721.232876712</v>
      </c>
      <c r="F4127" s="61" t="n">
        <f aca="false">F3899*1000*((F3917+F3920)*F3923/365)+F3900*1000*((F3940+F3943)*F3946/365)+F3902*1000*((F3963+F3966)*F3969/365)</f>
        <v>530402.054794521</v>
      </c>
      <c r="G4127" s="61" t="n">
        <f aca="false">G3899*1000*((G3917+G3920)*G3923/365)+G3900*1000*((G3940+G3943)*G3946/365)+G3902*1000*((G3963+G3966)*G3969/365)</f>
        <v>805623.287671233</v>
      </c>
      <c r="H4127" s="2" t="s">
        <v>1401</v>
      </c>
    </row>
    <row r="4128" customFormat="false" ht="15" hidden="false" customHeight="false" outlineLevel="1" collapsed="false">
      <c r="A4128" s="7" t="s">
        <v>745</v>
      </c>
      <c r="B4128" s="8" t="s">
        <v>11</v>
      </c>
      <c r="C4128" s="61" t="n">
        <f aca="false">C4127+C3912*1000*Pressupostos!$C$92*Pressupostos!$C$95/365</f>
        <v>33682.1917808219</v>
      </c>
      <c r="D4128" s="61" t="n">
        <f aca="false">D4127+D3912*1000*Pressupostos!$C$92*Pressupostos!$C$95/365</f>
        <v>196557.534246575</v>
      </c>
      <c r="E4128" s="61" t="n">
        <f aca="false">E4127+E3912*1000*Pressupostos!$C$92*Pressupostos!$C$95/365</f>
        <v>332611.643835617</v>
      </c>
      <c r="F4128" s="61" t="n">
        <f aca="false">F4127+F3912*1000*Pressupostos!$C$92*Pressupostos!$C$95/365</f>
        <v>582182.876712329</v>
      </c>
      <c r="G4128" s="61" t="n">
        <f aca="false">G4127+G3912*1000*Pressupostos!$C$92*Pressupostos!$C$95/365</f>
        <v>891924.657534247</v>
      </c>
      <c r="H4128" s="2" t="s">
        <v>1402</v>
      </c>
    </row>
    <row r="4129" customFormat="false" ht="15" hidden="false" customHeight="false" outlineLevel="1" collapsed="false">
      <c r="A4129" s="7" t="s">
        <v>746</v>
      </c>
      <c r="B4129" s="8" t="s">
        <v>11</v>
      </c>
      <c r="C4129" s="61" t="n">
        <f aca="false">C3899*1000*(C3919*C3924/365)+C3900*1000*(C3942*C3947/365)+C3902*1000*(C3965*C3970/365)+C3994*Pressupostos!$C$96/365+(C3996+C3997)*Pressupostos!$C$82/365</f>
        <v>31855.0684931507</v>
      </c>
      <c r="D4129" s="61" t="n">
        <f aca="false">D3899*1000*(D3919*D3924/365)+D3900*1000*(D3942*D3947/365)+D3902*1000*(D3965*D3970/365)+D3994*Pressupostos!$C$96/365+(D3996+D3997)*Pressupostos!$C$82/365</f>
        <v>212985</v>
      </c>
      <c r="E4129" s="61" t="n">
        <f aca="false">E3899*1000*(E3919*E3924/365)+E3900*1000*(E3942*E3947/365)+E3902*1000*(E3965*E3970/365)+E3994*Pressupostos!$C$96/365+(E3996+E3997)*Pressupostos!$C$82/365</f>
        <v>469179.246575342</v>
      </c>
      <c r="F4129" s="61" t="n">
        <f aca="false">F3899*1000*(F3919*F3924/365)+F3900*1000*(F3942*F3947/365)+F3902*1000*(F3965*F3970/365)+F3994*Pressupostos!$C$96/365+(F3996+F3997)*Pressupostos!$C$82/365</f>
        <v>803968.150684931</v>
      </c>
      <c r="G4129" s="61" t="n">
        <f aca="false">G3899*1000*(G3919*G3924/365)+G3900*1000*(G3942*G3947/365)+G3902*1000*(G3965*G3970/365)+G3994*Pressupostos!$C$96/365+(G3996+G3997)*Pressupostos!$C$82/365</f>
        <v>1225216.02739726</v>
      </c>
      <c r="H4129" s="2" t="s">
        <v>1403</v>
      </c>
    </row>
    <row r="4130" customFormat="false" ht="15" hidden="false" customHeight="false" outlineLevel="1" collapsed="false">
      <c r="A4130" s="7" t="s">
        <v>747</v>
      </c>
      <c r="B4130" s="8" t="s">
        <v>11</v>
      </c>
      <c r="C4130" s="61" t="n">
        <f aca="false">C3899*1000*((C3917+C3920)*Pressupostos!$C$72/365)+C3900*1000*((C3940+C3943)*Pressupostos!$C$72/365)+C3902*1000*((C3963+C3966)*Pressupostos!$C$72/365)+C3912*1000*Pressupostos!$C$92*Pressupostos!$C$97/365</f>
        <v>20038.3561643836</v>
      </c>
      <c r="D4130" s="61" t="n">
        <f aca="false">D3899*1000*((D3917+D3920)*Pressupostos!$C$72/365)+D3900*1000*((D3940+D3943)*Pressupostos!$C$72/365)+D3902*1000*((D3963+D3966)*Pressupostos!$C$72/365)+D3912*1000*Pressupostos!$C$92*Pressupostos!$C$97/365</f>
        <v>133454.794520548</v>
      </c>
      <c r="E4130" s="61" t="n">
        <f aca="false">E3899*1000*((E3917+E3920)*Pressupostos!$C$72/365)+E3900*1000*((E3940+E3943)*Pressupostos!$C$72/365)+E3902*1000*((E3963+E3966)*Pressupostos!$C$72/365)+E3912*1000*Pressupostos!$C$92*Pressupostos!$C$97/365</f>
        <v>301298.630136986</v>
      </c>
      <c r="F4130" s="61" t="n">
        <f aca="false">F3899*1000*((F3917+F3920)*Pressupostos!$C$72/365)+F3900*1000*((F3940+F3943)*Pressupostos!$C$72/365)+F3902*1000*((F3963+F3966)*Pressupostos!$C$72/365)+F3912*1000*Pressupostos!$C$92*Pressupostos!$C$97/365</f>
        <v>519386.301369863</v>
      </c>
      <c r="G4130" s="61" t="n">
        <f aca="false">G3899*1000*((G3917+G3920)*Pressupostos!$C$72/365)+G3900*1000*((G3940+G3943)*Pressupostos!$C$72/365)+G3902*1000*((G3963+G3966)*Pressupostos!$C$72/365)+G3912*1000*Pressupostos!$C$92*Pressupostos!$C$97/365</f>
        <v>793232.876712329</v>
      </c>
      <c r="H4130" s="2" t="s">
        <v>1404</v>
      </c>
    </row>
    <row r="4131" customFormat="false" ht="15" hidden="false" customHeight="false" outlineLevel="1" collapsed="false">
      <c r="A4131" s="56" t="s">
        <v>748</v>
      </c>
      <c r="B4131" s="57" t="s">
        <v>11</v>
      </c>
      <c r="C4131" s="62" t="n">
        <f aca="false">C4128+C4129-C4130</f>
        <v>45498.904109589</v>
      </c>
      <c r="D4131" s="62" t="n">
        <f aca="false">D4128+D4129-D4130</f>
        <v>276087.739726027</v>
      </c>
      <c r="E4131" s="62" t="n">
        <f aca="false">E4128+E4129-E4130</f>
        <v>500492.260273972</v>
      </c>
      <c r="F4131" s="62" t="n">
        <f aca="false">F4128+F4129-F4130</f>
        <v>866764.726027397</v>
      </c>
      <c r="G4131" s="62" t="n">
        <f aca="false">G4128+G4129-G4130</f>
        <v>1323907.80821918</v>
      </c>
      <c r="H4131" s="2" t="s">
        <v>1405</v>
      </c>
    </row>
    <row r="4132" customFormat="false" ht="15" hidden="false" customHeight="false" outlineLevel="0" collapsed="false">
      <c r="A4132" s="3" t="s">
        <v>1406</v>
      </c>
      <c r="B4132" s="4"/>
      <c r="C4132" s="4"/>
      <c r="D4132" s="4"/>
      <c r="E4132" s="4"/>
      <c r="F4132" s="4"/>
      <c r="G4132" s="4"/>
      <c r="H4132" s="4"/>
    </row>
    <row r="4133" customFormat="false" ht="15" hidden="false" customHeight="false" outlineLevel="1" collapsed="false">
      <c r="A4133" s="56" t="s">
        <v>750</v>
      </c>
      <c r="B4133" s="57" t="s">
        <v>11</v>
      </c>
      <c r="C4133" s="62" t="n">
        <f aca="false">Pressupostos!$C$282*C4131/Pressupostos!$D$31</f>
        <v>0</v>
      </c>
      <c r="D4133" s="62" t="n">
        <f aca="false">Pressupostos!$D$282*D4131/Pressupostos!$D$31</f>
        <v>310598.707191781</v>
      </c>
      <c r="E4133" s="62" t="n">
        <f aca="false">Pressupostos!$E$282*E4131/Pressupostos!$D$31</f>
        <v>563053.792808219</v>
      </c>
      <c r="F4133" s="62" t="n">
        <f aca="false">Pressupostos!$F$282*F4131/Pressupostos!$D$31</f>
        <v>975110.316780822</v>
      </c>
      <c r="G4133" s="62" t="n">
        <f aca="false">Pressupostos!$G$282*G4131/Pressupostos!$D$31</f>
        <v>1489396.28424658</v>
      </c>
      <c r="H4133" s="2" t="s">
        <v>1407</v>
      </c>
    </row>
    <row r="4134" customFormat="false" ht="15" hidden="false" customHeight="false" outlineLevel="1" collapsed="false">
      <c r="A4134" s="7" t="s">
        <v>751</v>
      </c>
      <c r="B4134" s="8" t="s">
        <v>11</v>
      </c>
      <c r="C4134" s="61" t="n">
        <f aca="false">Pressupostos!$C$282*C4131</f>
        <v>0</v>
      </c>
      <c r="D4134" s="61" t="n">
        <f aca="false">Pressupostos!$D$282*D4131</f>
        <v>248478.965753425</v>
      </c>
      <c r="E4134" s="61" t="n">
        <f aca="false">Pressupostos!$E$282*E4131</f>
        <v>450443.034246575</v>
      </c>
      <c r="F4134" s="61" t="n">
        <f aca="false">Pressupostos!$F$282*F4131</f>
        <v>780088.253424658</v>
      </c>
      <c r="G4134" s="61" t="n">
        <f aca="false">Pressupostos!$G$282*G4131</f>
        <v>1191517.02739726</v>
      </c>
      <c r="H4134" s="2" t="s">
        <v>1408</v>
      </c>
    </row>
    <row r="4135" customFormat="false" ht="15" hidden="false" customHeight="false" outlineLevel="1" collapsed="false">
      <c r="A4135" s="7" t="s">
        <v>752</v>
      </c>
      <c r="B4135" s="8" t="s">
        <v>11</v>
      </c>
      <c r="C4135" s="61" t="n">
        <f aca="false">C4133-C4134</f>
        <v>0</v>
      </c>
      <c r="D4135" s="61" t="n">
        <f aca="false">D4133-D4134</f>
        <v>62119.7414383561</v>
      </c>
      <c r="E4135" s="61" t="n">
        <f aca="false">E4133-E4134</f>
        <v>112610.758561644</v>
      </c>
      <c r="F4135" s="61" t="n">
        <f aca="false">F4133-F4134</f>
        <v>195022.063356164</v>
      </c>
      <c r="G4135" s="61" t="n">
        <f aca="false">G4133-G4134</f>
        <v>297879.256849315</v>
      </c>
      <c r="H4135" s="2" t="s">
        <v>1409</v>
      </c>
    </row>
    <row r="4136" customFormat="false" ht="15" hidden="false" customHeight="false" outlineLevel="1" collapsed="false">
      <c r="A4136" s="7" t="s">
        <v>753</v>
      </c>
      <c r="B4136" s="8" t="s">
        <v>11</v>
      </c>
      <c r="C4136" s="61" t="n">
        <f aca="false">C4131-C4134</f>
        <v>45498.904109589</v>
      </c>
      <c r="D4136" s="61" t="n">
        <f aca="false">D4131-D4134</f>
        <v>27608.7739726027</v>
      </c>
      <c r="E4136" s="61" t="n">
        <f aca="false">E4131-E4134</f>
        <v>50049.2260273973</v>
      </c>
      <c r="F4136" s="61" t="n">
        <f aca="false">F4131-F4134</f>
        <v>86676.4726027397</v>
      </c>
      <c r="G4136" s="61" t="n">
        <f aca="false">G4131-G4134</f>
        <v>132390.780821918</v>
      </c>
      <c r="H4136" s="2" t="s">
        <v>1410</v>
      </c>
    </row>
    <row r="4137" customFormat="false" ht="15" hidden="false" customHeight="false" outlineLevel="1" collapsed="false">
      <c r="A4137" s="7" t="s">
        <v>754</v>
      </c>
      <c r="B4137" s="8" t="s">
        <v>11</v>
      </c>
      <c r="C4137" s="61" t="n">
        <f aca="false">MAX(0,Pressupostos!$C$108-C4136)</f>
        <v>4501.09589041097</v>
      </c>
      <c r="D4137" s="61" t="n">
        <f aca="false">MAX(0,Pressupostos!$C$108-D4136)</f>
        <v>22391.2260273973</v>
      </c>
      <c r="E4137" s="61" t="n">
        <f aca="false">MAX(0,Pressupostos!$C$108-E4136)</f>
        <v>0</v>
      </c>
      <c r="F4137" s="61" t="n">
        <f aca="false">MAX(0,Pressupostos!$C$108-F4136)</f>
        <v>0</v>
      </c>
      <c r="G4137" s="61" t="n">
        <f aca="false">MAX(0,Pressupostos!$C$108-G4136)</f>
        <v>0</v>
      </c>
      <c r="H4137" s="2" t="s">
        <v>1411</v>
      </c>
    </row>
    <row r="4138" customFormat="false" ht="15" hidden="false" customHeight="false" outlineLevel="1" collapsed="false">
      <c r="A4138" s="7" t="s">
        <v>755</v>
      </c>
      <c r="B4138" s="8" t="s">
        <v>11</v>
      </c>
      <c r="C4138" s="61" t="n">
        <f aca="false">Pressupostos!$C$109*C4133</f>
        <v>0</v>
      </c>
      <c r="D4138" s="61" t="n">
        <f aca="false">Pressupostos!$C$109*D4133</f>
        <v>15529.935359589</v>
      </c>
      <c r="E4138" s="61" t="n">
        <f aca="false">Pressupostos!$C$109*E4133</f>
        <v>28152.689640411</v>
      </c>
      <c r="F4138" s="61" t="n">
        <f aca="false">Pressupostos!$C$109*F4133</f>
        <v>48755.5158390411</v>
      </c>
      <c r="G4138" s="61" t="n">
        <f aca="false">Pressupostos!$C$109*G4133</f>
        <v>74469.8142123288</v>
      </c>
      <c r="H4138" s="2" t="s">
        <v>1412</v>
      </c>
    </row>
    <row r="4139" customFormat="false" ht="15" hidden="false" customHeight="false" outlineLevel="1" collapsed="false">
      <c r="A4139" s="2" t="s">
        <v>756</v>
      </c>
      <c r="B4139" s="8" t="s">
        <v>123</v>
      </c>
      <c r="C4139" s="61" t="n">
        <f aca="false">C4133/Pressupostos!$C$112</f>
        <v>0</v>
      </c>
      <c r="D4139" s="61" t="n">
        <f aca="false">D4133/Pressupostos!$C$112</f>
        <v>6.21197414383562</v>
      </c>
      <c r="E4139" s="61" t="n">
        <f aca="false">E4133/Pressupostos!$C$112</f>
        <v>11.2610758561644</v>
      </c>
      <c r="F4139" s="61" t="n">
        <f aca="false">F4133/Pressupostos!$C$112</f>
        <v>19.5022063356164</v>
      </c>
      <c r="G4139" s="61" t="n">
        <f aca="false">G4133/Pressupostos!$C$112</f>
        <v>29.7879256849315</v>
      </c>
      <c r="H4139" s="2" t="s">
        <v>1413</v>
      </c>
    </row>
    <row r="4140" customFormat="false" ht="15" hidden="false" customHeight="false" outlineLevel="0" collapsed="false">
      <c r="A4140" s="3" t="s">
        <v>1414</v>
      </c>
      <c r="B4140" s="4"/>
      <c r="C4140" s="4"/>
      <c r="D4140" s="4"/>
      <c r="E4140" s="4"/>
      <c r="F4140" s="4"/>
      <c r="G4140" s="4"/>
      <c r="H4140" s="4"/>
    </row>
    <row r="4141" customFormat="false" ht="15" hidden="false" customHeight="false" outlineLevel="1" collapsed="false">
      <c r="A4141" s="7" t="s">
        <v>758</v>
      </c>
      <c r="B4141" s="8" t="s">
        <v>11</v>
      </c>
      <c r="C4141" s="61" t="n">
        <f aca="false">C4107</f>
        <v>-711437.451832192</v>
      </c>
      <c r="D4141" s="61" t="n">
        <f aca="false">D4107</f>
        <v>-813071.991805284</v>
      </c>
      <c r="E4141" s="61" t="n">
        <f aca="false">E4107</f>
        <v>-993172.628713797</v>
      </c>
      <c r="F4141" s="61" t="n">
        <f aca="false">F4107</f>
        <v>-1138833.28509323</v>
      </c>
      <c r="G4141" s="61" t="n">
        <f aca="false">G4107</f>
        <v>-1288216.00789768</v>
      </c>
      <c r="H4141" s="2" t="s">
        <v>1415</v>
      </c>
    </row>
    <row r="4142" customFormat="false" ht="15" hidden="false" customHeight="false" outlineLevel="1" collapsed="false">
      <c r="A4142" s="7" t="s">
        <v>759</v>
      </c>
      <c r="B4142" s="8" t="s">
        <v>11</v>
      </c>
      <c r="C4142" s="61" t="n">
        <f aca="false">-C4122</f>
        <v>-0</v>
      </c>
      <c r="D4142" s="61" t="n">
        <f aca="false">-D4122</f>
        <v>-0</v>
      </c>
      <c r="E4142" s="61" t="n">
        <f aca="false">-E4122</f>
        <v>-0</v>
      </c>
      <c r="F4142" s="61" t="n">
        <f aca="false">-F4122</f>
        <v>-0</v>
      </c>
      <c r="G4142" s="61" t="n">
        <f aca="false">-G4122</f>
        <v>-0</v>
      </c>
      <c r="H4142" s="2" t="s">
        <v>1416</v>
      </c>
    </row>
    <row r="4143" customFormat="false" ht="15" hidden="false" customHeight="false" outlineLevel="1" collapsed="false">
      <c r="A4143" s="7" t="s">
        <v>760</v>
      </c>
      <c r="B4143" s="8" t="s">
        <v>11</v>
      </c>
      <c r="C4143" s="61" t="n">
        <f aca="false">-C4131</f>
        <v>-45498.904109589</v>
      </c>
      <c r="D4143" s="61" t="n">
        <f aca="false">-(D4131-C4131)</f>
        <v>-230588.835616438</v>
      </c>
      <c r="E4143" s="61" t="n">
        <f aca="false">-(E4131-D4131)</f>
        <v>-224404.520547945</v>
      </c>
      <c r="F4143" s="61" t="n">
        <f aca="false">-(F4131-E4131)</f>
        <v>-366272.465753425</v>
      </c>
      <c r="G4143" s="61" t="n">
        <f aca="false">-(G4131-F4131)</f>
        <v>-457143.082191781</v>
      </c>
      <c r="H4143" s="2" t="s">
        <v>1417</v>
      </c>
    </row>
    <row r="4144" customFormat="false" ht="15" hidden="false" customHeight="false" outlineLevel="1" collapsed="false">
      <c r="A4144" s="7" t="s">
        <v>424</v>
      </c>
      <c r="B4144" s="8" t="s">
        <v>11</v>
      </c>
      <c r="C4144" s="61" t="n">
        <f aca="false">-C4091</f>
        <v>-92000</v>
      </c>
      <c r="D4144" s="61" t="n">
        <f aca="false">-D4091</f>
        <v>-44000</v>
      </c>
      <c r="E4144" s="61" t="n">
        <f aca="false">-E4091</f>
        <v>-48000</v>
      </c>
      <c r="F4144" s="61" t="n">
        <f aca="false">-F4091</f>
        <v>-38000</v>
      </c>
      <c r="G4144" s="61" t="n">
        <f aca="false">-G4091</f>
        <v>-38000</v>
      </c>
      <c r="H4144" s="2" t="s">
        <v>1418</v>
      </c>
    </row>
    <row r="4145" customFormat="false" ht="15" hidden="false" customHeight="false" outlineLevel="1" collapsed="false">
      <c r="A4145" s="7" t="s">
        <v>761</v>
      </c>
      <c r="B4145" s="8" t="s">
        <v>11</v>
      </c>
      <c r="C4145" s="61" t="n">
        <f aca="false">C4141+C4142+C4143+C4144</f>
        <v>-848936.355941781</v>
      </c>
      <c r="D4145" s="61" t="n">
        <f aca="false">D4141+D4142+D4143+D4144</f>
        <v>-1087660.82742172</v>
      </c>
      <c r="E4145" s="61" t="n">
        <f aca="false">E4141+E4142+E4143+E4144</f>
        <v>-1265577.14926174</v>
      </c>
      <c r="F4145" s="61" t="n">
        <f aca="false">F4141+F4142+F4143+F4144</f>
        <v>-1543105.75084665</v>
      </c>
      <c r="G4145" s="61" t="n">
        <f aca="false">G4141+G4142+G4143+G4144</f>
        <v>-1783359.09008946</v>
      </c>
      <c r="H4145" s="2" t="s">
        <v>1419</v>
      </c>
    </row>
    <row r="4146" customFormat="false" ht="15" hidden="false" customHeight="false" outlineLevel="1" collapsed="false">
      <c r="A4146" s="7" t="s">
        <v>762</v>
      </c>
      <c r="B4146" s="8" t="s">
        <v>11</v>
      </c>
      <c r="C4146" s="61" t="n">
        <f aca="false">C4133</f>
        <v>0</v>
      </c>
      <c r="D4146" s="61" t="n">
        <f aca="false">D4133-C4133</f>
        <v>310598.707191781</v>
      </c>
      <c r="E4146" s="61" t="n">
        <f aca="false">E4133-D4133</f>
        <v>252455.085616438</v>
      </c>
      <c r="F4146" s="61" t="n">
        <f aca="false">F4133-E4133</f>
        <v>412056.523972603</v>
      </c>
      <c r="G4146" s="61" t="n">
        <f aca="false">G4133-F4133</f>
        <v>514285.967465753</v>
      </c>
      <c r="H4146" s="2" t="s">
        <v>1420</v>
      </c>
    </row>
    <row r="4147" customFormat="false" ht="15" hidden="false" customHeight="false" outlineLevel="1" collapsed="false">
      <c r="A4147" s="7" t="s">
        <v>763</v>
      </c>
      <c r="B4147" s="8" t="s">
        <v>11</v>
      </c>
      <c r="C4147" s="61" t="n">
        <f aca="false">-C4135</f>
        <v>-0</v>
      </c>
      <c r="D4147" s="61" t="n">
        <f aca="false">-(D4135-C4135)</f>
        <v>-62119.7414383561</v>
      </c>
      <c r="E4147" s="61" t="n">
        <f aca="false">-(E4135-D4135)</f>
        <v>-50491.0171232877</v>
      </c>
      <c r="F4147" s="61" t="n">
        <f aca="false">-(F4135-E4135)</f>
        <v>-82411.3047945206</v>
      </c>
      <c r="G4147" s="61" t="n">
        <f aca="false">-(G4135-F4135)</f>
        <v>-102857.193493151</v>
      </c>
      <c r="H4147" s="2" t="s">
        <v>1421</v>
      </c>
    </row>
    <row r="4148" customFormat="false" ht="15" hidden="false" customHeight="false" outlineLevel="1" collapsed="false">
      <c r="A4148" s="7" t="s">
        <v>764</v>
      </c>
      <c r="B4148" s="8" t="s">
        <v>11</v>
      </c>
      <c r="C4148" s="61" t="n">
        <f aca="false">-C4138</f>
        <v>-0</v>
      </c>
      <c r="D4148" s="61" t="n">
        <f aca="false">-(D4138-C4138)</f>
        <v>-15529.935359589</v>
      </c>
      <c r="E4148" s="61" t="n">
        <f aca="false">-(E4138-D4138)</f>
        <v>-12622.7542808219</v>
      </c>
      <c r="F4148" s="61" t="n">
        <f aca="false">-(F4138-E4138)</f>
        <v>-20602.8261986301</v>
      </c>
      <c r="G4148" s="61" t="n">
        <f aca="false">-(G4138-F4138)</f>
        <v>-25714.2983732877</v>
      </c>
      <c r="H4148" s="2" t="s">
        <v>1422</v>
      </c>
    </row>
    <row r="4149" customFormat="false" ht="15" hidden="false" customHeight="false" outlineLevel="1" collapsed="false">
      <c r="A4149" s="7" t="s">
        <v>765</v>
      </c>
      <c r="B4149" s="8" t="s">
        <v>11</v>
      </c>
      <c r="C4149" s="61" t="n">
        <f aca="false">-(C4137-Pressupostos!$C$108)</f>
        <v>45498.904109589</v>
      </c>
      <c r="D4149" s="61" t="n">
        <f aca="false">-(D4137-C4137)</f>
        <v>-17890.1301369863</v>
      </c>
      <c r="E4149" s="61" t="n">
        <f aca="false">-(E4137-D4137)</f>
        <v>22391.2260273973</v>
      </c>
      <c r="F4149" s="61" t="n">
        <f aca="false">-(F4137-E4137)</f>
        <v>-0</v>
      </c>
      <c r="G4149" s="61" t="n">
        <f aca="false">-(G4137-F4137)</f>
        <v>-0</v>
      </c>
      <c r="H4149" s="2" t="s">
        <v>1423</v>
      </c>
    </row>
    <row r="4150" customFormat="false" ht="15" hidden="false" customHeight="false" outlineLevel="1" collapsed="false">
      <c r="A4150" s="56" t="s">
        <v>766</v>
      </c>
      <c r="B4150" s="57" t="s">
        <v>11</v>
      </c>
      <c r="C4150" s="62" t="n">
        <f aca="false">C4145+C4146+C4147+C4148+C4149</f>
        <v>-803437.451832192</v>
      </c>
      <c r="D4150" s="62" t="n">
        <f aca="false">D4145+D4146+D4147+D4148+D4149</f>
        <v>-872601.927164873</v>
      </c>
      <c r="E4150" s="62" t="n">
        <f aca="false">E4145+E4146+E4147+E4148+E4149</f>
        <v>-1053844.60902202</v>
      </c>
      <c r="F4150" s="62" t="n">
        <f aca="false">F4145+F4146+F4147+F4148+F4149</f>
        <v>-1234063.3578672</v>
      </c>
      <c r="G4150" s="62" t="n">
        <f aca="false">G4145+G4146+G4147+G4148+G4149</f>
        <v>-1397644.61449014</v>
      </c>
      <c r="H4150" s="2" t="s">
        <v>1424</v>
      </c>
    </row>
    <row r="4151" customFormat="false" ht="15" hidden="false" customHeight="false" outlineLevel="1" collapsed="false">
      <c r="A4151" s="56" t="s">
        <v>767</v>
      </c>
      <c r="B4151" s="57" t="s">
        <v>11</v>
      </c>
      <c r="C4151" s="62" t="n">
        <f aca="false">C4150</f>
        <v>-803437.451832192</v>
      </c>
      <c r="D4151" s="62" t="n">
        <f aca="false">C4151+D4150</f>
        <v>-1676039.37899707</v>
      </c>
      <c r="E4151" s="62" t="n">
        <f aca="false">D4151+E4150</f>
        <v>-2729883.98801908</v>
      </c>
      <c r="F4151" s="62" t="n">
        <f aca="false">E4151+F4150</f>
        <v>-3963947.34588628</v>
      </c>
      <c r="G4151" s="62" t="n">
        <f aca="false">F4151+G4150</f>
        <v>-5361591.96037642</v>
      </c>
      <c r="H4151" s="2" t="s">
        <v>1425</v>
      </c>
    </row>
    <row r="4152" customFormat="false" ht="15" hidden="false" customHeight="false" outlineLevel="1" collapsed="false">
      <c r="A4152" s="8" t="s">
        <v>768</v>
      </c>
      <c r="B4152" s="8" t="s">
        <v>11</v>
      </c>
      <c r="C4152" s="70" t="n">
        <f aca="false">ROUND(C4107-C4091-C4122-(MAX(C4136,Pressupostos!$C$108)-Pressupostos!$C$108)-(C4138)-C4150,6)</f>
        <v>0</v>
      </c>
      <c r="D4152" s="70" t="n">
        <f aca="false">ROUND(D4107-D4091-D4122-(MAX(D4136,Pressupostos!$C$108)-MAX(C4136,Pressupostos!$C$108))-(D4138-C4138)-D4150,6)</f>
        <v>0</v>
      </c>
      <c r="E4152" s="70" t="n">
        <f aca="false">ROUND(E4107-E4091-E4122-(MAX(E4136,Pressupostos!$C$108)-MAX(D4136,Pressupostos!$C$108))-(E4138-D4138)-E4150,6)</f>
        <v>0</v>
      </c>
      <c r="F4152" s="70" t="n">
        <f aca="false">ROUND(F4107-F4091-F4122-(MAX(F4136,Pressupostos!$C$108)-MAX(E4136,Pressupostos!$C$108))-(F4138-E4138)-F4150,6)</f>
        <v>0</v>
      </c>
      <c r="G4152" s="70" t="n">
        <f aca="false">ROUND(G4107-G4091-G4122-(MAX(G4136,Pressupostos!$C$108)-MAX(F4136,Pressupostos!$C$108))-(G4138-F4138)-G4150,6)</f>
        <v>0</v>
      </c>
      <c r="H4152" s="2" t="s">
        <v>1426</v>
      </c>
    </row>
    <row r="4153" customFormat="false" ht="15" hidden="false" customHeight="false" outlineLevel="0" collapsed="false">
      <c r="A4153" s="3" t="s">
        <v>1427</v>
      </c>
      <c r="B4153" s="4"/>
      <c r="C4153" s="4"/>
      <c r="D4153" s="4"/>
      <c r="E4153" s="4"/>
      <c r="F4153" s="4"/>
      <c r="G4153" s="4"/>
      <c r="H4153" s="4"/>
    </row>
    <row r="4154" customFormat="false" ht="15" hidden="false" customHeight="false" outlineLevel="1" collapsed="false">
      <c r="A4154" s="7" t="s">
        <v>770</v>
      </c>
      <c r="B4154" s="8" t="s">
        <v>11</v>
      </c>
      <c r="C4154" s="61" t="n">
        <f aca="false">0</f>
        <v>0</v>
      </c>
      <c r="D4154" s="61" t="n">
        <f aca="false">C4159</f>
        <v>151562.548167808</v>
      </c>
      <c r="E4154" s="61" t="n">
        <f aca="false">D4159</f>
        <v>150000</v>
      </c>
      <c r="F4154" s="61" t="n">
        <f aca="false">E4159</f>
        <v>150000</v>
      </c>
      <c r="G4154" s="61" t="n">
        <f aca="false">F4159</f>
        <v>150000</v>
      </c>
      <c r="H4154" s="2" t="s">
        <v>1428</v>
      </c>
    </row>
    <row r="4155" customFormat="false" ht="15" hidden="false" customHeight="false" outlineLevel="1" collapsed="false">
      <c r="A4155" s="7" t="s">
        <v>771</v>
      </c>
      <c r="B4155" s="8" t="s">
        <v>11</v>
      </c>
      <c r="C4155" s="61" t="n">
        <f aca="false">-(Pressupostos!$C$159+Pressupostos!$C$160+Pressupostos!$C$161+Pressupostos!$C$162+Pressupostos!$C$163+Pressupostos!$C$108)</f>
        <v>-145000</v>
      </c>
      <c r="D4155" s="61" t="n">
        <f aca="false">0</f>
        <v>0</v>
      </c>
      <c r="E4155" s="61" t="n">
        <f aca="false">0</f>
        <v>0</v>
      </c>
      <c r="F4155" s="61" t="n">
        <f aca="false">0</f>
        <v>0</v>
      </c>
      <c r="G4155" s="61" t="n">
        <f aca="false">0</f>
        <v>0</v>
      </c>
      <c r="H4155" s="2" t="s">
        <v>1429</v>
      </c>
    </row>
    <row r="4156" customFormat="false" ht="15" hidden="false" customHeight="false" outlineLevel="1" collapsed="false">
      <c r="A4156" s="7" t="s">
        <v>772</v>
      </c>
      <c r="B4156" s="8" t="s">
        <v>11</v>
      </c>
      <c r="C4156" s="53" t="n">
        <f aca="false">Pressupostos!$D$32</f>
        <v>1100000</v>
      </c>
      <c r="D4156" s="61" t="n">
        <f aca="false">0</f>
        <v>0</v>
      </c>
      <c r="E4156" s="61" t="n">
        <f aca="false">0</f>
        <v>0</v>
      </c>
      <c r="F4156" s="61" t="n">
        <f aca="false">0</f>
        <v>0</v>
      </c>
      <c r="G4156" s="61" t="n">
        <f aca="false">0</f>
        <v>0</v>
      </c>
      <c r="H4156" s="2" t="s">
        <v>1430</v>
      </c>
    </row>
    <row r="4157" customFormat="false" ht="15" hidden="false" customHeight="false" outlineLevel="1" collapsed="false">
      <c r="A4157" s="7" t="s">
        <v>773</v>
      </c>
      <c r="B4157" s="8" t="s">
        <v>11</v>
      </c>
      <c r="C4157" s="61" t="n">
        <f aca="false">C4154+C4155+C4156+C4150</f>
        <v>151562.548167808</v>
      </c>
      <c r="D4157" s="61" t="n">
        <f aca="false">D4154+D4155+D4156+D4150</f>
        <v>-721039.378997065</v>
      </c>
      <c r="E4157" s="61" t="n">
        <f aca="false">E4154+E4155+E4156+E4150</f>
        <v>-903844.609022016</v>
      </c>
      <c r="F4157" s="61" t="n">
        <f aca="false">F4154+F4155+F4156+F4150</f>
        <v>-1084063.3578672</v>
      </c>
      <c r="G4157" s="61" t="n">
        <f aca="false">G4154+G4155+G4156+G4150</f>
        <v>-1247644.61449014</v>
      </c>
      <c r="H4157" s="2" t="s">
        <v>1431</v>
      </c>
    </row>
    <row r="4158" customFormat="false" ht="15" hidden="false" customHeight="false" outlineLevel="1" collapsed="false">
      <c r="A4158" s="56" t="s">
        <v>774</v>
      </c>
      <c r="B4158" s="57" t="s">
        <v>11</v>
      </c>
      <c r="C4158" s="62" t="n">
        <f aca="false">MAX(0,Pressupostos!$C$170-C4157)</f>
        <v>0</v>
      </c>
      <c r="D4158" s="62" t="n">
        <f aca="false">MAX(0,Pressupostos!$C$170-D4157)</f>
        <v>871039.378997065</v>
      </c>
      <c r="E4158" s="62" t="n">
        <f aca="false">MAX(0,Pressupostos!$C$170-E4157)</f>
        <v>1053844.60902202</v>
      </c>
      <c r="F4158" s="62" t="n">
        <f aca="false">MAX(0,Pressupostos!$C$170-F4157)</f>
        <v>1234063.3578672</v>
      </c>
      <c r="G4158" s="62" t="n">
        <f aca="false">MAX(0,Pressupostos!$C$170-G4157)</f>
        <v>1397644.61449014</v>
      </c>
      <c r="H4158" s="2" t="s">
        <v>1432</v>
      </c>
    </row>
    <row r="4159" customFormat="false" ht="15" hidden="false" customHeight="false" outlineLevel="1" collapsed="false">
      <c r="A4159" s="56" t="s">
        <v>775</v>
      </c>
      <c r="B4159" s="57" t="s">
        <v>11</v>
      </c>
      <c r="C4159" s="62" t="n">
        <f aca="false">C4157+C4158</f>
        <v>151562.548167808</v>
      </c>
      <c r="D4159" s="62" t="n">
        <f aca="false">D4157+D4158</f>
        <v>150000</v>
      </c>
      <c r="E4159" s="62" t="n">
        <f aca="false">E4157+E4158</f>
        <v>150000</v>
      </c>
      <c r="F4159" s="62" t="n">
        <f aca="false">F4157+F4158</f>
        <v>150000</v>
      </c>
      <c r="G4159" s="62" t="n">
        <f aca="false">G4157+G4158</f>
        <v>150000</v>
      </c>
      <c r="H4159" s="2" t="s">
        <v>1433</v>
      </c>
    </row>
    <row r="4160" customFormat="false" ht="15" hidden="false" customHeight="false" outlineLevel="1" collapsed="false">
      <c r="A4160" s="7" t="s">
        <v>776</v>
      </c>
      <c r="B4160" s="8" t="s">
        <v>11</v>
      </c>
      <c r="C4160" s="61" t="n">
        <f aca="false">C4135+C4138+C4137</f>
        <v>4501.09589041097</v>
      </c>
      <c r="D4160" s="61" t="n">
        <f aca="false">D4135+D4138+D4137</f>
        <v>100040.902825342</v>
      </c>
      <c r="E4160" s="61" t="n">
        <f aca="false">E4135+E4138+E4137</f>
        <v>140763.448202055</v>
      </c>
      <c r="F4160" s="61" t="n">
        <f aca="false">F4135+F4138+F4137</f>
        <v>243777.579195205</v>
      </c>
      <c r="G4160" s="61" t="n">
        <f aca="false">G4135+G4138+G4137</f>
        <v>372349.071061644</v>
      </c>
      <c r="H4160" s="2" t="s">
        <v>1434</v>
      </c>
    </row>
    <row r="4161" customFormat="false" ht="15" hidden="false" customHeight="false" outlineLevel="1" collapsed="false">
      <c r="A4161" s="7" t="s">
        <v>777</v>
      </c>
      <c r="B4161" s="8" t="s">
        <v>11</v>
      </c>
      <c r="C4161" s="61" t="n">
        <f aca="false">C4159+C4160</f>
        <v>156063.644058219</v>
      </c>
      <c r="D4161" s="61" t="n">
        <f aca="false">D4159+D4160</f>
        <v>250040.902825342</v>
      </c>
      <c r="E4161" s="61" t="n">
        <f aca="false">E4159+E4160</f>
        <v>290763.448202055</v>
      </c>
      <c r="F4161" s="61" t="n">
        <f aca="false">F4159+F4160</f>
        <v>393777.579195206</v>
      </c>
      <c r="G4161" s="61" t="n">
        <f aca="false">G4159+G4160</f>
        <v>522349.071061644</v>
      </c>
      <c r="H4161" s="2" t="s">
        <v>1435</v>
      </c>
    </row>
    <row r="4162" customFormat="false" ht="15" hidden="false" customHeight="false" outlineLevel="1" collapsed="false">
      <c r="A4162" s="7" t="s">
        <v>778</v>
      </c>
      <c r="B4162" s="8" t="s">
        <v>11</v>
      </c>
      <c r="C4162" s="61" t="n">
        <f aca="false">C4156+C4158</f>
        <v>1100000</v>
      </c>
      <c r="D4162" s="61" t="n">
        <f aca="false">C4162+D4156+D4158</f>
        <v>1971039.37899707</v>
      </c>
      <c r="E4162" s="61" t="n">
        <f aca="false">D4162+E4156+E4158</f>
        <v>3024883.98801908</v>
      </c>
      <c r="F4162" s="61" t="n">
        <f aca="false">E4162+F4156+F4158</f>
        <v>4258947.34588628</v>
      </c>
      <c r="G4162" s="61" t="n">
        <f aca="false">F4162+G4156+G4158</f>
        <v>5656591.96037642</v>
      </c>
      <c r="H4162" s="2" t="s">
        <v>1436</v>
      </c>
    </row>
    <row r="4163" customFormat="false" ht="15" hidden="false" customHeight="false" outlineLevel="0" collapsed="false">
      <c r="A4163" s="3" t="s">
        <v>1437</v>
      </c>
      <c r="B4163" s="4"/>
      <c r="C4163" s="4"/>
      <c r="D4163" s="4"/>
      <c r="E4163" s="4"/>
      <c r="F4163" s="4"/>
      <c r="G4163" s="4"/>
      <c r="H4163" s="4"/>
    </row>
    <row r="4164" customFormat="false" ht="15" hidden="false" customHeight="false" outlineLevel="1" collapsed="false">
      <c r="A4164" s="7" t="s">
        <v>782</v>
      </c>
      <c r="B4164" s="8" t="s">
        <v>11</v>
      </c>
      <c r="C4164" s="72" t="n">
        <f aca="false">Pressupostos!$C$159+Pressupostos!$C$160+Pressupostos!$C$161+Pressupostos!$C$162+Pressupostos!$C$163</f>
        <v>95000</v>
      </c>
      <c r="H4164" s="2" t="s">
        <v>1438</v>
      </c>
    </row>
    <row r="4165" customFormat="false" ht="15" hidden="false" customHeight="false" outlineLevel="1" collapsed="false">
      <c r="A4165" s="7" t="s">
        <v>783</v>
      </c>
      <c r="B4165" s="8" t="s">
        <v>11</v>
      </c>
      <c r="C4165" s="73" t="n">
        <f aca="false">Pressupostos!$C$108</f>
        <v>50000</v>
      </c>
      <c r="H4165" s="2" t="s">
        <v>1439</v>
      </c>
    </row>
    <row r="4166" customFormat="false" ht="15" hidden="false" customHeight="false" outlineLevel="1" collapsed="false">
      <c r="A4166" s="7" t="s">
        <v>322</v>
      </c>
      <c r="B4166" s="8" t="s">
        <v>11</v>
      </c>
      <c r="C4166" s="73" t="n">
        <f aca="false">Pressupostos!$C$170</f>
        <v>150000</v>
      </c>
      <c r="H4166" s="2" t="s">
        <v>1440</v>
      </c>
    </row>
    <row r="4167" customFormat="false" ht="15" hidden="false" customHeight="false" outlineLevel="1" collapsed="false">
      <c r="A4167" s="7" t="s">
        <v>784</v>
      </c>
      <c r="B4167" s="8" t="s">
        <v>11</v>
      </c>
      <c r="C4167" s="72" t="n">
        <f aca="false">MAX(0,-MIN($C$4151:$G$4151))</f>
        <v>5361591.96037642</v>
      </c>
      <c r="H4167" s="2" t="s">
        <v>1441</v>
      </c>
    </row>
    <row r="4168" customFormat="false" ht="15" hidden="false" customHeight="false" outlineLevel="1" collapsed="false">
      <c r="A4168" s="56" t="s">
        <v>785</v>
      </c>
      <c r="B4168" s="57" t="s">
        <v>11</v>
      </c>
      <c r="C4168" s="74" t="n">
        <f aca="false">C4164+C4165+C4166+C4167</f>
        <v>5656591.96037642</v>
      </c>
      <c r="H4168" s="2" t="s">
        <v>1442</v>
      </c>
    </row>
    <row r="4169" customFormat="false" ht="15" hidden="false" customHeight="false" outlineLevel="1" collapsed="false">
      <c r="A4169" s="7" t="s">
        <v>786</v>
      </c>
      <c r="B4169" s="8" t="s">
        <v>20</v>
      </c>
      <c r="C4169" s="75" t="n">
        <f aca="false">INDEX($C$3896:$G$3896,1,MATCH(MIN($C$4151:$G$4151),$C$4151:$G$4151,0))</f>
        <v>2031</v>
      </c>
      <c r="H4169" s="2" t="s">
        <v>1443</v>
      </c>
    </row>
    <row r="4170" customFormat="false" ht="15" hidden="false" customHeight="false" outlineLevel="1" collapsed="false">
      <c r="A4170" s="7" t="s">
        <v>787</v>
      </c>
      <c r="B4170" s="8"/>
      <c r="C4170" s="76" t="str">
        <f aca="false">IF(G4150&lt;0,"sim","não")</f>
        <v>sim</v>
      </c>
      <c r="H4170" s="2" t="s">
        <v>1444</v>
      </c>
    </row>
    <row r="4171" customFormat="false" ht="15" hidden="false" customHeight="false" outlineLevel="1" collapsed="false">
      <c r="A4171" s="7" t="s">
        <v>788</v>
      </c>
      <c r="B4171" s="8" t="s">
        <v>11</v>
      </c>
      <c r="C4171" s="72" t="n">
        <f aca="false">G4162</f>
        <v>5656591.96037642</v>
      </c>
      <c r="H4171" s="2" t="s">
        <v>1445</v>
      </c>
    </row>
    <row r="4172" customFormat="false" ht="15" hidden="false" customHeight="false" outlineLevel="0" collapsed="false">
      <c r="A4172" s="3" t="s">
        <v>1446</v>
      </c>
      <c r="B4172" s="4"/>
      <c r="C4172" s="4"/>
      <c r="D4172" s="4"/>
      <c r="E4172" s="4"/>
      <c r="F4172" s="4"/>
      <c r="G4172" s="4"/>
      <c r="H4172" s="4"/>
    </row>
    <row r="4173" customFormat="false" ht="15" hidden="false" customHeight="false" outlineLevel="1" collapsed="false">
      <c r="A4173" s="7" t="s">
        <v>790</v>
      </c>
      <c r="B4173" s="8" t="s">
        <v>11</v>
      </c>
      <c r="C4173" s="72" t="n">
        <f aca="false">C4164+C4165</f>
        <v>145000</v>
      </c>
      <c r="H4173" s="2" t="s">
        <v>1447</v>
      </c>
    </row>
    <row r="4174" customFormat="false" ht="15" hidden="false" customHeight="false" outlineLevel="1" collapsed="false">
      <c r="A4174" s="7" t="s">
        <v>791</v>
      </c>
      <c r="B4174" s="8" t="s">
        <v>11</v>
      </c>
      <c r="C4174" s="72" t="n">
        <f aca="false">-SUMPRODUCT(($C$3896:$G$3896&lt;=C4169)*$C$4107:$G$4107)</f>
        <v>4944731.36534218</v>
      </c>
      <c r="H4174" s="2" t="s">
        <v>1448</v>
      </c>
    </row>
    <row r="4175" customFormat="false" ht="15" hidden="false" customHeight="false" outlineLevel="1" collapsed="false">
      <c r="A4175" s="7" t="s">
        <v>424</v>
      </c>
      <c r="B4175" s="8" t="s">
        <v>11</v>
      </c>
      <c r="C4175" s="72" t="n">
        <f aca="false">SUMPRODUCT(($C$3896:$G$3896&lt;=C4169)*$C$4091:$G$4091)</f>
        <v>260000</v>
      </c>
      <c r="H4175" s="2" t="s">
        <v>1449</v>
      </c>
    </row>
    <row r="4176" customFormat="false" ht="15" hidden="false" customHeight="false" outlineLevel="1" collapsed="false">
      <c r="A4176" s="7" t="s">
        <v>792</v>
      </c>
      <c r="B4176" s="8" t="s">
        <v>11</v>
      </c>
      <c r="C4176" s="72" t="n">
        <f aca="false">SUMPRODUCT(($C$3896:$G$3896&lt;=C4169)*$C$4122:$G$4122)</f>
        <v>0</v>
      </c>
      <c r="H4176" s="2" t="s">
        <v>1450</v>
      </c>
    </row>
    <row r="4177" customFormat="false" ht="15" hidden="false" customHeight="false" outlineLevel="1" collapsed="false">
      <c r="A4177" s="7" t="s">
        <v>793</v>
      </c>
      <c r="B4177" s="8" t="s">
        <v>11</v>
      </c>
      <c r="C4177" s="72" t="n">
        <f aca="false">C4167-C4174-C4175-C4176</f>
        <v>156860.595034247</v>
      </c>
      <c r="H4177" s="2" t="s">
        <v>1451</v>
      </c>
    </row>
    <row r="4178" customFormat="false" ht="15" hidden="false" customHeight="false" outlineLevel="1" collapsed="false">
      <c r="A4178" s="7" t="s">
        <v>322</v>
      </c>
      <c r="B4178" s="8" t="s">
        <v>11</v>
      </c>
      <c r="C4178" s="72" t="n">
        <f aca="false">C4166</f>
        <v>150000</v>
      </c>
      <c r="H4178" s="2" t="s">
        <v>1452</v>
      </c>
    </row>
    <row r="4179" customFormat="false" ht="15" hidden="false" customHeight="false" outlineLevel="1" collapsed="false">
      <c r="A4179" s="56" t="s">
        <v>794</v>
      </c>
      <c r="B4179" s="57" t="s">
        <v>11</v>
      </c>
      <c r="C4179" s="74" t="n">
        <f aca="false">C4173+C4174+C4175+C4176+C4177+C4178</f>
        <v>5656591.96037642</v>
      </c>
      <c r="H4179" s="2" t="s">
        <v>1453</v>
      </c>
    </row>
    <row r="4180" customFormat="false" ht="15" hidden="false" customHeight="false" outlineLevel="0" collapsed="false">
      <c r="A4180" s="3" t="s">
        <v>1454</v>
      </c>
      <c r="B4180" s="4"/>
      <c r="C4180" s="4"/>
      <c r="D4180" s="4"/>
      <c r="E4180" s="4"/>
      <c r="F4180" s="4"/>
      <c r="G4180" s="4"/>
      <c r="H4180" s="4"/>
    </row>
    <row r="4181" customFormat="false" ht="15" hidden="false" customHeight="false" outlineLevel="1" collapsed="false">
      <c r="A4181" s="7" t="s">
        <v>772</v>
      </c>
      <c r="B4181" s="8" t="s">
        <v>11</v>
      </c>
      <c r="C4181" s="73" t="n">
        <f aca="false">Pressupostos!$D$32</f>
        <v>1100000</v>
      </c>
      <c r="H4181" s="2" t="s">
        <v>1455</v>
      </c>
    </row>
    <row r="4182" customFormat="false" ht="15" hidden="false" customHeight="false" outlineLevel="1" collapsed="false">
      <c r="A4182" s="7" t="s">
        <v>796</v>
      </c>
      <c r="B4182" s="8" t="s">
        <v>11</v>
      </c>
      <c r="C4182" s="72" t="n">
        <f aca="false">C4164+Pressupostos!$C$108+Pressupostos!$C$130/12*((C4066-C4054-C4055+(C4054+C4055)/Pressupostos!$C$128*Pressupostos!$C$129)*(1+Pressupostos!$C$124+Pressupostos!$C$125)+C4052*Pressupostos!$C$126+C4085)+C4091+MAX(0,Pressupostos!$C$183*1000*(C3917+C3920)+Pressupostos!$C$184*1000*(C3940+C3943)-Pressupostos!$C$108)</f>
        <v>734321.666666667</v>
      </c>
      <c r="H4182" s="2" t="s">
        <v>1456</v>
      </c>
    </row>
    <row r="4183" customFormat="false" ht="15" hidden="false" customHeight="false" outlineLevel="1" collapsed="false">
      <c r="A4183" s="7" t="s">
        <v>798</v>
      </c>
      <c r="B4183" s="8" t="s">
        <v>11</v>
      </c>
      <c r="C4183" s="72" t="n">
        <f aca="false">C4164+Pressupostos!$C$108-C4150</f>
        <v>948437.451832192</v>
      </c>
      <c r="H4183" s="2" t="s">
        <v>1457</v>
      </c>
    </row>
    <row r="4184" customFormat="false" ht="15" hidden="false" customHeight="false" outlineLevel="1" collapsed="false">
      <c r="A4184" s="7" t="s">
        <v>799</v>
      </c>
      <c r="B4184" s="8" t="s">
        <v>11</v>
      </c>
      <c r="C4184" s="61" t="n">
        <f aca="false">Pressupostos!$D$32-C4164-Pressupostos!$C$108+C4151</f>
        <v>151562.548167808</v>
      </c>
      <c r="D4184" s="61" t="n">
        <f aca="false">Pressupostos!$D$32-C4164-Pressupostos!$C$108+D4151</f>
        <v>-721039.378997065</v>
      </c>
      <c r="E4184" s="61" t="n">
        <f aca="false">Pressupostos!$D$32-C4164-Pressupostos!$C$108+E4151</f>
        <v>-1774883.98801908</v>
      </c>
      <c r="F4184" s="61" t="n">
        <f aca="false">Pressupostos!$D$32-C4164-Pressupostos!$C$108+F4151</f>
        <v>-3008947.34588628</v>
      </c>
      <c r="G4184" s="61" t="n">
        <f aca="false">Pressupostos!$D$32-C4164-Pressupostos!$C$108+G4151</f>
        <v>-4406591.96037642</v>
      </c>
      <c r="H4184" s="2" t="s">
        <v>1458</v>
      </c>
    </row>
    <row r="4185" customFormat="false" ht="15" hidden="false" customHeight="false" outlineLevel="1" collapsed="false">
      <c r="A4185" s="7" t="s">
        <v>800</v>
      </c>
      <c r="B4185" s="8" t="s">
        <v>18</v>
      </c>
      <c r="C4185" s="77" t="str">
        <f aca="false">IF(AND(Pressupostos!$D$32-C4164-Pressupostos!$C$108&gt;0,C4184&lt;=0),12*(Pressupostos!$D$32-C4164-Pressupostos!$C$108)/(Pressupostos!$D$32-C4164-Pressupostos!$C$108-C4184),"")</f>
        <v/>
      </c>
      <c r="D4185" s="77" t="n">
        <f aca="false">IF(AND(C4184&gt;0,D4184&lt;=0),12+12*C4184/(C4184-D4184),"")</f>
        <v>14.0842843929109</v>
      </c>
      <c r="E4185" s="77" t="str">
        <f aca="false">IF(AND(D4184&gt;0,E4184&lt;=0),24+12*D4184/(D4184-E4184),"")</f>
        <v/>
      </c>
      <c r="F4185" s="77" t="str">
        <f aca="false">IF(AND(E4184&gt;0,F4184&lt;=0),36+12*E4184/(E4184-F4184),"")</f>
        <v/>
      </c>
      <c r="G4185" s="77" t="str">
        <f aca="false">IF(AND(F4184&gt;0,G4184&lt;=0),48+12*F4184/(F4184-G4184),"")</f>
        <v/>
      </c>
      <c r="H4185" s="2" t="s">
        <v>1459</v>
      </c>
    </row>
    <row r="4186" customFormat="false" ht="15" hidden="false" customHeight="false" outlineLevel="1" collapsed="false">
      <c r="A4186" s="56" t="s">
        <v>801</v>
      </c>
      <c r="B4186" s="57" t="s">
        <v>274</v>
      </c>
      <c r="C4186" s="78" t="n">
        <f aca="false">IF(COUNT($C$4185:$G$4185)=0,"&gt; 60",MIN($C$4185:$G$4185))</f>
        <v>14.0842843929109</v>
      </c>
      <c r="H4186" s="2" t="s">
        <v>1460</v>
      </c>
    </row>
    <row r="4187" customFormat="false" ht="15" hidden="false" customHeight="false" outlineLevel="0" collapsed="false">
      <c r="A4187" s="3" t="s">
        <v>1461</v>
      </c>
      <c r="B4187" s="4"/>
      <c r="C4187" s="4"/>
      <c r="D4187" s="4"/>
      <c r="E4187" s="4"/>
      <c r="F4187" s="4"/>
      <c r="G4187" s="4"/>
      <c r="H4187" s="4"/>
    </row>
    <row r="4188" customFormat="false" ht="15" hidden="false" customHeight="false" outlineLevel="1" collapsed="false">
      <c r="A4188" s="7" t="s">
        <v>803</v>
      </c>
      <c r="B4188" s="8" t="s">
        <v>18</v>
      </c>
      <c r="C4188" s="77" t="str">
        <f aca="false">IF(C4107&gt;=0,1,"")</f>
        <v/>
      </c>
      <c r="D4188" s="77" t="str">
        <f aca="false">IF(AND(C4107&lt;0,D4107&gt;=0),6.5+12*(-C4107)/(D4107-C4107),"")</f>
        <v/>
      </c>
      <c r="E4188" s="77" t="str">
        <f aca="false">IF(AND(D4107&lt;0,E4107&gt;=0),18.5+12*(-D4107)/(E4107-D4107),"")</f>
        <v/>
      </c>
      <c r="F4188" s="77" t="str">
        <f aca="false">IF(AND(E4107&lt;0,F4107&gt;=0),30.5+12*(-E4107)/(F4107-E4107),"")</f>
        <v/>
      </c>
      <c r="G4188" s="77" t="str">
        <f aca="false">IF(AND(F4107&lt;0,G4107&gt;=0),42.5+12*(-F4107)/(G4107-F4107),"")</f>
        <v/>
      </c>
      <c r="H4188" s="2" t="s">
        <v>1462</v>
      </c>
    </row>
    <row r="4189" customFormat="false" ht="15" hidden="false" customHeight="false" outlineLevel="1" collapsed="false">
      <c r="A4189" s="7" t="s">
        <v>804</v>
      </c>
      <c r="B4189" s="8" t="s">
        <v>18</v>
      </c>
      <c r="C4189" s="79" t="str">
        <f aca="false">IF(COUNT($C$4188:$G$4188)=0,"não atinge até 2031",ROUNDUP(MIN($C$4188:$G$4188),0))</f>
        <v>não atinge até 2031</v>
      </c>
      <c r="H4189" s="2" t="s">
        <v>1463</v>
      </c>
    </row>
    <row r="4190" customFormat="false" ht="15" hidden="false" customHeight="false" outlineLevel="1" collapsed="false">
      <c r="A4190" s="56" t="s">
        <v>805</v>
      </c>
      <c r="B4190" s="57" t="s">
        <v>806</v>
      </c>
      <c r="C4190" s="80" t="str">
        <f aca="false">IF(ISNUMBER(C4189),DATE(2027,C4189,1),"não atinge até 2031")</f>
        <v>não atinge até 2031</v>
      </c>
      <c r="H4190" s="2" t="s">
        <v>1464</v>
      </c>
    </row>
    <row r="4191" customFormat="false" ht="15" hidden="false" customHeight="false" outlineLevel="1" collapsed="false">
      <c r="A4191" s="7" t="s">
        <v>807</v>
      </c>
      <c r="B4191" s="8" t="s">
        <v>20</v>
      </c>
      <c r="C4191" s="81" t="str">
        <f aca="false">IF(C4107&gt;=0,C3896,"")</f>
        <v/>
      </c>
      <c r="D4191" s="81" t="str">
        <f aca="false">IF(D4107&gt;=0,D3896,"")</f>
        <v/>
      </c>
      <c r="E4191" s="81" t="str">
        <f aca="false">IF(E4107&gt;=0,E3896,"")</f>
        <v/>
      </c>
      <c r="F4191" s="81" t="str">
        <f aca="false">IF(F4107&gt;=0,F3896,"")</f>
        <v/>
      </c>
      <c r="G4191" s="81" t="str">
        <f aca="false">IF(G4107&gt;=0,G3896,"")</f>
        <v/>
      </c>
      <c r="H4191" s="2" t="s">
        <v>1465</v>
      </c>
    </row>
    <row r="4192" customFormat="false" ht="15" hidden="false" customHeight="false" outlineLevel="1" collapsed="false">
      <c r="A4192" s="7" t="s">
        <v>808</v>
      </c>
      <c r="B4192" s="8" t="s">
        <v>20</v>
      </c>
      <c r="C4192" s="75" t="str">
        <f aca="false">IF(COUNT($C$4191:$G$4191)=0,"não atinge até 2031",MIN($C$4191:$G$4191))</f>
        <v>não atinge até 2031</v>
      </c>
      <c r="H4192" s="2" t="s">
        <v>1466</v>
      </c>
    </row>
    <row r="4193" customFormat="false" ht="15" hidden="false" customHeight="false" outlineLevel="1" collapsed="false">
      <c r="A4193" s="7" t="s">
        <v>809</v>
      </c>
      <c r="B4193" s="8" t="s">
        <v>20</v>
      </c>
      <c r="C4193" s="81" t="str">
        <f aca="false">IF(C4125&gt;=0,C3896,"")</f>
        <v/>
      </c>
      <c r="D4193" s="81" t="str">
        <f aca="false">IF(D4125&gt;=0,D3896,"")</f>
        <v/>
      </c>
      <c r="E4193" s="81" t="str">
        <f aca="false">IF(E4125&gt;=0,E3896,"")</f>
        <v/>
      </c>
      <c r="F4193" s="81" t="str">
        <f aca="false">IF(F4125&gt;=0,F3896,"")</f>
        <v/>
      </c>
      <c r="G4193" s="81" t="str">
        <f aca="false">IF(G4125&gt;=0,G3896,"")</f>
        <v/>
      </c>
      <c r="H4193" s="2" t="s">
        <v>1467</v>
      </c>
    </row>
    <row r="4194" customFormat="false" ht="15" hidden="false" customHeight="false" outlineLevel="1" collapsed="false">
      <c r="A4194" s="7" t="s">
        <v>810</v>
      </c>
      <c r="B4194" s="8" t="s">
        <v>20</v>
      </c>
      <c r="C4194" s="75" t="str">
        <f aca="false">IF(COUNT($C$4193:$G$4193)=0,"não atinge até 2031",MIN($C$4193:$G$4193))</f>
        <v>não atinge até 2031</v>
      </c>
      <c r="H4194" s="2" t="s">
        <v>1468</v>
      </c>
    </row>
    <row r="4195" customFormat="false" ht="15" hidden="false" customHeight="false" outlineLevel="1" collapsed="false">
      <c r="A4195" s="7" t="s">
        <v>811</v>
      </c>
      <c r="B4195" s="8" t="s">
        <v>20</v>
      </c>
      <c r="C4195" s="81" t="str">
        <f aca="false">IF(C4150&gt;=0,C3896,"")</f>
        <v/>
      </c>
      <c r="D4195" s="81" t="str">
        <f aca="false">IF(D4150&gt;=0,D3896,"")</f>
        <v/>
      </c>
      <c r="E4195" s="81" t="str">
        <f aca="false">IF(E4150&gt;=0,E3896,"")</f>
        <v/>
      </c>
      <c r="F4195" s="81" t="str">
        <f aca="false">IF(F4150&gt;=0,F3896,"")</f>
        <v/>
      </c>
      <c r="G4195" s="81" t="str">
        <f aca="false">IF(G4150&gt;=0,G3896,"")</f>
        <v/>
      </c>
      <c r="H4195" s="2" t="s">
        <v>1469</v>
      </c>
    </row>
    <row r="4196" customFormat="false" ht="15" hidden="false" customHeight="false" outlineLevel="1" collapsed="false">
      <c r="A4196" s="7" t="s">
        <v>19</v>
      </c>
      <c r="B4196" s="8" t="s">
        <v>20</v>
      </c>
      <c r="C4196" s="75" t="str">
        <f aca="false">IF(COUNT($C$4195:$G$4195)=0,"não atinge até 2031",MIN($C$4195:$G$4195))</f>
        <v>não atinge até 2031</v>
      </c>
      <c r="H4196" s="2" t="s">
        <v>1470</v>
      </c>
    </row>
    <row r="4197" customFormat="false" ht="15" hidden="false" customHeight="false" outlineLevel="0" collapsed="false">
      <c r="A4197" s="3" t="s">
        <v>1471</v>
      </c>
      <c r="B4197" s="4"/>
      <c r="C4197" s="4"/>
      <c r="D4197" s="4"/>
      <c r="E4197" s="4"/>
      <c r="F4197" s="4"/>
      <c r="G4197" s="4"/>
      <c r="H4197" s="4"/>
    </row>
    <row r="4198" customFormat="false" ht="15" hidden="false" customHeight="false" outlineLevel="1" collapsed="false">
      <c r="A4198" s="7" t="s">
        <v>813</v>
      </c>
      <c r="B4198" s="8" t="s">
        <v>11</v>
      </c>
      <c r="C4198" s="61" t="n">
        <f aca="false">C4133</f>
        <v>0</v>
      </c>
      <c r="D4198" s="61" t="n">
        <f aca="false">D4133</f>
        <v>310598.707191781</v>
      </c>
      <c r="E4198" s="61" t="n">
        <f aca="false">E4133</f>
        <v>563053.792808219</v>
      </c>
      <c r="F4198" s="61" t="n">
        <f aca="false">F4133</f>
        <v>975110.316780822</v>
      </c>
      <c r="G4198" s="61" t="n">
        <f aca="false">G4133</f>
        <v>1489396.28424658</v>
      </c>
      <c r="H4198" s="2" t="s">
        <v>1472</v>
      </c>
    </row>
    <row r="4199" customFormat="false" ht="15" hidden="false" customHeight="false" outlineLevel="1" collapsed="false">
      <c r="A4199" s="7" t="s">
        <v>509</v>
      </c>
      <c r="B4199" s="8" t="s">
        <v>76</v>
      </c>
      <c r="C4199" s="60" t="n">
        <f aca="false">(Pressupostos!$C$199)</f>
        <v>0.12</v>
      </c>
      <c r="D4199" s="60" t="n">
        <f aca="false">(Pressupostos!$C$199)</f>
        <v>0.12</v>
      </c>
      <c r="E4199" s="60" t="n">
        <f aca="false">(Pressupostos!$C$199)</f>
        <v>0.12</v>
      </c>
      <c r="F4199" s="60" t="n">
        <f aca="false">(Pressupostos!$C$199)</f>
        <v>0.12</v>
      </c>
      <c r="G4199" s="60" t="n">
        <f aca="false">(Pressupostos!$C$199)</f>
        <v>0.12</v>
      </c>
      <c r="H4199" s="2" t="s">
        <v>1473</v>
      </c>
    </row>
    <row r="4200" customFormat="false" ht="15" hidden="false" customHeight="false" outlineLevel="1" collapsed="false">
      <c r="A4200" s="7" t="s">
        <v>814</v>
      </c>
      <c r="B4200" s="8" t="s">
        <v>76</v>
      </c>
      <c r="C4200" s="60" t="n">
        <f aca="false">(Pressupostos!$C$199)*(1-Pressupostos!$C$111)</f>
        <v>0.0864</v>
      </c>
      <c r="D4200" s="60" t="n">
        <f aca="false">(Pressupostos!$C$199)*(1-Pressupostos!$C$111)</f>
        <v>0.0864</v>
      </c>
      <c r="E4200" s="60" t="n">
        <f aca="false">(Pressupostos!$C$199)*(1-Pressupostos!$C$111)</f>
        <v>0.0864</v>
      </c>
      <c r="F4200" s="60" t="n">
        <f aca="false">(Pressupostos!$C$199)*(1-Pressupostos!$C$111)</f>
        <v>0.0864</v>
      </c>
      <c r="G4200" s="60" t="n">
        <f aca="false">(Pressupostos!$C$199)*(1-Pressupostos!$C$111)</f>
        <v>0.0864</v>
      </c>
      <c r="H4200" s="2" t="s">
        <v>1474</v>
      </c>
    </row>
    <row r="4201" customFormat="false" ht="15" hidden="false" customHeight="false" outlineLevel="1" collapsed="false">
      <c r="A4201" s="7" t="s">
        <v>815</v>
      </c>
      <c r="B4201" s="8" t="s">
        <v>11</v>
      </c>
      <c r="C4201" s="61" t="n">
        <f aca="false">C4037</f>
        <v>0</v>
      </c>
      <c r="D4201" s="61" t="n">
        <f aca="false">D4037</f>
        <v>34975.5410958904</v>
      </c>
      <c r="E4201" s="61" t="n">
        <f aca="false">E4037</f>
        <v>62033.7020547945</v>
      </c>
      <c r="F4201" s="61" t="n">
        <f aca="false">F4037</f>
        <v>107224.859589041</v>
      </c>
      <c r="G4201" s="61" t="n">
        <f aca="false">G4037</f>
        <v>163776.267123288</v>
      </c>
      <c r="H4201" s="2" t="s">
        <v>1475</v>
      </c>
    </row>
    <row r="4202" customFormat="false" ht="15" hidden="false" customHeight="false" outlineLevel="1" collapsed="false">
      <c r="A4202" s="7" t="s">
        <v>816</v>
      </c>
      <c r="B4202" s="8" t="s">
        <v>76</v>
      </c>
      <c r="C4202" s="59" t="n">
        <f aca="false">IF(C4133&gt;0,(C4136+C4138)/C4133,0)</f>
        <v>0</v>
      </c>
      <c r="D4202" s="59" t="n">
        <f aca="false">IF(D4133&gt;0,(D4136+D4138)/D4133,0)</f>
        <v>0.138888888888889</v>
      </c>
      <c r="E4202" s="59" t="n">
        <f aca="false">IF(E4133&gt;0,(E4136+E4138)/E4133,0)</f>
        <v>0.138888888888889</v>
      </c>
      <c r="F4202" s="59" t="n">
        <f aca="false">IF(F4133&gt;0,(F4136+F4138)/F4133,0)</f>
        <v>0.138888888888889</v>
      </c>
      <c r="G4202" s="59" t="n">
        <f aca="false">IF(G4133&gt;0,(G4136+G4138)/G4133,0)</f>
        <v>0.138888888888889</v>
      </c>
      <c r="H4202" s="2" t="s">
        <v>1476</v>
      </c>
    </row>
    <row r="4203" customFormat="false" ht="15" hidden="false" customHeight="false" outlineLevel="1" collapsed="false">
      <c r="A4203" s="7" t="s">
        <v>817</v>
      </c>
      <c r="B4203" s="8" t="s">
        <v>123</v>
      </c>
      <c r="C4203" s="61" t="n">
        <f aca="false">C4139</f>
        <v>0</v>
      </c>
      <c r="D4203" s="61" t="n">
        <f aca="false">D4139</f>
        <v>6.21197414383562</v>
      </c>
      <c r="E4203" s="61" t="n">
        <f aca="false">E4139</f>
        <v>11.2610758561644</v>
      </c>
      <c r="F4203" s="61" t="n">
        <f aca="false">F4139</f>
        <v>19.5022063356164</v>
      </c>
      <c r="G4203" s="61" t="n">
        <f aca="false">G4139</f>
        <v>29.7879256849315</v>
      </c>
      <c r="H4203" s="2" t="s">
        <v>1477</v>
      </c>
    </row>
    <row r="4204" customFormat="false" ht="15" hidden="false" customHeight="false" outlineLevel="1" collapsed="false">
      <c r="A4204" s="7" t="s">
        <v>818</v>
      </c>
      <c r="B4204" s="8" t="s">
        <v>11</v>
      </c>
      <c r="C4204" s="61" t="n">
        <f aca="false">C4037+C4083</f>
        <v>65000</v>
      </c>
      <c r="D4204" s="61" t="n">
        <f aca="false">D4037+D4083</f>
        <v>99975.5410958904</v>
      </c>
      <c r="E4204" s="61" t="n">
        <f aca="false">E4037+E4083</f>
        <v>132033.702054795</v>
      </c>
      <c r="F4204" s="61" t="n">
        <f aca="false">F4037+F4083</f>
        <v>182224.859589041</v>
      </c>
      <c r="G4204" s="61" t="n">
        <f aca="false">G4037+G4083</f>
        <v>243776.267123288</v>
      </c>
      <c r="H4204" s="2" t="s">
        <v>1478</v>
      </c>
    </row>
    <row r="4205" customFormat="false" ht="15" hidden="false" customHeight="false" outlineLevel="1" collapsed="false">
      <c r="A4205" s="7" t="s">
        <v>819</v>
      </c>
      <c r="B4205" s="8" t="s">
        <v>76</v>
      </c>
      <c r="C4205" s="59" t="str">
        <f aca="false">IF(C4133&gt;0,C4204/C4133,"")</f>
        <v/>
      </c>
      <c r="D4205" s="59" t="n">
        <f aca="false">IF(D4133&gt;0,D4204/D4133,"")</f>
        <v>0.321880094092472</v>
      </c>
      <c r="E4205" s="59" t="n">
        <f aca="false">IF(E4133&gt;0,E4204/E4133,"")</f>
        <v>0.234495715580352</v>
      </c>
      <c r="F4205" s="59" t="n">
        <f aca="false">IF(F4133&gt;0,F4204/F4133,"")</f>
        <v>0.186876147706681</v>
      </c>
      <c r="G4205" s="59" t="n">
        <f aca="false">IF(G4133&gt;0,G4204/G4133,"")</f>
        <v>0.163674550354209</v>
      </c>
      <c r="H4205" s="2" t="s">
        <v>1479</v>
      </c>
    </row>
    <row r="4206" customFormat="false" ht="15" hidden="false" customHeight="false" outlineLevel="0" collapsed="false">
      <c r="A4206" s="3" t="s">
        <v>1480</v>
      </c>
      <c r="B4206" s="4"/>
      <c r="C4206" s="4"/>
      <c r="D4206" s="4"/>
      <c r="E4206" s="4"/>
      <c r="F4206" s="4"/>
      <c r="G4206" s="4"/>
      <c r="H4206" s="4"/>
    </row>
    <row r="4207" customFormat="false" ht="15" hidden="false" customHeight="false" outlineLevel="1" collapsed="false">
      <c r="A4207" s="7" t="s">
        <v>821</v>
      </c>
      <c r="B4207" s="8" t="s">
        <v>11</v>
      </c>
      <c r="C4207" s="61" t="n">
        <f aca="false">MAX(0,-C4107)</f>
        <v>711437.451832192</v>
      </c>
      <c r="D4207" s="61" t="n">
        <f aca="false">MAX(0,-D4107)</f>
        <v>813071.991805284</v>
      </c>
      <c r="E4207" s="61" t="n">
        <f aca="false">MAX(0,-E4107)</f>
        <v>993172.628713797</v>
      </c>
      <c r="F4207" s="61" t="n">
        <f aca="false">MAX(0,-F4107)</f>
        <v>1138833.28509323</v>
      </c>
      <c r="G4207" s="61" t="n">
        <f aca="false">MAX(0,-G4107)</f>
        <v>1288216.00789768</v>
      </c>
      <c r="H4207" s="2" t="s">
        <v>1481</v>
      </c>
    </row>
    <row r="4208" customFormat="false" ht="15" hidden="false" customHeight="false" outlineLevel="1" collapsed="false">
      <c r="A4208" s="2" t="s">
        <v>822</v>
      </c>
      <c r="B4208" s="8"/>
      <c r="C4208" s="61" t="n">
        <f aca="false">IF(AND(C3896&gt;=Pressupostos!$C$120,Pressupostos!$C$118*(C3990+C3991)+Pressupostos!$C$119*C3992&gt;Pressupostos!$C$300),1,0)</f>
        <v>0</v>
      </c>
      <c r="D4208" s="61" t="n">
        <f aca="false">IF(AND(D3896&gt;=Pressupostos!$C$120,Pressupostos!$C$118*(D3990+D3991)+Pressupostos!$C$119*D3992&gt;Pressupostos!$D$300),1,0)</f>
        <v>1</v>
      </c>
      <c r="E4208" s="61" t="n">
        <f aca="false">IF(AND(E3896&gt;=Pressupostos!$C$120,Pressupostos!$C$118*(E3990+E3991)+Pressupostos!$C$119*E3992&gt;Pressupostos!$E$300),1,0)</f>
        <v>1</v>
      </c>
      <c r="F4208" s="61" t="n">
        <f aca="false">IF(AND(F3896&gt;=Pressupostos!$C$120,Pressupostos!$C$118*(F3990+F3991)+Pressupostos!$C$119*F3992&gt;Pressupostos!$F$300),1,0)</f>
        <v>1</v>
      </c>
      <c r="G4208" s="61" t="n">
        <f aca="false">IF(AND(G3896&gt;=Pressupostos!$C$120,Pressupostos!$C$118*(G3990+G3991)+Pressupostos!$C$119*G3992&gt;Pressupostos!$G$300),1,0)</f>
        <v>1</v>
      </c>
      <c r="H4208" s="2" t="s">
        <v>1482</v>
      </c>
    </row>
    <row r="4209" customFormat="false" ht="15" hidden="false" customHeight="false" outlineLevel="1" collapsed="false">
      <c r="A4209" s="7" t="s">
        <v>823</v>
      </c>
      <c r="B4209" s="8" t="s">
        <v>64</v>
      </c>
      <c r="C4209" s="63" t="n">
        <f aca="false">IF(C3900&gt;0,C4207/(C3900*1000*(1-Pressupostos!$D$22)*(1-Pressupostos!$D$25-C4208*Pressupostos!$C$118)),"n/a")</f>
        <v>13.7226574306032</v>
      </c>
      <c r="D4209" s="63" t="n">
        <f aca="false">IF(D3900&gt;0,D4207/(D3900*1000*(1-Pressupostos!$D$22)*(1-Pressupostos!$D$25-D4208*Pressupostos!$C$118)),"n/a")</f>
        <v>2.25565734745223</v>
      </c>
      <c r="E4209" s="63" t="n">
        <f aca="false">IF(E3900&gt;0,E4207/(E3900*1000*(1-Pressupostos!$D$22)*(1-Pressupostos!$D$25-E4208*Pressupostos!$C$118)),"n/a")</f>
        <v>1.39494260199893</v>
      </c>
      <c r="F4209" s="63" t="n">
        <f aca="false">IF(F3900&gt;0,F4207/(F3900*1000*(1-Pressupostos!$D$22)*(1-Pressupostos!$D$25-F4208*Pressupostos!$C$118)),"n/a")</f>
        <v>0.96945166043388</v>
      </c>
      <c r="G4209" s="63" t="n">
        <f aca="false">IF(G3900&gt;0,G4207/(G3900*1000*(1-Pressupostos!$D$22)*(1-Pressupostos!$D$25-G4208*Pressupostos!$C$118)),"n/a")</f>
        <v>0.724746976262709</v>
      </c>
      <c r="H4209" s="2" t="s">
        <v>1483</v>
      </c>
    </row>
    <row r="4210" customFormat="false" ht="15" hidden="false" customHeight="false" outlineLevel="1" collapsed="false">
      <c r="A4210" s="7" t="s">
        <v>824</v>
      </c>
      <c r="B4210" s="8" t="s">
        <v>64</v>
      </c>
      <c r="C4210" s="63" t="n">
        <f aca="false">IF(C3899&gt;0,Pressupostos!$D$15+C4207/(C3899*1000*(1-Pressupostos!$D$16)*(1-Pressupostos!$D$18-C4208*Pressupostos!$C$118)),"n/a")</f>
        <v>105.057200401323</v>
      </c>
      <c r="D4210" s="63" t="n">
        <f aca="false">IF(D3899&gt;0,Pressupostos!$D$15+D4207/(D3899*1000*(1-Pressupostos!$D$16)*(1-Pressupostos!$D$18-D4208*Pressupostos!$C$118)),"n/a")</f>
        <v>30.3132084146354</v>
      </c>
      <c r="E4210" s="63" t="n">
        <f aca="false">IF(E3899&gt;0,Pressupostos!$D$15+E4207/(E3899*1000*(1-Pressupostos!$D$16)*(1-Pressupostos!$D$18-E4208*Pressupostos!$C$118)),"n/a")</f>
        <v>14.0309914408394</v>
      </c>
      <c r="F4210" s="63" t="n">
        <f aca="false">IF(F3899&gt;0,Pressupostos!$D$15+F4207/(F3899*1000*(1-Pressupostos!$D$16)*(1-Pressupostos!$D$18-F4208*Pressupostos!$C$118)),"n/a")</f>
        <v>10.4370855247995</v>
      </c>
      <c r="G4210" s="63" t="n">
        <f aca="false">IF(G3899&gt;0,Pressupostos!$D$15+G4207/(G3899*1000*(1-Pressupostos!$D$16)*(1-Pressupostos!$D$18-G4208*Pressupostos!$C$118)),"n/a")</f>
        <v>9.17636393172286</v>
      </c>
      <c r="H4210" s="2" t="s">
        <v>1484</v>
      </c>
    </row>
    <row r="4211" customFormat="false" ht="15" hidden="false" customHeight="false" outlineLevel="1" collapsed="false">
      <c r="A4211" s="7" t="s">
        <v>825</v>
      </c>
      <c r="B4211" s="8" t="s">
        <v>64</v>
      </c>
      <c r="C4211" s="63" t="n">
        <f aca="false">IF(Pressupostos!$D$33=1,C3982-C4208*Pressupostos!$C$119*C3965,C3988)</f>
        <v>0.00725</v>
      </c>
      <c r="D4211" s="63" t="n">
        <f aca="false">IF(Pressupostos!$D$33=1,D3982-D4208*Pressupostos!$C$119*D3965,D3988)</f>
        <v>0.00725</v>
      </c>
      <c r="E4211" s="63" t="n">
        <f aca="false">IF(Pressupostos!$D$33=1,E3982-E4208*Pressupostos!$C$119*E3965,E3988)</f>
        <v>0.00725</v>
      </c>
      <c r="F4211" s="63" t="n">
        <f aca="false">IF(Pressupostos!$D$33=1,F3982-F4208*Pressupostos!$C$119*F3965,F3988)</f>
        <v>0.00725</v>
      </c>
      <c r="G4211" s="63" t="n">
        <f aca="false">IF(Pressupostos!$D$33=1,G3982-G4208*Pressupostos!$C$119*G3965,G3988)</f>
        <v>0.00725</v>
      </c>
      <c r="H4211" s="2" t="s">
        <v>1485</v>
      </c>
    </row>
    <row r="4212" customFormat="false" ht="15" hidden="false" customHeight="false" outlineLevel="1" collapsed="false">
      <c r="A4212" s="7" t="s">
        <v>826</v>
      </c>
      <c r="B4212" s="8" t="s">
        <v>120</v>
      </c>
      <c r="C4212" s="55" t="n">
        <f aca="false">IF(C4211&gt;0,C3901+C4207/(C4211*1000),"n/a")</f>
        <v>98129.303700992</v>
      </c>
      <c r="D4212" s="55" t="n">
        <f aca="false">IF(D4211&gt;0,D3901+D4207/(D4211*1000),"n/a")</f>
        <v>112147.86093866</v>
      </c>
      <c r="E4212" s="55" t="n">
        <f aca="false">IF(E4211&gt;0,E3901+E4207/(E4211*1000),"n/a")</f>
        <v>136989.328098455</v>
      </c>
      <c r="F4212" s="55" t="n">
        <f aca="false">IF(F4211&gt;0,F3901+F4207/(F4211*1000),"n/a")</f>
        <v>157080.453116307</v>
      </c>
      <c r="G4212" s="55" t="n">
        <f aca="false">IF(G4211&gt;0,G3901+G4207/(G4211*1000),"n/a")</f>
        <v>177684.966606576</v>
      </c>
      <c r="H4212" s="2" t="s">
        <v>1486</v>
      </c>
    </row>
    <row r="4213" customFormat="false" ht="15" hidden="false" customHeight="false" outlineLevel="1" collapsed="false">
      <c r="A4213" s="7" t="s">
        <v>827</v>
      </c>
      <c r="B4213" s="8" t="s">
        <v>76</v>
      </c>
      <c r="C4213" s="59" t="n">
        <f aca="false">C4207/(C4069+C4082+C4083)</f>
        <v>0.988127343113512</v>
      </c>
      <c r="D4213" s="59" t="n">
        <f aca="false">D4207/(D4069+D4082+D4083)</f>
        <v>0.987178864909215</v>
      </c>
      <c r="E4213" s="59" t="n">
        <f aca="false">E4207/(E4069+E4082+E4083)</f>
        <v>0.924598276352779</v>
      </c>
      <c r="F4213" s="59" t="n">
        <f aca="false">F4207/(F4069+F4082+F4083)</f>
        <v>0.872575499458817</v>
      </c>
      <c r="G4213" s="59" t="n">
        <f aca="false">G4207/(G4069+G4082+G4083)</f>
        <v>0.825170244923585</v>
      </c>
      <c r="H4213" s="2" t="s">
        <v>1487</v>
      </c>
    </row>
    <row r="4214" customFormat="false" ht="15" hidden="false" customHeight="false" outlineLevel="1" collapsed="false">
      <c r="A4214" s="2" t="s">
        <v>828</v>
      </c>
      <c r="B4214" s="8" t="s">
        <v>76</v>
      </c>
      <c r="C4214" s="60" t="n">
        <f aca="false">Pressupostos!$C$101*Pressupostos!$C$102+Pressupostos!$C$103-Pressupostos!$D$30*Pressupostos!$C$104*Pressupostos!$C$102/(Pressupostos!$C$105*Pressupostos!$C$106)</f>
        <v>0.00354285714285715</v>
      </c>
      <c r="D4214" s="60" t="n">
        <f aca="false">Pressupostos!$C$101*Pressupostos!$C$102+Pressupostos!$C$103-Pressupostos!$D$30*Pressupostos!$C$104*Pressupostos!$C$102/(Pressupostos!$C$105*Pressupostos!$C$106)</f>
        <v>0.00354285714285715</v>
      </c>
      <c r="E4214" s="60" t="n">
        <f aca="false">Pressupostos!$C$101*Pressupostos!$C$102+Pressupostos!$C$103-Pressupostos!$D$30*Pressupostos!$C$104*Pressupostos!$C$102/(Pressupostos!$C$105*Pressupostos!$C$106)</f>
        <v>0.00354285714285715</v>
      </c>
      <c r="F4214" s="60" t="n">
        <f aca="false">Pressupostos!$C$101*Pressupostos!$C$102+Pressupostos!$C$103-Pressupostos!$D$30*Pressupostos!$C$104*Pressupostos!$C$102/(Pressupostos!$C$105*Pressupostos!$C$106)</f>
        <v>0.00354285714285715</v>
      </c>
      <c r="G4214" s="60" t="n">
        <f aca="false">Pressupostos!$C$101*Pressupostos!$C$102+Pressupostos!$C$103-Pressupostos!$D$30*Pressupostos!$C$104*Pressupostos!$C$102/(Pressupostos!$C$105*Pressupostos!$C$106)</f>
        <v>0.00354285714285715</v>
      </c>
      <c r="H4214" s="2" t="s">
        <v>1488</v>
      </c>
    </row>
    <row r="4215" customFormat="false" ht="15" hidden="false" customHeight="false" outlineLevel="1" collapsed="false">
      <c r="A4215" s="7" t="s">
        <v>829</v>
      </c>
      <c r="B4215" s="8" t="s">
        <v>11</v>
      </c>
      <c r="C4215" s="61" t="n">
        <f aca="false">IF(C4214&gt;0,C3914+C4207/C4214,"n/a")</f>
        <v>200808958.178441</v>
      </c>
      <c r="D4215" s="61" t="n">
        <f aca="false">IF(D4214&gt;0,D3914+D4207/D4214,"n/a")</f>
        <v>229996126.719233</v>
      </c>
      <c r="E4215" s="61" t="n">
        <f aca="false">IF(E4214&gt;0,E3914+E4207/E4214,"n/a")</f>
        <v>281830983.911152</v>
      </c>
      <c r="F4215" s="61" t="n">
        <f aca="false">IF(F4214&gt;0,F3914+F4207/F4214,"n/a")</f>
        <v>324444878.856959</v>
      </c>
      <c r="G4215" s="61" t="n">
        <f aca="false">IF(G4214&gt;0,G3914+G4207/G4214,"n/a")</f>
        <v>368609357.067892</v>
      </c>
      <c r="H4215" s="2" t="s">
        <v>1489</v>
      </c>
    </row>
    <row r="4218" customFormat="false" ht="15" hidden="false" customHeight="false" outlineLevel="0" collapsed="false">
      <c r="A4218" s="111" t="s">
        <v>1502</v>
      </c>
      <c r="B4218" s="112"/>
      <c r="C4218" s="112"/>
      <c r="D4218" s="112"/>
      <c r="E4218" s="112"/>
      <c r="F4218" s="112"/>
      <c r="G4218" s="112"/>
      <c r="H4218" s="112"/>
    </row>
    <row r="4219" customFormat="false" ht="15" hidden="false" customHeight="false" outlineLevel="0" collapsed="false">
      <c r="A4219" s="3" t="s">
        <v>1170</v>
      </c>
      <c r="B4219" s="4"/>
      <c r="C4219" s="4"/>
      <c r="D4219" s="4"/>
      <c r="E4219" s="4"/>
      <c r="F4219" s="4"/>
      <c r="G4219" s="4"/>
      <c r="H4219" s="4"/>
    </row>
    <row r="4220" customFormat="false" ht="15" hidden="false" customHeight="false" outlineLevel="1" collapsed="false">
      <c r="A4220" s="7" t="s">
        <v>588</v>
      </c>
      <c r="B4220" s="8"/>
      <c r="C4220" s="52" t="n">
        <v>2027</v>
      </c>
      <c r="D4220" s="52" t="n">
        <v>2028</v>
      </c>
      <c r="E4220" s="52" t="n">
        <v>2029</v>
      </c>
      <c r="F4220" s="52" t="n">
        <v>2030</v>
      </c>
      <c r="G4220" s="52" t="n">
        <v>2031</v>
      </c>
      <c r="H4220" s="2" t="s">
        <v>20</v>
      </c>
    </row>
    <row r="4221" customFormat="false" ht="15" hidden="false" customHeight="false" outlineLevel="0" collapsed="false">
      <c r="A4221" s="3" t="s">
        <v>1171</v>
      </c>
      <c r="B4221" s="4"/>
      <c r="C4221" s="4"/>
      <c r="D4221" s="4"/>
      <c r="E4221" s="4"/>
      <c r="F4221" s="4"/>
      <c r="G4221" s="4"/>
      <c r="H4221" s="4"/>
    </row>
    <row r="4222" customFormat="false" ht="15" hidden="false" customHeight="false" outlineLevel="1" collapsed="false">
      <c r="A4222" s="7" t="s">
        <v>387</v>
      </c>
      <c r="B4222" s="8" t="s">
        <v>123</v>
      </c>
      <c r="C4222" s="53" t="n">
        <f aca="false">Pressupostos!$C$215</f>
        <v>40</v>
      </c>
      <c r="D4222" s="53" t="n">
        <f aca="false">Pressupostos!$D$215</f>
        <v>150</v>
      </c>
      <c r="E4222" s="53" t="n">
        <f aca="false">Pressupostos!$E$215</f>
        <v>400</v>
      </c>
      <c r="F4222" s="53" t="n">
        <f aca="false">Pressupostos!$F$215</f>
        <v>700</v>
      </c>
      <c r="G4222" s="53" t="n">
        <f aca="false">Pressupostos!$G$215</f>
        <v>1000</v>
      </c>
      <c r="H4222" s="2" t="s">
        <v>1172</v>
      </c>
    </row>
    <row r="4223" customFormat="false" ht="15" hidden="false" customHeight="false" outlineLevel="1" collapsed="false">
      <c r="A4223" s="7" t="s">
        <v>590</v>
      </c>
      <c r="B4223" s="8" t="s">
        <v>120</v>
      </c>
      <c r="C4223" s="54" t="n">
        <f aca="false">Pressupostos!$C$221</f>
        <v>8.2</v>
      </c>
      <c r="D4223" s="54" t="n">
        <f aca="false">Pressupostos!$D$221</f>
        <v>30.75</v>
      </c>
      <c r="E4223" s="54" t="n">
        <f aca="false">Pressupostos!$E$221</f>
        <v>82</v>
      </c>
      <c r="F4223" s="54" t="n">
        <f aca="false">Pressupostos!$F$221</f>
        <v>143.5</v>
      </c>
      <c r="G4223" s="54" t="n">
        <f aca="false">Pressupostos!$G$221</f>
        <v>205</v>
      </c>
      <c r="H4223" s="2" t="s">
        <v>1173</v>
      </c>
    </row>
    <row r="4224" customFormat="false" ht="15" hidden="false" customHeight="false" outlineLevel="1" collapsed="false">
      <c r="A4224" s="7" t="s">
        <v>591</v>
      </c>
      <c r="B4224" s="8" t="s">
        <v>120</v>
      </c>
      <c r="C4224" s="54" t="n">
        <f aca="false">Pressupostos!$C$227</f>
        <v>52</v>
      </c>
      <c r="D4224" s="54" t="n">
        <f aca="false">Pressupostos!$D$227</f>
        <v>363</v>
      </c>
      <c r="E4224" s="54" t="n">
        <f aca="false">Pressupostos!$E$227</f>
        <v>717</v>
      </c>
      <c r="F4224" s="54" t="n">
        <f aca="false">Pressupostos!$F$227</f>
        <v>1183</v>
      </c>
      <c r="G4224" s="54" t="n">
        <f aca="false">Pressupostos!$G$227</f>
        <v>1790</v>
      </c>
      <c r="H4224" s="2" t="s">
        <v>1174</v>
      </c>
    </row>
    <row r="4225" customFormat="false" ht="15" hidden="false" customHeight="false" outlineLevel="1" collapsed="false">
      <c r="A4225" s="7" t="s">
        <v>398</v>
      </c>
      <c r="B4225" s="8" t="s">
        <v>120</v>
      </c>
      <c r="C4225" s="54" t="n">
        <f aca="false">Pressupostos!$C$233</f>
        <v>0</v>
      </c>
      <c r="D4225" s="54" t="n">
        <f aca="false">Pressupostos!$D$233</f>
        <v>500</v>
      </c>
      <c r="E4225" s="54" t="n">
        <f aca="false">Pressupostos!$E$233</f>
        <v>1500</v>
      </c>
      <c r="F4225" s="54" t="n">
        <f aca="false">Pressupostos!$F$233</f>
        <v>2500</v>
      </c>
      <c r="G4225" s="54" t="n">
        <f aca="false">Pressupostos!$G$233</f>
        <v>3500</v>
      </c>
      <c r="H4225" s="2" t="s">
        <v>1175</v>
      </c>
    </row>
    <row r="4226" customFormat="false" ht="15" hidden="false" customHeight="false" outlineLevel="1" collapsed="false">
      <c r="A4226" s="7" t="s">
        <v>592</v>
      </c>
      <c r="B4226" s="8" t="s">
        <v>120</v>
      </c>
      <c r="C4226" s="55" t="n">
        <f aca="false">C4225*Pressupostos!$F$33</f>
        <v>0</v>
      </c>
      <c r="D4226" s="55" t="n">
        <f aca="false">D4225*Pressupostos!$F$33</f>
        <v>0</v>
      </c>
      <c r="E4226" s="55" t="n">
        <f aca="false">E4225*Pressupostos!$F$33</f>
        <v>0</v>
      </c>
      <c r="F4226" s="55" t="n">
        <f aca="false">F4225*Pressupostos!$F$33</f>
        <v>0</v>
      </c>
      <c r="G4226" s="55" t="n">
        <f aca="false">G4225*Pressupostos!$F$33</f>
        <v>0</v>
      </c>
      <c r="H4226" s="2" t="s">
        <v>1176</v>
      </c>
    </row>
    <row r="4227" customFormat="false" ht="15" hidden="false" customHeight="false" outlineLevel="1" collapsed="false">
      <c r="A4227" s="7" t="s">
        <v>593</v>
      </c>
      <c r="B4227" s="8" t="s">
        <v>120</v>
      </c>
      <c r="C4227" s="55" t="n">
        <f aca="false">C4225-C4226</f>
        <v>0</v>
      </c>
      <c r="D4227" s="55" t="n">
        <f aca="false">D4225-D4226</f>
        <v>500</v>
      </c>
      <c r="E4227" s="55" t="n">
        <f aca="false">E4225-E4226</f>
        <v>1500</v>
      </c>
      <c r="F4227" s="55" t="n">
        <f aca="false">F4225-F4226</f>
        <v>2500</v>
      </c>
      <c r="G4227" s="55" t="n">
        <f aca="false">G4225-G4226</f>
        <v>3500</v>
      </c>
      <c r="H4227" s="2" t="s">
        <v>1177</v>
      </c>
    </row>
    <row r="4228" customFormat="false" ht="15" hidden="false" customHeight="false" outlineLevel="1" collapsed="false">
      <c r="A4228" s="56" t="s">
        <v>594</v>
      </c>
      <c r="B4228" s="57" t="s">
        <v>120</v>
      </c>
      <c r="C4228" s="58" t="n">
        <f aca="false">C4223+C4224+C4225</f>
        <v>60.2</v>
      </c>
      <c r="D4228" s="58" t="n">
        <f aca="false">D4223+D4224+D4225</f>
        <v>893.75</v>
      </c>
      <c r="E4228" s="58" t="n">
        <f aca="false">E4223+E4224+E4225</f>
        <v>2299</v>
      </c>
      <c r="F4228" s="58" t="n">
        <f aca="false">F4223+F4224+F4225</f>
        <v>3826.5</v>
      </c>
      <c r="G4228" s="58" t="n">
        <f aca="false">G4223+G4224+G4225</f>
        <v>5495</v>
      </c>
      <c r="H4228" s="2" t="s">
        <v>1178</v>
      </c>
    </row>
    <row r="4229" customFormat="false" ht="15" hidden="false" customHeight="false" outlineLevel="1" collapsed="false">
      <c r="A4229" s="7" t="s">
        <v>595</v>
      </c>
      <c r="B4229" s="8" t="s">
        <v>76</v>
      </c>
      <c r="C4229" s="59" t="n">
        <f aca="false">IF(C4228&gt;0,C4223/C4228,0)</f>
        <v>0.136212624584718</v>
      </c>
      <c r="D4229" s="59" t="n">
        <f aca="false">IF(D4228&gt;0,D4223/D4228,0)</f>
        <v>0.0344055944055944</v>
      </c>
      <c r="E4229" s="59" t="n">
        <f aca="false">IF(E4228&gt;0,E4223/E4228,0)</f>
        <v>0.035667681600696</v>
      </c>
      <c r="F4229" s="59" t="n">
        <f aca="false">IF(F4228&gt;0,F4223/F4228,0)</f>
        <v>0.0375016333464001</v>
      </c>
      <c r="G4229" s="59" t="n">
        <f aca="false">IF(G4228&gt;0,G4223/G4228,0)</f>
        <v>0.0373066424021838</v>
      </c>
      <c r="H4229" s="2" t="s">
        <v>1179</v>
      </c>
    </row>
    <row r="4230" customFormat="false" ht="15" hidden="false" customHeight="false" outlineLevel="1" collapsed="false">
      <c r="A4230" s="7" t="s">
        <v>596</v>
      </c>
      <c r="B4230" s="8" t="s">
        <v>76</v>
      </c>
      <c r="C4230" s="60" t="n">
        <f aca="false">C4228/(Pressupostos!$C$76*1000)</f>
        <v>0.000355162241887906</v>
      </c>
      <c r="D4230" s="60" t="n">
        <f aca="false">D4228/(Pressupostos!$C$76*1000)</f>
        <v>0.00527286135693215</v>
      </c>
      <c r="E4230" s="60" t="n">
        <f aca="false">E4228/(Pressupostos!$C$76*1000)</f>
        <v>0.0135634218289086</v>
      </c>
      <c r="F4230" s="60" t="n">
        <f aca="false">F4228/(Pressupostos!$C$76*1000)</f>
        <v>0.0225752212389381</v>
      </c>
      <c r="G4230" s="60" t="n">
        <f aca="false">G4228/(Pressupostos!$C$76*1000)</f>
        <v>0.0324188790560472</v>
      </c>
      <c r="H4230" s="2" t="s">
        <v>1180</v>
      </c>
    </row>
    <row r="4231" customFormat="false" ht="15" hidden="false" customHeight="false" outlineLevel="1" collapsed="false">
      <c r="A4231" s="7" t="s">
        <v>597</v>
      </c>
      <c r="B4231" s="8" t="s">
        <v>123</v>
      </c>
      <c r="C4231" s="55" t="n">
        <f aca="false">C4223/Pressupostos!$C$40+C4224/Pressupostos!$C$47+C4225/Pressupostos!$C$59</f>
        <v>2.14333333333333</v>
      </c>
      <c r="D4231" s="55" t="n">
        <f aca="false">D4223/Pressupostos!$C$40+D4224/Pressupostos!$C$47+D4225/Pressupostos!$C$59</f>
        <v>18.6375</v>
      </c>
      <c r="E4231" s="55" t="n">
        <f aca="false">E4223/Pressupostos!$C$40+E4224/Pressupostos!$C$47+E4225/Pressupostos!$C$59</f>
        <v>43</v>
      </c>
      <c r="F4231" s="55" t="n">
        <f aca="false">F4223/Pressupostos!$C$40+F4224/Pressupostos!$C$47+F4225/Pressupostos!$C$59</f>
        <v>71.6083333333333</v>
      </c>
      <c r="G4231" s="55" t="n">
        <f aca="false">G4223/Pressupostos!$C$40+G4224/Pressupostos!$C$47+G4225/Pressupostos!$C$59</f>
        <v>104.916666666667</v>
      </c>
      <c r="H4231" s="2" t="s">
        <v>1181</v>
      </c>
    </row>
    <row r="4232" customFormat="false" ht="15" hidden="false" customHeight="false" outlineLevel="0" collapsed="false">
      <c r="A4232" s="3" t="s">
        <v>1182</v>
      </c>
      <c r="B4232" s="4"/>
      <c r="C4232" s="4"/>
      <c r="D4232" s="4"/>
      <c r="E4232" s="4"/>
      <c r="F4232" s="4"/>
      <c r="G4232" s="4"/>
      <c r="H4232" s="4"/>
    </row>
    <row r="4233" customFormat="false" ht="15" hidden="false" customHeight="false" outlineLevel="1" collapsed="false">
      <c r="A4233" s="7" t="s">
        <v>599</v>
      </c>
      <c r="B4233" s="8" t="s">
        <v>202</v>
      </c>
      <c r="C4233" s="53" t="n">
        <f aca="false">Pressupostos!$C$259</f>
        <v>36</v>
      </c>
      <c r="D4233" s="53" t="n">
        <f aca="false">Pressupostos!$D$259</f>
        <v>135</v>
      </c>
      <c r="E4233" s="53" t="n">
        <f aca="false">Pressupostos!$E$259</f>
        <v>360</v>
      </c>
      <c r="F4233" s="53" t="n">
        <f aca="false">Pressupostos!$F$259</f>
        <v>630</v>
      </c>
      <c r="G4233" s="53" t="n">
        <f aca="false">Pressupostos!$G$259</f>
        <v>900</v>
      </c>
      <c r="H4233" s="2" t="s">
        <v>1183</v>
      </c>
    </row>
    <row r="4234" customFormat="false" ht="15" hidden="false" customHeight="false" outlineLevel="1" collapsed="false">
      <c r="A4234" s="7" t="s">
        <v>599</v>
      </c>
      <c r="B4234" s="8" t="s">
        <v>189</v>
      </c>
      <c r="C4234" s="61" t="n">
        <f aca="false">C4233*Pressupostos!$C$78</f>
        <v>27000</v>
      </c>
      <c r="D4234" s="61" t="n">
        <f aca="false">D4233*Pressupostos!$C$78</f>
        <v>101250</v>
      </c>
      <c r="E4234" s="61" t="n">
        <f aca="false">E4233*Pressupostos!$C$78</f>
        <v>270000</v>
      </c>
      <c r="F4234" s="61" t="n">
        <f aca="false">F4233*Pressupostos!$C$78</f>
        <v>472500</v>
      </c>
      <c r="G4234" s="61" t="n">
        <f aca="false">G4233*Pressupostos!$C$78</f>
        <v>675000</v>
      </c>
      <c r="H4234" s="2" t="s">
        <v>1184</v>
      </c>
    </row>
    <row r="4235" customFormat="false" ht="15" hidden="false" customHeight="false" outlineLevel="0" collapsed="false">
      <c r="A4235" s="3" t="s">
        <v>1185</v>
      </c>
      <c r="B4235" s="4"/>
      <c r="C4235" s="4"/>
      <c r="D4235" s="4"/>
      <c r="E4235" s="4"/>
      <c r="F4235" s="4"/>
      <c r="G4235" s="4"/>
      <c r="H4235" s="4"/>
    </row>
    <row r="4236" customFormat="false" ht="15" hidden="false" customHeight="false" outlineLevel="1" collapsed="false">
      <c r="A4236" s="7" t="s">
        <v>601</v>
      </c>
      <c r="B4236" s="8" t="s">
        <v>120</v>
      </c>
      <c r="C4236" s="55" t="n">
        <f aca="false">IF(C4220&lt;Pressupostos!$F$28,0,Pressupostos!$C$265)</f>
        <v>0</v>
      </c>
      <c r="D4236" s="55" t="n">
        <f aca="false">IF(D4220&lt;Pressupostos!$F$28,0,Pressupostos!$D$265)</f>
        <v>0</v>
      </c>
      <c r="E4236" s="55" t="n">
        <f aca="false">IF(E4220&lt;Pressupostos!$F$28,0,Pressupostos!$E$265)</f>
        <v>0</v>
      </c>
      <c r="F4236" s="55" t="n">
        <f aca="false">IF(F4220&lt;Pressupostos!$F$28,0,Pressupostos!$F$265)</f>
        <v>20</v>
      </c>
      <c r="G4236" s="55" t="n">
        <f aca="false">IF(G4220&lt;Pressupostos!$F$28,0,Pressupostos!$G$265)</f>
        <v>50</v>
      </c>
      <c r="H4236" s="2" t="s">
        <v>1186</v>
      </c>
    </row>
    <row r="4237" customFormat="false" ht="15" hidden="false" customHeight="false" outlineLevel="0" collapsed="false">
      <c r="A4237" s="3" t="s">
        <v>1187</v>
      </c>
      <c r="B4237" s="4"/>
      <c r="C4237" s="4"/>
      <c r="D4237" s="4"/>
      <c r="E4237" s="4"/>
      <c r="F4237" s="4"/>
      <c r="G4237" s="4"/>
      <c r="H4237" s="4"/>
    </row>
    <row r="4238" customFormat="false" ht="15" hidden="false" customHeight="false" outlineLevel="1" collapsed="false">
      <c r="A4238" s="7" t="s">
        <v>603</v>
      </c>
      <c r="B4238" s="8" t="s">
        <v>11</v>
      </c>
      <c r="C4238" s="53" t="n">
        <f aca="false">Pressupostos!$C$271</f>
        <v>0</v>
      </c>
      <c r="D4238" s="53" t="n">
        <f aca="false">Pressupostos!$D$271</f>
        <v>500000</v>
      </c>
      <c r="E4238" s="53" t="n">
        <f aca="false">Pressupostos!$E$271</f>
        <v>1500000</v>
      </c>
      <c r="F4238" s="53" t="n">
        <f aca="false">Pressupostos!$F$271</f>
        <v>3000000</v>
      </c>
      <c r="G4238" s="53" t="n">
        <f aca="false">Pressupostos!$G$271</f>
        <v>5000000</v>
      </c>
      <c r="H4238" s="2" t="s">
        <v>1188</v>
      </c>
    </row>
    <row r="4239" customFormat="false" ht="15" hidden="false" customHeight="false" outlineLevel="1" collapsed="false">
      <c r="A4239" s="7" t="s">
        <v>604</v>
      </c>
      <c r="B4239" s="8" t="s">
        <v>120</v>
      </c>
      <c r="C4239" s="55" t="n">
        <f aca="false">C4238/(Pressupostos!$C$105*Pressupostos!$C$106)*Pressupostos!$C$102/1000</f>
        <v>0</v>
      </c>
      <c r="D4239" s="55" t="n">
        <f aca="false">D4238/(Pressupostos!$C$105*Pressupostos!$C$106)*Pressupostos!$C$102/1000</f>
        <v>457.142857142857</v>
      </c>
      <c r="E4239" s="55" t="n">
        <f aca="false">E4238/(Pressupostos!$C$105*Pressupostos!$C$106)*Pressupostos!$C$102/1000</f>
        <v>1371.42857142857</v>
      </c>
      <c r="F4239" s="55" t="n">
        <f aca="false">F4238/(Pressupostos!$C$105*Pressupostos!$C$106)*Pressupostos!$C$102/1000</f>
        <v>2742.85714285714</v>
      </c>
      <c r="G4239" s="55" t="n">
        <f aca="false">G4238/(Pressupostos!$C$105*Pressupostos!$C$106)*Pressupostos!$C$102/1000</f>
        <v>4571.42857142857</v>
      </c>
      <c r="H4239" s="2" t="s">
        <v>1189</v>
      </c>
    </row>
    <row r="4240" customFormat="false" ht="15" hidden="false" customHeight="false" outlineLevel="0" collapsed="false">
      <c r="A4240" s="3" t="s">
        <v>1190</v>
      </c>
      <c r="B4240" s="4"/>
      <c r="C4240" s="4"/>
      <c r="D4240" s="4"/>
      <c r="E4240" s="4"/>
      <c r="F4240" s="4"/>
      <c r="G4240" s="4"/>
      <c r="H4240" s="4"/>
    </row>
    <row r="4241" customFormat="false" ht="15" hidden="false" customHeight="false" outlineLevel="1" collapsed="false">
      <c r="A4241" s="7" t="s">
        <v>669</v>
      </c>
      <c r="B4241" s="8" t="s">
        <v>64</v>
      </c>
      <c r="C4241" s="63" t="n">
        <f aca="false">Pressupostos!$F$10+Pressupostos!$F$11</f>
        <v>3.65</v>
      </c>
      <c r="D4241" s="63" t="n">
        <f aca="false">Pressupostos!$F$10+Pressupostos!$F$11</f>
        <v>3.65</v>
      </c>
      <c r="E4241" s="63" t="n">
        <f aca="false">Pressupostos!$F$10+Pressupostos!$F$11</f>
        <v>3.65</v>
      </c>
      <c r="F4241" s="63" t="n">
        <f aca="false">Pressupostos!$F$10+Pressupostos!$F$11</f>
        <v>3.65</v>
      </c>
      <c r="G4241" s="63" t="n">
        <f aca="false">Pressupostos!$F$10+Pressupostos!$F$11</f>
        <v>3.65</v>
      </c>
      <c r="H4241" s="2" t="s">
        <v>1191</v>
      </c>
    </row>
    <row r="4242" customFormat="false" ht="15" hidden="false" customHeight="false" outlineLevel="1" collapsed="false">
      <c r="A4242" s="7" t="s">
        <v>670</v>
      </c>
      <c r="B4242" s="8" t="s">
        <v>64</v>
      </c>
      <c r="C4242" s="67" t="n">
        <f aca="false">Pressupostos!$F$15</f>
        <v>6</v>
      </c>
      <c r="D4242" s="67" t="n">
        <f aca="false">Pressupostos!$F$15</f>
        <v>6</v>
      </c>
      <c r="E4242" s="67" t="n">
        <f aca="false">Pressupostos!$F$15</f>
        <v>6</v>
      </c>
      <c r="F4242" s="67" t="n">
        <f aca="false">Pressupostos!$F$15</f>
        <v>6</v>
      </c>
      <c r="G4242" s="67" t="n">
        <f aca="false">Pressupostos!$F$15</f>
        <v>6</v>
      </c>
      <c r="H4242" s="2" t="s">
        <v>1192</v>
      </c>
    </row>
    <row r="4243" customFormat="false" ht="15" hidden="false" customHeight="false" outlineLevel="1" collapsed="false">
      <c r="A4243" s="56" t="s">
        <v>671</v>
      </c>
      <c r="B4243" s="57" t="s">
        <v>64</v>
      </c>
      <c r="C4243" s="68" t="n">
        <f aca="false">C4242*(1-(Pressupostos!$C$191))</f>
        <v>5.4</v>
      </c>
      <c r="D4243" s="68" t="n">
        <f aca="false">D4242*(1-(Pressupostos!$C$191))</f>
        <v>5.4</v>
      </c>
      <c r="E4243" s="68" t="n">
        <f aca="false">E4242*(1-(Pressupostos!$C$191))</f>
        <v>5.4</v>
      </c>
      <c r="F4243" s="68" t="n">
        <f aca="false">F4242*(1-(Pressupostos!$C$191))</f>
        <v>5.4</v>
      </c>
      <c r="G4243" s="68" t="n">
        <f aca="false">G4242*(1-(Pressupostos!$C$191))</f>
        <v>5.4</v>
      </c>
      <c r="H4243" s="2" t="s">
        <v>1193</v>
      </c>
    </row>
    <row r="4244" customFormat="false" ht="15" hidden="false" customHeight="false" outlineLevel="1" collapsed="false">
      <c r="A4244" s="7" t="s">
        <v>144</v>
      </c>
      <c r="B4244" s="8" t="s">
        <v>64</v>
      </c>
      <c r="C4244" s="67" t="n">
        <f aca="false">Pressupostos!$C$38</f>
        <v>0.55</v>
      </c>
      <c r="D4244" s="67" t="n">
        <f aca="false">Pressupostos!$C$38</f>
        <v>0.55</v>
      </c>
      <c r="E4244" s="67" t="n">
        <f aca="false">Pressupostos!$C$38</f>
        <v>0.55</v>
      </c>
      <c r="F4244" s="67" t="n">
        <f aca="false">Pressupostos!$C$38</f>
        <v>0.55</v>
      </c>
      <c r="G4244" s="67" t="n">
        <f aca="false">Pressupostos!$C$38</f>
        <v>0.55</v>
      </c>
      <c r="H4244" s="2" t="s">
        <v>1194</v>
      </c>
    </row>
    <row r="4245" customFormat="false" ht="15" hidden="false" customHeight="false" outlineLevel="1" collapsed="false">
      <c r="A4245" s="7" t="s">
        <v>215</v>
      </c>
      <c r="B4245" s="8" t="s">
        <v>64</v>
      </c>
      <c r="C4245" s="67" t="n">
        <f aca="false">Pressupostos!$C$240</f>
        <v>0.3</v>
      </c>
      <c r="D4245" s="67" t="n">
        <f aca="false">Pressupostos!$D$240</f>
        <v>0.3</v>
      </c>
      <c r="E4245" s="67" t="n">
        <f aca="false">Pressupostos!$E$240</f>
        <v>0.28</v>
      </c>
      <c r="F4245" s="67" t="n">
        <f aca="false">Pressupostos!$F$240</f>
        <v>0.27</v>
      </c>
      <c r="G4245" s="67" t="n">
        <f aca="false">Pressupostos!$G$240</f>
        <v>0.27</v>
      </c>
      <c r="H4245" s="2" t="s">
        <v>1195</v>
      </c>
    </row>
    <row r="4246" customFormat="false" ht="15" hidden="false" customHeight="false" outlineLevel="1" collapsed="false">
      <c r="A4246" s="7" t="s">
        <v>117</v>
      </c>
      <c r="B4246" s="8" t="s">
        <v>64</v>
      </c>
      <c r="C4246" s="67" t="n">
        <f aca="false">Pressupostos!$C$39</f>
        <v>0.06</v>
      </c>
      <c r="D4246" s="67" t="n">
        <f aca="false">Pressupostos!$C$39</f>
        <v>0.06</v>
      </c>
      <c r="E4246" s="67" t="n">
        <f aca="false">Pressupostos!$C$39</f>
        <v>0.06</v>
      </c>
      <c r="F4246" s="67" t="n">
        <f aca="false">Pressupostos!$C$39</f>
        <v>0.06</v>
      </c>
      <c r="G4246" s="67" t="n">
        <f aca="false">Pressupostos!$C$39</f>
        <v>0.06</v>
      </c>
      <c r="H4246" s="2" t="s">
        <v>1196</v>
      </c>
    </row>
    <row r="4247" customFormat="false" ht="15" hidden="false" customHeight="false" outlineLevel="1" collapsed="false">
      <c r="A4247" s="7" t="s">
        <v>91</v>
      </c>
      <c r="B4247" s="8" t="s">
        <v>79</v>
      </c>
      <c r="C4247" s="69" t="n">
        <f aca="false">Pressupostos!$C$246</f>
        <v>180</v>
      </c>
      <c r="D4247" s="69" t="n">
        <f aca="false">Pressupostos!$D$246</f>
        <v>180</v>
      </c>
      <c r="E4247" s="69" t="n">
        <f aca="false">Pressupostos!$E$246</f>
        <v>45</v>
      </c>
      <c r="F4247" s="69" t="n">
        <f aca="false">Pressupostos!$F$246</f>
        <v>45</v>
      </c>
      <c r="G4247" s="69" t="n">
        <f aca="false">Pressupostos!$G$246</f>
        <v>45</v>
      </c>
      <c r="H4247" s="2" t="s">
        <v>1197</v>
      </c>
    </row>
    <row r="4248" customFormat="false" ht="15" hidden="false" customHeight="false" outlineLevel="1" collapsed="false">
      <c r="A4248" s="7" t="s">
        <v>78</v>
      </c>
      <c r="B4248" s="8" t="s">
        <v>79</v>
      </c>
      <c r="C4248" s="69" t="n">
        <f aca="false">Pressupostos!$F$17</f>
        <v>35</v>
      </c>
      <c r="D4248" s="69" t="n">
        <f aca="false">Pressupostos!$F$17</f>
        <v>35</v>
      </c>
      <c r="E4248" s="69" t="n">
        <f aca="false">Pressupostos!$F$17</f>
        <v>35</v>
      </c>
      <c r="F4248" s="69" t="n">
        <f aca="false">Pressupostos!$F$17</f>
        <v>35</v>
      </c>
      <c r="G4248" s="69" t="n">
        <f aca="false">Pressupostos!$F$17</f>
        <v>35</v>
      </c>
      <c r="H4248" s="2" t="s">
        <v>1198</v>
      </c>
    </row>
    <row r="4249" customFormat="false" ht="15" hidden="false" customHeight="false" outlineLevel="1" collapsed="false">
      <c r="A4249" s="7" t="s">
        <v>490</v>
      </c>
      <c r="B4249" s="8" t="s">
        <v>64</v>
      </c>
      <c r="C4249" s="63" t="n">
        <f aca="false">Pressupostos!$C$66*C4247/30/1000</f>
        <v>0.024</v>
      </c>
      <c r="D4249" s="63" t="n">
        <f aca="false">Pressupostos!$C$66*D4247/30/1000</f>
        <v>0.024</v>
      </c>
      <c r="E4249" s="63" t="n">
        <f aca="false">Pressupostos!$C$66*E4247/30/1000</f>
        <v>0.006</v>
      </c>
      <c r="F4249" s="63" t="n">
        <f aca="false">Pressupostos!$C$66*F4247/30/1000</f>
        <v>0.006</v>
      </c>
      <c r="G4249" s="63" t="n">
        <f aca="false">Pressupostos!$C$66*G4247/30/1000</f>
        <v>0.006</v>
      </c>
      <c r="H4249" s="2" t="s">
        <v>1199</v>
      </c>
    </row>
    <row r="4250" customFormat="false" ht="15" hidden="false" customHeight="false" outlineLevel="1" collapsed="false">
      <c r="A4250" s="7" t="s">
        <v>165</v>
      </c>
      <c r="B4250" s="8" t="s">
        <v>64</v>
      </c>
      <c r="C4250" s="63" t="n">
        <f aca="false">C4241*Pressupostos!$C$67*C4247/365</f>
        <v>0.0036</v>
      </c>
      <c r="D4250" s="63" t="n">
        <f aca="false">D4241*Pressupostos!$C$67*D4247/365</f>
        <v>0.0036</v>
      </c>
      <c r="E4250" s="63" t="n">
        <f aca="false">E4241*Pressupostos!$C$67*E4247/365</f>
        <v>0.0009</v>
      </c>
      <c r="F4250" s="63" t="n">
        <f aca="false">F4241*Pressupostos!$C$67*F4247/365</f>
        <v>0.0009</v>
      </c>
      <c r="G4250" s="63" t="n">
        <f aca="false">G4241*Pressupostos!$C$67*G4247/365</f>
        <v>0.0009</v>
      </c>
      <c r="H4250" s="2" t="s">
        <v>1200</v>
      </c>
    </row>
    <row r="4251" customFormat="false" ht="15" hidden="false" customHeight="false" outlineLevel="1" collapsed="false">
      <c r="A4251" s="7" t="s">
        <v>672</v>
      </c>
      <c r="B4251" s="8" t="s">
        <v>64</v>
      </c>
      <c r="C4251" s="63" t="n">
        <f aca="false">Pressupostos!$C$41*Pressupostos!$C$68/(Pressupostos!$C$40*1000)</f>
        <v>0.03</v>
      </c>
      <c r="D4251" s="63" t="n">
        <f aca="false">Pressupostos!$C$41*Pressupostos!$C$68/(Pressupostos!$C$40*1000)</f>
        <v>0.03</v>
      </c>
      <c r="E4251" s="63" t="n">
        <f aca="false">Pressupostos!$C$41*Pressupostos!$C$68/(Pressupostos!$C$40*1000)</f>
        <v>0.03</v>
      </c>
      <c r="F4251" s="63" t="n">
        <f aca="false">Pressupostos!$C$41*Pressupostos!$C$68/(Pressupostos!$C$40*1000)</f>
        <v>0.03</v>
      </c>
      <c r="G4251" s="63" t="n">
        <f aca="false">Pressupostos!$C$41*Pressupostos!$C$68/(Pressupostos!$C$40*1000)</f>
        <v>0.03</v>
      </c>
      <c r="H4251" s="2" t="s">
        <v>1201</v>
      </c>
    </row>
    <row r="4252" customFormat="false" ht="15" hidden="false" customHeight="false" outlineLevel="1" collapsed="false">
      <c r="A4252" s="7" t="s">
        <v>492</v>
      </c>
      <c r="B4252" s="8" t="s">
        <v>64</v>
      </c>
      <c r="C4252" s="63" t="n">
        <f aca="false">Pressupostos!$C$69*C4241</f>
        <v>0.01825</v>
      </c>
      <c r="D4252" s="63" t="n">
        <f aca="false">Pressupostos!$C$69*D4241</f>
        <v>0.01825</v>
      </c>
      <c r="E4252" s="63" t="n">
        <f aca="false">Pressupostos!$C$69*E4241</f>
        <v>0.01825</v>
      </c>
      <c r="F4252" s="63" t="n">
        <f aca="false">Pressupostos!$C$69*F4241</f>
        <v>0.01825</v>
      </c>
      <c r="G4252" s="63" t="n">
        <f aca="false">Pressupostos!$C$69*G4241</f>
        <v>0.01825</v>
      </c>
      <c r="H4252" s="2" t="s">
        <v>1202</v>
      </c>
    </row>
    <row r="4253" customFormat="false" ht="15" hidden="false" customHeight="false" outlineLevel="1" collapsed="false">
      <c r="A4253" s="7" t="s">
        <v>493</v>
      </c>
      <c r="B4253" s="8" t="s">
        <v>64</v>
      </c>
      <c r="C4253" s="63" t="n">
        <f aca="false">Pressupostos!$C$70*Pressupostos!$C$71*C4247/90</f>
        <v>0.018</v>
      </c>
      <c r="D4253" s="63" t="n">
        <f aca="false">Pressupostos!$C$70*Pressupostos!$C$71*D4247/90</f>
        <v>0.018</v>
      </c>
      <c r="E4253" s="63" t="n">
        <f aca="false">Pressupostos!$C$70*Pressupostos!$C$71*E4247/90</f>
        <v>0.0045</v>
      </c>
      <c r="F4253" s="63" t="n">
        <f aca="false">Pressupostos!$C$70*Pressupostos!$C$71*F4247/90</f>
        <v>0.0045</v>
      </c>
      <c r="G4253" s="63" t="n">
        <f aca="false">Pressupostos!$C$70*Pressupostos!$C$71*G4247/90</f>
        <v>0.0045</v>
      </c>
      <c r="H4253" s="2" t="s">
        <v>1203</v>
      </c>
    </row>
    <row r="4254" customFormat="false" ht="15" hidden="false" customHeight="false" outlineLevel="1" collapsed="false">
      <c r="A4254" s="7" t="s">
        <v>673</v>
      </c>
      <c r="B4254" s="8" t="s">
        <v>64</v>
      </c>
      <c r="C4254" s="63" t="n">
        <f aca="false">Pressupostos!$C$42/(Pressupostos!$C$40*1000)</f>
        <v>0.1</v>
      </c>
      <c r="D4254" s="63" t="n">
        <f aca="false">Pressupostos!$C$42/(Pressupostos!$C$40*1000)</f>
        <v>0.1</v>
      </c>
      <c r="E4254" s="63" t="n">
        <f aca="false">Pressupostos!$C$42/(Pressupostos!$C$40*1000)</f>
        <v>0.1</v>
      </c>
      <c r="F4254" s="63" t="n">
        <f aca="false">Pressupostos!$C$42/(Pressupostos!$C$40*1000)</f>
        <v>0.1</v>
      </c>
      <c r="G4254" s="63" t="n">
        <f aca="false">Pressupostos!$C$42/(Pressupostos!$C$40*1000)</f>
        <v>0.1</v>
      </c>
      <c r="H4254" s="2" t="s">
        <v>1204</v>
      </c>
    </row>
    <row r="4255" customFormat="false" ht="15" hidden="false" customHeight="false" outlineLevel="1" collapsed="false">
      <c r="A4255" s="7" t="s">
        <v>139</v>
      </c>
      <c r="B4255" s="8" t="s">
        <v>64</v>
      </c>
      <c r="C4255" s="67" t="n">
        <f aca="false">Pressupostos!$C$43</f>
        <v>0.01</v>
      </c>
      <c r="D4255" s="67" t="n">
        <f aca="false">Pressupostos!$C$43</f>
        <v>0.01</v>
      </c>
      <c r="E4255" s="67" t="n">
        <f aca="false">Pressupostos!$C$43</f>
        <v>0.01</v>
      </c>
      <c r="F4255" s="67" t="n">
        <f aca="false">Pressupostos!$C$43</f>
        <v>0.01</v>
      </c>
      <c r="G4255" s="67" t="n">
        <f aca="false">Pressupostos!$C$43</f>
        <v>0.01</v>
      </c>
      <c r="H4255" s="2" t="s">
        <v>1205</v>
      </c>
    </row>
    <row r="4256" customFormat="false" ht="15" hidden="false" customHeight="false" outlineLevel="1" collapsed="false">
      <c r="A4256" s="7" t="s">
        <v>81</v>
      </c>
      <c r="B4256" s="8" t="s">
        <v>64</v>
      </c>
      <c r="C4256" s="63" t="n">
        <f aca="false">Pressupostos!$F$18*C4243</f>
        <v>0.0324</v>
      </c>
      <c r="D4256" s="63" t="n">
        <f aca="false">Pressupostos!$F$18*D4243</f>
        <v>0.0324</v>
      </c>
      <c r="E4256" s="63" t="n">
        <f aca="false">Pressupostos!$F$18*E4243</f>
        <v>0.0324</v>
      </c>
      <c r="F4256" s="63" t="n">
        <f aca="false">Pressupostos!$F$18*F4243</f>
        <v>0.0324</v>
      </c>
      <c r="G4256" s="63" t="n">
        <f aca="false">Pressupostos!$F$18*G4243</f>
        <v>0.0324</v>
      </c>
      <c r="H4256" s="2" t="s">
        <v>1206</v>
      </c>
    </row>
    <row r="4257" customFormat="false" ht="15" hidden="false" customHeight="false" outlineLevel="1" collapsed="false">
      <c r="A4257" s="7" t="s">
        <v>674</v>
      </c>
      <c r="B4257" s="8" t="s">
        <v>64</v>
      </c>
      <c r="C4257" s="63" t="n">
        <f aca="false">Pressupostos!$C$73*C4243</f>
        <v>0</v>
      </c>
      <c r="D4257" s="63" t="n">
        <f aca="false">Pressupostos!$C$73*D4243</f>
        <v>0</v>
      </c>
      <c r="E4257" s="63" t="n">
        <f aca="false">Pressupostos!$C$73*E4243</f>
        <v>0</v>
      </c>
      <c r="F4257" s="63" t="n">
        <f aca="false">Pressupostos!$C$73*F4243</f>
        <v>0</v>
      </c>
      <c r="G4257" s="63" t="n">
        <f aca="false">Pressupostos!$C$73*G4243</f>
        <v>0</v>
      </c>
      <c r="H4257" s="2" t="s">
        <v>1207</v>
      </c>
    </row>
    <row r="4258" customFormat="false" ht="15" hidden="false" customHeight="false" outlineLevel="1" collapsed="false">
      <c r="A4258" s="7" t="s">
        <v>675</v>
      </c>
      <c r="B4258" s="8" t="s">
        <v>64</v>
      </c>
      <c r="C4258" s="63" t="n">
        <f aca="false">Pressupostos!$C$290*(C4241+C4244)*(C4247+C4248-Pressupostos!$C$72)/365*Pressupostos!$C$284/Pressupostos!$F$31</f>
        <v>0</v>
      </c>
      <c r="D4258" s="63" t="n">
        <f aca="false">Pressupostos!$D$290*(D4241+D4244)*(D4247+D4248-Pressupostos!$C$72)/365*Pressupostos!$D$284/Pressupostos!$F$31</f>
        <v>0.159657534246575</v>
      </c>
      <c r="E4258" s="63" t="n">
        <f aca="false">Pressupostos!$E$290*(E4241+E4244)*(E4247+E4248-Pressupostos!$C$72)/365*Pressupostos!$E$284/Pressupostos!$F$31</f>
        <v>0.0404537671232877</v>
      </c>
      <c r="F4258" s="63" t="n">
        <f aca="false">Pressupostos!$F$290*(F4241+F4244)*(F4247+F4248-Pressupostos!$C$72)/365*Pressupostos!$F$284/Pressupostos!$F$31</f>
        <v>0.0377568493150685</v>
      </c>
      <c r="G4258" s="63" t="n">
        <f aca="false">Pressupostos!$G$290*(G4241+G4244)*(G4247+G4248-Pressupostos!$C$72)/365*Pressupostos!$G$284/Pressupostos!$F$31</f>
        <v>0.0377568493150685</v>
      </c>
      <c r="H4258" s="2" t="s">
        <v>1208</v>
      </c>
    </row>
    <row r="4259" customFormat="false" ht="15" hidden="false" customHeight="false" outlineLevel="1" collapsed="false">
      <c r="A4259" s="7" t="s">
        <v>676</v>
      </c>
      <c r="B4259" s="8" t="s">
        <v>64</v>
      </c>
      <c r="C4259" s="63" t="n">
        <f aca="false">C4241+C4244+C4245+C4246+C4249+C4250+C4251+C4252+C4253+C4254+C4255+C4256+C4257+C4258</f>
        <v>4.79625</v>
      </c>
      <c r="D4259" s="63" t="n">
        <f aca="false">D4241+D4244+D4245+D4246+D4249+D4250+D4251+D4252+D4253+D4254+D4255+D4256+D4257+D4258</f>
        <v>4.95590753424657</v>
      </c>
      <c r="E4259" s="63" t="n">
        <f aca="false">E4241+E4244+E4245+E4246+E4249+E4250+E4251+E4252+E4253+E4254+E4255+E4256+E4257+E4258</f>
        <v>4.78250376712329</v>
      </c>
      <c r="F4259" s="63" t="n">
        <f aca="false">F4241+F4244+F4245+F4246+F4249+F4250+F4251+F4252+F4253+F4254+F4255+F4256+F4257+F4258</f>
        <v>4.76980684931507</v>
      </c>
      <c r="G4259" s="63" t="n">
        <f aca="false">G4241+G4244+G4245+G4246+G4249+G4250+G4251+G4252+G4253+G4254+G4255+G4256+G4257+G4258</f>
        <v>4.76980684931507</v>
      </c>
      <c r="H4259" s="2" t="s">
        <v>1209</v>
      </c>
    </row>
    <row r="4260" customFormat="false" ht="15" hidden="false" customHeight="false" outlineLevel="1" collapsed="false">
      <c r="A4260" s="56" t="s">
        <v>677</v>
      </c>
      <c r="B4260" s="57" t="s">
        <v>64</v>
      </c>
      <c r="C4260" s="68" t="n">
        <f aca="false">C4243-C4259</f>
        <v>0.603750000000002</v>
      </c>
      <c r="D4260" s="68" t="n">
        <f aca="false">D4243-D4259</f>
        <v>0.444092465753426</v>
      </c>
      <c r="E4260" s="68" t="n">
        <f aca="false">E4243-E4259</f>
        <v>0.617496232876713</v>
      </c>
      <c r="F4260" s="68" t="n">
        <f aca="false">F4243-F4259</f>
        <v>0.630193150684931</v>
      </c>
      <c r="G4260" s="68" t="n">
        <f aca="false">G4243-G4259</f>
        <v>0.630193150684931</v>
      </c>
      <c r="H4260" s="2" t="s">
        <v>1210</v>
      </c>
    </row>
    <row r="4261" customFormat="false" ht="15" hidden="false" customHeight="false" outlineLevel="1" collapsed="false">
      <c r="A4261" s="7" t="s">
        <v>678</v>
      </c>
      <c r="B4261" s="8" t="s">
        <v>76</v>
      </c>
      <c r="C4261" s="59" t="n">
        <f aca="false">IF(C4243&gt;0,C4260/C4243,0)</f>
        <v>0.111805555555556</v>
      </c>
      <c r="D4261" s="59" t="n">
        <f aca="false">IF(D4243&gt;0,D4260/D4243,0)</f>
        <v>0.0822393455098938</v>
      </c>
      <c r="E4261" s="59" t="n">
        <f aca="false">IF(E4243&gt;0,E4260/E4243,0)</f>
        <v>0.114351154236428</v>
      </c>
      <c r="F4261" s="59" t="n">
        <f aca="false">IF(F4243&gt;0,F4260/F4243,0)</f>
        <v>0.116702435312024</v>
      </c>
      <c r="G4261" s="59" t="n">
        <f aca="false">IF(G4243&gt;0,G4260/G4243,0)</f>
        <v>0.116702435312024</v>
      </c>
      <c r="H4261" s="2" t="s">
        <v>1211</v>
      </c>
    </row>
    <row r="4262" customFormat="false" ht="15" hidden="false" customHeight="false" outlineLevel="1" collapsed="false">
      <c r="A4262" s="7" t="s">
        <v>679</v>
      </c>
      <c r="B4262" s="8" t="s">
        <v>64</v>
      </c>
      <c r="C4262" s="63" t="n">
        <f aca="false">(C4241+C4244)*(C4247-Pressupostos!$C$72)/365+C4243*C4248/365</f>
        <v>2.24383561643836</v>
      </c>
      <c r="D4262" s="63" t="n">
        <f aca="false">(D4241+D4244)*(D4247-Pressupostos!$C$72)/365+D4243*D4248/365</f>
        <v>2.24383561643836</v>
      </c>
      <c r="E4262" s="63" t="n">
        <f aca="false">(E4241+E4244)*(E4247-Pressupostos!$C$72)/365+E4243*E4248/365</f>
        <v>0.69041095890411</v>
      </c>
      <c r="F4262" s="63" t="n">
        <f aca="false">(F4241+F4244)*(F4247-Pressupostos!$C$72)/365+F4243*F4248/365</f>
        <v>0.69041095890411</v>
      </c>
      <c r="G4262" s="63" t="n">
        <f aca="false">(G4241+G4244)*(G4247-Pressupostos!$C$72)/365+G4243*G4248/365</f>
        <v>0.69041095890411</v>
      </c>
      <c r="H4262" s="2" t="s">
        <v>1212</v>
      </c>
    </row>
    <row r="4263" customFormat="false" ht="15" hidden="false" customHeight="false" outlineLevel="0" collapsed="false">
      <c r="A4263" s="3" t="s">
        <v>1213</v>
      </c>
      <c r="B4263" s="4"/>
      <c r="C4263" s="4"/>
      <c r="D4263" s="4"/>
      <c r="E4263" s="4"/>
      <c r="F4263" s="4"/>
      <c r="G4263" s="4"/>
      <c r="H4263" s="4"/>
    </row>
    <row r="4264" customFormat="false" ht="15" hidden="false" customHeight="false" outlineLevel="1" collapsed="false">
      <c r="A4264" s="7" t="s">
        <v>669</v>
      </c>
      <c r="B4264" s="8" t="s">
        <v>64</v>
      </c>
      <c r="C4264" s="63" t="n">
        <f aca="false">Pressupostos!$F$10+Pressupostos!$F$12</f>
        <v>3.6</v>
      </c>
      <c r="D4264" s="63" t="n">
        <f aca="false">Pressupostos!$F$10+Pressupostos!$F$12</f>
        <v>3.6</v>
      </c>
      <c r="E4264" s="63" t="n">
        <f aca="false">Pressupostos!$F$10+Pressupostos!$F$12</f>
        <v>3.6</v>
      </c>
      <c r="F4264" s="63" t="n">
        <f aca="false">Pressupostos!$F$10+Pressupostos!$F$12</f>
        <v>3.6</v>
      </c>
      <c r="G4264" s="63" t="n">
        <f aca="false">Pressupostos!$F$10+Pressupostos!$F$12</f>
        <v>3.6</v>
      </c>
      <c r="H4264" s="2" t="s">
        <v>1214</v>
      </c>
    </row>
    <row r="4265" customFormat="false" ht="15" hidden="false" customHeight="false" outlineLevel="1" collapsed="false">
      <c r="A4265" s="7" t="s">
        <v>670</v>
      </c>
      <c r="B4265" s="8" t="s">
        <v>64</v>
      </c>
      <c r="C4265" s="63" t="n">
        <f aca="false">Pressupostos!$F$20+Pressupostos!$F$21</f>
        <v>4.45</v>
      </c>
      <c r="D4265" s="63" t="n">
        <f aca="false">Pressupostos!$F$20+Pressupostos!$F$21</f>
        <v>4.45</v>
      </c>
      <c r="E4265" s="63" t="n">
        <f aca="false">Pressupostos!$F$20+Pressupostos!$F$21</f>
        <v>4.45</v>
      </c>
      <c r="F4265" s="63" t="n">
        <f aca="false">Pressupostos!$F$20+Pressupostos!$F$21</f>
        <v>4.45</v>
      </c>
      <c r="G4265" s="63" t="n">
        <f aca="false">Pressupostos!$F$20+Pressupostos!$F$21</f>
        <v>4.45</v>
      </c>
      <c r="H4265" s="2" t="s">
        <v>1215</v>
      </c>
    </row>
    <row r="4266" customFormat="false" ht="15" hidden="false" customHeight="false" outlineLevel="1" collapsed="false">
      <c r="A4266" s="56" t="s">
        <v>671</v>
      </c>
      <c r="B4266" s="57" t="s">
        <v>64</v>
      </c>
      <c r="C4266" s="68" t="n">
        <f aca="false">C4265*(1-Pressupostos!$F$22)</f>
        <v>4.45</v>
      </c>
      <c r="D4266" s="68" t="n">
        <f aca="false">D4265*(1-Pressupostos!$F$22)</f>
        <v>4.45</v>
      </c>
      <c r="E4266" s="68" t="n">
        <f aca="false">E4265*(1-Pressupostos!$F$22)</f>
        <v>4.45</v>
      </c>
      <c r="F4266" s="68" t="n">
        <f aca="false">F4265*(1-Pressupostos!$F$22)</f>
        <v>4.45</v>
      </c>
      <c r="G4266" s="68" t="n">
        <f aca="false">G4265*(1-Pressupostos!$F$22)</f>
        <v>4.45</v>
      </c>
      <c r="H4266" s="2" t="s">
        <v>1216</v>
      </c>
    </row>
    <row r="4267" customFormat="false" ht="15" hidden="false" customHeight="false" outlineLevel="1" collapsed="false">
      <c r="A4267" s="7" t="s">
        <v>144</v>
      </c>
      <c r="B4267" s="8" t="s">
        <v>64</v>
      </c>
      <c r="C4267" s="67" t="n">
        <f aca="false">Pressupostos!$C$45</f>
        <v>0.45</v>
      </c>
      <c r="D4267" s="67" t="n">
        <f aca="false">Pressupostos!$C$45</f>
        <v>0.45</v>
      </c>
      <c r="E4267" s="67" t="n">
        <f aca="false">Pressupostos!$C$45</f>
        <v>0.45</v>
      </c>
      <c r="F4267" s="67" t="n">
        <f aca="false">Pressupostos!$C$45</f>
        <v>0.45</v>
      </c>
      <c r="G4267" s="67" t="n">
        <f aca="false">Pressupostos!$C$45</f>
        <v>0.45</v>
      </c>
      <c r="H4267" s="2" t="s">
        <v>1217</v>
      </c>
    </row>
    <row r="4268" customFormat="false" ht="15" hidden="false" customHeight="false" outlineLevel="1" collapsed="false">
      <c r="A4268" s="7" t="s">
        <v>215</v>
      </c>
      <c r="B4268" s="8" t="s">
        <v>64</v>
      </c>
      <c r="C4268" s="67" t="n">
        <f aca="false">Pressupostos!$C$252</f>
        <v>0.1</v>
      </c>
      <c r="D4268" s="67" t="n">
        <f aca="false">Pressupostos!$D$252</f>
        <v>0.1</v>
      </c>
      <c r="E4268" s="67" t="n">
        <f aca="false">Pressupostos!$E$252</f>
        <v>0.09</v>
      </c>
      <c r="F4268" s="67" t="n">
        <f aca="false">Pressupostos!$F$252</f>
        <v>0.09</v>
      </c>
      <c r="G4268" s="67" t="n">
        <f aca="false">Pressupostos!$G$252</f>
        <v>0.09</v>
      </c>
      <c r="H4268" s="2" t="s">
        <v>1218</v>
      </c>
    </row>
    <row r="4269" customFormat="false" ht="15" hidden="false" customHeight="false" outlineLevel="1" collapsed="false">
      <c r="A4269" s="7" t="s">
        <v>117</v>
      </c>
      <c r="B4269" s="8" t="s">
        <v>64</v>
      </c>
      <c r="C4269" s="67" t="n">
        <f aca="false">Pressupostos!$C$46</f>
        <v>0</v>
      </c>
      <c r="D4269" s="67" t="n">
        <f aca="false">Pressupostos!$C$46</f>
        <v>0</v>
      </c>
      <c r="E4269" s="67" t="n">
        <f aca="false">Pressupostos!$C$46</f>
        <v>0</v>
      </c>
      <c r="F4269" s="67" t="n">
        <f aca="false">Pressupostos!$C$46</f>
        <v>0</v>
      </c>
      <c r="G4269" s="67" t="n">
        <f aca="false">Pressupostos!$C$46</f>
        <v>0</v>
      </c>
      <c r="H4269" s="2" t="s">
        <v>1219</v>
      </c>
    </row>
    <row r="4270" customFormat="false" ht="15" hidden="false" customHeight="false" outlineLevel="1" collapsed="false">
      <c r="A4270" s="7" t="s">
        <v>91</v>
      </c>
      <c r="B4270" s="8" t="s">
        <v>79</v>
      </c>
      <c r="C4270" s="69" t="n">
        <f aca="false">Pressupostos!$F$23</f>
        <v>30</v>
      </c>
      <c r="D4270" s="69" t="n">
        <f aca="false">Pressupostos!$F$23</f>
        <v>30</v>
      </c>
      <c r="E4270" s="69" t="n">
        <f aca="false">Pressupostos!$F$23</f>
        <v>30</v>
      </c>
      <c r="F4270" s="69" t="n">
        <f aca="false">Pressupostos!$F$23</f>
        <v>30</v>
      </c>
      <c r="G4270" s="69" t="n">
        <f aca="false">Pressupostos!$F$23</f>
        <v>30</v>
      </c>
      <c r="H4270" s="2" t="s">
        <v>1220</v>
      </c>
    </row>
    <row r="4271" customFormat="false" ht="15" hidden="false" customHeight="false" outlineLevel="1" collapsed="false">
      <c r="A4271" s="7" t="s">
        <v>78</v>
      </c>
      <c r="B4271" s="8" t="s">
        <v>79</v>
      </c>
      <c r="C4271" s="69" t="n">
        <f aca="false">Pressupostos!$F$24</f>
        <v>55</v>
      </c>
      <c r="D4271" s="69" t="n">
        <f aca="false">Pressupostos!$F$24</f>
        <v>55</v>
      </c>
      <c r="E4271" s="69" t="n">
        <f aca="false">Pressupostos!$F$24</f>
        <v>55</v>
      </c>
      <c r="F4271" s="69" t="n">
        <f aca="false">Pressupostos!$F$24</f>
        <v>55</v>
      </c>
      <c r="G4271" s="69" t="n">
        <f aca="false">Pressupostos!$F$24</f>
        <v>55</v>
      </c>
      <c r="H4271" s="2" t="s">
        <v>1221</v>
      </c>
    </row>
    <row r="4272" customFormat="false" ht="15" hidden="false" customHeight="false" outlineLevel="1" collapsed="false">
      <c r="A4272" s="7" t="s">
        <v>490</v>
      </c>
      <c r="B4272" s="8" t="s">
        <v>64</v>
      </c>
      <c r="C4272" s="63" t="n">
        <f aca="false">Pressupostos!$C$66*C4270/30/1000</f>
        <v>0.004</v>
      </c>
      <c r="D4272" s="63" t="n">
        <f aca="false">Pressupostos!$C$66*D4270/30/1000</f>
        <v>0.004</v>
      </c>
      <c r="E4272" s="63" t="n">
        <f aca="false">Pressupostos!$C$66*E4270/30/1000</f>
        <v>0.004</v>
      </c>
      <c r="F4272" s="63" t="n">
        <f aca="false">Pressupostos!$C$66*F4270/30/1000</f>
        <v>0.004</v>
      </c>
      <c r="G4272" s="63" t="n">
        <f aca="false">Pressupostos!$C$66*G4270/30/1000</f>
        <v>0.004</v>
      </c>
      <c r="H4272" s="2" t="s">
        <v>1222</v>
      </c>
    </row>
    <row r="4273" customFormat="false" ht="15" hidden="false" customHeight="false" outlineLevel="1" collapsed="false">
      <c r="A4273" s="7" t="s">
        <v>165</v>
      </c>
      <c r="B4273" s="8" t="s">
        <v>64</v>
      </c>
      <c r="C4273" s="63" t="n">
        <f aca="false">C4264*Pressupostos!$C$67*C4270/365</f>
        <v>0.000591780821917808</v>
      </c>
      <c r="D4273" s="63" t="n">
        <f aca="false">D4264*Pressupostos!$C$67*D4270/365</f>
        <v>0.000591780821917808</v>
      </c>
      <c r="E4273" s="63" t="n">
        <f aca="false">E4264*Pressupostos!$C$67*E4270/365</f>
        <v>0.000591780821917808</v>
      </c>
      <c r="F4273" s="63" t="n">
        <f aca="false">F4264*Pressupostos!$C$67*F4270/365</f>
        <v>0.000591780821917808</v>
      </c>
      <c r="G4273" s="63" t="n">
        <f aca="false">G4264*Pressupostos!$C$67*G4270/365</f>
        <v>0.000591780821917808</v>
      </c>
      <c r="H4273" s="2" t="s">
        <v>1223</v>
      </c>
    </row>
    <row r="4274" customFormat="false" ht="15" hidden="false" customHeight="false" outlineLevel="1" collapsed="false">
      <c r="A4274" s="7" t="s">
        <v>672</v>
      </c>
      <c r="B4274" s="8" t="s">
        <v>64</v>
      </c>
      <c r="C4274" s="63" t="n">
        <f aca="false">Pressupostos!$C$48*Pressupostos!$C$68/(Pressupostos!$C$47*1000)</f>
        <v>0.02</v>
      </c>
      <c r="D4274" s="63" t="n">
        <f aca="false">Pressupostos!$C$48*Pressupostos!$C$68/(Pressupostos!$C$47*1000)</f>
        <v>0.02</v>
      </c>
      <c r="E4274" s="63" t="n">
        <f aca="false">Pressupostos!$C$48*Pressupostos!$C$68/(Pressupostos!$C$47*1000)</f>
        <v>0.02</v>
      </c>
      <c r="F4274" s="63" t="n">
        <f aca="false">Pressupostos!$C$48*Pressupostos!$C$68/(Pressupostos!$C$47*1000)</f>
        <v>0.02</v>
      </c>
      <c r="G4274" s="63" t="n">
        <f aca="false">Pressupostos!$C$48*Pressupostos!$C$68/(Pressupostos!$C$47*1000)</f>
        <v>0.02</v>
      </c>
      <c r="H4274" s="2" t="s">
        <v>1224</v>
      </c>
    </row>
    <row r="4275" customFormat="false" ht="15" hidden="false" customHeight="false" outlineLevel="1" collapsed="false">
      <c r="A4275" s="7" t="s">
        <v>492</v>
      </c>
      <c r="B4275" s="8" t="s">
        <v>64</v>
      </c>
      <c r="C4275" s="63" t="n">
        <f aca="false">Pressupostos!$C$69*C4264</f>
        <v>0.018</v>
      </c>
      <c r="D4275" s="63" t="n">
        <f aca="false">Pressupostos!$C$69*D4264</f>
        <v>0.018</v>
      </c>
      <c r="E4275" s="63" t="n">
        <f aca="false">Pressupostos!$C$69*E4264</f>
        <v>0.018</v>
      </c>
      <c r="F4275" s="63" t="n">
        <f aca="false">Pressupostos!$C$69*F4264</f>
        <v>0.018</v>
      </c>
      <c r="G4275" s="63" t="n">
        <f aca="false">Pressupostos!$C$69*G4264</f>
        <v>0.018</v>
      </c>
      <c r="H4275" s="2" t="s">
        <v>1225</v>
      </c>
    </row>
    <row r="4276" customFormat="false" ht="15" hidden="false" customHeight="false" outlineLevel="1" collapsed="false">
      <c r="A4276" s="7" t="s">
        <v>493</v>
      </c>
      <c r="B4276" s="8" t="s">
        <v>64</v>
      </c>
      <c r="C4276" s="63" t="n">
        <f aca="false">Pressupostos!$C$70*Pressupostos!$C$71*C4270/90</f>
        <v>0.003</v>
      </c>
      <c r="D4276" s="63" t="n">
        <f aca="false">Pressupostos!$C$70*Pressupostos!$C$71*D4270/90</f>
        <v>0.003</v>
      </c>
      <c r="E4276" s="63" t="n">
        <f aca="false">Pressupostos!$C$70*Pressupostos!$C$71*E4270/90</f>
        <v>0.003</v>
      </c>
      <c r="F4276" s="63" t="n">
        <f aca="false">Pressupostos!$C$70*Pressupostos!$C$71*F4270/90</f>
        <v>0.003</v>
      </c>
      <c r="G4276" s="63" t="n">
        <f aca="false">Pressupostos!$C$70*Pressupostos!$C$71*G4270/90</f>
        <v>0.003</v>
      </c>
      <c r="H4276" s="2" t="s">
        <v>1226</v>
      </c>
    </row>
    <row r="4277" customFormat="false" ht="15" hidden="false" customHeight="false" outlineLevel="1" collapsed="false">
      <c r="A4277" s="7" t="s">
        <v>673</v>
      </c>
      <c r="B4277" s="8" t="s">
        <v>64</v>
      </c>
      <c r="C4277" s="63" t="n">
        <f aca="false">Pressupostos!$C$49/(Pressupostos!$C$47*1000)</f>
        <v>0.04</v>
      </c>
      <c r="D4277" s="63" t="n">
        <f aca="false">Pressupostos!$C$49/(Pressupostos!$C$47*1000)</f>
        <v>0.04</v>
      </c>
      <c r="E4277" s="63" t="n">
        <f aca="false">Pressupostos!$C$49/(Pressupostos!$C$47*1000)</f>
        <v>0.04</v>
      </c>
      <c r="F4277" s="63" t="n">
        <f aca="false">Pressupostos!$C$49/(Pressupostos!$C$47*1000)</f>
        <v>0.04</v>
      </c>
      <c r="G4277" s="63" t="n">
        <f aca="false">Pressupostos!$C$49/(Pressupostos!$C$47*1000)</f>
        <v>0.04</v>
      </c>
      <c r="H4277" s="2" t="s">
        <v>1227</v>
      </c>
    </row>
    <row r="4278" customFormat="false" ht="15" hidden="false" customHeight="false" outlineLevel="1" collapsed="false">
      <c r="A4278" s="7" t="s">
        <v>139</v>
      </c>
      <c r="B4278" s="8" t="s">
        <v>64</v>
      </c>
      <c r="C4278" s="67" t="n">
        <f aca="false">Pressupostos!$C$50</f>
        <v>0.005</v>
      </c>
      <c r="D4278" s="67" t="n">
        <f aca="false">Pressupostos!$C$50</f>
        <v>0.005</v>
      </c>
      <c r="E4278" s="67" t="n">
        <f aca="false">Pressupostos!$C$50</f>
        <v>0.005</v>
      </c>
      <c r="F4278" s="67" t="n">
        <f aca="false">Pressupostos!$C$50</f>
        <v>0.005</v>
      </c>
      <c r="G4278" s="67" t="n">
        <f aca="false">Pressupostos!$C$50</f>
        <v>0.005</v>
      </c>
      <c r="H4278" s="2" t="s">
        <v>1228</v>
      </c>
    </row>
    <row r="4279" customFormat="false" ht="15" hidden="false" customHeight="false" outlineLevel="1" collapsed="false">
      <c r="A4279" s="7" t="s">
        <v>81</v>
      </c>
      <c r="B4279" s="8" t="s">
        <v>64</v>
      </c>
      <c r="C4279" s="63" t="n">
        <f aca="false">Pressupostos!$F$25*C4266</f>
        <v>0.01335</v>
      </c>
      <c r="D4279" s="63" t="n">
        <f aca="false">Pressupostos!$F$25*D4266</f>
        <v>0.01335</v>
      </c>
      <c r="E4279" s="63" t="n">
        <f aca="false">Pressupostos!$F$25*E4266</f>
        <v>0.01335</v>
      </c>
      <c r="F4279" s="63" t="n">
        <f aca="false">Pressupostos!$F$25*F4266</f>
        <v>0.01335</v>
      </c>
      <c r="G4279" s="63" t="n">
        <f aca="false">Pressupostos!$F$25*G4266</f>
        <v>0.01335</v>
      </c>
      <c r="H4279" s="2" t="s">
        <v>1229</v>
      </c>
    </row>
    <row r="4280" customFormat="false" ht="15" hidden="false" customHeight="false" outlineLevel="1" collapsed="false">
      <c r="A4280" s="7" t="s">
        <v>674</v>
      </c>
      <c r="B4280" s="8" t="s">
        <v>64</v>
      </c>
      <c r="C4280" s="63" t="n">
        <f aca="false">Pressupostos!$C$73*C4266</f>
        <v>0</v>
      </c>
      <c r="D4280" s="63" t="n">
        <f aca="false">Pressupostos!$C$73*D4266</f>
        <v>0</v>
      </c>
      <c r="E4280" s="63" t="n">
        <f aca="false">Pressupostos!$C$73*E4266</f>
        <v>0</v>
      </c>
      <c r="F4280" s="63" t="n">
        <f aca="false">Pressupostos!$C$73*F4266</f>
        <v>0</v>
      </c>
      <c r="G4280" s="63" t="n">
        <f aca="false">Pressupostos!$C$73*G4266</f>
        <v>0</v>
      </c>
      <c r="H4280" s="2" t="s">
        <v>1230</v>
      </c>
    </row>
    <row r="4281" customFormat="false" ht="15" hidden="false" customHeight="false" outlineLevel="1" collapsed="false">
      <c r="A4281" s="7" t="s">
        <v>675</v>
      </c>
      <c r="B4281" s="8" t="s">
        <v>64</v>
      </c>
      <c r="C4281" s="63" t="n">
        <f aca="false">Pressupostos!$C$290*(C4264+C4267)*(C4270+C4271-Pressupostos!$C$72)/365*Pressupostos!$C$284/Pressupostos!$F$31</f>
        <v>0</v>
      </c>
      <c r="D4281" s="63" t="n">
        <f aca="false">Pressupostos!$D$290*(D4264+D4267)*(D4270+D4271-Pressupostos!$C$72)/365*Pressupostos!$D$284/Pressupostos!$F$31</f>
        <v>0.0457705479452055</v>
      </c>
      <c r="E4281" s="63" t="n">
        <f aca="false">Pressupostos!$E$290*(E4264+E4267)*(E4270+E4271-Pressupostos!$C$72)/365*Pressupostos!$E$284/Pressupostos!$F$31</f>
        <v>0.0429098886986301</v>
      </c>
      <c r="F4281" s="63" t="n">
        <f aca="false">Pressupostos!$F$290*(F4264+F4267)*(F4270+F4271-Pressupostos!$C$72)/365*Pressupostos!$F$284/Pressupostos!$F$31</f>
        <v>0.0400492294520548</v>
      </c>
      <c r="G4281" s="63" t="n">
        <f aca="false">Pressupostos!$G$290*(G4264+G4267)*(G4270+G4271-Pressupostos!$C$72)/365*Pressupostos!$G$284/Pressupostos!$F$31</f>
        <v>0.0400492294520548</v>
      </c>
      <c r="H4281" s="2" t="s">
        <v>1231</v>
      </c>
    </row>
    <row r="4282" customFormat="false" ht="15" hidden="false" customHeight="false" outlineLevel="1" collapsed="false">
      <c r="A4282" s="7" t="s">
        <v>676</v>
      </c>
      <c r="B4282" s="8" t="s">
        <v>64</v>
      </c>
      <c r="C4282" s="63" t="n">
        <f aca="false">C4264+C4267+C4268+C4269+C4272+C4273+C4274+C4275+C4276+C4277+C4278+C4279+C4280+C4281</f>
        <v>4.25394178082192</v>
      </c>
      <c r="D4282" s="63" t="n">
        <f aca="false">D4264+D4267+D4268+D4269+D4272+D4273+D4274+D4275+D4276+D4277+D4278+D4279+D4280+D4281</f>
        <v>4.29971232876712</v>
      </c>
      <c r="E4282" s="63" t="n">
        <f aca="false">E4264+E4267+E4268+E4269+E4272+E4273+E4274+E4275+E4276+E4277+E4278+E4279+E4280+E4281</f>
        <v>4.28685166952055</v>
      </c>
      <c r="F4282" s="63" t="n">
        <f aca="false">F4264+F4267+F4268+F4269+F4272+F4273+F4274+F4275+F4276+F4277+F4278+F4279+F4280+F4281</f>
        <v>4.28399101027397</v>
      </c>
      <c r="G4282" s="63" t="n">
        <f aca="false">G4264+G4267+G4268+G4269+G4272+G4273+G4274+G4275+G4276+G4277+G4278+G4279+G4280+G4281</f>
        <v>4.28399101027397</v>
      </c>
      <c r="H4282" s="2" t="s">
        <v>1232</v>
      </c>
    </row>
    <row r="4283" customFormat="false" ht="15" hidden="false" customHeight="false" outlineLevel="1" collapsed="false">
      <c r="A4283" s="56" t="s">
        <v>677</v>
      </c>
      <c r="B4283" s="57" t="s">
        <v>64</v>
      </c>
      <c r="C4283" s="68" t="n">
        <f aca="false">C4266-C4282</f>
        <v>0.196058219178083</v>
      </c>
      <c r="D4283" s="68" t="n">
        <f aca="false">D4266-D4282</f>
        <v>0.150287671232877</v>
      </c>
      <c r="E4283" s="68" t="n">
        <f aca="false">E4266-E4282</f>
        <v>0.163148330479452</v>
      </c>
      <c r="F4283" s="68" t="n">
        <f aca="false">F4266-F4282</f>
        <v>0.166008989726028</v>
      </c>
      <c r="G4283" s="68" t="n">
        <f aca="false">G4266-G4282</f>
        <v>0.166008989726028</v>
      </c>
      <c r="H4283" s="2" t="s">
        <v>1233</v>
      </c>
    </row>
    <row r="4284" customFormat="false" ht="15" hidden="false" customHeight="false" outlineLevel="1" collapsed="false">
      <c r="A4284" s="7" t="s">
        <v>678</v>
      </c>
      <c r="B4284" s="8" t="s">
        <v>76</v>
      </c>
      <c r="C4284" s="59" t="n">
        <f aca="false">IF(C4266&gt;0,C4283/C4266,0)</f>
        <v>0.0440580267815916</v>
      </c>
      <c r="D4284" s="59" t="n">
        <f aca="false">IF(D4266&gt;0,D4283/D4266,0)</f>
        <v>0.0337725103894105</v>
      </c>
      <c r="E4284" s="59" t="n">
        <f aca="false">IF(E4266&gt;0,E4283/E4266,0)</f>
        <v>0.0366625461751578</v>
      </c>
      <c r="F4284" s="59" t="n">
        <f aca="false">IF(F4266&gt;0,F4283/F4266,0)</f>
        <v>0.0373053909496692</v>
      </c>
      <c r="G4284" s="59" t="n">
        <f aca="false">IF(G4266&gt;0,G4283/G4266,0)</f>
        <v>0.0373053909496692</v>
      </c>
      <c r="H4284" s="2" t="s">
        <v>1234</v>
      </c>
    </row>
    <row r="4285" customFormat="false" ht="15" hidden="false" customHeight="false" outlineLevel="1" collapsed="false">
      <c r="A4285" s="7" t="s">
        <v>679</v>
      </c>
      <c r="B4285" s="8" t="s">
        <v>64</v>
      </c>
      <c r="C4285" s="63" t="n">
        <f aca="false">(C4264+C4267)*(C4270-Pressupostos!$C$72)/365+C4266*C4271/365</f>
        <v>0.670547945205479</v>
      </c>
      <c r="D4285" s="63" t="n">
        <f aca="false">(D4264+D4267)*(D4270-Pressupostos!$C$72)/365+D4266*D4271/365</f>
        <v>0.670547945205479</v>
      </c>
      <c r="E4285" s="63" t="n">
        <f aca="false">(E4264+E4267)*(E4270-Pressupostos!$C$72)/365+E4266*E4271/365</f>
        <v>0.670547945205479</v>
      </c>
      <c r="F4285" s="63" t="n">
        <f aca="false">(F4264+F4267)*(F4270-Pressupostos!$C$72)/365+F4266*F4271/365</f>
        <v>0.670547945205479</v>
      </c>
      <c r="G4285" s="63" t="n">
        <f aca="false">(G4264+G4267)*(G4270-Pressupostos!$C$72)/365+G4266*G4271/365</f>
        <v>0.670547945205479</v>
      </c>
      <c r="H4285" s="2" t="s">
        <v>1235</v>
      </c>
    </row>
    <row r="4286" customFormat="false" ht="15" hidden="false" customHeight="false" outlineLevel="0" collapsed="false">
      <c r="A4286" s="3" t="s">
        <v>1236</v>
      </c>
      <c r="B4286" s="4"/>
      <c r="C4286" s="4"/>
      <c r="D4286" s="4"/>
      <c r="E4286" s="4"/>
      <c r="F4286" s="4"/>
      <c r="G4286" s="4"/>
      <c r="H4286" s="4"/>
    </row>
    <row r="4287" customFormat="false" ht="15" hidden="false" customHeight="false" outlineLevel="1" collapsed="false">
      <c r="A4287" s="7" t="s">
        <v>669</v>
      </c>
      <c r="B4287" s="8" t="s">
        <v>64</v>
      </c>
      <c r="C4287" s="63" t="n">
        <f aca="false">Pressupostos!$F$10+Pressupostos!$F$13</f>
        <v>3.5</v>
      </c>
      <c r="D4287" s="63" t="n">
        <f aca="false">Pressupostos!$F$10+Pressupostos!$F$13</f>
        <v>3.5</v>
      </c>
      <c r="E4287" s="63" t="n">
        <f aca="false">Pressupostos!$F$10+Pressupostos!$F$13</f>
        <v>3.5</v>
      </c>
      <c r="F4287" s="63" t="n">
        <f aca="false">Pressupostos!$F$10+Pressupostos!$F$13</f>
        <v>3.5</v>
      </c>
      <c r="G4287" s="63" t="n">
        <f aca="false">Pressupostos!$F$10+Pressupostos!$F$13</f>
        <v>3.5</v>
      </c>
      <c r="H4287" s="2" t="s">
        <v>1237</v>
      </c>
    </row>
    <row r="4288" customFormat="false" ht="15" hidden="false" customHeight="false" outlineLevel="1" collapsed="false">
      <c r="A4288" s="7" t="s">
        <v>670</v>
      </c>
      <c r="B4288" s="8" t="s">
        <v>64</v>
      </c>
      <c r="C4288" s="63" t="n">
        <f aca="false">Pressupostos!$F$10+Pressupostos!$C$52</f>
        <v>3.65</v>
      </c>
      <c r="D4288" s="63" t="n">
        <f aca="false">Pressupostos!$F$10+Pressupostos!$C$52</f>
        <v>3.65</v>
      </c>
      <c r="E4288" s="63" t="n">
        <f aca="false">Pressupostos!$F$10+Pressupostos!$C$52</f>
        <v>3.65</v>
      </c>
      <c r="F4288" s="63" t="n">
        <f aca="false">Pressupostos!$F$10+Pressupostos!$C$52</f>
        <v>3.65</v>
      </c>
      <c r="G4288" s="63" t="n">
        <f aca="false">Pressupostos!$F$10+Pressupostos!$C$52</f>
        <v>3.65</v>
      </c>
      <c r="H4288" s="2" t="s">
        <v>1238</v>
      </c>
    </row>
    <row r="4289" customFormat="false" ht="15" hidden="false" customHeight="false" outlineLevel="1" collapsed="false">
      <c r="A4289" s="56" t="s">
        <v>671</v>
      </c>
      <c r="B4289" s="57" t="s">
        <v>64</v>
      </c>
      <c r="C4289" s="68" t="n">
        <f aca="false">C4288*(1-Pressupostos!$C$53)</f>
        <v>3.65</v>
      </c>
      <c r="D4289" s="68" t="n">
        <f aca="false">D4288*(1-Pressupostos!$C$53)</f>
        <v>3.65</v>
      </c>
      <c r="E4289" s="68" t="n">
        <f aca="false">E4288*(1-Pressupostos!$C$53)</f>
        <v>3.65</v>
      </c>
      <c r="F4289" s="68" t="n">
        <f aca="false">F4288*(1-Pressupostos!$C$53)</f>
        <v>3.65</v>
      </c>
      <c r="G4289" s="68" t="n">
        <f aca="false">G4288*(1-Pressupostos!$C$53)</f>
        <v>3.65</v>
      </c>
      <c r="H4289" s="2" t="s">
        <v>1239</v>
      </c>
    </row>
    <row r="4290" customFormat="false" ht="15" hidden="false" customHeight="false" outlineLevel="1" collapsed="false">
      <c r="A4290" s="7" t="s">
        <v>144</v>
      </c>
      <c r="B4290" s="8" t="s">
        <v>64</v>
      </c>
      <c r="C4290" s="67" t="n">
        <f aca="false">Pressupostos!$C$54</f>
        <v>0</v>
      </c>
      <c r="D4290" s="67" t="n">
        <f aca="false">Pressupostos!$C$54</f>
        <v>0</v>
      </c>
      <c r="E4290" s="67" t="n">
        <f aca="false">Pressupostos!$C$54</f>
        <v>0</v>
      </c>
      <c r="F4290" s="67" t="n">
        <f aca="false">Pressupostos!$C$54</f>
        <v>0</v>
      </c>
      <c r="G4290" s="67" t="n">
        <f aca="false">Pressupostos!$C$54</f>
        <v>0</v>
      </c>
      <c r="H4290" s="2" t="s">
        <v>1240</v>
      </c>
    </row>
    <row r="4291" customFormat="false" ht="15" hidden="false" customHeight="false" outlineLevel="1" collapsed="false">
      <c r="A4291" s="7" t="s">
        <v>215</v>
      </c>
      <c r="B4291" s="8" t="s">
        <v>64</v>
      </c>
      <c r="C4291" s="67" t="n">
        <f aca="false">Pressupostos!$C$55</f>
        <v>0.04</v>
      </c>
      <c r="D4291" s="67" t="n">
        <f aca="false">Pressupostos!$C$55</f>
        <v>0.04</v>
      </c>
      <c r="E4291" s="67" t="n">
        <f aca="false">Pressupostos!$C$55</f>
        <v>0.04</v>
      </c>
      <c r="F4291" s="67" t="n">
        <f aca="false">Pressupostos!$C$55</f>
        <v>0.04</v>
      </c>
      <c r="G4291" s="67" t="n">
        <f aca="false">Pressupostos!$C$55</f>
        <v>0.04</v>
      </c>
      <c r="H4291" s="2" t="s">
        <v>1241</v>
      </c>
    </row>
    <row r="4292" customFormat="false" ht="15" hidden="false" customHeight="false" outlineLevel="1" collapsed="false">
      <c r="A4292" s="7" t="s">
        <v>117</v>
      </c>
      <c r="B4292" s="8" t="s">
        <v>64</v>
      </c>
      <c r="C4292" s="67" t="n">
        <f aca="false">Pressupostos!$C$56</f>
        <v>0</v>
      </c>
      <c r="D4292" s="67" t="n">
        <f aca="false">Pressupostos!$C$56</f>
        <v>0</v>
      </c>
      <c r="E4292" s="67" t="n">
        <f aca="false">Pressupostos!$C$56</f>
        <v>0</v>
      </c>
      <c r="F4292" s="67" t="n">
        <f aca="false">Pressupostos!$C$56</f>
        <v>0</v>
      </c>
      <c r="G4292" s="67" t="n">
        <f aca="false">Pressupostos!$C$56</f>
        <v>0</v>
      </c>
      <c r="H4292" s="2" t="s">
        <v>1242</v>
      </c>
    </row>
    <row r="4293" customFormat="false" ht="15" hidden="false" customHeight="false" outlineLevel="1" collapsed="false">
      <c r="A4293" s="7" t="s">
        <v>91</v>
      </c>
      <c r="B4293" s="8" t="s">
        <v>79</v>
      </c>
      <c r="C4293" s="69" t="n">
        <f aca="false">Pressupostos!$C$57</f>
        <v>15</v>
      </c>
      <c r="D4293" s="69" t="n">
        <f aca="false">Pressupostos!$C$57</f>
        <v>15</v>
      </c>
      <c r="E4293" s="69" t="n">
        <f aca="false">Pressupostos!$C$57</f>
        <v>15</v>
      </c>
      <c r="F4293" s="69" t="n">
        <f aca="false">Pressupostos!$C$57</f>
        <v>15</v>
      </c>
      <c r="G4293" s="69" t="n">
        <f aca="false">Pressupostos!$C$57</f>
        <v>15</v>
      </c>
      <c r="H4293" s="2" t="s">
        <v>1243</v>
      </c>
    </row>
    <row r="4294" customFormat="false" ht="15" hidden="false" customHeight="false" outlineLevel="1" collapsed="false">
      <c r="A4294" s="7" t="s">
        <v>78</v>
      </c>
      <c r="B4294" s="8" t="s">
        <v>79</v>
      </c>
      <c r="C4294" s="69" t="n">
        <f aca="false">Pressupostos!$C$58</f>
        <v>45</v>
      </c>
      <c r="D4294" s="69" t="n">
        <f aca="false">Pressupostos!$C$58</f>
        <v>45</v>
      </c>
      <c r="E4294" s="69" t="n">
        <f aca="false">Pressupostos!$C$58</f>
        <v>45</v>
      </c>
      <c r="F4294" s="69" t="n">
        <f aca="false">Pressupostos!$C$58</f>
        <v>45</v>
      </c>
      <c r="G4294" s="69" t="n">
        <f aca="false">Pressupostos!$C$58</f>
        <v>45</v>
      </c>
      <c r="H4294" s="2" t="s">
        <v>1244</v>
      </c>
    </row>
    <row r="4295" customFormat="false" ht="15" hidden="false" customHeight="false" outlineLevel="1" collapsed="false">
      <c r="A4295" s="7" t="s">
        <v>490</v>
      </c>
      <c r="B4295" s="8" t="s">
        <v>64</v>
      </c>
      <c r="C4295" s="63" t="n">
        <f aca="false">Pressupostos!$C$66*C4293/30/1000</f>
        <v>0.002</v>
      </c>
      <c r="D4295" s="63" t="n">
        <f aca="false">Pressupostos!$C$66*D4293/30/1000</f>
        <v>0.002</v>
      </c>
      <c r="E4295" s="63" t="n">
        <f aca="false">Pressupostos!$C$66*E4293/30/1000</f>
        <v>0.002</v>
      </c>
      <c r="F4295" s="63" t="n">
        <f aca="false">Pressupostos!$C$66*F4293/30/1000</f>
        <v>0.002</v>
      </c>
      <c r="G4295" s="63" t="n">
        <f aca="false">Pressupostos!$C$66*G4293/30/1000</f>
        <v>0.002</v>
      </c>
      <c r="H4295" s="2" t="s">
        <v>1245</v>
      </c>
    </row>
    <row r="4296" customFormat="false" ht="15" hidden="false" customHeight="false" outlineLevel="1" collapsed="false">
      <c r="A4296" s="7" t="s">
        <v>165</v>
      </c>
      <c r="B4296" s="8" t="s">
        <v>64</v>
      </c>
      <c r="C4296" s="63" t="n">
        <f aca="false">C4287*Pressupostos!$C$67*C4293/365</f>
        <v>0.000287671232876712</v>
      </c>
      <c r="D4296" s="63" t="n">
        <f aca="false">D4287*Pressupostos!$C$67*D4293/365</f>
        <v>0.000287671232876712</v>
      </c>
      <c r="E4296" s="63" t="n">
        <f aca="false">E4287*Pressupostos!$C$67*E4293/365</f>
        <v>0.000287671232876712</v>
      </c>
      <c r="F4296" s="63" t="n">
        <f aca="false">F4287*Pressupostos!$C$67*F4293/365</f>
        <v>0.000287671232876712</v>
      </c>
      <c r="G4296" s="63" t="n">
        <f aca="false">G4287*Pressupostos!$C$67*G4293/365</f>
        <v>0.000287671232876712</v>
      </c>
      <c r="H4296" s="2" t="s">
        <v>1246</v>
      </c>
    </row>
    <row r="4297" customFormat="false" ht="15" hidden="false" customHeight="false" outlineLevel="1" collapsed="false">
      <c r="A4297" s="7" t="s">
        <v>672</v>
      </c>
      <c r="B4297" s="8" t="s">
        <v>64</v>
      </c>
      <c r="C4297" s="63" t="n">
        <f aca="false">Pressupostos!$C$60*Pressupostos!$C$68/(Pressupostos!$C$59*1000)</f>
        <v>0.006</v>
      </c>
      <c r="D4297" s="63" t="n">
        <f aca="false">Pressupostos!$C$60*Pressupostos!$C$68/(Pressupostos!$C$59*1000)</f>
        <v>0.006</v>
      </c>
      <c r="E4297" s="63" t="n">
        <f aca="false">Pressupostos!$C$60*Pressupostos!$C$68/(Pressupostos!$C$59*1000)</f>
        <v>0.006</v>
      </c>
      <c r="F4297" s="63" t="n">
        <f aca="false">Pressupostos!$C$60*Pressupostos!$C$68/(Pressupostos!$C$59*1000)</f>
        <v>0.006</v>
      </c>
      <c r="G4297" s="63" t="n">
        <f aca="false">Pressupostos!$C$60*Pressupostos!$C$68/(Pressupostos!$C$59*1000)</f>
        <v>0.006</v>
      </c>
      <c r="H4297" s="2" t="s">
        <v>1247</v>
      </c>
    </row>
    <row r="4298" customFormat="false" ht="15" hidden="false" customHeight="false" outlineLevel="1" collapsed="false">
      <c r="A4298" s="7" t="s">
        <v>492</v>
      </c>
      <c r="B4298" s="8" t="s">
        <v>64</v>
      </c>
      <c r="C4298" s="63" t="n">
        <f aca="false">Pressupostos!$C$69*C4287</f>
        <v>0.0175</v>
      </c>
      <c r="D4298" s="63" t="n">
        <f aca="false">Pressupostos!$C$69*D4287</f>
        <v>0.0175</v>
      </c>
      <c r="E4298" s="63" t="n">
        <f aca="false">Pressupostos!$C$69*E4287</f>
        <v>0.0175</v>
      </c>
      <c r="F4298" s="63" t="n">
        <f aca="false">Pressupostos!$C$69*F4287</f>
        <v>0.0175</v>
      </c>
      <c r="G4298" s="63" t="n">
        <f aca="false">Pressupostos!$C$69*G4287</f>
        <v>0.0175</v>
      </c>
      <c r="H4298" s="2" t="s">
        <v>1248</v>
      </c>
    </row>
    <row r="4299" customFormat="false" ht="15" hidden="false" customHeight="false" outlineLevel="1" collapsed="false">
      <c r="A4299" s="7" t="s">
        <v>493</v>
      </c>
      <c r="B4299" s="8" t="s">
        <v>64</v>
      </c>
      <c r="C4299" s="63" t="n">
        <f aca="false">Pressupostos!$C$70*Pressupostos!$C$71*C4293/90</f>
        <v>0.0015</v>
      </c>
      <c r="D4299" s="63" t="n">
        <f aca="false">Pressupostos!$C$70*Pressupostos!$C$71*D4293/90</f>
        <v>0.0015</v>
      </c>
      <c r="E4299" s="63" t="n">
        <f aca="false">Pressupostos!$C$70*Pressupostos!$C$71*E4293/90</f>
        <v>0.0015</v>
      </c>
      <c r="F4299" s="63" t="n">
        <f aca="false">Pressupostos!$C$70*Pressupostos!$C$71*F4293/90</f>
        <v>0.0015</v>
      </c>
      <c r="G4299" s="63" t="n">
        <f aca="false">Pressupostos!$C$70*Pressupostos!$C$71*G4293/90</f>
        <v>0.0015</v>
      </c>
      <c r="H4299" s="2" t="s">
        <v>1249</v>
      </c>
    </row>
    <row r="4300" customFormat="false" ht="15" hidden="false" customHeight="false" outlineLevel="1" collapsed="false">
      <c r="A4300" s="7" t="s">
        <v>673</v>
      </c>
      <c r="B4300" s="8" t="s">
        <v>64</v>
      </c>
      <c r="C4300" s="63" t="n">
        <f aca="false">Pressupostos!$C$61/(Pressupostos!$C$59*1000)</f>
        <v>0.012</v>
      </c>
      <c r="D4300" s="63" t="n">
        <f aca="false">Pressupostos!$C$61/(Pressupostos!$C$59*1000)</f>
        <v>0.012</v>
      </c>
      <c r="E4300" s="63" t="n">
        <f aca="false">Pressupostos!$C$61/(Pressupostos!$C$59*1000)</f>
        <v>0.012</v>
      </c>
      <c r="F4300" s="63" t="n">
        <f aca="false">Pressupostos!$C$61/(Pressupostos!$C$59*1000)</f>
        <v>0.012</v>
      </c>
      <c r="G4300" s="63" t="n">
        <f aca="false">Pressupostos!$C$61/(Pressupostos!$C$59*1000)</f>
        <v>0.012</v>
      </c>
      <c r="H4300" s="2" t="s">
        <v>1250</v>
      </c>
    </row>
    <row r="4301" customFormat="false" ht="15" hidden="false" customHeight="false" outlineLevel="1" collapsed="false">
      <c r="A4301" s="7" t="s">
        <v>139</v>
      </c>
      <c r="B4301" s="8" t="s">
        <v>64</v>
      </c>
      <c r="C4301" s="67" t="n">
        <f aca="false">Pressupostos!$C$62</f>
        <v>0.001</v>
      </c>
      <c r="D4301" s="67" t="n">
        <f aca="false">Pressupostos!$C$62</f>
        <v>0.001</v>
      </c>
      <c r="E4301" s="67" t="n">
        <f aca="false">Pressupostos!$C$62</f>
        <v>0.001</v>
      </c>
      <c r="F4301" s="67" t="n">
        <f aca="false">Pressupostos!$C$62</f>
        <v>0.001</v>
      </c>
      <c r="G4301" s="67" t="n">
        <f aca="false">Pressupostos!$C$62</f>
        <v>0.001</v>
      </c>
      <c r="H4301" s="2" t="s">
        <v>1251</v>
      </c>
    </row>
    <row r="4302" customFormat="false" ht="15" hidden="false" customHeight="false" outlineLevel="1" collapsed="false">
      <c r="A4302" s="7" t="s">
        <v>81</v>
      </c>
      <c r="B4302" s="8" t="s">
        <v>64</v>
      </c>
      <c r="C4302" s="63" t="n">
        <f aca="false">Pressupostos!$C$63*C4289</f>
        <v>0.01095</v>
      </c>
      <c r="D4302" s="63" t="n">
        <f aca="false">Pressupostos!$C$63*D4289</f>
        <v>0.01095</v>
      </c>
      <c r="E4302" s="63" t="n">
        <f aca="false">Pressupostos!$C$63*E4289</f>
        <v>0.01095</v>
      </c>
      <c r="F4302" s="63" t="n">
        <f aca="false">Pressupostos!$C$63*F4289</f>
        <v>0.01095</v>
      </c>
      <c r="G4302" s="63" t="n">
        <f aca="false">Pressupostos!$C$63*G4289</f>
        <v>0.01095</v>
      </c>
      <c r="H4302" s="2" t="s">
        <v>1252</v>
      </c>
    </row>
    <row r="4303" customFormat="false" ht="15" hidden="false" customHeight="false" outlineLevel="1" collapsed="false">
      <c r="A4303" s="7" t="s">
        <v>674</v>
      </c>
      <c r="B4303" s="8" t="s">
        <v>64</v>
      </c>
      <c r="C4303" s="63" t="n">
        <f aca="false">Pressupostos!$C$73*C4289</f>
        <v>0</v>
      </c>
      <c r="D4303" s="63" t="n">
        <f aca="false">Pressupostos!$C$73*D4289</f>
        <v>0</v>
      </c>
      <c r="E4303" s="63" t="n">
        <f aca="false">Pressupostos!$C$73*E4289</f>
        <v>0</v>
      </c>
      <c r="F4303" s="63" t="n">
        <f aca="false">Pressupostos!$C$73*F4289</f>
        <v>0</v>
      </c>
      <c r="G4303" s="63" t="n">
        <f aca="false">Pressupostos!$C$73*G4289</f>
        <v>0</v>
      </c>
      <c r="H4303" s="2" t="s">
        <v>1253</v>
      </c>
    </row>
    <row r="4304" customFormat="false" ht="15" hidden="false" customHeight="false" outlineLevel="1" collapsed="false">
      <c r="A4304" s="7" t="s">
        <v>675</v>
      </c>
      <c r="B4304" s="8" t="s">
        <v>64</v>
      </c>
      <c r="C4304" s="63" t="n">
        <f aca="false">Pressupostos!$C$290*(C4287+C4290)*(C4293+C4294-Pressupostos!$C$72)/365*Pressupostos!$C$284/Pressupostos!$F$31</f>
        <v>0</v>
      </c>
      <c r="D4304" s="63" t="n">
        <f aca="false">Pressupostos!$D$290*(D4287+D4290)*(D4293+D4294-Pressupostos!$C$72)/365*Pressupostos!$D$284/Pressupostos!$F$31</f>
        <v>0.0215753424657534</v>
      </c>
      <c r="E4304" s="63" t="n">
        <f aca="false">Pressupostos!$E$290*(E4287+E4290)*(E4293+E4294-Pressupostos!$C$72)/365*Pressupostos!$E$284/Pressupostos!$F$31</f>
        <v>0.0202268835616438</v>
      </c>
      <c r="F4304" s="63" t="n">
        <f aca="false">Pressupostos!$F$290*(F4287+F4290)*(F4293+F4294-Pressupostos!$C$72)/365*Pressupostos!$F$284/Pressupostos!$F$31</f>
        <v>0.0188784246575342</v>
      </c>
      <c r="G4304" s="63" t="n">
        <f aca="false">Pressupostos!$G$290*(G4287+G4290)*(G4293+G4294-Pressupostos!$C$72)/365*Pressupostos!$G$284/Pressupostos!$F$31</f>
        <v>0.0188784246575342</v>
      </c>
      <c r="H4304" s="2" t="s">
        <v>1254</v>
      </c>
    </row>
    <row r="4305" customFormat="false" ht="15" hidden="false" customHeight="false" outlineLevel="1" collapsed="false">
      <c r="A4305" s="7" t="s">
        <v>676</v>
      </c>
      <c r="B4305" s="8" t="s">
        <v>64</v>
      </c>
      <c r="C4305" s="63" t="n">
        <f aca="false">C4287+C4290+C4291+C4292+C4295+C4296+C4297+C4298+C4299+C4300+C4301+C4302+C4303+C4304</f>
        <v>3.59123767123288</v>
      </c>
      <c r="D4305" s="63" t="n">
        <f aca="false">D4287+D4290+D4291+D4292+D4295+D4296+D4297+D4298+D4299+D4300+D4301+D4302+D4303+D4304</f>
        <v>3.61281301369863</v>
      </c>
      <c r="E4305" s="63" t="n">
        <f aca="false">E4287+E4290+E4291+E4292+E4295+E4296+E4297+E4298+E4299+E4300+E4301+E4302+E4303+E4304</f>
        <v>3.61146455479452</v>
      </c>
      <c r="F4305" s="63" t="n">
        <f aca="false">F4287+F4290+F4291+F4292+F4295+F4296+F4297+F4298+F4299+F4300+F4301+F4302+F4303+F4304</f>
        <v>3.61011609589041</v>
      </c>
      <c r="G4305" s="63" t="n">
        <f aca="false">G4287+G4290+G4291+G4292+G4295+G4296+G4297+G4298+G4299+G4300+G4301+G4302+G4303+G4304</f>
        <v>3.61011609589041</v>
      </c>
      <c r="H4305" s="2" t="s">
        <v>1255</v>
      </c>
    </row>
    <row r="4306" customFormat="false" ht="15" hidden="false" customHeight="false" outlineLevel="1" collapsed="false">
      <c r="A4306" s="56" t="s">
        <v>677</v>
      </c>
      <c r="B4306" s="57" t="s">
        <v>64</v>
      </c>
      <c r="C4306" s="68" t="n">
        <f aca="false">C4289-C4305</f>
        <v>0.058762328767124</v>
      </c>
      <c r="D4306" s="68" t="n">
        <f aca="false">D4289-D4305</f>
        <v>0.0371869863013705</v>
      </c>
      <c r="E4306" s="68" t="n">
        <f aca="false">E4289-E4305</f>
        <v>0.03853544520548</v>
      </c>
      <c r="F4306" s="68" t="n">
        <f aca="false">F4289-F4305</f>
        <v>0.0398839041095895</v>
      </c>
      <c r="G4306" s="68" t="n">
        <f aca="false">G4289-G4305</f>
        <v>0.0398839041095895</v>
      </c>
      <c r="H4306" s="2" t="s">
        <v>1256</v>
      </c>
    </row>
    <row r="4307" customFormat="false" ht="15" hidden="false" customHeight="false" outlineLevel="1" collapsed="false">
      <c r="A4307" s="7" t="s">
        <v>678</v>
      </c>
      <c r="B4307" s="8" t="s">
        <v>76</v>
      </c>
      <c r="C4307" s="59" t="n">
        <f aca="false">IF(C4289&gt;0,C4306/C4289,0)</f>
        <v>0.0160992681553764</v>
      </c>
      <c r="D4307" s="59" t="n">
        <f aca="false">IF(D4289&gt;0,D4306/D4289,0)</f>
        <v>0.010188215425033</v>
      </c>
      <c r="E4307" s="59" t="n">
        <f aca="false">IF(E4289&gt;0,E4306/E4289,0)</f>
        <v>0.0105576562206795</v>
      </c>
      <c r="F4307" s="59" t="n">
        <f aca="false">IF(F4289&gt;0,F4306/F4289,0)</f>
        <v>0.0109270970163259</v>
      </c>
      <c r="G4307" s="59" t="n">
        <f aca="false">IF(G4289&gt;0,G4306/G4289,0)</f>
        <v>0.0109270970163259</v>
      </c>
      <c r="H4307" s="2" t="s">
        <v>1257</v>
      </c>
    </row>
    <row r="4308" customFormat="false" ht="15" hidden="false" customHeight="false" outlineLevel="1" collapsed="false">
      <c r="A4308" s="7" t="s">
        <v>679</v>
      </c>
      <c r="B4308" s="8" t="s">
        <v>64</v>
      </c>
      <c r="C4308" s="63" t="n">
        <f aca="false">(C4287+C4290)*(C4293-Pressupostos!$C$72)/365+C4289*C4294/365</f>
        <v>0.306164383561644</v>
      </c>
      <c r="D4308" s="63" t="n">
        <f aca="false">(D4287+D4290)*(D4293-Pressupostos!$C$72)/365+D4289*D4294/365</f>
        <v>0.306164383561644</v>
      </c>
      <c r="E4308" s="63" t="n">
        <f aca="false">(E4287+E4290)*(E4293-Pressupostos!$C$72)/365+E4289*E4294/365</f>
        <v>0.306164383561644</v>
      </c>
      <c r="F4308" s="63" t="n">
        <f aca="false">(F4287+F4290)*(F4293-Pressupostos!$C$72)/365+F4289*F4294/365</f>
        <v>0.306164383561644</v>
      </c>
      <c r="G4308" s="63" t="n">
        <f aca="false">(G4287+G4290)*(G4293-Pressupostos!$C$72)/365+G4289*G4294/365</f>
        <v>0.306164383561644</v>
      </c>
      <c r="H4308" s="2" t="s">
        <v>1258</v>
      </c>
    </row>
    <row r="4309" customFormat="false" ht="15" hidden="false" customHeight="false" outlineLevel="0" collapsed="false">
      <c r="A4309" s="3" t="s">
        <v>1259</v>
      </c>
      <c r="B4309" s="4"/>
      <c r="C4309" s="4"/>
      <c r="D4309" s="4"/>
      <c r="E4309" s="4"/>
      <c r="F4309" s="4"/>
      <c r="G4309" s="4"/>
      <c r="H4309" s="4"/>
    </row>
    <row r="4310" customFormat="false" ht="15" hidden="false" customHeight="false" outlineLevel="1" collapsed="false">
      <c r="A4310" s="7" t="s">
        <v>683</v>
      </c>
      <c r="B4310" s="8" t="s">
        <v>64</v>
      </c>
      <c r="C4310" s="63" t="n">
        <f aca="false">Pressupostos!$C$64*Pressupostos!$F$10</f>
        <v>0.02625</v>
      </c>
      <c r="D4310" s="63" t="n">
        <f aca="false">Pressupostos!$C$64*Pressupostos!$F$10</f>
        <v>0.02625</v>
      </c>
      <c r="E4310" s="63" t="n">
        <f aca="false">Pressupostos!$C$64*Pressupostos!$F$10</f>
        <v>0.02625</v>
      </c>
      <c r="F4310" s="63" t="n">
        <f aca="false">Pressupostos!$C$64*Pressupostos!$F$10</f>
        <v>0.02625</v>
      </c>
      <c r="G4310" s="63" t="n">
        <f aca="false">Pressupostos!$C$64*Pressupostos!$F$10</f>
        <v>0.02625</v>
      </c>
      <c r="H4310" s="2" t="s">
        <v>1260</v>
      </c>
    </row>
    <row r="4311" customFormat="false" ht="15" hidden="false" customHeight="false" outlineLevel="1" collapsed="false">
      <c r="A4311" s="7" t="s">
        <v>684</v>
      </c>
      <c r="B4311" s="8" t="s">
        <v>64</v>
      </c>
      <c r="C4311" s="63" t="n">
        <f aca="false">C4300+C4297+C4301</f>
        <v>0.019</v>
      </c>
      <c r="D4311" s="63" t="n">
        <f aca="false">D4300+D4297+D4301</f>
        <v>0.019</v>
      </c>
      <c r="E4311" s="63" t="n">
        <f aca="false">E4300+E4297+E4301</f>
        <v>0.019</v>
      </c>
      <c r="F4311" s="63" t="n">
        <f aca="false">F4300+F4297+F4301</f>
        <v>0.019</v>
      </c>
      <c r="G4311" s="63" t="n">
        <f aca="false">G4300+G4297+G4301</f>
        <v>0.019</v>
      </c>
      <c r="H4311" s="2" t="s">
        <v>1261</v>
      </c>
    </row>
    <row r="4312" customFormat="false" ht="15" hidden="false" customHeight="false" outlineLevel="1" collapsed="false">
      <c r="A4312" s="56" t="s">
        <v>561</v>
      </c>
      <c r="B4312" s="57" t="s">
        <v>64</v>
      </c>
      <c r="C4312" s="68" t="n">
        <f aca="false">C4310-C4311</f>
        <v>0.00725</v>
      </c>
      <c r="D4312" s="68" t="n">
        <f aca="false">D4310-D4311</f>
        <v>0.00725</v>
      </c>
      <c r="E4312" s="68" t="n">
        <f aca="false">E4310-E4311</f>
        <v>0.00725</v>
      </c>
      <c r="F4312" s="68" t="n">
        <f aca="false">F4310-F4311</f>
        <v>0.00725</v>
      </c>
      <c r="G4312" s="68" t="n">
        <f aca="false">G4310-G4311</f>
        <v>0.00725</v>
      </c>
      <c r="H4312" s="2" t="s">
        <v>1262</v>
      </c>
    </row>
    <row r="4313" customFormat="false" ht="15" hidden="false" customHeight="false" outlineLevel="0" collapsed="false">
      <c r="A4313" s="3" t="s">
        <v>1263</v>
      </c>
      <c r="B4313" s="4"/>
      <c r="C4313" s="4"/>
      <c r="D4313" s="4"/>
      <c r="E4313" s="4"/>
      <c r="F4313" s="4"/>
      <c r="G4313" s="4"/>
      <c r="H4313" s="4"/>
    </row>
    <row r="4314" customFormat="false" ht="15" hidden="false" customHeight="false" outlineLevel="1" collapsed="false">
      <c r="A4314" s="7" t="s">
        <v>608</v>
      </c>
      <c r="B4314" s="8" t="s">
        <v>11</v>
      </c>
      <c r="C4314" s="61" t="n">
        <f aca="false">C4223*1000*C4243</f>
        <v>44280</v>
      </c>
      <c r="D4314" s="61" t="n">
        <f aca="false">D4223*1000*D4243</f>
        <v>166050</v>
      </c>
      <c r="E4314" s="61" t="n">
        <f aca="false">E4223*1000*E4243</f>
        <v>442800</v>
      </c>
      <c r="F4314" s="61" t="n">
        <f aca="false">F4223*1000*F4243</f>
        <v>774900</v>
      </c>
      <c r="G4314" s="61" t="n">
        <f aca="false">G4223*1000*G4243</f>
        <v>1107000</v>
      </c>
      <c r="H4314" s="2" t="s">
        <v>1264</v>
      </c>
    </row>
    <row r="4315" customFormat="false" ht="15" hidden="false" customHeight="false" outlineLevel="1" collapsed="false">
      <c r="A4315" s="7" t="s">
        <v>609</v>
      </c>
      <c r="B4315" s="8" t="s">
        <v>11</v>
      </c>
      <c r="C4315" s="61" t="n">
        <f aca="false">C4224*1000*C4266</f>
        <v>231400</v>
      </c>
      <c r="D4315" s="61" t="n">
        <f aca="false">D4224*1000*D4266</f>
        <v>1615350</v>
      </c>
      <c r="E4315" s="61" t="n">
        <f aca="false">E4224*1000*E4266</f>
        <v>3190650</v>
      </c>
      <c r="F4315" s="61" t="n">
        <f aca="false">F4224*1000*F4266</f>
        <v>5264350</v>
      </c>
      <c r="G4315" s="61" t="n">
        <f aca="false">G4224*1000*G4266</f>
        <v>7965500</v>
      </c>
      <c r="H4315" s="2" t="s">
        <v>1265</v>
      </c>
    </row>
    <row r="4316" customFormat="false" ht="15" hidden="false" customHeight="false" outlineLevel="1" collapsed="false">
      <c r="A4316" s="7" t="s">
        <v>610</v>
      </c>
      <c r="B4316" s="8" t="s">
        <v>11</v>
      </c>
      <c r="C4316" s="61" t="n">
        <f aca="false">C4226*1000*C4289</f>
        <v>0</v>
      </c>
      <c r="D4316" s="61" t="n">
        <f aca="false">D4226*1000*D4289</f>
        <v>0</v>
      </c>
      <c r="E4316" s="61" t="n">
        <f aca="false">E4226*1000*E4289</f>
        <v>0</v>
      </c>
      <c r="F4316" s="61" t="n">
        <f aca="false">F4226*1000*F4289</f>
        <v>0</v>
      </c>
      <c r="G4316" s="61" t="n">
        <f aca="false">G4226*1000*G4289</f>
        <v>0</v>
      </c>
      <c r="H4316" s="2" t="s">
        <v>1266</v>
      </c>
    </row>
    <row r="4317" customFormat="false" ht="15" hidden="false" customHeight="false" outlineLevel="1" collapsed="false">
      <c r="A4317" s="7" t="s">
        <v>611</v>
      </c>
      <c r="B4317" s="8" t="s">
        <v>11</v>
      </c>
      <c r="C4317" s="61" t="n">
        <f aca="false">C4314+C4315+C4316</f>
        <v>275680</v>
      </c>
      <c r="D4317" s="61" t="n">
        <f aca="false">D4314+D4315+D4316</f>
        <v>1781400</v>
      </c>
      <c r="E4317" s="61" t="n">
        <f aca="false">E4314+E4315+E4316</f>
        <v>3633450</v>
      </c>
      <c r="F4317" s="61" t="n">
        <f aca="false">F4314+F4315+F4316</f>
        <v>6039250</v>
      </c>
      <c r="G4317" s="61" t="n">
        <f aca="false">G4314+G4315+G4316</f>
        <v>9072500</v>
      </c>
      <c r="H4317" s="2" t="s">
        <v>1267</v>
      </c>
    </row>
    <row r="4318" customFormat="false" ht="15" hidden="false" customHeight="false" outlineLevel="1" collapsed="false">
      <c r="A4318" s="7" t="s">
        <v>612</v>
      </c>
      <c r="B4318" s="8" t="s">
        <v>11</v>
      </c>
      <c r="C4318" s="61" t="n">
        <f aca="false">C4236*1000*Pressupostos!$C$93</f>
        <v>0</v>
      </c>
      <c r="D4318" s="61" t="n">
        <f aca="false">D4236*1000*Pressupostos!$C$93</f>
        <v>0</v>
      </c>
      <c r="E4318" s="61" t="n">
        <f aca="false">E4236*1000*Pressupostos!$C$93</f>
        <v>0</v>
      </c>
      <c r="F4318" s="61" t="n">
        <f aca="false">F4236*1000*Pressupostos!$C$93</f>
        <v>157000</v>
      </c>
      <c r="G4318" s="61" t="n">
        <f aca="false">G4236*1000*Pressupostos!$C$93</f>
        <v>392500</v>
      </c>
      <c r="H4318" s="2" t="s">
        <v>1268</v>
      </c>
    </row>
    <row r="4319" customFormat="false" ht="15" hidden="false" customHeight="false" outlineLevel="1" collapsed="false">
      <c r="A4319" s="2" t="s">
        <v>613</v>
      </c>
      <c r="B4319" s="8" t="s">
        <v>11</v>
      </c>
      <c r="C4319" s="61" t="n">
        <f aca="false">C4234*Pressupostos!$C$80*(1-Pressupostos!$C$81)</f>
        <v>9720</v>
      </c>
      <c r="D4319" s="61" t="n">
        <f aca="false">D4234*Pressupostos!$C$80*(1-Pressupostos!$C$81)</f>
        <v>36450</v>
      </c>
      <c r="E4319" s="61" t="n">
        <f aca="false">E4234*Pressupostos!$C$80*(1-Pressupostos!$C$81)</f>
        <v>97200</v>
      </c>
      <c r="F4319" s="61" t="n">
        <f aca="false">F4234*Pressupostos!$C$80*(1-Pressupostos!$C$81)</f>
        <v>170100</v>
      </c>
      <c r="G4319" s="61" t="n">
        <f aca="false">G4234*Pressupostos!$C$80*(1-Pressupostos!$C$81)</f>
        <v>243000</v>
      </c>
      <c r="H4319" s="2" t="s">
        <v>1269</v>
      </c>
    </row>
    <row r="4320" customFormat="false" ht="15" hidden="false" customHeight="false" outlineLevel="1" collapsed="false">
      <c r="A4320" s="7" t="s">
        <v>614</v>
      </c>
      <c r="B4320" s="8" t="s">
        <v>11</v>
      </c>
      <c r="C4320" s="61" t="n">
        <f aca="false">C4319*Pressupostos!$F$27</f>
        <v>194.4</v>
      </c>
      <c r="D4320" s="61" t="n">
        <f aca="false">D4319*Pressupostos!$F$27</f>
        <v>729</v>
      </c>
      <c r="E4320" s="61" t="n">
        <f aca="false">E4319*Pressupostos!$F$27</f>
        <v>1944</v>
      </c>
      <c r="F4320" s="61" t="n">
        <f aca="false">F4319*Pressupostos!$F$27</f>
        <v>3402</v>
      </c>
      <c r="G4320" s="61" t="n">
        <f aca="false">G4319*Pressupostos!$F$27</f>
        <v>4860</v>
      </c>
      <c r="H4320" s="2" t="s">
        <v>1270</v>
      </c>
    </row>
    <row r="4321" customFormat="false" ht="15" hidden="false" customHeight="false" outlineLevel="1" collapsed="false">
      <c r="A4321" s="7" t="s">
        <v>615</v>
      </c>
      <c r="B4321" s="8" t="s">
        <v>11</v>
      </c>
      <c r="C4321" s="61" t="n">
        <f aca="false">C4227*1000*C4310</f>
        <v>0</v>
      </c>
      <c r="D4321" s="61" t="n">
        <f aca="false">D4227*1000*D4310</f>
        <v>13125</v>
      </c>
      <c r="E4321" s="61" t="n">
        <f aca="false">E4227*1000*E4310</f>
        <v>39375</v>
      </c>
      <c r="F4321" s="61" t="n">
        <f aca="false">F4227*1000*F4310</f>
        <v>65625</v>
      </c>
      <c r="G4321" s="61" t="n">
        <f aca="false">G4227*1000*G4310</f>
        <v>91875</v>
      </c>
      <c r="H4321" s="2" t="s">
        <v>1271</v>
      </c>
    </row>
    <row r="4322" customFormat="false" ht="15" hidden="false" customHeight="false" outlineLevel="1" collapsed="false">
      <c r="A4322" s="7" t="s">
        <v>616</v>
      </c>
      <c r="B4322" s="8" t="s">
        <v>11</v>
      </c>
      <c r="C4322" s="61" t="n">
        <f aca="false">C4238*(Pressupostos!$C$101*Pressupostos!$C$102+Pressupostos!$C$103)</f>
        <v>0</v>
      </c>
      <c r="D4322" s="61" t="n">
        <f aca="false">D4238*(Pressupostos!$C$101*Pressupostos!$C$102+Pressupostos!$C$103)</f>
        <v>10000</v>
      </c>
      <c r="E4322" s="61" t="n">
        <f aca="false">E4238*(Pressupostos!$C$101*Pressupostos!$C$102+Pressupostos!$C$103)</f>
        <v>30000</v>
      </c>
      <c r="F4322" s="61" t="n">
        <f aca="false">F4238*(Pressupostos!$C$101*Pressupostos!$C$102+Pressupostos!$C$103)</f>
        <v>60000</v>
      </c>
      <c r="G4322" s="61" t="n">
        <f aca="false">G4238*(Pressupostos!$C$101*Pressupostos!$C$102+Pressupostos!$C$103)</f>
        <v>100000</v>
      </c>
      <c r="H4322" s="2" t="s">
        <v>1272</v>
      </c>
    </row>
    <row r="4323" customFormat="false" ht="15" hidden="false" customHeight="false" outlineLevel="1" collapsed="false">
      <c r="A4323" s="7" t="s">
        <v>617</v>
      </c>
      <c r="B4323" s="8" t="s">
        <v>11</v>
      </c>
      <c r="C4323" s="53" t="n">
        <f aca="false">Pressupostos!$C$277</f>
        <v>0</v>
      </c>
      <c r="D4323" s="53" t="n">
        <f aca="false">Pressupostos!$D$277</f>
        <v>0</v>
      </c>
      <c r="E4323" s="53" t="n">
        <f aca="false">Pressupostos!$E$277</f>
        <v>0</v>
      </c>
      <c r="F4323" s="53" t="n">
        <f aca="false">Pressupostos!$F$277</f>
        <v>10000</v>
      </c>
      <c r="G4323" s="53" t="n">
        <f aca="false">Pressupostos!$G$277</f>
        <v>30000</v>
      </c>
      <c r="H4323" s="2" t="s">
        <v>1273</v>
      </c>
    </row>
    <row r="4324" customFormat="false" ht="15" hidden="false" customHeight="false" outlineLevel="1" collapsed="false">
      <c r="A4324" s="56" t="s">
        <v>618</v>
      </c>
      <c r="B4324" s="57" t="s">
        <v>11</v>
      </c>
      <c r="C4324" s="62" t="n">
        <f aca="false">C4317+C4318+C4320+C4321+C4322+C4323</f>
        <v>275874.4</v>
      </c>
      <c r="D4324" s="62" t="n">
        <f aca="false">D4317+D4318+D4320+D4321+D4322+D4323</f>
        <v>1805254</v>
      </c>
      <c r="E4324" s="62" t="n">
        <f aca="false">E4317+E4318+E4320+E4321+E4322+E4323</f>
        <v>3704769</v>
      </c>
      <c r="F4324" s="62" t="n">
        <f aca="false">F4317+F4318+F4320+F4321+F4322+F4323</f>
        <v>6335277</v>
      </c>
      <c r="G4324" s="62" t="n">
        <f aca="false">G4317+G4318+G4320+G4321+G4322+G4323</f>
        <v>9691735</v>
      </c>
      <c r="H4324" s="2" t="s">
        <v>1274</v>
      </c>
    </row>
    <row r="4325" customFormat="false" ht="15" hidden="false" customHeight="false" outlineLevel="0" collapsed="false">
      <c r="A4325" s="3" t="s">
        <v>1275</v>
      </c>
      <c r="B4325" s="4"/>
      <c r="C4325" s="4"/>
      <c r="D4325" s="4"/>
      <c r="E4325" s="4"/>
      <c r="F4325" s="4"/>
      <c r="G4325" s="4"/>
      <c r="H4325" s="4"/>
    </row>
    <row r="4326" customFormat="false" ht="15" hidden="false" customHeight="false" outlineLevel="1" collapsed="false">
      <c r="A4326" s="2" t="s">
        <v>620</v>
      </c>
      <c r="B4326" s="8" t="s">
        <v>11</v>
      </c>
      <c r="C4326" s="61" t="n">
        <f aca="false">C4227*1000*Pressupostos!$F$10</f>
        <v>0</v>
      </c>
      <c r="D4326" s="61" t="n">
        <f aca="false">D4227*1000*Pressupostos!$F$10</f>
        <v>1750000</v>
      </c>
      <c r="E4326" s="61" t="n">
        <f aca="false">E4227*1000*Pressupostos!$F$10</f>
        <v>5250000</v>
      </c>
      <c r="F4326" s="61" t="n">
        <f aca="false">F4227*1000*Pressupostos!$F$10</f>
        <v>8750000</v>
      </c>
      <c r="G4326" s="61" t="n">
        <f aca="false">G4227*1000*Pressupostos!$F$10</f>
        <v>12250000</v>
      </c>
      <c r="H4326" s="2" t="s">
        <v>1276</v>
      </c>
    </row>
    <row r="4327" customFormat="false" ht="15" hidden="false" customHeight="false" outlineLevel="1" collapsed="false">
      <c r="A4327" s="56" t="s">
        <v>621</v>
      </c>
      <c r="B4327" s="57" t="s">
        <v>11</v>
      </c>
      <c r="C4327" s="62" t="n">
        <f aca="false">C4317+C4318+C4319+C4326</f>
        <v>285400</v>
      </c>
      <c r="D4327" s="62" t="n">
        <f aca="false">D4317+D4318+D4319+D4326</f>
        <v>3567850</v>
      </c>
      <c r="E4327" s="62" t="n">
        <f aca="false">E4317+E4318+E4319+E4326</f>
        <v>8980650</v>
      </c>
      <c r="F4327" s="62" t="n">
        <f aca="false">F4317+F4318+F4319+F4326</f>
        <v>15116350</v>
      </c>
      <c r="G4327" s="62" t="n">
        <f aca="false">G4317+G4318+G4319+G4326</f>
        <v>21958000</v>
      </c>
      <c r="H4327" s="2" t="s">
        <v>1277</v>
      </c>
    </row>
    <row r="4328" customFormat="false" ht="15" hidden="false" customHeight="false" outlineLevel="1" collapsed="false">
      <c r="A4328" s="7" t="s">
        <v>622</v>
      </c>
      <c r="B4328" s="8" t="s">
        <v>11</v>
      </c>
      <c r="C4328" s="61" t="n">
        <f aca="false">C4327-C4326-C4316</f>
        <v>285400</v>
      </c>
      <c r="D4328" s="61" t="n">
        <f aca="false">D4327-D4326-D4316</f>
        <v>1817850</v>
      </c>
      <c r="E4328" s="61" t="n">
        <f aca="false">E4327-E4326-E4316</f>
        <v>3730650</v>
      </c>
      <c r="F4328" s="61" t="n">
        <f aca="false">F4327-F4326-F4316</f>
        <v>6366350</v>
      </c>
      <c r="G4328" s="61" t="n">
        <f aca="false">G4327-G4326-G4316</f>
        <v>9708000</v>
      </c>
      <c r="H4328" s="2" t="s">
        <v>1278</v>
      </c>
    </row>
    <row r="4329" customFormat="false" ht="15" hidden="false" customHeight="false" outlineLevel="1" collapsed="false">
      <c r="A4329" s="7" t="s">
        <v>623</v>
      </c>
      <c r="B4329" s="8" t="s">
        <v>11</v>
      </c>
      <c r="C4329" s="61" t="n">
        <f aca="false">C4223*1000*(C4241+C4244)+C4224*1000*(C4264+C4267)+C4226*1000*(C4287+C4290)+C4236*1000*Pressupostos!$C$92</f>
        <v>245040</v>
      </c>
      <c r="D4329" s="61" t="n">
        <f aca="false">D4223*1000*(D4241+D4244)+D4224*1000*(D4264+D4267)+D4226*1000*(D4287+D4290)+D4236*1000*Pressupostos!$C$92</f>
        <v>1599300</v>
      </c>
      <c r="E4329" s="61" t="n">
        <f aca="false">E4223*1000*(E4241+E4244)+E4224*1000*(E4264+E4267)+E4226*1000*(E4287+E4290)+E4236*1000*Pressupostos!$C$92</f>
        <v>3248250</v>
      </c>
      <c r="F4329" s="61" t="n">
        <f aca="false">F4223*1000*(F4241+F4244)+F4224*1000*(F4264+F4267)+F4226*1000*(F4287+F4290)+F4236*1000*Pressupostos!$C$92</f>
        <v>5533850</v>
      </c>
      <c r="G4329" s="61" t="n">
        <f aca="false">G4223*1000*(G4241+G4244)+G4224*1000*(G4264+G4267)+G4226*1000*(G4287+G4290)+G4236*1000*Pressupostos!$C$92</f>
        <v>8460500</v>
      </c>
      <c r="H4329" s="2" t="s">
        <v>1279</v>
      </c>
    </row>
    <row r="4330" customFormat="false" ht="15" hidden="false" customHeight="false" outlineLevel="1" collapsed="false">
      <c r="A4330" s="7" t="s">
        <v>624</v>
      </c>
      <c r="B4330" s="8" t="s">
        <v>11</v>
      </c>
      <c r="C4330" s="61" t="n">
        <f aca="false">C4329*Pressupostos!$C$284</f>
        <v>0</v>
      </c>
      <c r="D4330" s="61" t="n">
        <f aca="false">D4329*Pressupostos!$D$284</f>
        <v>1199475</v>
      </c>
      <c r="E4330" s="61" t="n">
        <f aca="false">E4329*Pressupostos!$E$284</f>
        <v>2436187.5</v>
      </c>
      <c r="F4330" s="61" t="n">
        <f aca="false">F4329*Pressupostos!$F$284</f>
        <v>4150387.5</v>
      </c>
      <c r="G4330" s="61" t="n">
        <f aca="false">G4329*Pressupostos!$G$284</f>
        <v>6345375</v>
      </c>
      <c r="H4330" s="2" t="s">
        <v>1280</v>
      </c>
    </row>
    <row r="4331" customFormat="false" ht="15" hidden="false" customHeight="false" outlineLevel="0" collapsed="false">
      <c r="A4331" s="3" t="s">
        <v>1281</v>
      </c>
      <c r="B4331" s="4"/>
      <c r="C4331" s="4"/>
      <c r="D4331" s="4"/>
      <c r="E4331" s="4"/>
      <c r="F4331" s="4"/>
      <c r="G4331" s="4"/>
      <c r="H4331" s="4"/>
    </row>
    <row r="4332" customFormat="false" ht="15" hidden="false" customHeight="false" outlineLevel="1" collapsed="false">
      <c r="A4332" s="7" t="s">
        <v>626</v>
      </c>
      <c r="B4332" s="8" t="s">
        <v>11</v>
      </c>
      <c r="C4332" s="61" t="n">
        <f aca="false">C4223*1000*C4260</f>
        <v>4950.75000000001</v>
      </c>
      <c r="D4332" s="61" t="n">
        <f aca="false">D4223*1000*D4260</f>
        <v>13655.8433219179</v>
      </c>
      <c r="E4332" s="61" t="n">
        <f aca="false">E4223*1000*E4260</f>
        <v>50634.6910958904</v>
      </c>
      <c r="F4332" s="61" t="n">
        <f aca="false">F4223*1000*F4260</f>
        <v>90432.7171232877</v>
      </c>
      <c r="G4332" s="61" t="n">
        <f aca="false">G4223*1000*G4260</f>
        <v>129189.595890411</v>
      </c>
      <c r="H4332" s="2" t="s">
        <v>1282</v>
      </c>
    </row>
    <row r="4333" customFormat="false" ht="15" hidden="false" customHeight="false" outlineLevel="1" collapsed="false">
      <c r="A4333" s="7" t="s">
        <v>627</v>
      </c>
      <c r="B4333" s="8" t="s">
        <v>11</v>
      </c>
      <c r="C4333" s="61" t="n">
        <f aca="false">C4224*1000*C4283</f>
        <v>10195.0273972603</v>
      </c>
      <c r="D4333" s="61" t="n">
        <f aca="false">D4224*1000*D4283</f>
        <v>54554.4246575343</v>
      </c>
      <c r="E4333" s="61" t="n">
        <f aca="false">E4224*1000*E4283</f>
        <v>116977.352953767</v>
      </c>
      <c r="F4333" s="61" t="n">
        <f aca="false">F4224*1000*F4283</f>
        <v>196388.634845891</v>
      </c>
      <c r="G4333" s="61" t="n">
        <f aca="false">G4224*1000*G4283</f>
        <v>297156.09160959</v>
      </c>
      <c r="H4333" s="2" t="s">
        <v>1283</v>
      </c>
    </row>
    <row r="4334" customFormat="false" ht="15" hidden="false" customHeight="false" outlineLevel="1" collapsed="false">
      <c r="A4334" s="7" t="s">
        <v>628</v>
      </c>
      <c r="B4334" s="8" t="s">
        <v>11</v>
      </c>
      <c r="C4334" s="61" t="n">
        <f aca="false">C4226*1000*C4306+C4227*1000*C4312</f>
        <v>0</v>
      </c>
      <c r="D4334" s="61" t="n">
        <f aca="false">D4226*1000*D4306+D4227*1000*D4312</f>
        <v>3625</v>
      </c>
      <c r="E4334" s="61" t="n">
        <f aca="false">E4226*1000*E4306+E4227*1000*E4312</f>
        <v>10875</v>
      </c>
      <c r="F4334" s="61" t="n">
        <f aca="false">F4226*1000*F4306+F4227*1000*F4312</f>
        <v>18125</v>
      </c>
      <c r="G4334" s="61" t="n">
        <f aca="false">G4226*1000*G4306+G4227*1000*G4312</f>
        <v>25375</v>
      </c>
      <c r="H4334" s="2" t="s">
        <v>1284</v>
      </c>
    </row>
    <row r="4335" customFormat="false" ht="15" hidden="false" customHeight="false" outlineLevel="1" collapsed="false">
      <c r="A4335" s="7" t="s">
        <v>629</v>
      </c>
      <c r="B4335" s="8" t="s">
        <v>11</v>
      </c>
      <c r="C4335" s="61" t="n">
        <f aca="false">C4332+C4333+C4334</f>
        <v>15145.7773972603</v>
      </c>
      <c r="D4335" s="61" t="n">
        <f aca="false">D4332+D4333+D4334</f>
        <v>71835.2679794522</v>
      </c>
      <c r="E4335" s="61" t="n">
        <f aca="false">E4332+E4333+E4334</f>
        <v>178487.044049658</v>
      </c>
      <c r="F4335" s="61" t="n">
        <f aca="false">F4332+F4333+F4334</f>
        <v>304946.351969179</v>
      </c>
      <c r="G4335" s="61" t="n">
        <f aca="false">G4332+G4333+G4334</f>
        <v>451720.687500001</v>
      </c>
      <c r="H4335" s="2" t="s">
        <v>1285</v>
      </c>
    </row>
    <row r="4336" customFormat="false" ht="15" hidden="false" customHeight="false" outlineLevel="1" collapsed="false">
      <c r="A4336" s="7" t="s">
        <v>630</v>
      </c>
      <c r="B4336" s="8" t="s">
        <v>64</v>
      </c>
      <c r="C4336" s="63" t="n">
        <f aca="false">IF(C4228&gt;0,C4335/(C4228*1000),0)</f>
        <v>0.251590986665454</v>
      </c>
      <c r="D4336" s="63" t="n">
        <f aca="false">IF(D4228&gt;0,D4335/(D4228*1000),0)</f>
        <v>0.0803751250119745</v>
      </c>
      <c r="E4336" s="63" t="n">
        <f aca="false">IF(E4228&gt;0,E4335/(E4228*1000),0)</f>
        <v>0.0776368177684462</v>
      </c>
      <c r="F4336" s="63" t="n">
        <f aca="false">IF(F4228&gt;0,F4335/(F4228*1000),0)</f>
        <v>0.0796932841942189</v>
      </c>
      <c r="G4336" s="63" t="n">
        <f aca="false">IF(G4228&gt;0,G4335/(G4228*1000),0)</f>
        <v>0.0822057666060056</v>
      </c>
      <c r="H4336" s="2" t="s">
        <v>1286</v>
      </c>
    </row>
    <row r="4337" customFormat="false" ht="15" hidden="false" customHeight="false" outlineLevel="1" collapsed="false">
      <c r="A4337" s="7" t="s">
        <v>631</v>
      </c>
      <c r="B4337" s="8" t="s">
        <v>76</v>
      </c>
      <c r="C4337" s="59" t="n">
        <f aca="false">IF(C4317&gt;0,C4335/C4317,0)</f>
        <v>0.0549397032692263</v>
      </c>
      <c r="D4337" s="59" t="n">
        <f aca="false">IF(D4317&gt;0,D4335/D4317,0)</f>
        <v>0.0403251756929674</v>
      </c>
      <c r="E4337" s="59" t="n">
        <f aca="false">IF(E4317&gt;0,E4335/E4317,0)</f>
        <v>0.0491232971555017</v>
      </c>
      <c r="F4337" s="59" t="n">
        <f aca="false">IF(F4317&gt;0,F4335/F4317,0)</f>
        <v>0.0504940765772536</v>
      </c>
      <c r="G4337" s="59" t="n">
        <f aca="false">IF(G4317&gt;0,G4335/G4317,0)</f>
        <v>0.0497901005786719</v>
      </c>
      <c r="H4337" s="2" t="s">
        <v>1287</v>
      </c>
    </row>
    <row r="4338" customFormat="false" ht="15" hidden="false" customHeight="false" outlineLevel="1" collapsed="false">
      <c r="A4338" s="2" t="s">
        <v>632</v>
      </c>
      <c r="B4338" s="8" t="s">
        <v>64</v>
      </c>
      <c r="C4338" s="63" t="n">
        <f aca="false">Pressupostos!$C$290*Pressupostos!$C$92*(Pressupostos!$C$95+Pressupostos!$C$96-Pressupostos!$C$97)/365*Pressupostos!$C$284/Pressupostos!$F$31</f>
        <v>0</v>
      </c>
      <c r="D4338" s="63" t="n">
        <f aca="false">Pressupostos!$D$290*Pressupostos!$C$92*(Pressupostos!$C$95+Pressupostos!$C$96-Pressupostos!$C$97)/365*Pressupostos!$D$284/Pressupostos!$F$31</f>
        <v>0.0647260273972603</v>
      </c>
      <c r="E4338" s="63" t="n">
        <f aca="false">Pressupostos!$E$290*Pressupostos!$C$92*(Pressupostos!$C$95+Pressupostos!$C$96-Pressupostos!$C$97)/365*Pressupostos!$E$284/Pressupostos!$F$31</f>
        <v>0.0606806506849315</v>
      </c>
      <c r="F4338" s="63" t="n">
        <f aca="false">Pressupostos!$F$290*Pressupostos!$C$92*(Pressupostos!$C$95+Pressupostos!$C$96-Pressupostos!$C$97)/365*Pressupostos!$F$284/Pressupostos!$F$31</f>
        <v>0.0566352739726028</v>
      </c>
      <c r="G4338" s="63" t="n">
        <f aca="false">Pressupostos!$G$290*Pressupostos!$C$92*(Pressupostos!$C$95+Pressupostos!$C$96-Pressupostos!$C$97)/365*Pressupostos!$G$284/Pressupostos!$F$31</f>
        <v>0.0566352739726028</v>
      </c>
      <c r="H4338" s="2" t="s">
        <v>1288</v>
      </c>
    </row>
    <row r="4339" customFormat="false" ht="15" hidden="false" customHeight="false" outlineLevel="1" collapsed="false">
      <c r="A4339" s="7" t="s">
        <v>600</v>
      </c>
      <c r="B4339" s="8" t="s">
        <v>11</v>
      </c>
      <c r="C4339" s="61" t="n">
        <f aca="false">C4236*1000*(Pressupostos!$C$93-Pressupostos!$C$92-Pressupostos!$C$94-C4338-Pressupostos!$C$98*Pressupostos!$C$93-Pressupostos!$C$99-Pressupostos!$F$29*Pressupostos!$C$92)</f>
        <v>0</v>
      </c>
      <c r="D4339" s="61" t="n">
        <f aca="false">D4236*1000*(Pressupostos!$C$93-Pressupostos!$C$92-Pressupostos!$C$94-D4338-Pressupostos!$C$98*Pressupostos!$C$93-Pressupostos!$C$99-Pressupostos!$F$29*Pressupostos!$C$92)</f>
        <v>0</v>
      </c>
      <c r="E4339" s="61" t="n">
        <f aca="false">E4236*1000*(Pressupostos!$C$93-Pressupostos!$C$92-Pressupostos!$C$94-E4338-Pressupostos!$C$98*Pressupostos!$C$93-Pressupostos!$C$99-Pressupostos!$F$29*Pressupostos!$C$92)</f>
        <v>0</v>
      </c>
      <c r="F4339" s="61" t="n">
        <f aca="false">F4236*1000*(Pressupostos!$C$93-Pressupostos!$C$92-Pressupostos!$C$94-F4338-Pressupostos!$C$98*Pressupostos!$C$93-Pressupostos!$C$99-Pressupostos!$F$29*Pressupostos!$C$92)</f>
        <v>10905.2945205479</v>
      </c>
      <c r="G4339" s="61" t="n">
        <f aca="false">G4236*1000*(Pressupostos!$C$93-Pressupostos!$C$92-Pressupostos!$C$94-G4338-Pressupostos!$C$98*Pressupostos!$C$93-Pressupostos!$C$99-Pressupostos!$F$29*Pressupostos!$C$92)</f>
        <v>27263.2363013698</v>
      </c>
      <c r="H4339" s="2" t="s">
        <v>1289</v>
      </c>
    </row>
    <row r="4340" customFormat="false" ht="15" hidden="false" customHeight="false" outlineLevel="1" collapsed="false">
      <c r="A4340" s="7" t="s">
        <v>633</v>
      </c>
      <c r="B4340" s="8" t="s">
        <v>11</v>
      </c>
      <c r="C4340" s="61" t="n">
        <f aca="false">C4320</f>
        <v>194.4</v>
      </c>
      <c r="D4340" s="61" t="n">
        <f aca="false">D4320</f>
        <v>729</v>
      </c>
      <c r="E4340" s="61" t="n">
        <f aca="false">E4320</f>
        <v>1944</v>
      </c>
      <c r="F4340" s="61" t="n">
        <f aca="false">F4320</f>
        <v>3402</v>
      </c>
      <c r="G4340" s="61" t="n">
        <f aca="false">G4320</f>
        <v>4860</v>
      </c>
      <c r="H4340" s="2" t="s">
        <v>1290</v>
      </c>
    </row>
    <row r="4341" customFormat="false" ht="15" hidden="false" customHeight="false" outlineLevel="1" collapsed="false">
      <c r="A4341" s="7" t="s">
        <v>634</v>
      </c>
      <c r="B4341" s="8" t="s">
        <v>11</v>
      </c>
      <c r="C4341" s="61" t="n">
        <f aca="false">C4322-C4356</f>
        <v>0</v>
      </c>
      <c r="D4341" s="61" t="n">
        <f aca="false">D4322-D4356</f>
        <v>10000</v>
      </c>
      <c r="E4341" s="61" t="n">
        <f aca="false">E4322-E4356</f>
        <v>30000</v>
      </c>
      <c r="F4341" s="61" t="n">
        <f aca="false">F4322-F4356</f>
        <v>60000</v>
      </c>
      <c r="G4341" s="61" t="n">
        <f aca="false">G4322-G4356</f>
        <v>100000</v>
      </c>
      <c r="H4341" s="2" t="s">
        <v>1291</v>
      </c>
    </row>
    <row r="4342" customFormat="false" ht="15" hidden="false" customHeight="false" outlineLevel="1" collapsed="false">
      <c r="A4342" s="7" t="s">
        <v>617</v>
      </c>
      <c r="B4342" s="8" t="s">
        <v>11</v>
      </c>
      <c r="C4342" s="61" t="n">
        <f aca="false">C4323</f>
        <v>0</v>
      </c>
      <c r="D4342" s="61" t="n">
        <f aca="false">D4323</f>
        <v>0</v>
      </c>
      <c r="E4342" s="61" t="n">
        <f aca="false">E4323</f>
        <v>0</v>
      </c>
      <c r="F4342" s="61" t="n">
        <f aca="false">F4323</f>
        <v>10000</v>
      </c>
      <c r="G4342" s="61" t="n">
        <f aca="false">G4323</f>
        <v>30000</v>
      </c>
      <c r="H4342" s="2" t="s">
        <v>1292</v>
      </c>
    </row>
    <row r="4343" customFormat="false" ht="15" hidden="false" customHeight="false" outlineLevel="1" collapsed="false">
      <c r="A4343" s="56" t="s">
        <v>635</v>
      </c>
      <c r="B4343" s="57" t="s">
        <v>11</v>
      </c>
      <c r="C4343" s="62" t="n">
        <f aca="false">C4335+C4339+C4340+C4341+C4342</f>
        <v>15340.1773972603</v>
      </c>
      <c r="D4343" s="62" t="n">
        <f aca="false">D4335+D4339+D4340+D4341+D4342</f>
        <v>82564.2679794522</v>
      </c>
      <c r="E4343" s="62" t="n">
        <f aca="false">E4335+E4339+E4340+E4341+E4342</f>
        <v>210431.044049658</v>
      </c>
      <c r="F4343" s="62" t="n">
        <f aca="false">F4335+F4339+F4340+F4341+F4342</f>
        <v>389253.646489727</v>
      </c>
      <c r="G4343" s="62" t="n">
        <f aca="false">G4335+G4339+G4340+G4341+G4342</f>
        <v>613843.923801371</v>
      </c>
      <c r="H4343" s="2" t="s">
        <v>1293</v>
      </c>
    </row>
    <row r="4344" customFormat="false" ht="15" hidden="false" customHeight="false" outlineLevel="0" collapsed="false">
      <c r="A4344" s="3" t="s">
        <v>1294</v>
      </c>
      <c r="B4344" s="4"/>
      <c r="C4344" s="4"/>
      <c r="D4344" s="4"/>
      <c r="E4344" s="4"/>
      <c r="F4344" s="4"/>
      <c r="G4344" s="4"/>
      <c r="H4344" s="4"/>
    </row>
    <row r="4345" customFormat="false" ht="15" hidden="false" customHeight="false" outlineLevel="1" collapsed="false">
      <c r="A4345" s="7" t="s">
        <v>686</v>
      </c>
      <c r="B4345" s="8" t="s">
        <v>11</v>
      </c>
      <c r="C4345" s="61" t="n">
        <f aca="false">C4223*1000*(C4241+C4244)+C4224*1000*(C4264+C4267)+C4226*1000*(C4287+C4290)</f>
        <v>245040</v>
      </c>
      <c r="D4345" s="61" t="n">
        <f aca="false">D4223*1000*(D4241+D4244)+D4224*1000*(D4264+D4267)+D4226*1000*(D4287+D4290)</f>
        <v>1599300</v>
      </c>
      <c r="E4345" s="61" t="n">
        <f aca="false">E4223*1000*(E4241+E4244)+E4224*1000*(E4264+E4267)+E4226*1000*(E4287+E4290)</f>
        <v>3248250</v>
      </c>
      <c r="F4345" s="61" t="n">
        <f aca="false">F4223*1000*(F4241+F4244)+F4224*1000*(F4264+F4267)+F4226*1000*(F4287+F4290)</f>
        <v>5393850</v>
      </c>
      <c r="G4345" s="61" t="n">
        <f aca="false">G4223*1000*(G4241+G4244)+G4224*1000*(G4264+G4267)+G4226*1000*(G4287+G4290)</f>
        <v>8110500</v>
      </c>
      <c r="H4345" s="2" t="s">
        <v>1295</v>
      </c>
    </row>
    <row r="4346" customFormat="false" ht="15" hidden="false" customHeight="false" outlineLevel="1" collapsed="false">
      <c r="A4346" s="7" t="s">
        <v>687</v>
      </c>
      <c r="B4346" s="8" t="s">
        <v>11</v>
      </c>
      <c r="C4346" s="61" t="n">
        <f aca="false">C4236*1000*Pressupostos!$C$92</f>
        <v>0</v>
      </c>
      <c r="D4346" s="61" t="n">
        <f aca="false">D4236*1000*Pressupostos!$C$92</f>
        <v>0</v>
      </c>
      <c r="E4346" s="61" t="n">
        <f aca="false">E4236*1000*Pressupostos!$C$92</f>
        <v>0</v>
      </c>
      <c r="F4346" s="61" t="n">
        <f aca="false">F4236*1000*Pressupostos!$C$92</f>
        <v>140000</v>
      </c>
      <c r="G4346" s="61" t="n">
        <f aca="false">G4236*1000*Pressupostos!$C$92</f>
        <v>350000</v>
      </c>
      <c r="H4346" s="2" t="s">
        <v>1296</v>
      </c>
    </row>
    <row r="4347" customFormat="false" ht="15" hidden="false" customHeight="false" outlineLevel="1" collapsed="false">
      <c r="A4347" s="7" t="s">
        <v>688</v>
      </c>
      <c r="B4347" s="8" t="s">
        <v>11</v>
      </c>
      <c r="C4347" s="61" t="n">
        <f aca="false">C4345+C4346</f>
        <v>245040</v>
      </c>
      <c r="D4347" s="61" t="n">
        <f aca="false">D4345+D4346</f>
        <v>1599300</v>
      </c>
      <c r="E4347" s="61" t="n">
        <f aca="false">E4345+E4346</f>
        <v>3248250</v>
      </c>
      <c r="F4347" s="61" t="n">
        <f aca="false">F4345+F4346</f>
        <v>5533850</v>
      </c>
      <c r="G4347" s="61" t="n">
        <f aca="false">G4345+G4346</f>
        <v>8460500</v>
      </c>
      <c r="H4347" s="2" t="s">
        <v>1297</v>
      </c>
    </row>
    <row r="4348" customFormat="false" ht="15" hidden="false" customHeight="false" outlineLevel="1" collapsed="false">
      <c r="A4348" s="7" t="s">
        <v>215</v>
      </c>
      <c r="B4348" s="8" t="s">
        <v>11</v>
      </c>
      <c r="C4348" s="61" t="n">
        <f aca="false">C4223*1000*(C4245)+C4224*1000*(C4268)+C4226*1000*(C4291)+C4236*1000*Pressupostos!$C$94</f>
        <v>7660</v>
      </c>
      <c r="D4348" s="61" t="n">
        <f aca="false">D4223*1000*(D4245)+D4224*1000*(D4268)+D4226*1000*(D4291)+D4236*1000*Pressupostos!$C$94</f>
        <v>45525</v>
      </c>
      <c r="E4348" s="61" t="n">
        <f aca="false">E4223*1000*(E4245)+E4224*1000*(E4268)+E4226*1000*(E4291)+E4236*1000*Pressupostos!$C$94</f>
        <v>87490</v>
      </c>
      <c r="F4348" s="61" t="n">
        <f aca="false">F4223*1000*(F4245)+F4224*1000*(F4268)+F4226*1000*(F4291)+F4236*1000*Pressupostos!$C$94</f>
        <v>148215</v>
      </c>
      <c r="G4348" s="61" t="n">
        <f aca="false">G4223*1000*(G4245)+G4224*1000*(G4268)+G4226*1000*(G4291)+G4236*1000*Pressupostos!$C$94</f>
        <v>223950</v>
      </c>
      <c r="H4348" s="2" t="s">
        <v>1298</v>
      </c>
    </row>
    <row r="4349" customFormat="false" ht="15" hidden="false" customHeight="false" outlineLevel="1" collapsed="false">
      <c r="A4349" s="7" t="s">
        <v>117</v>
      </c>
      <c r="B4349" s="8" t="s">
        <v>11</v>
      </c>
      <c r="C4349" s="61" t="n">
        <f aca="false">C4223*1000*(C4246)+C4224*1000*(C4269)+C4226*1000*(C4292)</f>
        <v>492</v>
      </c>
      <c r="D4349" s="61" t="n">
        <f aca="false">D4223*1000*(D4246)+D4224*1000*(D4269)+D4226*1000*(D4292)</f>
        <v>1845</v>
      </c>
      <c r="E4349" s="61" t="n">
        <f aca="false">E4223*1000*(E4246)+E4224*1000*(E4269)+E4226*1000*(E4292)</f>
        <v>4920</v>
      </c>
      <c r="F4349" s="61" t="n">
        <f aca="false">F4223*1000*(F4246)+F4224*1000*(F4269)+F4226*1000*(F4292)</f>
        <v>8610</v>
      </c>
      <c r="G4349" s="61" t="n">
        <f aca="false">G4223*1000*(G4246)+G4224*1000*(G4269)+G4226*1000*(G4292)</f>
        <v>12300</v>
      </c>
      <c r="H4349" s="2" t="s">
        <v>1299</v>
      </c>
    </row>
    <row r="4350" customFormat="false" ht="15" hidden="false" customHeight="false" outlineLevel="1" collapsed="false">
      <c r="A4350" s="7" t="s">
        <v>689</v>
      </c>
      <c r="B4350" s="8" t="s">
        <v>11</v>
      </c>
      <c r="C4350" s="61" t="n">
        <f aca="false">C4223*1000*(C4249+C4250)+C4224*1000*(C4272+C4273)+C4226*1000*(C4295+C4296)</f>
        <v>465.092602739726</v>
      </c>
      <c r="D4350" s="61" t="n">
        <f aca="false">D4223*1000*(D4249+D4250)+D4224*1000*(D4272+D4273)+D4226*1000*(D4295+D4296)</f>
        <v>2515.51643835616</v>
      </c>
      <c r="E4350" s="61" t="n">
        <f aca="false">E4223*1000*(E4249+E4250)+E4224*1000*(E4272+E4273)+E4226*1000*(E4295+E4296)</f>
        <v>3858.10684931507</v>
      </c>
      <c r="F4350" s="61" t="n">
        <f aca="false">F4223*1000*(F4249+F4250)+F4224*1000*(F4272+F4273)+F4226*1000*(F4295+F4296)</f>
        <v>6422.22671232877</v>
      </c>
      <c r="G4350" s="61" t="n">
        <f aca="false">G4223*1000*(G4249+G4250)+G4224*1000*(G4272+G4273)+G4226*1000*(G4295+G4296)</f>
        <v>9633.78767123288</v>
      </c>
      <c r="H4350" s="2" t="s">
        <v>1300</v>
      </c>
    </row>
    <row r="4351" customFormat="false" ht="15" hidden="false" customHeight="false" outlineLevel="1" collapsed="false">
      <c r="A4351" s="7" t="s">
        <v>690</v>
      </c>
      <c r="B4351" s="8" t="s">
        <v>11</v>
      </c>
      <c r="C4351" s="61" t="n">
        <f aca="false">C4223*1000*(C4251+C4252+C4253)+C4224*1000*(C4274+C4275+C4276)+C4226*1000*(C4297+C4298+C4299)</f>
        <v>2675.25</v>
      </c>
      <c r="D4351" s="61" t="n">
        <f aca="false">D4223*1000*(D4251+D4252+D4253)+D4224*1000*(D4274+D4275+D4276)+D4226*1000*(D4297+D4298+D4299)</f>
        <v>16920.1875</v>
      </c>
      <c r="E4351" s="61" t="n">
        <f aca="false">E4223*1000*(E4251+E4252+E4253)+E4224*1000*(E4274+E4275+E4276)+E4226*1000*(E4297+E4298+E4299)</f>
        <v>33722.5</v>
      </c>
      <c r="F4351" s="61" t="n">
        <f aca="false">F4223*1000*(F4251+F4252+F4253)+F4224*1000*(F4274+F4275+F4276)+F4226*1000*(F4297+F4298+F4299)</f>
        <v>56072.625</v>
      </c>
      <c r="G4351" s="61" t="n">
        <f aca="false">G4223*1000*(G4251+G4252+G4253)+G4224*1000*(G4274+G4275+G4276)+G4226*1000*(G4297+G4298+G4299)</f>
        <v>84203.75</v>
      </c>
      <c r="H4351" s="2" t="s">
        <v>1301</v>
      </c>
    </row>
    <row r="4352" customFormat="false" ht="15" hidden="false" customHeight="false" outlineLevel="1" collapsed="false">
      <c r="A4352" s="7" t="s">
        <v>673</v>
      </c>
      <c r="B4352" s="8" t="s">
        <v>11</v>
      </c>
      <c r="C4352" s="61" t="n">
        <f aca="false">C4223*1000*(C4254)+C4224*1000*(C4277)+C4226*1000*(C4300)</f>
        <v>2900</v>
      </c>
      <c r="D4352" s="61" t="n">
        <f aca="false">D4223*1000*(D4254)+D4224*1000*(D4277)+D4226*1000*(D4300)</f>
        <v>17595</v>
      </c>
      <c r="E4352" s="61" t="n">
        <f aca="false">E4223*1000*(E4254)+E4224*1000*(E4277)+E4226*1000*(E4300)</f>
        <v>36880</v>
      </c>
      <c r="F4352" s="61" t="n">
        <f aca="false">F4223*1000*(F4254)+F4224*1000*(F4277)+F4226*1000*(F4300)</f>
        <v>61670</v>
      </c>
      <c r="G4352" s="61" t="n">
        <f aca="false">G4223*1000*(G4254)+G4224*1000*(G4277)+G4226*1000*(G4300)</f>
        <v>92100</v>
      </c>
      <c r="H4352" s="2" t="s">
        <v>1302</v>
      </c>
    </row>
    <row r="4353" customFormat="false" ht="15" hidden="false" customHeight="false" outlineLevel="1" collapsed="false">
      <c r="A4353" s="7" t="s">
        <v>691</v>
      </c>
      <c r="B4353" s="8" t="s">
        <v>11</v>
      </c>
      <c r="C4353" s="61" t="n">
        <f aca="false">C4223*1000*(C4255)+C4224*1000*(C4278)+C4226*1000*(C4301)+C4236*1000*Pressupostos!$C$99</f>
        <v>342</v>
      </c>
      <c r="D4353" s="61" t="n">
        <f aca="false">D4223*1000*(D4255)+D4224*1000*(D4278)+D4226*1000*(D4301)+D4236*1000*Pressupostos!$C$99</f>
        <v>2122.5</v>
      </c>
      <c r="E4353" s="61" t="n">
        <f aca="false">E4223*1000*(E4255)+E4224*1000*(E4278)+E4226*1000*(E4301)+E4236*1000*Pressupostos!$C$99</f>
        <v>4405</v>
      </c>
      <c r="F4353" s="61" t="n">
        <f aca="false">F4223*1000*(F4255)+F4224*1000*(F4278)+F4226*1000*(F4301)+F4236*1000*Pressupostos!$C$99</f>
        <v>7950</v>
      </c>
      <c r="G4353" s="61" t="n">
        <f aca="false">G4223*1000*(G4255)+G4224*1000*(G4278)+G4226*1000*(G4301)+G4236*1000*Pressupostos!$C$99</f>
        <v>12500</v>
      </c>
      <c r="H4353" s="2" t="s">
        <v>1303</v>
      </c>
    </row>
    <row r="4354" customFormat="false" ht="15" hidden="false" customHeight="false" outlineLevel="1" collapsed="false">
      <c r="A4354" s="7" t="s">
        <v>81</v>
      </c>
      <c r="B4354" s="8" t="s">
        <v>11</v>
      </c>
      <c r="C4354" s="61" t="n">
        <f aca="false">C4223*1000*(C4256)+C4224*1000*(C4279)+C4226*1000*(C4302)+C4236*1000*Pressupostos!$C$98*Pressupostos!$C$93</f>
        <v>959.88</v>
      </c>
      <c r="D4354" s="61" t="n">
        <f aca="false">D4223*1000*(D4256)+D4224*1000*(D4279)+D4226*1000*(D4302)+D4236*1000*Pressupostos!$C$98*Pressupostos!$C$93</f>
        <v>5842.35</v>
      </c>
      <c r="E4354" s="61" t="n">
        <f aca="false">E4223*1000*(E4256)+E4224*1000*(E4279)+E4226*1000*(E4302)+E4236*1000*Pressupostos!$C$98*Pressupostos!$C$93</f>
        <v>12228.75</v>
      </c>
      <c r="F4354" s="61" t="n">
        <f aca="false">F4223*1000*(F4256)+F4224*1000*(F4279)+F4226*1000*(F4302)+F4236*1000*Pressupostos!$C$98*Pressupostos!$C$93</f>
        <v>21384.45</v>
      </c>
      <c r="G4354" s="61" t="n">
        <f aca="false">G4223*1000*(G4256)+G4224*1000*(G4279)+G4226*1000*(G4302)+G4236*1000*Pressupostos!$C$98*Pressupostos!$C$93</f>
        <v>32893.5</v>
      </c>
      <c r="H4354" s="2" t="s">
        <v>1304</v>
      </c>
    </row>
    <row r="4355" customFormat="false" ht="15" hidden="false" customHeight="false" outlineLevel="1" collapsed="false">
      <c r="A4355" s="7" t="s">
        <v>692</v>
      </c>
      <c r="B4355" s="8" t="s">
        <v>11</v>
      </c>
      <c r="C4355" s="61" t="n">
        <f aca="false">C4223*1000*(C4257)+C4224*1000*(C4280)+C4226*1000*(C4303)+C4236*1000*Pressupostos!$F$29*Pressupostos!$C$92</f>
        <v>0</v>
      </c>
      <c r="D4355" s="61" t="n">
        <f aca="false">D4223*1000*(D4257)+D4224*1000*(D4280)+D4226*1000*(D4303)+D4236*1000*Pressupostos!$F$29*Pressupostos!$C$92</f>
        <v>0</v>
      </c>
      <c r="E4355" s="61" t="n">
        <f aca="false">E4223*1000*(E4257)+E4224*1000*(E4280)+E4226*1000*(E4303)+E4236*1000*Pressupostos!$F$29*Pressupostos!$C$92</f>
        <v>0</v>
      </c>
      <c r="F4355" s="61" t="n">
        <f aca="false">F4223*1000*(F4257)+F4224*1000*(F4280)+F4226*1000*(F4303)+F4236*1000*Pressupostos!$F$29*Pressupostos!$C$92</f>
        <v>420</v>
      </c>
      <c r="G4355" s="61" t="n">
        <f aca="false">G4223*1000*(G4257)+G4224*1000*(G4280)+G4226*1000*(G4303)+G4236*1000*Pressupostos!$F$29*Pressupostos!$C$92</f>
        <v>1050</v>
      </c>
      <c r="H4355" s="2" t="s">
        <v>1305</v>
      </c>
    </row>
    <row r="4356" customFormat="false" ht="15" hidden="false" customHeight="false" outlineLevel="1" collapsed="false">
      <c r="A4356" s="7" t="s">
        <v>693</v>
      </c>
      <c r="B4356" s="8" t="s">
        <v>11</v>
      </c>
      <c r="C4356" s="61" t="n">
        <f aca="false">C4239*1000*Pressupostos!$C$104*Pressupostos!$F$30</f>
        <v>0</v>
      </c>
      <c r="D4356" s="61" t="n">
        <f aca="false">D4239*1000*Pressupostos!$C$104*Pressupostos!$F$30</f>
        <v>0</v>
      </c>
      <c r="E4356" s="61" t="n">
        <f aca="false">E4239*1000*Pressupostos!$C$104*Pressupostos!$F$30</f>
        <v>0</v>
      </c>
      <c r="F4356" s="61" t="n">
        <f aca="false">F4239*1000*Pressupostos!$C$104*Pressupostos!$F$30</f>
        <v>0</v>
      </c>
      <c r="G4356" s="61" t="n">
        <f aca="false">G4239*1000*Pressupostos!$C$104*Pressupostos!$F$30</f>
        <v>0</v>
      </c>
      <c r="H4356" s="2" t="s">
        <v>1306</v>
      </c>
    </row>
    <row r="4357" customFormat="false" ht="15" hidden="false" customHeight="false" outlineLevel="1" collapsed="false">
      <c r="A4357" s="7" t="s">
        <v>694</v>
      </c>
      <c r="B4357" s="8" t="s">
        <v>11</v>
      </c>
      <c r="C4357" s="61" t="n">
        <f aca="false">C4227*1000*C4311</f>
        <v>0</v>
      </c>
      <c r="D4357" s="61" t="n">
        <f aca="false">D4227*1000*D4311</f>
        <v>9500</v>
      </c>
      <c r="E4357" s="61" t="n">
        <f aca="false">E4227*1000*E4311</f>
        <v>28500</v>
      </c>
      <c r="F4357" s="61" t="n">
        <f aca="false">F4227*1000*F4311</f>
        <v>47500</v>
      </c>
      <c r="G4357" s="61" t="n">
        <f aca="false">G4227*1000*G4311</f>
        <v>66500</v>
      </c>
      <c r="H4357" s="2" t="s">
        <v>1307</v>
      </c>
    </row>
    <row r="4358" customFormat="false" ht="15" hidden="false" customHeight="false" outlineLevel="1" collapsed="false">
      <c r="A4358" s="7" t="s">
        <v>695</v>
      </c>
      <c r="B4358" s="8" t="s">
        <v>11</v>
      </c>
      <c r="C4358" s="61" t="n">
        <f aca="false">C4348+C4349+C4350+C4351+C4352+C4353+C4354+C4355+C4356+C4357</f>
        <v>15494.2226027397</v>
      </c>
      <c r="D4358" s="61" t="n">
        <f aca="false">D4348+D4349+D4350+D4351+D4352+D4353+D4354+D4355+D4356+D4357</f>
        <v>101865.553938356</v>
      </c>
      <c r="E4358" s="61" t="n">
        <f aca="false">E4348+E4349+E4350+E4351+E4352+E4353+E4354+E4355+E4356+E4357</f>
        <v>212004.356849315</v>
      </c>
      <c r="F4358" s="61" t="n">
        <f aca="false">F4348+F4349+F4350+F4351+F4352+F4353+F4354+F4355+F4356+F4357</f>
        <v>358244.301712329</v>
      </c>
      <c r="G4358" s="61" t="n">
        <f aca="false">G4348+G4349+G4350+G4351+G4352+G4353+G4354+G4355+G4356+G4357</f>
        <v>535131.037671233</v>
      </c>
      <c r="H4358" s="2" t="s">
        <v>1308</v>
      </c>
    </row>
    <row r="4359" customFormat="false" ht="15" hidden="false" customHeight="false" outlineLevel="1" collapsed="false">
      <c r="A4359" s="7" t="s">
        <v>696</v>
      </c>
      <c r="B4359" s="8" t="s">
        <v>11</v>
      </c>
      <c r="C4359" s="61" t="n">
        <f aca="false">C4223*1000*(C4258)+C4224*1000*(C4281)+C4226*1000*(C4304)</f>
        <v>0</v>
      </c>
      <c r="D4359" s="61" t="n">
        <f aca="false">D4223*1000*(D4258)+D4224*1000*(D4281)+D4226*1000*(D4304)</f>
        <v>21524.1780821918</v>
      </c>
      <c r="E4359" s="61" t="n">
        <f aca="false">E4223*1000*(E4258)+E4224*1000*(E4281)+E4226*1000*(E4304)</f>
        <v>34083.5991010274</v>
      </c>
      <c r="F4359" s="61" t="n">
        <f aca="false">F4223*1000*(F4258)+F4224*1000*(F4281)+F4226*1000*(F4304)</f>
        <v>52796.3463184931</v>
      </c>
      <c r="G4359" s="61" t="n">
        <f aca="false">G4223*1000*(G4258)+G4224*1000*(G4281)+G4226*1000*(G4304)</f>
        <v>79428.2748287671</v>
      </c>
      <c r="H4359" s="2" t="s">
        <v>1309</v>
      </c>
    </row>
    <row r="4360" customFormat="false" ht="15" hidden="false" customHeight="false" outlineLevel="1" collapsed="false">
      <c r="A4360" s="7" t="s">
        <v>697</v>
      </c>
      <c r="B4360" s="8" t="s">
        <v>11</v>
      </c>
      <c r="C4360" s="61" t="n">
        <f aca="false">C4236*1000*C4338</f>
        <v>0</v>
      </c>
      <c r="D4360" s="61" t="n">
        <f aca="false">D4236*1000*D4338</f>
        <v>0</v>
      </c>
      <c r="E4360" s="61" t="n">
        <f aca="false">E4236*1000*E4338</f>
        <v>0</v>
      </c>
      <c r="F4360" s="61" t="n">
        <f aca="false">F4236*1000*F4338</f>
        <v>1132.70547945206</v>
      </c>
      <c r="G4360" s="61" t="n">
        <f aca="false">G4236*1000*G4338</f>
        <v>2831.76369863014</v>
      </c>
      <c r="H4360" s="2" t="s">
        <v>1310</v>
      </c>
    </row>
    <row r="4361" customFormat="false" ht="15" hidden="false" customHeight="false" outlineLevel="1" collapsed="false">
      <c r="A4361" s="7" t="s">
        <v>698</v>
      </c>
      <c r="B4361" s="8" t="s">
        <v>11</v>
      </c>
      <c r="C4361" s="61" t="n">
        <f aca="false">C4359+C4360</f>
        <v>0</v>
      </c>
      <c r="D4361" s="61" t="n">
        <f aca="false">D4359+D4360</f>
        <v>21524.1780821918</v>
      </c>
      <c r="E4361" s="61" t="n">
        <f aca="false">E4359+E4360</f>
        <v>34083.5991010274</v>
      </c>
      <c r="F4361" s="61" t="n">
        <f aca="false">F4359+F4360</f>
        <v>53929.0517979452</v>
      </c>
      <c r="G4361" s="61" t="n">
        <f aca="false">G4359+G4360</f>
        <v>82260.0385273973</v>
      </c>
      <c r="H4361" s="2" t="s">
        <v>1311</v>
      </c>
    </row>
    <row r="4362" customFormat="false" ht="15" hidden="false" customHeight="false" outlineLevel="1" collapsed="false">
      <c r="A4362" s="8" t="s">
        <v>699</v>
      </c>
      <c r="B4362" s="8" t="s">
        <v>11</v>
      </c>
      <c r="C4362" s="70" t="n">
        <f aca="false">ROUND(C4324-C4347-C4358-C4361-C4343,6)</f>
        <v>0</v>
      </c>
      <c r="D4362" s="70" t="n">
        <f aca="false">ROUND(D4324-D4347-D4358-D4361-D4343,6)</f>
        <v>-0</v>
      </c>
      <c r="E4362" s="70" t="n">
        <f aca="false">ROUND(E4324-E4347-E4358-E4361-E4343,6)</f>
        <v>0</v>
      </c>
      <c r="F4362" s="70" t="n">
        <f aca="false">ROUND(F4324-F4347-F4358-F4361-F4343,6)</f>
        <v>-0</v>
      </c>
      <c r="G4362" s="70" t="n">
        <f aca="false">ROUND(G4324-G4347-G4358-G4361-G4343,6)</f>
        <v>0</v>
      </c>
      <c r="H4362" s="2" t="s">
        <v>1312</v>
      </c>
    </row>
    <row r="4363" customFormat="false" ht="15" hidden="false" customHeight="false" outlineLevel="0" collapsed="false">
      <c r="A4363" s="3" t="s">
        <v>1313</v>
      </c>
      <c r="B4363" s="4"/>
      <c r="C4363" s="4"/>
      <c r="D4363" s="4"/>
      <c r="E4363" s="4"/>
      <c r="F4363" s="4"/>
      <c r="G4363" s="4"/>
      <c r="H4363" s="4"/>
    </row>
    <row r="4364" customFormat="false" ht="15" hidden="false" customHeight="false" outlineLevel="1" collapsed="false">
      <c r="A4364" s="7" t="s">
        <v>638</v>
      </c>
      <c r="B4364" s="8" t="s">
        <v>432</v>
      </c>
      <c r="C4364" s="64" t="n">
        <f aca="false">Pressupostos!$C$334</f>
        <v>1</v>
      </c>
      <c r="D4364" s="64" t="n">
        <f aca="false">Pressupostos!$D$334</f>
        <v>1</v>
      </c>
      <c r="E4364" s="64" t="n">
        <f aca="false">Pressupostos!$E$334</f>
        <v>1</v>
      </c>
      <c r="F4364" s="64" t="n">
        <f aca="false">Pressupostos!$F$334</f>
        <v>1</v>
      </c>
      <c r="G4364" s="64" t="n">
        <f aca="false">Pressupostos!$G$334</f>
        <v>1</v>
      </c>
      <c r="H4364" s="2" t="s">
        <v>1314</v>
      </c>
    </row>
    <row r="4365" customFormat="false" ht="15" hidden="false" customHeight="false" outlineLevel="1" collapsed="false">
      <c r="A4365" s="7" t="s">
        <v>639</v>
      </c>
      <c r="B4365" s="8" t="s">
        <v>432</v>
      </c>
      <c r="C4365" s="64" t="n">
        <f aca="false">Pressupostos!$C$340</f>
        <v>1</v>
      </c>
      <c r="D4365" s="64" t="n">
        <f aca="false">Pressupostos!$D$340</f>
        <v>1</v>
      </c>
      <c r="E4365" s="64" t="n">
        <f aca="false">Pressupostos!$E$340</f>
        <v>1</v>
      </c>
      <c r="F4365" s="64" t="n">
        <f aca="false">Pressupostos!$F$340</f>
        <v>1</v>
      </c>
      <c r="G4365" s="64" t="n">
        <f aca="false">Pressupostos!$G$340</f>
        <v>1</v>
      </c>
      <c r="H4365" s="2" t="s">
        <v>1315</v>
      </c>
    </row>
    <row r="4366" customFormat="false" ht="15" hidden="false" customHeight="false" outlineLevel="1" collapsed="false">
      <c r="A4366" s="7" t="s">
        <v>640</v>
      </c>
      <c r="B4366" s="8" t="s">
        <v>432</v>
      </c>
      <c r="C4366" s="64" t="n">
        <f aca="false">Pressupostos!$C$346</f>
        <v>0</v>
      </c>
      <c r="D4366" s="64" t="n">
        <f aca="false">Pressupostos!$D$346</f>
        <v>1</v>
      </c>
      <c r="E4366" s="64" t="n">
        <f aca="false">Pressupostos!$E$346</f>
        <v>1</v>
      </c>
      <c r="F4366" s="64" t="n">
        <f aca="false">Pressupostos!$F$346</f>
        <v>1</v>
      </c>
      <c r="G4366" s="64" t="n">
        <f aca="false">Pressupostos!$G$346</f>
        <v>1</v>
      </c>
      <c r="H4366" s="2" t="s">
        <v>1316</v>
      </c>
    </row>
    <row r="4367" customFormat="false" ht="15" hidden="false" customHeight="false" outlineLevel="1" collapsed="false">
      <c r="A4367" s="7" t="s">
        <v>641</v>
      </c>
      <c r="B4367" s="8" t="s">
        <v>432</v>
      </c>
      <c r="C4367" s="64" t="n">
        <f aca="false">Pressupostos!$C$352</f>
        <v>0.5</v>
      </c>
      <c r="D4367" s="64" t="n">
        <f aca="false">Pressupostos!$D$352</f>
        <v>1</v>
      </c>
      <c r="E4367" s="64" t="n">
        <f aca="false">Pressupostos!$E$352</f>
        <v>1</v>
      </c>
      <c r="F4367" s="64" t="n">
        <f aca="false">Pressupostos!$F$352</f>
        <v>1</v>
      </c>
      <c r="G4367" s="64" t="n">
        <f aca="false">Pressupostos!$G$352</f>
        <v>1</v>
      </c>
      <c r="H4367" s="2" t="s">
        <v>1317</v>
      </c>
    </row>
    <row r="4368" customFormat="false" ht="15" hidden="false" customHeight="false" outlineLevel="1" collapsed="false">
      <c r="A4368" s="7" t="s">
        <v>642</v>
      </c>
      <c r="B4368" s="8" t="s">
        <v>432</v>
      </c>
      <c r="C4368" s="64" t="n">
        <f aca="false">Pressupostos!$C$358</f>
        <v>0.5</v>
      </c>
      <c r="D4368" s="64" t="n">
        <f aca="false">Pressupostos!$D$358</f>
        <v>0.5</v>
      </c>
      <c r="E4368" s="64" t="n">
        <f aca="false">Pressupostos!$E$358</f>
        <v>0.5</v>
      </c>
      <c r="F4368" s="64" t="n">
        <f aca="false">Pressupostos!$F$358</f>
        <v>1</v>
      </c>
      <c r="G4368" s="64" t="n">
        <f aca="false">Pressupostos!$G$358</f>
        <v>1</v>
      </c>
      <c r="H4368" s="2" t="s">
        <v>1318</v>
      </c>
    </row>
    <row r="4369" customFormat="false" ht="15" hidden="false" customHeight="false" outlineLevel="1" collapsed="false">
      <c r="A4369" s="7" t="s">
        <v>643</v>
      </c>
      <c r="B4369" s="8" t="s">
        <v>432</v>
      </c>
      <c r="C4369" s="64" t="n">
        <f aca="false">Pressupostos!$C$364</f>
        <v>1</v>
      </c>
      <c r="D4369" s="64" t="n">
        <f aca="false">Pressupostos!$D$364</f>
        <v>1</v>
      </c>
      <c r="E4369" s="64" t="n">
        <f aca="false">Pressupostos!$E$364</f>
        <v>1</v>
      </c>
      <c r="F4369" s="64" t="n">
        <f aca="false">Pressupostos!$F$364</f>
        <v>1</v>
      </c>
      <c r="G4369" s="64" t="n">
        <f aca="false">Pressupostos!$G$364</f>
        <v>1</v>
      </c>
      <c r="H4369" s="2" t="s">
        <v>1319</v>
      </c>
    </row>
    <row r="4370" customFormat="false" ht="15" hidden="false" customHeight="false" outlineLevel="1" collapsed="false">
      <c r="A4370" s="7" t="s">
        <v>644</v>
      </c>
      <c r="B4370" s="8" t="s">
        <v>432</v>
      </c>
      <c r="C4370" s="64" t="n">
        <f aca="false">Pressupostos!$C$370</f>
        <v>0.5</v>
      </c>
      <c r="D4370" s="64" t="n">
        <f aca="false">Pressupostos!$D$370</f>
        <v>1</v>
      </c>
      <c r="E4370" s="64" t="n">
        <f aca="false">Pressupostos!$E$370</f>
        <v>1</v>
      </c>
      <c r="F4370" s="64" t="n">
        <f aca="false">Pressupostos!$F$370</f>
        <v>1</v>
      </c>
      <c r="G4370" s="64" t="n">
        <f aca="false">Pressupostos!$G$370</f>
        <v>1</v>
      </c>
      <c r="H4370" s="2" t="s">
        <v>1320</v>
      </c>
    </row>
    <row r="4371" customFormat="false" ht="15" hidden="false" customHeight="false" outlineLevel="1" collapsed="false">
      <c r="A4371" s="7" t="s">
        <v>645</v>
      </c>
      <c r="B4371" s="8" t="s">
        <v>432</v>
      </c>
      <c r="C4371" s="64" t="n">
        <f aca="false">Pressupostos!$C$376</f>
        <v>1</v>
      </c>
      <c r="D4371" s="64" t="n">
        <f aca="false">Pressupostos!$D$376</f>
        <v>1</v>
      </c>
      <c r="E4371" s="64" t="n">
        <f aca="false">Pressupostos!$E$376</f>
        <v>1</v>
      </c>
      <c r="F4371" s="64" t="n">
        <f aca="false">Pressupostos!$F$376</f>
        <v>2</v>
      </c>
      <c r="G4371" s="64" t="n">
        <f aca="false">Pressupostos!$G$376</f>
        <v>3</v>
      </c>
      <c r="H4371" s="2" t="s">
        <v>1321</v>
      </c>
    </row>
    <row r="4372" customFormat="false" ht="15" hidden="false" customHeight="false" outlineLevel="1" collapsed="false">
      <c r="A4372" s="7" t="s">
        <v>646</v>
      </c>
      <c r="B4372" s="8" t="s">
        <v>432</v>
      </c>
      <c r="C4372" s="64" t="n">
        <f aca="false">Pressupostos!$C$382</f>
        <v>0</v>
      </c>
      <c r="D4372" s="64" t="n">
        <f aca="false">Pressupostos!$D$382</f>
        <v>0</v>
      </c>
      <c r="E4372" s="64" t="n">
        <f aca="false">Pressupostos!$E$382</f>
        <v>0</v>
      </c>
      <c r="F4372" s="64" t="n">
        <f aca="false">Pressupostos!$F$382</f>
        <v>0</v>
      </c>
      <c r="G4372" s="64" t="n">
        <f aca="false">Pressupostos!$G$382</f>
        <v>0</v>
      </c>
      <c r="H4372" s="2" t="s">
        <v>1322</v>
      </c>
    </row>
    <row r="4373" customFormat="false" ht="15" hidden="false" customHeight="false" outlineLevel="1" collapsed="false">
      <c r="A4373" s="7" t="s">
        <v>647</v>
      </c>
      <c r="B4373" s="8" t="s">
        <v>432</v>
      </c>
      <c r="C4373" s="64" t="n">
        <f aca="false">Pressupostos!$C$388</f>
        <v>0</v>
      </c>
      <c r="D4373" s="64" t="n">
        <f aca="false">Pressupostos!$D$388</f>
        <v>0</v>
      </c>
      <c r="E4373" s="64" t="n">
        <f aca="false">Pressupostos!$E$388</f>
        <v>0</v>
      </c>
      <c r="F4373" s="64" t="n">
        <f aca="false">Pressupostos!$F$388</f>
        <v>0</v>
      </c>
      <c r="G4373" s="64" t="n">
        <f aca="false">Pressupostos!$G$388</f>
        <v>0</v>
      </c>
      <c r="H4373" s="2" t="s">
        <v>1323</v>
      </c>
    </row>
    <row r="4374" customFormat="false" ht="15" hidden="false" customHeight="false" outlineLevel="1" collapsed="false">
      <c r="A4374" s="7" t="s">
        <v>648</v>
      </c>
      <c r="B4374" s="8" t="s">
        <v>432</v>
      </c>
      <c r="C4374" s="64" t="n">
        <f aca="false">Pressupostos!$C$394</f>
        <v>0</v>
      </c>
      <c r="D4374" s="64" t="n">
        <f aca="false">Pressupostos!$D$394</f>
        <v>0</v>
      </c>
      <c r="E4374" s="64" t="n">
        <f aca="false">Pressupostos!$E$394</f>
        <v>0</v>
      </c>
      <c r="F4374" s="64" t="n">
        <f aca="false">Pressupostos!$F$394</f>
        <v>1</v>
      </c>
      <c r="G4374" s="64" t="n">
        <f aca="false">Pressupostos!$G$394</f>
        <v>1</v>
      </c>
      <c r="H4374" s="2" t="s">
        <v>1324</v>
      </c>
    </row>
    <row r="4375" customFormat="false" ht="15" hidden="false" customHeight="false" outlineLevel="1" collapsed="false">
      <c r="A4375" s="7" t="s">
        <v>649</v>
      </c>
      <c r="B4375" s="8" t="s">
        <v>432</v>
      </c>
      <c r="C4375" s="64" t="n">
        <f aca="false">Pressupostos!$C$400</f>
        <v>0</v>
      </c>
      <c r="D4375" s="64" t="n">
        <f aca="false">Pressupostos!$D$400</f>
        <v>0</v>
      </c>
      <c r="E4375" s="64" t="n">
        <f aca="false">Pressupostos!$E$400</f>
        <v>1</v>
      </c>
      <c r="F4375" s="64" t="n">
        <f aca="false">Pressupostos!$F$400</f>
        <v>1</v>
      </c>
      <c r="G4375" s="64" t="n">
        <f aca="false">Pressupostos!$G$400</f>
        <v>1</v>
      </c>
      <c r="H4375" s="2" t="s">
        <v>1325</v>
      </c>
    </row>
    <row r="4376" customFormat="false" ht="15" hidden="false" customHeight="false" outlineLevel="1" collapsed="false">
      <c r="A4376" s="56" t="s">
        <v>650</v>
      </c>
      <c r="B4376" s="57" t="s">
        <v>432</v>
      </c>
      <c r="C4376" s="65" t="n">
        <f aca="false">C4364+C4365+C4366+C4367+C4368+C4369+C4370+C4371+C4372+C4373+C4374+C4375</f>
        <v>5.5</v>
      </c>
      <c r="D4376" s="65" t="n">
        <f aca="false">D4364+D4365+D4366+D4367+D4368+D4369+D4370+D4371+D4372+D4373+D4374+D4375</f>
        <v>7.5</v>
      </c>
      <c r="E4376" s="65" t="n">
        <f aca="false">E4364+E4365+E4366+E4367+E4368+E4369+E4370+E4371+E4372+E4373+E4374+E4375</f>
        <v>8.5</v>
      </c>
      <c r="F4376" s="65" t="n">
        <f aca="false">F4364+F4365+F4366+F4367+F4368+F4369+F4370+F4371+F4372+F4373+F4374+F4375</f>
        <v>11</v>
      </c>
      <c r="G4376" s="65" t="n">
        <f aca="false">G4364+G4365+G4366+G4367+G4368+G4369+G4370+G4371+G4372+G4373+G4374+G4375</f>
        <v>12</v>
      </c>
      <c r="H4376" s="2" t="s">
        <v>1326</v>
      </c>
    </row>
    <row r="4377" customFormat="false" ht="15" hidden="false" customHeight="false" outlineLevel="0" collapsed="false">
      <c r="A4377" s="3" t="s">
        <v>1327</v>
      </c>
      <c r="B4377" s="4"/>
      <c r="C4377" s="4"/>
      <c r="D4377" s="4"/>
      <c r="E4377" s="4"/>
      <c r="F4377" s="4"/>
      <c r="G4377" s="4"/>
      <c r="H4377" s="4"/>
    </row>
    <row r="4378" customFormat="false" ht="15" hidden="false" customHeight="false" outlineLevel="1" collapsed="false">
      <c r="A4378" s="7" t="s">
        <v>638</v>
      </c>
      <c r="B4378" s="8" t="s">
        <v>11</v>
      </c>
      <c r="C4378" s="61" t="n">
        <f aca="false">C4364*Pressupostos!$C$131*(1+Pressupostos!$C$127)^0*(1+Pressupostos!$C$132)*Pressupostos!$C$128</f>
        <v>43998</v>
      </c>
      <c r="D4378" s="61" t="n">
        <f aca="false">D4364*Pressupostos!$C$131*(1+Pressupostos!$C$127)^1*(1+Pressupostos!$C$132)</f>
        <v>61800</v>
      </c>
      <c r="E4378" s="61" t="n">
        <f aca="false">E4364*Pressupostos!$C$131*(1+Pressupostos!$C$127)^2*(1+Pressupostos!$C$132)</f>
        <v>63654</v>
      </c>
      <c r="F4378" s="61" t="n">
        <f aca="false">F4364*Pressupostos!$C$131*(1+Pressupostos!$C$127)^3*(1+Pressupostos!$C$132)</f>
        <v>65563.62</v>
      </c>
      <c r="G4378" s="61" t="n">
        <f aca="false">G4364*Pressupostos!$C$131*(1+Pressupostos!$C$127)^4*(1+Pressupostos!$C$132)</f>
        <v>67530.5286</v>
      </c>
      <c r="H4378" s="2" t="s">
        <v>1328</v>
      </c>
    </row>
    <row r="4379" customFormat="false" ht="15" hidden="false" customHeight="false" outlineLevel="1" collapsed="false">
      <c r="A4379" s="7" t="s">
        <v>639</v>
      </c>
      <c r="B4379" s="8" t="s">
        <v>11</v>
      </c>
      <c r="C4379" s="61" t="n">
        <f aca="false">C4365*Pressupostos!$C$133*(1+Pressupostos!$C$127)^0*(1+Pressupostos!$C$134)*Pressupostos!$C$128</f>
        <v>47664.5</v>
      </c>
      <c r="D4379" s="61" t="n">
        <f aca="false">D4365*Pressupostos!$C$133*(1+Pressupostos!$C$127)^1*(1+Pressupostos!$C$134)</f>
        <v>66950</v>
      </c>
      <c r="E4379" s="61" t="n">
        <f aca="false">E4365*Pressupostos!$C$133*(1+Pressupostos!$C$127)^2*(1+Pressupostos!$C$134)</f>
        <v>68958.5</v>
      </c>
      <c r="F4379" s="61" t="n">
        <f aca="false">F4365*Pressupostos!$C$133*(1+Pressupostos!$C$127)^3*(1+Pressupostos!$C$134)</f>
        <v>71027.255</v>
      </c>
      <c r="G4379" s="61" t="n">
        <f aca="false">G4365*Pressupostos!$C$133*(1+Pressupostos!$C$127)^4*(1+Pressupostos!$C$134)</f>
        <v>73158.07265</v>
      </c>
      <c r="H4379" s="2" t="s">
        <v>1329</v>
      </c>
    </row>
    <row r="4380" customFormat="false" ht="15" hidden="false" customHeight="false" outlineLevel="1" collapsed="false">
      <c r="A4380" s="7" t="s">
        <v>640</v>
      </c>
      <c r="B4380" s="8" t="s">
        <v>11</v>
      </c>
      <c r="C4380" s="61" t="n">
        <f aca="false">C4366*Pressupostos!$C$135*(1+Pressupostos!$C$127)^0*(1+Pressupostos!$C$136)</f>
        <v>0</v>
      </c>
      <c r="D4380" s="61" t="n">
        <f aca="false">D4366*Pressupostos!$C$135*(1+Pressupostos!$C$127)^1*(1+Pressupostos!$C$136)</f>
        <v>46350</v>
      </c>
      <c r="E4380" s="61" t="n">
        <f aca="false">E4366*Pressupostos!$C$135*(1+Pressupostos!$C$127)^2*(1+Pressupostos!$C$136)</f>
        <v>47740.5</v>
      </c>
      <c r="F4380" s="61" t="n">
        <f aca="false">F4366*Pressupostos!$C$135*(1+Pressupostos!$C$127)^3*(1+Pressupostos!$C$136)</f>
        <v>49172.715</v>
      </c>
      <c r="G4380" s="61" t="n">
        <f aca="false">G4366*Pressupostos!$C$135*(1+Pressupostos!$C$127)^4*(1+Pressupostos!$C$136)</f>
        <v>50647.89645</v>
      </c>
      <c r="H4380" s="2" t="s">
        <v>1330</v>
      </c>
    </row>
    <row r="4381" customFormat="false" ht="15" hidden="false" customHeight="false" outlineLevel="1" collapsed="false">
      <c r="A4381" s="7" t="s">
        <v>641</v>
      </c>
      <c r="B4381" s="8" t="s">
        <v>11</v>
      </c>
      <c r="C4381" s="61" t="n">
        <f aca="false">C4367*Pressupostos!$C$137*(1+Pressupostos!$C$127)^0*(1+Pressupostos!$C$138)</f>
        <v>30000</v>
      </c>
      <c r="D4381" s="61" t="n">
        <f aca="false">D4367*Pressupostos!$C$137*(1+Pressupostos!$C$127)^1*(1+Pressupostos!$C$138)</f>
        <v>61800</v>
      </c>
      <c r="E4381" s="61" t="n">
        <f aca="false">E4367*Pressupostos!$C$137*(1+Pressupostos!$C$127)^2*(1+Pressupostos!$C$138)</f>
        <v>63654</v>
      </c>
      <c r="F4381" s="61" t="n">
        <f aca="false">F4367*Pressupostos!$C$137*(1+Pressupostos!$C$127)^3*(1+Pressupostos!$C$138)</f>
        <v>65563.62</v>
      </c>
      <c r="G4381" s="61" t="n">
        <f aca="false">G4367*Pressupostos!$C$137*(1+Pressupostos!$C$127)^4*(1+Pressupostos!$C$138)</f>
        <v>67530.5286</v>
      </c>
      <c r="H4381" s="2" t="s">
        <v>1331</v>
      </c>
    </row>
    <row r="4382" customFormat="false" ht="15" hidden="false" customHeight="false" outlineLevel="1" collapsed="false">
      <c r="A4382" s="7" t="s">
        <v>642</v>
      </c>
      <c r="B4382" s="8" t="s">
        <v>11</v>
      </c>
      <c r="C4382" s="61" t="n">
        <f aca="false">C4368*Pressupostos!$C$139*(1+Pressupostos!$C$127)^0*(1+Pressupostos!$C$140)</f>
        <v>22500</v>
      </c>
      <c r="D4382" s="61" t="n">
        <f aca="false">D4368*Pressupostos!$C$139*(1+Pressupostos!$C$127)^1*(1+Pressupostos!$C$140)</f>
        <v>23175</v>
      </c>
      <c r="E4382" s="61" t="n">
        <f aca="false">E4368*Pressupostos!$C$139*(1+Pressupostos!$C$127)^2*(1+Pressupostos!$C$140)</f>
        <v>23870.25</v>
      </c>
      <c r="F4382" s="61" t="n">
        <f aca="false">F4368*Pressupostos!$C$139*(1+Pressupostos!$C$127)^3*(1+Pressupostos!$C$140)</f>
        <v>49172.715</v>
      </c>
      <c r="G4382" s="61" t="n">
        <f aca="false">G4368*Pressupostos!$C$139*(1+Pressupostos!$C$127)^4*(1+Pressupostos!$C$140)</f>
        <v>50647.89645</v>
      </c>
      <c r="H4382" s="2" t="s">
        <v>1332</v>
      </c>
    </row>
    <row r="4383" customFormat="false" ht="15" hidden="false" customHeight="false" outlineLevel="1" collapsed="false">
      <c r="A4383" s="7" t="s">
        <v>643</v>
      </c>
      <c r="B4383" s="8" t="s">
        <v>11</v>
      </c>
      <c r="C4383" s="61" t="n">
        <f aca="false">C4369*Pressupostos!$C$141*(1+Pressupostos!$C$127)^0*(1+Pressupostos!$C$142)</f>
        <v>38000</v>
      </c>
      <c r="D4383" s="61" t="n">
        <f aca="false">D4369*Pressupostos!$C$141*(1+Pressupostos!$C$127)^1*(1+Pressupostos!$C$142)</f>
        <v>39140</v>
      </c>
      <c r="E4383" s="61" t="n">
        <f aca="false">E4369*Pressupostos!$C$141*(1+Pressupostos!$C$127)^2*(1+Pressupostos!$C$142)</f>
        <v>40314.2</v>
      </c>
      <c r="F4383" s="61" t="n">
        <f aca="false">F4369*Pressupostos!$C$141*(1+Pressupostos!$C$127)^3*(1+Pressupostos!$C$142)</f>
        <v>41523.626</v>
      </c>
      <c r="G4383" s="61" t="n">
        <f aca="false">G4369*Pressupostos!$C$141*(1+Pressupostos!$C$127)^4*(1+Pressupostos!$C$142)</f>
        <v>42769.33478</v>
      </c>
      <c r="H4383" s="2" t="s">
        <v>1333</v>
      </c>
    </row>
    <row r="4384" customFormat="false" ht="15" hidden="false" customHeight="false" outlineLevel="1" collapsed="false">
      <c r="A4384" s="7" t="s">
        <v>644</v>
      </c>
      <c r="B4384" s="8" t="s">
        <v>11</v>
      </c>
      <c r="C4384" s="61" t="n">
        <f aca="false">C4370*Pressupostos!$C$143*(1+Pressupostos!$C$127)^0*(1+Pressupostos!$C$144)</f>
        <v>16000</v>
      </c>
      <c r="D4384" s="61" t="n">
        <f aca="false">D4370*Pressupostos!$C$143*(1+Pressupostos!$C$127)^1*(1+Pressupostos!$C$144)</f>
        <v>32960</v>
      </c>
      <c r="E4384" s="61" t="n">
        <f aca="false">E4370*Pressupostos!$C$143*(1+Pressupostos!$C$127)^2*(1+Pressupostos!$C$144)</f>
        <v>33948.8</v>
      </c>
      <c r="F4384" s="61" t="n">
        <f aca="false">F4370*Pressupostos!$C$143*(1+Pressupostos!$C$127)^3*(1+Pressupostos!$C$144)</f>
        <v>34967.264</v>
      </c>
      <c r="G4384" s="61" t="n">
        <f aca="false">G4370*Pressupostos!$C$143*(1+Pressupostos!$C$127)^4*(1+Pressupostos!$C$144)</f>
        <v>36016.28192</v>
      </c>
      <c r="H4384" s="2" t="s">
        <v>1334</v>
      </c>
    </row>
    <row r="4385" customFormat="false" ht="15" hidden="false" customHeight="false" outlineLevel="1" collapsed="false">
      <c r="A4385" s="7" t="s">
        <v>645</v>
      </c>
      <c r="B4385" s="8" t="s">
        <v>11</v>
      </c>
      <c r="C4385" s="61" t="n">
        <f aca="false">C4371*Pressupostos!$C$145*(1+Pressupostos!$C$127)^0*(1+Pressupostos!$C$146)</f>
        <v>34500</v>
      </c>
      <c r="D4385" s="61" t="n">
        <f aca="false">D4371*Pressupostos!$C$145*(1+Pressupostos!$C$127)^1*(1+Pressupostos!$C$146)</f>
        <v>35535</v>
      </c>
      <c r="E4385" s="61" t="n">
        <f aca="false">E4371*Pressupostos!$C$145*(1+Pressupostos!$C$127)^2*(1+Pressupostos!$C$146)</f>
        <v>36601.05</v>
      </c>
      <c r="F4385" s="61" t="n">
        <f aca="false">F4371*Pressupostos!$C$145*(1+Pressupostos!$C$127)^3*(1+Pressupostos!$C$146)</f>
        <v>75398.163</v>
      </c>
      <c r="G4385" s="61" t="n">
        <f aca="false">G4371*Pressupostos!$C$145*(1+Pressupostos!$C$127)^4*(1+Pressupostos!$C$146)</f>
        <v>116490.161835</v>
      </c>
      <c r="H4385" s="2" t="s">
        <v>1335</v>
      </c>
    </row>
    <row r="4386" customFormat="false" ht="15" hidden="false" customHeight="false" outlineLevel="1" collapsed="false">
      <c r="A4386" s="7" t="s">
        <v>646</v>
      </c>
      <c r="B4386" s="8" t="s">
        <v>11</v>
      </c>
      <c r="C4386" s="61" t="n">
        <f aca="false">C4372*Pressupostos!$C$147*(1+Pressupostos!$C$127)^0*(1+Pressupostos!$C$148)</f>
        <v>0</v>
      </c>
      <c r="D4386" s="61" t="n">
        <f aca="false">D4372*Pressupostos!$C$147*(1+Pressupostos!$C$127)^1*(1+Pressupostos!$C$148)</f>
        <v>0</v>
      </c>
      <c r="E4386" s="61" t="n">
        <f aca="false">E4372*Pressupostos!$C$147*(1+Pressupostos!$C$127)^2*(1+Pressupostos!$C$148)</f>
        <v>0</v>
      </c>
      <c r="F4386" s="61" t="n">
        <f aca="false">F4372*Pressupostos!$C$147*(1+Pressupostos!$C$127)^3*(1+Pressupostos!$C$148)</f>
        <v>0</v>
      </c>
      <c r="G4386" s="61" t="n">
        <f aca="false">G4372*Pressupostos!$C$147*(1+Pressupostos!$C$127)^4*(1+Pressupostos!$C$148)</f>
        <v>0</v>
      </c>
      <c r="H4386" s="2" t="s">
        <v>1336</v>
      </c>
    </row>
    <row r="4387" customFormat="false" ht="15" hidden="false" customHeight="false" outlineLevel="1" collapsed="false">
      <c r="A4387" s="7" t="s">
        <v>647</v>
      </c>
      <c r="B4387" s="8" t="s">
        <v>11</v>
      </c>
      <c r="C4387" s="61" t="n">
        <f aca="false">C4373*Pressupostos!$C$149*(1+Pressupostos!$C$127)^0*(1+Pressupostos!$C$150)</f>
        <v>0</v>
      </c>
      <c r="D4387" s="61" t="n">
        <f aca="false">D4373*Pressupostos!$C$149*(1+Pressupostos!$C$127)^1*(1+Pressupostos!$C$150)</f>
        <v>0</v>
      </c>
      <c r="E4387" s="61" t="n">
        <f aca="false">E4373*Pressupostos!$C$149*(1+Pressupostos!$C$127)^2*(1+Pressupostos!$C$150)</f>
        <v>0</v>
      </c>
      <c r="F4387" s="61" t="n">
        <f aca="false">F4373*Pressupostos!$C$149*(1+Pressupostos!$C$127)^3*(1+Pressupostos!$C$150)</f>
        <v>0</v>
      </c>
      <c r="G4387" s="61" t="n">
        <f aca="false">G4373*Pressupostos!$C$149*(1+Pressupostos!$C$127)^4*(1+Pressupostos!$C$150)</f>
        <v>0</v>
      </c>
      <c r="H4387" s="2" t="s">
        <v>1337</v>
      </c>
    </row>
    <row r="4388" customFormat="false" ht="15" hidden="false" customHeight="false" outlineLevel="1" collapsed="false">
      <c r="A4388" s="7" t="s">
        <v>648</v>
      </c>
      <c r="B4388" s="8" t="s">
        <v>11</v>
      </c>
      <c r="C4388" s="61" t="n">
        <f aca="false">C4374*Pressupostos!$C$151*(1+Pressupostos!$C$127)^0*(1+Pressupostos!$C$152)</f>
        <v>0</v>
      </c>
      <c r="D4388" s="61" t="n">
        <f aca="false">D4374*Pressupostos!$C$151*(1+Pressupostos!$C$127)^1*(1+Pressupostos!$C$152)</f>
        <v>0</v>
      </c>
      <c r="E4388" s="61" t="n">
        <f aca="false">E4374*Pressupostos!$C$151*(1+Pressupostos!$C$127)^2*(1+Pressupostos!$C$152)</f>
        <v>0</v>
      </c>
      <c r="F4388" s="61" t="n">
        <f aca="false">F4374*Pressupostos!$C$151*(1+Pressupostos!$C$127)^3*(1+Pressupostos!$C$152)</f>
        <v>26225.448</v>
      </c>
      <c r="G4388" s="61" t="n">
        <f aca="false">G4374*Pressupostos!$C$151*(1+Pressupostos!$C$127)^4*(1+Pressupostos!$C$152)</f>
        <v>27012.21144</v>
      </c>
      <c r="H4388" s="2" t="s">
        <v>1338</v>
      </c>
    </row>
    <row r="4389" customFormat="false" ht="15" hidden="false" customHeight="false" outlineLevel="1" collapsed="false">
      <c r="A4389" s="7" t="s">
        <v>649</v>
      </c>
      <c r="B4389" s="8" t="s">
        <v>11</v>
      </c>
      <c r="C4389" s="61" t="n">
        <f aca="false">C4375*Pressupostos!$C$153*(1+Pressupostos!$C$127)^0*(1+Pressupostos!$C$154)</f>
        <v>0</v>
      </c>
      <c r="D4389" s="61" t="n">
        <f aca="false">D4375*Pressupostos!$C$153*(1+Pressupostos!$C$127)^1*(1+Pressupostos!$C$154)</f>
        <v>0</v>
      </c>
      <c r="E4389" s="61" t="n">
        <f aca="false">E4375*Pressupostos!$C$153*(1+Pressupostos!$C$127)^2*(1+Pressupostos!$C$154)</f>
        <v>54901.575</v>
      </c>
      <c r="F4389" s="61" t="n">
        <f aca="false">F4375*Pressupostos!$C$153*(1+Pressupostos!$C$127)^3*(1+Pressupostos!$C$154)</f>
        <v>56548.62225</v>
      </c>
      <c r="G4389" s="61" t="n">
        <f aca="false">G4375*Pressupostos!$C$153*(1+Pressupostos!$C$127)^4*(1+Pressupostos!$C$154)</f>
        <v>58245.0809175</v>
      </c>
      <c r="H4389" s="2" t="s">
        <v>1339</v>
      </c>
    </row>
    <row r="4390" customFormat="false" ht="15" hidden="false" customHeight="false" outlineLevel="1" collapsed="false">
      <c r="A4390" s="7" t="s">
        <v>652</v>
      </c>
      <c r="B4390" s="8" t="s">
        <v>11</v>
      </c>
      <c r="C4390" s="61" t="n">
        <f aca="false">C4378+C4379+C4380+C4381+C4382+C4383+C4384+C4385+C4386+C4387+C4388+C4389</f>
        <v>232662.5</v>
      </c>
      <c r="D4390" s="61" t="n">
        <f aca="false">D4378+D4379+D4380+D4381+D4382+D4383+D4384+D4385+D4386+D4387+D4388+D4389</f>
        <v>367710</v>
      </c>
      <c r="E4390" s="61" t="n">
        <f aca="false">E4378+E4379+E4380+E4381+E4382+E4383+E4384+E4385+E4386+E4387+E4388+E4389</f>
        <v>433642.875</v>
      </c>
      <c r="F4390" s="61" t="n">
        <f aca="false">F4378+F4379+F4380+F4381+F4382+F4383+F4384+F4385+F4386+F4387+F4388+F4389</f>
        <v>535163.04825</v>
      </c>
      <c r="G4390" s="61" t="n">
        <f aca="false">G4378+G4379+G4380+G4381+G4382+G4383+G4384+G4385+G4386+G4387+G4388+G4389</f>
        <v>590047.9936425</v>
      </c>
      <c r="H4390" s="2" t="s">
        <v>1340</v>
      </c>
    </row>
    <row r="4391" customFormat="false" ht="15" hidden="false" customHeight="false" outlineLevel="1" collapsed="false">
      <c r="A4391" s="7" t="s">
        <v>653</v>
      </c>
      <c r="B4391" s="8" t="s">
        <v>11</v>
      </c>
      <c r="C4391" s="61" t="n">
        <f aca="false">C4390*(Pressupostos!$C$124+Pressupostos!$C$125)</f>
        <v>59910.59375</v>
      </c>
      <c r="D4391" s="61" t="n">
        <f aca="false">D4390*(Pressupostos!$C$124+Pressupostos!$C$125)</f>
        <v>94685.325</v>
      </c>
      <c r="E4391" s="61" t="n">
        <f aca="false">E4390*(Pressupostos!$C$124+Pressupostos!$C$125)</f>
        <v>111663.0403125</v>
      </c>
      <c r="F4391" s="61" t="n">
        <f aca="false">F4390*(Pressupostos!$C$124+Pressupostos!$C$125)</f>
        <v>137804.484924375</v>
      </c>
      <c r="G4391" s="61" t="n">
        <f aca="false">G4390*(Pressupostos!$C$124+Pressupostos!$C$125)</f>
        <v>151937.358362944</v>
      </c>
      <c r="H4391" s="2" t="s">
        <v>1341</v>
      </c>
    </row>
    <row r="4392" customFormat="false" ht="15" hidden="false" customHeight="false" outlineLevel="1" collapsed="false">
      <c r="A4392" s="7" t="s">
        <v>654</v>
      </c>
      <c r="B4392" s="8" t="s">
        <v>11</v>
      </c>
      <c r="C4392" s="61" t="n">
        <f aca="false">C4376*Pressupostos!$C$126*(1+Pressupostos!$C$127)^0</f>
        <v>11000</v>
      </c>
      <c r="D4392" s="61" t="n">
        <f aca="false">D4376*Pressupostos!$C$126*(1+Pressupostos!$C$127)^1</f>
        <v>15450</v>
      </c>
      <c r="E4392" s="61" t="n">
        <f aca="false">E4376*Pressupostos!$C$126*(1+Pressupostos!$C$127)^2</f>
        <v>18035.3</v>
      </c>
      <c r="F4392" s="61" t="n">
        <f aca="false">F4376*Pressupostos!$C$126*(1+Pressupostos!$C$127)^3</f>
        <v>24039.994</v>
      </c>
      <c r="G4392" s="61" t="n">
        <f aca="false">G4376*Pressupostos!$C$126*(1+Pressupostos!$C$127)^4</f>
        <v>27012.21144</v>
      </c>
      <c r="H4392" s="2" t="s">
        <v>1342</v>
      </c>
    </row>
    <row r="4393" customFormat="false" ht="15" hidden="false" customHeight="false" outlineLevel="1" collapsed="false">
      <c r="A4393" s="56" t="s">
        <v>655</v>
      </c>
      <c r="B4393" s="57" t="s">
        <v>11</v>
      </c>
      <c r="C4393" s="62" t="n">
        <f aca="false">C4390+C4391+C4392</f>
        <v>303573.09375</v>
      </c>
      <c r="D4393" s="62" t="n">
        <f aca="false">D4390+D4391+D4392</f>
        <v>477845.325</v>
      </c>
      <c r="E4393" s="62" t="n">
        <f aca="false">E4390+E4391+E4392</f>
        <v>563341.2153125</v>
      </c>
      <c r="F4393" s="62" t="n">
        <f aca="false">F4390+F4391+F4392</f>
        <v>697007.527174375</v>
      </c>
      <c r="G4393" s="62" t="n">
        <f aca="false">G4390+G4391+G4392</f>
        <v>768997.563445444</v>
      </c>
      <c r="H4393" s="2" t="s">
        <v>1343</v>
      </c>
    </row>
    <row r="4394" customFormat="false" ht="15" hidden="false" customHeight="false" outlineLevel="1" collapsed="false">
      <c r="A4394" s="2" t="s">
        <v>656</v>
      </c>
      <c r="B4394" s="8" t="s">
        <v>11</v>
      </c>
      <c r="C4394" s="61" t="n">
        <f aca="false">IF(C4376&gt;0,C4393/C4376,0)</f>
        <v>55195.1079545455</v>
      </c>
      <c r="D4394" s="61" t="n">
        <f aca="false">IF(D4376&gt;0,D4393/D4376,0)</f>
        <v>63712.71</v>
      </c>
      <c r="E4394" s="61" t="n">
        <f aca="false">IF(E4376&gt;0,E4393/E4376,0)</f>
        <v>66275.4370955882</v>
      </c>
      <c r="F4394" s="61" t="n">
        <f aca="false">IF(F4376&gt;0,F4393/F4376,0)</f>
        <v>63364.3206522159</v>
      </c>
      <c r="G4394" s="61" t="n">
        <f aca="false">IF(G4376&gt;0,G4393/G4376,0)</f>
        <v>64083.1302871203</v>
      </c>
      <c r="H4394" s="2" t="s">
        <v>1344</v>
      </c>
    </row>
    <row r="4395" customFormat="false" ht="15" hidden="false" customHeight="false" outlineLevel="0" collapsed="false">
      <c r="A4395" s="3" t="s">
        <v>1345</v>
      </c>
      <c r="B4395" s="4"/>
      <c r="C4395" s="4"/>
      <c r="D4395" s="4"/>
      <c r="E4395" s="4"/>
      <c r="F4395" s="4"/>
      <c r="G4395" s="4"/>
      <c r="H4395" s="4"/>
    </row>
    <row r="4396" customFormat="false" ht="15" hidden="false" customHeight="false" outlineLevel="1" collapsed="false">
      <c r="A4396" s="7" t="s">
        <v>449</v>
      </c>
      <c r="B4396" s="8" t="s">
        <v>11</v>
      </c>
      <c r="C4396" s="61" t="n">
        <f aca="false">Pressupostos!$C$407*(1+Pressupostos!$C$156)*(1+Pressupostos!$C$157)^0</f>
        <v>94500</v>
      </c>
      <c r="D4396" s="61" t="n">
        <f aca="false">Pressupostos!$D$407*(1+Pressupostos!$C$156)*(1+Pressupostos!$C$157)^1</f>
        <v>53550</v>
      </c>
      <c r="E4396" s="61" t="n">
        <f aca="false">Pressupostos!$E$407*(1+Pressupostos!$C$156)*(1+Pressupostos!$C$157)^2</f>
        <v>49158.9</v>
      </c>
      <c r="F4396" s="61" t="n">
        <f aca="false">Pressupostos!$F$407*(1+Pressupostos!$C$156)*(1+Pressupostos!$C$157)^3</f>
        <v>50142.078</v>
      </c>
      <c r="G4396" s="61" t="n">
        <f aca="false">Pressupostos!$G$407*(1+Pressupostos!$C$156)*(1+Pressupostos!$C$157)^4</f>
        <v>51144.91956</v>
      </c>
      <c r="H4396" s="2" t="s">
        <v>1346</v>
      </c>
    </row>
    <row r="4397" customFormat="false" ht="15" hidden="false" customHeight="false" outlineLevel="1" collapsed="false">
      <c r="A4397" s="7" t="s">
        <v>451</v>
      </c>
      <c r="B4397" s="8" t="s">
        <v>11</v>
      </c>
      <c r="C4397" s="61" t="n">
        <f aca="false">Pressupostos!$C$413*(1+Pressupostos!$C$156)*(1+Pressupostos!$C$157)^0</f>
        <v>10500</v>
      </c>
      <c r="D4397" s="61" t="n">
        <f aca="false">Pressupostos!$D$413*(1+Pressupostos!$C$156)*(1+Pressupostos!$C$157)^1</f>
        <v>10710</v>
      </c>
      <c r="E4397" s="61" t="n">
        <f aca="false">Pressupostos!$E$413*(1+Pressupostos!$C$156)*(1+Pressupostos!$C$157)^2</f>
        <v>10924.2</v>
      </c>
      <c r="F4397" s="61" t="n">
        <f aca="false">Pressupostos!$F$413*(1+Pressupostos!$C$156)*(1+Pressupostos!$C$157)^3</f>
        <v>11142.684</v>
      </c>
      <c r="G4397" s="61" t="n">
        <f aca="false">Pressupostos!$G$413*(1+Pressupostos!$C$156)*(1+Pressupostos!$C$157)^4</f>
        <v>11365.53768</v>
      </c>
      <c r="H4397" s="2" t="s">
        <v>1347</v>
      </c>
    </row>
    <row r="4398" customFormat="false" ht="15" hidden="false" customHeight="false" outlineLevel="1" collapsed="false">
      <c r="A4398" s="7" t="s">
        <v>452</v>
      </c>
      <c r="B4398" s="8" t="s">
        <v>11</v>
      </c>
      <c r="C4398" s="61" t="n">
        <f aca="false">Pressupostos!$C$419*(1+Pressupostos!$C$156)*(1+Pressupostos!$C$157)^0</f>
        <v>12600</v>
      </c>
      <c r="D4398" s="61" t="n">
        <f aca="false">Pressupostos!$D$419*(1+Pressupostos!$C$156)*(1+Pressupostos!$C$157)^1</f>
        <v>12852</v>
      </c>
      <c r="E4398" s="61" t="n">
        <f aca="false">Pressupostos!$E$419*(1+Pressupostos!$C$156)*(1+Pressupostos!$C$157)^2</f>
        <v>13109.04</v>
      </c>
      <c r="F4398" s="61" t="n">
        <f aca="false">Pressupostos!$F$419*(1+Pressupostos!$C$156)*(1+Pressupostos!$C$157)^3</f>
        <v>13371.2208</v>
      </c>
      <c r="G4398" s="61" t="n">
        <f aca="false">Pressupostos!$G$419*(1+Pressupostos!$C$156)*(1+Pressupostos!$C$157)^4</f>
        <v>13638.645216</v>
      </c>
      <c r="H4398" s="2" t="s">
        <v>1348</v>
      </c>
    </row>
    <row r="4399" customFormat="false" ht="15" hidden="false" customHeight="false" outlineLevel="1" collapsed="false">
      <c r="A4399" s="7" t="s">
        <v>454</v>
      </c>
      <c r="B4399" s="8" t="s">
        <v>11</v>
      </c>
      <c r="C4399" s="61" t="n">
        <f aca="false">Pressupostos!$C$425*(1+Pressupostos!$C$156)*(1+Pressupostos!$C$157)^0</f>
        <v>31500</v>
      </c>
      <c r="D4399" s="61" t="n">
        <f aca="false">Pressupostos!$D$425*(1+Pressupostos!$C$156)*(1+Pressupostos!$C$157)^1</f>
        <v>37485</v>
      </c>
      <c r="E4399" s="61" t="n">
        <f aca="false">Pressupostos!$E$425*(1+Pressupostos!$C$156)*(1+Pressupostos!$C$157)^2</f>
        <v>49158.9</v>
      </c>
      <c r="F4399" s="61" t="n">
        <f aca="false">Pressupostos!$F$425*(1+Pressupostos!$C$156)*(1+Pressupostos!$C$157)^3</f>
        <v>55713.42</v>
      </c>
      <c r="G4399" s="61" t="n">
        <f aca="false">Pressupostos!$G$425*(1+Pressupostos!$C$156)*(1+Pressupostos!$C$157)^4</f>
        <v>62510.45724</v>
      </c>
      <c r="H4399" s="2" t="s">
        <v>1349</v>
      </c>
    </row>
    <row r="4400" customFormat="false" ht="15" hidden="false" customHeight="false" outlineLevel="1" collapsed="false">
      <c r="A4400" s="7" t="s">
        <v>456</v>
      </c>
      <c r="B4400" s="8" t="s">
        <v>11</v>
      </c>
      <c r="C4400" s="61" t="n">
        <f aca="false">Pressupostos!$C$431*(1+Pressupostos!$C$156)*(1+Pressupostos!$C$157)^0</f>
        <v>15750</v>
      </c>
      <c r="D4400" s="61" t="n">
        <f aca="false">Pressupostos!$D$431*(1+Pressupostos!$C$156)*(1+Pressupostos!$C$157)^1</f>
        <v>16065</v>
      </c>
      <c r="E4400" s="61" t="n">
        <f aca="false">Pressupostos!$E$431*(1+Pressupostos!$C$156)*(1+Pressupostos!$C$157)^2</f>
        <v>38234.7</v>
      </c>
      <c r="F4400" s="61" t="n">
        <f aca="false">Pressupostos!$F$431*(1+Pressupostos!$C$156)*(1+Pressupostos!$C$157)^3</f>
        <v>22285.368</v>
      </c>
      <c r="G4400" s="61" t="n">
        <f aca="false">Pressupostos!$G$431*(1+Pressupostos!$C$156)*(1+Pressupostos!$C$157)^4</f>
        <v>22731.07536</v>
      </c>
      <c r="H4400" s="2" t="s">
        <v>1350</v>
      </c>
    </row>
    <row r="4401" customFormat="false" ht="15" hidden="false" customHeight="false" outlineLevel="1" collapsed="false">
      <c r="A4401" s="7" t="s">
        <v>458</v>
      </c>
      <c r="B4401" s="8" t="s">
        <v>11</v>
      </c>
      <c r="C4401" s="61" t="n">
        <f aca="false">Pressupostos!$C$437*(1+Pressupostos!$C$156)*(1+Pressupostos!$C$157)^0</f>
        <v>10500</v>
      </c>
      <c r="D4401" s="61" t="n">
        <f aca="false">Pressupostos!$D$437*(1+Pressupostos!$C$156)*(1+Pressupostos!$C$157)^1</f>
        <v>12852</v>
      </c>
      <c r="E4401" s="61" t="n">
        <f aca="false">Pressupostos!$E$437*(1+Pressupostos!$C$156)*(1+Pressupostos!$C$157)^2</f>
        <v>16386.3</v>
      </c>
      <c r="F4401" s="61" t="n">
        <f aca="false">Pressupostos!$F$437*(1+Pressupostos!$C$156)*(1+Pressupostos!$C$157)^3</f>
        <v>20056.8312</v>
      </c>
      <c r="G4401" s="61" t="n">
        <f aca="false">Pressupostos!$G$437*(1+Pressupostos!$C$156)*(1+Pressupostos!$C$157)^4</f>
        <v>22731.07536</v>
      </c>
      <c r="H4401" s="2" t="s">
        <v>1351</v>
      </c>
    </row>
    <row r="4402" customFormat="false" ht="15" hidden="false" customHeight="false" outlineLevel="1" collapsed="false">
      <c r="A4402" s="7" t="s">
        <v>459</v>
      </c>
      <c r="B4402" s="8" t="s">
        <v>11</v>
      </c>
      <c r="C4402" s="61" t="n">
        <f aca="false">Pressupostos!$C$443*(1+Pressupostos!$C$156)*(1+Pressupostos!$C$157)^0</f>
        <v>31500</v>
      </c>
      <c r="D4402" s="61" t="n">
        <f aca="false">Pressupostos!$D$443*(1+Pressupostos!$C$156)*(1+Pressupostos!$C$157)^1</f>
        <v>37485</v>
      </c>
      <c r="E4402" s="61" t="n">
        <f aca="false">Pressupostos!$E$443*(1+Pressupostos!$C$156)*(1+Pressupostos!$C$157)^2</f>
        <v>49158.9</v>
      </c>
      <c r="F4402" s="61" t="n">
        <f aca="false">Pressupostos!$F$443*(1+Pressupostos!$C$156)*(1+Pressupostos!$C$157)^3</f>
        <v>55713.42</v>
      </c>
      <c r="G4402" s="61" t="n">
        <f aca="false">Pressupostos!$G$443*(1+Pressupostos!$C$156)*(1+Pressupostos!$C$157)^4</f>
        <v>62510.45724</v>
      </c>
      <c r="H4402" s="2" t="s">
        <v>1352</v>
      </c>
    </row>
    <row r="4403" customFormat="false" ht="15" hidden="false" customHeight="false" outlineLevel="1" collapsed="false">
      <c r="A4403" s="7" t="s">
        <v>461</v>
      </c>
      <c r="B4403" s="8" t="s">
        <v>11</v>
      </c>
      <c r="C4403" s="61" t="n">
        <f aca="false">Pressupostos!$C$449*(1+Pressupostos!$C$156)*(1+Pressupostos!$C$157)^0</f>
        <v>6300</v>
      </c>
      <c r="D4403" s="61" t="n">
        <f aca="false">Pressupostos!$D$449*(1+Pressupostos!$C$156)*(1+Pressupostos!$C$157)^1</f>
        <v>8568</v>
      </c>
      <c r="E4403" s="61" t="n">
        <f aca="false">Pressupostos!$E$449*(1+Pressupostos!$C$156)*(1+Pressupostos!$C$157)^2</f>
        <v>13109.04</v>
      </c>
      <c r="F4403" s="61" t="n">
        <f aca="false">Pressupostos!$F$449*(1+Pressupostos!$C$156)*(1+Pressupostos!$C$157)^3</f>
        <v>16714.026</v>
      </c>
      <c r="G4403" s="61" t="n">
        <f aca="false">Pressupostos!$G$449*(1+Pressupostos!$C$156)*(1+Pressupostos!$C$157)^4</f>
        <v>20457.967824</v>
      </c>
      <c r="H4403" s="2" t="s">
        <v>1353</v>
      </c>
    </row>
    <row r="4404" customFormat="false" ht="15" hidden="false" customHeight="false" outlineLevel="1" collapsed="false">
      <c r="A4404" s="7" t="s">
        <v>463</v>
      </c>
      <c r="B4404" s="8" t="s">
        <v>11</v>
      </c>
      <c r="C4404" s="61" t="n">
        <f aca="false">Pressupostos!$C$455*(1+Pressupostos!$C$156)*(1+Pressupostos!$C$157)^0</f>
        <v>15750</v>
      </c>
      <c r="D4404" s="61" t="n">
        <f aca="false">Pressupostos!$D$455*(1+Pressupostos!$C$156)*(1+Pressupostos!$C$157)^1</f>
        <v>21420</v>
      </c>
      <c r="E4404" s="61" t="n">
        <f aca="false">Pressupostos!$E$455*(1+Pressupostos!$C$156)*(1+Pressupostos!$C$157)^2</f>
        <v>30587.76</v>
      </c>
      <c r="F4404" s="61" t="n">
        <f aca="false">Pressupostos!$F$455*(1+Pressupostos!$C$156)*(1+Pressupostos!$C$157)^3</f>
        <v>35656.5888</v>
      </c>
      <c r="G4404" s="61" t="n">
        <f aca="false">Pressupostos!$G$455*(1+Pressupostos!$C$156)*(1+Pressupostos!$C$157)^4</f>
        <v>40915.935648</v>
      </c>
      <c r="H4404" s="2" t="s">
        <v>1354</v>
      </c>
    </row>
    <row r="4405" customFormat="false" ht="15" hidden="false" customHeight="false" outlineLevel="1" collapsed="false">
      <c r="A4405" s="7" t="s">
        <v>464</v>
      </c>
      <c r="B4405" s="8" t="s">
        <v>11</v>
      </c>
      <c r="C4405" s="61" t="n">
        <f aca="false">Pressupostos!$C$461*(1+Pressupostos!$C$156)*(1+Pressupostos!$C$157)^0</f>
        <v>4200</v>
      </c>
      <c r="D4405" s="61" t="n">
        <f aca="false">Pressupostos!$D$461*(1+Pressupostos!$C$156)*(1+Pressupostos!$C$157)^1</f>
        <v>6426</v>
      </c>
      <c r="E4405" s="61" t="n">
        <f aca="false">Pressupostos!$E$461*(1+Pressupostos!$C$156)*(1+Pressupostos!$C$157)^2</f>
        <v>8739.36</v>
      </c>
      <c r="F4405" s="61" t="n">
        <f aca="false">Pressupostos!$F$461*(1+Pressupostos!$C$156)*(1+Pressupostos!$C$157)^3</f>
        <v>8914.1472</v>
      </c>
      <c r="G4405" s="61" t="n">
        <f aca="false">Pressupostos!$G$461*(1+Pressupostos!$C$156)*(1+Pressupostos!$C$157)^4</f>
        <v>9092.430144</v>
      </c>
      <c r="H4405" s="2" t="s">
        <v>1355</v>
      </c>
    </row>
    <row r="4406" customFormat="false" ht="15" hidden="false" customHeight="false" outlineLevel="1" collapsed="false">
      <c r="A4406" s="7" t="s">
        <v>701</v>
      </c>
      <c r="B4406" s="8" t="s">
        <v>11</v>
      </c>
      <c r="C4406" s="61" t="n">
        <f aca="false">C4396+C4397+C4398+C4399+C4400+C4401+C4402+C4403+C4404+C4405</f>
        <v>233100</v>
      </c>
      <c r="D4406" s="61" t="n">
        <f aca="false">D4396+D4397+D4398+D4399+D4400+D4401+D4402+D4403+D4404+D4405</f>
        <v>217413</v>
      </c>
      <c r="E4406" s="61" t="n">
        <f aca="false">E4396+E4397+E4398+E4399+E4400+E4401+E4402+E4403+E4404+E4405</f>
        <v>278567.1</v>
      </c>
      <c r="F4406" s="61" t="n">
        <f aca="false">F4396+F4397+F4398+F4399+F4400+F4401+F4402+F4403+F4404+F4405</f>
        <v>289709.784</v>
      </c>
      <c r="G4406" s="61" t="n">
        <f aca="false">G4396+G4397+G4398+G4399+G4400+G4401+G4402+G4403+G4404+G4405</f>
        <v>317098.501272</v>
      </c>
      <c r="H4406" s="2" t="s">
        <v>1356</v>
      </c>
    </row>
    <row r="4407" customFormat="false" ht="15" hidden="false" customHeight="false" outlineLevel="1" collapsed="false">
      <c r="A4407" s="7" t="s">
        <v>702</v>
      </c>
      <c r="B4407" s="8" t="s">
        <v>11</v>
      </c>
      <c r="C4407" s="61" t="n">
        <f aca="false">Pressupostos!$C$114+Pressupostos!$C$115+Pressupostos!$C$116*Pressupostos!$C$296+Pressupostos!$C$466+Pressupostos!$C$308</f>
        <v>65000</v>
      </c>
      <c r="D4407" s="61" t="n">
        <f aca="false">Pressupostos!$C$115+Pressupostos!$C$116*Pressupostos!$D$296+Pressupostos!$D$466+Pressupostos!$D$308</f>
        <v>75000</v>
      </c>
      <c r="E4407" s="61" t="n">
        <f aca="false">Pressupostos!$C$115+Pressupostos!$C$116*Pressupostos!$E$296+Pressupostos!$E$466+Pressupostos!$E$308</f>
        <v>80000</v>
      </c>
      <c r="F4407" s="61" t="n">
        <f aca="false">Pressupostos!$C$115+Pressupostos!$C$116*Pressupostos!$F$296+Pressupostos!$F$466+Pressupostos!$F$308</f>
        <v>85000</v>
      </c>
      <c r="G4407" s="61" t="n">
        <f aca="false">Pressupostos!$C$115+Pressupostos!$C$116*Pressupostos!$G$296+Pressupostos!$G$466+Pressupostos!$G$308</f>
        <v>90000</v>
      </c>
      <c r="H4407" s="2" t="s">
        <v>1357</v>
      </c>
    </row>
    <row r="4408" customFormat="false" ht="15" hidden="false" customHeight="false" outlineLevel="1" collapsed="false">
      <c r="A4408" s="7" t="s">
        <v>703</v>
      </c>
      <c r="B4408" s="8" t="s">
        <v>11</v>
      </c>
      <c r="C4408" s="61" t="n">
        <f aca="false">IF(C4220&lt;Pressupostos!$C$120,0,MAX(Pressupostos!$C$302,Pressupostos!$C$118*(C4314+C4315)+Pressupostos!$C$119*C4316))</f>
        <v>0</v>
      </c>
      <c r="D4408" s="61" t="n">
        <f aca="false">IF(D4220&lt;Pressupostos!$C$120,0,MAX(Pressupostos!$D$302,Pressupostos!$C$118*(D4314+D4315)+Pressupostos!$C$119*D4316))</f>
        <v>7125.6</v>
      </c>
      <c r="E4408" s="61" t="n">
        <f aca="false">IF(E4220&lt;Pressupostos!$C$120,0,MAX(Pressupostos!$E$302,Pressupostos!$C$118*(E4314+E4315)+Pressupostos!$C$119*E4316))</f>
        <v>14533.8</v>
      </c>
      <c r="F4408" s="61" t="n">
        <f aca="false">IF(F4220&lt;Pressupostos!$C$120,0,MAX(Pressupostos!$F$302,Pressupostos!$C$118*(F4314+F4315)+Pressupostos!$C$119*F4316))</f>
        <v>24157</v>
      </c>
      <c r="G4408" s="61" t="n">
        <f aca="false">IF(G4220&lt;Pressupostos!$C$120,0,MAX(Pressupostos!$G$302,Pressupostos!$C$118*(G4314+G4315)+Pressupostos!$C$119*G4316))</f>
        <v>36290</v>
      </c>
      <c r="H4408" s="2" t="s">
        <v>1358</v>
      </c>
    </row>
    <row r="4409" customFormat="false" ht="15" hidden="false" customHeight="false" outlineLevel="1" collapsed="false">
      <c r="A4409" s="56" t="s">
        <v>704</v>
      </c>
      <c r="B4409" s="57" t="s">
        <v>11</v>
      </c>
      <c r="C4409" s="62" t="n">
        <f aca="false">C4406+C4407+C4408</f>
        <v>298100</v>
      </c>
      <c r="D4409" s="62" t="n">
        <f aca="false">D4406+D4407+D4408</f>
        <v>299538.6</v>
      </c>
      <c r="E4409" s="62" t="n">
        <f aca="false">E4406+E4407+E4408</f>
        <v>373100.9</v>
      </c>
      <c r="F4409" s="62" t="n">
        <f aca="false">F4406+F4407+F4408</f>
        <v>398866.784</v>
      </c>
      <c r="G4409" s="62" t="n">
        <f aca="false">G4406+G4407+G4408</f>
        <v>443388.501272</v>
      </c>
      <c r="H4409" s="2" t="s">
        <v>1359</v>
      </c>
    </row>
    <row r="4410" customFormat="false" ht="15" hidden="false" customHeight="false" outlineLevel="0" collapsed="false">
      <c r="A4410" s="3" t="s">
        <v>1360</v>
      </c>
      <c r="B4410" s="4"/>
      <c r="C4410" s="4"/>
      <c r="D4410" s="4"/>
      <c r="E4410" s="4"/>
      <c r="F4410" s="4"/>
      <c r="G4410" s="4"/>
      <c r="H4410" s="4"/>
    </row>
    <row r="4411" customFormat="false" ht="15" hidden="false" customHeight="false" outlineLevel="1" collapsed="false">
      <c r="A4411" s="7" t="s">
        <v>706</v>
      </c>
      <c r="B4411" s="8" t="s">
        <v>11</v>
      </c>
      <c r="C4411" s="61" t="n">
        <f aca="false">Pressupostos!$C$165*Pressupostos!$C$315</f>
        <v>18000</v>
      </c>
      <c r="D4411" s="61" t="n">
        <f aca="false">Pressupostos!$C$165*Pressupostos!$D$315</f>
        <v>12000</v>
      </c>
      <c r="E4411" s="61" t="n">
        <f aca="false">Pressupostos!$C$165*Pressupostos!$E$315</f>
        <v>12000</v>
      </c>
      <c r="F4411" s="61" t="n">
        <f aca="false">Pressupostos!$C$165*Pressupostos!$F$315</f>
        <v>12000</v>
      </c>
      <c r="G4411" s="61" t="n">
        <f aca="false">Pressupostos!$C$165*Pressupostos!$G$315</f>
        <v>12000</v>
      </c>
      <c r="H4411" s="2" t="s">
        <v>1361</v>
      </c>
    </row>
    <row r="4412" customFormat="false" ht="15" hidden="false" customHeight="false" outlineLevel="1" collapsed="false">
      <c r="A4412" s="7" t="s">
        <v>707</v>
      </c>
      <c r="B4412" s="8" t="s">
        <v>11</v>
      </c>
      <c r="C4412" s="53" t="n">
        <f aca="false">Pressupostos!$C$321</f>
        <v>60000</v>
      </c>
      <c r="D4412" s="53" t="n">
        <f aca="false">Pressupostos!$D$321</f>
        <v>15000</v>
      </c>
      <c r="E4412" s="53" t="n">
        <f aca="false">Pressupostos!$E$321</f>
        <v>15000</v>
      </c>
      <c r="F4412" s="53" t="n">
        <f aca="false">Pressupostos!$F$321</f>
        <v>10000</v>
      </c>
      <c r="G4412" s="53" t="n">
        <f aca="false">Pressupostos!$G$321</f>
        <v>10000</v>
      </c>
      <c r="H4412" s="2" t="s">
        <v>1362</v>
      </c>
    </row>
    <row r="4413" customFormat="false" ht="15" hidden="false" customHeight="false" outlineLevel="1" collapsed="false">
      <c r="A4413" s="7" t="s">
        <v>708</v>
      </c>
      <c r="B4413" s="8" t="s">
        <v>11</v>
      </c>
      <c r="C4413" s="53" t="n">
        <f aca="false">Pressupostos!$C$327</f>
        <v>0</v>
      </c>
      <c r="D4413" s="53" t="n">
        <f aca="false">Pressupostos!$D$327</f>
        <v>15000</v>
      </c>
      <c r="E4413" s="53" t="n">
        <f aca="false">Pressupostos!$E$327</f>
        <v>15000</v>
      </c>
      <c r="F4413" s="53" t="n">
        <f aca="false">Pressupostos!$F$327</f>
        <v>10000</v>
      </c>
      <c r="G4413" s="53" t="n">
        <f aca="false">Pressupostos!$G$327</f>
        <v>10000</v>
      </c>
      <c r="H4413" s="2" t="s">
        <v>1363</v>
      </c>
    </row>
    <row r="4414" customFormat="false" ht="15" hidden="false" customHeight="false" outlineLevel="1" collapsed="false">
      <c r="A4414" s="7" t="s">
        <v>709</v>
      </c>
      <c r="B4414" s="8" t="s">
        <v>11</v>
      </c>
      <c r="C4414" s="61" t="n">
        <f aca="false">Pressupostos!$C$166*MAX(0,C4376)</f>
        <v>11000</v>
      </c>
      <c r="D4414" s="61" t="n">
        <f aca="false">Pressupostos!$C$166*MAX(0,D4376-C4376)</f>
        <v>4000</v>
      </c>
      <c r="E4414" s="61" t="n">
        <f aca="false">Pressupostos!$C$166*MAX(0,E4376-D4376)</f>
        <v>2000</v>
      </c>
      <c r="F4414" s="61" t="n">
        <f aca="false">Pressupostos!$C$166*MAX(0,F4376-E4376)</f>
        <v>5000</v>
      </c>
      <c r="G4414" s="61" t="n">
        <f aca="false">Pressupostos!$C$166*MAX(0,G4376-F4376)</f>
        <v>2000</v>
      </c>
      <c r="H4414" s="2" t="s">
        <v>1364</v>
      </c>
    </row>
    <row r="4415" customFormat="false" ht="15" hidden="false" customHeight="false" outlineLevel="1" collapsed="false">
      <c r="A4415" s="7" t="s">
        <v>424</v>
      </c>
      <c r="B4415" s="8" t="s">
        <v>11</v>
      </c>
      <c r="C4415" s="61" t="n">
        <f aca="false">C4411+C4412+C4413+C4414</f>
        <v>89000</v>
      </c>
      <c r="D4415" s="61" t="n">
        <f aca="false">D4411+D4412+D4413+D4414</f>
        <v>46000</v>
      </c>
      <c r="E4415" s="61" t="n">
        <f aca="false">E4411+E4412+E4413+E4414</f>
        <v>44000</v>
      </c>
      <c r="F4415" s="61" t="n">
        <f aca="false">F4411+F4412+F4413+F4414</f>
        <v>37000</v>
      </c>
      <c r="G4415" s="61" t="n">
        <f aca="false">G4411+G4412+G4413+G4414</f>
        <v>34000</v>
      </c>
      <c r="H4415" s="2" t="s">
        <v>1365</v>
      </c>
    </row>
    <row r="4416" customFormat="false" ht="15" hidden="false" customHeight="false" outlineLevel="1" collapsed="false">
      <c r="A4416" s="7" t="s">
        <v>710</v>
      </c>
      <c r="B4416" s="8" t="s">
        <v>11</v>
      </c>
      <c r="C4416" s="61" t="n">
        <f aca="false">(C4412*((0)&lt;Pressupostos!$C$167))/Pressupostos!$C$167</f>
        <v>20000</v>
      </c>
      <c r="D4416" s="61" t="n">
        <f aca="false">(C4412*((1)&lt;Pressupostos!$C$167)+D4412*((0)&lt;Pressupostos!$C$167))/Pressupostos!$C$167</f>
        <v>25000</v>
      </c>
      <c r="E4416" s="61" t="n">
        <f aca="false">(C4412*((2)&lt;Pressupostos!$C$167)+D4412*((1)&lt;Pressupostos!$C$167)+E4412*((0)&lt;Pressupostos!$C$167))/Pressupostos!$C$167</f>
        <v>30000</v>
      </c>
      <c r="F4416" s="61" t="n">
        <f aca="false">(C4412*((3)&lt;Pressupostos!$C$167)+D4412*((2)&lt;Pressupostos!$C$167)+E4412*((1)&lt;Pressupostos!$C$167)+F4412*((0)&lt;Pressupostos!$C$167))/Pressupostos!$C$167</f>
        <v>13333.3333333333</v>
      </c>
      <c r="G4416" s="61" t="n">
        <f aca="false">(C4412*((4)&lt;Pressupostos!$C$167)+D4412*((3)&lt;Pressupostos!$C$167)+E4412*((2)&lt;Pressupostos!$C$167)+F4412*((1)&lt;Pressupostos!$C$167)+G4412*((0)&lt;Pressupostos!$C$167))/Pressupostos!$C$167</f>
        <v>11666.6666666667</v>
      </c>
      <c r="H4416" s="2" t="s">
        <v>1366</v>
      </c>
    </row>
    <row r="4417" customFormat="false" ht="15" hidden="false" customHeight="false" outlineLevel="1" collapsed="false">
      <c r="A4417" s="7" t="s">
        <v>711</v>
      </c>
      <c r="B4417" s="8" t="s">
        <v>11</v>
      </c>
      <c r="C4417" s="61" t="n">
        <f aca="false">(C4413*((0)&lt;Pressupostos!$C$167))/Pressupostos!$C$167</f>
        <v>0</v>
      </c>
      <c r="D4417" s="61" t="n">
        <f aca="false">(C4413*((1)&lt;Pressupostos!$C$167)+D4413*((0)&lt;Pressupostos!$C$167))/Pressupostos!$C$167</f>
        <v>5000</v>
      </c>
      <c r="E4417" s="61" t="n">
        <f aca="false">(C4413*((2)&lt;Pressupostos!$C$167)+D4413*((1)&lt;Pressupostos!$C$167)+E4413*((0)&lt;Pressupostos!$C$167))/Pressupostos!$C$167</f>
        <v>10000</v>
      </c>
      <c r="F4417" s="61" t="n">
        <f aca="false">(C4413*((3)&lt;Pressupostos!$C$167)+D4413*((2)&lt;Pressupostos!$C$167)+E4413*((1)&lt;Pressupostos!$C$167)+F4413*((0)&lt;Pressupostos!$C$167))/Pressupostos!$C$167</f>
        <v>13333.3333333333</v>
      </c>
      <c r="G4417" s="61" t="n">
        <f aca="false">(C4413*((4)&lt;Pressupostos!$C$167)+D4413*((3)&lt;Pressupostos!$C$167)+E4413*((2)&lt;Pressupostos!$C$167)+F4413*((1)&lt;Pressupostos!$C$167)+G4413*((0)&lt;Pressupostos!$C$167))/Pressupostos!$C$167</f>
        <v>11666.6666666667</v>
      </c>
      <c r="H4417" s="2" t="s">
        <v>1367</v>
      </c>
    </row>
    <row r="4418" customFormat="false" ht="15" hidden="false" customHeight="false" outlineLevel="1" collapsed="false">
      <c r="A4418" s="7" t="s">
        <v>712</v>
      </c>
      <c r="B4418" s="8" t="s">
        <v>11</v>
      </c>
      <c r="C4418" s="61" t="n">
        <f aca="false">(C4411*((0)&lt;Pressupostos!$C$169))/Pressupostos!$C$169</f>
        <v>3600</v>
      </c>
      <c r="D4418" s="61" t="n">
        <f aca="false">(C4411*((1)&lt;Pressupostos!$C$169)+D4411*((0)&lt;Pressupostos!$C$169))/Pressupostos!$C$169</f>
        <v>6000</v>
      </c>
      <c r="E4418" s="61" t="n">
        <f aca="false">(C4411*((2)&lt;Pressupostos!$C$169)+D4411*((1)&lt;Pressupostos!$C$169)+E4411*((0)&lt;Pressupostos!$C$169))/Pressupostos!$C$169</f>
        <v>8400</v>
      </c>
      <c r="F4418" s="61" t="n">
        <f aca="false">(C4411*((3)&lt;Pressupostos!$C$169)+D4411*((2)&lt;Pressupostos!$C$169)+E4411*((1)&lt;Pressupostos!$C$169)+F4411*((0)&lt;Pressupostos!$C$169))/Pressupostos!$C$169</f>
        <v>10800</v>
      </c>
      <c r="G4418" s="61" t="n">
        <f aca="false">(C4411*((4)&lt;Pressupostos!$C$169)+D4411*((3)&lt;Pressupostos!$C$169)+E4411*((2)&lt;Pressupostos!$C$169)+F4411*((1)&lt;Pressupostos!$C$169)+G4411*((0)&lt;Pressupostos!$C$169))/Pressupostos!$C$169</f>
        <v>13200</v>
      </c>
      <c r="H4418" s="2" t="s">
        <v>1368</v>
      </c>
    </row>
    <row r="4419" customFormat="false" ht="15" hidden="false" customHeight="false" outlineLevel="1" collapsed="false">
      <c r="A4419" s="7" t="s">
        <v>713</v>
      </c>
      <c r="B4419" s="8" t="s">
        <v>11</v>
      </c>
      <c r="C4419" s="61" t="n">
        <f aca="false">(C4414*((0)&lt;Pressupostos!$C$168))/Pressupostos!$C$168</f>
        <v>2750</v>
      </c>
      <c r="D4419" s="61" t="n">
        <f aca="false">(C4414*((1)&lt;Pressupostos!$C$168)+D4414*((0)&lt;Pressupostos!$C$168))/Pressupostos!$C$168</f>
        <v>3750</v>
      </c>
      <c r="E4419" s="61" t="n">
        <f aca="false">(C4414*((2)&lt;Pressupostos!$C$168)+D4414*((1)&lt;Pressupostos!$C$168)+E4414*((0)&lt;Pressupostos!$C$168))/Pressupostos!$C$168</f>
        <v>4250</v>
      </c>
      <c r="F4419" s="61" t="n">
        <f aca="false">(C4414*((3)&lt;Pressupostos!$C$168)+D4414*((2)&lt;Pressupostos!$C$168)+E4414*((1)&lt;Pressupostos!$C$168)+F4414*((0)&lt;Pressupostos!$C$168))/Pressupostos!$C$168</f>
        <v>5500</v>
      </c>
      <c r="G4419" s="61" t="n">
        <f aca="false">(C4414*((4)&lt;Pressupostos!$C$168)+D4414*((3)&lt;Pressupostos!$C$168)+E4414*((2)&lt;Pressupostos!$C$168)+F4414*((1)&lt;Pressupostos!$C$168)+G4414*((0)&lt;Pressupostos!$C$168))/Pressupostos!$C$168</f>
        <v>3250</v>
      </c>
      <c r="H4419" s="2" t="s">
        <v>1369</v>
      </c>
    </row>
    <row r="4420" customFormat="false" ht="15" hidden="false" customHeight="false" outlineLevel="1" collapsed="false">
      <c r="A4420" s="7" t="s">
        <v>714</v>
      </c>
      <c r="B4420" s="8" t="s">
        <v>11</v>
      </c>
      <c r="C4420" s="61" t="n">
        <f aca="false">C4416+C4417+C4418+C4419</f>
        <v>26350</v>
      </c>
      <c r="D4420" s="61" t="n">
        <f aca="false">D4416+D4417+D4418+D4419</f>
        <v>39750</v>
      </c>
      <c r="E4420" s="61" t="n">
        <f aca="false">E4416+E4417+E4418+E4419</f>
        <v>52650</v>
      </c>
      <c r="F4420" s="61" t="n">
        <f aca="false">F4416+F4417+F4418+F4419</f>
        <v>42966.6666666667</v>
      </c>
      <c r="G4420" s="61" t="n">
        <f aca="false">G4416+G4417+G4418+G4419</f>
        <v>39783.3333333333</v>
      </c>
      <c r="H4420" s="2" t="s">
        <v>1370</v>
      </c>
    </row>
    <row r="4421" customFormat="false" ht="15" hidden="false" customHeight="false" outlineLevel="0" collapsed="false">
      <c r="A4421" s="3" t="s">
        <v>1371</v>
      </c>
      <c r="B4421" s="4"/>
      <c r="C4421" s="4"/>
      <c r="D4421" s="4"/>
      <c r="E4421" s="4"/>
      <c r="F4421" s="4"/>
      <c r="G4421" s="4"/>
      <c r="H4421" s="4"/>
    </row>
    <row r="4422" customFormat="false" ht="15" hidden="false" customHeight="false" outlineLevel="1" collapsed="false">
      <c r="A4422" s="56" t="s">
        <v>718</v>
      </c>
      <c r="B4422" s="57" t="s">
        <v>11</v>
      </c>
      <c r="C4422" s="62" t="n">
        <f aca="false">C4324</f>
        <v>275874.4</v>
      </c>
      <c r="D4422" s="62" t="n">
        <f aca="false">D4324</f>
        <v>1805254</v>
      </c>
      <c r="E4422" s="62" t="n">
        <f aca="false">E4324</f>
        <v>3704769</v>
      </c>
      <c r="F4422" s="62" t="n">
        <f aca="false">F4324</f>
        <v>6335277</v>
      </c>
      <c r="G4422" s="62" t="n">
        <f aca="false">G4324</f>
        <v>9691735</v>
      </c>
      <c r="H4422" s="2" t="s">
        <v>1372</v>
      </c>
    </row>
    <row r="4423" customFormat="false" ht="15" hidden="false" customHeight="false" outlineLevel="1" collapsed="false">
      <c r="A4423" s="7" t="s">
        <v>688</v>
      </c>
      <c r="B4423" s="8" t="s">
        <v>11</v>
      </c>
      <c r="C4423" s="61" t="n">
        <f aca="false">-C4347</f>
        <v>-245040</v>
      </c>
      <c r="D4423" s="61" t="n">
        <f aca="false">-D4347</f>
        <v>-1599300</v>
      </c>
      <c r="E4423" s="61" t="n">
        <f aca="false">-E4347</f>
        <v>-3248250</v>
      </c>
      <c r="F4423" s="61" t="n">
        <f aca="false">-F4347</f>
        <v>-5533850</v>
      </c>
      <c r="G4423" s="61" t="n">
        <f aca="false">-G4347</f>
        <v>-8460500</v>
      </c>
      <c r="H4423" s="2" t="s">
        <v>1373</v>
      </c>
    </row>
    <row r="4424" customFormat="false" ht="15" hidden="false" customHeight="false" outlineLevel="1" collapsed="false">
      <c r="A4424" s="56" t="s">
        <v>719</v>
      </c>
      <c r="B4424" s="57" t="s">
        <v>11</v>
      </c>
      <c r="C4424" s="62" t="n">
        <f aca="false">C4422+C4423</f>
        <v>30834.4</v>
      </c>
      <c r="D4424" s="62" t="n">
        <f aca="false">D4422+D4423</f>
        <v>205954</v>
      </c>
      <c r="E4424" s="62" t="n">
        <f aca="false">E4422+E4423</f>
        <v>456519</v>
      </c>
      <c r="F4424" s="62" t="n">
        <f aca="false">F4422+F4423</f>
        <v>801426.999999999</v>
      </c>
      <c r="G4424" s="62" t="n">
        <f aca="false">G4422+G4423</f>
        <v>1231235</v>
      </c>
      <c r="H4424" s="2" t="s">
        <v>1374</v>
      </c>
    </row>
    <row r="4425" customFormat="false" ht="15" hidden="false" customHeight="false" outlineLevel="1" collapsed="false">
      <c r="A4425" s="2" t="s">
        <v>720</v>
      </c>
      <c r="B4425" s="8" t="s">
        <v>76</v>
      </c>
      <c r="C4425" s="59" t="n">
        <f aca="false">IF(C4422&gt;0,C4424/C4422,0)</f>
        <v>0.111769703894236</v>
      </c>
      <c r="D4425" s="59" t="n">
        <f aca="false">IF(D4422&gt;0,D4424/D4422,0)</f>
        <v>0.114085884867171</v>
      </c>
      <c r="E4425" s="59" t="n">
        <f aca="false">IF(E4422&gt;0,E4424/E4422,0)</f>
        <v>0.123224686883312</v>
      </c>
      <c r="F4425" s="59" t="n">
        <f aca="false">IF(F4422&gt;0,F4424/F4422,0)</f>
        <v>0.126502282378497</v>
      </c>
      <c r="G4425" s="59" t="n">
        <f aca="false">IF(G4422&gt;0,G4424/G4422,0)</f>
        <v>0.127039688972098</v>
      </c>
      <c r="H4425" s="2" t="s">
        <v>1375</v>
      </c>
    </row>
    <row r="4426" customFormat="false" ht="15" hidden="false" customHeight="false" outlineLevel="1" collapsed="false">
      <c r="A4426" s="7" t="s">
        <v>721</v>
      </c>
      <c r="B4426" s="8" t="s">
        <v>11</v>
      </c>
      <c r="C4426" s="61" t="n">
        <f aca="false">-C4358</f>
        <v>-15494.2226027397</v>
      </c>
      <c r="D4426" s="61" t="n">
        <f aca="false">-D4358</f>
        <v>-101865.553938356</v>
      </c>
      <c r="E4426" s="61" t="n">
        <f aca="false">-E4358</f>
        <v>-212004.356849315</v>
      </c>
      <c r="F4426" s="61" t="n">
        <f aca="false">-F4358</f>
        <v>-358244.301712329</v>
      </c>
      <c r="G4426" s="61" t="n">
        <f aca="false">-G4358</f>
        <v>-535131.037671233</v>
      </c>
      <c r="H4426" s="2" t="s">
        <v>1376</v>
      </c>
    </row>
    <row r="4427" customFormat="false" ht="15" hidden="false" customHeight="false" outlineLevel="1" collapsed="false">
      <c r="A4427" s="7" t="s">
        <v>698</v>
      </c>
      <c r="B4427" s="8" t="s">
        <v>11</v>
      </c>
      <c r="C4427" s="61" t="n">
        <f aca="false">-C4361</f>
        <v>-0</v>
      </c>
      <c r="D4427" s="61" t="n">
        <f aca="false">-D4361</f>
        <v>-21524.1780821918</v>
      </c>
      <c r="E4427" s="61" t="n">
        <f aca="false">-E4361</f>
        <v>-34083.5991010274</v>
      </c>
      <c r="F4427" s="61" t="n">
        <f aca="false">-F4361</f>
        <v>-53929.0517979452</v>
      </c>
      <c r="G4427" s="61" t="n">
        <f aca="false">-G4361</f>
        <v>-82260.0385273973</v>
      </c>
      <c r="H4427" s="2" t="s">
        <v>1377</v>
      </c>
    </row>
    <row r="4428" customFormat="false" ht="15" hidden="false" customHeight="false" outlineLevel="1" collapsed="false">
      <c r="A4428" s="56" t="s">
        <v>677</v>
      </c>
      <c r="B4428" s="57" t="s">
        <v>11</v>
      </c>
      <c r="C4428" s="62" t="n">
        <f aca="false">C4424+C4426+C4427</f>
        <v>15340.1773972603</v>
      </c>
      <c r="D4428" s="62" t="n">
        <f aca="false">D4424+D4426+D4427</f>
        <v>82564.2679794518</v>
      </c>
      <c r="E4428" s="62" t="n">
        <f aca="false">E4424+E4426+E4427</f>
        <v>210431.044049657</v>
      </c>
      <c r="F4428" s="62" t="n">
        <f aca="false">F4424+F4426+F4427</f>
        <v>389253.646489725</v>
      </c>
      <c r="G4428" s="62" t="n">
        <f aca="false">G4424+G4426+G4427</f>
        <v>613843.92380137</v>
      </c>
      <c r="H4428" s="2" t="s">
        <v>1378</v>
      </c>
    </row>
    <row r="4429" customFormat="false" ht="15" hidden="false" customHeight="false" outlineLevel="1" collapsed="false">
      <c r="A4429" s="7" t="s">
        <v>261</v>
      </c>
      <c r="B4429" s="8" t="s">
        <v>11</v>
      </c>
      <c r="C4429" s="61" t="n">
        <f aca="false">-C4393</f>
        <v>-303573.09375</v>
      </c>
      <c r="D4429" s="61" t="n">
        <f aca="false">-D4393</f>
        <v>-477845.325</v>
      </c>
      <c r="E4429" s="61" t="n">
        <f aca="false">-E4393</f>
        <v>-563341.2153125</v>
      </c>
      <c r="F4429" s="61" t="n">
        <f aca="false">-F4393</f>
        <v>-697007.527174375</v>
      </c>
      <c r="G4429" s="61" t="n">
        <f aca="false">-G4393</f>
        <v>-768997.563445444</v>
      </c>
      <c r="H4429" s="2" t="s">
        <v>1379</v>
      </c>
    </row>
    <row r="4430" customFormat="false" ht="15" hidden="false" customHeight="false" outlineLevel="1" collapsed="false">
      <c r="A4430" s="7" t="s">
        <v>722</v>
      </c>
      <c r="B4430" s="8" t="s">
        <v>11</v>
      </c>
      <c r="C4430" s="61" t="n">
        <f aca="false">-C4409</f>
        <v>-298100</v>
      </c>
      <c r="D4430" s="61" t="n">
        <f aca="false">-D4409</f>
        <v>-299538.6</v>
      </c>
      <c r="E4430" s="61" t="n">
        <f aca="false">-E4409</f>
        <v>-373100.9</v>
      </c>
      <c r="F4430" s="61" t="n">
        <f aca="false">-F4409</f>
        <v>-398866.784</v>
      </c>
      <c r="G4430" s="61" t="n">
        <f aca="false">-G4409</f>
        <v>-443388.501272</v>
      </c>
      <c r="H4430" s="2" t="s">
        <v>1380</v>
      </c>
    </row>
    <row r="4431" customFormat="false" ht="15" hidden="false" customHeight="false" outlineLevel="1" collapsed="false">
      <c r="A4431" s="56" t="s">
        <v>723</v>
      </c>
      <c r="B4431" s="57" t="s">
        <v>11</v>
      </c>
      <c r="C4431" s="62" t="n">
        <f aca="false">C4428+C4429+C4430</f>
        <v>-586332.91635274</v>
      </c>
      <c r="D4431" s="62" t="n">
        <f aca="false">D4428+D4429+D4430</f>
        <v>-694819.657020548</v>
      </c>
      <c r="E4431" s="62" t="n">
        <f aca="false">E4428+E4429+E4430</f>
        <v>-726011.071262843</v>
      </c>
      <c r="F4431" s="62" t="n">
        <f aca="false">F4428+F4429+F4430</f>
        <v>-706620.66468465</v>
      </c>
      <c r="G4431" s="62" t="n">
        <f aca="false">G4428+G4429+G4430</f>
        <v>-598542.140916074</v>
      </c>
      <c r="H4431" s="2" t="s">
        <v>1381</v>
      </c>
    </row>
    <row r="4432" customFormat="false" ht="15" hidden="false" customHeight="false" outlineLevel="1" collapsed="false">
      <c r="A4432" s="2" t="s">
        <v>725</v>
      </c>
      <c r="B4432" s="8" t="s">
        <v>76</v>
      </c>
      <c r="C4432" s="59" t="n">
        <f aca="false">IF(C4422&gt;0,C4431/C4422,0)</f>
        <v>-2.12536181810541</v>
      </c>
      <c r="D4432" s="59" t="n">
        <f aca="false">IF(D4422&gt;0,D4431/D4422,0)</f>
        <v>-0.384887476787504</v>
      </c>
      <c r="E4432" s="59" t="n">
        <f aca="false">IF(E4422&gt;0,E4431/E4422,0)</f>
        <v>-0.19596662336109</v>
      </c>
      <c r="F4432" s="59" t="n">
        <f aca="false">IF(F4422&gt;0,F4431/F4422,0)</f>
        <v>-0.111537453640093</v>
      </c>
      <c r="G4432" s="59" t="n">
        <f aca="false">IF(G4422&gt;0,G4431/G4422,0)</f>
        <v>-0.0617579969856867</v>
      </c>
      <c r="H4432" s="2" t="s">
        <v>1382</v>
      </c>
    </row>
    <row r="4433" customFormat="false" ht="15" hidden="false" customHeight="false" outlineLevel="1" collapsed="false">
      <c r="A4433" s="2" t="s">
        <v>726</v>
      </c>
      <c r="B4433" s="8" t="s">
        <v>11</v>
      </c>
      <c r="C4433" s="61" t="n">
        <f aca="false">C4431+C4361</f>
        <v>-586332.91635274</v>
      </c>
      <c r="D4433" s="61" t="n">
        <f aca="false">D4431+D4361</f>
        <v>-673295.478938356</v>
      </c>
      <c r="E4433" s="61" t="n">
        <f aca="false">E4431+E4361</f>
        <v>-691927.472161816</v>
      </c>
      <c r="F4433" s="61" t="n">
        <f aca="false">F4431+F4361</f>
        <v>-652691.612886705</v>
      </c>
      <c r="G4433" s="61" t="n">
        <f aca="false">G4431+G4361</f>
        <v>-516282.102388677</v>
      </c>
      <c r="H4433" s="2" t="s">
        <v>1383</v>
      </c>
    </row>
    <row r="4434" customFormat="false" ht="15" hidden="false" customHeight="false" outlineLevel="1" collapsed="false">
      <c r="A4434" s="7" t="s">
        <v>714</v>
      </c>
      <c r="B4434" s="8" t="s">
        <v>11</v>
      </c>
      <c r="C4434" s="61" t="n">
        <f aca="false">-C4420</f>
        <v>-26350</v>
      </c>
      <c r="D4434" s="61" t="n">
        <f aca="false">-D4420</f>
        <v>-39750</v>
      </c>
      <c r="E4434" s="61" t="n">
        <f aca="false">-E4420</f>
        <v>-52650</v>
      </c>
      <c r="F4434" s="61" t="n">
        <f aca="false">-F4420</f>
        <v>-42966.6666666667</v>
      </c>
      <c r="G4434" s="61" t="n">
        <f aca="false">-G4420</f>
        <v>-39783.3333333333</v>
      </c>
      <c r="H4434" s="2" t="s">
        <v>1384</v>
      </c>
    </row>
    <row r="4435" customFormat="false" ht="15" hidden="false" customHeight="false" outlineLevel="1" collapsed="false">
      <c r="A4435" s="56" t="s">
        <v>727</v>
      </c>
      <c r="B4435" s="57" t="s">
        <v>11</v>
      </c>
      <c r="C4435" s="62" t="n">
        <f aca="false">C4431+C4434</f>
        <v>-612682.91635274</v>
      </c>
      <c r="D4435" s="62" t="n">
        <f aca="false">D4431+D4434</f>
        <v>-734569.657020548</v>
      </c>
      <c r="E4435" s="62" t="n">
        <f aca="false">E4431+E4434</f>
        <v>-778661.071262843</v>
      </c>
      <c r="F4435" s="62" t="n">
        <f aca="false">F4431+F4434</f>
        <v>-749587.331351316</v>
      </c>
      <c r="G4435" s="62" t="n">
        <f aca="false">G4431+G4434</f>
        <v>-638325.474249407</v>
      </c>
      <c r="H4435" s="2" t="s">
        <v>1385</v>
      </c>
    </row>
    <row r="4436" customFormat="false" ht="15" hidden="false" customHeight="false" outlineLevel="0" collapsed="false">
      <c r="A4436" s="3" t="s">
        <v>1386</v>
      </c>
      <c r="B4436" s="4"/>
      <c r="C4436" s="4"/>
      <c r="D4436" s="4"/>
      <c r="E4436" s="4"/>
      <c r="F4436" s="4"/>
      <c r="G4436" s="4"/>
      <c r="H4436" s="4"/>
    </row>
    <row r="4437" customFormat="false" ht="15" hidden="false" customHeight="false" outlineLevel="1" collapsed="false">
      <c r="A4437" s="7" t="s">
        <v>729</v>
      </c>
      <c r="B4437" s="8" t="s">
        <v>11</v>
      </c>
      <c r="C4437" s="61" t="n">
        <f aca="false">C4435</f>
        <v>-612682.91635274</v>
      </c>
      <c r="D4437" s="61" t="n">
        <f aca="false">D4435</f>
        <v>-734569.657020548</v>
      </c>
      <c r="E4437" s="61" t="n">
        <f aca="false">E4435</f>
        <v>-778661.071262843</v>
      </c>
      <c r="F4437" s="61" t="n">
        <f aca="false">F4435</f>
        <v>-749587.331351316</v>
      </c>
      <c r="G4437" s="61" t="n">
        <f aca="false">G4435</f>
        <v>-638325.474249407</v>
      </c>
      <c r="H4437" s="2" t="s">
        <v>1387</v>
      </c>
    </row>
    <row r="4438" customFormat="false" ht="15" hidden="false" customHeight="false" outlineLevel="1" collapsed="false">
      <c r="A4438" s="7" t="s">
        <v>730</v>
      </c>
      <c r="B4438" s="8" t="s">
        <v>11</v>
      </c>
      <c r="C4438" s="61" t="n">
        <f aca="false">0</f>
        <v>0</v>
      </c>
      <c r="D4438" s="61" t="n">
        <f aca="false">C4441</f>
        <v>612682.91635274</v>
      </c>
      <c r="E4438" s="61" t="n">
        <f aca="false">D4441</f>
        <v>1347252.57337329</v>
      </c>
      <c r="F4438" s="61" t="n">
        <f aca="false">E4441</f>
        <v>2125913.64463613</v>
      </c>
      <c r="G4438" s="61" t="n">
        <f aca="false">F4441</f>
        <v>2875500.97598745</v>
      </c>
      <c r="H4438" s="2" t="s">
        <v>1388</v>
      </c>
    </row>
    <row r="4439" customFormat="false" ht="15" hidden="false" customHeight="false" outlineLevel="1" collapsed="false">
      <c r="A4439" s="7" t="s">
        <v>731</v>
      </c>
      <c r="B4439" s="8" t="s">
        <v>11</v>
      </c>
      <c r="C4439" s="61" t="n">
        <f aca="false">MAX(0,-C4437)</f>
        <v>612682.91635274</v>
      </c>
      <c r="D4439" s="61" t="n">
        <f aca="false">MAX(0,-D4437)</f>
        <v>734569.657020548</v>
      </c>
      <c r="E4439" s="61" t="n">
        <f aca="false">MAX(0,-E4437)</f>
        <v>778661.071262843</v>
      </c>
      <c r="F4439" s="61" t="n">
        <f aca="false">MAX(0,-F4437)</f>
        <v>749587.331351316</v>
      </c>
      <c r="G4439" s="61" t="n">
        <f aca="false">MAX(0,-G4437)</f>
        <v>638325.474249407</v>
      </c>
      <c r="H4439" s="2" t="s">
        <v>1389</v>
      </c>
    </row>
    <row r="4440" customFormat="false" ht="15" hidden="false" customHeight="false" outlineLevel="1" collapsed="false">
      <c r="A4440" s="7" t="s">
        <v>732</v>
      </c>
      <c r="B4440" s="8" t="s">
        <v>11</v>
      </c>
      <c r="C4440" s="61" t="n">
        <f aca="false">MIN(C4438,Pressupostos!$C$181*MAX(0,C4437))</f>
        <v>0</v>
      </c>
      <c r="D4440" s="61" t="n">
        <f aca="false">MIN(D4438,Pressupostos!$C$181*MAX(0,D4437))</f>
        <v>0</v>
      </c>
      <c r="E4440" s="61" t="n">
        <f aca="false">MIN(E4438,Pressupostos!$C$181*MAX(0,E4437))</f>
        <v>0</v>
      </c>
      <c r="F4440" s="61" t="n">
        <f aca="false">MIN(F4438,Pressupostos!$C$181*MAX(0,F4437))</f>
        <v>0</v>
      </c>
      <c r="G4440" s="61" t="n">
        <f aca="false">MIN(G4438,Pressupostos!$C$181*MAX(0,G4437))</f>
        <v>0</v>
      </c>
      <c r="H4440" s="2" t="s">
        <v>1390</v>
      </c>
    </row>
    <row r="4441" customFormat="false" ht="15" hidden="false" customHeight="false" outlineLevel="1" collapsed="false">
      <c r="A4441" s="7" t="s">
        <v>733</v>
      </c>
      <c r="B4441" s="8" t="s">
        <v>11</v>
      </c>
      <c r="C4441" s="61" t="n">
        <f aca="false">C4438+C4439-C4440</f>
        <v>612682.91635274</v>
      </c>
      <c r="D4441" s="61" t="n">
        <f aca="false">D4438+D4439-D4440</f>
        <v>1347252.57337329</v>
      </c>
      <c r="E4441" s="61" t="n">
        <f aca="false">E4438+E4439-E4440</f>
        <v>2125913.64463613</v>
      </c>
      <c r="F4441" s="61" t="n">
        <f aca="false">F4438+F4439-F4440</f>
        <v>2875500.97598745</v>
      </c>
      <c r="G4441" s="61" t="n">
        <f aca="false">G4438+G4439-G4440</f>
        <v>3513826.45023685</v>
      </c>
      <c r="H4441" s="2" t="s">
        <v>1391</v>
      </c>
    </row>
    <row r="4442" customFormat="false" ht="15" hidden="false" customHeight="false" outlineLevel="1" collapsed="false">
      <c r="A4442" s="7" t="s">
        <v>734</v>
      </c>
      <c r="B4442" s="8" t="s">
        <v>11</v>
      </c>
      <c r="C4442" s="61" t="n">
        <f aca="false">MAX(0,C4437)-C4440</f>
        <v>0</v>
      </c>
      <c r="D4442" s="61" t="n">
        <f aca="false">MAX(0,D4437)-D4440</f>
        <v>0</v>
      </c>
      <c r="E4442" s="61" t="n">
        <f aca="false">MAX(0,E4437)-E4440</f>
        <v>0</v>
      </c>
      <c r="F4442" s="61" t="n">
        <f aca="false">MAX(0,F4437)-F4440</f>
        <v>0</v>
      </c>
      <c r="G4442" s="61" t="n">
        <f aca="false">MAX(0,G4437)-G4440</f>
        <v>0</v>
      </c>
      <c r="H4442" s="2" t="s">
        <v>1392</v>
      </c>
    </row>
    <row r="4443" customFormat="false" ht="15" hidden="false" customHeight="false" outlineLevel="1" collapsed="false">
      <c r="A4443" s="7" t="s">
        <v>735</v>
      </c>
      <c r="B4443" s="8" t="s">
        <v>11</v>
      </c>
      <c r="C4443" s="61" t="n">
        <f aca="false">Pressupostos!$C$172*MIN(C4442,Pressupostos!$C$173)+Pressupostos!$C$467*MAX(0,C4442-Pressupostos!$C$173)</f>
        <v>0</v>
      </c>
      <c r="D4443" s="61" t="n">
        <f aca="false">Pressupostos!$C$172*MIN(D4442,Pressupostos!$C$173)+Pressupostos!$D$467*MAX(0,D4442-Pressupostos!$C$173)</f>
        <v>0</v>
      </c>
      <c r="E4443" s="61" t="n">
        <f aca="false">Pressupostos!$C$172*MIN(E4442,Pressupostos!$C$173)+Pressupostos!$E$467*MAX(0,E4442-Pressupostos!$C$173)</f>
        <v>0</v>
      </c>
      <c r="F4443" s="61" t="n">
        <f aca="false">Pressupostos!$C$172*MIN(F4442,Pressupostos!$C$173)+Pressupostos!$F$467*MAX(0,F4442-Pressupostos!$C$173)</f>
        <v>0</v>
      </c>
      <c r="G4443" s="61" t="n">
        <f aca="false">Pressupostos!$C$172*MIN(G4442,Pressupostos!$C$173)+Pressupostos!$G$467*MAX(0,G4442-Pressupostos!$C$173)</f>
        <v>0</v>
      </c>
      <c r="H4443" s="2" t="s">
        <v>1393</v>
      </c>
    </row>
    <row r="4444" customFormat="false" ht="15" hidden="false" customHeight="false" outlineLevel="1" collapsed="false">
      <c r="A4444" s="7" t="s">
        <v>736</v>
      </c>
      <c r="B4444" s="8" t="s">
        <v>11</v>
      </c>
      <c r="C4444" s="61" t="n">
        <f aca="false">Pressupostos!$C$174*MAX(0,C4437)</f>
        <v>0</v>
      </c>
      <c r="D4444" s="61" t="n">
        <f aca="false">Pressupostos!$C$174*MAX(0,D4437)</f>
        <v>0</v>
      </c>
      <c r="E4444" s="61" t="n">
        <f aca="false">Pressupostos!$C$174*MAX(0,E4437)</f>
        <v>0</v>
      </c>
      <c r="F4444" s="61" t="n">
        <f aca="false">Pressupostos!$C$174*MAX(0,F4437)</f>
        <v>0</v>
      </c>
      <c r="G4444" s="61" t="n">
        <f aca="false">Pressupostos!$C$174*MAX(0,G4437)</f>
        <v>0</v>
      </c>
      <c r="H4444" s="2" t="s">
        <v>1394</v>
      </c>
    </row>
    <row r="4445" customFormat="false" ht="15" hidden="false" customHeight="false" outlineLevel="1" collapsed="false">
      <c r="A4445" s="7" t="s">
        <v>737</v>
      </c>
      <c r="B4445" s="8" t="s">
        <v>11</v>
      </c>
      <c r="C4445" s="61" t="n">
        <f aca="false">Pressupostos!$C$176*MAX(0,MIN(C4437,Pressupostos!$C$177)-Pressupostos!$C$175)+Pressupostos!$C$178*MAX(0,MIN(C4437,Pressupostos!$C$179)-Pressupostos!$C$177)+Pressupostos!$C$180*MAX(0,C4437-Pressupostos!$C$179)</f>
        <v>0</v>
      </c>
      <c r="D4445" s="61" t="n">
        <f aca="false">Pressupostos!$C$176*MAX(0,MIN(D4437,Pressupostos!$C$177)-Pressupostos!$C$175)+Pressupostos!$C$178*MAX(0,MIN(D4437,Pressupostos!$C$179)-Pressupostos!$C$177)+Pressupostos!$C$180*MAX(0,D4437-Pressupostos!$C$179)</f>
        <v>0</v>
      </c>
      <c r="E4445" s="61" t="n">
        <f aca="false">Pressupostos!$C$176*MAX(0,MIN(E4437,Pressupostos!$C$177)-Pressupostos!$C$175)+Pressupostos!$C$178*MAX(0,MIN(E4437,Pressupostos!$C$179)-Pressupostos!$C$177)+Pressupostos!$C$180*MAX(0,E4437-Pressupostos!$C$179)</f>
        <v>0</v>
      </c>
      <c r="F4445" s="61" t="n">
        <f aca="false">Pressupostos!$C$176*MAX(0,MIN(F4437,Pressupostos!$C$177)-Pressupostos!$C$175)+Pressupostos!$C$178*MAX(0,MIN(F4437,Pressupostos!$C$179)-Pressupostos!$C$177)+Pressupostos!$C$180*MAX(0,F4437-Pressupostos!$C$179)</f>
        <v>0</v>
      </c>
      <c r="G4445" s="61" t="n">
        <f aca="false">Pressupostos!$C$176*MAX(0,MIN(G4437,Pressupostos!$C$177)-Pressupostos!$C$175)+Pressupostos!$C$178*MAX(0,MIN(G4437,Pressupostos!$C$179)-Pressupostos!$C$177)+Pressupostos!$C$180*MAX(0,G4437-Pressupostos!$C$179)</f>
        <v>0</v>
      </c>
      <c r="H4445" s="2" t="s">
        <v>1395</v>
      </c>
    </row>
    <row r="4446" customFormat="false" ht="15" hidden="false" customHeight="false" outlineLevel="1" collapsed="false">
      <c r="A4446" s="7" t="s">
        <v>738</v>
      </c>
      <c r="B4446" s="8" t="s">
        <v>11</v>
      </c>
      <c r="C4446" s="61" t="n">
        <f aca="false">C4443+C4444+C4445</f>
        <v>0</v>
      </c>
      <c r="D4446" s="61" t="n">
        <f aca="false">D4443+D4444+D4445</f>
        <v>0</v>
      </c>
      <c r="E4446" s="61" t="n">
        <f aca="false">E4443+E4444+E4445</f>
        <v>0</v>
      </c>
      <c r="F4446" s="61" t="n">
        <f aca="false">F4443+F4444+F4445</f>
        <v>0</v>
      </c>
      <c r="G4446" s="61" t="n">
        <f aca="false">G4443+G4444+G4445</f>
        <v>0</v>
      </c>
      <c r="H4446" s="2" t="s">
        <v>1396</v>
      </c>
    </row>
    <row r="4447" customFormat="false" ht="15" hidden="false" customHeight="false" outlineLevel="0" collapsed="false">
      <c r="A4447" s="3" t="s">
        <v>1397</v>
      </c>
      <c r="B4447" s="4"/>
      <c r="C4447" s="4"/>
      <c r="D4447" s="4"/>
      <c r="E4447" s="4"/>
      <c r="F4447" s="4"/>
      <c r="G4447" s="4"/>
      <c r="H4447" s="4"/>
    </row>
    <row r="4448" customFormat="false" ht="15" hidden="false" customHeight="false" outlineLevel="1" collapsed="false">
      <c r="A4448" s="7" t="s">
        <v>738</v>
      </c>
      <c r="B4448" s="8" t="s">
        <v>11</v>
      </c>
      <c r="C4448" s="61" t="n">
        <f aca="false">-C4446</f>
        <v>-0</v>
      </c>
      <c r="D4448" s="61" t="n">
        <f aca="false">-D4446</f>
        <v>-0</v>
      </c>
      <c r="E4448" s="61" t="n">
        <f aca="false">-E4446</f>
        <v>-0</v>
      </c>
      <c r="F4448" s="61" t="n">
        <f aca="false">-F4446</f>
        <v>-0</v>
      </c>
      <c r="G4448" s="61" t="n">
        <f aca="false">-G4446</f>
        <v>-0</v>
      </c>
      <c r="H4448" s="2" t="s">
        <v>1398</v>
      </c>
    </row>
    <row r="4449" customFormat="false" ht="15" hidden="false" customHeight="false" outlineLevel="1" collapsed="false">
      <c r="A4449" s="56" t="s">
        <v>740</v>
      </c>
      <c r="B4449" s="57" t="s">
        <v>11</v>
      </c>
      <c r="C4449" s="62" t="n">
        <f aca="false">C4435+C4448</f>
        <v>-612682.91635274</v>
      </c>
      <c r="D4449" s="62" t="n">
        <f aca="false">D4435+D4448</f>
        <v>-734569.657020548</v>
      </c>
      <c r="E4449" s="62" t="n">
        <f aca="false">E4435+E4448</f>
        <v>-778661.071262843</v>
      </c>
      <c r="F4449" s="62" t="n">
        <f aca="false">F4435+F4448</f>
        <v>-749587.331351316</v>
      </c>
      <c r="G4449" s="62" t="n">
        <f aca="false">G4435+G4448</f>
        <v>-638325.474249407</v>
      </c>
      <c r="H4449" s="2" t="s">
        <v>1399</v>
      </c>
    </row>
    <row r="4450" customFormat="false" ht="15" hidden="false" customHeight="false" outlineLevel="0" collapsed="false">
      <c r="A4450" s="3" t="s">
        <v>1400</v>
      </c>
      <c r="B4450" s="4"/>
      <c r="C4450" s="4"/>
      <c r="D4450" s="4"/>
      <c r="E4450" s="4"/>
      <c r="F4450" s="4"/>
      <c r="G4450" s="4"/>
      <c r="H4450" s="4"/>
    </row>
    <row r="4451" customFormat="false" ht="15" hidden="false" customHeight="false" outlineLevel="1" collapsed="false">
      <c r="A4451" s="7" t="s">
        <v>744</v>
      </c>
      <c r="B4451" s="8" t="s">
        <v>11</v>
      </c>
      <c r="C4451" s="61" t="n">
        <f aca="false">C4223*1000*((C4241+C4244)*C4247/365)+C4224*1000*((C4264+C4267)*C4270/365)+C4226*1000*((C4287+C4290)*C4293/365)</f>
        <v>34293.698630137</v>
      </c>
      <c r="D4451" s="61" t="n">
        <f aca="false">D4223*1000*((D4241+D4244)*D4247/365)+D4224*1000*((D4264+D4267)*D4270/365)+D4226*1000*((D4287+D4290)*D4293/365)</f>
        <v>184524.657534247</v>
      </c>
      <c r="E4451" s="61" t="n">
        <f aca="false">E4223*1000*((E4241+E4244)*E4247/365)+E4224*1000*((E4264+E4267)*E4270/365)+E4226*1000*((E4287+E4290)*E4293/365)</f>
        <v>281132.876712329</v>
      </c>
      <c r="F4451" s="61" t="n">
        <f aca="false">F4223*1000*((F4241+F4244)*F4247/365)+F4224*1000*((F4264+F4267)*F4270/365)+F4226*1000*((F4287+F4290)*F4293/365)</f>
        <v>468098.630136986</v>
      </c>
      <c r="G4451" s="61" t="n">
        <f aca="false">G4223*1000*((G4241+G4244)*G4247/365)+G4224*1000*((G4264+G4267)*G4270/365)+G4226*1000*((G4287+G4290)*G4293/365)</f>
        <v>702000</v>
      </c>
      <c r="H4451" s="2" t="s">
        <v>1401</v>
      </c>
    </row>
    <row r="4452" customFormat="false" ht="15" hidden="false" customHeight="false" outlineLevel="1" collapsed="false">
      <c r="A4452" s="7" t="s">
        <v>745</v>
      </c>
      <c r="B4452" s="8" t="s">
        <v>11</v>
      </c>
      <c r="C4452" s="61" t="n">
        <f aca="false">C4451+C4236*1000*Pressupostos!$C$92*Pressupostos!$C$95/365</f>
        <v>34293.698630137</v>
      </c>
      <c r="D4452" s="61" t="n">
        <f aca="false">D4451+D4236*1000*Pressupostos!$C$92*Pressupostos!$C$95/365</f>
        <v>184524.657534247</v>
      </c>
      <c r="E4452" s="61" t="n">
        <f aca="false">E4451+E4236*1000*Pressupostos!$C$92*Pressupostos!$C$95/365</f>
        <v>281132.876712329</v>
      </c>
      <c r="F4452" s="61" t="n">
        <f aca="false">F4451+F4236*1000*Pressupostos!$C$92*Pressupostos!$C$95/365</f>
        <v>485358.904109589</v>
      </c>
      <c r="G4452" s="61" t="n">
        <f aca="false">G4451+G4236*1000*Pressupostos!$C$92*Pressupostos!$C$95/365</f>
        <v>745150.684931507</v>
      </c>
      <c r="H4452" s="2" t="s">
        <v>1402</v>
      </c>
    </row>
    <row r="4453" customFormat="false" ht="15" hidden="false" customHeight="false" outlineLevel="1" collapsed="false">
      <c r="A4453" s="7" t="s">
        <v>746</v>
      </c>
      <c r="B4453" s="8" t="s">
        <v>11</v>
      </c>
      <c r="C4453" s="61" t="n">
        <f aca="false">C4223*1000*(C4243*C4248/365)+C4224*1000*(C4266*C4271/365)+C4226*1000*(C4289*C4294/365)+C4318*Pressupostos!$C$96/365+(C4320+C4321)*Pressupostos!$C$82/365</f>
        <v>39130.498630137</v>
      </c>
      <c r="D4453" s="61" t="n">
        <f aca="false">D4223*1000*(D4243*D4248/365)+D4224*1000*(D4266*D4271/365)+D4226*1000*(D4289*D4294/365)+D4318*Pressupostos!$C$96/365+(D4320+D4321)*Pressupostos!$C$82/365</f>
        <v>260470.191780822</v>
      </c>
      <c r="E4453" s="61" t="n">
        <f aca="false">E4223*1000*(E4243*E4248/365)+E4224*1000*(E4266*E4271/365)+E4226*1000*(E4289*E4294/365)+E4318*Pressupostos!$C$96/365+(E4320+E4321)*Pressupostos!$C$82/365</f>
        <v>526639.232876712</v>
      </c>
      <c r="F4453" s="61" t="n">
        <f aca="false">F4223*1000*(F4243*F4248/365)+F4224*1000*(F4266*F4271/365)+F4226*1000*(F4289*F4294/365)+F4318*Pressupostos!$C$96/365+(F4320+F4321)*Pressupostos!$C$82/365</f>
        <v>886141.260273973</v>
      </c>
      <c r="G4453" s="61" t="n">
        <f aca="false">G4223*1000*(G4243*G4248/365)+G4224*1000*(G4266*G4271/365)+G4226*1000*(G4289*G4294/365)+G4318*Pressupostos!$C$96/365+(G4320+G4321)*Pressupostos!$C$82/365</f>
        <v>1346642.60273973</v>
      </c>
      <c r="H4453" s="2" t="s">
        <v>1403</v>
      </c>
    </row>
    <row r="4454" customFormat="false" ht="15" hidden="false" customHeight="false" outlineLevel="1" collapsed="false">
      <c r="A4454" s="7" t="s">
        <v>747</v>
      </c>
      <c r="B4454" s="8" t="s">
        <v>11</v>
      </c>
      <c r="C4454" s="61" t="n">
        <f aca="false">C4223*1000*((C4241+C4244)*Pressupostos!$C$72/365)+C4224*1000*((C4264+C4267)*Pressupostos!$C$72/365)+C4226*1000*((C4287+C4290)*Pressupostos!$C$72/365)+C4236*1000*Pressupostos!$C$92*Pressupostos!$C$97/365</f>
        <v>20140.2739726027</v>
      </c>
      <c r="D4454" s="61" t="n">
        <f aca="false">D4223*1000*((D4241+D4244)*Pressupostos!$C$72/365)+D4224*1000*((D4264+D4267)*Pressupostos!$C$72/365)+D4226*1000*((D4287+D4290)*Pressupostos!$C$72/365)+D4236*1000*Pressupostos!$C$92*Pressupostos!$C$97/365</f>
        <v>131449.315068493</v>
      </c>
      <c r="E4454" s="61" t="n">
        <f aca="false">E4223*1000*((E4241+E4244)*Pressupostos!$C$72/365)+E4224*1000*((E4264+E4267)*Pressupostos!$C$72/365)+E4226*1000*((E4287+E4290)*Pressupostos!$C$72/365)+E4236*1000*Pressupostos!$C$92*Pressupostos!$C$97/365</f>
        <v>266979.452054795</v>
      </c>
      <c r="F4454" s="61" t="n">
        <f aca="false">F4223*1000*((F4241+F4244)*Pressupostos!$C$72/365)+F4224*1000*((F4264+F4267)*Pressupostos!$C$72/365)+F4226*1000*((F4287+F4290)*Pressupostos!$C$72/365)+F4236*1000*Pressupostos!$C$92*Pressupostos!$C$97/365</f>
        <v>454836.98630137</v>
      </c>
      <c r="G4454" s="61" t="n">
        <f aca="false">G4223*1000*((G4241+G4244)*Pressupostos!$C$72/365)+G4224*1000*((G4264+G4267)*Pressupostos!$C$72/365)+G4226*1000*((G4287+G4290)*Pressupostos!$C$72/365)+G4236*1000*Pressupostos!$C$92*Pressupostos!$C$97/365</f>
        <v>695383.561643836</v>
      </c>
      <c r="H4454" s="2" t="s">
        <v>1404</v>
      </c>
    </row>
    <row r="4455" customFormat="false" ht="15" hidden="false" customHeight="false" outlineLevel="1" collapsed="false">
      <c r="A4455" s="56" t="s">
        <v>748</v>
      </c>
      <c r="B4455" s="57" t="s">
        <v>11</v>
      </c>
      <c r="C4455" s="62" t="n">
        <f aca="false">C4452+C4453-C4454</f>
        <v>53283.9232876712</v>
      </c>
      <c r="D4455" s="62" t="n">
        <f aca="false">D4452+D4453-D4454</f>
        <v>313545.534246575</v>
      </c>
      <c r="E4455" s="62" t="n">
        <f aca="false">E4452+E4453-E4454</f>
        <v>540792.657534246</v>
      </c>
      <c r="F4455" s="62" t="n">
        <f aca="false">F4452+F4453-F4454</f>
        <v>916663.178082192</v>
      </c>
      <c r="G4455" s="62" t="n">
        <f aca="false">G4452+G4453-G4454</f>
        <v>1396409.7260274</v>
      </c>
      <c r="H4455" s="2" t="s">
        <v>1405</v>
      </c>
    </row>
    <row r="4456" customFormat="false" ht="15" hidden="false" customHeight="false" outlineLevel="0" collapsed="false">
      <c r="A4456" s="3" t="s">
        <v>1406</v>
      </c>
      <c r="B4456" s="4"/>
      <c r="C4456" s="4"/>
      <c r="D4456" s="4"/>
      <c r="E4456" s="4"/>
      <c r="F4456" s="4"/>
      <c r="G4456" s="4"/>
      <c r="H4456" s="4"/>
    </row>
    <row r="4457" customFormat="false" ht="15" hidden="false" customHeight="false" outlineLevel="1" collapsed="false">
      <c r="A4457" s="56" t="s">
        <v>750</v>
      </c>
      <c r="B4457" s="57" t="s">
        <v>11</v>
      </c>
      <c r="C4457" s="62" t="n">
        <f aca="false">Pressupostos!$C$284*C4455/Pressupostos!$F$31</f>
        <v>0</v>
      </c>
      <c r="D4457" s="62" t="n">
        <f aca="false">Pressupostos!$D$284*D4455/Pressupostos!$F$31</f>
        <v>293948.938356164</v>
      </c>
      <c r="E4457" s="62" t="n">
        <f aca="false">Pressupostos!$E$284*E4455/Pressupostos!$F$31</f>
        <v>506993.116438356</v>
      </c>
      <c r="F4457" s="62" t="n">
        <f aca="false">Pressupostos!$F$284*F4455/Pressupostos!$F$31</f>
        <v>859371.729452055</v>
      </c>
      <c r="G4457" s="62" t="n">
        <f aca="false">Pressupostos!$G$284*G4455/Pressupostos!$F$31</f>
        <v>1309134.11815068</v>
      </c>
      <c r="H4457" s="2" t="s">
        <v>1407</v>
      </c>
    </row>
    <row r="4458" customFormat="false" ht="15" hidden="false" customHeight="false" outlineLevel="1" collapsed="false">
      <c r="A4458" s="7" t="s">
        <v>751</v>
      </c>
      <c r="B4458" s="8" t="s">
        <v>11</v>
      </c>
      <c r="C4458" s="61" t="n">
        <f aca="false">Pressupostos!$C$284*C4455</f>
        <v>0</v>
      </c>
      <c r="D4458" s="61" t="n">
        <f aca="false">Pressupostos!$D$284*D4455</f>
        <v>235159.150684932</v>
      </c>
      <c r="E4458" s="61" t="n">
        <f aca="false">Pressupostos!$E$284*E4455</f>
        <v>405594.493150685</v>
      </c>
      <c r="F4458" s="61" t="n">
        <f aca="false">Pressupostos!$F$284*F4455</f>
        <v>687497.383561644</v>
      </c>
      <c r="G4458" s="61" t="n">
        <f aca="false">Pressupostos!$G$284*G4455</f>
        <v>1047307.29452055</v>
      </c>
      <c r="H4458" s="2" t="s">
        <v>1408</v>
      </c>
    </row>
    <row r="4459" customFormat="false" ht="15" hidden="false" customHeight="false" outlineLevel="1" collapsed="false">
      <c r="A4459" s="7" t="s">
        <v>752</v>
      </c>
      <c r="B4459" s="8" t="s">
        <v>11</v>
      </c>
      <c r="C4459" s="61" t="n">
        <f aca="false">C4457-C4458</f>
        <v>0</v>
      </c>
      <c r="D4459" s="61" t="n">
        <f aca="false">D4457-D4458</f>
        <v>58789.7876712328</v>
      </c>
      <c r="E4459" s="61" t="n">
        <f aca="false">E4457-E4458</f>
        <v>101398.623287671</v>
      </c>
      <c r="F4459" s="61" t="n">
        <f aca="false">F4457-F4458</f>
        <v>171874.345890411</v>
      </c>
      <c r="G4459" s="61" t="n">
        <f aca="false">G4457-G4458</f>
        <v>261826.823630137</v>
      </c>
      <c r="H4459" s="2" t="s">
        <v>1409</v>
      </c>
    </row>
    <row r="4460" customFormat="false" ht="15" hidden="false" customHeight="false" outlineLevel="1" collapsed="false">
      <c r="A4460" s="7" t="s">
        <v>753</v>
      </c>
      <c r="B4460" s="8" t="s">
        <v>11</v>
      </c>
      <c r="C4460" s="61" t="n">
        <f aca="false">C4455-C4458</f>
        <v>53283.9232876712</v>
      </c>
      <c r="D4460" s="61" t="n">
        <f aca="false">D4455-D4458</f>
        <v>78386.3835616438</v>
      </c>
      <c r="E4460" s="61" t="n">
        <f aca="false">E4455-E4458</f>
        <v>135198.164383562</v>
      </c>
      <c r="F4460" s="61" t="n">
        <f aca="false">F4455-F4458</f>
        <v>229165.794520548</v>
      </c>
      <c r="G4460" s="61" t="n">
        <f aca="false">G4455-G4458</f>
        <v>349102.431506849</v>
      </c>
      <c r="H4460" s="2" t="s">
        <v>1410</v>
      </c>
    </row>
    <row r="4461" customFormat="false" ht="15" hidden="false" customHeight="false" outlineLevel="1" collapsed="false">
      <c r="A4461" s="7" t="s">
        <v>754</v>
      </c>
      <c r="B4461" s="8" t="s">
        <v>11</v>
      </c>
      <c r="C4461" s="61" t="n">
        <f aca="false">MAX(0,Pressupostos!$C$108-C4460)</f>
        <v>0</v>
      </c>
      <c r="D4461" s="61" t="n">
        <f aca="false">MAX(0,Pressupostos!$C$108-D4460)</f>
        <v>0</v>
      </c>
      <c r="E4461" s="61" t="n">
        <f aca="false">MAX(0,Pressupostos!$C$108-E4460)</f>
        <v>0</v>
      </c>
      <c r="F4461" s="61" t="n">
        <f aca="false">MAX(0,Pressupostos!$C$108-F4460)</f>
        <v>0</v>
      </c>
      <c r="G4461" s="61" t="n">
        <f aca="false">MAX(0,Pressupostos!$C$108-G4460)</f>
        <v>0</v>
      </c>
      <c r="H4461" s="2" t="s">
        <v>1411</v>
      </c>
    </row>
    <row r="4462" customFormat="false" ht="15" hidden="false" customHeight="false" outlineLevel="1" collapsed="false">
      <c r="A4462" s="7" t="s">
        <v>755</v>
      </c>
      <c r="B4462" s="8" t="s">
        <v>11</v>
      </c>
      <c r="C4462" s="61" t="n">
        <f aca="false">Pressupostos!$C$109*C4457</f>
        <v>0</v>
      </c>
      <c r="D4462" s="61" t="n">
        <f aca="false">Pressupostos!$C$109*D4457</f>
        <v>14697.4469178082</v>
      </c>
      <c r="E4462" s="61" t="n">
        <f aca="false">Pressupostos!$C$109*E4457</f>
        <v>25349.6558219178</v>
      </c>
      <c r="F4462" s="61" t="n">
        <f aca="false">Pressupostos!$C$109*F4457</f>
        <v>42968.5864726027</v>
      </c>
      <c r="G4462" s="61" t="n">
        <f aca="false">Pressupostos!$C$109*G4457</f>
        <v>65456.7059075342</v>
      </c>
      <c r="H4462" s="2" t="s">
        <v>1412</v>
      </c>
    </row>
    <row r="4463" customFormat="false" ht="15" hidden="false" customHeight="false" outlineLevel="1" collapsed="false">
      <c r="A4463" s="2" t="s">
        <v>756</v>
      </c>
      <c r="B4463" s="8" t="s">
        <v>123</v>
      </c>
      <c r="C4463" s="61" t="n">
        <f aca="false">C4457/Pressupostos!$C$112</f>
        <v>0</v>
      </c>
      <c r="D4463" s="61" t="n">
        <f aca="false">D4457/Pressupostos!$C$112</f>
        <v>5.87897876712329</v>
      </c>
      <c r="E4463" s="61" t="n">
        <f aca="false">E4457/Pressupostos!$C$112</f>
        <v>10.1398623287671</v>
      </c>
      <c r="F4463" s="61" t="n">
        <f aca="false">F4457/Pressupostos!$C$112</f>
        <v>17.1874345890411</v>
      </c>
      <c r="G4463" s="61" t="n">
        <f aca="false">G4457/Pressupostos!$C$112</f>
        <v>26.1826823630137</v>
      </c>
      <c r="H4463" s="2" t="s">
        <v>1413</v>
      </c>
    </row>
    <row r="4464" customFormat="false" ht="15" hidden="false" customHeight="false" outlineLevel="0" collapsed="false">
      <c r="A4464" s="3" t="s">
        <v>1414</v>
      </c>
      <c r="B4464" s="4"/>
      <c r="C4464" s="4"/>
      <c r="D4464" s="4"/>
      <c r="E4464" s="4"/>
      <c r="F4464" s="4"/>
      <c r="G4464" s="4"/>
      <c r="H4464" s="4"/>
    </row>
    <row r="4465" customFormat="false" ht="15" hidden="false" customHeight="false" outlineLevel="1" collapsed="false">
      <c r="A4465" s="7" t="s">
        <v>758</v>
      </c>
      <c r="B4465" s="8" t="s">
        <v>11</v>
      </c>
      <c r="C4465" s="61" t="n">
        <f aca="false">C4431</f>
        <v>-586332.91635274</v>
      </c>
      <c r="D4465" s="61" t="n">
        <f aca="false">D4431</f>
        <v>-694819.657020548</v>
      </c>
      <c r="E4465" s="61" t="n">
        <f aca="false">E4431</f>
        <v>-726011.071262843</v>
      </c>
      <c r="F4465" s="61" t="n">
        <f aca="false">F4431</f>
        <v>-706620.66468465</v>
      </c>
      <c r="G4465" s="61" t="n">
        <f aca="false">G4431</f>
        <v>-598542.140916074</v>
      </c>
      <c r="H4465" s="2" t="s">
        <v>1415</v>
      </c>
    </row>
    <row r="4466" customFormat="false" ht="15" hidden="false" customHeight="false" outlineLevel="1" collapsed="false">
      <c r="A4466" s="7" t="s">
        <v>759</v>
      </c>
      <c r="B4466" s="8" t="s">
        <v>11</v>
      </c>
      <c r="C4466" s="61" t="n">
        <f aca="false">-C4446</f>
        <v>-0</v>
      </c>
      <c r="D4466" s="61" t="n">
        <f aca="false">-D4446</f>
        <v>-0</v>
      </c>
      <c r="E4466" s="61" t="n">
        <f aca="false">-E4446</f>
        <v>-0</v>
      </c>
      <c r="F4466" s="61" t="n">
        <f aca="false">-F4446</f>
        <v>-0</v>
      </c>
      <c r="G4466" s="61" t="n">
        <f aca="false">-G4446</f>
        <v>-0</v>
      </c>
      <c r="H4466" s="2" t="s">
        <v>1416</v>
      </c>
    </row>
    <row r="4467" customFormat="false" ht="15" hidden="false" customHeight="false" outlineLevel="1" collapsed="false">
      <c r="A4467" s="7" t="s">
        <v>760</v>
      </c>
      <c r="B4467" s="8" t="s">
        <v>11</v>
      </c>
      <c r="C4467" s="61" t="n">
        <f aca="false">-C4455</f>
        <v>-53283.9232876712</v>
      </c>
      <c r="D4467" s="61" t="n">
        <f aca="false">-(D4455-C4455)</f>
        <v>-260261.610958904</v>
      </c>
      <c r="E4467" s="61" t="n">
        <f aca="false">-(E4455-D4455)</f>
        <v>-227247.123287671</v>
      </c>
      <c r="F4467" s="61" t="n">
        <f aca="false">-(F4455-E4455)</f>
        <v>-375870.520547945</v>
      </c>
      <c r="G4467" s="61" t="n">
        <f aca="false">-(G4455-F4455)</f>
        <v>-479746.547945205</v>
      </c>
      <c r="H4467" s="2" t="s">
        <v>1417</v>
      </c>
    </row>
    <row r="4468" customFormat="false" ht="15" hidden="false" customHeight="false" outlineLevel="1" collapsed="false">
      <c r="A4468" s="7" t="s">
        <v>424</v>
      </c>
      <c r="B4468" s="8" t="s">
        <v>11</v>
      </c>
      <c r="C4468" s="61" t="n">
        <f aca="false">-C4415</f>
        <v>-89000</v>
      </c>
      <c r="D4468" s="61" t="n">
        <f aca="false">-D4415</f>
        <v>-46000</v>
      </c>
      <c r="E4468" s="61" t="n">
        <f aca="false">-E4415</f>
        <v>-44000</v>
      </c>
      <c r="F4468" s="61" t="n">
        <f aca="false">-F4415</f>
        <v>-37000</v>
      </c>
      <c r="G4468" s="61" t="n">
        <f aca="false">-G4415</f>
        <v>-34000</v>
      </c>
      <c r="H4468" s="2" t="s">
        <v>1418</v>
      </c>
    </row>
    <row r="4469" customFormat="false" ht="15" hidden="false" customHeight="false" outlineLevel="1" collapsed="false">
      <c r="A4469" s="7" t="s">
        <v>761</v>
      </c>
      <c r="B4469" s="8" t="s">
        <v>11</v>
      </c>
      <c r="C4469" s="61" t="n">
        <f aca="false">C4465+C4466+C4467+C4468</f>
        <v>-728616.839640411</v>
      </c>
      <c r="D4469" s="61" t="n">
        <f aca="false">D4465+D4466+D4467+D4468</f>
        <v>-1001081.26797945</v>
      </c>
      <c r="E4469" s="61" t="n">
        <f aca="false">E4465+E4466+E4467+E4468</f>
        <v>-997258.194550514</v>
      </c>
      <c r="F4469" s="61" t="n">
        <f aca="false">F4465+F4466+F4467+F4468</f>
        <v>-1119491.1852326</v>
      </c>
      <c r="G4469" s="61" t="n">
        <f aca="false">G4465+G4466+G4467+G4468</f>
        <v>-1112288.68886128</v>
      </c>
      <c r="H4469" s="2" t="s">
        <v>1419</v>
      </c>
    </row>
    <row r="4470" customFormat="false" ht="15" hidden="false" customHeight="false" outlineLevel="1" collapsed="false">
      <c r="A4470" s="7" t="s">
        <v>762</v>
      </c>
      <c r="B4470" s="8" t="s">
        <v>11</v>
      </c>
      <c r="C4470" s="61" t="n">
        <f aca="false">C4457</f>
        <v>0</v>
      </c>
      <c r="D4470" s="61" t="n">
        <f aca="false">D4457-C4457</f>
        <v>293948.938356164</v>
      </c>
      <c r="E4470" s="61" t="n">
        <f aca="false">E4457-D4457</f>
        <v>213044.178082192</v>
      </c>
      <c r="F4470" s="61" t="n">
        <f aca="false">F4457-E4457</f>
        <v>352378.613013699</v>
      </c>
      <c r="G4470" s="61" t="n">
        <f aca="false">G4457-F4457</f>
        <v>449762.38869863</v>
      </c>
      <c r="H4470" s="2" t="s">
        <v>1420</v>
      </c>
    </row>
    <row r="4471" customFormat="false" ht="15" hidden="false" customHeight="false" outlineLevel="1" collapsed="false">
      <c r="A4471" s="7" t="s">
        <v>763</v>
      </c>
      <c r="B4471" s="8" t="s">
        <v>11</v>
      </c>
      <c r="C4471" s="61" t="n">
        <f aca="false">-C4459</f>
        <v>-0</v>
      </c>
      <c r="D4471" s="61" t="n">
        <f aca="false">-(D4459-C4459)</f>
        <v>-58789.7876712328</v>
      </c>
      <c r="E4471" s="61" t="n">
        <f aca="false">-(E4459-D4459)</f>
        <v>-42608.8356164384</v>
      </c>
      <c r="F4471" s="61" t="n">
        <f aca="false">-(F4459-E4459)</f>
        <v>-70475.7226027398</v>
      </c>
      <c r="G4471" s="61" t="n">
        <f aca="false">-(G4459-F4459)</f>
        <v>-89952.4777397258</v>
      </c>
      <c r="H4471" s="2" t="s">
        <v>1421</v>
      </c>
    </row>
    <row r="4472" customFormat="false" ht="15" hidden="false" customHeight="false" outlineLevel="1" collapsed="false">
      <c r="A4472" s="7" t="s">
        <v>764</v>
      </c>
      <c r="B4472" s="8" t="s">
        <v>11</v>
      </c>
      <c r="C4472" s="61" t="n">
        <f aca="false">-C4462</f>
        <v>-0</v>
      </c>
      <c r="D4472" s="61" t="n">
        <f aca="false">-(D4462-C4462)</f>
        <v>-14697.4469178082</v>
      </c>
      <c r="E4472" s="61" t="n">
        <f aca="false">-(E4462-D4462)</f>
        <v>-10652.2089041096</v>
      </c>
      <c r="F4472" s="61" t="n">
        <f aca="false">-(F4462-E4462)</f>
        <v>-17618.9306506849</v>
      </c>
      <c r="G4472" s="61" t="n">
        <f aca="false">-(G4462-F4462)</f>
        <v>-22488.1194349315</v>
      </c>
      <c r="H4472" s="2" t="s">
        <v>1422</v>
      </c>
    </row>
    <row r="4473" customFormat="false" ht="15" hidden="false" customHeight="false" outlineLevel="1" collapsed="false">
      <c r="A4473" s="7" t="s">
        <v>765</v>
      </c>
      <c r="B4473" s="8" t="s">
        <v>11</v>
      </c>
      <c r="C4473" s="61" t="n">
        <f aca="false">-(C4461-Pressupostos!$C$108)</f>
        <v>50000</v>
      </c>
      <c r="D4473" s="61" t="n">
        <f aca="false">-(D4461-C4461)</f>
        <v>-0</v>
      </c>
      <c r="E4473" s="61" t="n">
        <f aca="false">-(E4461-D4461)</f>
        <v>-0</v>
      </c>
      <c r="F4473" s="61" t="n">
        <f aca="false">-(F4461-E4461)</f>
        <v>-0</v>
      </c>
      <c r="G4473" s="61" t="n">
        <f aca="false">-(G4461-F4461)</f>
        <v>-0</v>
      </c>
      <c r="H4473" s="2" t="s">
        <v>1423</v>
      </c>
    </row>
    <row r="4474" customFormat="false" ht="15" hidden="false" customHeight="false" outlineLevel="1" collapsed="false">
      <c r="A4474" s="56" t="s">
        <v>766</v>
      </c>
      <c r="B4474" s="57" t="s">
        <v>11</v>
      </c>
      <c r="C4474" s="62" t="n">
        <f aca="false">C4469+C4470+C4471+C4472+C4473</f>
        <v>-678616.839640411</v>
      </c>
      <c r="D4474" s="62" t="n">
        <f aca="false">D4469+D4470+D4471+D4472+D4473</f>
        <v>-780619.564212329</v>
      </c>
      <c r="E4474" s="62" t="n">
        <f aca="false">E4469+E4470+E4471+E4472+E4473</f>
        <v>-837475.06098887</v>
      </c>
      <c r="F4474" s="62" t="n">
        <f aca="false">F4469+F4470+F4471+F4472+F4473</f>
        <v>-855207.225472321</v>
      </c>
      <c r="G4474" s="62" t="n">
        <f aca="false">G4469+G4470+G4471+G4472+G4473</f>
        <v>-774966.897337307</v>
      </c>
      <c r="H4474" s="2" t="s">
        <v>1424</v>
      </c>
    </row>
    <row r="4475" customFormat="false" ht="15" hidden="false" customHeight="false" outlineLevel="1" collapsed="false">
      <c r="A4475" s="56" t="s">
        <v>767</v>
      </c>
      <c r="B4475" s="57" t="s">
        <v>11</v>
      </c>
      <c r="C4475" s="62" t="n">
        <f aca="false">C4474</f>
        <v>-678616.839640411</v>
      </c>
      <c r="D4475" s="62" t="n">
        <f aca="false">C4475+D4474</f>
        <v>-1459236.40385274</v>
      </c>
      <c r="E4475" s="62" t="n">
        <f aca="false">D4475+E4474</f>
        <v>-2296711.46484161</v>
      </c>
      <c r="F4475" s="62" t="n">
        <f aca="false">E4475+F4474</f>
        <v>-3151918.69031393</v>
      </c>
      <c r="G4475" s="62" t="n">
        <f aca="false">F4475+G4474</f>
        <v>-3926885.58765124</v>
      </c>
      <c r="H4475" s="2" t="s">
        <v>1425</v>
      </c>
    </row>
    <row r="4476" customFormat="false" ht="15" hidden="false" customHeight="false" outlineLevel="1" collapsed="false">
      <c r="A4476" s="8" t="s">
        <v>768</v>
      </c>
      <c r="B4476" s="8" t="s">
        <v>11</v>
      </c>
      <c r="C4476" s="70" t="n">
        <f aca="false">ROUND(C4431-C4415-C4446-(MAX(C4460,Pressupostos!$C$108)-Pressupostos!$C$108)-(C4462)-C4474,6)</f>
        <v>0</v>
      </c>
      <c r="D4476" s="70" t="n">
        <f aca="false">ROUND(D4431-D4415-D4446-(MAX(D4460,Pressupostos!$C$108)-MAX(C4460,Pressupostos!$C$108))-(D4462-C4462)-D4474,6)</f>
        <v>0</v>
      </c>
      <c r="E4476" s="70" t="n">
        <f aca="false">ROUND(E4431-E4415-E4446-(MAX(E4460,Pressupostos!$C$108)-MAX(D4460,Pressupostos!$C$108))-(E4462-D4462)-E4474,6)</f>
        <v>0</v>
      </c>
      <c r="F4476" s="70" t="n">
        <f aca="false">ROUND(F4431-F4415-F4446-(MAX(F4460,Pressupostos!$C$108)-MAX(E4460,Pressupostos!$C$108))-(F4462-E4462)-F4474,6)</f>
        <v>0</v>
      </c>
      <c r="G4476" s="70" t="n">
        <f aca="false">ROUND(G4431-G4415-G4446-(MAX(G4460,Pressupostos!$C$108)-MAX(F4460,Pressupostos!$C$108))-(G4462-F4462)-G4474,6)</f>
        <v>0</v>
      </c>
      <c r="H4476" s="2" t="s">
        <v>1426</v>
      </c>
    </row>
    <row r="4477" customFormat="false" ht="15" hidden="false" customHeight="false" outlineLevel="0" collapsed="false">
      <c r="A4477" s="3" t="s">
        <v>1427</v>
      </c>
      <c r="B4477" s="4"/>
      <c r="C4477" s="4"/>
      <c r="D4477" s="4"/>
      <c r="E4477" s="4"/>
      <c r="F4477" s="4"/>
      <c r="G4477" s="4"/>
      <c r="H4477" s="4"/>
    </row>
    <row r="4478" customFormat="false" ht="15" hidden="false" customHeight="false" outlineLevel="1" collapsed="false">
      <c r="A4478" s="7" t="s">
        <v>770</v>
      </c>
      <c r="B4478" s="8" t="s">
        <v>11</v>
      </c>
      <c r="C4478" s="61" t="n">
        <f aca="false">0</f>
        <v>0</v>
      </c>
      <c r="D4478" s="61" t="n">
        <f aca="false">C4483</f>
        <v>276383.160359589</v>
      </c>
      <c r="E4478" s="61" t="n">
        <f aca="false">D4483</f>
        <v>150000</v>
      </c>
      <c r="F4478" s="61" t="n">
        <f aca="false">E4483</f>
        <v>150000</v>
      </c>
      <c r="G4478" s="61" t="n">
        <f aca="false">F4483</f>
        <v>150000</v>
      </c>
      <c r="H4478" s="2" t="s">
        <v>1428</v>
      </c>
    </row>
    <row r="4479" customFormat="false" ht="15" hidden="false" customHeight="false" outlineLevel="1" collapsed="false">
      <c r="A4479" s="7" t="s">
        <v>771</v>
      </c>
      <c r="B4479" s="8" t="s">
        <v>11</v>
      </c>
      <c r="C4479" s="61" t="n">
        <f aca="false">-(Pressupostos!$C$159+Pressupostos!$C$160+Pressupostos!$C$161+Pressupostos!$C$162+Pressupostos!$C$163+Pressupostos!$C$108)</f>
        <v>-145000</v>
      </c>
      <c r="D4479" s="61" t="n">
        <f aca="false">0</f>
        <v>0</v>
      </c>
      <c r="E4479" s="61" t="n">
        <f aca="false">0</f>
        <v>0</v>
      </c>
      <c r="F4479" s="61" t="n">
        <f aca="false">0</f>
        <v>0</v>
      </c>
      <c r="G4479" s="61" t="n">
        <f aca="false">0</f>
        <v>0</v>
      </c>
      <c r="H4479" s="2" t="s">
        <v>1429</v>
      </c>
    </row>
    <row r="4480" customFormat="false" ht="15" hidden="false" customHeight="false" outlineLevel="1" collapsed="false">
      <c r="A4480" s="7" t="s">
        <v>772</v>
      </c>
      <c r="B4480" s="8" t="s">
        <v>11</v>
      </c>
      <c r="C4480" s="53" t="n">
        <f aca="false">Pressupostos!$F$32</f>
        <v>1100000</v>
      </c>
      <c r="D4480" s="61" t="n">
        <f aca="false">0</f>
        <v>0</v>
      </c>
      <c r="E4480" s="61" t="n">
        <f aca="false">0</f>
        <v>0</v>
      </c>
      <c r="F4480" s="61" t="n">
        <f aca="false">0</f>
        <v>0</v>
      </c>
      <c r="G4480" s="61" t="n">
        <f aca="false">0</f>
        <v>0</v>
      </c>
      <c r="H4480" s="2" t="s">
        <v>1430</v>
      </c>
    </row>
    <row r="4481" customFormat="false" ht="15" hidden="false" customHeight="false" outlineLevel="1" collapsed="false">
      <c r="A4481" s="7" t="s">
        <v>773</v>
      </c>
      <c r="B4481" s="8" t="s">
        <v>11</v>
      </c>
      <c r="C4481" s="61" t="n">
        <f aca="false">C4478+C4479+C4480+C4474</f>
        <v>276383.160359589</v>
      </c>
      <c r="D4481" s="61" t="n">
        <f aca="false">D4478+D4479+D4480+D4474</f>
        <v>-504236.40385274</v>
      </c>
      <c r="E4481" s="61" t="n">
        <f aca="false">E4478+E4479+E4480+E4474</f>
        <v>-687475.06098887</v>
      </c>
      <c r="F4481" s="61" t="n">
        <f aca="false">F4478+F4479+F4480+F4474</f>
        <v>-705207.225472321</v>
      </c>
      <c r="G4481" s="61" t="n">
        <f aca="false">G4478+G4479+G4480+G4474</f>
        <v>-624966.897337307</v>
      </c>
      <c r="H4481" s="2" t="s">
        <v>1431</v>
      </c>
    </row>
    <row r="4482" customFormat="false" ht="15" hidden="false" customHeight="false" outlineLevel="1" collapsed="false">
      <c r="A4482" s="56" t="s">
        <v>774</v>
      </c>
      <c r="B4482" s="57" t="s">
        <v>11</v>
      </c>
      <c r="C4482" s="62" t="n">
        <f aca="false">MAX(0,Pressupostos!$C$170-C4481)</f>
        <v>0</v>
      </c>
      <c r="D4482" s="62" t="n">
        <f aca="false">MAX(0,Pressupostos!$C$170-D4481)</f>
        <v>654236.40385274</v>
      </c>
      <c r="E4482" s="62" t="n">
        <f aca="false">MAX(0,Pressupostos!$C$170-E4481)</f>
        <v>837475.06098887</v>
      </c>
      <c r="F4482" s="62" t="n">
        <f aca="false">MAX(0,Pressupostos!$C$170-F4481)</f>
        <v>855207.225472321</v>
      </c>
      <c r="G4482" s="62" t="n">
        <f aca="false">MAX(0,Pressupostos!$C$170-G4481)</f>
        <v>774966.897337307</v>
      </c>
      <c r="H4482" s="2" t="s">
        <v>1432</v>
      </c>
    </row>
    <row r="4483" customFormat="false" ht="15" hidden="false" customHeight="false" outlineLevel="1" collapsed="false">
      <c r="A4483" s="56" t="s">
        <v>775</v>
      </c>
      <c r="B4483" s="57" t="s">
        <v>11</v>
      </c>
      <c r="C4483" s="62" t="n">
        <f aca="false">C4481+C4482</f>
        <v>276383.160359589</v>
      </c>
      <c r="D4483" s="62" t="n">
        <f aca="false">D4481+D4482</f>
        <v>150000</v>
      </c>
      <c r="E4483" s="62" t="n">
        <f aca="false">E4481+E4482</f>
        <v>150000</v>
      </c>
      <c r="F4483" s="62" t="n">
        <f aca="false">F4481+F4482</f>
        <v>150000</v>
      </c>
      <c r="G4483" s="62" t="n">
        <f aca="false">G4481+G4482</f>
        <v>150000</v>
      </c>
      <c r="H4483" s="2" t="s">
        <v>1433</v>
      </c>
    </row>
    <row r="4484" customFormat="false" ht="15" hidden="false" customHeight="false" outlineLevel="1" collapsed="false">
      <c r="A4484" s="7" t="s">
        <v>776</v>
      </c>
      <c r="B4484" s="8" t="s">
        <v>11</v>
      </c>
      <c r="C4484" s="61" t="n">
        <f aca="false">C4459+C4462+C4461</f>
        <v>0</v>
      </c>
      <c r="D4484" s="61" t="n">
        <f aca="false">D4459+D4462+D4461</f>
        <v>73487.2345890411</v>
      </c>
      <c r="E4484" s="61" t="n">
        <f aca="false">E4459+E4462+E4461</f>
        <v>126748.279109589</v>
      </c>
      <c r="F4484" s="61" t="n">
        <f aca="false">F4459+F4462+F4461</f>
        <v>214842.932363014</v>
      </c>
      <c r="G4484" s="61" t="n">
        <f aca="false">G4459+G4462+G4461</f>
        <v>327283.529537671</v>
      </c>
      <c r="H4484" s="2" t="s">
        <v>1434</v>
      </c>
    </row>
    <row r="4485" customFormat="false" ht="15" hidden="false" customHeight="false" outlineLevel="1" collapsed="false">
      <c r="A4485" s="7" t="s">
        <v>777</v>
      </c>
      <c r="B4485" s="8" t="s">
        <v>11</v>
      </c>
      <c r="C4485" s="61" t="n">
        <f aca="false">C4483+C4484</f>
        <v>276383.160359589</v>
      </c>
      <c r="D4485" s="61" t="n">
        <f aca="false">D4483+D4484</f>
        <v>223487.234589041</v>
      </c>
      <c r="E4485" s="61" t="n">
        <f aca="false">E4483+E4484</f>
        <v>276748.279109589</v>
      </c>
      <c r="F4485" s="61" t="n">
        <f aca="false">F4483+F4484</f>
        <v>364842.932363014</v>
      </c>
      <c r="G4485" s="61" t="n">
        <f aca="false">G4483+G4484</f>
        <v>477283.529537671</v>
      </c>
      <c r="H4485" s="2" t="s">
        <v>1435</v>
      </c>
    </row>
    <row r="4486" customFormat="false" ht="15" hidden="false" customHeight="false" outlineLevel="1" collapsed="false">
      <c r="A4486" s="7" t="s">
        <v>778</v>
      </c>
      <c r="B4486" s="8" t="s">
        <v>11</v>
      </c>
      <c r="C4486" s="61" t="n">
        <f aca="false">C4480+C4482</f>
        <v>1100000</v>
      </c>
      <c r="D4486" s="61" t="n">
        <f aca="false">C4486+D4480+D4482</f>
        <v>1754236.40385274</v>
      </c>
      <c r="E4486" s="61" t="n">
        <f aca="false">D4486+E4480+E4482</f>
        <v>2591711.46484161</v>
      </c>
      <c r="F4486" s="61" t="n">
        <f aca="false">E4486+F4480+F4482</f>
        <v>3446918.69031393</v>
      </c>
      <c r="G4486" s="61" t="n">
        <f aca="false">F4486+G4480+G4482</f>
        <v>4221885.58765124</v>
      </c>
      <c r="H4486" s="2" t="s">
        <v>1436</v>
      </c>
    </row>
    <row r="4487" customFormat="false" ht="15" hidden="false" customHeight="false" outlineLevel="0" collapsed="false">
      <c r="A4487" s="3" t="s">
        <v>1437</v>
      </c>
      <c r="B4487" s="4"/>
      <c r="C4487" s="4"/>
      <c r="D4487" s="4"/>
      <c r="E4487" s="4"/>
      <c r="F4487" s="4"/>
      <c r="G4487" s="4"/>
      <c r="H4487" s="4"/>
    </row>
    <row r="4488" customFormat="false" ht="15" hidden="false" customHeight="false" outlineLevel="1" collapsed="false">
      <c r="A4488" s="7" t="s">
        <v>782</v>
      </c>
      <c r="B4488" s="8" t="s">
        <v>11</v>
      </c>
      <c r="C4488" s="72" t="n">
        <f aca="false">Pressupostos!$C$159+Pressupostos!$C$160+Pressupostos!$C$161+Pressupostos!$C$162+Pressupostos!$C$163</f>
        <v>95000</v>
      </c>
      <c r="H4488" s="2" t="s">
        <v>1438</v>
      </c>
    </row>
    <row r="4489" customFormat="false" ht="15" hidden="false" customHeight="false" outlineLevel="1" collapsed="false">
      <c r="A4489" s="7" t="s">
        <v>783</v>
      </c>
      <c r="B4489" s="8" t="s">
        <v>11</v>
      </c>
      <c r="C4489" s="73" t="n">
        <f aca="false">Pressupostos!$C$108</f>
        <v>50000</v>
      </c>
      <c r="H4489" s="2" t="s">
        <v>1439</v>
      </c>
    </row>
    <row r="4490" customFormat="false" ht="15" hidden="false" customHeight="false" outlineLevel="1" collapsed="false">
      <c r="A4490" s="7" t="s">
        <v>322</v>
      </c>
      <c r="B4490" s="8" t="s">
        <v>11</v>
      </c>
      <c r="C4490" s="73" t="n">
        <f aca="false">Pressupostos!$C$170</f>
        <v>150000</v>
      </c>
      <c r="H4490" s="2" t="s">
        <v>1440</v>
      </c>
    </row>
    <row r="4491" customFormat="false" ht="15" hidden="false" customHeight="false" outlineLevel="1" collapsed="false">
      <c r="A4491" s="7" t="s">
        <v>784</v>
      </c>
      <c r="B4491" s="8" t="s">
        <v>11</v>
      </c>
      <c r="C4491" s="72" t="n">
        <f aca="false">MAX(0,-MIN($C$4475:$G$4475))</f>
        <v>3926885.58765124</v>
      </c>
      <c r="H4491" s="2" t="s">
        <v>1441</v>
      </c>
    </row>
    <row r="4492" customFormat="false" ht="15" hidden="false" customHeight="false" outlineLevel="1" collapsed="false">
      <c r="A4492" s="56" t="s">
        <v>785</v>
      </c>
      <c r="B4492" s="57" t="s">
        <v>11</v>
      </c>
      <c r="C4492" s="74" t="n">
        <f aca="false">C4488+C4489+C4490+C4491</f>
        <v>4221885.58765124</v>
      </c>
      <c r="H4492" s="2" t="s">
        <v>1442</v>
      </c>
    </row>
    <row r="4493" customFormat="false" ht="15" hidden="false" customHeight="false" outlineLevel="1" collapsed="false">
      <c r="A4493" s="7" t="s">
        <v>786</v>
      </c>
      <c r="B4493" s="8" t="s">
        <v>20</v>
      </c>
      <c r="C4493" s="75" t="n">
        <f aca="false">INDEX($C$4220:$G$4220,1,MATCH(MIN($C$4475:$G$4475),$C$4475:$G$4475,0))</f>
        <v>2031</v>
      </c>
      <c r="H4493" s="2" t="s">
        <v>1443</v>
      </c>
    </row>
    <row r="4494" customFormat="false" ht="15" hidden="false" customHeight="false" outlineLevel="1" collapsed="false">
      <c r="A4494" s="7" t="s">
        <v>787</v>
      </c>
      <c r="B4494" s="8"/>
      <c r="C4494" s="76" t="str">
        <f aca="false">IF(G4474&lt;0,"sim","não")</f>
        <v>sim</v>
      </c>
      <c r="H4494" s="2" t="s">
        <v>1444</v>
      </c>
    </row>
    <row r="4495" customFormat="false" ht="15" hidden="false" customHeight="false" outlineLevel="1" collapsed="false">
      <c r="A4495" s="7" t="s">
        <v>788</v>
      </c>
      <c r="B4495" s="8" t="s">
        <v>11</v>
      </c>
      <c r="C4495" s="72" t="n">
        <f aca="false">G4486</f>
        <v>4221885.58765124</v>
      </c>
      <c r="H4495" s="2" t="s">
        <v>1445</v>
      </c>
    </row>
    <row r="4496" customFormat="false" ht="15" hidden="false" customHeight="false" outlineLevel="0" collapsed="false">
      <c r="A4496" s="3" t="s">
        <v>1446</v>
      </c>
      <c r="B4496" s="4"/>
      <c r="C4496" s="4"/>
      <c r="D4496" s="4"/>
      <c r="E4496" s="4"/>
      <c r="F4496" s="4"/>
      <c r="G4496" s="4"/>
      <c r="H4496" s="4"/>
    </row>
    <row r="4497" customFormat="false" ht="15" hidden="false" customHeight="false" outlineLevel="1" collapsed="false">
      <c r="A4497" s="7" t="s">
        <v>790</v>
      </c>
      <c r="B4497" s="8" t="s">
        <v>11</v>
      </c>
      <c r="C4497" s="72" t="n">
        <f aca="false">C4488+C4489</f>
        <v>145000</v>
      </c>
      <c r="H4497" s="2" t="s">
        <v>1447</v>
      </c>
    </row>
    <row r="4498" customFormat="false" ht="15" hidden="false" customHeight="false" outlineLevel="1" collapsed="false">
      <c r="A4498" s="7" t="s">
        <v>791</v>
      </c>
      <c r="B4498" s="8" t="s">
        <v>11</v>
      </c>
      <c r="C4498" s="72" t="n">
        <f aca="false">-SUMPRODUCT(($C$4220:$G$4220&lt;=C4493)*$C$4431:$G$4431)</f>
        <v>3312326.45023685</v>
      </c>
      <c r="H4498" s="2" t="s">
        <v>1448</v>
      </c>
    </row>
    <row r="4499" customFormat="false" ht="15" hidden="false" customHeight="false" outlineLevel="1" collapsed="false">
      <c r="A4499" s="7" t="s">
        <v>424</v>
      </c>
      <c r="B4499" s="8" t="s">
        <v>11</v>
      </c>
      <c r="C4499" s="72" t="n">
        <f aca="false">SUMPRODUCT(($C$4220:$G$4220&lt;=C4493)*$C$4415:$G$4415)</f>
        <v>250000</v>
      </c>
      <c r="H4499" s="2" t="s">
        <v>1449</v>
      </c>
    </row>
    <row r="4500" customFormat="false" ht="15" hidden="false" customHeight="false" outlineLevel="1" collapsed="false">
      <c r="A4500" s="7" t="s">
        <v>792</v>
      </c>
      <c r="B4500" s="8" t="s">
        <v>11</v>
      </c>
      <c r="C4500" s="72" t="n">
        <f aca="false">SUMPRODUCT(($C$4220:$G$4220&lt;=C4493)*$C$4446:$G$4446)</f>
        <v>0</v>
      </c>
      <c r="H4500" s="2" t="s">
        <v>1450</v>
      </c>
    </row>
    <row r="4501" customFormat="false" ht="15" hidden="false" customHeight="false" outlineLevel="1" collapsed="false">
      <c r="A4501" s="7" t="s">
        <v>793</v>
      </c>
      <c r="B4501" s="8" t="s">
        <v>11</v>
      </c>
      <c r="C4501" s="72" t="n">
        <f aca="false">C4491-C4498-C4499-C4500</f>
        <v>364559.137414384</v>
      </c>
      <c r="H4501" s="2" t="s">
        <v>1451</v>
      </c>
    </row>
    <row r="4502" customFormat="false" ht="15" hidden="false" customHeight="false" outlineLevel="1" collapsed="false">
      <c r="A4502" s="7" t="s">
        <v>322</v>
      </c>
      <c r="B4502" s="8" t="s">
        <v>11</v>
      </c>
      <c r="C4502" s="72" t="n">
        <f aca="false">C4490</f>
        <v>150000</v>
      </c>
      <c r="H4502" s="2" t="s">
        <v>1452</v>
      </c>
    </row>
    <row r="4503" customFormat="false" ht="15" hidden="false" customHeight="false" outlineLevel="1" collapsed="false">
      <c r="A4503" s="56" t="s">
        <v>794</v>
      </c>
      <c r="B4503" s="57" t="s">
        <v>11</v>
      </c>
      <c r="C4503" s="74" t="n">
        <f aca="false">C4497+C4498+C4499+C4500+C4501+C4502</f>
        <v>4221885.58765124</v>
      </c>
      <c r="H4503" s="2" t="s">
        <v>1453</v>
      </c>
    </row>
    <row r="4504" customFormat="false" ht="15" hidden="false" customHeight="false" outlineLevel="0" collapsed="false">
      <c r="A4504" s="3" t="s">
        <v>1454</v>
      </c>
      <c r="B4504" s="4"/>
      <c r="C4504" s="4"/>
      <c r="D4504" s="4"/>
      <c r="E4504" s="4"/>
      <c r="F4504" s="4"/>
      <c r="G4504" s="4"/>
      <c r="H4504" s="4"/>
    </row>
    <row r="4505" customFormat="false" ht="15" hidden="false" customHeight="false" outlineLevel="1" collapsed="false">
      <c r="A4505" s="7" t="s">
        <v>772</v>
      </c>
      <c r="B4505" s="8" t="s">
        <v>11</v>
      </c>
      <c r="C4505" s="73" t="n">
        <f aca="false">Pressupostos!$F$32</f>
        <v>1100000</v>
      </c>
      <c r="H4505" s="2" t="s">
        <v>1455</v>
      </c>
    </row>
    <row r="4506" customFormat="false" ht="15" hidden="false" customHeight="false" outlineLevel="1" collapsed="false">
      <c r="A4506" s="7" t="s">
        <v>796</v>
      </c>
      <c r="B4506" s="8" t="s">
        <v>11</v>
      </c>
      <c r="C4506" s="72" t="n">
        <f aca="false">C4488+Pressupostos!$C$108+Pressupostos!$C$130/12*((C4390-C4378-C4379+(C4378+C4379)/Pressupostos!$C$128*Pressupostos!$C$129)*(1+Pressupostos!$C$124+Pressupostos!$C$125)+C4376*Pressupostos!$C$126+C4409)+C4415+MAX(0,Pressupostos!$C$183*1000*(C4241+C4244)+Pressupostos!$C$184*1000*(C4264+C4267)-Pressupostos!$C$108)</f>
        <v>652596.666666667</v>
      </c>
      <c r="H4506" s="2" t="s">
        <v>1456</v>
      </c>
    </row>
    <row r="4507" customFormat="false" ht="15" hidden="false" customHeight="false" outlineLevel="1" collapsed="false">
      <c r="A4507" s="7" t="s">
        <v>798</v>
      </c>
      <c r="B4507" s="8" t="s">
        <v>11</v>
      </c>
      <c r="C4507" s="72" t="n">
        <f aca="false">C4488+Pressupostos!$C$108-C4474</f>
        <v>823616.839640411</v>
      </c>
      <c r="H4507" s="2" t="s">
        <v>1457</v>
      </c>
    </row>
    <row r="4508" customFormat="false" ht="15" hidden="false" customHeight="false" outlineLevel="1" collapsed="false">
      <c r="A4508" s="7" t="s">
        <v>799</v>
      </c>
      <c r="B4508" s="8" t="s">
        <v>11</v>
      </c>
      <c r="C4508" s="61" t="n">
        <f aca="false">Pressupostos!$F$32-C4488-Pressupostos!$C$108+C4475</f>
        <v>276383.160359589</v>
      </c>
      <c r="D4508" s="61" t="n">
        <f aca="false">Pressupostos!$F$32-C4488-Pressupostos!$C$108+D4475</f>
        <v>-504236.40385274</v>
      </c>
      <c r="E4508" s="61" t="n">
        <f aca="false">Pressupostos!$F$32-C4488-Pressupostos!$C$108+E4475</f>
        <v>-1341711.46484161</v>
      </c>
      <c r="F4508" s="61" t="n">
        <f aca="false">Pressupostos!$F$32-C4488-Pressupostos!$C$108+F4475</f>
        <v>-2196918.69031393</v>
      </c>
      <c r="G4508" s="61" t="n">
        <f aca="false">Pressupostos!$F$32-C4488-Pressupostos!$C$108+G4475</f>
        <v>-2971885.58765124</v>
      </c>
      <c r="H4508" s="2" t="s">
        <v>1458</v>
      </c>
    </row>
    <row r="4509" customFormat="false" ht="15" hidden="false" customHeight="false" outlineLevel="1" collapsed="false">
      <c r="A4509" s="7" t="s">
        <v>800</v>
      </c>
      <c r="B4509" s="8" t="s">
        <v>18</v>
      </c>
      <c r="C4509" s="77" t="str">
        <f aca="false">IF(AND(Pressupostos!$F$32-C4488-Pressupostos!$C$108&gt;0,C4508&lt;=0),12*(Pressupostos!$F$32-C4488-Pressupostos!$C$108)/(Pressupostos!$F$32-C4488-Pressupostos!$C$108-C4508),"")</f>
        <v/>
      </c>
      <c r="D4509" s="77" t="n">
        <f aca="false">IF(AND(C4508&gt;0,D4508&lt;=0),12+12*C4508/(C4508-D4508),"")</f>
        <v>16.248673843656</v>
      </c>
      <c r="E4509" s="77" t="str">
        <f aca="false">IF(AND(D4508&gt;0,E4508&lt;=0),24+12*D4508/(D4508-E4508),"")</f>
        <v/>
      </c>
      <c r="F4509" s="77" t="str">
        <f aca="false">IF(AND(E4508&gt;0,F4508&lt;=0),36+12*E4508/(E4508-F4508),"")</f>
        <v/>
      </c>
      <c r="G4509" s="77" t="str">
        <f aca="false">IF(AND(F4508&gt;0,G4508&lt;=0),48+12*F4508/(F4508-G4508),"")</f>
        <v/>
      </c>
      <c r="H4509" s="2" t="s">
        <v>1459</v>
      </c>
    </row>
    <row r="4510" customFormat="false" ht="15" hidden="false" customHeight="false" outlineLevel="1" collapsed="false">
      <c r="A4510" s="56" t="s">
        <v>801</v>
      </c>
      <c r="B4510" s="57" t="s">
        <v>274</v>
      </c>
      <c r="C4510" s="78" t="n">
        <f aca="false">IF(COUNT($C$4509:$G$4509)=0,"&gt; 60",MIN($C$4509:$G$4509))</f>
        <v>16.248673843656</v>
      </c>
      <c r="H4510" s="2" t="s">
        <v>1460</v>
      </c>
    </row>
    <row r="4511" customFormat="false" ht="15" hidden="false" customHeight="false" outlineLevel="0" collapsed="false">
      <c r="A4511" s="3" t="s">
        <v>1461</v>
      </c>
      <c r="B4511" s="4"/>
      <c r="C4511" s="4"/>
      <c r="D4511" s="4"/>
      <c r="E4511" s="4"/>
      <c r="F4511" s="4"/>
      <c r="G4511" s="4"/>
      <c r="H4511" s="4"/>
    </row>
    <row r="4512" customFormat="false" ht="15" hidden="false" customHeight="false" outlineLevel="1" collapsed="false">
      <c r="A4512" s="7" t="s">
        <v>803</v>
      </c>
      <c r="B4512" s="8" t="s">
        <v>18</v>
      </c>
      <c r="C4512" s="77" t="str">
        <f aca="false">IF(C4431&gt;=0,1,"")</f>
        <v/>
      </c>
      <c r="D4512" s="77" t="str">
        <f aca="false">IF(AND(C4431&lt;0,D4431&gt;=0),6.5+12*(-C4431)/(D4431-C4431),"")</f>
        <v/>
      </c>
      <c r="E4512" s="77" t="str">
        <f aca="false">IF(AND(D4431&lt;0,E4431&gt;=0),18.5+12*(-D4431)/(E4431-D4431),"")</f>
        <v/>
      </c>
      <c r="F4512" s="77" t="str">
        <f aca="false">IF(AND(E4431&lt;0,F4431&gt;=0),30.5+12*(-E4431)/(F4431-E4431),"")</f>
        <v/>
      </c>
      <c r="G4512" s="77" t="str">
        <f aca="false">IF(AND(F4431&lt;0,G4431&gt;=0),42.5+12*(-F4431)/(G4431-F4431),"")</f>
        <v/>
      </c>
      <c r="H4512" s="2" t="s">
        <v>1462</v>
      </c>
    </row>
    <row r="4513" customFormat="false" ht="15" hidden="false" customHeight="false" outlineLevel="1" collapsed="false">
      <c r="A4513" s="7" t="s">
        <v>804</v>
      </c>
      <c r="B4513" s="8" t="s">
        <v>18</v>
      </c>
      <c r="C4513" s="79" t="str">
        <f aca="false">IF(COUNT($C$4512:$G$4512)=0,"não atinge até 2031",ROUNDUP(MIN($C$4512:$G$4512),0))</f>
        <v>não atinge até 2031</v>
      </c>
      <c r="H4513" s="2" t="s">
        <v>1463</v>
      </c>
    </row>
    <row r="4514" customFormat="false" ht="15" hidden="false" customHeight="false" outlineLevel="1" collapsed="false">
      <c r="A4514" s="56" t="s">
        <v>805</v>
      </c>
      <c r="B4514" s="57" t="s">
        <v>806</v>
      </c>
      <c r="C4514" s="80" t="str">
        <f aca="false">IF(ISNUMBER(C4513),DATE(2027,C4513,1),"não atinge até 2031")</f>
        <v>não atinge até 2031</v>
      </c>
      <c r="H4514" s="2" t="s">
        <v>1464</v>
      </c>
    </row>
    <row r="4515" customFormat="false" ht="15" hidden="false" customHeight="false" outlineLevel="1" collapsed="false">
      <c r="A4515" s="7" t="s">
        <v>807</v>
      </c>
      <c r="B4515" s="8" t="s">
        <v>20</v>
      </c>
      <c r="C4515" s="81" t="str">
        <f aca="false">IF(C4431&gt;=0,C4220,"")</f>
        <v/>
      </c>
      <c r="D4515" s="81" t="str">
        <f aca="false">IF(D4431&gt;=0,D4220,"")</f>
        <v/>
      </c>
      <c r="E4515" s="81" t="str">
        <f aca="false">IF(E4431&gt;=0,E4220,"")</f>
        <v/>
      </c>
      <c r="F4515" s="81" t="str">
        <f aca="false">IF(F4431&gt;=0,F4220,"")</f>
        <v/>
      </c>
      <c r="G4515" s="81" t="str">
        <f aca="false">IF(G4431&gt;=0,G4220,"")</f>
        <v/>
      </c>
      <c r="H4515" s="2" t="s">
        <v>1465</v>
      </c>
    </row>
    <row r="4516" customFormat="false" ht="15" hidden="false" customHeight="false" outlineLevel="1" collapsed="false">
      <c r="A4516" s="7" t="s">
        <v>808</v>
      </c>
      <c r="B4516" s="8" t="s">
        <v>20</v>
      </c>
      <c r="C4516" s="75" t="str">
        <f aca="false">IF(COUNT($C$4515:$G$4515)=0,"não atinge até 2031",MIN($C$4515:$G$4515))</f>
        <v>não atinge até 2031</v>
      </c>
      <c r="H4516" s="2" t="s">
        <v>1466</v>
      </c>
    </row>
    <row r="4517" customFormat="false" ht="15" hidden="false" customHeight="false" outlineLevel="1" collapsed="false">
      <c r="A4517" s="7" t="s">
        <v>809</v>
      </c>
      <c r="B4517" s="8" t="s">
        <v>20</v>
      </c>
      <c r="C4517" s="81" t="str">
        <f aca="false">IF(C4449&gt;=0,C4220,"")</f>
        <v/>
      </c>
      <c r="D4517" s="81" t="str">
        <f aca="false">IF(D4449&gt;=0,D4220,"")</f>
        <v/>
      </c>
      <c r="E4517" s="81" t="str">
        <f aca="false">IF(E4449&gt;=0,E4220,"")</f>
        <v/>
      </c>
      <c r="F4517" s="81" t="str">
        <f aca="false">IF(F4449&gt;=0,F4220,"")</f>
        <v/>
      </c>
      <c r="G4517" s="81" t="str">
        <f aca="false">IF(G4449&gt;=0,G4220,"")</f>
        <v/>
      </c>
      <c r="H4517" s="2" t="s">
        <v>1467</v>
      </c>
    </row>
    <row r="4518" customFormat="false" ht="15" hidden="false" customHeight="false" outlineLevel="1" collapsed="false">
      <c r="A4518" s="7" t="s">
        <v>810</v>
      </c>
      <c r="B4518" s="8" t="s">
        <v>20</v>
      </c>
      <c r="C4518" s="75" t="str">
        <f aca="false">IF(COUNT($C$4517:$G$4517)=0,"não atinge até 2031",MIN($C$4517:$G$4517))</f>
        <v>não atinge até 2031</v>
      </c>
      <c r="H4518" s="2" t="s">
        <v>1468</v>
      </c>
    </row>
    <row r="4519" customFormat="false" ht="15" hidden="false" customHeight="false" outlineLevel="1" collapsed="false">
      <c r="A4519" s="7" t="s">
        <v>811</v>
      </c>
      <c r="B4519" s="8" t="s">
        <v>20</v>
      </c>
      <c r="C4519" s="81" t="str">
        <f aca="false">IF(C4474&gt;=0,C4220,"")</f>
        <v/>
      </c>
      <c r="D4519" s="81" t="str">
        <f aca="false">IF(D4474&gt;=0,D4220,"")</f>
        <v/>
      </c>
      <c r="E4519" s="81" t="str">
        <f aca="false">IF(E4474&gt;=0,E4220,"")</f>
        <v/>
      </c>
      <c r="F4519" s="81" t="str">
        <f aca="false">IF(F4474&gt;=0,F4220,"")</f>
        <v/>
      </c>
      <c r="G4519" s="81" t="str">
        <f aca="false">IF(G4474&gt;=0,G4220,"")</f>
        <v/>
      </c>
      <c r="H4519" s="2" t="s">
        <v>1469</v>
      </c>
    </row>
    <row r="4520" customFormat="false" ht="15" hidden="false" customHeight="false" outlineLevel="1" collapsed="false">
      <c r="A4520" s="7" t="s">
        <v>19</v>
      </c>
      <c r="B4520" s="8" t="s">
        <v>20</v>
      </c>
      <c r="C4520" s="75" t="str">
        <f aca="false">IF(COUNT($C$4519:$G$4519)=0,"não atinge até 2031",MIN($C$4519:$G$4519))</f>
        <v>não atinge até 2031</v>
      </c>
      <c r="H4520" s="2" t="s">
        <v>1470</v>
      </c>
    </row>
    <row r="4521" customFormat="false" ht="15" hidden="false" customHeight="false" outlineLevel="0" collapsed="false">
      <c r="A4521" s="3" t="s">
        <v>1471</v>
      </c>
      <c r="B4521" s="4"/>
      <c r="C4521" s="4"/>
      <c r="D4521" s="4"/>
      <c r="E4521" s="4"/>
      <c r="F4521" s="4"/>
      <c r="G4521" s="4"/>
      <c r="H4521" s="4"/>
    </row>
    <row r="4522" customFormat="false" ht="15" hidden="false" customHeight="false" outlineLevel="1" collapsed="false">
      <c r="A4522" s="7" t="s">
        <v>813</v>
      </c>
      <c r="B4522" s="8" t="s">
        <v>11</v>
      </c>
      <c r="C4522" s="61" t="n">
        <f aca="false">C4457</f>
        <v>0</v>
      </c>
      <c r="D4522" s="61" t="n">
        <f aca="false">D4457</f>
        <v>293948.938356164</v>
      </c>
      <c r="E4522" s="61" t="n">
        <f aca="false">E4457</f>
        <v>506993.116438356</v>
      </c>
      <c r="F4522" s="61" t="n">
        <f aca="false">F4457</f>
        <v>859371.729452055</v>
      </c>
      <c r="G4522" s="61" t="n">
        <f aca="false">G4457</f>
        <v>1309134.11815068</v>
      </c>
      <c r="H4522" s="2" t="s">
        <v>1472</v>
      </c>
    </row>
    <row r="4523" customFormat="false" ht="15" hidden="false" customHeight="false" outlineLevel="1" collapsed="false">
      <c r="A4523" s="7" t="s">
        <v>509</v>
      </c>
      <c r="B4523" s="8" t="s">
        <v>76</v>
      </c>
      <c r="C4523" s="82" t="n">
        <f aca="false">Pressupostos!$C$290</f>
        <v>0.08</v>
      </c>
      <c r="D4523" s="82" t="n">
        <f aca="false">Pressupostos!$D$290</f>
        <v>0.08</v>
      </c>
      <c r="E4523" s="82" t="n">
        <f aca="false">Pressupostos!$E$290</f>
        <v>0.075</v>
      </c>
      <c r="F4523" s="82" t="n">
        <f aca="false">Pressupostos!$F$290</f>
        <v>0.07</v>
      </c>
      <c r="G4523" s="82" t="n">
        <f aca="false">Pressupostos!$G$290</f>
        <v>0.07</v>
      </c>
      <c r="H4523" s="2" t="s">
        <v>1473</v>
      </c>
    </row>
    <row r="4524" customFormat="false" ht="15" hidden="false" customHeight="false" outlineLevel="1" collapsed="false">
      <c r="A4524" s="7" t="s">
        <v>814</v>
      </c>
      <c r="B4524" s="8" t="s">
        <v>76</v>
      </c>
      <c r="C4524" s="60" t="n">
        <f aca="false">Pressupostos!$C$290*(1-Pressupostos!$C$111)</f>
        <v>0.0576</v>
      </c>
      <c r="D4524" s="60" t="n">
        <f aca="false">Pressupostos!$D$290*(1-Pressupostos!$C$111)</f>
        <v>0.0576</v>
      </c>
      <c r="E4524" s="60" t="n">
        <f aca="false">Pressupostos!$E$290*(1-Pressupostos!$C$111)</f>
        <v>0.054</v>
      </c>
      <c r="F4524" s="60" t="n">
        <f aca="false">Pressupostos!$F$290*(1-Pressupostos!$C$111)</f>
        <v>0.0504</v>
      </c>
      <c r="G4524" s="60" t="n">
        <f aca="false">Pressupostos!$G$290*(1-Pressupostos!$C$111)</f>
        <v>0.0504</v>
      </c>
      <c r="H4524" s="2" t="s">
        <v>1474</v>
      </c>
    </row>
    <row r="4525" customFormat="false" ht="15" hidden="false" customHeight="false" outlineLevel="1" collapsed="false">
      <c r="A4525" s="7" t="s">
        <v>815</v>
      </c>
      <c r="B4525" s="8" t="s">
        <v>11</v>
      </c>
      <c r="C4525" s="61" t="n">
        <f aca="false">C4361</f>
        <v>0</v>
      </c>
      <c r="D4525" s="61" t="n">
        <f aca="false">D4361</f>
        <v>21524.1780821918</v>
      </c>
      <c r="E4525" s="61" t="n">
        <f aca="false">E4361</f>
        <v>34083.5991010274</v>
      </c>
      <c r="F4525" s="61" t="n">
        <f aca="false">F4361</f>
        <v>53929.0517979452</v>
      </c>
      <c r="G4525" s="61" t="n">
        <f aca="false">G4361</f>
        <v>82260.0385273973</v>
      </c>
      <c r="H4525" s="2" t="s">
        <v>1475</v>
      </c>
    </row>
    <row r="4526" customFormat="false" ht="15" hidden="false" customHeight="false" outlineLevel="1" collapsed="false">
      <c r="A4526" s="7" t="s">
        <v>816</v>
      </c>
      <c r="B4526" s="8" t="s">
        <v>76</v>
      </c>
      <c r="C4526" s="59" t="n">
        <f aca="false">IF(C4457&gt;0,(C4460+C4462)/C4457,0)</f>
        <v>0</v>
      </c>
      <c r="D4526" s="59" t="n">
        <f aca="false">IF(D4457&gt;0,(D4460+D4462)/D4457,0)</f>
        <v>0.316666666666667</v>
      </c>
      <c r="E4526" s="59" t="n">
        <f aca="false">IF(E4457&gt;0,(E4460+E4462)/E4457,0)</f>
        <v>0.316666666666667</v>
      </c>
      <c r="F4526" s="59" t="n">
        <f aca="false">IF(F4457&gt;0,(F4460+F4462)/F4457,0)</f>
        <v>0.316666666666667</v>
      </c>
      <c r="G4526" s="59" t="n">
        <f aca="false">IF(G4457&gt;0,(G4460+G4462)/G4457,0)</f>
        <v>0.316666666666667</v>
      </c>
      <c r="H4526" s="2" t="s">
        <v>1476</v>
      </c>
    </row>
    <row r="4527" customFormat="false" ht="15" hidden="false" customHeight="false" outlineLevel="1" collapsed="false">
      <c r="A4527" s="7" t="s">
        <v>817</v>
      </c>
      <c r="B4527" s="8" t="s">
        <v>123</v>
      </c>
      <c r="C4527" s="61" t="n">
        <f aca="false">C4463</f>
        <v>0</v>
      </c>
      <c r="D4527" s="61" t="n">
        <f aca="false">D4463</f>
        <v>5.87897876712329</v>
      </c>
      <c r="E4527" s="61" t="n">
        <f aca="false">E4463</f>
        <v>10.1398623287671</v>
      </c>
      <c r="F4527" s="61" t="n">
        <f aca="false">F4463</f>
        <v>17.1874345890411</v>
      </c>
      <c r="G4527" s="61" t="n">
        <f aca="false">G4463</f>
        <v>26.1826823630137</v>
      </c>
      <c r="H4527" s="2" t="s">
        <v>1477</v>
      </c>
    </row>
    <row r="4528" customFormat="false" ht="15" hidden="false" customHeight="false" outlineLevel="1" collapsed="false">
      <c r="A4528" s="7" t="s">
        <v>818</v>
      </c>
      <c r="B4528" s="8" t="s">
        <v>11</v>
      </c>
      <c r="C4528" s="61" t="n">
        <f aca="false">C4361+C4407</f>
        <v>65000</v>
      </c>
      <c r="D4528" s="61" t="n">
        <f aca="false">D4361+D4407</f>
        <v>96524.1780821918</v>
      </c>
      <c r="E4528" s="61" t="n">
        <f aca="false">E4361+E4407</f>
        <v>114083.599101027</v>
      </c>
      <c r="F4528" s="61" t="n">
        <f aca="false">F4361+F4407</f>
        <v>138929.051797945</v>
      </c>
      <c r="G4528" s="61" t="n">
        <f aca="false">G4361+G4407</f>
        <v>172260.038527397</v>
      </c>
      <c r="H4528" s="2" t="s">
        <v>1478</v>
      </c>
    </row>
    <row r="4529" customFormat="false" ht="15" hidden="false" customHeight="false" outlineLevel="1" collapsed="false">
      <c r="A4529" s="7" t="s">
        <v>819</v>
      </c>
      <c r="B4529" s="8" t="s">
        <v>76</v>
      </c>
      <c r="C4529" s="59" t="str">
        <f aca="false">IF(C4457&gt;0,C4528/C4457,"")</f>
        <v/>
      </c>
      <c r="D4529" s="59" t="n">
        <f aca="false">IF(D4457&gt;0,D4528/D4457,"")</f>
        <v>0.328370561982564</v>
      </c>
      <c r="E4529" s="59" t="n">
        <f aca="false">IF(E4457&gt;0,E4528/E4457,"")</f>
        <v>0.225020015858339</v>
      </c>
      <c r="F4529" s="59" t="n">
        <f aca="false">IF(F4457&gt;0,F4528/F4457,"")</f>
        <v>0.161663511885047</v>
      </c>
      <c r="G4529" s="59" t="n">
        <f aca="false">IF(G4457&gt;0,G4528/G4457,"")</f>
        <v>0.131583186274861</v>
      </c>
      <c r="H4529" s="2" t="s">
        <v>1479</v>
      </c>
    </row>
    <row r="4530" customFormat="false" ht="15" hidden="false" customHeight="false" outlineLevel="0" collapsed="false">
      <c r="A4530" s="3" t="s">
        <v>1480</v>
      </c>
      <c r="B4530" s="4"/>
      <c r="C4530" s="4"/>
      <c r="D4530" s="4"/>
      <c r="E4530" s="4"/>
      <c r="F4530" s="4"/>
      <c r="G4530" s="4"/>
      <c r="H4530" s="4"/>
    </row>
    <row r="4531" customFormat="false" ht="15" hidden="false" customHeight="false" outlineLevel="1" collapsed="false">
      <c r="A4531" s="7" t="s">
        <v>821</v>
      </c>
      <c r="B4531" s="8" t="s">
        <v>11</v>
      </c>
      <c r="C4531" s="61" t="n">
        <f aca="false">MAX(0,-C4431)</f>
        <v>586332.91635274</v>
      </c>
      <c r="D4531" s="61" t="n">
        <f aca="false">MAX(0,-D4431)</f>
        <v>694819.657020548</v>
      </c>
      <c r="E4531" s="61" t="n">
        <f aca="false">MAX(0,-E4431)</f>
        <v>726011.071262843</v>
      </c>
      <c r="F4531" s="61" t="n">
        <f aca="false">MAX(0,-F4431)</f>
        <v>706620.66468465</v>
      </c>
      <c r="G4531" s="61" t="n">
        <f aca="false">MAX(0,-G4431)</f>
        <v>598542.140916074</v>
      </c>
      <c r="H4531" s="2" t="s">
        <v>1481</v>
      </c>
    </row>
    <row r="4532" customFormat="false" ht="15" hidden="false" customHeight="false" outlineLevel="1" collapsed="false">
      <c r="A4532" s="2" t="s">
        <v>822</v>
      </c>
      <c r="B4532" s="8"/>
      <c r="C4532" s="61" t="n">
        <f aca="false">IF(AND(C4220&gt;=Pressupostos!$C$120,Pressupostos!$C$118*(C4314+C4315)+Pressupostos!$C$119*C4316&gt;Pressupostos!$C$302),1,0)</f>
        <v>0</v>
      </c>
      <c r="D4532" s="61" t="n">
        <f aca="false">IF(AND(D4220&gt;=Pressupostos!$C$120,Pressupostos!$C$118*(D4314+D4315)+Pressupostos!$C$119*D4316&gt;Pressupostos!$D$302),1,0)</f>
        <v>1</v>
      </c>
      <c r="E4532" s="61" t="n">
        <f aca="false">IF(AND(E4220&gt;=Pressupostos!$C$120,Pressupostos!$C$118*(E4314+E4315)+Pressupostos!$C$119*E4316&gt;Pressupostos!$E$302),1,0)</f>
        <v>1</v>
      </c>
      <c r="F4532" s="61" t="n">
        <f aca="false">IF(AND(F4220&gt;=Pressupostos!$C$120,Pressupostos!$C$118*(F4314+F4315)+Pressupostos!$C$119*F4316&gt;Pressupostos!$F$302),1,0)</f>
        <v>1</v>
      </c>
      <c r="G4532" s="61" t="n">
        <f aca="false">IF(AND(G4220&gt;=Pressupostos!$C$120,Pressupostos!$C$118*(G4314+G4315)+Pressupostos!$C$119*G4316&gt;Pressupostos!$G$302),1,0)</f>
        <v>1</v>
      </c>
      <c r="H4532" s="2" t="s">
        <v>1482</v>
      </c>
    </row>
    <row r="4533" customFormat="false" ht="15" hidden="false" customHeight="false" outlineLevel="1" collapsed="false">
      <c r="A4533" s="7" t="s">
        <v>823</v>
      </c>
      <c r="B4533" s="8" t="s">
        <v>64</v>
      </c>
      <c r="C4533" s="63" t="n">
        <f aca="false">IF(C4224&gt;0,C4531/(C4224*1000*(1-Pressupostos!$F$22)*(1-Pressupostos!$F$25-C4532*Pressupostos!$C$118)),"n/a")</f>
        <v>11.309561691859</v>
      </c>
      <c r="D4533" s="63" t="n">
        <f aca="false">IF(D4224&gt;0,D4531/(D4224*1000*(1-Pressupostos!$F$22)*(1-Pressupostos!$F$25-D4532*Pressupostos!$C$118)),"n/a")</f>
        <v>1.92759691676598</v>
      </c>
      <c r="E4533" s="63" t="n">
        <f aca="false">IF(E4224&gt;0,E4531/(E4224*1000*(1-Pressupostos!$F$22)*(1-Pressupostos!$F$25-E4532*Pressupostos!$C$118)),"n/a")</f>
        <v>1.01970568212191</v>
      </c>
      <c r="F4533" s="63" t="n">
        <f aca="false">IF(F4224&gt;0,F4531/(F4224*1000*(1-Pressupostos!$F$22)*(1-Pressupostos!$F$25-F4532*Pressupostos!$C$118)),"n/a")</f>
        <v>0.601523142712981</v>
      </c>
      <c r="G4533" s="63" t="n">
        <f aca="false">IF(G4224&gt;0,G4531/(G4224*1000*(1-Pressupostos!$F$22)*(1-Pressupostos!$F$25-G4532*Pressupostos!$C$118)),"n/a")</f>
        <v>0.336738252075182</v>
      </c>
      <c r="H4533" s="2" t="s">
        <v>1483</v>
      </c>
    </row>
    <row r="4534" customFormat="false" ht="15" hidden="false" customHeight="false" outlineLevel="1" collapsed="false">
      <c r="A4534" s="7" t="s">
        <v>824</v>
      </c>
      <c r="B4534" s="8" t="s">
        <v>64</v>
      </c>
      <c r="C4534" s="63" t="n">
        <f aca="false">IF(C4223&gt;0,Pressupostos!$F$15+C4531/(C4223*1000*(1-(Pressupostos!$C$191))*(1-Pressupostos!$F$18-C4532*Pressupostos!$C$118)),"n/a")</f>
        <v>85.9284755078901</v>
      </c>
      <c r="D4534" s="63" t="n">
        <f aca="false">IF(D4223&gt;0,Pressupostos!$F$15+D4531/(D4223*1000*(1-(Pressupostos!$C$191))*(1-Pressupostos!$F$18-D4532*Pressupostos!$C$118)),"n/a")</f>
        <v>31.3600013512012</v>
      </c>
      <c r="E4534" s="63" t="n">
        <f aca="false">IF(E4223&gt;0,Pressupostos!$F$15+E4531/(E4223*1000*(1-(Pressupostos!$C$191))*(1-Pressupostos!$F$18-E4532*Pressupostos!$C$118)),"n/a")</f>
        <v>15.9369175667631</v>
      </c>
      <c r="F4534" s="63" t="n">
        <f aca="false">IF(F4223&gt;0,Pressupostos!$F$15+F4531/(F4223*1000*(1-(Pressupostos!$C$191))*(1-Pressupostos!$F$18-F4532*Pressupostos!$C$118)),"n/a")</f>
        <v>11.5265834081008</v>
      </c>
      <c r="G4534" s="63" t="n">
        <f aca="false">IF(G4223&gt;0,Pressupostos!$F$15+G4531/(G4223*1000*(1-(Pressupostos!$C$191))*(1-Pressupostos!$F$18-G4532*Pressupostos!$C$118)),"n/a")</f>
        <v>9.27689984350866</v>
      </c>
      <c r="H4534" s="2" t="s">
        <v>1484</v>
      </c>
    </row>
    <row r="4535" customFormat="false" ht="15" hidden="false" customHeight="false" outlineLevel="1" collapsed="false">
      <c r="A4535" s="7" t="s">
        <v>825</v>
      </c>
      <c r="B4535" s="8" t="s">
        <v>64</v>
      </c>
      <c r="C4535" s="63" t="n">
        <f aca="false">IF(Pressupostos!$F$33=1,C4306-C4532*Pressupostos!$C$119*C4289,C4312)</f>
        <v>0.00725</v>
      </c>
      <c r="D4535" s="63" t="n">
        <f aca="false">IF(Pressupostos!$F$33=1,D4306-D4532*Pressupostos!$C$119*D4289,D4312)</f>
        <v>0.00725</v>
      </c>
      <c r="E4535" s="63" t="n">
        <f aca="false">IF(Pressupostos!$F$33=1,E4306-E4532*Pressupostos!$C$119*E4289,E4312)</f>
        <v>0.00725</v>
      </c>
      <c r="F4535" s="63" t="n">
        <f aca="false">IF(Pressupostos!$F$33=1,F4306-F4532*Pressupostos!$C$119*F4289,F4312)</f>
        <v>0.00725</v>
      </c>
      <c r="G4535" s="63" t="n">
        <f aca="false">IF(Pressupostos!$F$33=1,G4306-G4532*Pressupostos!$C$119*G4289,G4312)</f>
        <v>0.00725</v>
      </c>
      <c r="H4535" s="2" t="s">
        <v>1485</v>
      </c>
    </row>
    <row r="4536" customFormat="false" ht="15" hidden="false" customHeight="false" outlineLevel="1" collapsed="false">
      <c r="A4536" s="7" t="s">
        <v>826</v>
      </c>
      <c r="B4536" s="8" t="s">
        <v>120</v>
      </c>
      <c r="C4536" s="55" t="n">
        <f aca="false">IF(C4535&gt;0,C4225+C4531/(C4535*1000),"n/a")</f>
        <v>80873.5057038262</v>
      </c>
      <c r="D4536" s="55" t="n">
        <f aca="false">IF(D4535&gt;0,D4225+D4531/(D4535*1000),"n/a")</f>
        <v>96337.1940717998</v>
      </c>
      <c r="E4536" s="55" t="n">
        <f aca="false">IF(E4535&gt;0,E4225+E4531/(E4535*1000),"n/a")</f>
        <v>101639.45810522</v>
      </c>
      <c r="F4536" s="55" t="n">
        <f aca="false">IF(F4535&gt;0,F4225+F4531/(F4535*1000),"n/a")</f>
        <v>99964.9192668483</v>
      </c>
      <c r="G4536" s="55" t="n">
        <f aca="false">IF(G4535&gt;0,G4225+G4531/(G4535*1000),"n/a")</f>
        <v>86057.5366780792</v>
      </c>
      <c r="H4536" s="2" t="s">
        <v>1486</v>
      </c>
    </row>
    <row r="4537" customFormat="false" ht="15" hidden="false" customHeight="false" outlineLevel="1" collapsed="false">
      <c r="A4537" s="7" t="s">
        <v>827</v>
      </c>
      <c r="B4537" s="8" t="s">
        <v>76</v>
      </c>
      <c r="C4537" s="59" t="n">
        <f aca="false">C4531/(C4393+C4406+C4407)</f>
        <v>0.974504132631807</v>
      </c>
      <c r="D4537" s="59" t="n">
        <f aca="false">D4531/(D4393+D4406+D4407)</f>
        <v>0.902060561332522</v>
      </c>
      <c r="E4537" s="59" t="n">
        <f aca="false">E4531/(E4393+E4406+E4407)</f>
        <v>0.787508973727769</v>
      </c>
      <c r="F4537" s="59" t="n">
        <f aca="false">F4531/(F4393+F4406+F4407)</f>
        <v>0.65933493591733</v>
      </c>
      <c r="G4537" s="59" t="n">
        <f aca="false">G4531/(G4393+G4406+G4407)</f>
        <v>0.508922832812873</v>
      </c>
      <c r="H4537" s="2" t="s">
        <v>1487</v>
      </c>
    </row>
    <row r="4538" customFormat="false" ht="15" hidden="false" customHeight="false" outlineLevel="1" collapsed="false">
      <c r="A4538" s="2" t="s">
        <v>828</v>
      </c>
      <c r="B4538" s="8" t="s">
        <v>76</v>
      </c>
      <c r="C4538" s="60" t="n">
        <f aca="false">Pressupostos!$C$101*Pressupostos!$C$102+Pressupostos!$C$103-Pressupostos!$F$30*Pressupostos!$C$104*Pressupostos!$C$102/(Pressupostos!$C$105*Pressupostos!$C$106)</f>
        <v>0.02</v>
      </c>
      <c r="D4538" s="60" t="n">
        <f aca="false">Pressupostos!$C$101*Pressupostos!$C$102+Pressupostos!$C$103-Pressupostos!$F$30*Pressupostos!$C$104*Pressupostos!$C$102/(Pressupostos!$C$105*Pressupostos!$C$106)</f>
        <v>0.02</v>
      </c>
      <c r="E4538" s="60" t="n">
        <f aca="false">Pressupostos!$C$101*Pressupostos!$C$102+Pressupostos!$C$103-Pressupostos!$F$30*Pressupostos!$C$104*Pressupostos!$C$102/(Pressupostos!$C$105*Pressupostos!$C$106)</f>
        <v>0.02</v>
      </c>
      <c r="F4538" s="60" t="n">
        <f aca="false">Pressupostos!$C$101*Pressupostos!$C$102+Pressupostos!$C$103-Pressupostos!$F$30*Pressupostos!$C$104*Pressupostos!$C$102/(Pressupostos!$C$105*Pressupostos!$C$106)</f>
        <v>0.02</v>
      </c>
      <c r="G4538" s="60" t="n">
        <f aca="false">Pressupostos!$C$101*Pressupostos!$C$102+Pressupostos!$C$103-Pressupostos!$F$30*Pressupostos!$C$104*Pressupostos!$C$102/(Pressupostos!$C$105*Pressupostos!$C$106)</f>
        <v>0.02</v>
      </c>
      <c r="H4538" s="2" t="s">
        <v>1488</v>
      </c>
    </row>
    <row r="4539" customFormat="false" ht="15" hidden="false" customHeight="false" outlineLevel="1" collapsed="false">
      <c r="A4539" s="7" t="s">
        <v>829</v>
      </c>
      <c r="B4539" s="8" t="s">
        <v>11</v>
      </c>
      <c r="C4539" s="61" t="n">
        <f aca="false">IF(C4538&gt;0,C4238+C4531/C4538,"n/a")</f>
        <v>29316645.817637</v>
      </c>
      <c r="D4539" s="61" t="n">
        <f aca="false">IF(D4538&gt;0,D4238+D4531/D4538,"n/a")</f>
        <v>35240982.8510274</v>
      </c>
      <c r="E4539" s="61" t="n">
        <f aca="false">IF(E4538&gt;0,E4238+E4531/E4538,"n/a")</f>
        <v>37800553.5631422</v>
      </c>
      <c r="F4539" s="61" t="n">
        <f aca="false">IF(F4538&gt;0,F4238+F4531/F4538,"n/a")</f>
        <v>38331033.2342325</v>
      </c>
      <c r="G4539" s="61" t="n">
        <f aca="false">IF(G4538&gt;0,G4238+G4531/G4538,"n/a")</f>
        <v>34927107.0458037</v>
      </c>
      <c r="H4539" s="2" t="s">
        <v>1489</v>
      </c>
    </row>
    <row r="4542" customFormat="false" ht="15" hidden="false" customHeight="false" outlineLevel="0" collapsed="false">
      <c r="A4542" s="111" t="s">
        <v>1503</v>
      </c>
      <c r="B4542" s="112"/>
      <c r="C4542" s="112"/>
      <c r="D4542" s="112"/>
      <c r="E4542" s="112"/>
      <c r="F4542" s="112"/>
      <c r="G4542" s="112"/>
      <c r="H4542" s="112"/>
    </row>
    <row r="4543" customFormat="false" ht="15" hidden="false" customHeight="false" outlineLevel="0" collapsed="false">
      <c r="A4543" s="3" t="s">
        <v>1170</v>
      </c>
      <c r="B4543" s="4"/>
      <c r="C4543" s="4"/>
      <c r="D4543" s="4"/>
      <c r="E4543" s="4"/>
      <c r="F4543" s="4"/>
      <c r="G4543" s="4"/>
      <c r="H4543" s="4"/>
    </row>
    <row r="4544" customFormat="false" ht="15" hidden="false" customHeight="false" outlineLevel="1" collapsed="false">
      <c r="A4544" s="7" t="s">
        <v>588</v>
      </c>
      <c r="B4544" s="8"/>
      <c r="C4544" s="52" t="n">
        <v>2027</v>
      </c>
      <c r="D4544" s="52" t="n">
        <v>2028</v>
      </c>
      <c r="E4544" s="52" t="n">
        <v>2029</v>
      </c>
      <c r="F4544" s="52" t="n">
        <v>2030</v>
      </c>
      <c r="G4544" s="52" t="n">
        <v>2031</v>
      </c>
      <c r="H4544" s="2" t="s">
        <v>20</v>
      </c>
    </row>
    <row r="4545" customFormat="false" ht="15" hidden="false" customHeight="false" outlineLevel="0" collapsed="false">
      <c r="A4545" s="3" t="s">
        <v>1171</v>
      </c>
      <c r="B4545" s="4"/>
      <c r="C4545" s="4"/>
      <c r="D4545" s="4"/>
      <c r="E4545" s="4"/>
      <c r="F4545" s="4"/>
      <c r="G4545" s="4"/>
      <c r="H4545" s="4"/>
    </row>
    <row r="4546" customFormat="false" ht="15" hidden="false" customHeight="false" outlineLevel="1" collapsed="false">
      <c r="A4546" s="7" t="s">
        <v>387</v>
      </c>
      <c r="B4546" s="8" t="s">
        <v>123</v>
      </c>
      <c r="C4546" s="53" t="n">
        <f aca="false">Pressupostos!$C$215</f>
        <v>40</v>
      </c>
      <c r="D4546" s="53" t="n">
        <f aca="false">Pressupostos!$D$215</f>
        <v>150</v>
      </c>
      <c r="E4546" s="53" t="n">
        <f aca="false">Pressupostos!$E$215</f>
        <v>400</v>
      </c>
      <c r="F4546" s="53" t="n">
        <f aca="false">Pressupostos!$F$215</f>
        <v>700</v>
      </c>
      <c r="G4546" s="53" t="n">
        <f aca="false">Pressupostos!$G$215</f>
        <v>1000</v>
      </c>
      <c r="H4546" s="2" t="s">
        <v>1172</v>
      </c>
    </row>
    <row r="4547" customFormat="false" ht="15" hidden="false" customHeight="false" outlineLevel="1" collapsed="false">
      <c r="A4547" s="7" t="s">
        <v>590</v>
      </c>
      <c r="B4547" s="8" t="s">
        <v>120</v>
      </c>
      <c r="C4547" s="54" t="n">
        <f aca="false">Pressupostos!$C$221</f>
        <v>8.2</v>
      </c>
      <c r="D4547" s="54" t="n">
        <f aca="false">Pressupostos!$D$221</f>
        <v>30.75</v>
      </c>
      <c r="E4547" s="54" t="n">
        <f aca="false">Pressupostos!$E$221</f>
        <v>82</v>
      </c>
      <c r="F4547" s="54" t="n">
        <f aca="false">Pressupostos!$F$221</f>
        <v>143.5</v>
      </c>
      <c r="G4547" s="54" t="n">
        <f aca="false">Pressupostos!$G$221</f>
        <v>205</v>
      </c>
      <c r="H4547" s="2" t="s">
        <v>1173</v>
      </c>
    </row>
    <row r="4548" customFormat="false" ht="15" hidden="false" customHeight="false" outlineLevel="1" collapsed="false">
      <c r="A4548" s="7" t="s">
        <v>591</v>
      </c>
      <c r="B4548" s="8" t="s">
        <v>120</v>
      </c>
      <c r="C4548" s="54" t="n">
        <f aca="false">Pressupostos!$C$227</f>
        <v>52</v>
      </c>
      <c r="D4548" s="54" t="n">
        <f aca="false">Pressupostos!$D$227</f>
        <v>363</v>
      </c>
      <c r="E4548" s="54" t="n">
        <f aca="false">Pressupostos!$E$227</f>
        <v>717</v>
      </c>
      <c r="F4548" s="54" t="n">
        <f aca="false">Pressupostos!$F$227</f>
        <v>1183</v>
      </c>
      <c r="G4548" s="54" t="n">
        <f aca="false">Pressupostos!$G$227</f>
        <v>1790</v>
      </c>
      <c r="H4548" s="2" t="s">
        <v>1174</v>
      </c>
    </row>
    <row r="4549" customFormat="false" ht="15" hidden="false" customHeight="false" outlineLevel="1" collapsed="false">
      <c r="A4549" s="7" t="s">
        <v>398</v>
      </c>
      <c r="B4549" s="8" t="s">
        <v>120</v>
      </c>
      <c r="C4549" s="54" t="n">
        <f aca="false">Pressupostos!$C$233</f>
        <v>0</v>
      </c>
      <c r="D4549" s="54" t="n">
        <f aca="false">Pressupostos!$D$233</f>
        <v>500</v>
      </c>
      <c r="E4549" s="54" t="n">
        <f aca="false">Pressupostos!$E$233</f>
        <v>1500</v>
      </c>
      <c r="F4549" s="54" t="n">
        <f aca="false">Pressupostos!$F$233</f>
        <v>2500</v>
      </c>
      <c r="G4549" s="54" t="n">
        <f aca="false">Pressupostos!$G$233</f>
        <v>3500</v>
      </c>
      <c r="H4549" s="2" t="s">
        <v>1175</v>
      </c>
    </row>
    <row r="4550" customFormat="false" ht="15" hidden="false" customHeight="false" outlineLevel="1" collapsed="false">
      <c r="A4550" s="7" t="s">
        <v>592</v>
      </c>
      <c r="B4550" s="8" t="s">
        <v>120</v>
      </c>
      <c r="C4550" s="55" t="n">
        <f aca="false">C4549*Pressupostos!$F$33</f>
        <v>0</v>
      </c>
      <c r="D4550" s="55" t="n">
        <f aca="false">D4549*Pressupostos!$F$33</f>
        <v>0</v>
      </c>
      <c r="E4550" s="55" t="n">
        <f aca="false">E4549*Pressupostos!$F$33</f>
        <v>0</v>
      </c>
      <c r="F4550" s="55" t="n">
        <f aca="false">F4549*Pressupostos!$F$33</f>
        <v>0</v>
      </c>
      <c r="G4550" s="55" t="n">
        <f aca="false">G4549*Pressupostos!$F$33</f>
        <v>0</v>
      </c>
      <c r="H4550" s="2" t="s">
        <v>1176</v>
      </c>
    </row>
    <row r="4551" customFormat="false" ht="15" hidden="false" customHeight="false" outlineLevel="1" collapsed="false">
      <c r="A4551" s="7" t="s">
        <v>593</v>
      </c>
      <c r="B4551" s="8" t="s">
        <v>120</v>
      </c>
      <c r="C4551" s="55" t="n">
        <f aca="false">C4549-C4550</f>
        <v>0</v>
      </c>
      <c r="D4551" s="55" t="n">
        <f aca="false">D4549-D4550</f>
        <v>500</v>
      </c>
      <c r="E4551" s="55" t="n">
        <f aca="false">E4549-E4550</f>
        <v>1500</v>
      </c>
      <c r="F4551" s="55" t="n">
        <f aca="false">F4549-F4550</f>
        <v>2500</v>
      </c>
      <c r="G4551" s="55" t="n">
        <f aca="false">G4549-G4550</f>
        <v>3500</v>
      </c>
      <c r="H4551" s="2" t="s">
        <v>1177</v>
      </c>
    </row>
    <row r="4552" customFormat="false" ht="15" hidden="false" customHeight="false" outlineLevel="1" collapsed="false">
      <c r="A4552" s="56" t="s">
        <v>594</v>
      </c>
      <c r="B4552" s="57" t="s">
        <v>120</v>
      </c>
      <c r="C4552" s="58" t="n">
        <f aca="false">C4547+C4548+C4549</f>
        <v>60.2</v>
      </c>
      <c r="D4552" s="58" t="n">
        <f aca="false">D4547+D4548+D4549</f>
        <v>893.75</v>
      </c>
      <c r="E4552" s="58" t="n">
        <f aca="false">E4547+E4548+E4549</f>
        <v>2299</v>
      </c>
      <c r="F4552" s="58" t="n">
        <f aca="false">F4547+F4548+F4549</f>
        <v>3826.5</v>
      </c>
      <c r="G4552" s="58" t="n">
        <f aca="false">G4547+G4548+G4549</f>
        <v>5495</v>
      </c>
      <c r="H4552" s="2" t="s">
        <v>1178</v>
      </c>
    </row>
    <row r="4553" customFormat="false" ht="15" hidden="false" customHeight="false" outlineLevel="1" collapsed="false">
      <c r="A4553" s="7" t="s">
        <v>595</v>
      </c>
      <c r="B4553" s="8" t="s">
        <v>76</v>
      </c>
      <c r="C4553" s="59" t="n">
        <f aca="false">IF(C4552&gt;0,C4547/C4552,0)</f>
        <v>0.136212624584718</v>
      </c>
      <c r="D4553" s="59" t="n">
        <f aca="false">IF(D4552&gt;0,D4547/D4552,0)</f>
        <v>0.0344055944055944</v>
      </c>
      <c r="E4553" s="59" t="n">
        <f aca="false">IF(E4552&gt;0,E4547/E4552,0)</f>
        <v>0.035667681600696</v>
      </c>
      <c r="F4553" s="59" t="n">
        <f aca="false">IF(F4552&gt;0,F4547/F4552,0)</f>
        <v>0.0375016333464001</v>
      </c>
      <c r="G4553" s="59" t="n">
        <f aca="false">IF(G4552&gt;0,G4547/G4552,0)</f>
        <v>0.0373066424021838</v>
      </c>
      <c r="H4553" s="2" t="s">
        <v>1179</v>
      </c>
    </row>
    <row r="4554" customFormat="false" ht="15" hidden="false" customHeight="false" outlineLevel="1" collapsed="false">
      <c r="A4554" s="7" t="s">
        <v>596</v>
      </c>
      <c r="B4554" s="8" t="s">
        <v>76</v>
      </c>
      <c r="C4554" s="60" t="n">
        <f aca="false">C4552/(Pressupostos!$C$76*1000)</f>
        <v>0.000355162241887906</v>
      </c>
      <c r="D4554" s="60" t="n">
        <f aca="false">D4552/(Pressupostos!$C$76*1000)</f>
        <v>0.00527286135693215</v>
      </c>
      <c r="E4554" s="60" t="n">
        <f aca="false">E4552/(Pressupostos!$C$76*1000)</f>
        <v>0.0135634218289086</v>
      </c>
      <c r="F4554" s="60" t="n">
        <f aca="false">F4552/(Pressupostos!$C$76*1000)</f>
        <v>0.0225752212389381</v>
      </c>
      <c r="G4554" s="60" t="n">
        <f aca="false">G4552/(Pressupostos!$C$76*1000)</f>
        <v>0.0324188790560472</v>
      </c>
      <c r="H4554" s="2" t="s">
        <v>1180</v>
      </c>
    </row>
    <row r="4555" customFormat="false" ht="15" hidden="false" customHeight="false" outlineLevel="1" collapsed="false">
      <c r="A4555" s="7" t="s">
        <v>597</v>
      </c>
      <c r="B4555" s="8" t="s">
        <v>123</v>
      </c>
      <c r="C4555" s="55" t="n">
        <f aca="false">C4547/Pressupostos!$C$40+C4548/Pressupostos!$C$47+C4549/Pressupostos!$C$59</f>
        <v>2.14333333333333</v>
      </c>
      <c r="D4555" s="55" t="n">
        <f aca="false">D4547/Pressupostos!$C$40+D4548/Pressupostos!$C$47+D4549/Pressupostos!$C$59</f>
        <v>18.6375</v>
      </c>
      <c r="E4555" s="55" t="n">
        <f aca="false">E4547/Pressupostos!$C$40+E4548/Pressupostos!$C$47+E4549/Pressupostos!$C$59</f>
        <v>43</v>
      </c>
      <c r="F4555" s="55" t="n">
        <f aca="false">F4547/Pressupostos!$C$40+F4548/Pressupostos!$C$47+F4549/Pressupostos!$C$59</f>
        <v>71.6083333333333</v>
      </c>
      <c r="G4555" s="55" t="n">
        <f aca="false">G4547/Pressupostos!$C$40+G4548/Pressupostos!$C$47+G4549/Pressupostos!$C$59</f>
        <v>104.916666666667</v>
      </c>
      <c r="H4555" s="2" t="s">
        <v>1181</v>
      </c>
    </row>
    <row r="4556" customFormat="false" ht="15" hidden="false" customHeight="false" outlineLevel="0" collapsed="false">
      <c r="A4556" s="3" t="s">
        <v>1182</v>
      </c>
      <c r="B4556" s="4"/>
      <c r="C4556" s="4"/>
      <c r="D4556" s="4"/>
      <c r="E4556" s="4"/>
      <c r="F4556" s="4"/>
      <c r="G4556" s="4"/>
      <c r="H4556" s="4"/>
    </row>
    <row r="4557" customFormat="false" ht="15" hidden="false" customHeight="false" outlineLevel="1" collapsed="false">
      <c r="A4557" s="7" t="s">
        <v>599</v>
      </c>
      <c r="B4557" s="8" t="s">
        <v>202</v>
      </c>
      <c r="C4557" s="53" t="n">
        <f aca="false">Pressupostos!$C$259</f>
        <v>36</v>
      </c>
      <c r="D4557" s="53" t="n">
        <f aca="false">Pressupostos!$D$259</f>
        <v>135</v>
      </c>
      <c r="E4557" s="53" t="n">
        <f aca="false">Pressupostos!$E$259</f>
        <v>360</v>
      </c>
      <c r="F4557" s="53" t="n">
        <f aca="false">Pressupostos!$F$259</f>
        <v>630</v>
      </c>
      <c r="G4557" s="53" t="n">
        <f aca="false">Pressupostos!$G$259</f>
        <v>900</v>
      </c>
      <c r="H4557" s="2" t="s">
        <v>1183</v>
      </c>
    </row>
    <row r="4558" customFormat="false" ht="15" hidden="false" customHeight="false" outlineLevel="1" collapsed="false">
      <c r="A4558" s="7" t="s">
        <v>599</v>
      </c>
      <c r="B4558" s="8" t="s">
        <v>189</v>
      </c>
      <c r="C4558" s="61" t="n">
        <f aca="false">C4557*Pressupostos!$C$78</f>
        <v>27000</v>
      </c>
      <c r="D4558" s="61" t="n">
        <f aca="false">D4557*Pressupostos!$C$78</f>
        <v>101250</v>
      </c>
      <c r="E4558" s="61" t="n">
        <f aca="false">E4557*Pressupostos!$C$78</f>
        <v>270000</v>
      </c>
      <c r="F4558" s="61" t="n">
        <f aca="false">F4557*Pressupostos!$C$78</f>
        <v>472500</v>
      </c>
      <c r="G4558" s="61" t="n">
        <f aca="false">G4557*Pressupostos!$C$78</f>
        <v>675000</v>
      </c>
      <c r="H4558" s="2" t="s">
        <v>1184</v>
      </c>
    </row>
    <row r="4559" customFormat="false" ht="15" hidden="false" customHeight="false" outlineLevel="0" collapsed="false">
      <c r="A4559" s="3" t="s">
        <v>1185</v>
      </c>
      <c r="B4559" s="4"/>
      <c r="C4559" s="4"/>
      <c r="D4559" s="4"/>
      <c r="E4559" s="4"/>
      <c r="F4559" s="4"/>
      <c r="G4559" s="4"/>
      <c r="H4559" s="4"/>
    </row>
    <row r="4560" customFormat="false" ht="15" hidden="false" customHeight="false" outlineLevel="1" collapsed="false">
      <c r="A4560" s="7" t="s">
        <v>601</v>
      </c>
      <c r="B4560" s="8" t="s">
        <v>120</v>
      </c>
      <c r="C4560" s="55" t="n">
        <f aca="false">IF(C4544&lt;Pressupostos!$F$28,0,Pressupostos!$C$265)</f>
        <v>0</v>
      </c>
      <c r="D4560" s="55" t="n">
        <f aca="false">IF(D4544&lt;Pressupostos!$F$28,0,Pressupostos!$D$265)</f>
        <v>0</v>
      </c>
      <c r="E4560" s="55" t="n">
        <f aca="false">IF(E4544&lt;Pressupostos!$F$28,0,Pressupostos!$E$265)</f>
        <v>0</v>
      </c>
      <c r="F4560" s="55" t="n">
        <f aca="false">IF(F4544&lt;Pressupostos!$F$28,0,Pressupostos!$F$265)</f>
        <v>20</v>
      </c>
      <c r="G4560" s="55" t="n">
        <f aca="false">IF(G4544&lt;Pressupostos!$F$28,0,Pressupostos!$G$265)</f>
        <v>50</v>
      </c>
      <c r="H4560" s="2" t="s">
        <v>1186</v>
      </c>
    </row>
    <row r="4561" customFormat="false" ht="15" hidden="false" customHeight="false" outlineLevel="0" collapsed="false">
      <c r="A4561" s="3" t="s">
        <v>1187</v>
      </c>
      <c r="B4561" s="4"/>
      <c r="C4561" s="4"/>
      <c r="D4561" s="4"/>
      <c r="E4561" s="4"/>
      <c r="F4561" s="4"/>
      <c r="G4561" s="4"/>
      <c r="H4561" s="4"/>
    </row>
    <row r="4562" customFormat="false" ht="15" hidden="false" customHeight="false" outlineLevel="1" collapsed="false">
      <c r="A4562" s="7" t="s">
        <v>603</v>
      </c>
      <c r="B4562" s="8" t="s">
        <v>11</v>
      </c>
      <c r="C4562" s="53" t="n">
        <f aca="false">Pressupostos!$C$271</f>
        <v>0</v>
      </c>
      <c r="D4562" s="53" t="n">
        <f aca="false">Pressupostos!$D$271</f>
        <v>500000</v>
      </c>
      <c r="E4562" s="53" t="n">
        <f aca="false">Pressupostos!$E$271</f>
        <v>1500000</v>
      </c>
      <c r="F4562" s="53" t="n">
        <f aca="false">Pressupostos!$F$271</f>
        <v>3000000</v>
      </c>
      <c r="G4562" s="53" t="n">
        <f aca="false">Pressupostos!$G$271</f>
        <v>5000000</v>
      </c>
      <c r="H4562" s="2" t="s">
        <v>1188</v>
      </c>
    </row>
    <row r="4563" customFormat="false" ht="15" hidden="false" customHeight="false" outlineLevel="1" collapsed="false">
      <c r="A4563" s="7" t="s">
        <v>604</v>
      </c>
      <c r="B4563" s="8" t="s">
        <v>120</v>
      </c>
      <c r="C4563" s="55" t="n">
        <f aca="false">C4562/(Pressupostos!$C$105*Pressupostos!$C$106)*Pressupostos!$C$102/1000</f>
        <v>0</v>
      </c>
      <c r="D4563" s="55" t="n">
        <f aca="false">D4562/(Pressupostos!$C$105*Pressupostos!$C$106)*Pressupostos!$C$102/1000</f>
        <v>457.142857142857</v>
      </c>
      <c r="E4563" s="55" t="n">
        <f aca="false">E4562/(Pressupostos!$C$105*Pressupostos!$C$106)*Pressupostos!$C$102/1000</f>
        <v>1371.42857142857</v>
      </c>
      <c r="F4563" s="55" t="n">
        <f aca="false">F4562/(Pressupostos!$C$105*Pressupostos!$C$106)*Pressupostos!$C$102/1000</f>
        <v>2742.85714285714</v>
      </c>
      <c r="G4563" s="55" t="n">
        <f aca="false">G4562/(Pressupostos!$C$105*Pressupostos!$C$106)*Pressupostos!$C$102/1000</f>
        <v>4571.42857142857</v>
      </c>
      <c r="H4563" s="2" t="s">
        <v>1189</v>
      </c>
    </row>
    <row r="4564" customFormat="false" ht="15" hidden="false" customHeight="false" outlineLevel="0" collapsed="false">
      <c r="A4564" s="3" t="s">
        <v>1190</v>
      </c>
      <c r="B4564" s="4"/>
      <c r="C4564" s="4"/>
      <c r="D4564" s="4"/>
      <c r="E4564" s="4"/>
      <c r="F4564" s="4"/>
      <c r="G4564" s="4"/>
      <c r="H4564" s="4"/>
    </row>
    <row r="4565" customFormat="false" ht="15" hidden="false" customHeight="false" outlineLevel="1" collapsed="false">
      <c r="A4565" s="7" t="s">
        <v>669</v>
      </c>
      <c r="B4565" s="8" t="s">
        <v>64</v>
      </c>
      <c r="C4565" s="63" t="n">
        <f aca="false">Pressupostos!$F$10+Pressupostos!$F$11</f>
        <v>3.65</v>
      </c>
      <c r="D4565" s="63" t="n">
        <f aca="false">Pressupostos!$F$10+Pressupostos!$F$11</f>
        <v>3.65</v>
      </c>
      <c r="E4565" s="63" t="n">
        <f aca="false">Pressupostos!$F$10+Pressupostos!$F$11</f>
        <v>3.65</v>
      </c>
      <c r="F4565" s="63" t="n">
        <f aca="false">Pressupostos!$F$10+Pressupostos!$F$11</f>
        <v>3.65</v>
      </c>
      <c r="G4565" s="63" t="n">
        <f aca="false">Pressupostos!$F$10+Pressupostos!$F$11</f>
        <v>3.65</v>
      </c>
      <c r="H4565" s="2" t="s">
        <v>1191</v>
      </c>
    </row>
    <row r="4566" customFormat="false" ht="15" hidden="false" customHeight="false" outlineLevel="1" collapsed="false">
      <c r="A4566" s="7" t="s">
        <v>670</v>
      </c>
      <c r="B4566" s="8" t="s">
        <v>64</v>
      </c>
      <c r="C4566" s="67" t="n">
        <f aca="false">Pressupostos!$F$15</f>
        <v>6</v>
      </c>
      <c r="D4566" s="67" t="n">
        <f aca="false">Pressupostos!$F$15</f>
        <v>6</v>
      </c>
      <c r="E4566" s="67" t="n">
        <f aca="false">Pressupostos!$F$15</f>
        <v>6</v>
      </c>
      <c r="F4566" s="67" t="n">
        <f aca="false">Pressupostos!$F$15</f>
        <v>6</v>
      </c>
      <c r="G4566" s="67" t="n">
        <f aca="false">Pressupostos!$F$15</f>
        <v>6</v>
      </c>
      <c r="H4566" s="2" t="s">
        <v>1192</v>
      </c>
    </row>
    <row r="4567" customFormat="false" ht="15" hidden="false" customHeight="false" outlineLevel="1" collapsed="false">
      <c r="A4567" s="56" t="s">
        <v>671</v>
      </c>
      <c r="B4567" s="57" t="s">
        <v>64</v>
      </c>
      <c r="C4567" s="68" t="n">
        <f aca="false">C4566*(1-(Pressupostos!$C$192))</f>
        <v>5.25</v>
      </c>
      <c r="D4567" s="68" t="n">
        <f aca="false">D4566*(1-(Pressupostos!$C$192))</f>
        <v>5.25</v>
      </c>
      <c r="E4567" s="68" t="n">
        <f aca="false">E4566*(1-(Pressupostos!$C$192))</f>
        <v>5.25</v>
      </c>
      <c r="F4567" s="68" t="n">
        <f aca="false">F4566*(1-(Pressupostos!$C$192))</f>
        <v>5.25</v>
      </c>
      <c r="G4567" s="68" t="n">
        <f aca="false">G4566*(1-(Pressupostos!$C$192))</f>
        <v>5.25</v>
      </c>
      <c r="H4567" s="2" t="s">
        <v>1193</v>
      </c>
    </row>
    <row r="4568" customFormat="false" ht="15" hidden="false" customHeight="false" outlineLevel="1" collapsed="false">
      <c r="A4568" s="7" t="s">
        <v>144</v>
      </c>
      <c r="B4568" s="8" t="s">
        <v>64</v>
      </c>
      <c r="C4568" s="67" t="n">
        <f aca="false">Pressupostos!$C$38</f>
        <v>0.55</v>
      </c>
      <c r="D4568" s="67" t="n">
        <f aca="false">Pressupostos!$C$38</f>
        <v>0.55</v>
      </c>
      <c r="E4568" s="67" t="n">
        <f aca="false">Pressupostos!$C$38</f>
        <v>0.55</v>
      </c>
      <c r="F4568" s="67" t="n">
        <f aca="false">Pressupostos!$C$38</f>
        <v>0.55</v>
      </c>
      <c r="G4568" s="67" t="n">
        <f aca="false">Pressupostos!$C$38</f>
        <v>0.55</v>
      </c>
      <c r="H4568" s="2" t="s">
        <v>1194</v>
      </c>
    </row>
    <row r="4569" customFormat="false" ht="15" hidden="false" customHeight="false" outlineLevel="1" collapsed="false">
      <c r="A4569" s="7" t="s">
        <v>215</v>
      </c>
      <c r="B4569" s="8" t="s">
        <v>64</v>
      </c>
      <c r="C4569" s="67" t="n">
        <f aca="false">Pressupostos!$C$240</f>
        <v>0.3</v>
      </c>
      <c r="D4569" s="67" t="n">
        <f aca="false">Pressupostos!$D$240</f>
        <v>0.3</v>
      </c>
      <c r="E4569" s="67" t="n">
        <f aca="false">Pressupostos!$E$240</f>
        <v>0.28</v>
      </c>
      <c r="F4569" s="67" t="n">
        <f aca="false">Pressupostos!$F$240</f>
        <v>0.27</v>
      </c>
      <c r="G4569" s="67" t="n">
        <f aca="false">Pressupostos!$G$240</f>
        <v>0.27</v>
      </c>
      <c r="H4569" s="2" t="s">
        <v>1195</v>
      </c>
    </row>
    <row r="4570" customFormat="false" ht="15" hidden="false" customHeight="false" outlineLevel="1" collapsed="false">
      <c r="A4570" s="7" t="s">
        <v>117</v>
      </c>
      <c r="B4570" s="8" t="s">
        <v>64</v>
      </c>
      <c r="C4570" s="67" t="n">
        <f aca="false">Pressupostos!$C$39</f>
        <v>0.06</v>
      </c>
      <c r="D4570" s="67" t="n">
        <f aca="false">Pressupostos!$C$39</f>
        <v>0.06</v>
      </c>
      <c r="E4570" s="67" t="n">
        <f aca="false">Pressupostos!$C$39</f>
        <v>0.06</v>
      </c>
      <c r="F4570" s="67" t="n">
        <f aca="false">Pressupostos!$C$39</f>
        <v>0.06</v>
      </c>
      <c r="G4570" s="67" t="n">
        <f aca="false">Pressupostos!$C$39</f>
        <v>0.06</v>
      </c>
      <c r="H4570" s="2" t="s">
        <v>1196</v>
      </c>
    </row>
    <row r="4571" customFormat="false" ht="15" hidden="false" customHeight="false" outlineLevel="1" collapsed="false">
      <c r="A4571" s="7" t="s">
        <v>91</v>
      </c>
      <c r="B4571" s="8" t="s">
        <v>79</v>
      </c>
      <c r="C4571" s="69" t="n">
        <f aca="false">Pressupostos!$C$246</f>
        <v>180</v>
      </c>
      <c r="D4571" s="69" t="n">
        <f aca="false">Pressupostos!$D$246</f>
        <v>180</v>
      </c>
      <c r="E4571" s="69" t="n">
        <f aca="false">Pressupostos!$E$246</f>
        <v>45</v>
      </c>
      <c r="F4571" s="69" t="n">
        <f aca="false">Pressupostos!$F$246</f>
        <v>45</v>
      </c>
      <c r="G4571" s="69" t="n">
        <f aca="false">Pressupostos!$G$246</f>
        <v>45</v>
      </c>
      <c r="H4571" s="2" t="s">
        <v>1197</v>
      </c>
    </row>
    <row r="4572" customFormat="false" ht="15" hidden="false" customHeight="false" outlineLevel="1" collapsed="false">
      <c r="A4572" s="7" t="s">
        <v>78</v>
      </c>
      <c r="B4572" s="8" t="s">
        <v>79</v>
      </c>
      <c r="C4572" s="69" t="n">
        <f aca="false">Pressupostos!$F$17</f>
        <v>35</v>
      </c>
      <c r="D4572" s="69" t="n">
        <f aca="false">Pressupostos!$F$17</f>
        <v>35</v>
      </c>
      <c r="E4572" s="69" t="n">
        <f aca="false">Pressupostos!$F$17</f>
        <v>35</v>
      </c>
      <c r="F4572" s="69" t="n">
        <f aca="false">Pressupostos!$F$17</f>
        <v>35</v>
      </c>
      <c r="G4572" s="69" t="n">
        <f aca="false">Pressupostos!$F$17</f>
        <v>35</v>
      </c>
      <c r="H4572" s="2" t="s">
        <v>1198</v>
      </c>
    </row>
    <row r="4573" customFormat="false" ht="15" hidden="false" customHeight="false" outlineLevel="1" collapsed="false">
      <c r="A4573" s="7" t="s">
        <v>490</v>
      </c>
      <c r="B4573" s="8" t="s">
        <v>64</v>
      </c>
      <c r="C4573" s="63" t="n">
        <f aca="false">Pressupostos!$C$66*C4571/30/1000</f>
        <v>0.024</v>
      </c>
      <c r="D4573" s="63" t="n">
        <f aca="false">Pressupostos!$C$66*D4571/30/1000</f>
        <v>0.024</v>
      </c>
      <c r="E4573" s="63" t="n">
        <f aca="false">Pressupostos!$C$66*E4571/30/1000</f>
        <v>0.006</v>
      </c>
      <c r="F4573" s="63" t="n">
        <f aca="false">Pressupostos!$C$66*F4571/30/1000</f>
        <v>0.006</v>
      </c>
      <c r="G4573" s="63" t="n">
        <f aca="false">Pressupostos!$C$66*G4571/30/1000</f>
        <v>0.006</v>
      </c>
      <c r="H4573" s="2" t="s">
        <v>1199</v>
      </c>
    </row>
    <row r="4574" customFormat="false" ht="15" hidden="false" customHeight="false" outlineLevel="1" collapsed="false">
      <c r="A4574" s="7" t="s">
        <v>165</v>
      </c>
      <c r="B4574" s="8" t="s">
        <v>64</v>
      </c>
      <c r="C4574" s="63" t="n">
        <f aca="false">C4565*Pressupostos!$C$67*C4571/365</f>
        <v>0.0036</v>
      </c>
      <c r="D4574" s="63" t="n">
        <f aca="false">D4565*Pressupostos!$C$67*D4571/365</f>
        <v>0.0036</v>
      </c>
      <c r="E4574" s="63" t="n">
        <f aca="false">E4565*Pressupostos!$C$67*E4571/365</f>
        <v>0.0009</v>
      </c>
      <c r="F4574" s="63" t="n">
        <f aca="false">F4565*Pressupostos!$C$67*F4571/365</f>
        <v>0.0009</v>
      </c>
      <c r="G4574" s="63" t="n">
        <f aca="false">G4565*Pressupostos!$C$67*G4571/365</f>
        <v>0.0009</v>
      </c>
      <c r="H4574" s="2" t="s">
        <v>1200</v>
      </c>
    </row>
    <row r="4575" customFormat="false" ht="15" hidden="false" customHeight="false" outlineLevel="1" collapsed="false">
      <c r="A4575" s="7" t="s">
        <v>672</v>
      </c>
      <c r="B4575" s="8" t="s">
        <v>64</v>
      </c>
      <c r="C4575" s="63" t="n">
        <f aca="false">Pressupostos!$C$41*Pressupostos!$C$68/(Pressupostos!$C$40*1000)</f>
        <v>0.03</v>
      </c>
      <c r="D4575" s="63" t="n">
        <f aca="false">Pressupostos!$C$41*Pressupostos!$C$68/(Pressupostos!$C$40*1000)</f>
        <v>0.03</v>
      </c>
      <c r="E4575" s="63" t="n">
        <f aca="false">Pressupostos!$C$41*Pressupostos!$C$68/(Pressupostos!$C$40*1000)</f>
        <v>0.03</v>
      </c>
      <c r="F4575" s="63" t="n">
        <f aca="false">Pressupostos!$C$41*Pressupostos!$C$68/(Pressupostos!$C$40*1000)</f>
        <v>0.03</v>
      </c>
      <c r="G4575" s="63" t="n">
        <f aca="false">Pressupostos!$C$41*Pressupostos!$C$68/(Pressupostos!$C$40*1000)</f>
        <v>0.03</v>
      </c>
      <c r="H4575" s="2" t="s">
        <v>1201</v>
      </c>
    </row>
    <row r="4576" customFormat="false" ht="15" hidden="false" customHeight="false" outlineLevel="1" collapsed="false">
      <c r="A4576" s="7" t="s">
        <v>492</v>
      </c>
      <c r="B4576" s="8" t="s">
        <v>64</v>
      </c>
      <c r="C4576" s="63" t="n">
        <f aca="false">Pressupostos!$C$69*C4565</f>
        <v>0.01825</v>
      </c>
      <c r="D4576" s="63" t="n">
        <f aca="false">Pressupostos!$C$69*D4565</f>
        <v>0.01825</v>
      </c>
      <c r="E4576" s="63" t="n">
        <f aca="false">Pressupostos!$C$69*E4565</f>
        <v>0.01825</v>
      </c>
      <c r="F4576" s="63" t="n">
        <f aca="false">Pressupostos!$C$69*F4565</f>
        <v>0.01825</v>
      </c>
      <c r="G4576" s="63" t="n">
        <f aca="false">Pressupostos!$C$69*G4565</f>
        <v>0.01825</v>
      </c>
      <c r="H4576" s="2" t="s">
        <v>1202</v>
      </c>
    </row>
    <row r="4577" customFormat="false" ht="15" hidden="false" customHeight="false" outlineLevel="1" collapsed="false">
      <c r="A4577" s="7" t="s">
        <v>493</v>
      </c>
      <c r="B4577" s="8" t="s">
        <v>64</v>
      </c>
      <c r="C4577" s="63" t="n">
        <f aca="false">Pressupostos!$C$70*Pressupostos!$C$71*C4571/90</f>
        <v>0.018</v>
      </c>
      <c r="D4577" s="63" t="n">
        <f aca="false">Pressupostos!$C$70*Pressupostos!$C$71*D4571/90</f>
        <v>0.018</v>
      </c>
      <c r="E4577" s="63" t="n">
        <f aca="false">Pressupostos!$C$70*Pressupostos!$C$71*E4571/90</f>
        <v>0.0045</v>
      </c>
      <c r="F4577" s="63" t="n">
        <f aca="false">Pressupostos!$C$70*Pressupostos!$C$71*F4571/90</f>
        <v>0.0045</v>
      </c>
      <c r="G4577" s="63" t="n">
        <f aca="false">Pressupostos!$C$70*Pressupostos!$C$71*G4571/90</f>
        <v>0.0045</v>
      </c>
      <c r="H4577" s="2" t="s">
        <v>1203</v>
      </c>
    </row>
    <row r="4578" customFormat="false" ht="15" hidden="false" customHeight="false" outlineLevel="1" collapsed="false">
      <c r="A4578" s="7" t="s">
        <v>673</v>
      </c>
      <c r="B4578" s="8" t="s">
        <v>64</v>
      </c>
      <c r="C4578" s="63" t="n">
        <f aca="false">Pressupostos!$C$42/(Pressupostos!$C$40*1000)</f>
        <v>0.1</v>
      </c>
      <c r="D4578" s="63" t="n">
        <f aca="false">Pressupostos!$C$42/(Pressupostos!$C$40*1000)</f>
        <v>0.1</v>
      </c>
      <c r="E4578" s="63" t="n">
        <f aca="false">Pressupostos!$C$42/(Pressupostos!$C$40*1000)</f>
        <v>0.1</v>
      </c>
      <c r="F4578" s="63" t="n">
        <f aca="false">Pressupostos!$C$42/(Pressupostos!$C$40*1000)</f>
        <v>0.1</v>
      </c>
      <c r="G4578" s="63" t="n">
        <f aca="false">Pressupostos!$C$42/(Pressupostos!$C$40*1000)</f>
        <v>0.1</v>
      </c>
      <c r="H4578" s="2" t="s">
        <v>1204</v>
      </c>
    </row>
    <row r="4579" customFormat="false" ht="15" hidden="false" customHeight="false" outlineLevel="1" collapsed="false">
      <c r="A4579" s="7" t="s">
        <v>139</v>
      </c>
      <c r="B4579" s="8" t="s">
        <v>64</v>
      </c>
      <c r="C4579" s="67" t="n">
        <f aca="false">Pressupostos!$C$43</f>
        <v>0.01</v>
      </c>
      <c r="D4579" s="67" t="n">
        <f aca="false">Pressupostos!$C$43</f>
        <v>0.01</v>
      </c>
      <c r="E4579" s="67" t="n">
        <f aca="false">Pressupostos!$C$43</f>
        <v>0.01</v>
      </c>
      <c r="F4579" s="67" t="n">
        <f aca="false">Pressupostos!$C$43</f>
        <v>0.01</v>
      </c>
      <c r="G4579" s="67" t="n">
        <f aca="false">Pressupostos!$C$43</f>
        <v>0.01</v>
      </c>
      <c r="H4579" s="2" t="s">
        <v>1205</v>
      </c>
    </row>
    <row r="4580" customFormat="false" ht="15" hidden="false" customHeight="false" outlineLevel="1" collapsed="false">
      <c r="A4580" s="7" t="s">
        <v>81</v>
      </c>
      <c r="B4580" s="8" t="s">
        <v>64</v>
      </c>
      <c r="C4580" s="63" t="n">
        <f aca="false">Pressupostos!$F$18*C4567</f>
        <v>0.0315</v>
      </c>
      <c r="D4580" s="63" t="n">
        <f aca="false">Pressupostos!$F$18*D4567</f>
        <v>0.0315</v>
      </c>
      <c r="E4580" s="63" t="n">
        <f aca="false">Pressupostos!$F$18*E4567</f>
        <v>0.0315</v>
      </c>
      <c r="F4580" s="63" t="n">
        <f aca="false">Pressupostos!$F$18*F4567</f>
        <v>0.0315</v>
      </c>
      <c r="G4580" s="63" t="n">
        <f aca="false">Pressupostos!$F$18*G4567</f>
        <v>0.0315</v>
      </c>
      <c r="H4580" s="2" t="s">
        <v>1206</v>
      </c>
    </row>
    <row r="4581" customFormat="false" ht="15" hidden="false" customHeight="false" outlineLevel="1" collapsed="false">
      <c r="A4581" s="7" t="s">
        <v>674</v>
      </c>
      <c r="B4581" s="8" t="s">
        <v>64</v>
      </c>
      <c r="C4581" s="63" t="n">
        <f aca="false">Pressupostos!$C$73*C4567</f>
        <v>0</v>
      </c>
      <c r="D4581" s="63" t="n">
        <f aca="false">Pressupostos!$C$73*D4567</f>
        <v>0</v>
      </c>
      <c r="E4581" s="63" t="n">
        <f aca="false">Pressupostos!$C$73*E4567</f>
        <v>0</v>
      </c>
      <c r="F4581" s="63" t="n">
        <f aca="false">Pressupostos!$C$73*F4567</f>
        <v>0</v>
      </c>
      <c r="G4581" s="63" t="n">
        <f aca="false">Pressupostos!$C$73*G4567</f>
        <v>0</v>
      </c>
      <c r="H4581" s="2" t="s">
        <v>1207</v>
      </c>
    </row>
    <row r="4582" customFormat="false" ht="15" hidden="false" customHeight="false" outlineLevel="1" collapsed="false">
      <c r="A4582" s="7" t="s">
        <v>675</v>
      </c>
      <c r="B4582" s="8" t="s">
        <v>64</v>
      </c>
      <c r="C4582" s="63" t="n">
        <f aca="false">Pressupostos!$C$290*(C4565+C4568)*(C4571+C4572-Pressupostos!$C$72)/365*Pressupostos!$C$284/Pressupostos!$F$31</f>
        <v>0</v>
      </c>
      <c r="D4582" s="63" t="n">
        <f aca="false">Pressupostos!$D$290*(D4565+D4568)*(D4571+D4572-Pressupostos!$C$72)/365*Pressupostos!$D$284/Pressupostos!$F$31</f>
        <v>0.159657534246575</v>
      </c>
      <c r="E4582" s="63" t="n">
        <f aca="false">Pressupostos!$E$290*(E4565+E4568)*(E4571+E4572-Pressupostos!$C$72)/365*Pressupostos!$E$284/Pressupostos!$F$31</f>
        <v>0.0404537671232877</v>
      </c>
      <c r="F4582" s="63" t="n">
        <f aca="false">Pressupostos!$F$290*(F4565+F4568)*(F4571+F4572-Pressupostos!$C$72)/365*Pressupostos!$F$284/Pressupostos!$F$31</f>
        <v>0.0377568493150685</v>
      </c>
      <c r="G4582" s="63" t="n">
        <f aca="false">Pressupostos!$G$290*(G4565+G4568)*(G4571+G4572-Pressupostos!$C$72)/365*Pressupostos!$G$284/Pressupostos!$F$31</f>
        <v>0.0377568493150685</v>
      </c>
      <c r="H4582" s="2" t="s">
        <v>1208</v>
      </c>
    </row>
    <row r="4583" customFormat="false" ht="15" hidden="false" customHeight="false" outlineLevel="1" collapsed="false">
      <c r="A4583" s="7" t="s">
        <v>676</v>
      </c>
      <c r="B4583" s="8" t="s">
        <v>64</v>
      </c>
      <c r="C4583" s="63" t="n">
        <f aca="false">C4565+C4568+C4569+C4570+C4573+C4574+C4575+C4576+C4577+C4578+C4579+C4580+C4581+C4582</f>
        <v>4.79535</v>
      </c>
      <c r="D4583" s="63" t="n">
        <f aca="false">D4565+D4568+D4569+D4570+D4573+D4574+D4575+D4576+D4577+D4578+D4579+D4580+D4581+D4582</f>
        <v>4.95500753424657</v>
      </c>
      <c r="E4583" s="63" t="n">
        <f aca="false">E4565+E4568+E4569+E4570+E4573+E4574+E4575+E4576+E4577+E4578+E4579+E4580+E4581+E4582</f>
        <v>4.78160376712329</v>
      </c>
      <c r="F4583" s="63" t="n">
        <f aca="false">F4565+F4568+F4569+F4570+F4573+F4574+F4575+F4576+F4577+F4578+F4579+F4580+F4581+F4582</f>
        <v>4.76890684931507</v>
      </c>
      <c r="G4583" s="63" t="n">
        <f aca="false">G4565+G4568+G4569+G4570+G4573+G4574+G4575+G4576+G4577+G4578+G4579+G4580+G4581+G4582</f>
        <v>4.76890684931507</v>
      </c>
      <c r="H4583" s="2" t="s">
        <v>1209</v>
      </c>
    </row>
    <row r="4584" customFormat="false" ht="15" hidden="false" customHeight="false" outlineLevel="1" collapsed="false">
      <c r="A4584" s="56" t="s">
        <v>677</v>
      </c>
      <c r="B4584" s="57" t="s">
        <v>64</v>
      </c>
      <c r="C4584" s="68" t="n">
        <f aca="false">C4567-C4583</f>
        <v>0.454650000000001</v>
      </c>
      <c r="D4584" s="68" t="n">
        <f aca="false">D4567-D4583</f>
        <v>0.294992465753426</v>
      </c>
      <c r="E4584" s="68" t="n">
        <f aca="false">E4567-E4583</f>
        <v>0.468396232876712</v>
      </c>
      <c r="F4584" s="68" t="n">
        <f aca="false">F4567-F4583</f>
        <v>0.481093150684931</v>
      </c>
      <c r="G4584" s="68" t="n">
        <f aca="false">G4567-G4583</f>
        <v>0.481093150684931</v>
      </c>
      <c r="H4584" s="2" t="s">
        <v>1210</v>
      </c>
    </row>
    <row r="4585" customFormat="false" ht="15" hidden="false" customHeight="false" outlineLevel="1" collapsed="false">
      <c r="A4585" s="7" t="s">
        <v>678</v>
      </c>
      <c r="B4585" s="8" t="s">
        <v>76</v>
      </c>
      <c r="C4585" s="59" t="n">
        <f aca="false">IF(C4567&gt;0,C4584/C4567,0)</f>
        <v>0.0866000000000002</v>
      </c>
      <c r="D4585" s="59" t="n">
        <f aca="false">IF(D4567&gt;0,D4584/D4567,0)</f>
        <v>0.0561890410958906</v>
      </c>
      <c r="E4585" s="59" t="n">
        <f aca="false">IF(E4567&gt;0,E4584/E4567,0)</f>
        <v>0.0892183300717547</v>
      </c>
      <c r="F4585" s="59" t="n">
        <f aca="false">IF(F4567&gt;0,F4584/F4567,0)</f>
        <v>0.0916367906066535</v>
      </c>
      <c r="G4585" s="59" t="n">
        <f aca="false">IF(G4567&gt;0,G4584/G4567,0)</f>
        <v>0.0916367906066535</v>
      </c>
      <c r="H4585" s="2" t="s">
        <v>1211</v>
      </c>
    </row>
    <row r="4586" customFormat="false" ht="15" hidden="false" customHeight="false" outlineLevel="1" collapsed="false">
      <c r="A4586" s="7" t="s">
        <v>679</v>
      </c>
      <c r="B4586" s="8" t="s">
        <v>64</v>
      </c>
      <c r="C4586" s="63" t="n">
        <f aca="false">(C4565+C4568)*(C4571-Pressupostos!$C$72)/365+C4567*C4572/365</f>
        <v>2.22945205479452</v>
      </c>
      <c r="D4586" s="63" t="n">
        <f aca="false">(D4565+D4568)*(D4571-Pressupostos!$C$72)/365+D4567*D4572/365</f>
        <v>2.22945205479452</v>
      </c>
      <c r="E4586" s="63" t="n">
        <f aca="false">(E4565+E4568)*(E4571-Pressupostos!$C$72)/365+E4567*E4572/365</f>
        <v>0.676027397260274</v>
      </c>
      <c r="F4586" s="63" t="n">
        <f aca="false">(F4565+F4568)*(F4571-Pressupostos!$C$72)/365+F4567*F4572/365</f>
        <v>0.676027397260274</v>
      </c>
      <c r="G4586" s="63" t="n">
        <f aca="false">(G4565+G4568)*(G4571-Pressupostos!$C$72)/365+G4567*G4572/365</f>
        <v>0.676027397260274</v>
      </c>
      <c r="H4586" s="2" t="s">
        <v>1212</v>
      </c>
    </row>
    <row r="4587" customFormat="false" ht="15" hidden="false" customHeight="false" outlineLevel="0" collapsed="false">
      <c r="A4587" s="3" t="s">
        <v>1213</v>
      </c>
      <c r="B4587" s="4"/>
      <c r="C4587" s="4"/>
      <c r="D4587" s="4"/>
      <c r="E4587" s="4"/>
      <c r="F4587" s="4"/>
      <c r="G4587" s="4"/>
      <c r="H4587" s="4"/>
    </row>
    <row r="4588" customFormat="false" ht="15" hidden="false" customHeight="false" outlineLevel="1" collapsed="false">
      <c r="A4588" s="7" t="s">
        <v>669</v>
      </c>
      <c r="B4588" s="8" t="s">
        <v>64</v>
      </c>
      <c r="C4588" s="63" t="n">
        <f aca="false">Pressupostos!$F$10+Pressupostos!$F$12</f>
        <v>3.6</v>
      </c>
      <c r="D4588" s="63" t="n">
        <f aca="false">Pressupostos!$F$10+Pressupostos!$F$12</f>
        <v>3.6</v>
      </c>
      <c r="E4588" s="63" t="n">
        <f aca="false">Pressupostos!$F$10+Pressupostos!$F$12</f>
        <v>3.6</v>
      </c>
      <c r="F4588" s="63" t="n">
        <f aca="false">Pressupostos!$F$10+Pressupostos!$F$12</f>
        <v>3.6</v>
      </c>
      <c r="G4588" s="63" t="n">
        <f aca="false">Pressupostos!$F$10+Pressupostos!$F$12</f>
        <v>3.6</v>
      </c>
      <c r="H4588" s="2" t="s">
        <v>1214</v>
      </c>
    </row>
    <row r="4589" customFormat="false" ht="15" hidden="false" customHeight="false" outlineLevel="1" collapsed="false">
      <c r="A4589" s="7" t="s">
        <v>670</v>
      </c>
      <c r="B4589" s="8" t="s">
        <v>64</v>
      </c>
      <c r="C4589" s="63" t="n">
        <f aca="false">Pressupostos!$F$20+Pressupostos!$F$21</f>
        <v>4.45</v>
      </c>
      <c r="D4589" s="63" t="n">
        <f aca="false">Pressupostos!$F$20+Pressupostos!$F$21</f>
        <v>4.45</v>
      </c>
      <c r="E4589" s="63" t="n">
        <f aca="false">Pressupostos!$F$20+Pressupostos!$F$21</f>
        <v>4.45</v>
      </c>
      <c r="F4589" s="63" t="n">
        <f aca="false">Pressupostos!$F$20+Pressupostos!$F$21</f>
        <v>4.45</v>
      </c>
      <c r="G4589" s="63" t="n">
        <f aca="false">Pressupostos!$F$20+Pressupostos!$F$21</f>
        <v>4.45</v>
      </c>
      <c r="H4589" s="2" t="s">
        <v>1215</v>
      </c>
    </row>
    <row r="4590" customFormat="false" ht="15" hidden="false" customHeight="false" outlineLevel="1" collapsed="false">
      <c r="A4590" s="56" t="s">
        <v>671</v>
      </c>
      <c r="B4590" s="57" t="s">
        <v>64</v>
      </c>
      <c r="C4590" s="68" t="n">
        <f aca="false">C4589*(1-Pressupostos!$F$22)</f>
        <v>4.45</v>
      </c>
      <c r="D4590" s="68" t="n">
        <f aca="false">D4589*(1-Pressupostos!$F$22)</f>
        <v>4.45</v>
      </c>
      <c r="E4590" s="68" t="n">
        <f aca="false">E4589*(1-Pressupostos!$F$22)</f>
        <v>4.45</v>
      </c>
      <c r="F4590" s="68" t="n">
        <f aca="false">F4589*(1-Pressupostos!$F$22)</f>
        <v>4.45</v>
      </c>
      <c r="G4590" s="68" t="n">
        <f aca="false">G4589*(1-Pressupostos!$F$22)</f>
        <v>4.45</v>
      </c>
      <c r="H4590" s="2" t="s">
        <v>1216</v>
      </c>
    </row>
    <row r="4591" customFormat="false" ht="15" hidden="false" customHeight="false" outlineLevel="1" collapsed="false">
      <c r="A4591" s="7" t="s">
        <v>144</v>
      </c>
      <c r="B4591" s="8" t="s">
        <v>64</v>
      </c>
      <c r="C4591" s="67" t="n">
        <f aca="false">Pressupostos!$C$45</f>
        <v>0.45</v>
      </c>
      <c r="D4591" s="67" t="n">
        <f aca="false">Pressupostos!$C$45</f>
        <v>0.45</v>
      </c>
      <c r="E4591" s="67" t="n">
        <f aca="false">Pressupostos!$C$45</f>
        <v>0.45</v>
      </c>
      <c r="F4591" s="67" t="n">
        <f aca="false">Pressupostos!$C$45</f>
        <v>0.45</v>
      </c>
      <c r="G4591" s="67" t="n">
        <f aca="false">Pressupostos!$C$45</f>
        <v>0.45</v>
      </c>
      <c r="H4591" s="2" t="s">
        <v>1217</v>
      </c>
    </row>
    <row r="4592" customFormat="false" ht="15" hidden="false" customHeight="false" outlineLevel="1" collapsed="false">
      <c r="A4592" s="7" t="s">
        <v>215</v>
      </c>
      <c r="B4592" s="8" t="s">
        <v>64</v>
      </c>
      <c r="C4592" s="67" t="n">
        <f aca="false">Pressupostos!$C$252</f>
        <v>0.1</v>
      </c>
      <c r="D4592" s="67" t="n">
        <f aca="false">Pressupostos!$D$252</f>
        <v>0.1</v>
      </c>
      <c r="E4592" s="67" t="n">
        <f aca="false">Pressupostos!$E$252</f>
        <v>0.09</v>
      </c>
      <c r="F4592" s="67" t="n">
        <f aca="false">Pressupostos!$F$252</f>
        <v>0.09</v>
      </c>
      <c r="G4592" s="67" t="n">
        <f aca="false">Pressupostos!$G$252</f>
        <v>0.09</v>
      </c>
      <c r="H4592" s="2" t="s">
        <v>1218</v>
      </c>
    </row>
    <row r="4593" customFormat="false" ht="15" hidden="false" customHeight="false" outlineLevel="1" collapsed="false">
      <c r="A4593" s="7" t="s">
        <v>117</v>
      </c>
      <c r="B4593" s="8" t="s">
        <v>64</v>
      </c>
      <c r="C4593" s="67" t="n">
        <f aca="false">Pressupostos!$C$46</f>
        <v>0</v>
      </c>
      <c r="D4593" s="67" t="n">
        <f aca="false">Pressupostos!$C$46</f>
        <v>0</v>
      </c>
      <c r="E4593" s="67" t="n">
        <f aca="false">Pressupostos!$C$46</f>
        <v>0</v>
      </c>
      <c r="F4593" s="67" t="n">
        <f aca="false">Pressupostos!$C$46</f>
        <v>0</v>
      </c>
      <c r="G4593" s="67" t="n">
        <f aca="false">Pressupostos!$C$46</f>
        <v>0</v>
      </c>
      <c r="H4593" s="2" t="s">
        <v>1219</v>
      </c>
    </row>
    <row r="4594" customFormat="false" ht="15" hidden="false" customHeight="false" outlineLevel="1" collapsed="false">
      <c r="A4594" s="7" t="s">
        <v>91</v>
      </c>
      <c r="B4594" s="8" t="s">
        <v>79</v>
      </c>
      <c r="C4594" s="69" t="n">
        <f aca="false">Pressupostos!$F$23</f>
        <v>30</v>
      </c>
      <c r="D4594" s="69" t="n">
        <f aca="false">Pressupostos!$F$23</f>
        <v>30</v>
      </c>
      <c r="E4594" s="69" t="n">
        <f aca="false">Pressupostos!$F$23</f>
        <v>30</v>
      </c>
      <c r="F4594" s="69" t="n">
        <f aca="false">Pressupostos!$F$23</f>
        <v>30</v>
      </c>
      <c r="G4594" s="69" t="n">
        <f aca="false">Pressupostos!$F$23</f>
        <v>30</v>
      </c>
      <c r="H4594" s="2" t="s">
        <v>1220</v>
      </c>
    </row>
    <row r="4595" customFormat="false" ht="15" hidden="false" customHeight="false" outlineLevel="1" collapsed="false">
      <c r="A4595" s="7" t="s">
        <v>78</v>
      </c>
      <c r="B4595" s="8" t="s">
        <v>79</v>
      </c>
      <c r="C4595" s="69" t="n">
        <f aca="false">Pressupostos!$F$24</f>
        <v>55</v>
      </c>
      <c r="D4595" s="69" t="n">
        <f aca="false">Pressupostos!$F$24</f>
        <v>55</v>
      </c>
      <c r="E4595" s="69" t="n">
        <f aca="false">Pressupostos!$F$24</f>
        <v>55</v>
      </c>
      <c r="F4595" s="69" t="n">
        <f aca="false">Pressupostos!$F$24</f>
        <v>55</v>
      </c>
      <c r="G4595" s="69" t="n">
        <f aca="false">Pressupostos!$F$24</f>
        <v>55</v>
      </c>
      <c r="H4595" s="2" t="s">
        <v>1221</v>
      </c>
    </row>
    <row r="4596" customFormat="false" ht="15" hidden="false" customHeight="false" outlineLevel="1" collapsed="false">
      <c r="A4596" s="7" t="s">
        <v>490</v>
      </c>
      <c r="B4596" s="8" t="s">
        <v>64</v>
      </c>
      <c r="C4596" s="63" t="n">
        <f aca="false">Pressupostos!$C$66*C4594/30/1000</f>
        <v>0.004</v>
      </c>
      <c r="D4596" s="63" t="n">
        <f aca="false">Pressupostos!$C$66*D4594/30/1000</f>
        <v>0.004</v>
      </c>
      <c r="E4596" s="63" t="n">
        <f aca="false">Pressupostos!$C$66*E4594/30/1000</f>
        <v>0.004</v>
      </c>
      <c r="F4596" s="63" t="n">
        <f aca="false">Pressupostos!$C$66*F4594/30/1000</f>
        <v>0.004</v>
      </c>
      <c r="G4596" s="63" t="n">
        <f aca="false">Pressupostos!$C$66*G4594/30/1000</f>
        <v>0.004</v>
      </c>
      <c r="H4596" s="2" t="s">
        <v>1222</v>
      </c>
    </row>
    <row r="4597" customFormat="false" ht="15" hidden="false" customHeight="false" outlineLevel="1" collapsed="false">
      <c r="A4597" s="7" t="s">
        <v>165</v>
      </c>
      <c r="B4597" s="8" t="s">
        <v>64</v>
      </c>
      <c r="C4597" s="63" t="n">
        <f aca="false">C4588*Pressupostos!$C$67*C4594/365</f>
        <v>0.000591780821917808</v>
      </c>
      <c r="D4597" s="63" t="n">
        <f aca="false">D4588*Pressupostos!$C$67*D4594/365</f>
        <v>0.000591780821917808</v>
      </c>
      <c r="E4597" s="63" t="n">
        <f aca="false">E4588*Pressupostos!$C$67*E4594/365</f>
        <v>0.000591780821917808</v>
      </c>
      <c r="F4597" s="63" t="n">
        <f aca="false">F4588*Pressupostos!$C$67*F4594/365</f>
        <v>0.000591780821917808</v>
      </c>
      <c r="G4597" s="63" t="n">
        <f aca="false">G4588*Pressupostos!$C$67*G4594/365</f>
        <v>0.000591780821917808</v>
      </c>
      <c r="H4597" s="2" t="s">
        <v>1223</v>
      </c>
    </row>
    <row r="4598" customFormat="false" ht="15" hidden="false" customHeight="false" outlineLevel="1" collapsed="false">
      <c r="A4598" s="7" t="s">
        <v>672</v>
      </c>
      <c r="B4598" s="8" t="s">
        <v>64</v>
      </c>
      <c r="C4598" s="63" t="n">
        <f aca="false">Pressupostos!$C$48*Pressupostos!$C$68/(Pressupostos!$C$47*1000)</f>
        <v>0.02</v>
      </c>
      <c r="D4598" s="63" t="n">
        <f aca="false">Pressupostos!$C$48*Pressupostos!$C$68/(Pressupostos!$C$47*1000)</f>
        <v>0.02</v>
      </c>
      <c r="E4598" s="63" t="n">
        <f aca="false">Pressupostos!$C$48*Pressupostos!$C$68/(Pressupostos!$C$47*1000)</f>
        <v>0.02</v>
      </c>
      <c r="F4598" s="63" t="n">
        <f aca="false">Pressupostos!$C$48*Pressupostos!$C$68/(Pressupostos!$C$47*1000)</f>
        <v>0.02</v>
      </c>
      <c r="G4598" s="63" t="n">
        <f aca="false">Pressupostos!$C$48*Pressupostos!$C$68/(Pressupostos!$C$47*1000)</f>
        <v>0.02</v>
      </c>
      <c r="H4598" s="2" t="s">
        <v>1224</v>
      </c>
    </row>
    <row r="4599" customFormat="false" ht="15" hidden="false" customHeight="false" outlineLevel="1" collapsed="false">
      <c r="A4599" s="7" t="s">
        <v>492</v>
      </c>
      <c r="B4599" s="8" t="s">
        <v>64</v>
      </c>
      <c r="C4599" s="63" t="n">
        <f aca="false">Pressupostos!$C$69*C4588</f>
        <v>0.018</v>
      </c>
      <c r="D4599" s="63" t="n">
        <f aca="false">Pressupostos!$C$69*D4588</f>
        <v>0.018</v>
      </c>
      <c r="E4599" s="63" t="n">
        <f aca="false">Pressupostos!$C$69*E4588</f>
        <v>0.018</v>
      </c>
      <c r="F4599" s="63" t="n">
        <f aca="false">Pressupostos!$C$69*F4588</f>
        <v>0.018</v>
      </c>
      <c r="G4599" s="63" t="n">
        <f aca="false">Pressupostos!$C$69*G4588</f>
        <v>0.018</v>
      </c>
      <c r="H4599" s="2" t="s">
        <v>1225</v>
      </c>
    </row>
    <row r="4600" customFormat="false" ht="15" hidden="false" customHeight="false" outlineLevel="1" collapsed="false">
      <c r="A4600" s="7" t="s">
        <v>493</v>
      </c>
      <c r="B4600" s="8" t="s">
        <v>64</v>
      </c>
      <c r="C4600" s="63" t="n">
        <f aca="false">Pressupostos!$C$70*Pressupostos!$C$71*C4594/90</f>
        <v>0.003</v>
      </c>
      <c r="D4600" s="63" t="n">
        <f aca="false">Pressupostos!$C$70*Pressupostos!$C$71*D4594/90</f>
        <v>0.003</v>
      </c>
      <c r="E4600" s="63" t="n">
        <f aca="false">Pressupostos!$C$70*Pressupostos!$C$71*E4594/90</f>
        <v>0.003</v>
      </c>
      <c r="F4600" s="63" t="n">
        <f aca="false">Pressupostos!$C$70*Pressupostos!$C$71*F4594/90</f>
        <v>0.003</v>
      </c>
      <c r="G4600" s="63" t="n">
        <f aca="false">Pressupostos!$C$70*Pressupostos!$C$71*G4594/90</f>
        <v>0.003</v>
      </c>
      <c r="H4600" s="2" t="s">
        <v>1226</v>
      </c>
    </row>
    <row r="4601" customFormat="false" ht="15" hidden="false" customHeight="false" outlineLevel="1" collapsed="false">
      <c r="A4601" s="7" t="s">
        <v>673</v>
      </c>
      <c r="B4601" s="8" t="s">
        <v>64</v>
      </c>
      <c r="C4601" s="63" t="n">
        <f aca="false">Pressupostos!$C$49/(Pressupostos!$C$47*1000)</f>
        <v>0.04</v>
      </c>
      <c r="D4601" s="63" t="n">
        <f aca="false">Pressupostos!$C$49/(Pressupostos!$C$47*1000)</f>
        <v>0.04</v>
      </c>
      <c r="E4601" s="63" t="n">
        <f aca="false">Pressupostos!$C$49/(Pressupostos!$C$47*1000)</f>
        <v>0.04</v>
      </c>
      <c r="F4601" s="63" t="n">
        <f aca="false">Pressupostos!$C$49/(Pressupostos!$C$47*1000)</f>
        <v>0.04</v>
      </c>
      <c r="G4601" s="63" t="n">
        <f aca="false">Pressupostos!$C$49/(Pressupostos!$C$47*1000)</f>
        <v>0.04</v>
      </c>
      <c r="H4601" s="2" t="s">
        <v>1227</v>
      </c>
    </row>
    <row r="4602" customFormat="false" ht="15" hidden="false" customHeight="false" outlineLevel="1" collapsed="false">
      <c r="A4602" s="7" t="s">
        <v>139</v>
      </c>
      <c r="B4602" s="8" t="s">
        <v>64</v>
      </c>
      <c r="C4602" s="67" t="n">
        <f aca="false">Pressupostos!$C$50</f>
        <v>0.005</v>
      </c>
      <c r="D4602" s="67" t="n">
        <f aca="false">Pressupostos!$C$50</f>
        <v>0.005</v>
      </c>
      <c r="E4602" s="67" t="n">
        <f aca="false">Pressupostos!$C$50</f>
        <v>0.005</v>
      </c>
      <c r="F4602" s="67" t="n">
        <f aca="false">Pressupostos!$C$50</f>
        <v>0.005</v>
      </c>
      <c r="G4602" s="67" t="n">
        <f aca="false">Pressupostos!$C$50</f>
        <v>0.005</v>
      </c>
      <c r="H4602" s="2" t="s">
        <v>1228</v>
      </c>
    </row>
    <row r="4603" customFormat="false" ht="15" hidden="false" customHeight="false" outlineLevel="1" collapsed="false">
      <c r="A4603" s="7" t="s">
        <v>81</v>
      </c>
      <c r="B4603" s="8" t="s">
        <v>64</v>
      </c>
      <c r="C4603" s="63" t="n">
        <f aca="false">Pressupostos!$F$25*C4590</f>
        <v>0.01335</v>
      </c>
      <c r="D4603" s="63" t="n">
        <f aca="false">Pressupostos!$F$25*D4590</f>
        <v>0.01335</v>
      </c>
      <c r="E4603" s="63" t="n">
        <f aca="false">Pressupostos!$F$25*E4590</f>
        <v>0.01335</v>
      </c>
      <c r="F4603" s="63" t="n">
        <f aca="false">Pressupostos!$F$25*F4590</f>
        <v>0.01335</v>
      </c>
      <c r="G4603" s="63" t="n">
        <f aca="false">Pressupostos!$F$25*G4590</f>
        <v>0.01335</v>
      </c>
      <c r="H4603" s="2" t="s">
        <v>1229</v>
      </c>
    </row>
    <row r="4604" customFormat="false" ht="15" hidden="false" customHeight="false" outlineLevel="1" collapsed="false">
      <c r="A4604" s="7" t="s">
        <v>674</v>
      </c>
      <c r="B4604" s="8" t="s">
        <v>64</v>
      </c>
      <c r="C4604" s="63" t="n">
        <f aca="false">Pressupostos!$C$73*C4590</f>
        <v>0</v>
      </c>
      <c r="D4604" s="63" t="n">
        <f aca="false">Pressupostos!$C$73*D4590</f>
        <v>0</v>
      </c>
      <c r="E4604" s="63" t="n">
        <f aca="false">Pressupostos!$C$73*E4590</f>
        <v>0</v>
      </c>
      <c r="F4604" s="63" t="n">
        <f aca="false">Pressupostos!$C$73*F4590</f>
        <v>0</v>
      </c>
      <c r="G4604" s="63" t="n">
        <f aca="false">Pressupostos!$C$73*G4590</f>
        <v>0</v>
      </c>
      <c r="H4604" s="2" t="s">
        <v>1230</v>
      </c>
    </row>
    <row r="4605" customFormat="false" ht="15" hidden="false" customHeight="false" outlineLevel="1" collapsed="false">
      <c r="A4605" s="7" t="s">
        <v>675</v>
      </c>
      <c r="B4605" s="8" t="s">
        <v>64</v>
      </c>
      <c r="C4605" s="63" t="n">
        <f aca="false">Pressupostos!$C$290*(C4588+C4591)*(C4594+C4595-Pressupostos!$C$72)/365*Pressupostos!$C$284/Pressupostos!$F$31</f>
        <v>0</v>
      </c>
      <c r="D4605" s="63" t="n">
        <f aca="false">Pressupostos!$D$290*(D4588+D4591)*(D4594+D4595-Pressupostos!$C$72)/365*Pressupostos!$D$284/Pressupostos!$F$31</f>
        <v>0.0457705479452055</v>
      </c>
      <c r="E4605" s="63" t="n">
        <f aca="false">Pressupostos!$E$290*(E4588+E4591)*(E4594+E4595-Pressupostos!$C$72)/365*Pressupostos!$E$284/Pressupostos!$F$31</f>
        <v>0.0429098886986301</v>
      </c>
      <c r="F4605" s="63" t="n">
        <f aca="false">Pressupostos!$F$290*(F4588+F4591)*(F4594+F4595-Pressupostos!$C$72)/365*Pressupostos!$F$284/Pressupostos!$F$31</f>
        <v>0.0400492294520548</v>
      </c>
      <c r="G4605" s="63" t="n">
        <f aca="false">Pressupostos!$G$290*(G4588+G4591)*(G4594+G4595-Pressupostos!$C$72)/365*Pressupostos!$G$284/Pressupostos!$F$31</f>
        <v>0.0400492294520548</v>
      </c>
      <c r="H4605" s="2" t="s">
        <v>1231</v>
      </c>
    </row>
    <row r="4606" customFormat="false" ht="15" hidden="false" customHeight="false" outlineLevel="1" collapsed="false">
      <c r="A4606" s="7" t="s">
        <v>676</v>
      </c>
      <c r="B4606" s="8" t="s">
        <v>64</v>
      </c>
      <c r="C4606" s="63" t="n">
        <f aca="false">C4588+C4591+C4592+C4593+C4596+C4597+C4598+C4599+C4600+C4601+C4602+C4603+C4604+C4605</f>
        <v>4.25394178082192</v>
      </c>
      <c r="D4606" s="63" t="n">
        <f aca="false">D4588+D4591+D4592+D4593+D4596+D4597+D4598+D4599+D4600+D4601+D4602+D4603+D4604+D4605</f>
        <v>4.29971232876712</v>
      </c>
      <c r="E4606" s="63" t="n">
        <f aca="false">E4588+E4591+E4592+E4593+E4596+E4597+E4598+E4599+E4600+E4601+E4602+E4603+E4604+E4605</f>
        <v>4.28685166952055</v>
      </c>
      <c r="F4606" s="63" t="n">
        <f aca="false">F4588+F4591+F4592+F4593+F4596+F4597+F4598+F4599+F4600+F4601+F4602+F4603+F4604+F4605</f>
        <v>4.28399101027397</v>
      </c>
      <c r="G4606" s="63" t="n">
        <f aca="false">G4588+G4591+G4592+G4593+G4596+G4597+G4598+G4599+G4600+G4601+G4602+G4603+G4604+G4605</f>
        <v>4.28399101027397</v>
      </c>
      <c r="H4606" s="2" t="s">
        <v>1232</v>
      </c>
    </row>
    <row r="4607" customFormat="false" ht="15" hidden="false" customHeight="false" outlineLevel="1" collapsed="false">
      <c r="A4607" s="56" t="s">
        <v>677</v>
      </c>
      <c r="B4607" s="57" t="s">
        <v>64</v>
      </c>
      <c r="C4607" s="68" t="n">
        <f aca="false">C4590-C4606</f>
        <v>0.196058219178083</v>
      </c>
      <c r="D4607" s="68" t="n">
        <f aca="false">D4590-D4606</f>
        <v>0.150287671232877</v>
      </c>
      <c r="E4607" s="68" t="n">
        <f aca="false">E4590-E4606</f>
        <v>0.163148330479452</v>
      </c>
      <c r="F4607" s="68" t="n">
        <f aca="false">F4590-F4606</f>
        <v>0.166008989726028</v>
      </c>
      <c r="G4607" s="68" t="n">
        <f aca="false">G4590-G4606</f>
        <v>0.166008989726028</v>
      </c>
      <c r="H4607" s="2" t="s">
        <v>1233</v>
      </c>
    </row>
    <row r="4608" customFormat="false" ht="15" hidden="false" customHeight="false" outlineLevel="1" collapsed="false">
      <c r="A4608" s="7" t="s">
        <v>678</v>
      </c>
      <c r="B4608" s="8" t="s">
        <v>76</v>
      </c>
      <c r="C4608" s="59" t="n">
        <f aca="false">IF(C4590&gt;0,C4607/C4590,0)</f>
        <v>0.0440580267815916</v>
      </c>
      <c r="D4608" s="59" t="n">
        <f aca="false">IF(D4590&gt;0,D4607/D4590,0)</f>
        <v>0.0337725103894105</v>
      </c>
      <c r="E4608" s="59" t="n">
        <f aca="false">IF(E4590&gt;0,E4607/E4590,0)</f>
        <v>0.0366625461751578</v>
      </c>
      <c r="F4608" s="59" t="n">
        <f aca="false">IF(F4590&gt;0,F4607/F4590,0)</f>
        <v>0.0373053909496692</v>
      </c>
      <c r="G4608" s="59" t="n">
        <f aca="false">IF(G4590&gt;0,G4607/G4590,0)</f>
        <v>0.0373053909496692</v>
      </c>
      <c r="H4608" s="2" t="s">
        <v>1234</v>
      </c>
    </row>
    <row r="4609" customFormat="false" ht="15" hidden="false" customHeight="false" outlineLevel="1" collapsed="false">
      <c r="A4609" s="7" t="s">
        <v>679</v>
      </c>
      <c r="B4609" s="8" t="s">
        <v>64</v>
      </c>
      <c r="C4609" s="63" t="n">
        <f aca="false">(C4588+C4591)*(C4594-Pressupostos!$C$72)/365+C4590*C4595/365</f>
        <v>0.670547945205479</v>
      </c>
      <c r="D4609" s="63" t="n">
        <f aca="false">(D4588+D4591)*(D4594-Pressupostos!$C$72)/365+D4590*D4595/365</f>
        <v>0.670547945205479</v>
      </c>
      <c r="E4609" s="63" t="n">
        <f aca="false">(E4588+E4591)*(E4594-Pressupostos!$C$72)/365+E4590*E4595/365</f>
        <v>0.670547945205479</v>
      </c>
      <c r="F4609" s="63" t="n">
        <f aca="false">(F4588+F4591)*(F4594-Pressupostos!$C$72)/365+F4590*F4595/365</f>
        <v>0.670547945205479</v>
      </c>
      <c r="G4609" s="63" t="n">
        <f aca="false">(G4588+G4591)*(G4594-Pressupostos!$C$72)/365+G4590*G4595/365</f>
        <v>0.670547945205479</v>
      </c>
      <c r="H4609" s="2" t="s">
        <v>1235</v>
      </c>
    </row>
    <row r="4610" customFormat="false" ht="15" hidden="false" customHeight="false" outlineLevel="0" collapsed="false">
      <c r="A4610" s="3" t="s">
        <v>1236</v>
      </c>
      <c r="B4610" s="4"/>
      <c r="C4610" s="4"/>
      <c r="D4610" s="4"/>
      <c r="E4610" s="4"/>
      <c r="F4610" s="4"/>
      <c r="G4610" s="4"/>
      <c r="H4610" s="4"/>
    </row>
    <row r="4611" customFormat="false" ht="15" hidden="false" customHeight="false" outlineLevel="1" collapsed="false">
      <c r="A4611" s="7" t="s">
        <v>669</v>
      </c>
      <c r="B4611" s="8" t="s">
        <v>64</v>
      </c>
      <c r="C4611" s="63" t="n">
        <f aca="false">Pressupostos!$F$10+Pressupostos!$F$13</f>
        <v>3.5</v>
      </c>
      <c r="D4611" s="63" t="n">
        <f aca="false">Pressupostos!$F$10+Pressupostos!$F$13</f>
        <v>3.5</v>
      </c>
      <c r="E4611" s="63" t="n">
        <f aca="false">Pressupostos!$F$10+Pressupostos!$F$13</f>
        <v>3.5</v>
      </c>
      <c r="F4611" s="63" t="n">
        <f aca="false">Pressupostos!$F$10+Pressupostos!$F$13</f>
        <v>3.5</v>
      </c>
      <c r="G4611" s="63" t="n">
        <f aca="false">Pressupostos!$F$10+Pressupostos!$F$13</f>
        <v>3.5</v>
      </c>
      <c r="H4611" s="2" t="s">
        <v>1237</v>
      </c>
    </row>
    <row r="4612" customFormat="false" ht="15" hidden="false" customHeight="false" outlineLevel="1" collapsed="false">
      <c r="A4612" s="7" t="s">
        <v>670</v>
      </c>
      <c r="B4612" s="8" t="s">
        <v>64</v>
      </c>
      <c r="C4612" s="63" t="n">
        <f aca="false">Pressupostos!$F$10+Pressupostos!$C$52</f>
        <v>3.65</v>
      </c>
      <c r="D4612" s="63" t="n">
        <f aca="false">Pressupostos!$F$10+Pressupostos!$C$52</f>
        <v>3.65</v>
      </c>
      <c r="E4612" s="63" t="n">
        <f aca="false">Pressupostos!$F$10+Pressupostos!$C$52</f>
        <v>3.65</v>
      </c>
      <c r="F4612" s="63" t="n">
        <f aca="false">Pressupostos!$F$10+Pressupostos!$C$52</f>
        <v>3.65</v>
      </c>
      <c r="G4612" s="63" t="n">
        <f aca="false">Pressupostos!$F$10+Pressupostos!$C$52</f>
        <v>3.65</v>
      </c>
      <c r="H4612" s="2" t="s">
        <v>1238</v>
      </c>
    </row>
    <row r="4613" customFormat="false" ht="15" hidden="false" customHeight="false" outlineLevel="1" collapsed="false">
      <c r="A4613" s="56" t="s">
        <v>671</v>
      </c>
      <c r="B4613" s="57" t="s">
        <v>64</v>
      </c>
      <c r="C4613" s="68" t="n">
        <f aca="false">C4612*(1-Pressupostos!$C$53)</f>
        <v>3.65</v>
      </c>
      <c r="D4613" s="68" t="n">
        <f aca="false">D4612*(1-Pressupostos!$C$53)</f>
        <v>3.65</v>
      </c>
      <c r="E4613" s="68" t="n">
        <f aca="false">E4612*(1-Pressupostos!$C$53)</f>
        <v>3.65</v>
      </c>
      <c r="F4613" s="68" t="n">
        <f aca="false">F4612*(1-Pressupostos!$C$53)</f>
        <v>3.65</v>
      </c>
      <c r="G4613" s="68" t="n">
        <f aca="false">G4612*(1-Pressupostos!$C$53)</f>
        <v>3.65</v>
      </c>
      <c r="H4613" s="2" t="s">
        <v>1239</v>
      </c>
    </row>
    <row r="4614" customFormat="false" ht="15" hidden="false" customHeight="false" outlineLevel="1" collapsed="false">
      <c r="A4614" s="7" t="s">
        <v>144</v>
      </c>
      <c r="B4614" s="8" t="s">
        <v>64</v>
      </c>
      <c r="C4614" s="67" t="n">
        <f aca="false">Pressupostos!$C$54</f>
        <v>0</v>
      </c>
      <c r="D4614" s="67" t="n">
        <f aca="false">Pressupostos!$C$54</f>
        <v>0</v>
      </c>
      <c r="E4614" s="67" t="n">
        <f aca="false">Pressupostos!$C$54</f>
        <v>0</v>
      </c>
      <c r="F4614" s="67" t="n">
        <f aca="false">Pressupostos!$C$54</f>
        <v>0</v>
      </c>
      <c r="G4614" s="67" t="n">
        <f aca="false">Pressupostos!$C$54</f>
        <v>0</v>
      </c>
      <c r="H4614" s="2" t="s">
        <v>1240</v>
      </c>
    </row>
    <row r="4615" customFormat="false" ht="15" hidden="false" customHeight="false" outlineLevel="1" collapsed="false">
      <c r="A4615" s="7" t="s">
        <v>215</v>
      </c>
      <c r="B4615" s="8" t="s">
        <v>64</v>
      </c>
      <c r="C4615" s="67" t="n">
        <f aca="false">Pressupostos!$C$55</f>
        <v>0.04</v>
      </c>
      <c r="D4615" s="67" t="n">
        <f aca="false">Pressupostos!$C$55</f>
        <v>0.04</v>
      </c>
      <c r="E4615" s="67" t="n">
        <f aca="false">Pressupostos!$C$55</f>
        <v>0.04</v>
      </c>
      <c r="F4615" s="67" t="n">
        <f aca="false">Pressupostos!$C$55</f>
        <v>0.04</v>
      </c>
      <c r="G4615" s="67" t="n">
        <f aca="false">Pressupostos!$C$55</f>
        <v>0.04</v>
      </c>
      <c r="H4615" s="2" t="s">
        <v>1241</v>
      </c>
    </row>
    <row r="4616" customFormat="false" ht="15" hidden="false" customHeight="false" outlineLevel="1" collapsed="false">
      <c r="A4616" s="7" t="s">
        <v>117</v>
      </c>
      <c r="B4616" s="8" t="s">
        <v>64</v>
      </c>
      <c r="C4616" s="67" t="n">
        <f aca="false">Pressupostos!$C$56</f>
        <v>0</v>
      </c>
      <c r="D4616" s="67" t="n">
        <f aca="false">Pressupostos!$C$56</f>
        <v>0</v>
      </c>
      <c r="E4616" s="67" t="n">
        <f aca="false">Pressupostos!$C$56</f>
        <v>0</v>
      </c>
      <c r="F4616" s="67" t="n">
        <f aca="false">Pressupostos!$C$56</f>
        <v>0</v>
      </c>
      <c r="G4616" s="67" t="n">
        <f aca="false">Pressupostos!$C$56</f>
        <v>0</v>
      </c>
      <c r="H4616" s="2" t="s">
        <v>1242</v>
      </c>
    </row>
    <row r="4617" customFormat="false" ht="15" hidden="false" customHeight="false" outlineLevel="1" collapsed="false">
      <c r="A4617" s="7" t="s">
        <v>91</v>
      </c>
      <c r="B4617" s="8" t="s">
        <v>79</v>
      </c>
      <c r="C4617" s="69" t="n">
        <f aca="false">Pressupostos!$C$57</f>
        <v>15</v>
      </c>
      <c r="D4617" s="69" t="n">
        <f aca="false">Pressupostos!$C$57</f>
        <v>15</v>
      </c>
      <c r="E4617" s="69" t="n">
        <f aca="false">Pressupostos!$C$57</f>
        <v>15</v>
      </c>
      <c r="F4617" s="69" t="n">
        <f aca="false">Pressupostos!$C$57</f>
        <v>15</v>
      </c>
      <c r="G4617" s="69" t="n">
        <f aca="false">Pressupostos!$C$57</f>
        <v>15</v>
      </c>
      <c r="H4617" s="2" t="s">
        <v>1243</v>
      </c>
    </row>
    <row r="4618" customFormat="false" ht="15" hidden="false" customHeight="false" outlineLevel="1" collapsed="false">
      <c r="A4618" s="7" t="s">
        <v>78</v>
      </c>
      <c r="B4618" s="8" t="s">
        <v>79</v>
      </c>
      <c r="C4618" s="69" t="n">
        <f aca="false">Pressupostos!$C$58</f>
        <v>45</v>
      </c>
      <c r="D4618" s="69" t="n">
        <f aca="false">Pressupostos!$C$58</f>
        <v>45</v>
      </c>
      <c r="E4618" s="69" t="n">
        <f aca="false">Pressupostos!$C$58</f>
        <v>45</v>
      </c>
      <c r="F4618" s="69" t="n">
        <f aca="false">Pressupostos!$C$58</f>
        <v>45</v>
      </c>
      <c r="G4618" s="69" t="n">
        <f aca="false">Pressupostos!$C$58</f>
        <v>45</v>
      </c>
      <c r="H4618" s="2" t="s">
        <v>1244</v>
      </c>
    </row>
    <row r="4619" customFormat="false" ht="15" hidden="false" customHeight="false" outlineLevel="1" collapsed="false">
      <c r="A4619" s="7" t="s">
        <v>490</v>
      </c>
      <c r="B4619" s="8" t="s">
        <v>64</v>
      </c>
      <c r="C4619" s="63" t="n">
        <f aca="false">Pressupostos!$C$66*C4617/30/1000</f>
        <v>0.002</v>
      </c>
      <c r="D4619" s="63" t="n">
        <f aca="false">Pressupostos!$C$66*D4617/30/1000</f>
        <v>0.002</v>
      </c>
      <c r="E4619" s="63" t="n">
        <f aca="false">Pressupostos!$C$66*E4617/30/1000</f>
        <v>0.002</v>
      </c>
      <c r="F4619" s="63" t="n">
        <f aca="false">Pressupostos!$C$66*F4617/30/1000</f>
        <v>0.002</v>
      </c>
      <c r="G4619" s="63" t="n">
        <f aca="false">Pressupostos!$C$66*G4617/30/1000</f>
        <v>0.002</v>
      </c>
      <c r="H4619" s="2" t="s">
        <v>1245</v>
      </c>
    </row>
    <row r="4620" customFormat="false" ht="15" hidden="false" customHeight="false" outlineLevel="1" collapsed="false">
      <c r="A4620" s="7" t="s">
        <v>165</v>
      </c>
      <c r="B4620" s="8" t="s">
        <v>64</v>
      </c>
      <c r="C4620" s="63" t="n">
        <f aca="false">C4611*Pressupostos!$C$67*C4617/365</f>
        <v>0.000287671232876712</v>
      </c>
      <c r="D4620" s="63" t="n">
        <f aca="false">D4611*Pressupostos!$C$67*D4617/365</f>
        <v>0.000287671232876712</v>
      </c>
      <c r="E4620" s="63" t="n">
        <f aca="false">E4611*Pressupostos!$C$67*E4617/365</f>
        <v>0.000287671232876712</v>
      </c>
      <c r="F4620" s="63" t="n">
        <f aca="false">F4611*Pressupostos!$C$67*F4617/365</f>
        <v>0.000287671232876712</v>
      </c>
      <c r="G4620" s="63" t="n">
        <f aca="false">G4611*Pressupostos!$C$67*G4617/365</f>
        <v>0.000287671232876712</v>
      </c>
      <c r="H4620" s="2" t="s">
        <v>1246</v>
      </c>
    </row>
    <row r="4621" customFormat="false" ht="15" hidden="false" customHeight="false" outlineLevel="1" collapsed="false">
      <c r="A4621" s="7" t="s">
        <v>672</v>
      </c>
      <c r="B4621" s="8" t="s">
        <v>64</v>
      </c>
      <c r="C4621" s="63" t="n">
        <f aca="false">Pressupostos!$C$60*Pressupostos!$C$68/(Pressupostos!$C$59*1000)</f>
        <v>0.006</v>
      </c>
      <c r="D4621" s="63" t="n">
        <f aca="false">Pressupostos!$C$60*Pressupostos!$C$68/(Pressupostos!$C$59*1000)</f>
        <v>0.006</v>
      </c>
      <c r="E4621" s="63" t="n">
        <f aca="false">Pressupostos!$C$60*Pressupostos!$C$68/(Pressupostos!$C$59*1000)</f>
        <v>0.006</v>
      </c>
      <c r="F4621" s="63" t="n">
        <f aca="false">Pressupostos!$C$60*Pressupostos!$C$68/(Pressupostos!$C$59*1000)</f>
        <v>0.006</v>
      </c>
      <c r="G4621" s="63" t="n">
        <f aca="false">Pressupostos!$C$60*Pressupostos!$C$68/(Pressupostos!$C$59*1000)</f>
        <v>0.006</v>
      </c>
      <c r="H4621" s="2" t="s">
        <v>1247</v>
      </c>
    </row>
    <row r="4622" customFormat="false" ht="15" hidden="false" customHeight="false" outlineLevel="1" collapsed="false">
      <c r="A4622" s="7" t="s">
        <v>492</v>
      </c>
      <c r="B4622" s="8" t="s">
        <v>64</v>
      </c>
      <c r="C4622" s="63" t="n">
        <f aca="false">Pressupostos!$C$69*C4611</f>
        <v>0.0175</v>
      </c>
      <c r="D4622" s="63" t="n">
        <f aca="false">Pressupostos!$C$69*D4611</f>
        <v>0.0175</v>
      </c>
      <c r="E4622" s="63" t="n">
        <f aca="false">Pressupostos!$C$69*E4611</f>
        <v>0.0175</v>
      </c>
      <c r="F4622" s="63" t="n">
        <f aca="false">Pressupostos!$C$69*F4611</f>
        <v>0.0175</v>
      </c>
      <c r="G4622" s="63" t="n">
        <f aca="false">Pressupostos!$C$69*G4611</f>
        <v>0.0175</v>
      </c>
      <c r="H4622" s="2" t="s">
        <v>1248</v>
      </c>
    </row>
    <row r="4623" customFormat="false" ht="15" hidden="false" customHeight="false" outlineLevel="1" collapsed="false">
      <c r="A4623" s="7" t="s">
        <v>493</v>
      </c>
      <c r="B4623" s="8" t="s">
        <v>64</v>
      </c>
      <c r="C4623" s="63" t="n">
        <f aca="false">Pressupostos!$C$70*Pressupostos!$C$71*C4617/90</f>
        <v>0.0015</v>
      </c>
      <c r="D4623" s="63" t="n">
        <f aca="false">Pressupostos!$C$70*Pressupostos!$C$71*D4617/90</f>
        <v>0.0015</v>
      </c>
      <c r="E4623" s="63" t="n">
        <f aca="false">Pressupostos!$C$70*Pressupostos!$C$71*E4617/90</f>
        <v>0.0015</v>
      </c>
      <c r="F4623" s="63" t="n">
        <f aca="false">Pressupostos!$C$70*Pressupostos!$C$71*F4617/90</f>
        <v>0.0015</v>
      </c>
      <c r="G4623" s="63" t="n">
        <f aca="false">Pressupostos!$C$70*Pressupostos!$C$71*G4617/90</f>
        <v>0.0015</v>
      </c>
      <c r="H4623" s="2" t="s">
        <v>1249</v>
      </c>
    </row>
    <row r="4624" customFormat="false" ht="15" hidden="false" customHeight="false" outlineLevel="1" collapsed="false">
      <c r="A4624" s="7" t="s">
        <v>673</v>
      </c>
      <c r="B4624" s="8" t="s">
        <v>64</v>
      </c>
      <c r="C4624" s="63" t="n">
        <f aca="false">Pressupostos!$C$61/(Pressupostos!$C$59*1000)</f>
        <v>0.012</v>
      </c>
      <c r="D4624" s="63" t="n">
        <f aca="false">Pressupostos!$C$61/(Pressupostos!$C$59*1000)</f>
        <v>0.012</v>
      </c>
      <c r="E4624" s="63" t="n">
        <f aca="false">Pressupostos!$C$61/(Pressupostos!$C$59*1000)</f>
        <v>0.012</v>
      </c>
      <c r="F4624" s="63" t="n">
        <f aca="false">Pressupostos!$C$61/(Pressupostos!$C$59*1000)</f>
        <v>0.012</v>
      </c>
      <c r="G4624" s="63" t="n">
        <f aca="false">Pressupostos!$C$61/(Pressupostos!$C$59*1000)</f>
        <v>0.012</v>
      </c>
      <c r="H4624" s="2" t="s">
        <v>1250</v>
      </c>
    </row>
    <row r="4625" customFormat="false" ht="15" hidden="false" customHeight="false" outlineLevel="1" collapsed="false">
      <c r="A4625" s="7" t="s">
        <v>139</v>
      </c>
      <c r="B4625" s="8" t="s">
        <v>64</v>
      </c>
      <c r="C4625" s="67" t="n">
        <f aca="false">Pressupostos!$C$62</f>
        <v>0.001</v>
      </c>
      <c r="D4625" s="67" t="n">
        <f aca="false">Pressupostos!$C$62</f>
        <v>0.001</v>
      </c>
      <c r="E4625" s="67" t="n">
        <f aca="false">Pressupostos!$C$62</f>
        <v>0.001</v>
      </c>
      <c r="F4625" s="67" t="n">
        <f aca="false">Pressupostos!$C$62</f>
        <v>0.001</v>
      </c>
      <c r="G4625" s="67" t="n">
        <f aca="false">Pressupostos!$C$62</f>
        <v>0.001</v>
      </c>
      <c r="H4625" s="2" t="s">
        <v>1251</v>
      </c>
    </row>
    <row r="4626" customFormat="false" ht="15" hidden="false" customHeight="false" outlineLevel="1" collapsed="false">
      <c r="A4626" s="7" t="s">
        <v>81</v>
      </c>
      <c r="B4626" s="8" t="s">
        <v>64</v>
      </c>
      <c r="C4626" s="63" t="n">
        <f aca="false">Pressupostos!$C$63*C4613</f>
        <v>0.01095</v>
      </c>
      <c r="D4626" s="63" t="n">
        <f aca="false">Pressupostos!$C$63*D4613</f>
        <v>0.01095</v>
      </c>
      <c r="E4626" s="63" t="n">
        <f aca="false">Pressupostos!$C$63*E4613</f>
        <v>0.01095</v>
      </c>
      <c r="F4626" s="63" t="n">
        <f aca="false">Pressupostos!$C$63*F4613</f>
        <v>0.01095</v>
      </c>
      <c r="G4626" s="63" t="n">
        <f aca="false">Pressupostos!$C$63*G4613</f>
        <v>0.01095</v>
      </c>
      <c r="H4626" s="2" t="s">
        <v>1252</v>
      </c>
    </row>
    <row r="4627" customFormat="false" ht="15" hidden="false" customHeight="false" outlineLevel="1" collapsed="false">
      <c r="A4627" s="7" t="s">
        <v>674</v>
      </c>
      <c r="B4627" s="8" t="s">
        <v>64</v>
      </c>
      <c r="C4627" s="63" t="n">
        <f aca="false">Pressupostos!$C$73*C4613</f>
        <v>0</v>
      </c>
      <c r="D4627" s="63" t="n">
        <f aca="false">Pressupostos!$C$73*D4613</f>
        <v>0</v>
      </c>
      <c r="E4627" s="63" t="n">
        <f aca="false">Pressupostos!$C$73*E4613</f>
        <v>0</v>
      </c>
      <c r="F4627" s="63" t="n">
        <f aca="false">Pressupostos!$C$73*F4613</f>
        <v>0</v>
      </c>
      <c r="G4627" s="63" t="n">
        <f aca="false">Pressupostos!$C$73*G4613</f>
        <v>0</v>
      </c>
      <c r="H4627" s="2" t="s">
        <v>1253</v>
      </c>
    </row>
    <row r="4628" customFormat="false" ht="15" hidden="false" customHeight="false" outlineLevel="1" collapsed="false">
      <c r="A4628" s="7" t="s">
        <v>675</v>
      </c>
      <c r="B4628" s="8" t="s">
        <v>64</v>
      </c>
      <c r="C4628" s="63" t="n">
        <f aca="false">Pressupostos!$C$290*(C4611+C4614)*(C4617+C4618-Pressupostos!$C$72)/365*Pressupostos!$C$284/Pressupostos!$F$31</f>
        <v>0</v>
      </c>
      <c r="D4628" s="63" t="n">
        <f aca="false">Pressupostos!$D$290*(D4611+D4614)*(D4617+D4618-Pressupostos!$C$72)/365*Pressupostos!$D$284/Pressupostos!$F$31</f>
        <v>0.0215753424657534</v>
      </c>
      <c r="E4628" s="63" t="n">
        <f aca="false">Pressupostos!$E$290*(E4611+E4614)*(E4617+E4618-Pressupostos!$C$72)/365*Pressupostos!$E$284/Pressupostos!$F$31</f>
        <v>0.0202268835616438</v>
      </c>
      <c r="F4628" s="63" t="n">
        <f aca="false">Pressupostos!$F$290*(F4611+F4614)*(F4617+F4618-Pressupostos!$C$72)/365*Pressupostos!$F$284/Pressupostos!$F$31</f>
        <v>0.0188784246575342</v>
      </c>
      <c r="G4628" s="63" t="n">
        <f aca="false">Pressupostos!$G$290*(G4611+G4614)*(G4617+G4618-Pressupostos!$C$72)/365*Pressupostos!$G$284/Pressupostos!$F$31</f>
        <v>0.0188784246575342</v>
      </c>
      <c r="H4628" s="2" t="s">
        <v>1254</v>
      </c>
    </row>
    <row r="4629" customFormat="false" ht="15" hidden="false" customHeight="false" outlineLevel="1" collapsed="false">
      <c r="A4629" s="7" t="s">
        <v>676</v>
      </c>
      <c r="B4629" s="8" t="s">
        <v>64</v>
      </c>
      <c r="C4629" s="63" t="n">
        <f aca="false">C4611+C4614+C4615+C4616+C4619+C4620+C4621+C4622+C4623+C4624+C4625+C4626+C4627+C4628</f>
        <v>3.59123767123288</v>
      </c>
      <c r="D4629" s="63" t="n">
        <f aca="false">D4611+D4614+D4615+D4616+D4619+D4620+D4621+D4622+D4623+D4624+D4625+D4626+D4627+D4628</f>
        <v>3.61281301369863</v>
      </c>
      <c r="E4629" s="63" t="n">
        <f aca="false">E4611+E4614+E4615+E4616+E4619+E4620+E4621+E4622+E4623+E4624+E4625+E4626+E4627+E4628</f>
        <v>3.61146455479452</v>
      </c>
      <c r="F4629" s="63" t="n">
        <f aca="false">F4611+F4614+F4615+F4616+F4619+F4620+F4621+F4622+F4623+F4624+F4625+F4626+F4627+F4628</f>
        <v>3.61011609589041</v>
      </c>
      <c r="G4629" s="63" t="n">
        <f aca="false">G4611+G4614+G4615+G4616+G4619+G4620+G4621+G4622+G4623+G4624+G4625+G4626+G4627+G4628</f>
        <v>3.61011609589041</v>
      </c>
      <c r="H4629" s="2" t="s">
        <v>1255</v>
      </c>
    </row>
    <row r="4630" customFormat="false" ht="15" hidden="false" customHeight="false" outlineLevel="1" collapsed="false">
      <c r="A4630" s="56" t="s">
        <v>677</v>
      </c>
      <c r="B4630" s="57" t="s">
        <v>64</v>
      </c>
      <c r="C4630" s="68" t="n">
        <f aca="false">C4613-C4629</f>
        <v>0.058762328767124</v>
      </c>
      <c r="D4630" s="68" t="n">
        <f aca="false">D4613-D4629</f>
        <v>0.0371869863013705</v>
      </c>
      <c r="E4630" s="68" t="n">
        <f aca="false">E4613-E4629</f>
        <v>0.03853544520548</v>
      </c>
      <c r="F4630" s="68" t="n">
        <f aca="false">F4613-F4629</f>
        <v>0.0398839041095895</v>
      </c>
      <c r="G4630" s="68" t="n">
        <f aca="false">G4613-G4629</f>
        <v>0.0398839041095895</v>
      </c>
      <c r="H4630" s="2" t="s">
        <v>1256</v>
      </c>
    </row>
    <row r="4631" customFormat="false" ht="15" hidden="false" customHeight="false" outlineLevel="1" collapsed="false">
      <c r="A4631" s="7" t="s">
        <v>678</v>
      </c>
      <c r="B4631" s="8" t="s">
        <v>76</v>
      </c>
      <c r="C4631" s="59" t="n">
        <f aca="false">IF(C4613&gt;0,C4630/C4613,0)</f>
        <v>0.0160992681553764</v>
      </c>
      <c r="D4631" s="59" t="n">
        <f aca="false">IF(D4613&gt;0,D4630/D4613,0)</f>
        <v>0.010188215425033</v>
      </c>
      <c r="E4631" s="59" t="n">
        <f aca="false">IF(E4613&gt;0,E4630/E4613,0)</f>
        <v>0.0105576562206795</v>
      </c>
      <c r="F4631" s="59" t="n">
        <f aca="false">IF(F4613&gt;0,F4630/F4613,0)</f>
        <v>0.0109270970163259</v>
      </c>
      <c r="G4631" s="59" t="n">
        <f aca="false">IF(G4613&gt;0,G4630/G4613,0)</f>
        <v>0.0109270970163259</v>
      </c>
      <c r="H4631" s="2" t="s">
        <v>1257</v>
      </c>
    </row>
    <row r="4632" customFormat="false" ht="15" hidden="false" customHeight="false" outlineLevel="1" collapsed="false">
      <c r="A4632" s="7" t="s">
        <v>679</v>
      </c>
      <c r="B4632" s="8" t="s">
        <v>64</v>
      </c>
      <c r="C4632" s="63" t="n">
        <f aca="false">(C4611+C4614)*(C4617-Pressupostos!$C$72)/365+C4613*C4618/365</f>
        <v>0.306164383561644</v>
      </c>
      <c r="D4632" s="63" t="n">
        <f aca="false">(D4611+D4614)*(D4617-Pressupostos!$C$72)/365+D4613*D4618/365</f>
        <v>0.306164383561644</v>
      </c>
      <c r="E4632" s="63" t="n">
        <f aca="false">(E4611+E4614)*(E4617-Pressupostos!$C$72)/365+E4613*E4618/365</f>
        <v>0.306164383561644</v>
      </c>
      <c r="F4632" s="63" t="n">
        <f aca="false">(F4611+F4614)*(F4617-Pressupostos!$C$72)/365+F4613*F4618/365</f>
        <v>0.306164383561644</v>
      </c>
      <c r="G4632" s="63" t="n">
        <f aca="false">(G4611+G4614)*(G4617-Pressupostos!$C$72)/365+G4613*G4618/365</f>
        <v>0.306164383561644</v>
      </c>
      <c r="H4632" s="2" t="s">
        <v>1258</v>
      </c>
    </row>
    <row r="4633" customFormat="false" ht="15" hidden="false" customHeight="false" outlineLevel="0" collapsed="false">
      <c r="A4633" s="3" t="s">
        <v>1259</v>
      </c>
      <c r="B4633" s="4"/>
      <c r="C4633" s="4"/>
      <c r="D4633" s="4"/>
      <c r="E4633" s="4"/>
      <c r="F4633" s="4"/>
      <c r="G4633" s="4"/>
      <c r="H4633" s="4"/>
    </row>
    <row r="4634" customFormat="false" ht="15" hidden="false" customHeight="false" outlineLevel="1" collapsed="false">
      <c r="A4634" s="7" t="s">
        <v>683</v>
      </c>
      <c r="B4634" s="8" t="s">
        <v>64</v>
      </c>
      <c r="C4634" s="63" t="n">
        <f aca="false">Pressupostos!$C$64*Pressupostos!$F$10</f>
        <v>0.02625</v>
      </c>
      <c r="D4634" s="63" t="n">
        <f aca="false">Pressupostos!$C$64*Pressupostos!$F$10</f>
        <v>0.02625</v>
      </c>
      <c r="E4634" s="63" t="n">
        <f aca="false">Pressupostos!$C$64*Pressupostos!$F$10</f>
        <v>0.02625</v>
      </c>
      <c r="F4634" s="63" t="n">
        <f aca="false">Pressupostos!$C$64*Pressupostos!$F$10</f>
        <v>0.02625</v>
      </c>
      <c r="G4634" s="63" t="n">
        <f aca="false">Pressupostos!$C$64*Pressupostos!$F$10</f>
        <v>0.02625</v>
      </c>
      <c r="H4634" s="2" t="s">
        <v>1260</v>
      </c>
    </row>
    <row r="4635" customFormat="false" ht="15" hidden="false" customHeight="false" outlineLevel="1" collapsed="false">
      <c r="A4635" s="7" t="s">
        <v>684</v>
      </c>
      <c r="B4635" s="8" t="s">
        <v>64</v>
      </c>
      <c r="C4635" s="63" t="n">
        <f aca="false">C4624+C4621+C4625</f>
        <v>0.019</v>
      </c>
      <c r="D4635" s="63" t="n">
        <f aca="false">D4624+D4621+D4625</f>
        <v>0.019</v>
      </c>
      <c r="E4635" s="63" t="n">
        <f aca="false">E4624+E4621+E4625</f>
        <v>0.019</v>
      </c>
      <c r="F4635" s="63" t="n">
        <f aca="false">F4624+F4621+F4625</f>
        <v>0.019</v>
      </c>
      <c r="G4635" s="63" t="n">
        <f aca="false">G4624+G4621+G4625</f>
        <v>0.019</v>
      </c>
      <c r="H4635" s="2" t="s">
        <v>1261</v>
      </c>
    </row>
    <row r="4636" customFormat="false" ht="15" hidden="false" customHeight="false" outlineLevel="1" collapsed="false">
      <c r="A4636" s="56" t="s">
        <v>561</v>
      </c>
      <c r="B4636" s="57" t="s">
        <v>64</v>
      </c>
      <c r="C4636" s="68" t="n">
        <f aca="false">C4634-C4635</f>
        <v>0.00725</v>
      </c>
      <c r="D4636" s="68" t="n">
        <f aca="false">D4634-D4635</f>
        <v>0.00725</v>
      </c>
      <c r="E4636" s="68" t="n">
        <f aca="false">E4634-E4635</f>
        <v>0.00725</v>
      </c>
      <c r="F4636" s="68" t="n">
        <f aca="false">F4634-F4635</f>
        <v>0.00725</v>
      </c>
      <c r="G4636" s="68" t="n">
        <f aca="false">G4634-G4635</f>
        <v>0.00725</v>
      </c>
      <c r="H4636" s="2" t="s">
        <v>1262</v>
      </c>
    </row>
    <row r="4637" customFormat="false" ht="15" hidden="false" customHeight="false" outlineLevel="0" collapsed="false">
      <c r="A4637" s="3" t="s">
        <v>1263</v>
      </c>
      <c r="B4637" s="4"/>
      <c r="C4637" s="4"/>
      <c r="D4637" s="4"/>
      <c r="E4637" s="4"/>
      <c r="F4637" s="4"/>
      <c r="G4637" s="4"/>
      <c r="H4637" s="4"/>
    </row>
    <row r="4638" customFormat="false" ht="15" hidden="false" customHeight="false" outlineLevel="1" collapsed="false">
      <c r="A4638" s="7" t="s">
        <v>608</v>
      </c>
      <c r="B4638" s="8" t="s">
        <v>11</v>
      </c>
      <c r="C4638" s="61" t="n">
        <f aca="false">C4547*1000*C4567</f>
        <v>43050</v>
      </c>
      <c r="D4638" s="61" t="n">
        <f aca="false">D4547*1000*D4567</f>
        <v>161437.5</v>
      </c>
      <c r="E4638" s="61" t="n">
        <f aca="false">E4547*1000*E4567</f>
        <v>430500</v>
      </c>
      <c r="F4638" s="61" t="n">
        <f aca="false">F4547*1000*F4567</f>
        <v>753375</v>
      </c>
      <c r="G4638" s="61" t="n">
        <f aca="false">G4547*1000*G4567</f>
        <v>1076250</v>
      </c>
      <c r="H4638" s="2" t="s">
        <v>1264</v>
      </c>
    </row>
    <row r="4639" customFormat="false" ht="15" hidden="false" customHeight="false" outlineLevel="1" collapsed="false">
      <c r="A4639" s="7" t="s">
        <v>609</v>
      </c>
      <c r="B4639" s="8" t="s">
        <v>11</v>
      </c>
      <c r="C4639" s="61" t="n">
        <f aca="false">C4548*1000*C4590</f>
        <v>231400</v>
      </c>
      <c r="D4639" s="61" t="n">
        <f aca="false">D4548*1000*D4590</f>
        <v>1615350</v>
      </c>
      <c r="E4639" s="61" t="n">
        <f aca="false">E4548*1000*E4590</f>
        <v>3190650</v>
      </c>
      <c r="F4639" s="61" t="n">
        <f aca="false">F4548*1000*F4590</f>
        <v>5264350</v>
      </c>
      <c r="G4639" s="61" t="n">
        <f aca="false">G4548*1000*G4590</f>
        <v>7965500</v>
      </c>
      <c r="H4639" s="2" t="s">
        <v>1265</v>
      </c>
    </row>
    <row r="4640" customFormat="false" ht="15" hidden="false" customHeight="false" outlineLevel="1" collapsed="false">
      <c r="A4640" s="7" t="s">
        <v>610</v>
      </c>
      <c r="B4640" s="8" t="s">
        <v>11</v>
      </c>
      <c r="C4640" s="61" t="n">
        <f aca="false">C4550*1000*C4613</f>
        <v>0</v>
      </c>
      <c r="D4640" s="61" t="n">
        <f aca="false">D4550*1000*D4613</f>
        <v>0</v>
      </c>
      <c r="E4640" s="61" t="n">
        <f aca="false">E4550*1000*E4613</f>
        <v>0</v>
      </c>
      <c r="F4640" s="61" t="n">
        <f aca="false">F4550*1000*F4613</f>
        <v>0</v>
      </c>
      <c r="G4640" s="61" t="n">
        <f aca="false">G4550*1000*G4613</f>
        <v>0</v>
      </c>
      <c r="H4640" s="2" t="s">
        <v>1266</v>
      </c>
    </row>
    <row r="4641" customFormat="false" ht="15" hidden="false" customHeight="false" outlineLevel="1" collapsed="false">
      <c r="A4641" s="7" t="s">
        <v>611</v>
      </c>
      <c r="B4641" s="8" t="s">
        <v>11</v>
      </c>
      <c r="C4641" s="61" t="n">
        <f aca="false">C4638+C4639+C4640</f>
        <v>274450</v>
      </c>
      <c r="D4641" s="61" t="n">
        <f aca="false">D4638+D4639+D4640</f>
        <v>1776787.5</v>
      </c>
      <c r="E4641" s="61" t="n">
        <f aca="false">E4638+E4639+E4640</f>
        <v>3621150</v>
      </c>
      <c r="F4641" s="61" t="n">
        <f aca="false">F4638+F4639+F4640</f>
        <v>6017725</v>
      </c>
      <c r="G4641" s="61" t="n">
        <f aca="false">G4638+G4639+G4640</f>
        <v>9041750</v>
      </c>
      <c r="H4641" s="2" t="s">
        <v>1267</v>
      </c>
    </row>
    <row r="4642" customFormat="false" ht="15" hidden="false" customHeight="false" outlineLevel="1" collapsed="false">
      <c r="A4642" s="7" t="s">
        <v>612</v>
      </c>
      <c r="B4642" s="8" t="s">
        <v>11</v>
      </c>
      <c r="C4642" s="61" t="n">
        <f aca="false">C4560*1000*Pressupostos!$C$93</f>
        <v>0</v>
      </c>
      <c r="D4642" s="61" t="n">
        <f aca="false">D4560*1000*Pressupostos!$C$93</f>
        <v>0</v>
      </c>
      <c r="E4642" s="61" t="n">
        <f aca="false">E4560*1000*Pressupostos!$C$93</f>
        <v>0</v>
      </c>
      <c r="F4642" s="61" t="n">
        <f aca="false">F4560*1000*Pressupostos!$C$93</f>
        <v>157000</v>
      </c>
      <c r="G4642" s="61" t="n">
        <f aca="false">G4560*1000*Pressupostos!$C$93</f>
        <v>392500</v>
      </c>
      <c r="H4642" s="2" t="s">
        <v>1268</v>
      </c>
    </row>
    <row r="4643" customFormat="false" ht="15" hidden="false" customHeight="false" outlineLevel="1" collapsed="false">
      <c r="A4643" s="2" t="s">
        <v>613</v>
      </c>
      <c r="B4643" s="8" t="s">
        <v>11</v>
      </c>
      <c r="C4643" s="61" t="n">
        <f aca="false">C4558*Pressupostos!$C$80*(1-Pressupostos!$C$81)</f>
        <v>9720</v>
      </c>
      <c r="D4643" s="61" t="n">
        <f aca="false">D4558*Pressupostos!$C$80*(1-Pressupostos!$C$81)</f>
        <v>36450</v>
      </c>
      <c r="E4643" s="61" t="n">
        <f aca="false">E4558*Pressupostos!$C$80*(1-Pressupostos!$C$81)</f>
        <v>97200</v>
      </c>
      <c r="F4643" s="61" t="n">
        <f aca="false">F4558*Pressupostos!$C$80*(1-Pressupostos!$C$81)</f>
        <v>170100</v>
      </c>
      <c r="G4643" s="61" t="n">
        <f aca="false">G4558*Pressupostos!$C$80*(1-Pressupostos!$C$81)</f>
        <v>243000</v>
      </c>
      <c r="H4643" s="2" t="s">
        <v>1269</v>
      </c>
    </row>
    <row r="4644" customFormat="false" ht="15" hidden="false" customHeight="false" outlineLevel="1" collapsed="false">
      <c r="A4644" s="7" t="s">
        <v>614</v>
      </c>
      <c r="B4644" s="8" t="s">
        <v>11</v>
      </c>
      <c r="C4644" s="61" t="n">
        <f aca="false">C4643*Pressupostos!$F$27</f>
        <v>194.4</v>
      </c>
      <c r="D4644" s="61" t="n">
        <f aca="false">D4643*Pressupostos!$F$27</f>
        <v>729</v>
      </c>
      <c r="E4644" s="61" t="n">
        <f aca="false">E4643*Pressupostos!$F$27</f>
        <v>1944</v>
      </c>
      <c r="F4644" s="61" t="n">
        <f aca="false">F4643*Pressupostos!$F$27</f>
        <v>3402</v>
      </c>
      <c r="G4644" s="61" t="n">
        <f aca="false">G4643*Pressupostos!$F$27</f>
        <v>4860</v>
      </c>
      <c r="H4644" s="2" t="s">
        <v>1270</v>
      </c>
    </row>
    <row r="4645" customFormat="false" ht="15" hidden="false" customHeight="false" outlineLevel="1" collapsed="false">
      <c r="A4645" s="7" t="s">
        <v>615</v>
      </c>
      <c r="B4645" s="8" t="s">
        <v>11</v>
      </c>
      <c r="C4645" s="61" t="n">
        <f aca="false">C4551*1000*C4634</f>
        <v>0</v>
      </c>
      <c r="D4645" s="61" t="n">
        <f aca="false">D4551*1000*D4634</f>
        <v>13125</v>
      </c>
      <c r="E4645" s="61" t="n">
        <f aca="false">E4551*1000*E4634</f>
        <v>39375</v>
      </c>
      <c r="F4645" s="61" t="n">
        <f aca="false">F4551*1000*F4634</f>
        <v>65625</v>
      </c>
      <c r="G4645" s="61" t="n">
        <f aca="false">G4551*1000*G4634</f>
        <v>91875</v>
      </c>
      <c r="H4645" s="2" t="s">
        <v>1271</v>
      </c>
    </row>
    <row r="4646" customFormat="false" ht="15" hidden="false" customHeight="false" outlineLevel="1" collapsed="false">
      <c r="A4646" s="7" t="s">
        <v>616</v>
      </c>
      <c r="B4646" s="8" t="s">
        <v>11</v>
      </c>
      <c r="C4646" s="61" t="n">
        <f aca="false">C4562*(Pressupostos!$C$101*Pressupostos!$C$102+Pressupostos!$C$103)</f>
        <v>0</v>
      </c>
      <c r="D4646" s="61" t="n">
        <f aca="false">D4562*(Pressupostos!$C$101*Pressupostos!$C$102+Pressupostos!$C$103)</f>
        <v>10000</v>
      </c>
      <c r="E4646" s="61" t="n">
        <f aca="false">E4562*(Pressupostos!$C$101*Pressupostos!$C$102+Pressupostos!$C$103)</f>
        <v>30000</v>
      </c>
      <c r="F4646" s="61" t="n">
        <f aca="false">F4562*(Pressupostos!$C$101*Pressupostos!$C$102+Pressupostos!$C$103)</f>
        <v>60000</v>
      </c>
      <c r="G4646" s="61" t="n">
        <f aca="false">G4562*(Pressupostos!$C$101*Pressupostos!$C$102+Pressupostos!$C$103)</f>
        <v>100000</v>
      </c>
      <c r="H4646" s="2" t="s">
        <v>1272</v>
      </c>
    </row>
    <row r="4647" customFormat="false" ht="15" hidden="false" customHeight="false" outlineLevel="1" collapsed="false">
      <c r="A4647" s="7" t="s">
        <v>617</v>
      </c>
      <c r="B4647" s="8" t="s">
        <v>11</v>
      </c>
      <c r="C4647" s="53" t="n">
        <f aca="false">Pressupostos!$C$277</f>
        <v>0</v>
      </c>
      <c r="D4647" s="53" t="n">
        <f aca="false">Pressupostos!$D$277</f>
        <v>0</v>
      </c>
      <c r="E4647" s="53" t="n">
        <f aca="false">Pressupostos!$E$277</f>
        <v>0</v>
      </c>
      <c r="F4647" s="53" t="n">
        <f aca="false">Pressupostos!$F$277</f>
        <v>10000</v>
      </c>
      <c r="G4647" s="53" t="n">
        <f aca="false">Pressupostos!$G$277</f>
        <v>30000</v>
      </c>
      <c r="H4647" s="2" t="s">
        <v>1273</v>
      </c>
    </row>
    <row r="4648" customFormat="false" ht="15" hidden="false" customHeight="false" outlineLevel="1" collapsed="false">
      <c r="A4648" s="56" t="s">
        <v>618</v>
      </c>
      <c r="B4648" s="57" t="s">
        <v>11</v>
      </c>
      <c r="C4648" s="62" t="n">
        <f aca="false">C4641+C4642+C4644+C4645+C4646+C4647</f>
        <v>274644.4</v>
      </c>
      <c r="D4648" s="62" t="n">
        <f aca="false">D4641+D4642+D4644+D4645+D4646+D4647</f>
        <v>1800641.5</v>
      </c>
      <c r="E4648" s="62" t="n">
        <f aca="false">E4641+E4642+E4644+E4645+E4646+E4647</f>
        <v>3692469</v>
      </c>
      <c r="F4648" s="62" t="n">
        <f aca="false">F4641+F4642+F4644+F4645+F4646+F4647</f>
        <v>6313752</v>
      </c>
      <c r="G4648" s="62" t="n">
        <f aca="false">G4641+G4642+G4644+G4645+G4646+G4647</f>
        <v>9660985</v>
      </c>
      <c r="H4648" s="2" t="s">
        <v>1274</v>
      </c>
    </row>
    <row r="4649" customFormat="false" ht="15" hidden="false" customHeight="false" outlineLevel="0" collapsed="false">
      <c r="A4649" s="3" t="s">
        <v>1275</v>
      </c>
      <c r="B4649" s="4"/>
      <c r="C4649" s="4"/>
      <c r="D4649" s="4"/>
      <c r="E4649" s="4"/>
      <c r="F4649" s="4"/>
      <c r="G4649" s="4"/>
      <c r="H4649" s="4"/>
    </row>
    <row r="4650" customFormat="false" ht="15" hidden="false" customHeight="false" outlineLevel="1" collapsed="false">
      <c r="A4650" s="2" t="s">
        <v>620</v>
      </c>
      <c r="B4650" s="8" t="s">
        <v>11</v>
      </c>
      <c r="C4650" s="61" t="n">
        <f aca="false">C4551*1000*Pressupostos!$F$10</f>
        <v>0</v>
      </c>
      <c r="D4650" s="61" t="n">
        <f aca="false">D4551*1000*Pressupostos!$F$10</f>
        <v>1750000</v>
      </c>
      <c r="E4650" s="61" t="n">
        <f aca="false">E4551*1000*Pressupostos!$F$10</f>
        <v>5250000</v>
      </c>
      <c r="F4650" s="61" t="n">
        <f aca="false">F4551*1000*Pressupostos!$F$10</f>
        <v>8750000</v>
      </c>
      <c r="G4650" s="61" t="n">
        <f aca="false">G4551*1000*Pressupostos!$F$10</f>
        <v>12250000</v>
      </c>
      <c r="H4650" s="2" t="s">
        <v>1276</v>
      </c>
    </row>
    <row r="4651" customFormat="false" ht="15" hidden="false" customHeight="false" outlineLevel="1" collapsed="false">
      <c r="A4651" s="56" t="s">
        <v>621</v>
      </c>
      <c r="B4651" s="57" t="s">
        <v>11</v>
      </c>
      <c r="C4651" s="62" t="n">
        <f aca="false">C4641+C4642+C4643+C4650</f>
        <v>284170</v>
      </c>
      <c r="D4651" s="62" t="n">
        <f aca="false">D4641+D4642+D4643+D4650</f>
        <v>3563237.5</v>
      </c>
      <c r="E4651" s="62" t="n">
        <f aca="false">E4641+E4642+E4643+E4650</f>
        <v>8968350</v>
      </c>
      <c r="F4651" s="62" t="n">
        <f aca="false">F4641+F4642+F4643+F4650</f>
        <v>15094825</v>
      </c>
      <c r="G4651" s="62" t="n">
        <f aca="false">G4641+G4642+G4643+G4650</f>
        <v>21927250</v>
      </c>
      <c r="H4651" s="2" t="s">
        <v>1277</v>
      </c>
    </row>
    <row r="4652" customFormat="false" ht="15" hidden="false" customHeight="false" outlineLevel="1" collapsed="false">
      <c r="A4652" s="7" t="s">
        <v>622</v>
      </c>
      <c r="B4652" s="8" t="s">
        <v>11</v>
      </c>
      <c r="C4652" s="61" t="n">
        <f aca="false">C4651-C4650-C4640</f>
        <v>284170</v>
      </c>
      <c r="D4652" s="61" t="n">
        <f aca="false">D4651-D4650-D4640</f>
        <v>1813237.5</v>
      </c>
      <c r="E4652" s="61" t="n">
        <f aca="false">E4651-E4650-E4640</f>
        <v>3718350</v>
      </c>
      <c r="F4652" s="61" t="n">
        <f aca="false">F4651-F4650-F4640</f>
        <v>6344825</v>
      </c>
      <c r="G4652" s="61" t="n">
        <f aca="false">G4651-G4650-G4640</f>
        <v>9677250</v>
      </c>
      <c r="H4652" s="2" t="s">
        <v>1278</v>
      </c>
    </row>
    <row r="4653" customFormat="false" ht="15" hidden="false" customHeight="false" outlineLevel="1" collapsed="false">
      <c r="A4653" s="7" t="s">
        <v>623</v>
      </c>
      <c r="B4653" s="8" t="s">
        <v>11</v>
      </c>
      <c r="C4653" s="61" t="n">
        <f aca="false">C4547*1000*(C4565+C4568)+C4548*1000*(C4588+C4591)+C4550*1000*(C4611+C4614)+C4560*1000*Pressupostos!$C$92</f>
        <v>245040</v>
      </c>
      <c r="D4653" s="61" t="n">
        <f aca="false">D4547*1000*(D4565+D4568)+D4548*1000*(D4588+D4591)+D4550*1000*(D4611+D4614)+D4560*1000*Pressupostos!$C$92</f>
        <v>1599300</v>
      </c>
      <c r="E4653" s="61" t="n">
        <f aca="false">E4547*1000*(E4565+E4568)+E4548*1000*(E4588+E4591)+E4550*1000*(E4611+E4614)+E4560*1000*Pressupostos!$C$92</f>
        <v>3248250</v>
      </c>
      <c r="F4653" s="61" t="n">
        <f aca="false">F4547*1000*(F4565+F4568)+F4548*1000*(F4588+F4591)+F4550*1000*(F4611+F4614)+F4560*1000*Pressupostos!$C$92</f>
        <v>5533850</v>
      </c>
      <c r="G4653" s="61" t="n">
        <f aca="false">G4547*1000*(G4565+G4568)+G4548*1000*(G4588+G4591)+G4550*1000*(G4611+G4614)+G4560*1000*Pressupostos!$C$92</f>
        <v>8460500</v>
      </c>
      <c r="H4653" s="2" t="s">
        <v>1279</v>
      </c>
    </row>
    <row r="4654" customFormat="false" ht="15" hidden="false" customHeight="false" outlineLevel="1" collapsed="false">
      <c r="A4654" s="7" t="s">
        <v>624</v>
      </c>
      <c r="B4654" s="8" t="s">
        <v>11</v>
      </c>
      <c r="C4654" s="61" t="n">
        <f aca="false">C4653*Pressupostos!$C$284</f>
        <v>0</v>
      </c>
      <c r="D4654" s="61" t="n">
        <f aca="false">D4653*Pressupostos!$D$284</f>
        <v>1199475</v>
      </c>
      <c r="E4654" s="61" t="n">
        <f aca="false">E4653*Pressupostos!$E$284</f>
        <v>2436187.5</v>
      </c>
      <c r="F4654" s="61" t="n">
        <f aca="false">F4653*Pressupostos!$F$284</f>
        <v>4150387.5</v>
      </c>
      <c r="G4654" s="61" t="n">
        <f aca="false">G4653*Pressupostos!$G$284</f>
        <v>6345375</v>
      </c>
      <c r="H4654" s="2" t="s">
        <v>1280</v>
      </c>
    </row>
    <row r="4655" customFormat="false" ht="15" hidden="false" customHeight="false" outlineLevel="0" collapsed="false">
      <c r="A4655" s="3" t="s">
        <v>1281</v>
      </c>
      <c r="B4655" s="4"/>
      <c r="C4655" s="4"/>
      <c r="D4655" s="4"/>
      <c r="E4655" s="4"/>
      <c r="F4655" s="4"/>
      <c r="G4655" s="4"/>
      <c r="H4655" s="4"/>
    </row>
    <row r="4656" customFormat="false" ht="15" hidden="false" customHeight="false" outlineLevel="1" collapsed="false">
      <c r="A4656" s="7" t="s">
        <v>626</v>
      </c>
      <c r="B4656" s="8" t="s">
        <v>11</v>
      </c>
      <c r="C4656" s="61" t="n">
        <f aca="false">C4547*1000*C4584</f>
        <v>3728.13000000001</v>
      </c>
      <c r="D4656" s="61" t="n">
        <f aca="false">D4547*1000*D4584</f>
        <v>9071.01832191784</v>
      </c>
      <c r="E4656" s="61" t="n">
        <f aca="false">E4547*1000*E4584</f>
        <v>38408.4910958904</v>
      </c>
      <c r="F4656" s="61" t="n">
        <f aca="false">F4547*1000*F4584</f>
        <v>69036.8671232876</v>
      </c>
      <c r="G4656" s="61" t="n">
        <f aca="false">G4547*1000*G4584</f>
        <v>98624.0958904108</v>
      </c>
      <c r="H4656" s="2" t="s">
        <v>1282</v>
      </c>
    </row>
    <row r="4657" customFormat="false" ht="15" hidden="false" customHeight="false" outlineLevel="1" collapsed="false">
      <c r="A4657" s="7" t="s">
        <v>627</v>
      </c>
      <c r="B4657" s="8" t="s">
        <v>11</v>
      </c>
      <c r="C4657" s="61" t="n">
        <f aca="false">C4548*1000*C4607</f>
        <v>10195.0273972603</v>
      </c>
      <c r="D4657" s="61" t="n">
        <f aca="false">D4548*1000*D4607</f>
        <v>54554.4246575343</v>
      </c>
      <c r="E4657" s="61" t="n">
        <f aca="false">E4548*1000*E4607</f>
        <v>116977.352953767</v>
      </c>
      <c r="F4657" s="61" t="n">
        <f aca="false">F4548*1000*F4607</f>
        <v>196388.634845891</v>
      </c>
      <c r="G4657" s="61" t="n">
        <f aca="false">G4548*1000*G4607</f>
        <v>297156.09160959</v>
      </c>
      <c r="H4657" s="2" t="s">
        <v>1283</v>
      </c>
    </row>
    <row r="4658" customFormat="false" ht="15" hidden="false" customHeight="false" outlineLevel="1" collapsed="false">
      <c r="A4658" s="7" t="s">
        <v>628</v>
      </c>
      <c r="B4658" s="8" t="s">
        <v>11</v>
      </c>
      <c r="C4658" s="61" t="n">
        <f aca="false">C4550*1000*C4630+C4551*1000*C4636</f>
        <v>0</v>
      </c>
      <c r="D4658" s="61" t="n">
        <f aca="false">D4550*1000*D4630+D4551*1000*D4636</f>
        <v>3625</v>
      </c>
      <c r="E4658" s="61" t="n">
        <f aca="false">E4550*1000*E4630+E4551*1000*E4636</f>
        <v>10875</v>
      </c>
      <c r="F4658" s="61" t="n">
        <f aca="false">F4550*1000*F4630+F4551*1000*F4636</f>
        <v>18125</v>
      </c>
      <c r="G4658" s="61" t="n">
        <f aca="false">G4550*1000*G4630+G4551*1000*G4636</f>
        <v>25375</v>
      </c>
      <c r="H4658" s="2" t="s">
        <v>1284</v>
      </c>
    </row>
    <row r="4659" customFormat="false" ht="15" hidden="false" customHeight="false" outlineLevel="1" collapsed="false">
      <c r="A4659" s="7" t="s">
        <v>629</v>
      </c>
      <c r="B4659" s="8" t="s">
        <v>11</v>
      </c>
      <c r="C4659" s="61" t="n">
        <f aca="false">C4656+C4657+C4658</f>
        <v>13923.1573972603</v>
      </c>
      <c r="D4659" s="61" t="n">
        <f aca="false">D4656+D4657+D4658</f>
        <v>67250.4429794522</v>
      </c>
      <c r="E4659" s="61" t="n">
        <f aca="false">E4656+E4657+E4658</f>
        <v>166260.844049658</v>
      </c>
      <c r="F4659" s="61" t="n">
        <f aca="false">F4656+F4657+F4658</f>
        <v>283550.501969179</v>
      </c>
      <c r="G4659" s="61" t="n">
        <f aca="false">G4656+G4657+G4658</f>
        <v>421155.187500001</v>
      </c>
      <c r="H4659" s="2" t="s">
        <v>1285</v>
      </c>
    </row>
    <row r="4660" customFormat="false" ht="15" hidden="false" customHeight="false" outlineLevel="1" collapsed="false">
      <c r="A4660" s="7" t="s">
        <v>630</v>
      </c>
      <c r="B4660" s="8" t="s">
        <v>64</v>
      </c>
      <c r="C4660" s="63" t="n">
        <f aca="false">IF(C4552&gt;0,C4659/(C4552*1000),0)</f>
        <v>0.231281684339872</v>
      </c>
      <c r="D4660" s="63" t="n">
        <f aca="false">IF(D4552&gt;0,D4659/(D4552*1000),0)</f>
        <v>0.0752452508861003</v>
      </c>
      <c r="E4660" s="63" t="n">
        <f aca="false">IF(E4552&gt;0,E4659/(E4552*1000),0)</f>
        <v>0.0723187664417824</v>
      </c>
      <c r="F4660" s="63" t="n">
        <f aca="false">IF(F4552&gt;0,F4659/(F4552*1000),0)</f>
        <v>0.0741017906622706</v>
      </c>
      <c r="G4660" s="63" t="n">
        <f aca="false">IF(G4552&gt;0,G4659/(G4552*1000),0)</f>
        <v>0.07664334622384</v>
      </c>
      <c r="H4660" s="2" t="s">
        <v>1286</v>
      </c>
    </row>
    <row r="4661" customFormat="false" ht="15" hidden="false" customHeight="false" outlineLevel="1" collapsed="false">
      <c r="A4661" s="7" t="s">
        <v>631</v>
      </c>
      <c r="B4661" s="8" t="s">
        <v>76</v>
      </c>
      <c r="C4661" s="59" t="n">
        <f aca="false">IF(C4641&gt;0,C4659/C4641,0)</f>
        <v>0.0507311255137923</v>
      </c>
      <c r="D4661" s="59" t="n">
        <f aca="false">IF(D4641&gt;0,D4659/D4641,0)</f>
        <v>0.0378494575065686</v>
      </c>
      <c r="E4661" s="59" t="n">
        <f aca="false">IF(E4641&gt;0,E4659/E4641,0)</f>
        <v>0.0459138240751302</v>
      </c>
      <c r="F4661" s="59" t="n">
        <f aca="false">IF(F4641&gt;0,F4659/F4641,0)</f>
        <v>0.047119218968826</v>
      </c>
      <c r="G4661" s="59" t="n">
        <f aca="false">IF(G4641&gt;0,G4659/G4641,0)</f>
        <v>0.0465789462769929</v>
      </c>
      <c r="H4661" s="2" t="s">
        <v>1287</v>
      </c>
    </row>
    <row r="4662" customFormat="false" ht="15" hidden="false" customHeight="false" outlineLevel="1" collapsed="false">
      <c r="A4662" s="2" t="s">
        <v>632</v>
      </c>
      <c r="B4662" s="8" t="s">
        <v>64</v>
      </c>
      <c r="C4662" s="63" t="n">
        <f aca="false">Pressupostos!$C$290*Pressupostos!$C$92*(Pressupostos!$C$95+Pressupostos!$C$96-Pressupostos!$C$97)/365*Pressupostos!$C$284/Pressupostos!$F$31</f>
        <v>0</v>
      </c>
      <c r="D4662" s="63" t="n">
        <f aca="false">Pressupostos!$D$290*Pressupostos!$C$92*(Pressupostos!$C$95+Pressupostos!$C$96-Pressupostos!$C$97)/365*Pressupostos!$D$284/Pressupostos!$F$31</f>
        <v>0.0647260273972603</v>
      </c>
      <c r="E4662" s="63" t="n">
        <f aca="false">Pressupostos!$E$290*Pressupostos!$C$92*(Pressupostos!$C$95+Pressupostos!$C$96-Pressupostos!$C$97)/365*Pressupostos!$E$284/Pressupostos!$F$31</f>
        <v>0.0606806506849315</v>
      </c>
      <c r="F4662" s="63" t="n">
        <f aca="false">Pressupostos!$F$290*Pressupostos!$C$92*(Pressupostos!$C$95+Pressupostos!$C$96-Pressupostos!$C$97)/365*Pressupostos!$F$284/Pressupostos!$F$31</f>
        <v>0.0566352739726028</v>
      </c>
      <c r="G4662" s="63" t="n">
        <f aca="false">Pressupostos!$G$290*Pressupostos!$C$92*(Pressupostos!$C$95+Pressupostos!$C$96-Pressupostos!$C$97)/365*Pressupostos!$G$284/Pressupostos!$F$31</f>
        <v>0.0566352739726028</v>
      </c>
      <c r="H4662" s="2" t="s">
        <v>1288</v>
      </c>
    </row>
    <row r="4663" customFormat="false" ht="15" hidden="false" customHeight="false" outlineLevel="1" collapsed="false">
      <c r="A4663" s="7" t="s">
        <v>600</v>
      </c>
      <c r="B4663" s="8" t="s">
        <v>11</v>
      </c>
      <c r="C4663" s="61" t="n">
        <f aca="false">C4560*1000*(Pressupostos!$C$93-Pressupostos!$C$92-Pressupostos!$C$94-C4662-Pressupostos!$C$98*Pressupostos!$C$93-Pressupostos!$C$99-Pressupostos!$F$29*Pressupostos!$C$92)</f>
        <v>0</v>
      </c>
      <c r="D4663" s="61" t="n">
        <f aca="false">D4560*1000*(Pressupostos!$C$93-Pressupostos!$C$92-Pressupostos!$C$94-D4662-Pressupostos!$C$98*Pressupostos!$C$93-Pressupostos!$C$99-Pressupostos!$F$29*Pressupostos!$C$92)</f>
        <v>0</v>
      </c>
      <c r="E4663" s="61" t="n">
        <f aca="false">E4560*1000*(Pressupostos!$C$93-Pressupostos!$C$92-Pressupostos!$C$94-E4662-Pressupostos!$C$98*Pressupostos!$C$93-Pressupostos!$C$99-Pressupostos!$F$29*Pressupostos!$C$92)</f>
        <v>0</v>
      </c>
      <c r="F4663" s="61" t="n">
        <f aca="false">F4560*1000*(Pressupostos!$C$93-Pressupostos!$C$92-Pressupostos!$C$94-F4662-Pressupostos!$C$98*Pressupostos!$C$93-Pressupostos!$C$99-Pressupostos!$F$29*Pressupostos!$C$92)</f>
        <v>10905.2945205479</v>
      </c>
      <c r="G4663" s="61" t="n">
        <f aca="false">G4560*1000*(Pressupostos!$C$93-Pressupostos!$C$92-Pressupostos!$C$94-G4662-Pressupostos!$C$98*Pressupostos!$C$93-Pressupostos!$C$99-Pressupostos!$F$29*Pressupostos!$C$92)</f>
        <v>27263.2363013698</v>
      </c>
      <c r="H4663" s="2" t="s">
        <v>1289</v>
      </c>
    </row>
    <row r="4664" customFormat="false" ht="15" hidden="false" customHeight="false" outlineLevel="1" collapsed="false">
      <c r="A4664" s="7" t="s">
        <v>633</v>
      </c>
      <c r="B4664" s="8" t="s">
        <v>11</v>
      </c>
      <c r="C4664" s="61" t="n">
        <f aca="false">C4644</f>
        <v>194.4</v>
      </c>
      <c r="D4664" s="61" t="n">
        <f aca="false">D4644</f>
        <v>729</v>
      </c>
      <c r="E4664" s="61" t="n">
        <f aca="false">E4644</f>
        <v>1944</v>
      </c>
      <c r="F4664" s="61" t="n">
        <f aca="false">F4644</f>
        <v>3402</v>
      </c>
      <c r="G4664" s="61" t="n">
        <f aca="false">G4644</f>
        <v>4860</v>
      </c>
      <c r="H4664" s="2" t="s">
        <v>1290</v>
      </c>
    </row>
    <row r="4665" customFormat="false" ht="15" hidden="false" customHeight="false" outlineLevel="1" collapsed="false">
      <c r="A4665" s="7" t="s">
        <v>634</v>
      </c>
      <c r="B4665" s="8" t="s">
        <v>11</v>
      </c>
      <c r="C4665" s="61" t="n">
        <f aca="false">C4646-C4680</f>
        <v>0</v>
      </c>
      <c r="D4665" s="61" t="n">
        <f aca="false">D4646-D4680</f>
        <v>10000</v>
      </c>
      <c r="E4665" s="61" t="n">
        <f aca="false">E4646-E4680</f>
        <v>30000</v>
      </c>
      <c r="F4665" s="61" t="n">
        <f aca="false">F4646-F4680</f>
        <v>60000</v>
      </c>
      <c r="G4665" s="61" t="n">
        <f aca="false">G4646-G4680</f>
        <v>100000</v>
      </c>
      <c r="H4665" s="2" t="s">
        <v>1291</v>
      </c>
    </row>
    <row r="4666" customFormat="false" ht="15" hidden="false" customHeight="false" outlineLevel="1" collapsed="false">
      <c r="A4666" s="7" t="s">
        <v>617</v>
      </c>
      <c r="B4666" s="8" t="s">
        <v>11</v>
      </c>
      <c r="C4666" s="61" t="n">
        <f aca="false">C4647</f>
        <v>0</v>
      </c>
      <c r="D4666" s="61" t="n">
        <f aca="false">D4647</f>
        <v>0</v>
      </c>
      <c r="E4666" s="61" t="n">
        <f aca="false">E4647</f>
        <v>0</v>
      </c>
      <c r="F4666" s="61" t="n">
        <f aca="false">F4647</f>
        <v>10000</v>
      </c>
      <c r="G4666" s="61" t="n">
        <f aca="false">G4647</f>
        <v>30000</v>
      </c>
      <c r="H4666" s="2" t="s">
        <v>1292</v>
      </c>
    </row>
    <row r="4667" customFormat="false" ht="15" hidden="false" customHeight="false" outlineLevel="1" collapsed="false">
      <c r="A4667" s="56" t="s">
        <v>635</v>
      </c>
      <c r="B4667" s="57" t="s">
        <v>11</v>
      </c>
      <c r="C4667" s="62" t="n">
        <f aca="false">C4659+C4663+C4664+C4665+C4666</f>
        <v>14117.5573972603</v>
      </c>
      <c r="D4667" s="62" t="n">
        <f aca="false">D4659+D4663+D4664+D4665+D4666</f>
        <v>77979.4429794522</v>
      </c>
      <c r="E4667" s="62" t="n">
        <f aca="false">E4659+E4663+E4664+E4665+E4666</f>
        <v>198204.844049658</v>
      </c>
      <c r="F4667" s="62" t="n">
        <f aca="false">F4659+F4663+F4664+F4665+F4666</f>
        <v>367857.796489727</v>
      </c>
      <c r="G4667" s="62" t="n">
        <f aca="false">G4659+G4663+G4664+G4665+G4666</f>
        <v>583278.423801371</v>
      </c>
      <c r="H4667" s="2" t="s">
        <v>1293</v>
      </c>
    </row>
    <row r="4668" customFormat="false" ht="15" hidden="false" customHeight="false" outlineLevel="0" collapsed="false">
      <c r="A4668" s="3" t="s">
        <v>1294</v>
      </c>
      <c r="B4668" s="4"/>
      <c r="C4668" s="4"/>
      <c r="D4668" s="4"/>
      <c r="E4668" s="4"/>
      <c r="F4668" s="4"/>
      <c r="G4668" s="4"/>
      <c r="H4668" s="4"/>
    </row>
    <row r="4669" customFormat="false" ht="15" hidden="false" customHeight="false" outlineLevel="1" collapsed="false">
      <c r="A4669" s="7" t="s">
        <v>686</v>
      </c>
      <c r="B4669" s="8" t="s">
        <v>11</v>
      </c>
      <c r="C4669" s="61" t="n">
        <f aca="false">C4547*1000*(C4565+C4568)+C4548*1000*(C4588+C4591)+C4550*1000*(C4611+C4614)</f>
        <v>245040</v>
      </c>
      <c r="D4669" s="61" t="n">
        <f aca="false">D4547*1000*(D4565+D4568)+D4548*1000*(D4588+D4591)+D4550*1000*(D4611+D4614)</f>
        <v>1599300</v>
      </c>
      <c r="E4669" s="61" t="n">
        <f aca="false">E4547*1000*(E4565+E4568)+E4548*1000*(E4588+E4591)+E4550*1000*(E4611+E4614)</f>
        <v>3248250</v>
      </c>
      <c r="F4669" s="61" t="n">
        <f aca="false">F4547*1000*(F4565+F4568)+F4548*1000*(F4588+F4591)+F4550*1000*(F4611+F4614)</f>
        <v>5393850</v>
      </c>
      <c r="G4669" s="61" t="n">
        <f aca="false">G4547*1000*(G4565+G4568)+G4548*1000*(G4588+G4591)+G4550*1000*(G4611+G4614)</f>
        <v>8110500</v>
      </c>
      <c r="H4669" s="2" t="s">
        <v>1295</v>
      </c>
    </row>
    <row r="4670" customFormat="false" ht="15" hidden="false" customHeight="false" outlineLevel="1" collapsed="false">
      <c r="A4670" s="7" t="s">
        <v>687</v>
      </c>
      <c r="B4670" s="8" t="s">
        <v>11</v>
      </c>
      <c r="C4670" s="61" t="n">
        <f aca="false">C4560*1000*Pressupostos!$C$92</f>
        <v>0</v>
      </c>
      <c r="D4670" s="61" t="n">
        <f aca="false">D4560*1000*Pressupostos!$C$92</f>
        <v>0</v>
      </c>
      <c r="E4670" s="61" t="n">
        <f aca="false">E4560*1000*Pressupostos!$C$92</f>
        <v>0</v>
      </c>
      <c r="F4670" s="61" t="n">
        <f aca="false">F4560*1000*Pressupostos!$C$92</f>
        <v>140000</v>
      </c>
      <c r="G4670" s="61" t="n">
        <f aca="false">G4560*1000*Pressupostos!$C$92</f>
        <v>350000</v>
      </c>
      <c r="H4670" s="2" t="s">
        <v>1296</v>
      </c>
    </row>
    <row r="4671" customFormat="false" ht="15" hidden="false" customHeight="false" outlineLevel="1" collapsed="false">
      <c r="A4671" s="7" t="s">
        <v>688</v>
      </c>
      <c r="B4671" s="8" t="s">
        <v>11</v>
      </c>
      <c r="C4671" s="61" t="n">
        <f aca="false">C4669+C4670</f>
        <v>245040</v>
      </c>
      <c r="D4671" s="61" t="n">
        <f aca="false">D4669+D4670</f>
        <v>1599300</v>
      </c>
      <c r="E4671" s="61" t="n">
        <f aca="false">E4669+E4670</f>
        <v>3248250</v>
      </c>
      <c r="F4671" s="61" t="n">
        <f aca="false">F4669+F4670</f>
        <v>5533850</v>
      </c>
      <c r="G4671" s="61" t="n">
        <f aca="false">G4669+G4670</f>
        <v>8460500</v>
      </c>
      <c r="H4671" s="2" t="s">
        <v>1297</v>
      </c>
    </row>
    <row r="4672" customFormat="false" ht="15" hidden="false" customHeight="false" outlineLevel="1" collapsed="false">
      <c r="A4672" s="7" t="s">
        <v>215</v>
      </c>
      <c r="B4672" s="8" t="s">
        <v>11</v>
      </c>
      <c r="C4672" s="61" t="n">
        <f aca="false">C4547*1000*(C4569)+C4548*1000*(C4592)+C4550*1000*(C4615)+C4560*1000*Pressupostos!$C$94</f>
        <v>7660</v>
      </c>
      <c r="D4672" s="61" t="n">
        <f aca="false">D4547*1000*(D4569)+D4548*1000*(D4592)+D4550*1000*(D4615)+D4560*1000*Pressupostos!$C$94</f>
        <v>45525</v>
      </c>
      <c r="E4672" s="61" t="n">
        <f aca="false">E4547*1000*(E4569)+E4548*1000*(E4592)+E4550*1000*(E4615)+E4560*1000*Pressupostos!$C$94</f>
        <v>87490</v>
      </c>
      <c r="F4672" s="61" t="n">
        <f aca="false">F4547*1000*(F4569)+F4548*1000*(F4592)+F4550*1000*(F4615)+F4560*1000*Pressupostos!$C$94</f>
        <v>148215</v>
      </c>
      <c r="G4672" s="61" t="n">
        <f aca="false">G4547*1000*(G4569)+G4548*1000*(G4592)+G4550*1000*(G4615)+G4560*1000*Pressupostos!$C$94</f>
        <v>223950</v>
      </c>
      <c r="H4672" s="2" t="s">
        <v>1298</v>
      </c>
    </row>
    <row r="4673" customFormat="false" ht="15" hidden="false" customHeight="false" outlineLevel="1" collapsed="false">
      <c r="A4673" s="7" t="s">
        <v>117</v>
      </c>
      <c r="B4673" s="8" t="s">
        <v>11</v>
      </c>
      <c r="C4673" s="61" t="n">
        <f aca="false">C4547*1000*(C4570)+C4548*1000*(C4593)+C4550*1000*(C4616)</f>
        <v>492</v>
      </c>
      <c r="D4673" s="61" t="n">
        <f aca="false">D4547*1000*(D4570)+D4548*1000*(D4593)+D4550*1000*(D4616)</f>
        <v>1845</v>
      </c>
      <c r="E4673" s="61" t="n">
        <f aca="false">E4547*1000*(E4570)+E4548*1000*(E4593)+E4550*1000*(E4616)</f>
        <v>4920</v>
      </c>
      <c r="F4673" s="61" t="n">
        <f aca="false">F4547*1000*(F4570)+F4548*1000*(F4593)+F4550*1000*(F4616)</f>
        <v>8610</v>
      </c>
      <c r="G4673" s="61" t="n">
        <f aca="false">G4547*1000*(G4570)+G4548*1000*(G4593)+G4550*1000*(G4616)</f>
        <v>12300</v>
      </c>
      <c r="H4673" s="2" t="s">
        <v>1299</v>
      </c>
    </row>
    <row r="4674" customFormat="false" ht="15" hidden="false" customHeight="false" outlineLevel="1" collapsed="false">
      <c r="A4674" s="7" t="s">
        <v>689</v>
      </c>
      <c r="B4674" s="8" t="s">
        <v>11</v>
      </c>
      <c r="C4674" s="61" t="n">
        <f aca="false">C4547*1000*(C4573+C4574)+C4548*1000*(C4596+C4597)+C4550*1000*(C4619+C4620)</f>
        <v>465.092602739726</v>
      </c>
      <c r="D4674" s="61" t="n">
        <f aca="false">D4547*1000*(D4573+D4574)+D4548*1000*(D4596+D4597)+D4550*1000*(D4619+D4620)</f>
        <v>2515.51643835616</v>
      </c>
      <c r="E4674" s="61" t="n">
        <f aca="false">E4547*1000*(E4573+E4574)+E4548*1000*(E4596+E4597)+E4550*1000*(E4619+E4620)</f>
        <v>3858.10684931507</v>
      </c>
      <c r="F4674" s="61" t="n">
        <f aca="false">F4547*1000*(F4573+F4574)+F4548*1000*(F4596+F4597)+F4550*1000*(F4619+F4620)</f>
        <v>6422.22671232877</v>
      </c>
      <c r="G4674" s="61" t="n">
        <f aca="false">G4547*1000*(G4573+G4574)+G4548*1000*(G4596+G4597)+G4550*1000*(G4619+G4620)</f>
        <v>9633.78767123288</v>
      </c>
      <c r="H4674" s="2" t="s">
        <v>1300</v>
      </c>
    </row>
    <row r="4675" customFormat="false" ht="15" hidden="false" customHeight="false" outlineLevel="1" collapsed="false">
      <c r="A4675" s="7" t="s">
        <v>690</v>
      </c>
      <c r="B4675" s="8" t="s">
        <v>11</v>
      </c>
      <c r="C4675" s="61" t="n">
        <f aca="false">C4547*1000*(C4575+C4576+C4577)+C4548*1000*(C4598+C4599+C4600)+C4550*1000*(C4621+C4622+C4623)</f>
        <v>2675.25</v>
      </c>
      <c r="D4675" s="61" t="n">
        <f aca="false">D4547*1000*(D4575+D4576+D4577)+D4548*1000*(D4598+D4599+D4600)+D4550*1000*(D4621+D4622+D4623)</f>
        <v>16920.1875</v>
      </c>
      <c r="E4675" s="61" t="n">
        <f aca="false">E4547*1000*(E4575+E4576+E4577)+E4548*1000*(E4598+E4599+E4600)+E4550*1000*(E4621+E4622+E4623)</f>
        <v>33722.5</v>
      </c>
      <c r="F4675" s="61" t="n">
        <f aca="false">F4547*1000*(F4575+F4576+F4577)+F4548*1000*(F4598+F4599+F4600)+F4550*1000*(F4621+F4622+F4623)</f>
        <v>56072.625</v>
      </c>
      <c r="G4675" s="61" t="n">
        <f aca="false">G4547*1000*(G4575+G4576+G4577)+G4548*1000*(G4598+G4599+G4600)+G4550*1000*(G4621+G4622+G4623)</f>
        <v>84203.75</v>
      </c>
      <c r="H4675" s="2" t="s">
        <v>1301</v>
      </c>
    </row>
    <row r="4676" customFormat="false" ht="15" hidden="false" customHeight="false" outlineLevel="1" collapsed="false">
      <c r="A4676" s="7" t="s">
        <v>673</v>
      </c>
      <c r="B4676" s="8" t="s">
        <v>11</v>
      </c>
      <c r="C4676" s="61" t="n">
        <f aca="false">C4547*1000*(C4578)+C4548*1000*(C4601)+C4550*1000*(C4624)</f>
        <v>2900</v>
      </c>
      <c r="D4676" s="61" t="n">
        <f aca="false">D4547*1000*(D4578)+D4548*1000*(D4601)+D4550*1000*(D4624)</f>
        <v>17595</v>
      </c>
      <c r="E4676" s="61" t="n">
        <f aca="false">E4547*1000*(E4578)+E4548*1000*(E4601)+E4550*1000*(E4624)</f>
        <v>36880</v>
      </c>
      <c r="F4676" s="61" t="n">
        <f aca="false">F4547*1000*(F4578)+F4548*1000*(F4601)+F4550*1000*(F4624)</f>
        <v>61670</v>
      </c>
      <c r="G4676" s="61" t="n">
        <f aca="false">G4547*1000*(G4578)+G4548*1000*(G4601)+G4550*1000*(G4624)</f>
        <v>92100</v>
      </c>
      <c r="H4676" s="2" t="s">
        <v>1302</v>
      </c>
    </row>
    <row r="4677" customFormat="false" ht="15" hidden="false" customHeight="false" outlineLevel="1" collapsed="false">
      <c r="A4677" s="7" t="s">
        <v>691</v>
      </c>
      <c r="B4677" s="8" t="s">
        <v>11</v>
      </c>
      <c r="C4677" s="61" t="n">
        <f aca="false">C4547*1000*(C4579)+C4548*1000*(C4602)+C4550*1000*(C4625)+C4560*1000*Pressupostos!$C$99</f>
        <v>342</v>
      </c>
      <c r="D4677" s="61" t="n">
        <f aca="false">D4547*1000*(D4579)+D4548*1000*(D4602)+D4550*1000*(D4625)+D4560*1000*Pressupostos!$C$99</f>
        <v>2122.5</v>
      </c>
      <c r="E4677" s="61" t="n">
        <f aca="false">E4547*1000*(E4579)+E4548*1000*(E4602)+E4550*1000*(E4625)+E4560*1000*Pressupostos!$C$99</f>
        <v>4405</v>
      </c>
      <c r="F4677" s="61" t="n">
        <f aca="false">F4547*1000*(F4579)+F4548*1000*(F4602)+F4550*1000*(F4625)+F4560*1000*Pressupostos!$C$99</f>
        <v>7950</v>
      </c>
      <c r="G4677" s="61" t="n">
        <f aca="false">G4547*1000*(G4579)+G4548*1000*(G4602)+G4550*1000*(G4625)+G4560*1000*Pressupostos!$C$99</f>
        <v>12500</v>
      </c>
      <c r="H4677" s="2" t="s">
        <v>1303</v>
      </c>
    </row>
    <row r="4678" customFormat="false" ht="15" hidden="false" customHeight="false" outlineLevel="1" collapsed="false">
      <c r="A4678" s="7" t="s">
        <v>81</v>
      </c>
      <c r="B4678" s="8" t="s">
        <v>11</v>
      </c>
      <c r="C4678" s="61" t="n">
        <f aca="false">C4547*1000*(C4580)+C4548*1000*(C4603)+C4550*1000*(C4626)+C4560*1000*Pressupostos!$C$98*Pressupostos!$C$93</f>
        <v>952.5</v>
      </c>
      <c r="D4678" s="61" t="n">
        <f aca="false">D4547*1000*(D4580)+D4548*1000*(D4603)+D4550*1000*(D4626)+D4560*1000*Pressupostos!$C$98*Pressupostos!$C$93</f>
        <v>5814.675</v>
      </c>
      <c r="E4678" s="61" t="n">
        <f aca="false">E4547*1000*(E4580)+E4548*1000*(E4603)+E4550*1000*(E4626)+E4560*1000*Pressupostos!$C$98*Pressupostos!$C$93</f>
        <v>12154.95</v>
      </c>
      <c r="F4678" s="61" t="n">
        <f aca="false">F4547*1000*(F4580)+F4548*1000*(F4603)+F4550*1000*(F4626)+F4560*1000*Pressupostos!$C$98*Pressupostos!$C$93</f>
        <v>21255.3</v>
      </c>
      <c r="G4678" s="61" t="n">
        <f aca="false">G4547*1000*(G4580)+G4548*1000*(G4603)+G4550*1000*(G4626)+G4560*1000*Pressupostos!$C$98*Pressupostos!$C$93</f>
        <v>32709</v>
      </c>
      <c r="H4678" s="2" t="s">
        <v>1304</v>
      </c>
    </row>
    <row r="4679" customFormat="false" ht="15" hidden="false" customHeight="false" outlineLevel="1" collapsed="false">
      <c r="A4679" s="7" t="s">
        <v>692</v>
      </c>
      <c r="B4679" s="8" t="s">
        <v>11</v>
      </c>
      <c r="C4679" s="61" t="n">
        <f aca="false">C4547*1000*(C4581)+C4548*1000*(C4604)+C4550*1000*(C4627)+C4560*1000*Pressupostos!$F$29*Pressupostos!$C$92</f>
        <v>0</v>
      </c>
      <c r="D4679" s="61" t="n">
        <f aca="false">D4547*1000*(D4581)+D4548*1000*(D4604)+D4550*1000*(D4627)+D4560*1000*Pressupostos!$F$29*Pressupostos!$C$92</f>
        <v>0</v>
      </c>
      <c r="E4679" s="61" t="n">
        <f aca="false">E4547*1000*(E4581)+E4548*1000*(E4604)+E4550*1000*(E4627)+E4560*1000*Pressupostos!$F$29*Pressupostos!$C$92</f>
        <v>0</v>
      </c>
      <c r="F4679" s="61" t="n">
        <f aca="false">F4547*1000*(F4581)+F4548*1000*(F4604)+F4550*1000*(F4627)+F4560*1000*Pressupostos!$F$29*Pressupostos!$C$92</f>
        <v>420</v>
      </c>
      <c r="G4679" s="61" t="n">
        <f aca="false">G4547*1000*(G4581)+G4548*1000*(G4604)+G4550*1000*(G4627)+G4560*1000*Pressupostos!$F$29*Pressupostos!$C$92</f>
        <v>1050</v>
      </c>
      <c r="H4679" s="2" t="s">
        <v>1305</v>
      </c>
    </row>
    <row r="4680" customFormat="false" ht="15" hidden="false" customHeight="false" outlineLevel="1" collapsed="false">
      <c r="A4680" s="7" t="s">
        <v>693</v>
      </c>
      <c r="B4680" s="8" t="s">
        <v>11</v>
      </c>
      <c r="C4680" s="61" t="n">
        <f aca="false">C4563*1000*Pressupostos!$C$104*Pressupostos!$F$30</f>
        <v>0</v>
      </c>
      <c r="D4680" s="61" t="n">
        <f aca="false">D4563*1000*Pressupostos!$C$104*Pressupostos!$F$30</f>
        <v>0</v>
      </c>
      <c r="E4680" s="61" t="n">
        <f aca="false">E4563*1000*Pressupostos!$C$104*Pressupostos!$F$30</f>
        <v>0</v>
      </c>
      <c r="F4680" s="61" t="n">
        <f aca="false">F4563*1000*Pressupostos!$C$104*Pressupostos!$F$30</f>
        <v>0</v>
      </c>
      <c r="G4680" s="61" t="n">
        <f aca="false">G4563*1000*Pressupostos!$C$104*Pressupostos!$F$30</f>
        <v>0</v>
      </c>
      <c r="H4680" s="2" t="s">
        <v>1306</v>
      </c>
    </row>
    <row r="4681" customFormat="false" ht="15" hidden="false" customHeight="false" outlineLevel="1" collapsed="false">
      <c r="A4681" s="7" t="s">
        <v>694</v>
      </c>
      <c r="B4681" s="8" t="s">
        <v>11</v>
      </c>
      <c r="C4681" s="61" t="n">
        <f aca="false">C4551*1000*C4635</f>
        <v>0</v>
      </c>
      <c r="D4681" s="61" t="n">
        <f aca="false">D4551*1000*D4635</f>
        <v>9500</v>
      </c>
      <c r="E4681" s="61" t="n">
        <f aca="false">E4551*1000*E4635</f>
        <v>28500</v>
      </c>
      <c r="F4681" s="61" t="n">
        <f aca="false">F4551*1000*F4635</f>
        <v>47500</v>
      </c>
      <c r="G4681" s="61" t="n">
        <f aca="false">G4551*1000*G4635</f>
        <v>66500</v>
      </c>
      <c r="H4681" s="2" t="s">
        <v>1307</v>
      </c>
    </row>
    <row r="4682" customFormat="false" ht="15" hidden="false" customHeight="false" outlineLevel="1" collapsed="false">
      <c r="A4682" s="7" t="s">
        <v>695</v>
      </c>
      <c r="B4682" s="8" t="s">
        <v>11</v>
      </c>
      <c r="C4682" s="61" t="n">
        <f aca="false">C4672+C4673+C4674+C4675+C4676+C4677+C4678+C4679+C4680+C4681</f>
        <v>15486.8426027397</v>
      </c>
      <c r="D4682" s="61" t="n">
        <f aca="false">D4672+D4673+D4674+D4675+D4676+D4677+D4678+D4679+D4680+D4681</f>
        <v>101837.878938356</v>
      </c>
      <c r="E4682" s="61" t="n">
        <f aca="false">E4672+E4673+E4674+E4675+E4676+E4677+E4678+E4679+E4680+E4681</f>
        <v>211930.556849315</v>
      </c>
      <c r="F4682" s="61" t="n">
        <f aca="false">F4672+F4673+F4674+F4675+F4676+F4677+F4678+F4679+F4680+F4681</f>
        <v>358115.151712329</v>
      </c>
      <c r="G4682" s="61" t="n">
        <f aca="false">G4672+G4673+G4674+G4675+G4676+G4677+G4678+G4679+G4680+G4681</f>
        <v>534946.537671233</v>
      </c>
      <c r="H4682" s="2" t="s">
        <v>1308</v>
      </c>
    </row>
    <row r="4683" customFormat="false" ht="15" hidden="false" customHeight="false" outlineLevel="1" collapsed="false">
      <c r="A4683" s="7" t="s">
        <v>696</v>
      </c>
      <c r="B4683" s="8" t="s">
        <v>11</v>
      </c>
      <c r="C4683" s="61" t="n">
        <f aca="false">C4547*1000*(C4582)+C4548*1000*(C4605)+C4550*1000*(C4628)</f>
        <v>0</v>
      </c>
      <c r="D4683" s="61" t="n">
        <f aca="false">D4547*1000*(D4582)+D4548*1000*(D4605)+D4550*1000*(D4628)</f>
        <v>21524.1780821918</v>
      </c>
      <c r="E4683" s="61" t="n">
        <f aca="false">E4547*1000*(E4582)+E4548*1000*(E4605)+E4550*1000*(E4628)</f>
        <v>34083.5991010274</v>
      </c>
      <c r="F4683" s="61" t="n">
        <f aca="false">F4547*1000*(F4582)+F4548*1000*(F4605)+F4550*1000*(F4628)</f>
        <v>52796.3463184931</v>
      </c>
      <c r="G4683" s="61" t="n">
        <f aca="false">G4547*1000*(G4582)+G4548*1000*(G4605)+G4550*1000*(G4628)</f>
        <v>79428.2748287671</v>
      </c>
      <c r="H4683" s="2" t="s">
        <v>1309</v>
      </c>
    </row>
    <row r="4684" customFormat="false" ht="15" hidden="false" customHeight="false" outlineLevel="1" collapsed="false">
      <c r="A4684" s="7" t="s">
        <v>697</v>
      </c>
      <c r="B4684" s="8" t="s">
        <v>11</v>
      </c>
      <c r="C4684" s="61" t="n">
        <f aca="false">C4560*1000*C4662</f>
        <v>0</v>
      </c>
      <c r="D4684" s="61" t="n">
        <f aca="false">D4560*1000*D4662</f>
        <v>0</v>
      </c>
      <c r="E4684" s="61" t="n">
        <f aca="false">E4560*1000*E4662</f>
        <v>0</v>
      </c>
      <c r="F4684" s="61" t="n">
        <f aca="false">F4560*1000*F4662</f>
        <v>1132.70547945206</v>
      </c>
      <c r="G4684" s="61" t="n">
        <f aca="false">G4560*1000*G4662</f>
        <v>2831.76369863014</v>
      </c>
      <c r="H4684" s="2" t="s">
        <v>1310</v>
      </c>
    </row>
    <row r="4685" customFormat="false" ht="15" hidden="false" customHeight="false" outlineLevel="1" collapsed="false">
      <c r="A4685" s="7" t="s">
        <v>698</v>
      </c>
      <c r="B4685" s="8" t="s">
        <v>11</v>
      </c>
      <c r="C4685" s="61" t="n">
        <f aca="false">C4683+C4684</f>
        <v>0</v>
      </c>
      <c r="D4685" s="61" t="n">
        <f aca="false">D4683+D4684</f>
        <v>21524.1780821918</v>
      </c>
      <c r="E4685" s="61" t="n">
        <f aca="false">E4683+E4684</f>
        <v>34083.5991010274</v>
      </c>
      <c r="F4685" s="61" t="n">
        <f aca="false">F4683+F4684</f>
        <v>53929.0517979452</v>
      </c>
      <c r="G4685" s="61" t="n">
        <f aca="false">G4683+G4684</f>
        <v>82260.0385273973</v>
      </c>
      <c r="H4685" s="2" t="s">
        <v>1311</v>
      </c>
    </row>
    <row r="4686" customFormat="false" ht="15" hidden="false" customHeight="false" outlineLevel="1" collapsed="false">
      <c r="A4686" s="8" t="s">
        <v>699</v>
      </c>
      <c r="B4686" s="8" t="s">
        <v>11</v>
      </c>
      <c r="C4686" s="70" t="n">
        <f aca="false">ROUND(C4648-C4671-C4682-C4685-C4667,6)</f>
        <v>0</v>
      </c>
      <c r="D4686" s="70" t="n">
        <f aca="false">ROUND(D4648-D4671-D4682-D4685-D4667,6)</f>
        <v>-0</v>
      </c>
      <c r="E4686" s="70" t="n">
        <f aca="false">ROUND(E4648-E4671-E4682-E4685-E4667,6)</f>
        <v>0</v>
      </c>
      <c r="F4686" s="70" t="n">
        <f aca="false">ROUND(F4648-F4671-F4682-F4685-F4667,6)</f>
        <v>-0</v>
      </c>
      <c r="G4686" s="70" t="n">
        <f aca="false">ROUND(G4648-G4671-G4682-G4685-G4667,6)</f>
        <v>0</v>
      </c>
      <c r="H4686" s="2" t="s">
        <v>1312</v>
      </c>
    </row>
    <row r="4687" customFormat="false" ht="15" hidden="false" customHeight="false" outlineLevel="0" collapsed="false">
      <c r="A4687" s="3" t="s">
        <v>1313</v>
      </c>
      <c r="B4687" s="4"/>
      <c r="C4687" s="4"/>
      <c r="D4687" s="4"/>
      <c r="E4687" s="4"/>
      <c r="F4687" s="4"/>
      <c r="G4687" s="4"/>
      <c r="H4687" s="4"/>
    </row>
    <row r="4688" customFormat="false" ht="15" hidden="false" customHeight="false" outlineLevel="1" collapsed="false">
      <c r="A4688" s="7" t="s">
        <v>638</v>
      </c>
      <c r="B4688" s="8" t="s">
        <v>432</v>
      </c>
      <c r="C4688" s="64" t="n">
        <f aca="false">Pressupostos!$C$334</f>
        <v>1</v>
      </c>
      <c r="D4688" s="64" t="n">
        <f aca="false">Pressupostos!$D$334</f>
        <v>1</v>
      </c>
      <c r="E4688" s="64" t="n">
        <f aca="false">Pressupostos!$E$334</f>
        <v>1</v>
      </c>
      <c r="F4688" s="64" t="n">
        <f aca="false">Pressupostos!$F$334</f>
        <v>1</v>
      </c>
      <c r="G4688" s="64" t="n">
        <f aca="false">Pressupostos!$G$334</f>
        <v>1</v>
      </c>
      <c r="H4688" s="2" t="s">
        <v>1314</v>
      </c>
    </row>
    <row r="4689" customFormat="false" ht="15" hidden="false" customHeight="false" outlineLevel="1" collapsed="false">
      <c r="A4689" s="7" t="s">
        <v>639</v>
      </c>
      <c r="B4689" s="8" t="s">
        <v>432</v>
      </c>
      <c r="C4689" s="64" t="n">
        <f aca="false">Pressupostos!$C$340</f>
        <v>1</v>
      </c>
      <c r="D4689" s="64" t="n">
        <f aca="false">Pressupostos!$D$340</f>
        <v>1</v>
      </c>
      <c r="E4689" s="64" t="n">
        <f aca="false">Pressupostos!$E$340</f>
        <v>1</v>
      </c>
      <c r="F4689" s="64" t="n">
        <f aca="false">Pressupostos!$F$340</f>
        <v>1</v>
      </c>
      <c r="G4689" s="64" t="n">
        <f aca="false">Pressupostos!$G$340</f>
        <v>1</v>
      </c>
      <c r="H4689" s="2" t="s">
        <v>1315</v>
      </c>
    </row>
    <row r="4690" customFormat="false" ht="15" hidden="false" customHeight="false" outlineLevel="1" collapsed="false">
      <c r="A4690" s="7" t="s">
        <v>640</v>
      </c>
      <c r="B4690" s="8" t="s">
        <v>432</v>
      </c>
      <c r="C4690" s="64" t="n">
        <f aca="false">Pressupostos!$C$346</f>
        <v>0</v>
      </c>
      <c r="D4690" s="64" t="n">
        <f aca="false">Pressupostos!$D$346</f>
        <v>1</v>
      </c>
      <c r="E4690" s="64" t="n">
        <f aca="false">Pressupostos!$E$346</f>
        <v>1</v>
      </c>
      <c r="F4690" s="64" t="n">
        <f aca="false">Pressupostos!$F$346</f>
        <v>1</v>
      </c>
      <c r="G4690" s="64" t="n">
        <f aca="false">Pressupostos!$G$346</f>
        <v>1</v>
      </c>
      <c r="H4690" s="2" t="s">
        <v>1316</v>
      </c>
    </row>
    <row r="4691" customFormat="false" ht="15" hidden="false" customHeight="false" outlineLevel="1" collapsed="false">
      <c r="A4691" s="7" t="s">
        <v>641</v>
      </c>
      <c r="B4691" s="8" t="s">
        <v>432</v>
      </c>
      <c r="C4691" s="64" t="n">
        <f aca="false">Pressupostos!$C$352</f>
        <v>0.5</v>
      </c>
      <c r="D4691" s="64" t="n">
        <f aca="false">Pressupostos!$D$352</f>
        <v>1</v>
      </c>
      <c r="E4691" s="64" t="n">
        <f aca="false">Pressupostos!$E$352</f>
        <v>1</v>
      </c>
      <c r="F4691" s="64" t="n">
        <f aca="false">Pressupostos!$F$352</f>
        <v>1</v>
      </c>
      <c r="G4691" s="64" t="n">
        <f aca="false">Pressupostos!$G$352</f>
        <v>1</v>
      </c>
      <c r="H4691" s="2" t="s">
        <v>1317</v>
      </c>
    </row>
    <row r="4692" customFormat="false" ht="15" hidden="false" customHeight="false" outlineLevel="1" collapsed="false">
      <c r="A4692" s="7" t="s">
        <v>642</v>
      </c>
      <c r="B4692" s="8" t="s">
        <v>432</v>
      </c>
      <c r="C4692" s="64" t="n">
        <f aca="false">Pressupostos!$C$358</f>
        <v>0.5</v>
      </c>
      <c r="D4692" s="64" t="n">
        <f aca="false">Pressupostos!$D$358</f>
        <v>0.5</v>
      </c>
      <c r="E4692" s="64" t="n">
        <f aca="false">Pressupostos!$E$358</f>
        <v>0.5</v>
      </c>
      <c r="F4692" s="64" t="n">
        <f aca="false">Pressupostos!$F$358</f>
        <v>1</v>
      </c>
      <c r="G4692" s="64" t="n">
        <f aca="false">Pressupostos!$G$358</f>
        <v>1</v>
      </c>
      <c r="H4692" s="2" t="s">
        <v>1318</v>
      </c>
    </row>
    <row r="4693" customFormat="false" ht="15" hidden="false" customHeight="false" outlineLevel="1" collapsed="false">
      <c r="A4693" s="7" t="s">
        <v>643</v>
      </c>
      <c r="B4693" s="8" t="s">
        <v>432</v>
      </c>
      <c r="C4693" s="64" t="n">
        <f aca="false">Pressupostos!$C$364</f>
        <v>1</v>
      </c>
      <c r="D4693" s="64" t="n">
        <f aca="false">Pressupostos!$D$364</f>
        <v>1</v>
      </c>
      <c r="E4693" s="64" t="n">
        <f aca="false">Pressupostos!$E$364</f>
        <v>1</v>
      </c>
      <c r="F4693" s="64" t="n">
        <f aca="false">Pressupostos!$F$364</f>
        <v>1</v>
      </c>
      <c r="G4693" s="64" t="n">
        <f aca="false">Pressupostos!$G$364</f>
        <v>1</v>
      </c>
      <c r="H4693" s="2" t="s">
        <v>1319</v>
      </c>
    </row>
    <row r="4694" customFormat="false" ht="15" hidden="false" customHeight="false" outlineLevel="1" collapsed="false">
      <c r="A4694" s="7" t="s">
        <v>644</v>
      </c>
      <c r="B4694" s="8" t="s">
        <v>432</v>
      </c>
      <c r="C4694" s="64" t="n">
        <f aca="false">Pressupostos!$C$370</f>
        <v>0.5</v>
      </c>
      <c r="D4694" s="64" t="n">
        <f aca="false">Pressupostos!$D$370</f>
        <v>1</v>
      </c>
      <c r="E4694" s="64" t="n">
        <f aca="false">Pressupostos!$E$370</f>
        <v>1</v>
      </c>
      <c r="F4694" s="64" t="n">
        <f aca="false">Pressupostos!$F$370</f>
        <v>1</v>
      </c>
      <c r="G4694" s="64" t="n">
        <f aca="false">Pressupostos!$G$370</f>
        <v>1</v>
      </c>
      <c r="H4694" s="2" t="s">
        <v>1320</v>
      </c>
    </row>
    <row r="4695" customFormat="false" ht="15" hidden="false" customHeight="false" outlineLevel="1" collapsed="false">
      <c r="A4695" s="7" t="s">
        <v>645</v>
      </c>
      <c r="B4695" s="8" t="s">
        <v>432</v>
      </c>
      <c r="C4695" s="64" t="n">
        <f aca="false">Pressupostos!$C$376</f>
        <v>1</v>
      </c>
      <c r="D4695" s="64" t="n">
        <f aca="false">Pressupostos!$D$376</f>
        <v>1</v>
      </c>
      <c r="E4695" s="64" t="n">
        <f aca="false">Pressupostos!$E$376</f>
        <v>1</v>
      </c>
      <c r="F4695" s="64" t="n">
        <f aca="false">Pressupostos!$F$376</f>
        <v>2</v>
      </c>
      <c r="G4695" s="64" t="n">
        <f aca="false">Pressupostos!$G$376</f>
        <v>3</v>
      </c>
      <c r="H4695" s="2" t="s">
        <v>1321</v>
      </c>
    </row>
    <row r="4696" customFormat="false" ht="15" hidden="false" customHeight="false" outlineLevel="1" collapsed="false">
      <c r="A4696" s="7" t="s">
        <v>646</v>
      </c>
      <c r="B4696" s="8" t="s">
        <v>432</v>
      </c>
      <c r="C4696" s="64" t="n">
        <f aca="false">Pressupostos!$C$382</f>
        <v>0</v>
      </c>
      <c r="D4696" s="64" t="n">
        <f aca="false">Pressupostos!$D$382</f>
        <v>0</v>
      </c>
      <c r="E4696" s="64" t="n">
        <f aca="false">Pressupostos!$E$382</f>
        <v>0</v>
      </c>
      <c r="F4696" s="64" t="n">
        <f aca="false">Pressupostos!$F$382</f>
        <v>0</v>
      </c>
      <c r="G4696" s="64" t="n">
        <f aca="false">Pressupostos!$G$382</f>
        <v>0</v>
      </c>
      <c r="H4696" s="2" t="s">
        <v>1322</v>
      </c>
    </row>
    <row r="4697" customFormat="false" ht="15" hidden="false" customHeight="false" outlineLevel="1" collapsed="false">
      <c r="A4697" s="7" t="s">
        <v>647</v>
      </c>
      <c r="B4697" s="8" t="s">
        <v>432</v>
      </c>
      <c r="C4697" s="64" t="n">
        <f aca="false">Pressupostos!$C$388</f>
        <v>0</v>
      </c>
      <c r="D4697" s="64" t="n">
        <f aca="false">Pressupostos!$D$388</f>
        <v>0</v>
      </c>
      <c r="E4697" s="64" t="n">
        <f aca="false">Pressupostos!$E$388</f>
        <v>0</v>
      </c>
      <c r="F4697" s="64" t="n">
        <f aca="false">Pressupostos!$F$388</f>
        <v>0</v>
      </c>
      <c r="G4697" s="64" t="n">
        <f aca="false">Pressupostos!$G$388</f>
        <v>0</v>
      </c>
      <c r="H4697" s="2" t="s">
        <v>1323</v>
      </c>
    </row>
    <row r="4698" customFormat="false" ht="15" hidden="false" customHeight="false" outlineLevel="1" collapsed="false">
      <c r="A4698" s="7" t="s">
        <v>648</v>
      </c>
      <c r="B4698" s="8" t="s">
        <v>432</v>
      </c>
      <c r="C4698" s="64" t="n">
        <f aca="false">Pressupostos!$C$394</f>
        <v>0</v>
      </c>
      <c r="D4698" s="64" t="n">
        <f aca="false">Pressupostos!$D$394</f>
        <v>0</v>
      </c>
      <c r="E4698" s="64" t="n">
        <f aca="false">Pressupostos!$E$394</f>
        <v>0</v>
      </c>
      <c r="F4698" s="64" t="n">
        <f aca="false">Pressupostos!$F$394</f>
        <v>1</v>
      </c>
      <c r="G4698" s="64" t="n">
        <f aca="false">Pressupostos!$G$394</f>
        <v>1</v>
      </c>
      <c r="H4698" s="2" t="s">
        <v>1324</v>
      </c>
    </row>
    <row r="4699" customFormat="false" ht="15" hidden="false" customHeight="false" outlineLevel="1" collapsed="false">
      <c r="A4699" s="7" t="s">
        <v>649</v>
      </c>
      <c r="B4699" s="8" t="s">
        <v>432</v>
      </c>
      <c r="C4699" s="64" t="n">
        <f aca="false">Pressupostos!$C$400</f>
        <v>0</v>
      </c>
      <c r="D4699" s="64" t="n">
        <f aca="false">Pressupostos!$D$400</f>
        <v>0</v>
      </c>
      <c r="E4699" s="64" t="n">
        <f aca="false">Pressupostos!$E$400</f>
        <v>1</v>
      </c>
      <c r="F4699" s="64" t="n">
        <f aca="false">Pressupostos!$F$400</f>
        <v>1</v>
      </c>
      <c r="G4699" s="64" t="n">
        <f aca="false">Pressupostos!$G$400</f>
        <v>1</v>
      </c>
      <c r="H4699" s="2" t="s">
        <v>1325</v>
      </c>
    </row>
    <row r="4700" customFormat="false" ht="15" hidden="false" customHeight="false" outlineLevel="1" collapsed="false">
      <c r="A4700" s="56" t="s">
        <v>650</v>
      </c>
      <c r="B4700" s="57" t="s">
        <v>432</v>
      </c>
      <c r="C4700" s="65" t="n">
        <f aca="false">C4688+C4689+C4690+C4691+C4692+C4693+C4694+C4695+C4696+C4697+C4698+C4699</f>
        <v>5.5</v>
      </c>
      <c r="D4700" s="65" t="n">
        <f aca="false">D4688+D4689+D4690+D4691+D4692+D4693+D4694+D4695+D4696+D4697+D4698+D4699</f>
        <v>7.5</v>
      </c>
      <c r="E4700" s="65" t="n">
        <f aca="false">E4688+E4689+E4690+E4691+E4692+E4693+E4694+E4695+E4696+E4697+E4698+E4699</f>
        <v>8.5</v>
      </c>
      <c r="F4700" s="65" t="n">
        <f aca="false">F4688+F4689+F4690+F4691+F4692+F4693+F4694+F4695+F4696+F4697+F4698+F4699</f>
        <v>11</v>
      </c>
      <c r="G4700" s="65" t="n">
        <f aca="false">G4688+G4689+G4690+G4691+G4692+G4693+G4694+G4695+G4696+G4697+G4698+G4699</f>
        <v>12</v>
      </c>
      <c r="H4700" s="2" t="s">
        <v>1326</v>
      </c>
    </row>
    <row r="4701" customFormat="false" ht="15" hidden="false" customHeight="false" outlineLevel="0" collapsed="false">
      <c r="A4701" s="3" t="s">
        <v>1327</v>
      </c>
      <c r="B4701" s="4"/>
      <c r="C4701" s="4"/>
      <c r="D4701" s="4"/>
      <c r="E4701" s="4"/>
      <c r="F4701" s="4"/>
      <c r="G4701" s="4"/>
      <c r="H4701" s="4"/>
    </row>
    <row r="4702" customFormat="false" ht="15" hidden="false" customHeight="false" outlineLevel="1" collapsed="false">
      <c r="A4702" s="7" t="s">
        <v>638</v>
      </c>
      <c r="B4702" s="8" t="s">
        <v>11</v>
      </c>
      <c r="C4702" s="61" t="n">
        <f aca="false">C4688*Pressupostos!$C$131*(1+Pressupostos!$C$127)^0*(1+Pressupostos!$C$132)*Pressupostos!$C$128</f>
        <v>43998</v>
      </c>
      <c r="D4702" s="61" t="n">
        <f aca="false">D4688*Pressupostos!$C$131*(1+Pressupostos!$C$127)^1*(1+Pressupostos!$C$132)</f>
        <v>61800</v>
      </c>
      <c r="E4702" s="61" t="n">
        <f aca="false">E4688*Pressupostos!$C$131*(1+Pressupostos!$C$127)^2*(1+Pressupostos!$C$132)</f>
        <v>63654</v>
      </c>
      <c r="F4702" s="61" t="n">
        <f aca="false">F4688*Pressupostos!$C$131*(1+Pressupostos!$C$127)^3*(1+Pressupostos!$C$132)</f>
        <v>65563.62</v>
      </c>
      <c r="G4702" s="61" t="n">
        <f aca="false">G4688*Pressupostos!$C$131*(1+Pressupostos!$C$127)^4*(1+Pressupostos!$C$132)</f>
        <v>67530.5286</v>
      </c>
      <c r="H4702" s="2" t="s">
        <v>1328</v>
      </c>
    </row>
    <row r="4703" customFormat="false" ht="15" hidden="false" customHeight="false" outlineLevel="1" collapsed="false">
      <c r="A4703" s="7" t="s">
        <v>639</v>
      </c>
      <c r="B4703" s="8" t="s">
        <v>11</v>
      </c>
      <c r="C4703" s="61" t="n">
        <f aca="false">C4689*Pressupostos!$C$133*(1+Pressupostos!$C$127)^0*(1+Pressupostos!$C$134)*Pressupostos!$C$128</f>
        <v>47664.5</v>
      </c>
      <c r="D4703" s="61" t="n">
        <f aca="false">D4689*Pressupostos!$C$133*(1+Pressupostos!$C$127)^1*(1+Pressupostos!$C$134)</f>
        <v>66950</v>
      </c>
      <c r="E4703" s="61" t="n">
        <f aca="false">E4689*Pressupostos!$C$133*(1+Pressupostos!$C$127)^2*(1+Pressupostos!$C$134)</f>
        <v>68958.5</v>
      </c>
      <c r="F4703" s="61" t="n">
        <f aca="false">F4689*Pressupostos!$C$133*(1+Pressupostos!$C$127)^3*(1+Pressupostos!$C$134)</f>
        <v>71027.255</v>
      </c>
      <c r="G4703" s="61" t="n">
        <f aca="false">G4689*Pressupostos!$C$133*(1+Pressupostos!$C$127)^4*(1+Pressupostos!$C$134)</f>
        <v>73158.07265</v>
      </c>
      <c r="H4703" s="2" t="s">
        <v>1329</v>
      </c>
    </row>
    <row r="4704" customFormat="false" ht="15" hidden="false" customHeight="false" outlineLevel="1" collapsed="false">
      <c r="A4704" s="7" t="s">
        <v>640</v>
      </c>
      <c r="B4704" s="8" t="s">
        <v>11</v>
      </c>
      <c r="C4704" s="61" t="n">
        <f aca="false">C4690*Pressupostos!$C$135*(1+Pressupostos!$C$127)^0*(1+Pressupostos!$C$136)</f>
        <v>0</v>
      </c>
      <c r="D4704" s="61" t="n">
        <f aca="false">D4690*Pressupostos!$C$135*(1+Pressupostos!$C$127)^1*(1+Pressupostos!$C$136)</f>
        <v>46350</v>
      </c>
      <c r="E4704" s="61" t="n">
        <f aca="false">E4690*Pressupostos!$C$135*(1+Pressupostos!$C$127)^2*(1+Pressupostos!$C$136)</f>
        <v>47740.5</v>
      </c>
      <c r="F4704" s="61" t="n">
        <f aca="false">F4690*Pressupostos!$C$135*(1+Pressupostos!$C$127)^3*(1+Pressupostos!$C$136)</f>
        <v>49172.715</v>
      </c>
      <c r="G4704" s="61" t="n">
        <f aca="false">G4690*Pressupostos!$C$135*(1+Pressupostos!$C$127)^4*(1+Pressupostos!$C$136)</f>
        <v>50647.89645</v>
      </c>
      <c r="H4704" s="2" t="s">
        <v>1330</v>
      </c>
    </row>
    <row r="4705" customFormat="false" ht="15" hidden="false" customHeight="false" outlineLevel="1" collapsed="false">
      <c r="A4705" s="7" t="s">
        <v>641</v>
      </c>
      <c r="B4705" s="8" t="s">
        <v>11</v>
      </c>
      <c r="C4705" s="61" t="n">
        <f aca="false">C4691*Pressupostos!$C$137*(1+Pressupostos!$C$127)^0*(1+Pressupostos!$C$138)</f>
        <v>30000</v>
      </c>
      <c r="D4705" s="61" t="n">
        <f aca="false">D4691*Pressupostos!$C$137*(1+Pressupostos!$C$127)^1*(1+Pressupostos!$C$138)</f>
        <v>61800</v>
      </c>
      <c r="E4705" s="61" t="n">
        <f aca="false">E4691*Pressupostos!$C$137*(1+Pressupostos!$C$127)^2*(1+Pressupostos!$C$138)</f>
        <v>63654</v>
      </c>
      <c r="F4705" s="61" t="n">
        <f aca="false">F4691*Pressupostos!$C$137*(1+Pressupostos!$C$127)^3*(1+Pressupostos!$C$138)</f>
        <v>65563.62</v>
      </c>
      <c r="G4705" s="61" t="n">
        <f aca="false">G4691*Pressupostos!$C$137*(1+Pressupostos!$C$127)^4*(1+Pressupostos!$C$138)</f>
        <v>67530.5286</v>
      </c>
      <c r="H4705" s="2" t="s">
        <v>1331</v>
      </c>
    </row>
    <row r="4706" customFormat="false" ht="15" hidden="false" customHeight="false" outlineLevel="1" collapsed="false">
      <c r="A4706" s="7" t="s">
        <v>642</v>
      </c>
      <c r="B4706" s="8" t="s">
        <v>11</v>
      </c>
      <c r="C4706" s="61" t="n">
        <f aca="false">C4692*Pressupostos!$C$139*(1+Pressupostos!$C$127)^0*(1+Pressupostos!$C$140)</f>
        <v>22500</v>
      </c>
      <c r="D4706" s="61" t="n">
        <f aca="false">D4692*Pressupostos!$C$139*(1+Pressupostos!$C$127)^1*(1+Pressupostos!$C$140)</f>
        <v>23175</v>
      </c>
      <c r="E4706" s="61" t="n">
        <f aca="false">E4692*Pressupostos!$C$139*(1+Pressupostos!$C$127)^2*(1+Pressupostos!$C$140)</f>
        <v>23870.25</v>
      </c>
      <c r="F4706" s="61" t="n">
        <f aca="false">F4692*Pressupostos!$C$139*(1+Pressupostos!$C$127)^3*(1+Pressupostos!$C$140)</f>
        <v>49172.715</v>
      </c>
      <c r="G4706" s="61" t="n">
        <f aca="false">G4692*Pressupostos!$C$139*(1+Pressupostos!$C$127)^4*(1+Pressupostos!$C$140)</f>
        <v>50647.89645</v>
      </c>
      <c r="H4706" s="2" t="s">
        <v>1332</v>
      </c>
    </row>
    <row r="4707" customFormat="false" ht="15" hidden="false" customHeight="false" outlineLevel="1" collapsed="false">
      <c r="A4707" s="7" t="s">
        <v>643</v>
      </c>
      <c r="B4707" s="8" t="s">
        <v>11</v>
      </c>
      <c r="C4707" s="61" t="n">
        <f aca="false">C4693*Pressupostos!$C$141*(1+Pressupostos!$C$127)^0*(1+Pressupostos!$C$142)</f>
        <v>38000</v>
      </c>
      <c r="D4707" s="61" t="n">
        <f aca="false">D4693*Pressupostos!$C$141*(1+Pressupostos!$C$127)^1*(1+Pressupostos!$C$142)</f>
        <v>39140</v>
      </c>
      <c r="E4707" s="61" t="n">
        <f aca="false">E4693*Pressupostos!$C$141*(1+Pressupostos!$C$127)^2*(1+Pressupostos!$C$142)</f>
        <v>40314.2</v>
      </c>
      <c r="F4707" s="61" t="n">
        <f aca="false">F4693*Pressupostos!$C$141*(1+Pressupostos!$C$127)^3*(1+Pressupostos!$C$142)</f>
        <v>41523.626</v>
      </c>
      <c r="G4707" s="61" t="n">
        <f aca="false">G4693*Pressupostos!$C$141*(1+Pressupostos!$C$127)^4*(1+Pressupostos!$C$142)</f>
        <v>42769.33478</v>
      </c>
      <c r="H4707" s="2" t="s">
        <v>1333</v>
      </c>
    </row>
    <row r="4708" customFormat="false" ht="15" hidden="false" customHeight="false" outlineLevel="1" collapsed="false">
      <c r="A4708" s="7" t="s">
        <v>644</v>
      </c>
      <c r="B4708" s="8" t="s">
        <v>11</v>
      </c>
      <c r="C4708" s="61" t="n">
        <f aca="false">C4694*Pressupostos!$C$143*(1+Pressupostos!$C$127)^0*(1+Pressupostos!$C$144)</f>
        <v>16000</v>
      </c>
      <c r="D4708" s="61" t="n">
        <f aca="false">D4694*Pressupostos!$C$143*(1+Pressupostos!$C$127)^1*(1+Pressupostos!$C$144)</f>
        <v>32960</v>
      </c>
      <c r="E4708" s="61" t="n">
        <f aca="false">E4694*Pressupostos!$C$143*(1+Pressupostos!$C$127)^2*(1+Pressupostos!$C$144)</f>
        <v>33948.8</v>
      </c>
      <c r="F4708" s="61" t="n">
        <f aca="false">F4694*Pressupostos!$C$143*(1+Pressupostos!$C$127)^3*(1+Pressupostos!$C$144)</f>
        <v>34967.264</v>
      </c>
      <c r="G4708" s="61" t="n">
        <f aca="false">G4694*Pressupostos!$C$143*(1+Pressupostos!$C$127)^4*(1+Pressupostos!$C$144)</f>
        <v>36016.28192</v>
      </c>
      <c r="H4708" s="2" t="s">
        <v>1334</v>
      </c>
    </row>
    <row r="4709" customFormat="false" ht="15" hidden="false" customHeight="false" outlineLevel="1" collapsed="false">
      <c r="A4709" s="7" t="s">
        <v>645</v>
      </c>
      <c r="B4709" s="8" t="s">
        <v>11</v>
      </c>
      <c r="C4709" s="61" t="n">
        <f aca="false">C4695*Pressupostos!$C$145*(1+Pressupostos!$C$127)^0*(1+Pressupostos!$C$146)</f>
        <v>34500</v>
      </c>
      <c r="D4709" s="61" t="n">
        <f aca="false">D4695*Pressupostos!$C$145*(1+Pressupostos!$C$127)^1*(1+Pressupostos!$C$146)</f>
        <v>35535</v>
      </c>
      <c r="E4709" s="61" t="n">
        <f aca="false">E4695*Pressupostos!$C$145*(1+Pressupostos!$C$127)^2*(1+Pressupostos!$C$146)</f>
        <v>36601.05</v>
      </c>
      <c r="F4709" s="61" t="n">
        <f aca="false">F4695*Pressupostos!$C$145*(1+Pressupostos!$C$127)^3*(1+Pressupostos!$C$146)</f>
        <v>75398.163</v>
      </c>
      <c r="G4709" s="61" t="n">
        <f aca="false">G4695*Pressupostos!$C$145*(1+Pressupostos!$C$127)^4*(1+Pressupostos!$C$146)</f>
        <v>116490.161835</v>
      </c>
      <c r="H4709" s="2" t="s">
        <v>1335</v>
      </c>
    </row>
    <row r="4710" customFormat="false" ht="15" hidden="false" customHeight="false" outlineLevel="1" collapsed="false">
      <c r="A4710" s="7" t="s">
        <v>646</v>
      </c>
      <c r="B4710" s="8" t="s">
        <v>11</v>
      </c>
      <c r="C4710" s="61" t="n">
        <f aca="false">C4696*Pressupostos!$C$147*(1+Pressupostos!$C$127)^0*(1+Pressupostos!$C$148)</f>
        <v>0</v>
      </c>
      <c r="D4710" s="61" t="n">
        <f aca="false">D4696*Pressupostos!$C$147*(1+Pressupostos!$C$127)^1*(1+Pressupostos!$C$148)</f>
        <v>0</v>
      </c>
      <c r="E4710" s="61" t="n">
        <f aca="false">E4696*Pressupostos!$C$147*(1+Pressupostos!$C$127)^2*(1+Pressupostos!$C$148)</f>
        <v>0</v>
      </c>
      <c r="F4710" s="61" t="n">
        <f aca="false">F4696*Pressupostos!$C$147*(1+Pressupostos!$C$127)^3*(1+Pressupostos!$C$148)</f>
        <v>0</v>
      </c>
      <c r="G4710" s="61" t="n">
        <f aca="false">G4696*Pressupostos!$C$147*(1+Pressupostos!$C$127)^4*(1+Pressupostos!$C$148)</f>
        <v>0</v>
      </c>
      <c r="H4710" s="2" t="s">
        <v>1336</v>
      </c>
    </row>
    <row r="4711" customFormat="false" ht="15" hidden="false" customHeight="false" outlineLevel="1" collapsed="false">
      <c r="A4711" s="7" t="s">
        <v>647</v>
      </c>
      <c r="B4711" s="8" t="s">
        <v>11</v>
      </c>
      <c r="C4711" s="61" t="n">
        <f aca="false">C4697*Pressupostos!$C$149*(1+Pressupostos!$C$127)^0*(1+Pressupostos!$C$150)</f>
        <v>0</v>
      </c>
      <c r="D4711" s="61" t="n">
        <f aca="false">D4697*Pressupostos!$C$149*(1+Pressupostos!$C$127)^1*(1+Pressupostos!$C$150)</f>
        <v>0</v>
      </c>
      <c r="E4711" s="61" t="n">
        <f aca="false">E4697*Pressupostos!$C$149*(1+Pressupostos!$C$127)^2*(1+Pressupostos!$C$150)</f>
        <v>0</v>
      </c>
      <c r="F4711" s="61" t="n">
        <f aca="false">F4697*Pressupostos!$C$149*(1+Pressupostos!$C$127)^3*(1+Pressupostos!$C$150)</f>
        <v>0</v>
      </c>
      <c r="G4711" s="61" t="n">
        <f aca="false">G4697*Pressupostos!$C$149*(1+Pressupostos!$C$127)^4*(1+Pressupostos!$C$150)</f>
        <v>0</v>
      </c>
      <c r="H4711" s="2" t="s">
        <v>1337</v>
      </c>
    </row>
    <row r="4712" customFormat="false" ht="15" hidden="false" customHeight="false" outlineLevel="1" collapsed="false">
      <c r="A4712" s="7" t="s">
        <v>648</v>
      </c>
      <c r="B4712" s="8" t="s">
        <v>11</v>
      </c>
      <c r="C4712" s="61" t="n">
        <f aca="false">C4698*Pressupostos!$C$151*(1+Pressupostos!$C$127)^0*(1+Pressupostos!$C$152)</f>
        <v>0</v>
      </c>
      <c r="D4712" s="61" t="n">
        <f aca="false">D4698*Pressupostos!$C$151*(1+Pressupostos!$C$127)^1*(1+Pressupostos!$C$152)</f>
        <v>0</v>
      </c>
      <c r="E4712" s="61" t="n">
        <f aca="false">E4698*Pressupostos!$C$151*(1+Pressupostos!$C$127)^2*(1+Pressupostos!$C$152)</f>
        <v>0</v>
      </c>
      <c r="F4712" s="61" t="n">
        <f aca="false">F4698*Pressupostos!$C$151*(1+Pressupostos!$C$127)^3*(1+Pressupostos!$C$152)</f>
        <v>26225.448</v>
      </c>
      <c r="G4712" s="61" t="n">
        <f aca="false">G4698*Pressupostos!$C$151*(1+Pressupostos!$C$127)^4*(1+Pressupostos!$C$152)</f>
        <v>27012.21144</v>
      </c>
      <c r="H4712" s="2" t="s">
        <v>1338</v>
      </c>
    </row>
    <row r="4713" customFormat="false" ht="15" hidden="false" customHeight="false" outlineLevel="1" collapsed="false">
      <c r="A4713" s="7" t="s">
        <v>649</v>
      </c>
      <c r="B4713" s="8" t="s">
        <v>11</v>
      </c>
      <c r="C4713" s="61" t="n">
        <f aca="false">C4699*Pressupostos!$C$153*(1+Pressupostos!$C$127)^0*(1+Pressupostos!$C$154)</f>
        <v>0</v>
      </c>
      <c r="D4713" s="61" t="n">
        <f aca="false">D4699*Pressupostos!$C$153*(1+Pressupostos!$C$127)^1*(1+Pressupostos!$C$154)</f>
        <v>0</v>
      </c>
      <c r="E4713" s="61" t="n">
        <f aca="false">E4699*Pressupostos!$C$153*(1+Pressupostos!$C$127)^2*(1+Pressupostos!$C$154)</f>
        <v>54901.575</v>
      </c>
      <c r="F4713" s="61" t="n">
        <f aca="false">F4699*Pressupostos!$C$153*(1+Pressupostos!$C$127)^3*(1+Pressupostos!$C$154)</f>
        <v>56548.62225</v>
      </c>
      <c r="G4713" s="61" t="n">
        <f aca="false">G4699*Pressupostos!$C$153*(1+Pressupostos!$C$127)^4*(1+Pressupostos!$C$154)</f>
        <v>58245.0809175</v>
      </c>
      <c r="H4713" s="2" t="s">
        <v>1339</v>
      </c>
    </row>
    <row r="4714" customFormat="false" ht="15" hidden="false" customHeight="false" outlineLevel="1" collapsed="false">
      <c r="A4714" s="7" t="s">
        <v>652</v>
      </c>
      <c r="B4714" s="8" t="s">
        <v>11</v>
      </c>
      <c r="C4714" s="61" t="n">
        <f aca="false">C4702+C4703+C4704+C4705+C4706+C4707+C4708+C4709+C4710+C4711+C4712+C4713</f>
        <v>232662.5</v>
      </c>
      <c r="D4714" s="61" t="n">
        <f aca="false">D4702+D4703+D4704+D4705+D4706+D4707+D4708+D4709+D4710+D4711+D4712+D4713</f>
        <v>367710</v>
      </c>
      <c r="E4714" s="61" t="n">
        <f aca="false">E4702+E4703+E4704+E4705+E4706+E4707+E4708+E4709+E4710+E4711+E4712+E4713</f>
        <v>433642.875</v>
      </c>
      <c r="F4714" s="61" t="n">
        <f aca="false">F4702+F4703+F4704+F4705+F4706+F4707+F4708+F4709+F4710+F4711+F4712+F4713</f>
        <v>535163.04825</v>
      </c>
      <c r="G4714" s="61" t="n">
        <f aca="false">G4702+G4703+G4704+G4705+G4706+G4707+G4708+G4709+G4710+G4711+G4712+G4713</f>
        <v>590047.9936425</v>
      </c>
      <c r="H4714" s="2" t="s">
        <v>1340</v>
      </c>
    </row>
    <row r="4715" customFormat="false" ht="15" hidden="false" customHeight="false" outlineLevel="1" collapsed="false">
      <c r="A4715" s="7" t="s">
        <v>653</v>
      </c>
      <c r="B4715" s="8" t="s">
        <v>11</v>
      </c>
      <c r="C4715" s="61" t="n">
        <f aca="false">C4714*(Pressupostos!$C$124+Pressupostos!$C$125)</f>
        <v>59910.59375</v>
      </c>
      <c r="D4715" s="61" t="n">
        <f aca="false">D4714*(Pressupostos!$C$124+Pressupostos!$C$125)</f>
        <v>94685.325</v>
      </c>
      <c r="E4715" s="61" t="n">
        <f aca="false">E4714*(Pressupostos!$C$124+Pressupostos!$C$125)</f>
        <v>111663.0403125</v>
      </c>
      <c r="F4715" s="61" t="n">
        <f aca="false">F4714*(Pressupostos!$C$124+Pressupostos!$C$125)</f>
        <v>137804.484924375</v>
      </c>
      <c r="G4715" s="61" t="n">
        <f aca="false">G4714*(Pressupostos!$C$124+Pressupostos!$C$125)</f>
        <v>151937.358362944</v>
      </c>
      <c r="H4715" s="2" t="s">
        <v>1341</v>
      </c>
    </row>
    <row r="4716" customFormat="false" ht="15" hidden="false" customHeight="false" outlineLevel="1" collapsed="false">
      <c r="A4716" s="7" t="s">
        <v>654</v>
      </c>
      <c r="B4716" s="8" t="s">
        <v>11</v>
      </c>
      <c r="C4716" s="61" t="n">
        <f aca="false">C4700*Pressupostos!$C$126*(1+Pressupostos!$C$127)^0</f>
        <v>11000</v>
      </c>
      <c r="D4716" s="61" t="n">
        <f aca="false">D4700*Pressupostos!$C$126*(1+Pressupostos!$C$127)^1</f>
        <v>15450</v>
      </c>
      <c r="E4716" s="61" t="n">
        <f aca="false">E4700*Pressupostos!$C$126*(1+Pressupostos!$C$127)^2</f>
        <v>18035.3</v>
      </c>
      <c r="F4716" s="61" t="n">
        <f aca="false">F4700*Pressupostos!$C$126*(1+Pressupostos!$C$127)^3</f>
        <v>24039.994</v>
      </c>
      <c r="G4716" s="61" t="n">
        <f aca="false">G4700*Pressupostos!$C$126*(1+Pressupostos!$C$127)^4</f>
        <v>27012.21144</v>
      </c>
      <c r="H4716" s="2" t="s">
        <v>1342</v>
      </c>
    </row>
    <row r="4717" customFormat="false" ht="15" hidden="false" customHeight="false" outlineLevel="1" collapsed="false">
      <c r="A4717" s="56" t="s">
        <v>655</v>
      </c>
      <c r="B4717" s="57" t="s">
        <v>11</v>
      </c>
      <c r="C4717" s="62" t="n">
        <f aca="false">C4714+C4715+C4716</f>
        <v>303573.09375</v>
      </c>
      <c r="D4717" s="62" t="n">
        <f aca="false">D4714+D4715+D4716</f>
        <v>477845.325</v>
      </c>
      <c r="E4717" s="62" t="n">
        <f aca="false">E4714+E4715+E4716</f>
        <v>563341.2153125</v>
      </c>
      <c r="F4717" s="62" t="n">
        <f aca="false">F4714+F4715+F4716</f>
        <v>697007.527174375</v>
      </c>
      <c r="G4717" s="62" t="n">
        <f aca="false">G4714+G4715+G4716</f>
        <v>768997.563445444</v>
      </c>
      <c r="H4717" s="2" t="s">
        <v>1343</v>
      </c>
    </row>
    <row r="4718" customFormat="false" ht="15" hidden="false" customHeight="false" outlineLevel="1" collapsed="false">
      <c r="A4718" s="2" t="s">
        <v>656</v>
      </c>
      <c r="B4718" s="8" t="s">
        <v>11</v>
      </c>
      <c r="C4718" s="61" t="n">
        <f aca="false">IF(C4700&gt;0,C4717/C4700,0)</f>
        <v>55195.1079545455</v>
      </c>
      <c r="D4718" s="61" t="n">
        <f aca="false">IF(D4700&gt;0,D4717/D4700,0)</f>
        <v>63712.71</v>
      </c>
      <c r="E4718" s="61" t="n">
        <f aca="false">IF(E4700&gt;0,E4717/E4700,0)</f>
        <v>66275.4370955882</v>
      </c>
      <c r="F4718" s="61" t="n">
        <f aca="false">IF(F4700&gt;0,F4717/F4700,0)</f>
        <v>63364.3206522159</v>
      </c>
      <c r="G4718" s="61" t="n">
        <f aca="false">IF(G4700&gt;0,G4717/G4700,0)</f>
        <v>64083.1302871203</v>
      </c>
      <c r="H4718" s="2" t="s">
        <v>1344</v>
      </c>
    </row>
    <row r="4719" customFormat="false" ht="15" hidden="false" customHeight="false" outlineLevel="0" collapsed="false">
      <c r="A4719" s="3" t="s">
        <v>1345</v>
      </c>
      <c r="B4719" s="4"/>
      <c r="C4719" s="4"/>
      <c r="D4719" s="4"/>
      <c r="E4719" s="4"/>
      <c r="F4719" s="4"/>
      <c r="G4719" s="4"/>
      <c r="H4719" s="4"/>
    </row>
    <row r="4720" customFormat="false" ht="15" hidden="false" customHeight="false" outlineLevel="1" collapsed="false">
      <c r="A4720" s="7" t="s">
        <v>449</v>
      </c>
      <c r="B4720" s="8" t="s">
        <v>11</v>
      </c>
      <c r="C4720" s="61" t="n">
        <f aca="false">Pressupostos!$C$407*(1+Pressupostos!$C$156)*(1+Pressupostos!$C$157)^0</f>
        <v>94500</v>
      </c>
      <c r="D4720" s="61" t="n">
        <f aca="false">Pressupostos!$D$407*(1+Pressupostos!$C$156)*(1+Pressupostos!$C$157)^1</f>
        <v>53550</v>
      </c>
      <c r="E4720" s="61" t="n">
        <f aca="false">Pressupostos!$E$407*(1+Pressupostos!$C$156)*(1+Pressupostos!$C$157)^2</f>
        <v>49158.9</v>
      </c>
      <c r="F4720" s="61" t="n">
        <f aca="false">Pressupostos!$F$407*(1+Pressupostos!$C$156)*(1+Pressupostos!$C$157)^3</f>
        <v>50142.078</v>
      </c>
      <c r="G4720" s="61" t="n">
        <f aca="false">Pressupostos!$G$407*(1+Pressupostos!$C$156)*(1+Pressupostos!$C$157)^4</f>
        <v>51144.91956</v>
      </c>
      <c r="H4720" s="2" t="s">
        <v>1346</v>
      </c>
    </row>
    <row r="4721" customFormat="false" ht="15" hidden="false" customHeight="false" outlineLevel="1" collapsed="false">
      <c r="A4721" s="7" t="s">
        <v>451</v>
      </c>
      <c r="B4721" s="8" t="s">
        <v>11</v>
      </c>
      <c r="C4721" s="61" t="n">
        <f aca="false">Pressupostos!$C$413*(1+Pressupostos!$C$156)*(1+Pressupostos!$C$157)^0</f>
        <v>10500</v>
      </c>
      <c r="D4721" s="61" t="n">
        <f aca="false">Pressupostos!$D$413*(1+Pressupostos!$C$156)*(1+Pressupostos!$C$157)^1</f>
        <v>10710</v>
      </c>
      <c r="E4721" s="61" t="n">
        <f aca="false">Pressupostos!$E$413*(1+Pressupostos!$C$156)*(1+Pressupostos!$C$157)^2</f>
        <v>10924.2</v>
      </c>
      <c r="F4721" s="61" t="n">
        <f aca="false">Pressupostos!$F$413*(1+Pressupostos!$C$156)*(1+Pressupostos!$C$157)^3</f>
        <v>11142.684</v>
      </c>
      <c r="G4721" s="61" t="n">
        <f aca="false">Pressupostos!$G$413*(1+Pressupostos!$C$156)*(1+Pressupostos!$C$157)^4</f>
        <v>11365.53768</v>
      </c>
      <c r="H4721" s="2" t="s">
        <v>1347</v>
      </c>
    </row>
    <row r="4722" customFormat="false" ht="15" hidden="false" customHeight="false" outlineLevel="1" collapsed="false">
      <c r="A4722" s="7" t="s">
        <v>452</v>
      </c>
      <c r="B4722" s="8" t="s">
        <v>11</v>
      </c>
      <c r="C4722" s="61" t="n">
        <f aca="false">Pressupostos!$C$419*(1+Pressupostos!$C$156)*(1+Pressupostos!$C$157)^0</f>
        <v>12600</v>
      </c>
      <c r="D4722" s="61" t="n">
        <f aca="false">Pressupostos!$D$419*(1+Pressupostos!$C$156)*(1+Pressupostos!$C$157)^1</f>
        <v>12852</v>
      </c>
      <c r="E4722" s="61" t="n">
        <f aca="false">Pressupostos!$E$419*(1+Pressupostos!$C$156)*(1+Pressupostos!$C$157)^2</f>
        <v>13109.04</v>
      </c>
      <c r="F4722" s="61" t="n">
        <f aca="false">Pressupostos!$F$419*(1+Pressupostos!$C$156)*(1+Pressupostos!$C$157)^3</f>
        <v>13371.2208</v>
      </c>
      <c r="G4722" s="61" t="n">
        <f aca="false">Pressupostos!$G$419*(1+Pressupostos!$C$156)*(1+Pressupostos!$C$157)^4</f>
        <v>13638.645216</v>
      </c>
      <c r="H4722" s="2" t="s">
        <v>1348</v>
      </c>
    </row>
    <row r="4723" customFormat="false" ht="15" hidden="false" customHeight="false" outlineLevel="1" collapsed="false">
      <c r="A4723" s="7" t="s">
        <v>454</v>
      </c>
      <c r="B4723" s="8" t="s">
        <v>11</v>
      </c>
      <c r="C4723" s="61" t="n">
        <f aca="false">Pressupostos!$C$425*(1+Pressupostos!$C$156)*(1+Pressupostos!$C$157)^0</f>
        <v>31500</v>
      </c>
      <c r="D4723" s="61" t="n">
        <f aca="false">Pressupostos!$D$425*(1+Pressupostos!$C$156)*(1+Pressupostos!$C$157)^1</f>
        <v>37485</v>
      </c>
      <c r="E4723" s="61" t="n">
        <f aca="false">Pressupostos!$E$425*(1+Pressupostos!$C$156)*(1+Pressupostos!$C$157)^2</f>
        <v>49158.9</v>
      </c>
      <c r="F4723" s="61" t="n">
        <f aca="false">Pressupostos!$F$425*(1+Pressupostos!$C$156)*(1+Pressupostos!$C$157)^3</f>
        <v>55713.42</v>
      </c>
      <c r="G4723" s="61" t="n">
        <f aca="false">Pressupostos!$G$425*(1+Pressupostos!$C$156)*(1+Pressupostos!$C$157)^4</f>
        <v>62510.45724</v>
      </c>
      <c r="H4723" s="2" t="s">
        <v>1349</v>
      </c>
    </row>
    <row r="4724" customFormat="false" ht="15" hidden="false" customHeight="false" outlineLevel="1" collapsed="false">
      <c r="A4724" s="7" t="s">
        <v>456</v>
      </c>
      <c r="B4724" s="8" t="s">
        <v>11</v>
      </c>
      <c r="C4724" s="61" t="n">
        <f aca="false">Pressupostos!$C$431*(1+Pressupostos!$C$156)*(1+Pressupostos!$C$157)^0</f>
        <v>15750</v>
      </c>
      <c r="D4724" s="61" t="n">
        <f aca="false">Pressupostos!$D$431*(1+Pressupostos!$C$156)*(1+Pressupostos!$C$157)^1</f>
        <v>16065</v>
      </c>
      <c r="E4724" s="61" t="n">
        <f aca="false">Pressupostos!$E$431*(1+Pressupostos!$C$156)*(1+Pressupostos!$C$157)^2</f>
        <v>38234.7</v>
      </c>
      <c r="F4724" s="61" t="n">
        <f aca="false">Pressupostos!$F$431*(1+Pressupostos!$C$156)*(1+Pressupostos!$C$157)^3</f>
        <v>22285.368</v>
      </c>
      <c r="G4724" s="61" t="n">
        <f aca="false">Pressupostos!$G$431*(1+Pressupostos!$C$156)*(1+Pressupostos!$C$157)^4</f>
        <v>22731.07536</v>
      </c>
      <c r="H4724" s="2" t="s">
        <v>1350</v>
      </c>
    </row>
    <row r="4725" customFormat="false" ht="15" hidden="false" customHeight="false" outlineLevel="1" collapsed="false">
      <c r="A4725" s="7" t="s">
        <v>458</v>
      </c>
      <c r="B4725" s="8" t="s">
        <v>11</v>
      </c>
      <c r="C4725" s="61" t="n">
        <f aca="false">Pressupostos!$C$437*(1+Pressupostos!$C$156)*(1+Pressupostos!$C$157)^0</f>
        <v>10500</v>
      </c>
      <c r="D4725" s="61" t="n">
        <f aca="false">Pressupostos!$D$437*(1+Pressupostos!$C$156)*(1+Pressupostos!$C$157)^1</f>
        <v>12852</v>
      </c>
      <c r="E4725" s="61" t="n">
        <f aca="false">Pressupostos!$E$437*(1+Pressupostos!$C$156)*(1+Pressupostos!$C$157)^2</f>
        <v>16386.3</v>
      </c>
      <c r="F4725" s="61" t="n">
        <f aca="false">Pressupostos!$F$437*(1+Pressupostos!$C$156)*(1+Pressupostos!$C$157)^3</f>
        <v>20056.8312</v>
      </c>
      <c r="G4725" s="61" t="n">
        <f aca="false">Pressupostos!$G$437*(1+Pressupostos!$C$156)*(1+Pressupostos!$C$157)^4</f>
        <v>22731.07536</v>
      </c>
      <c r="H4725" s="2" t="s">
        <v>1351</v>
      </c>
    </row>
    <row r="4726" customFormat="false" ht="15" hidden="false" customHeight="false" outlineLevel="1" collapsed="false">
      <c r="A4726" s="7" t="s">
        <v>459</v>
      </c>
      <c r="B4726" s="8" t="s">
        <v>11</v>
      </c>
      <c r="C4726" s="61" t="n">
        <f aca="false">Pressupostos!$C$443*(1+Pressupostos!$C$156)*(1+Pressupostos!$C$157)^0</f>
        <v>31500</v>
      </c>
      <c r="D4726" s="61" t="n">
        <f aca="false">Pressupostos!$D$443*(1+Pressupostos!$C$156)*(1+Pressupostos!$C$157)^1</f>
        <v>37485</v>
      </c>
      <c r="E4726" s="61" t="n">
        <f aca="false">Pressupostos!$E$443*(1+Pressupostos!$C$156)*(1+Pressupostos!$C$157)^2</f>
        <v>49158.9</v>
      </c>
      <c r="F4726" s="61" t="n">
        <f aca="false">Pressupostos!$F$443*(1+Pressupostos!$C$156)*(1+Pressupostos!$C$157)^3</f>
        <v>55713.42</v>
      </c>
      <c r="G4726" s="61" t="n">
        <f aca="false">Pressupostos!$G$443*(1+Pressupostos!$C$156)*(1+Pressupostos!$C$157)^4</f>
        <v>62510.45724</v>
      </c>
      <c r="H4726" s="2" t="s">
        <v>1352</v>
      </c>
    </row>
    <row r="4727" customFormat="false" ht="15" hidden="false" customHeight="false" outlineLevel="1" collapsed="false">
      <c r="A4727" s="7" t="s">
        <v>461</v>
      </c>
      <c r="B4727" s="8" t="s">
        <v>11</v>
      </c>
      <c r="C4727" s="61" t="n">
        <f aca="false">Pressupostos!$C$449*(1+Pressupostos!$C$156)*(1+Pressupostos!$C$157)^0</f>
        <v>6300</v>
      </c>
      <c r="D4727" s="61" t="n">
        <f aca="false">Pressupostos!$D$449*(1+Pressupostos!$C$156)*(1+Pressupostos!$C$157)^1</f>
        <v>8568</v>
      </c>
      <c r="E4727" s="61" t="n">
        <f aca="false">Pressupostos!$E$449*(1+Pressupostos!$C$156)*(1+Pressupostos!$C$157)^2</f>
        <v>13109.04</v>
      </c>
      <c r="F4727" s="61" t="n">
        <f aca="false">Pressupostos!$F$449*(1+Pressupostos!$C$156)*(1+Pressupostos!$C$157)^3</f>
        <v>16714.026</v>
      </c>
      <c r="G4727" s="61" t="n">
        <f aca="false">Pressupostos!$G$449*(1+Pressupostos!$C$156)*(1+Pressupostos!$C$157)^4</f>
        <v>20457.967824</v>
      </c>
      <c r="H4727" s="2" t="s">
        <v>1353</v>
      </c>
    </row>
    <row r="4728" customFormat="false" ht="15" hidden="false" customHeight="false" outlineLevel="1" collapsed="false">
      <c r="A4728" s="7" t="s">
        <v>463</v>
      </c>
      <c r="B4728" s="8" t="s">
        <v>11</v>
      </c>
      <c r="C4728" s="61" t="n">
        <f aca="false">Pressupostos!$C$455*(1+Pressupostos!$C$156)*(1+Pressupostos!$C$157)^0</f>
        <v>15750</v>
      </c>
      <c r="D4728" s="61" t="n">
        <f aca="false">Pressupostos!$D$455*(1+Pressupostos!$C$156)*(1+Pressupostos!$C$157)^1</f>
        <v>21420</v>
      </c>
      <c r="E4728" s="61" t="n">
        <f aca="false">Pressupostos!$E$455*(1+Pressupostos!$C$156)*(1+Pressupostos!$C$157)^2</f>
        <v>30587.76</v>
      </c>
      <c r="F4728" s="61" t="n">
        <f aca="false">Pressupostos!$F$455*(1+Pressupostos!$C$156)*(1+Pressupostos!$C$157)^3</f>
        <v>35656.5888</v>
      </c>
      <c r="G4728" s="61" t="n">
        <f aca="false">Pressupostos!$G$455*(1+Pressupostos!$C$156)*(1+Pressupostos!$C$157)^4</f>
        <v>40915.935648</v>
      </c>
      <c r="H4728" s="2" t="s">
        <v>1354</v>
      </c>
    </row>
    <row r="4729" customFormat="false" ht="15" hidden="false" customHeight="false" outlineLevel="1" collapsed="false">
      <c r="A4729" s="7" t="s">
        <v>464</v>
      </c>
      <c r="B4729" s="8" t="s">
        <v>11</v>
      </c>
      <c r="C4729" s="61" t="n">
        <f aca="false">Pressupostos!$C$461*(1+Pressupostos!$C$156)*(1+Pressupostos!$C$157)^0</f>
        <v>4200</v>
      </c>
      <c r="D4729" s="61" t="n">
        <f aca="false">Pressupostos!$D$461*(1+Pressupostos!$C$156)*(1+Pressupostos!$C$157)^1</f>
        <v>6426</v>
      </c>
      <c r="E4729" s="61" t="n">
        <f aca="false">Pressupostos!$E$461*(1+Pressupostos!$C$156)*(1+Pressupostos!$C$157)^2</f>
        <v>8739.36</v>
      </c>
      <c r="F4729" s="61" t="n">
        <f aca="false">Pressupostos!$F$461*(1+Pressupostos!$C$156)*(1+Pressupostos!$C$157)^3</f>
        <v>8914.1472</v>
      </c>
      <c r="G4729" s="61" t="n">
        <f aca="false">Pressupostos!$G$461*(1+Pressupostos!$C$156)*(1+Pressupostos!$C$157)^4</f>
        <v>9092.430144</v>
      </c>
      <c r="H4729" s="2" t="s">
        <v>1355</v>
      </c>
    </row>
    <row r="4730" customFormat="false" ht="15" hidden="false" customHeight="false" outlineLevel="1" collapsed="false">
      <c r="A4730" s="7" t="s">
        <v>701</v>
      </c>
      <c r="B4730" s="8" t="s">
        <v>11</v>
      </c>
      <c r="C4730" s="61" t="n">
        <f aca="false">C4720+C4721+C4722+C4723+C4724+C4725+C4726+C4727+C4728+C4729</f>
        <v>233100</v>
      </c>
      <c r="D4730" s="61" t="n">
        <f aca="false">D4720+D4721+D4722+D4723+D4724+D4725+D4726+D4727+D4728+D4729</f>
        <v>217413</v>
      </c>
      <c r="E4730" s="61" t="n">
        <f aca="false">E4720+E4721+E4722+E4723+E4724+E4725+E4726+E4727+E4728+E4729</f>
        <v>278567.1</v>
      </c>
      <c r="F4730" s="61" t="n">
        <f aca="false">F4720+F4721+F4722+F4723+F4724+F4725+F4726+F4727+F4728+F4729</f>
        <v>289709.784</v>
      </c>
      <c r="G4730" s="61" t="n">
        <f aca="false">G4720+G4721+G4722+G4723+G4724+G4725+G4726+G4727+G4728+G4729</f>
        <v>317098.501272</v>
      </c>
      <c r="H4730" s="2" t="s">
        <v>1356</v>
      </c>
    </row>
    <row r="4731" customFormat="false" ht="15" hidden="false" customHeight="false" outlineLevel="1" collapsed="false">
      <c r="A4731" s="7" t="s">
        <v>702</v>
      </c>
      <c r="B4731" s="8" t="s">
        <v>11</v>
      </c>
      <c r="C4731" s="61" t="n">
        <f aca="false">Pressupostos!$C$114+Pressupostos!$C$115+Pressupostos!$C$116*Pressupostos!$C$296+Pressupostos!$C$466+Pressupostos!$C$308</f>
        <v>65000</v>
      </c>
      <c r="D4731" s="61" t="n">
        <f aca="false">Pressupostos!$C$115+Pressupostos!$C$116*Pressupostos!$D$296+Pressupostos!$D$466+Pressupostos!$D$308</f>
        <v>75000</v>
      </c>
      <c r="E4731" s="61" t="n">
        <f aca="false">Pressupostos!$C$115+Pressupostos!$C$116*Pressupostos!$E$296+Pressupostos!$E$466+Pressupostos!$E$308</f>
        <v>80000</v>
      </c>
      <c r="F4731" s="61" t="n">
        <f aca="false">Pressupostos!$C$115+Pressupostos!$C$116*Pressupostos!$F$296+Pressupostos!$F$466+Pressupostos!$F$308</f>
        <v>85000</v>
      </c>
      <c r="G4731" s="61" t="n">
        <f aca="false">Pressupostos!$C$115+Pressupostos!$C$116*Pressupostos!$G$296+Pressupostos!$G$466+Pressupostos!$G$308</f>
        <v>90000</v>
      </c>
      <c r="H4731" s="2" t="s">
        <v>1357</v>
      </c>
    </row>
    <row r="4732" customFormat="false" ht="15" hidden="false" customHeight="false" outlineLevel="1" collapsed="false">
      <c r="A4732" s="7" t="s">
        <v>703</v>
      </c>
      <c r="B4732" s="8" t="s">
        <v>11</v>
      </c>
      <c r="C4732" s="61" t="n">
        <f aca="false">IF(C4544&lt;Pressupostos!$C$120,0,MAX(Pressupostos!$C$302,Pressupostos!$C$118*(C4638+C4639)+Pressupostos!$C$119*C4640))</f>
        <v>0</v>
      </c>
      <c r="D4732" s="61" t="n">
        <f aca="false">IF(D4544&lt;Pressupostos!$C$120,0,MAX(Pressupostos!$D$302,Pressupostos!$C$118*(D4638+D4639)+Pressupostos!$C$119*D4640))</f>
        <v>7107.15</v>
      </c>
      <c r="E4732" s="61" t="n">
        <f aca="false">IF(E4544&lt;Pressupostos!$C$120,0,MAX(Pressupostos!$E$302,Pressupostos!$C$118*(E4638+E4639)+Pressupostos!$C$119*E4640))</f>
        <v>14484.6</v>
      </c>
      <c r="F4732" s="61" t="n">
        <f aca="false">IF(F4544&lt;Pressupostos!$C$120,0,MAX(Pressupostos!$F$302,Pressupostos!$C$118*(F4638+F4639)+Pressupostos!$C$119*F4640))</f>
        <v>24070.9</v>
      </c>
      <c r="G4732" s="61" t="n">
        <f aca="false">IF(G4544&lt;Pressupostos!$C$120,0,MAX(Pressupostos!$G$302,Pressupostos!$C$118*(G4638+G4639)+Pressupostos!$C$119*G4640))</f>
        <v>36167</v>
      </c>
      <c r="H4732" s="2" t="s">
        <v>1358</v>
      </c>
    </row>
    <row r="4733" customFormat="false" ht="15" hidden="false" customHeight="false" outlineLevel="1" collapsed="false">
      <c r="A4733" s="56" t="s">
        <v>704</v>
      </c>
      <c r="B4733" s="57" t="s">
        <v>11</v>
      </c>
      <c r="C4733" s="62" t="n">
        <f aca="false">C4730+C4731+C4732</f>
        <v>298100</v>
      </c>
      <c r="D4733" s="62" t="n">
        <f aca="false">D4730+D4731+D4732</f>
        <v>299520.15</v>
      </c>
      <c r="E4733" s="62" t="n">
        <f aca="false">E4730+E4731+E4732</f>
        <v>373051.7</v>
      </c>
      <c r="F4733" s="62" t="n">
        <f aca="false">F4730+F4731+F4732</f>
        <v>398780.684</v>
      </c>
      <c r="G4733" s="62" t="n">
        <f aca="false">G4730+G4731+G4732</f>
        <v>443265.501272</v>
      </c>
      <c r="H4733" s="2" t="s">
        <v>1359</v>
      </c>
    </row>
    <row r="4734" customFormat="false" ht="15" hidden="false" customHeight="false" outlineLevel="0" collapsed="false">
      <c r="A4734" s="3" t="s">
        <v>1360</v>
      </c>
      <c r="B4734" s="4"/>
      <c r="C4734" s="4"/>
      <c r="D4734" s="4"/>
      <c r="E4734" s="4"/>
      <c r="F4734" s="4"/>
      <c r="G4734" s="4"/>
      <c r="H4734" s="4"/>
    </row>
    <row r="4735" customFormat="false" ht="15" hidden="false" customHeight="false" outlineLevel="1" collapsed="false">
      <c r="A4735" s="7" t="s">
        <v>706</v>
      </c>
      <c r="B4735" s="8" t="s">
        <v>11</v>
      </c>
      <c r="C4735" s="61" t="n">
        <f aca="false">Pressupostos!$C$165*Pressupostos!$C$315</f>
        <v>18000</v>
      </c>
      <c r="D4735" s="61" t="n">
        <f aca="false">Pressupostos!$C$165*Pressupostos!$D$315</f>
        <v>12000</v>
      </c>
      <c r="E4735" s="61" t="n">
        <f aca="false">Pressupostos!$C$165*Pressupostos!$E$315</f>
        <v>12000</v>
      </c>
      <c r="F4735" s="61" t="n">
        <f aca="false">Pressupostos!$C$165*Pressupostos!$F$315</f>
        <v>12000</v>
      </c>
      <c r="G4735" s="61" t="n">
        <f aca="false">Pressupostos!$C$165*Pressupostos!$G$315</f>
        <v>12000</v>
      </c>
      <c r="H4735" s="2" t="s">
        <v>1361</v>
      </c>
    </row>
    <row r="4736" customFormat="false" ht="15" hidden="false" customHeight="false" outlineLevel="1" collapsed="false">
      <c r="A4736" s="7" t="s">
        <v>707</v>
      </c>
      <c r="B4736" s="8" t="s">
        <v>11</v>
      </c>
      <c r="C4736" s="53" t="n">
        <f aca="false">Pressupostos!$C$321</f>
        <v>60000</v>
      </c>
      <c r="D4736" s="53" t="n">
        <f aca="false">Pressupostos!$D$321</f>
        <v>15000</v>
      </c>
      <c r="E4736" s="53" t="n">
        <f aca="false">Pressupostos!$E$321</f>
        <v>15000</v>
      </c>
      <c r="F4736" s="53" t="n">
        <f aca="false">Pressupostos!$F$321</f>
        <v>10000</v>
      </c>
      <c r="G4736" s="53" t="n">
        <f aca="false">Pressupostos!$G$321</f>
        <v>10000</v>
      </c>
      <c r="H4736" s="2" t="s">
        <v>1362</v>
      </c>
    </row>
    <row r="4737" customFormat="false" ht="15" hidden="false" customHeight="false" outlineLevel="1" collapsed="false">
      <c r="A4737" s="7" t="s">
        <v>708</v>
      </c>
      <c r="B4737" s="8" t="s">
        <v>11</v>
      </c>
      <c r="C4737" s="53" t="n">
        <f aca="false">Pressupostos!$C$327</f>
        <v>0</v>
      </c>
      <c r="D4737" s="53" t="n">
        <f aca="false">Pressupostos!$D$327</f>
        <v>15000</v>
      </c>
      <c r="E4737" s="53" t="n">
        <f aca="false">Pressupostos!$E$327</f>
        <v>15000</v>
      </c>
      <c r="F4737" s="53" t="n">
        <f aca="false">Pressupostos!$F$327</f>
        <v>10000</v>
      </c>
      <c r="G4737" s="53" t="n">
        <f aca="false">Pressupostos!$G$327</f>
        <v>10000</v>
      </c>
      <c r="H4737" s="2" t="s">
        <v>1363</v>
      </c>
    </row>
    <row r="4738" customFormat="false" ht="15" hidden="false" customHeight="false" outlineLevel="1" collapsed="false">
      <c r="A4738" s="7" t="s">
        <v>709</v>
      </c>
      <c r="B4738" s="8" t="s">
        <v>11</v>
      </c>
      <c r="C4738" s="61" t="n">
        <f aca="false">Pressupostos!$C$166*MAX(0,C4700)</f>
        <v>11000</v>
      </c>
      <c r="D4738" s="61" t="n">
        <f aca="false">Pressupostos!$C$166*MAX(0,D4700-C4700)</f>
        <v>4000</v>
      </c>
      <c r="E4738" s="61" t="n">
        <f aca="false">Pressupostos!$C$166*MAX(0,E4700-D4700)</f>
        <v>2000</v>
      </c>
      <c r="F4738" s="61" t="n">
        <f aca="false">Pressupostos!$C$166*MAX(0,F4700-E4700)</f>
        <v>5000</v>
      </c>
      <c r="G4738" s="61" t="n">
        <f aca="false">Pressupostos!$C$166*MAX(0,G4700-F4700)</f>
        <v>2000</v>
      </c>
      <c r="H4738" s="2" t="s">
        <v>1364</v>
      </c>
    </row>
    <row r="4739" customFormat="false" ht="15" hidden="false" customHeight="false" outlineLevel="1" collapsed="false">
      <c r="A4739" s="7" t="s">
        <v>424</v>
      </c>
      <c r="B4739" s="8" t="s">
        <v>11</v>
      </c>
      <c r="C4739" s="61" t="n">
        <f aca="false">C4735+C4736+C4737+C4738</f>
        <v>89000</v>
      </c>
      <c r="D4739" s="61" t="n">
        <f aca="false">D4735+D4736+D4737+D4738</f>
        <v>46000</v>
      </c>
      <c r="E4739" s="61" t="n">
        <f aca="false">E4735+E4736+E4737+E4738</f>
        <v>44000</v>
      </c>
      <c r="F4739" s="61" t="n">
        <f aca="false">F4735+F4736+F4737+F4738</f>
        <v>37000</v>
      </c>
      <c r="G4739" s="61" t="n">
        <f aca="false">G4735+G4736+G4737+G4738</f>
        <v>34000</v>
      </c>
      <c r="H4739" s="2" t="s">
        <v>1365</v>
      </c>
    </row>
    <row r="4740" customFormat="false" ht="15" hidden="false" customHeight="false" outlineLevel="1" collapsed="false">
      <c r="A4740" s="7" t="s">
        <v>710</v>
      </c>
      <c r="B4740" s="8" t="s">
        <v>11</v>
      </c>
      <c r="C4740" s="61" t="n">
        <f aca="false">(C4736*((0)&lt;Pressupostos!$C$167))/Pressupostos!$C$167</f>
        <v>20000</v>
      </c>
      <c r="D4740" s="61" t="n">
        <f aca="false">(C4736*((1)&lt;Pressupostos!$C$167)+D4736*((0)&lt;Pressupostos!$C$167))/Pressupostos!$C$167</f>
        <v>25000</v>
      </c>
      <c r="E4740" s="61" t="n">
        <f aca="false">(C4736*((2)&lt;Pressupostos!$C$167)+D4736*((1)&lt;Pressupostos!$C$167)+E4736*((0)&lt;Pressupostos!$C$167))/Pressupostos!$C$167</f>
        <v>30000</v>
      </c>
      <c r="F4740" s="61" t="n">
        <f aca="false">(C4736*((3)&lt;Pressupostos!$C$167)+D4736*((2)&lt;Pressupostos!$C$167)+E4736*((1)&lt;Pressupostos!$C$167)+F4736*((0)&lt;Pressupostos!$C$167))/Pressupostos!$C$167</f>
        <v>13333.3333333333</v>
      </c>
      <c r="G4740" s="61" t="n">
        <f aca="false">(C4736*((4)&lt;Pressupostos!$C$167)+D4736*((3)&lt;Pressupostos!$C$167)+E4736*((2)&lt;Pressupostos!$C$167)+F4736*((1)&lt;Pressupostos!$C$167)+G4736*((0)&lt;Pressupostos!$C$167))/Pressupostos!$C$167</f>
        <v>11666.6666666667</v>
      </c>
      <c r="H4740" s="2" t="s">
        <v>1366</v>
      </c>
    </row>
    <row r="4741" customFormat="false" ht="15" hidden="false" customHeight="false" outlineLevel="1" collapsed="false">
      <c r="A4741" s="7" t="s">
        <v>711</v>
      </c>
      <c r="B4741" s="8" t="s">
        <v>11</v>
      </c>
      <c r="C4741" s="61" t="n">
        <f aca="false">(C4737*((0)&lt;Pressupostos!$C$167))/Pressupostos!$C$167</f>
        <v>0</v>
      </c>
      <c r="D4741" s="61" t="n">
        <f aca="false">(C4737*((1)&lt;Pressupostos!$C$167)+D4737*((0)&lt;Pressupostos!$C$167))/Pressupostos!$C$167</f>
        <v>5000</v>
      </c>
      <c r="E4741" s="61" t="n">
        <f aca="false">(C4737*((2)&lt;Pressupostos!$C$167)+D4737*((1)&lt;Pressupostos!$C$167)+E4737*((0)&lt;Pressupostos!$C$167))/Pressupostos!$C$167</f>
        <v>10000</v>
      </c>
      <c r="F4741" s="61" t="n">
        <f aca="false">(C4737*((3)&lt;Pressupostos!$C$167)+D4737*((2)&lt;Pressupostos!$C$167)+E4737*((1)&lt;Pressupostos!$C$167)+F4737*((0)&lt;Pressupostos!$C$167))/Pressupostos!$C$167</f>
        <v>13333.3333333333</v>
      </c>
      <c r="G4741" s="61" t="n">
        <f aca="false">(C4737*((4)&lt;Pressupostos!$C$167)+D4737*((3)&lt;Pressupostos!$C$167)+E4737*((2)&lt;Pressupostos!$C$167)+F4737*((1)&lt;Pressupostos!$C$167)+G4737*((0)&lt;Pressupostos!$C$167))/Pressupostos!$C$167</f>
        <v>11666.6666666667</v>
      </c>
      <c r="H4741" s="2" t="s">
        <v>1367</v>
      </c>
    </row>
    <row r="4742" customFormat="false" ht="15" hidden="false" customHeight="false" outlineLevel="1" collapsed="false">
      <c r="A4742" s="7" t="s">
        <v>712</v>
      </c>
      <c r="B4742" s="8" t="s">
        <v>11</v>
      </c>
      <c r="C4742" s="61" t="n">
        <f aca="false">(C4735*((0)&lt;Pressupostos!$C$169))/Pressupostos!$C$169</f>
        <v>3600</v>
      </c>
      <c r="D4742" s="61" t="n">
        <f aca="false">(C4735*((1)&lt;Pressupostos!$C$169)+D4735*((0)&lt;Pressupostos!$C$169))/Pressupostos!$C$169</f>
        <v>6000</v>
      </c>
      <c r="E4742" s="61" t="n">
        <f aca="false">(C4735*((2)&lt;Pressupostos!$C$169)+D4735*((1)&lt;Pressupostos!$C$169)+E4735*((0)&lt;Pressupostos!$C$169))/Pressupostos!$C$169</f>
        <v>8400</v>
      </c>
      <c r="F4742" s="61" t="n">
        <f aca="false">(C4735*((3)&lt;Pressupostos!$C$169)+D4735*((2)&lt;Pressupostos!$C$169)+E4735*((1)&lt;Pressupostos!$C$169)+F4735*((0)&lt;Pressupostos!$C$169))/Pressupostos!$C$169</f>
        <v>10800</v>
      </c>
      <c r="G4742" s="61" t="n">
        <f aca="false">(C4735*((4)&lt;Pressupostos!$C$169)+D4735*((3)&lt;Pressupostos!$C$169)+E4735*((2)&lt;Pressupostos!$C$169)+F4735*((1)&lt;Pressupostos!$C$169)+G4735*((0)&lt;Pressupostos!$C$169))/Pressupostos!$C$169</f>
        <v>13200</v>
      </c>
      <c r="H4742" s="2" t="s">
        <v>1368</v>
      </c>
    </row>
    <row r="4743" customFormat="false" ht="15" hidden="false" customHeight="false" outlineLevel="1" collapsed="false">
      <c r="A4743" s="7" t="s">
        <v>713</v>
      </c>
      <c r="B4743" s="8" t="s">
        <v>11</v>
      </c>
      <c r="C4743" s="61" t="n">
        <f aca="false">(C4738*((0)&lt;Pressupostos!$C$168))/Pressupostos!$C$168</f>
        <v>2750</v>
      </c>
      <c r="D4743" s="61" t="n">
        <f aca="false">(C4738*((1)&lt;Pressupostos!$C$168)+D4738*((0)&lt;Pressupostos!$C$168))/Pressupostos!$C$168</f>
        <v>3750</v>
      </c>
      <c r="E4743" s="61" t="n">
        <f aca="false">(C4738*((2)&lt;Pressupostos!$C$168)+D4738*((1)&lt;Pressupostos!$C$168)+E4738*((0)&lt;Pressupostos!$C$168))/Pressupostos!$C$168</f>
        <v>4250</v>
      </c>
      <c r="F4743" s="61" t="n">
        <f aca="false">(C4738*((3)&lt;Pressupostos!$C$168)+D4738*((2)&lt;Pressupostos!$C$168)+E4738*((1)&lt;Pressupostos!$C$168)+F4738*((0)&lt;Pressupostos!$C$168))/Pressupostos!$C$168</f>
        <v>5500</v>
      </c>
      <c r="G4743" s="61" t="n">
        <f aca="false">(C4738*((4)&lt;Pressupostos!$C$168)+D4738*((3)&lt;Pressupostos!$C$168)+E4738*((2)&lt;Pressupostos!$C$168)+F4738*((1)&lt;Pressupostos!$C$168)+G4738*((0)&lt;Pressupostos!$C$168))/Pressupostos!$C$168</f>
        <v>3250</v>
      </c>
      <c r="H4743" s="2" t="s">
        <v>1369</v>
      </c>
    </row>
    <row r="4744" customFormat="false" ht="15" hidden="false" customHeight="false" outlineLevel="1" collapsed="false">
      <c r="A4744" s="7" t="s">
        <v>714</v>
      </c>
      <c r="B4744" s="8" t="s">
        <v>11</v>
      </c>
      <c r="C4744" s="61" t="n">
        <f aca="false">C4740+C4741+C4742+C4743</f>
        <v>26350</v>
      </c>
      <c r="D4744" s="61" t="n">
        <f aca="false">D4740+D4741+D4742+D4743</f>
        <v>39750</v>
      </c>
      <c r="E4744" s="61" t="n">
        <f aca="false">E4740+E4741+E4742+E4743</f>
        <v>52650</v>
      </c>
      <c r="F4744" s="61" t="n">
        <f aca="false">F4740+F4741+F4742+F4743</f>
        <v>42966.6666666667</v>
      </c>
      <c r="G4744" s="61" t="n">
        <f aca="false">G4740+G4741+G4742+G4743</f>
        <v>39783.3333333333</v>
      </c>
      <c r="H4744" s="2" t="s">
        <v>1370</v>
      </c>
    </row>
    <row r="4745" customFormat="false" ht="15" hidden="false" customHeight="false" outlineLevel="0" collapsed="false">
      <c r="A4745" s="3" t="s">
        <v>1371</v>
      </c>
      <c r="B4745" s="4"/>
      <c r="C4745" s="4"/>
      <c r="D4745" s="4"/>
      <c r="E4745" s="4"/>
      <c r="F4745" s="4"/>
      <c r="G4745" s="4"/>
      <c r="H4745" s="4"/>
    </row>
    <row r="4746" customFormat="false" ht="15" hidden="false" customHeight="false" outlineLevel="1" collapsed="false">
      <c r="A4746" s="56" t="s">
        <v>718</v>
      </c>
      <c r="B4746" s="57" t="s">
        <v>11</v>
      </c>
      <c r="C4746" s="62" t="n">
        <f aca="false">C4648</f>
        <v>274644.4</v>
      </c>
      <c r="D4746" s="62" t="n">
        <f aca="false">D4648</f>
        <v>1800641.5</v>
      </c>
      <c r="E4746" s="62" t="n">
        <f aca="false">E4648</f>
        <v>3692469</v>
      </c>
      <c r="F4746" s="62" t="n">
        <f aca="false">F4648</f>
        <v>6313752</v>
      </c>
      <c r="G4746" s="62" t="n">
        <f aca="false">G4648</f>
        <v>9660985</v>
      </c>
      <c r="H4746" s="2" t="s">
        <v>1372</v>
      </c>
    </row>
    <row r="4747" customFormat="false" ht="15" hidden="false" customHeight="false" outlineLevel="1" collapsed="false">
      <c r="A4747" s="7" t="s">
        <v>688</v>
      </c>
      <c r="B4747" s="8" t="s">
        <v>11</v>
      </c>
      <c r="C4747" s="61" t="n">
        <f aca="false">-C4671</f>
        <v>-245040</v>
      </c>
      <c r="D4747" s="61" t="n">
        <f aca="false">-D4671</f>
        <v>-1599300</v>
      </c>
      <c r="E4747" s="61" t="n">
        <f aca="false">-E4671</f>
        <v>-3248250</v>
      </c>
      <c r="F4747" s="61" t="n">
        <f aca="false">-F4671</f>
        <v>-5533850</v>
      </c>
      <c r="G4747" s="61" t="n">
        <f aca="false">-G4671</f>
        <v>-8460500</v>
      </c>
      <c r="H4747" s="2" t="s">
        <v>1373</v>
      </c>
    </row>
    <row r="4748" customFormat="false" ht="15" hidden="false" customHeight="false" outlineLevel="1" collapsed="false">
      <c r="A4748" s="56" t="s">
        <v>719</v>
      </c>
      <c r="B4748" s="57" t="s">
        <v>11</v>
      </c>
      <c r="C4748" s="62" t="n">
        <f aca="false">C4746+C4747</f>
        <v>29604.4</v>
      </c>
      <c r="D4748" s="62" t="n">
        <f aca="false">D4746+D4747</f>
        <v>201341.5</v>
      </c>
      <c r="E4748" s="62" t="n">
        <f aca="false">E4746+E4747</f>
        <v>444219</v>
      </c>
      <c r="F4748" s="62" t="n">
        <f aca="false">F4746+F4747</f>
        <v>779901.999999999</v>
      </c>
      <c r="G4748" s="62" t="n">
        <f aca="false">G4746+G4747</f>
        <v>1200485</v>
      </c>
      <c r="H4748" s="2" t="s">
        <v>1374</v>
      </c>
    </row>
    <row r="4749" customFormat="false" ht="15" hidden="false" customHeight="false" outlineLevel="1" collapsed="false">
      <c r="A4749" s="2" t="s">
        <v>720</v>
      </c>
      <c r="B4749" s="8" t="s">
        <v>76</v>
      </c>
      <c r="C4749" s="59" t="n">
        <f aca="false">IF(C4746&gt;0,C4748/C4746,0)</f>
        <v>0.107791748165992</v>
      </c>
      <c r="D4749" s="59" t="n">
        <f aca="false">IF(D4746&gt;0,D4748/D4746,0)</f>
        <v>0.111816538716896</v>
      </c>
      <c r="E4749" s="59" t="n">
        <f aca="false">IF(E4746&gt;0,E4748/E4746,0)</f>
        <v>0.120304056716522</v>
      </c>
      <c r="F4749" s="59" t="n">
        <f aca="false">IF(F4746&gt;0,F4748/F4746,0)</f>
        <v>0.123524332282928</v>
      </c>
      <c r="G4749" s="59" t="n">
        <f aca="false">IF(G4746&gt;0,G4748/G4746,0)</f>
        <v>0.124261139003942</v>
      </c>
      <c r="H4749" s="2" t="s">
        <v>1375</v>
      </c>
    </row>
    <row r="4750" customFormat="false" ht="15" hidden="false" customHeight="false" outlineLevel="1" collapsed="false">
      <c r="A4750" s="7" t="s">
        <v>721</v>
      </c>
      <c r="B4750" s="8" t="s">
        <v>11</v>
      </c>
      <c r="C4750" s="61" t="n">
        <f aca="false">-C4682</f>
        <v>-15486.8426027397</v>
      </c>
      <c r="D4750" s="61" t="n">
        <f aca="false">-D4682</f>
        <v>-101837.878938356</v>
      </c>
      <c r="E4750" s="61" t="n">
        <f aca="false">-E4682</f>
        <v>-211930.556849315</v>
      </c>
      <c r="F4750" s="61" t="n">
        <f aca="false">-F4682</f>
        <v>-358115.151712329</v>
      </c>
      <c r="G4750" s="61" t="n">
        <f aca="false">-G4682</f>
        <v>-534946.537671233</v>
      </c>
      <c r="H4750" s="2" t="s">
        <v>1376</v>
      </c>
    </row>
    <row r="4751" customFormat="false" ht="15" hidden="false" customHeight="false" outlineLevel="1" collapsed="false">
      <c r="A4751" s="7" t="s">
        <v>698</v>
      </c>
      <c r="B4751" s="8" t="s">
        <v>11</v>
      </c>
      <c r="C4751" s="61" t="n">
        <f aca="false">-C4685</f>
        <v>-0</v>
      </c>
      <c r="D4751" s="61" t="n">
        <f aca="false">-D4685</f>
        <v>-21524.1780821918</v>
      </c>
      <c r="E4751" s="61" t="n">
        <f aca="false">-E4685</f>
        <v>-34083.5991010274</v>
      </c>
      <c r="F4751" s="61" t="n">
        <f aca="false">-F4685</f>
        <v>-53929.0517979452</v>
      </c>
      <c r="G4751" s="61" t="n">
        <f aca="false">-G4685</f>
        <v>-82260.0385273973</v>
      </c>
      <c r="H4751" s="2" t="s">
        <v>1377</v>
      </c>
    </row>
    <row r="4752" customFormat="false" ht="15" hidden="false" customHeight="false" outlineLevel="1" collapsed="false">
      <c r="A4752" s="56" t="s">
        <v>677</v>
      </c>
      <c r="B4752" s="57" t="s">
        <v>11</v>
      </c>
      <c r="C4752" s="62" t="n">
        <f aca="false">C4748+C4750+C4751</f>
        <v>14117.5573972603</v>
      </c>
      <c r="D4752" s="62" t="n">
        <f aca="false">D4748+D4750+D4751</f>
        <v>77979.4429794518</v>
      </c>
      <c r="E4752" s="62" t="n">
        <f aca="false">E4748+E4750+E4751</f>
        <v>198204.844049657</v>
      </c>
      <c r="F4752" s="62" t="n">
        <f aca="false">F4748+F4750+F4751</f>
        <v>367857.796489725</v>
      </c>
      <c r="G4752" s="62" t="n">
        <f aca="false">G4748+G4750+G4751</f>
        <v>583278.42380137</v>
      </c>
      <c r="H4752" s="2" t="s">
        <v>1378</v>
      </c>
    </row>
    <row r="4753" customFormat="false" ht="15" hidden="false" customHeight="false" outlineLevel="1" collapsed="false">
      <c r="A4753" s="7" t="s">
        <v>261</v>
      </c>
      <c r="B4753" s="8" t="s">
        <v>11</v>
      </c>
      <c r="C4753" s="61" t="n">
        <f aca="false">-C4717</f>
        <v>-303573.09375</v>
      </c>
      <c r="D4753" s="61" t="n">
        <f aca="false">-D4717</f>
        <v>-477845.325</v>
      </c>
      <c r="E4753" s="61" t="n">
        <f aca="false">-E4717</f>
        <v>-563341.2153125</v>
      </c>
      <c r="F4753" s="61" t="n">
        <f aca="false">-F4717</f>
        <v>-697007.527174375</v>
      </c>
      <c r="G4753" s="61" t="n">
        <f aca="false">-G4717</f>
        <v>-768997.563445444</v>
      </c>
      <c r="H4753" s="2" t="s">
        <v>1379</v>
      </c>
    </row>
    <row r="4754" customFormat="false" ht="15" hidden="false" customHeight="false" outlineLevel="1" collapsed="false">
      <c r="A4754" s="7" t="s">
        <v>722</v>
      </c>
      <c r="B4754" s="8" t="s">
        <v>11</v>
      </c>
      <c r="C4754" s="61" t="n">
        <f aca="false">-C4733</f>
        <v>-298100</v>
      </c>
      <c r="D4754" s="61" t="n">
        <f aca="false">-D4733</f>
        <v>-299520.15</v>
      </c>
      <c r="E4754" s="61" t="n">
        <f aca="false">-E4733</f>
        <v>-373051.7</v>
      </c>
      <c r="F4754" s="61" t="n">
        <f aca="false">-F4733</f>
        <v>-398780.684</v>
      </c>
      <c r="G4754" s="61" t="n">
        <f aca="false">-G4733</f>
        <v>-443265.501272</v>
      </c>
      <c r="H4754" s="2" t="s">
        <v>1380</v>
      </c>
    </row>
    <row r="4755" customFormat="false" ht="15" hidden="false" customHeight="false" outlineLevel="1" collapsed="false">
      <c r="A4755" s="56" t="s">
        <v>723</v>
      </c>
      <c r="B4755" s="57" t="s">
        <v>11</v>
      </c>
      <c r="C4755" s="62" t="n">
        <f aca="false">C4752+C4753+C4754</f>
        <v>-587555.53635274</v>
      </c>
      <c r="D4755" s="62" t="n">
        <f aca="false">D4752+D4753+D4754</f>
        <v>-699386.032020548</v>
      </c>
      <c r="E4755" s="62" t="n">
        <f aca="false">E4752+E4753+E4754</f>
        <v>-738188.071262843</v>
      </c>
      <c r="F4755" s="62" t="n">
        <f aca="false">F4752+F4753+F4754</f>
        <v>-727930.41468465</v>
      </c>
      <c r="G4755" s="62" t="n">
        <f aca="false">G4752+G4753+G4754</f>
        <v>-628984.640916074</v>
      </c>
      <c r="H4755" s="2" t="s">
        <v>1381</v>
      </c>
    </row>
    <row r="4756" customFormat="false" ht="15" hidden="false" customHeight="false" outlineLevel="1" collapsed="false">
      <c r="A4756" s="2" t="s">
        <v>725</v>
      </c>
      <c r="B4756" s="8" t="s">
        <v>76</v>
      </c>
      <c r="C4756" s="59" t="n">
        <f aca="false">IF(C4746&gt;0,C4755/C4746,0)</f>
        <v>-2.13933193741704</v>
      </c>
      <c r="D4756" s="59" t="n">
        <f aca="false">IF(D4746&gt;0,D4755/D4746,0)</f>
        <v>-0.388409370782884</v>
      </c>
      <c r="E4756" s="59" t="n">
        <f aca="false">IF(E4746&gt;0,E4755/E4746,0)</f>
        <v>-0.199917202084254</v>
      </c>
      <c r="F4756" s="59" t="n">
        <f aca="false">IF(F4746&gt;0,F4755/F4746,0)</f>
        <v>-0.115292842462715</v>
      </c>
      <c r="G4756" s="59" t="n">
        <f aca="false">IF(G4746&gt;0,G4755/G4746,0)</f>
        <v>-0.0651056430494483</v>
      </c>
      <c r="H4756" s="2" t="s">
        <v>1382</v>
      </c>
    </row>
    <row r="4757" customFormat="false" ht="15" hidden="false" customHeight="false" outlineLevel="1" collapsed="false">
      <c r="A4757" s="2" t="s">
        <v>726</v>
      </c>
      <c r="B4757" s="8" t="s">
        <v>11</v>
      </c>
      <c r="C4757" s="61" t="n">
        <f aca="false">C4755+C4685</f>
        <v>-587555.53635274</v>
      </c>
      <c r="D4757" s="61" t="n">
        <f aca="false">D4755+D4685</f>
        <v>-677861.853938357</v>
      </c>
      <c r="E4757" s="61" t="n">
        <f aca="false">E4755+E4685</f>
        <v>-704104.472161816</v>
      </c>
      <c r="F4757" s="61" t="n">
        <f aca="false">F4755+F4685</f>
        <v>-674001.362886705</v>
      </c>
      <c r="G4757" s="61" t="n">
        <f aca="false">G4755+G4685</f>
        <v>-546724.602388677</v>
      </c>
      <c r="H4757" s="2" t="s">
        <v>1383</v>
      </c>
    </row>
    <row r="4758" customFormat="false" ht="15" hidden="false" customHeight="false" outlineLevel="1" collapsed="false">
      <c r="A4758" s="7" t="s">
        <v>714</v>
      </c>
      <c r="B4758" s="8" t="s">
        <v>11</v>
      </c>
      <c r="C4758" s="61" t="n">
        <f aca="false">-C4744</f>
        <v>-26350</v>
      </c>
      <c r="D4758" s="61" t="n">
        <f aca="false">-D4744</f>
        <v>-39750</v>
      </c>
      <c r="E4758" s="61" t="n">
        <f aca="false">-E4744</f>
        <v>-52650</v>
      </c>
      <c r="F4758" s="61" t="n">
        <f aca="false">-F4744</f>
        <v>-42966.6666666667</v>
      </c>
      <c r="G4758" s="61" t="n">
        <f aca="false">-G4744</f>
        <v>-39783.3333333333</v>
      </c>
      <c r="H4758" s="2" t="s">
        <v>1384</v>
      </c>
    </row>
    <row r="4759" customFormat="false" ht="15" hidden="false" customHeight="false" outlineLevel="1" collapsed="false">
      <c r="A4759" s="56" t="s">
        <v>727</v>
      </c>
      <c r="B4759" s="57" t="s">
        <v>11</v>
      </c>
      <c r="C4759" s="62" t="n">
        <f aca="false">C4755+C4758</f>
        <v>-613905.53635274</v>
      </c>
      <c r="D4759" s="62" t="n">
        <f aca="false">D4755+D4758</f>
        <v>-739136.032020548</v>
      </c>
      <c r="E4759" s="62" t="n">
        <f aca="false">E4755+E4758</f>
        <v>-790838.071262843</v>
      </c>
      <c r="F4759" s="62" t="n">
        <f aca="false">F4755+F4758</f>
        <v>-770897.081351316</v>
      </c>
      <c r="G4759" s="62" t="n">
        <f aca="false">G4755+G4758</f>
        <v>-668767.974249407</v>
      </c>
      <c r="H4759" s="2" t="s">
        <v>1385</v>
      </c>
    </row>
    <row r="4760" customFormat="false" ht="15" hidden="false" customHeight="false" outlineLevel="0" collapsed="false">
      <c r="A4760" s="3" t="s">
        <v>1386</v>
      </c>
      <c r="B4760" s="4"/>
      <c r="C4760" s="4"/>
      <c r="D4760" s="4"/>
      <c r="E4760" s="4"/>
      <c r="F4760" s="4"/>
      <c r="G4760" s="4"/>
      <c r="H4760" s="4"/>
    </row>
    <row r="4761" customFormat="false" ht="15" hidden="false" customHeight="false" outlineLevel="1" collapsed="false">
      <c r="A4761" s="7" t="s">
        <v>729</v>
      </c>
      <c r="B4761" s="8" t="s">
        <v>11</v>
      </c>
      <c r="C4761" s="61" t="n">
        <f aca="false">C4759</f>
        <v>-613905.53635274</v>
      </c>
      <c r="D4761" s="61" t="n">
        <f aca="false">D4759</f>
        <v>-739136.032020548</v>
      </c>
      <c r="E4761" s="61" t="n">
        <f aca="false">E4759</f>
        <v>-790838.071262843</v>
      </c>
      <c r="F4761" s="61" t="n">
        <f aca="false">F4759</f>
        <v>-770897.081351316</v>
      </c>
      <c r="G4761" s="61" t="n">
        <f aca="false">G4759</f>
        <v>-668767.974249407</v>
      </c>
      <c r="H4761" s="2" t="s">
        <v>1387</v>
      </c>
    </row>
    <row r="4762" customFormat="false" ht="15" hidden="false" customHeight="false" outlineLevel="1" collapsed="false">
      <c r="A4762" s="7" t="s">
        <v>730</v>
      </c>
      <c r="B4762" s="8" t="s">
        <v>11</v>
      </c>
      <c r="C4762" s="61" t="n">
        <f aca="false">0</f>
        <v>0</v>
      </c>
      <c r="D4762" s="61" t="n">
        <f aca="false">C4765</f>
        <v>613905.53635274</v>
      </c>
      <c r="E4762" s="61" t="n">
        <f aca="false">D4765</f>
        <v>1353041.56837329</v>
      </c>
      <c r="F4762" s="61" t="n">
        <f aca="false">E4765</f>
        <v>2143879.63963613</v>
      </c>
      <c r="G4762" s="61" t="n">
        <f aca="false">F4765</f>
        <v>2914776.72098745</v>
      </c>
      <c r="H4762" s="2" t="s">
        <v>1388</v>
      </c>
    </row>
    <row r="4763" customFormat="false" ht="15" hidden="false" customHeight="false" outlineLevel="1" collapsed="false">
      <c r="A4763" s="7" t="s">
        <v>731</v>
      </c>
      <c r="B4763" s="8" t="s">
        <v>11</v>
      </c>
      <c r="C4763" s="61" t="n">
        <f aca="false">MAX(0,-C4761)</f>
        <v>613905.53635274</v>
      </c>
      <c r="D4763" s="61" t="n">
        <f aca="false">MAX(0,-D4761)</f>
        <v>739136.032020548</v>
      </c>
      <c r="E4763" s="61" t="n">
        <f aca="false">MAX(0,-E4761)</f>
        <v>790838.071262843</v>
      </c>
      <c r="F4763" s="61" t="n">
        <f aca="false">MAX(0,-F4761)</f>
        <v>770897.081351316</v>
      </c>
      <c r="G4763" s="61" t="n">
        <f aca="false">MAX(0,-G4761)</f>
        <v>668767.974249407</v>
      </c>
      <c r="H4763" s="2" t="s">
        <v>1389</v>
      </c>
    </row>
    <row r="4764" customFormat="false" ht="15" hidden="false" customHeight="false" outlineLevel="1" collapsed="false">
      <c r="A4764" s="7" t="s">
        <v>732</v>
      </c>
      <c r="B4764" s="8" t="s">
        <v>11</v>
      </c>
      <c r="C4764" s="61" t="n">
        <f aca="false">MIN(C4762,Pressupostos!$C$181*MAX(0,C4761))</f>
        <v>0</v>
      </c>
      <c r="D4764" s="61" t="n">
        <f aca="false">MIN(D4762,Pressupostos!$C$181*MAX(0,D4761))</f>
        <v>0</v>
      </c>
      <c r="E4764" s="61" t="n">
        <f aca="false">MIN(E4762,Pressupostos!$C$181*MAX(0,E4761))</f>
        <v>0</v>
      </c>
      <c r="F4764" s="61" t="n">
        <f aca="false">MIN(F4762,Pressupostos!$C$181*MAX(0,F4761))</f>
        <v>0</v>
      </c>
      <c r="G4764" s="61" t="n">
        <f aca="false">MIN(G4762,Pressupostos!$C$181*MAX(0,G4761))</f>
        <v>0</v>
      </c>
      <c r="H4764" s="2" t="s">
        <v>1390</v>
      </c>
    </row>
    <row r="4765" customFormat="false" ht="15" hidden="false" customHeight="false" outlineLevel="1" collapsed="false">
      <c r="A4765" s="7" t="s">
        <v>733</v>
      </c>
      <c r="B4765" s="8" t="s">
        <v>11</v>
      </c>
      <c r="C4765" s="61" t="n">
        <f aca="false">C4762+C4763-C4764</f>
        <v>613905.53635274</v>
      </c>
      <c r="D4765" s="61" t="n">
        <f aca="false">D4762+D4763-D4764</f>
        <v>1353041.56837329</v>
      </c>
      <c r="E4765" s="61" t="n">
        <f aca="false">E4762+E4763-E4764</f>
        <v>2143879.63963613</v>
      </c>
      <c r="F4765" s="61" t="n">
        <f aca="false">F4762+F4763-F4764</f>
        <v>2914776.72098745</v>
      </c>
      <c r="G4765" s="61" t="n">
        <f aca="false">G4762+G4763-G4764</f>
        <v>3583544.69523685</v>
      </c>
      <c r="H4765" s="2" t="s">
        <v>1391</v>
      </c>
    </row>
    <row r="4766" customFormat="false" ht="15" hidden="false" customHeight="false" outlineLevel="1" collapsed="false">
      <c r="A4766" s="7" t="s">
        <v>734</v>
      </c>
      <c r="B4766" s="8" t="s">
        <v>11</v>
      </c>
      <c r="C4766" s="61" t="n">
        <f aca="false">MAX(0,C4761)-C4764</f>
        <v>0</v>
      </c>
      <c r="D4766" s="61" t="n">
        <f aca="false">MAX(0,D4761)-D4764</f>
        <v>0</v>
      </c>
      <c r="E4766" s="61" t="n">
        <f aca="false">MAX(0,E4761)-E4764</f>
        <v>0</v>
      </c>
      <c r="F4766" s="61" t="n">
        <f aca="false">MAX(0,F4761)-F4764</f>
        <v>0</v>
      </c>
      <c r="G4766" s="61" t="n">
        <f aca="false">MAX(0,G4761)-G4764</f>
        <v>0</v>
      </c>
      <c r="H4766" s="2" t="s">
        <v>1392</v>
      </c>
    </row>
    <row r="4767" customFormat="false" ht="15" hidden="false" customHeight="false" outlineLevel="1" collapsed="false">
      <c r="A4767" s="7" t="s">
        <v>735</v>
      </c>
      <c r="B4767" s="8" t="s">
        <v>11</v>
      </c>
      <c r="C4767" s="61" t="n">
        <f aca="false">Pressupostos!$C$172*MIN(C4766,Pressupostos!$C$173)+Pressupostos!$C$467*MAX(0,C4766-Pressupostos!$C$173)</f>
        <v>0</v>
      </c>
      <c r="D4767" s="61" t="n">
        <f aca="false">Pressupostos!$C$172*MIN(D4766,Pressupostos!$C$173)+Pressupostos!$D$467*MAX(0,D4766-Pressupostos!$C$173)</f>
        <v>0</v>
      </c>
      <c r="E4767" s="61" t="n">
        <f aca="false">Pressupostos!$C$172*MIN(E4766,Pressupostos!$C$173)+Pressupostos!$E$467*MAX(0,E4766-Pressupostos!$C$173)</f>
        <v>0</v>
      </c>
      <c r="F4767" s="61" t="n">
        <f aca="false">Pressupostos!$C$172*MIN(F4766,Pressupostos!$C$173)+Pressupostos!$F$467*MAX(0,F4766-Pressupostos!$C$173)</f>
        <v>0</v>
      </c>
      <c r="G4767" s="61" t="n">
        <f aca="false">Pressupostos!$C$172*MIN(G4766,Pressupostos!$C$173)+Pressupostos!$G$467*MAX(0,G4766-Pressupostos!$C$173)</f>
        <v>0</v>
      </c>
      <c r="H4767" s="2" t="s">
        <v>1393</v>
      </c>
    </row>
    <row r="4768" customFormat="false" ht="15" hidden="false" customHeight="false" outlineLevel="1" collapsed="false">
      <c r="A4768" s="7" t="s">
        <v>736</v>
      </c>
      <c r="B4768" s="8" t="s">
        <v>11</v>
      </c>
      <c r="C4768" s="61" t="n">
        <f aca="false">Pressupostos!$C$174*MAX(0,C4761)</f>
        <v>0</v>
      </c>
      <c r="D4768" s="61" t="n">
        <f aca="false">Pressupostos!$C$174*MAX(0,D4761)</f>
        <v>0</v>
      </c>
      <c r="E4768" s="61" t="n">
        <f aca="false">Pressupostos!$C$174*MAX(0,E4761)</f>
        <v>0</v>
      </c>
      <c r="F4768" s="61" t="n">
        <f aca="false">Pressupostos!$C$174*MAX(0,F4761)</f>
        <v>0</v>
      </c>
      <c r="G4768" s="61" t="n">
        <f aca="false">Pressupostos!$C$174*MAX(0,G4761)</f>
        <v>0</v>
      </c>
      <c r="H4768" s="2" t="s">
        <v>1394</v>
      </c>
    </row>
    <row r="4769" customFormat="false" ht="15" hidden="false" customHeight="false" outlineLevel="1" collapsed="false">
      <c r="A4769" s="7" t="s">
        <v>737</v>
      </c>
      <c r="B4769" s="8" t="s">
        <v>11</v>
      </c>
      <c r="C4769" s="61" t="n">
        <f aca="false">Pressupostos!$C$176*MAX(0,MIN(C4761,Pressupostos!$C$177)-Pressupostos!$C$175)+Pressupostos!$C$178*MAX(0,MIN(C4761,Pressupostos!$C$179)-Pressupostos!$C$177)+Pressupostos!$C$180*MAX(0,C4761-Pressupostos!$C$179)</f>
        <v>0</v>
      </c>
      <c r="D4769" s="61" t="n">
        <f aca="false">Pressupostos!$C$176*MAX(0,MIN(D4761,Pressupostos!$C$177)-Pressupostos!$C$175)+Pressupostos!$C$178*MAX(0,MIN(D4761,Pressupostos!$C$179)-Pressupostos!$C$177)+Pressupostos!$C$180*MAX(0,D4761-Pressupostos!$C$179)</f>
        <v>0</v>
      </c>
      <c r="E4769" s="61" t="n">
        <f aca="false">Pressupostos!$C$176*MAX(0,MIN(E4761,Pressupostos!$C$177)-Pressupostos!$C$175)+Pressupostos!$C$178*MAX(0,MIN(E4761,Pressupostos!$C$179)-Pressupostos!$C$177)+Pressupostos!$C$180*MAX(0,E4761-Pressupostos!$C$179)</f>
        <v>0</v>
      </c>
      <c r="F4769" s="61" t="n">
        <f aca="false">Pressupostos!$C$176*MAX(0,MIN(F4761,Pressupostos!$C$177)-Pressupostos!$C$175)+Pressupostos!$C$178*MAX(0,MIN(F4761,Pressupostos!$C$179)-Pressupostos!$C$177)+Pressupostos!$C$180*MAX(0,F4761-Pressupostos!$C$179)</f>
        <v>0</v>
      </c>
      <c r="G4769" s="61" t="n">
        <f aca="false">Pressupostos!$C$176*MAX(0,MIN(G4761,Pressupostos!$C$177)-Pressupostos!$C$175)+Pressupostos!$C$178*MAX(0,MIN(G4761,Pressupostos!$C$179)-Pressupostos!$C$177)+Pressupostos!$C$180*MAX(0,G4761-Pressupostos!$C$179)</f>
        <v>0</v>
      </c>
      <c r="H4769" s="2" t="s">
        <v>1395</v>
      </c>
    </row>
    <row r="4770" customFormat="false" ht="15" hidden="false" customHeight="false" outlineLevel="1" collapsed="false">
      <c r="A4770" s="7" t="s">
        <v>738</v>
      </c>
      <c r="B4770" s="8" t="s">
        <v>11</v>
      </c>
      <c r="C4770" s="61" t="n">
        <f aca="false">C4767+C4768+C4769</f>
        <v>0</v>
      </c>
      <c r="D4770" s="61" t="n">
        <f aca="false">D4767+D4768+D4769</f>
        <v>0</v>
      </c>
      <c r="E4770" s="61" t="n">
        <f aca="false">E4767+E4768+E4769</f>
        <v>0</v>
      </c>
      <c r="F4770" s="61" t="n">
        <f aca="false">F4767+F4768+F4769</f>
        <v>0</v>
      </c>
      <c r="G4770" s="61" t="n">
        <f aca="false">G4767+G4768+G4769</f>
        <v>0</v>
      </c>
      <c r="H4770" s="2" t="s">
        <v>1396</v>
      </c>
    </row>
    <row r="4771" customFormat="false" ht="15" hidden="false" customHeight="false" outlineLevel="0" collapsed="false">
      <c r="A4771" s="3" t="s">
        <v>1397</v>
      </c>
      <c r="B4771" s="4"/>
      <c r="C4771" s="4"/>
      <c r="D4771" s="4"/>
      <c r="E4771" s="4"/>
      <c r="F4771" s="4"/>
      <c r="G4771" s="4"/>
      <c r="H4771" s="4"/>
    </row>
    <row r="4772" customFormat="false" ht="15" hidden="false" customHeight="false" outlineLevel="1" collapsed="false">
      <c r="A4772" s="7" t="s">
        <v>738</v>
      </c>
      <c r="B4772" s="8" t="s">
        <v>11</v>
      </c>
      <c r="C4772" s="61" t="n">
        <f aca="false">-C4770</f>
        <v>-0</v>
      </c>
      <c r="D4772" s="61" t="n">
        <f aca="false">-D4770</f>
        <v>-0</v>
      </c>
      <c r="E4772" s="61" t="n">
        <f aca="false">-E4770</f>
        <v>-0</v>
      </c>
      <c r="F4772" s="61" t="n">
        <f aca="false">-F4770</f>
        <v>-0</v>
      </c>
      <c r="G4772" s="61" t="n">
        <f aca="false">-G4770</f>
        <v>-0</v>
      </c>
      <c r="H4772" s="2" t="s">
        <v>1398</v>
      </c>
    </row>
    <row r="4773" customFormat="false" ht="15" hidden="false" customHeight="false" outlineLevel="1" collapsed="false">
      <c r="A4773" s="56" t="s">
        <v>740</v>
      </c>
      <c r="B4773" s="57" t="s">
        <v>11</v>
      </c>
      <c r="C4773" s="62" t="n">
        <f aca="false">C4759+C4772</f>
        <v>-613905.53635274</v>
      </c>
      <c r="D4773" s="62" t="n">
        <f aca="false">D4759+D4772</f>
        <v>-739136.032020548</v>
      </c>
      <c r="E4773" s="62" t="n">
        <f aca="false">E4759+E4772</f>
        <v>-790838.071262843</v>
      </c>
      <c r="F4773" s="62" t="n">
        <f aca="false">F4759+F4772</f>
        <v>-770897.081351316</v>
      </c>
      <c r="G4773" s="62" t="n">
        <f aca="false">G4759+G4772</f>
        <v>-668767.974249407</v>
      </c>
      <c r="H4773" s="2" t="s">
        <v>1399</v>
      </c>
    </row>
    <row r="4774" customFormat="false" ht="15" hidden="false" customHeight="false" outlineLevel="0" collapsed="false">
      <c r="A4774" s="3" t="s">
        <v>1400</v>
      </c>
      <c r="B4774" s="4"/>
      <c r="C4774" s="4"/>
      <c r="D4774" s="4"/>
      <c r="E4774" s="4"/>
      <c r="F4774" s="4"/>
      <c r="G4774" s="4"/>
      <c r="H4774" s="4"/>
    </row>
    <row r="4775" customFormat="false" ht="15" hidden="false" customHeight="false" outlineLevel="1" collapsed="false">
      <c r="A4775" s="7" t="s">
        <v>744</v>
      </c>
      <c r="B4775" s="8" t="s">
        <v>11</v>
      </c>
      <c r="C4775" s="61" t="n">
        <f aca="false">C4547*1000*((C4565+C4568)*C4571/365)+C4548*1000*((C4588+C4591)*C4594/365)+C4550*1000*((C4611+C4614)*C4617/365)</f>
        <v>34293.698630137</v>
      </c>
      <c r="D4775" s="61" t="n">
        <f aca="false">D4547*1000*((D4565+D4568)*D4571/365)+D4548*1000*((D4588+D4591)*D4594/365)+D4550*1000*((D4611+D4614)*D4617/365)</f>
        <v>184524.657534247</v>
      </c>
      <c r="E4775" s="61" t="n">
        <f aca="false">E4547*1000*((E4565+E4568)*E4571/365)+E4548*1000*((E4588+E4591)*E4594/365)+E4550*1000*((E4611+E4614)*E4617/365)</f>
        <v>281132.876712329</v>
      </c>
      <c r="F4775" s="61" t="n">
        <f aca="false">F4547*1000*((F4565+F4568)*F4571/365)+F4548*1000*((F4588+F4591)*F4594/365)+F4550*1000*((F4611+F4614)*F4617/365)</f>
        <v>468098.630136986</v>
      </c>
      <c r="G4775" s="61" t="n">
        <f aca="false">G4547*1000*((G4565+G4568)*G4571/365)+G4548*1000*((G4588+G4591)*G4594/365)+G4550*1000*((G4611+G4614)*G4617/365)</f>
        <v>702000</v>
      </c>
      <c r="H4775" s="2" t="s">
        <v>1401</v>
      </c>
    </row>
    <row r="4776" customFormat="false" ht="15" hidden="false" customHeight="false" outlineLevel="1" collapsed="false">
      <c r="A4776" s="7" t="s">
        <v>745</v>
      </c>
      <c r="B4776" s="8" t="s">
        <v>11</v>
      </c>
      <c r="C4776" s="61" t="n">
        <f aca="false">C4775+C4560*1000*Pressupostos!$C$92*Pressupostos!$C$95/365</f>
        <v>34293.698630137</v>
      </c>
      <c r="D4776" s="61" t="n">
        <f aca="false">D4775+D4560*1000*Pressupostos!$C$92*Pressupostos!$C$95/365</f>
        <v>184524.657534247</v>
      </c>
      <c r="E4776" s="61" t="n">
        <f aca="false">E4775+E4560*1000*Pressupostos!$C$92*Pressupostos!$C$95/365</f>
        <v>281132.876712329</v>
      </c>
      <c r="F4776" s="61" t="n">
        <f aca="false">F4775+F4560*1000*Pressupostos!$C$92*Pressupostos!$C$95/365</f>
        <v>485358.904109589</v>
      </c>
      <c r="G4776" s="61" t="n">
        <f aca="false">G4775+G4560*1000*Pressupostos!$C$92*Pressupostos!$C$95/365</f>
        <v>745150.684931507</v>
      </c>
      <c r="H4776" s="2" t="s">
        <v>1402</v>
      </c>
    </row>
    <row r="4777" customFormat="false" ht="15" hidden="false" customHeight="false" outlineLevel="1" collapsed="false">
      <c r="A4777" s="7" t="s">
        <v>746</v>
      </c>
      <c r="B4777" s="8" t="s">
        <v>11</v>
      </c>
      <c r="C4777" s="61" t="n">
        <f aca="false">C4547*1000*(C4567*C4572/365)+C4548*1000*(C4590*C4595/365)+C4550*1000*(C4613*C4618/365)+C4642*Pressupostos!$C$96/365+(C4644+C4645)*Pressupostos!$C$82/365</f>
        <v>39012.5534246575</v>
      </c>
      <c r="D4777" s="61" t="n">
        <f aca="false">D4547*1000*(D4567*D4572/365)+D4548*1000*(D4590*D4595/365)+D4550*1000*(D4613*D4618/365)+D4642*Pressupostos!$C$96/365+(D4644+D4645)*Pressupostos!$C$82/365</f>
        <v>260027.897260274</v>
      </c>
      <c r="E4777" s="61" t="n">
        <f aca="false">E4547*1000*(E4567*E4572/365)+E4548*1000*(E4590*E4595/365)+E4550*1000*(E4613*E4618/365)+E4642*Pressupostos!$C$96/365+(E4644+E4645)*Pressupostos!$C$82/365</f>
        <v>525459.780821918</v>
      </c>
      <c r="F4777" s="61" t="n">
        <f aca="false">F4547*1000*(F4567*F4572/365)+F4548*1000*(F4590*F4595/365)+F4550*1000*(F4613*F4618/365)+F4642*Pressupostos!$C$96/365+(F4644+F4645)*Pressupostos!$C$82/365</f>
        <v>884077.219178082</v>
      </c>
      <c r="G4777" s="61" t="n">
        <f aca="false">G4547*1000*(G4567*G4572/365)+G4548*1000*(G4590*G4595/365)+G4550*1000*(G4613*G4618/365)+G4642*Pressupostos!$C$96/365+(G4644+G4645)*Pressupostos!$C$82/365</f>
        <v>1343693.97260274</v>
      </c>
      <c r="H4777" s="2" t="s">
        <v>1403</v>
      </c>
    </row>
    <row r="4778" customFormat="false" ht="15" hidden="false" customHeight="false" outlineLevel="1" collapsed="false">
      <c r="A4778" s="7" t="s">
        <v>747</v>
      </c>
      <c r="B4778" s="8" t="s">
        <v>11</v>
      </c>
      <c r="C4778" s="61" t="n">
        <f aca="false">C4547*1000*((C4565+C4568)*Pressupostos!$C$72/365)+C4548*1000*((C4588+C4591)*Pressupostos!$C$72/365)+C4550*1000*((C4611+C4614)*Pressupostos!$C$72/365)+C4560*1000*Pressupostos!$C$92*Pressupostos!$C$97/365</f>
        <v>20140.2739726027</v>
      </c>
      <c r="D4778" s="61" t="n">
        <f aca="false">D4547*1000*((D4565+D4568)*Pressupostos!$C$72/365)+D4548*1000*((D4588+D4591)*Pressupostos!$C$72/365)+D4550*1000*((D4611+D4614)*Pressupostos!$C$72/365)+D4560*1000*Pressupostos!$C$92*Pressupostos!$C$97/365</f>
        <v>131449.315068493</v>
      </c>
      <c r="E4778" s="61" t="n">
        <f aca="false">E4547*1000*((E4565+E4568)*Pressupostos!$C$72/365)+E4548*1000*((E4588+E4591)*Pressupostos!$C$72/365)+E4550*1000*((E4611+E4614)*Pressupostos!$C$72/365)+E4560*1000*Pressupostos!$C$92*Pressupostos!$C$97/365</f>
        <v>266979.452054795</v>
      </c>
      <c r="F4778" s="61" t="n">
        <f aca="false">F4547*1000*((F4565+F4568)*Pressupostos!$C$72/365)+F4548*1000*((F4588+F4591)*Pressupostos!$C$72/365)+F4550*1000*((F4611+F4614)*Pressupostos!$C$72/365)+F4560*1000*Pressupostos!$C$92*Pressupostos!$C$97/365</f>
        <v>454836.98630137</v>
      </c>
      <c r="G4778" s="61" t="n">
        <f aca="false">G4547*1000*((G4565+G4568)*Pressupostos!$C$72/365)+G4548*1000*((G4588+G4591)*Pressupostos!$C$72/365)+G4550*1000*((G4611+G4614)*Pressupostos!$C$72/365)+G4560*1000*Pressupostos!$C$92*Pressupostos!$C$97/365</f>
        <v>695383.561643836</v>
      </c>
      <c r="H4778" s="2" t="s">
        <v>1404</v>
      </c>
    </row>
    <row r="4779" customFormat="false" ht="15" hidden="false" customHeight="false" outlineLevel="1" collapsed="false">
      <c r="A4779" s="56" t="s">
        <v>748</v>
      </c>
      <c r="B4779" s="57" t="s">
        <v>11</v>
      </c>
      <c r="C4779" s="62" t="n">
        <f aca="false">C4776+C4777-C4778</f>
        <v>53165.9780821918</v>
      </c>
      <c r="D4779" s="62" t="n">
        <f aca="false">D4776+D4777-D4778</f>
        <v>313103.239726027</v>
      </c>
      <c r="E4779" s="62" t="n">
        <f aca="false">E4776+E4777-E4778</f>
        <v>539613.205479452</v>
      </c>
      <c r="F4779" s="62" t="n">
        <f aca="false">F4776+F4777-F4778</f>
        <v>914599.136986301</v>
      </c>
      <c r="G4779" s="62" t="n">
        <f aca="false">G4776+G4777-G4778</f>
        <v>1393461.09589041</v>
      </c>
      <c r="H4779" s="2" t="s">
        <v>1405</v>
      </c>
    </row>
    <row r="4780" customFormat="false" ht="15" hidden="false" customHeight="false" outlineLevel="0" collapsed="false">
      <c r="A4780" s="3" t="s">
        <v>1406</v>
      </c>
      <c r="B4780" s="4"/>
      <c r="C4780" s="4"/>
      <c r="D4780" s="4"/>
      <c r="E4780" s="4"/>
      <c r="F4780" s="4"/>
      <c r="G4780" s="4"/>
      <c r="H4780" s="4"/>
    </row>
    <row r="4781" customFormat="false" ht="15" hidden="false" customHeight="false" outlineLevel="1" collapsed="false">
      <c r="A4781" s="56" t="s">
        <v>750</v>
      </c>
      <c r="B4781" s="57" t="s">
        <v>11</v>
      </c>
      <c r="C4781" s="62" t="n">
        <f aca="false">Pressupostos!$C$284*C4779/Pressupostos!$F$31</f>
        <v>0</v>
      </c>
      <c r="D4781" s="62" t="n">
        <f aca="false">Pressupostos!$D$284*D4779/Pressupostos!$F$31</f>
        <v>293534.287243151</v>
      </c>
      <c r="E4781" s="62" t="n">
        <f aca="false">Pressupostos!$E$284*E4779/Pressupostos!$F$31</f>
        <v>505887.380136986</v>
      </c>
      <c r="F4781" s="62" t="n">
        <f aca="false">Pressupostos!$F$284*F4779/Pressupostos!$F$31</f>
        <v>857436.690924657</v>
      </c>
      <c r="G4781" s="62" t="n">
        <f aca="false">Pressupostos!$G$284*G4779/Pressupostos!$F$31</f>
        <v>1306369.77739726</v>
      </c>
      <c r="H4781" s="2" t="s">
        <v>1407</v>
      </c>
    </row>
    <row r="4782" customFormat="false" ht="15" hidden="false" customHeight="false" outlineLevel="1" collapsed="false">
      <c r="A4782" s="7" t="s">
        <v>751</v>
      </c>
      <c r="B4782" s="8" t="s">
        <v>11</v>
      </c>
      <c r="C4782" s="61" t="n">
        <f aca="false">Pressupostos!$C$284*C4779</f>
        <v>0</v>
      </c>
      <c r="D4782" s="61" t="n">
        <f aca="false">Pressupostos!$D$284*D4779</f>
        <v>234827.429794521</v>
      </c>
      <c r="E4782" s="61" t="n">
        <f aca="false">Pressupostos!$E$284*E4779</f>
        <v>404709.904109589</v>
      </c>
      <c r="F4782" s="61" t="n">
        <f aca="false">Pressupostos!$F$284*F4779</f>
        <v>685949.352739726</v>
      </c>
      <c r="G4782" s="61" t="n">
        <f aca="false">Pressupostos!$G$284*G4779</f>
        <v>1045095.82191781</v>
      </c>
      <c r="H4782" s="2" t="s">
        <v>1408</v>
      </c>
    </row>
    <row r="4783" customFormat="false" ht="15" hidden="false" customHeight="false" outlineLevel="1" collapsed="false">
      <c r="A4783" s="7" t="s">
        <v>752</v>
      </c>
      <c r="B4783" s="8" t="s">
        <v>11</v>
      </c>
      <c r="C4783" s="61" t="n">
        <f aca="false">C4781-C4782</f>
        <v>0</v>
      </c>
      <c r="D4783" s="61" t="n">
        <f aca="false">D4781-D4782</f>
        <v>58706.8574486301</v>
      </c>
      <c r="E4783" s="61" t="n">
        <f aca="false">E4781-E4782</f>
        <v>101177.476027397</v>
      </c>
      <c r="F4783" s="61" t="n">
        <f aca="false">F4781-F4782</f>
        <v>171487.338184931</v>
      </c>
      <c r="G4783" s="61" t="n">
        <f aca="false">G4781-G4782</f>
        <v>261273.955479452</v>
      </c>
      <c r="H4783" s="2" t="s">
        <v>1409</v>
      </c>
    </row>
    <row r="4784" customFormat="false" ht="15" hidden="false" customHeight="false" outlineLevel="1" collapsed="false">
      <c r="A4784" s="7" t="s">
        <v>753</v>
      </c>
      <c r="B4784" s="8" t="s">
        <v>11</v>
      </c>
      <c r="C4784" s="61" t="n">
        <f aca="false">C4779-C4782</f>
        <v>53165.9780821918</v>
      </c>
      <c r="D4784" s="61" t="n">
        <f aca="false">D4779-D4782</f>
        <v>78275.8099315068</v>
      </c>
      <c r="E4784" s="61" t="n">
        <f aca="false">E4779-E4782</f>
        <v>134903.301369863</v>
      </c>
      <c r="F4784" s="61" t="n">
        <f aca="false">F4779-F4782</f>
        <v>228649.784246575</v>
      </c>
      <c r="G4784" s="61" t="n">
        <f aca="false">G4779-G4782</f>
        <v>348365.273972603</v>
      </c>
      <c r="H4784" s="2" t="s">
        <v>1410</v>
      </c>
    </row>
    <row r="4785" customFormat="false" ht="15" hidden="false" customHeight="false" outlineLevel="1" collapsed="false">
      <c r="A4785" s="7" t="s">
        <v>754</v>
      </c>
      <c r="B4785" s="8" t="s">
        <v>11</v>
      </c>
      <c r="C4785" s="61" t="n">
        <f aca="false">MAX(0,Pressupostos!$C$108-C4784)</f>
        <v>0</v>
      </c>
      <c r="D4785" s="61" t="n">
        <f aca="false">MAX(0,Pressupostos!$C$108-D4784)</f>
        <v>0</v>
      </c>
      <c r="E4785" s="61" t="n">
        <f aca="false">MAX(0,Pressupostos!$C$108-E4784)</f>
        <v>0</v>
      </c>
      <c r="F4785" s="61" t="n">
        <f aca="false">MAX(0,Pressupostos!$C$108-F4784)</f>
        <v>0</v>
      </c>
      <c r="G4785" s="61" t="n">
        <f aca="false">MAX(0,Pressupostos!$C$108-G4784)</f>
        <v>0</v>
      </c>
      <c r="H4785" s="2" t="s">
        <v>1411</v>
      </c>
    </row>
    <row r="4786" customFormat="false" ht="15" hidden="false" customHeight="false" outlineLevel="1" collapsed="false">
      <c r="A4786" s="7" t="s">
        <v>755</v>
      </c>
      <c r="B4786" s="8" t="s">
        <v>11</v>
      </c>
      <c r="C4786" s="61" t="n">
        <f aca="false">Pressupostos!$C$109*C4781</f>
        <v>0</v>
      </c>
      <c r="D4786" s="61" t="n">
        <f aca="false">Pressupostos!$C$109*D4781</f>
        <v>14676.7143621575</v>
      </c>
      <c r="E4786" s="61" t="n">
        <f aca="false">Pressupostos!$C$109*E4781</f>
        <v>25294.3690068493</v>
      </c>
      <c r="F4786" s="61" t="n">
        <f aca="false">Pressupostos!$C$109*F4781</f>
        <v>42871.8345462329</v>
      </c>
      <c r="G4786" s="61" t="n">
        <f aca="false">Pressupostos!$C$109*G4781</f>
        <v>65318.488869863</v>
      </c>
      <c r="H4786" s="2" t="s">
        <v>1412</v>
      </c>
    </row>
    <row r="4787" customFormat="false" ht="15" hidden="false" customHeight="false" outlineLevel="1" collapsed="false">
      <c r="A4787" s="2" t="s">
        <v>756</v>
      </c>
      <c r="B4787" s="8" t="s">
        <v>123</v>
      </c>
      <c r="C4787" s="61" t="n">
        <f aca="false">C4781/Pressupostos!$C$112</f>
        <v>0</v>
      </c>
      <c r="D4787" s="61" t="n">
        <f aca="false">D4781/Pressupostos!$C$112</f>
        <v>5.87068574486301</v>
      </c>
      <c r="E4787" s="61" t="n">
        <f aca="false">E4781/Pressupostos!$C$112</f>
        <v>10.1177476027397</v>
      </c>
      <c r="F4787" s="61" t="n">
        <f aca="false">F4781/Pressupostos!$C$112</f>
        <v>17.1487338184932</v>
      </c>
      <c r="G4787" s="61" t="n">
        <f aca="false">G4781/Pressupostos!$C$112</f>
        <v>26.1273955479452</v>
      </c>
      <c r="H4787" s="2" t="s">
        <v>1413</v>
      </c>
    </row>
    <row r="4788" customFormat="false" ht="15" hidden="false" customHeight="false" outlineLevel="0" collapsed="false">
      <c r="A4788" s="3" t="s">
        <v>1414</v>
      </c>
      <c r="B4788" s="4"/>
      <c r="C4788" s="4"/>
      <c r="D4788" s="4"/>
      <c r="E4788" s="4"/>
      <c r="F4788" s="4"/>
      <c r="G4788" s="4"/>
      <c r="H4788" s="4"/>
    </row>
    <row r="4789" customFormat="false" ht="15" hidden="false" customHeight="false" outlineLevel="1" collapsed="false">
      <c r="A4789" s="7" t="s">
        <v>758</v>
      </c>
      <c r="B4789" s="8" t="s">
        <v>11</v>
      </c>
      <c r="C4789" s="61" t="n">
        <f aca="false">C4755</f>
        <v>-587555.53635274</v>
      </c>
      <c r="D4789" s="61" t="n">
        <f aca="false">D4755</f>
        <v>-699386.032020548</v>
      </c>
      <c r="E4789" s="61" t="n">
        <f aca="false">E4755</f>
        <v>-738188.071262843</v>
      </c>
      <c r="F4789" s="61" t="n">
        <f aca="false">F4755</f>
        <v>-727930.41468465</v>
      </c>
      <c r="G4789" s="61" t="n">
        <f aca="false">G4755</f>
        <v>-628984.640916074</v>
      </c>
      <c r="H4789" s="2" t="s">
        <v>1415</v>
      </c>
    </row>
    <row r="4790" customFormat="false" ht="15" hidden="false" customHeight="false" outlineLevel="1" collapsed="false">
      <c r="A4790" s="7" t="s">
        <v>759</v>
      </c>
      <c r="B4790" s="8" t="s">
        <v>11</v>
      </c>
      <c r="C4790" s="61" t="n">
        <f aca="false">-C4770</f>
        <v>-0</v>
      </c>
      <c r="D4790" s="61" t="n">
        <f aca="false">-D4770</f>
        <v>-0</v>
      </c>
      <c r="E4790" s="61" t="n">
        <f aca="false">-E4770</f>
        <v>-0</v>
      </c>
      <c r="F4790" s="61" t="n">
        <f aca="false">-F4770</f>
        <v>-0</v>
      </c>
      <c r="G4790" s="61" t="n">
        <f aca="false">-G4770</f>
        <v>-0</v>
      </c>
      <c r="H4790" s="2" t="s">
        <v>1416</v>
      </c>
    </row>
    <row r="4791" customFormat="false" ht="15" hidden="false" customHeight="false" outlineLevel="1" collapsed="false">
      <c r="A4791" s="7" t="s">
        <v>760</v>
      </c>
      <c r="B4791" s="8" t="s">
        <v>11</v>
      </c>
      <c r="C4791" s="61" t="n">
        <f aca="false">-C4779</f>
        <v>-53165.9780821918</v>
      </c>
      <c r="D4791" s="61" t="n">
        <f aca="false">-(D4779-C4779)</f>
        <v>-259937.261643836</v>
      </c>
      <c r="E4791" s="61" t="n">
        <f aca="false">-(E4779-D4779)</f>
        <v>-226509.965753425</v>
      </c>
      <c r="F4791" s="61" t="n">
        <f aca="false">-(F4779-E4779)</f>
        <v>-374985.931506849</v>
      </c>
      <c r="G4791" s="61" t="n">
        <f aca="false">-(G4779-F4779)</f>
        <v>-478861.958904109</v>
      </c>
      <c r="H4791" s="2" t="s">
        <v>1417</v>
      </c>
    </row>
    <row r="4792" customFormat="false" ht="15" hidden="false" customHeight="false" outlineLevel="1" collapsed="false">
      <c r="A4792" s="7" t="s">
        <v>424</v>
      </c>
      <c r="B4792" s="8" t="s">
        <v>11</v>
      </c>
      <c r="C4792" s="61" t="n">
        <f aca="false">-C4739</f>
        <v>-89000</v>
      </c>
      <c r="D4792" s="61" t="n">
        <f aca="false">-D4739</f>
        <v>-46000</v>
      </c>
      <c r="E4792" s="61" t="n">
        <f aca="false">-E4739</f>
        <v>-44000</v>
      </c>
      <c r="F4792" s="61" t="n">
        <f aca="false">-F4739</f>
        <v>-37000</v>
      </c>
      <c r="G4792" s="61" t="n">
        <f aca="false">-G4739</f>
        <v>-34000</v>
      </c>
      <c r="H4792" s="2" t="s">
        <v>1418</v>
      </c>
    </row>
    <row r="4793" customFormat="false" ht="15" hidden="false" customHeight="false" outlineLevel="1" collapsed="false">
      <c r="A4793" s="7" t="s">
        <v>761</v>
      </c>
      <c r="B4793" s="8" t="s">
        <v>11</v>
      </c>
      <c r="C4793" s="61" t="n">
        <f aca="false">C4789+C4790+C4791+C4792</f>
        <v>-729721.514434932</v>
      </c>
      <c r="D4793" s="61" t="n">
        <f aca="false">D4789+D4790+D4791+D4792</f>
        <v>-1005323.29366438</v>
      </c>
      <c r="E4793" s="61" t="n">
        <f aca="false">E4789+E4790+E4791+E4792</f>
        <v>-1008698.03701627</v>
      </c>
      <c r="F4793" s="61" t="n">
        <f aca="false">F4789+F4790+F4791+F4792</f>
        <v>-1139916.3461915</v>
      </c>
      <c r="G4793" s="61" t="n">
        <f aca="false">G4789+G4790+G4791+G4792</f>
        <v>-1141846.59982018</v>
      </c>
      <c r="H4793" s="2" t="s">
        <v>1419</v>
      </c>
    </row>
    <row r="4794" customFormat="false" ht="15" hidden="false" customHeight="false" outlineLevel="1" collapsed="false">
      <c r="A4794" s="7" t="s">
        <v>762</v>
      </c>
      <c r="B4794" s="8" t="s">
        <v>11</v>
      </c>
      <c r="C4794" s="61" t="n">
        <f aca="false">C4781</f>
        <v>0</v>
      </c>
      <c r="D4794" s="61" t="n">
        <f aca="false">D4781-C4781</f>
        <v>293534.287243151</v>
      </c>
      <c r="E4794" s="61" t="n">
        <f aca="false">E4781-D4781</f>
        <v>212353.092893836</v>
      </c>
      <c r="F4794" s="61" t="n">
        <f aca="false">F4781-E4781</f>
        <v>351549.310787671</v>
      </c>
      <c r="G4794" s="61" t="n">
        <f aca="false">G4781-F4781</f>
        <v>448933.086472603</v>
      </c>
      <c r="H4794" s="2" t="s">
        <v>1420</v>
      </c>
    </row>
    <row r="4795" customFormat="false" ht="15" hidden="false" customHeight="false" outlineLevel="1" collapsed="false">
      <c r="A4795" s="7" t="s">
        <v>763</v>
      </c>
      <c r="B4795" s="8" t="s">
        <v>11</v>
      </c>
      <c r="C4795" s="61" t="n">
        <f aca="false">-C4783</f>
        <v>-0</v>
      </c>
      <c r="D4795" s="61" t="n">
        <f aca="false">-(D4783-C4783)</f>
        <v>-58706.8574486301</v>
      </c>
      <c r="E4795" s="61" t="n">
        <f aca="false">-(E4783-D4783)</f>
        <v>-42470.6185787671</v>
      </c>
      <c r="F4795" s="61" t="n">
        <f aca="false">-(F4783-E4783)</f>
        <v>-70309.8621575342</v>
      </c>
      <c r="G4795" s="61" t="n">
        <f aca="false">-(G4783-F4783)</f>
        <v>-89786.6172945206</v>
      </c>
      <c r="H4795" s="2" t="s">
        <v>1421</v>
      </c>
    </row>
    <row r="4796" customFormat="false" ht="15" hidden="false" customHeight="false" outlineLevel="1" collapsed="false">
      <c r="A4796" s="7" t="s">
        <v>764</v>
      </c>
      <c r="B4796" s="8" t="s">
        <v>11</v>
      </c>
      <c r="C4796" s="61" t="n">
        <f aca="false">-C4786</f>
        <v>-0</v>
      </c>
      <c r="D4796" s="61" t="n">
        <f aca="false">-(D4786-C4786)</f>
        <v>-14676.7143621575</v>
      </c>
      <c r="E4796" s="61" t="n">
        <f aca="false">-(E4786-D4786)</f>
        <v>-10617.6546446918</v>
      </c>
      <c r="F4796" s="61" t="n">
        <f aca="false">-(F4786-E4786)</f>
        <v>-17577.4655393836</v>
      </c>
      <c r="G4796" s="61" t="n">
        <f aca="false">-(G4786-F4786)</f>
        <v>-22446.6543236301</v>
      </c>
      <c r="H4796" s="2" t="s">
        <v>1422</v>
      </c>
    </row>
    <row r="4797" customFormat="false" ht="15" hidden="false" customHeight="false" outlineLevel="1" collapsed="false">
      <c r="A4797" s="7" t="s">
        <v>765</v>
      </c>
      <c r="B4797" s="8" t="s">
        <v>11</v>
      </c>
      <c r="C4797" s="61" t="n">
        <f aca="false">-(C4785-Pressupostos!$C$108)</f>
        <v>50000</v>
      </c>
      <c r="D4797" s="61" t="n">
        <f aca="false">-(D4785-C4785)</f>
        <v>-0</v>
      </c>
      <c r="E4797" s="61" t="n">
        <f aca="false">-(E4785-D4785)</f>
        <v>-0</v>
      </c>
      <c r="F4797" s="61" t="n">
        <f aca="false">-(F4785-E4785)</f>
        <v>-0</v>
      </c>
      <c r="G4797" s="61" t="n">
        <f aca="false">-(G4785-F4785)</f>
        <v>-0</v>
      </c>
      <c r="H4797" s="2" t="s">
        <v>1423</v>
      </c>
    </row>
    <row r="4798" customFormat="false" ht="15" hidden="false" customHeight="false" outlineLevel="1" collapsed="false">
      <c r="A4798" s="56" t="s">
        <v>766</v>
      </c>
      <c r="B4798" s="57" t="s">
        <v>11</v>
      </c>
      <c r="C4798" s="62" t="n">
        <f aca="false">C4793+C4794+C4795+C4796+C4797</f>
        <v>-679721.514434932</v>
      </c>
      <c r="D4798" s="62" t="n">
        <f aca="false">D4793+D4794+D4795+D4796+D4797</f>
        <v>-785172.578232021</v>
      </c>
      <c r="E4798" s="62" t="n">
        <f aca="false">E4793+E4794+E4795+E4796+E4797</f>
        <v>-849433.217345891</v>
      </c>
      <c r="F4798" s="62" t="n">
        <f aca="false">F4793+F4794+F4795+F4796+F4797</f>
        <v>-876254.363100746</v>
      </c>
      <c r="G4798" s="62" t="n">
        <f aca="false">G4793+G4794+G4795+G4796+G4797</f>
        <v>-805146.784965731</v>
      </c>
      <c r="H4798" s="2" t="s">
        <v>1424</v>
      </c>
    </row>
    <row r="4799" customFormat="false" ht="15" hidden="false" customHeight="false" outlineLevel="1" collapsed="false">
      <c r="A4799" s="56" t="s">
        <v>767</v>
      </c>
      <c r="B4799" s="57" t="s">
        <v>11</v>
      </c>
      <c r="C4799" s="62" t="n">
        <f aca="false">C4798</f>
        <v>-679721.514434932</v>
      </c>
      <c r="D4799" s="62" t="n">
        <f aca="false">C4799+D4798</f>
        <v>-1464894.09266695</v>
      </c>
      <c r="E4799" s="62" t="n">
        <f aca="false">D4799+E4798</f>
        <v>-2314327.31001284</v>
      </c>
      <c r="F4799" s="62" t="n">
        <f aca="false">E4799+F4798</f>
        <v>-3190581.67311359</v>
      </c>
      <c r="G4799" s="62" t="n">
        <f aca="false">F4799+G4798</f>
        <v>-3995728.45807932</v>
      </c>
      <c r="H4799" s="2" t="s">
        <v>1425</v>
      </c>
    </row>
    <row r="4800" customFormat="false" ht="15" hidden="false" customHeight="false" outlineLevel="1" collapsed="false">
      <c r="A4800" s="8" t="s">
        <v>768</v>
      </c>
      <c r="B4800" s="8" t="s">
        <v>11</v>
      </c>
      <c r="C4800" s="70" t="n">
        <f aca="false">ROUND(C4755-C4739-C4770-(MAX(C4784,Pressupostos!$C$108)-Pressupostos!$C$108)-(C4786)-C4798,6)</f>
        <v>0</v>
      </c>
      <c r="D4800" s="70" t="n">
        <f aca="false">ROUND(D4755-D4739-D4770-(MAX(D4784,Pressupostos!$C$108)-MAX(C4784,Pressupostos!$C$108))-(D4786-C4786)-D4798,6)</f>
        <v>0</v>
      </c>
      <c r="E4800" s="70" t="n">
        <f aca="false">ROUND(E4755-E4739-E4770-(MAX(E4784,Pressupostos!$C$108)-MAX(D4784,Pressupostos!$C$108))-(E4786-D4786)-E4798,6)</f>
        <v>0</v>
      </c>
      <c r="F4800" s="70" t="n">
        <f aca="false">ROUND(F4755-F4739-F4770-(MAX(F4784,Pressupostos!$C$108)-MAX(E4784,Pressupostos!$C$108))-(F4786-E4786)-F4798,6)</f>
        <v>0</v>
      </c>
      <c r="G4800" s="70" t="n">
        <f aca="false">ROUND(G4755-G4739-G4770-(MAX(G4784,Pressupostos!$C$108)-MAX(F4784,Pressupostos!$C$108))-(G4786-F4786)-G4798,6)</f>
        <v>0</v>
      </c>
      <c r="H4800" s="2" t="s">
        <v>1426</v>
      </c>
    </row>
    <row r="4801" customFormat="false" ht="15" hidden="false" customHeight="false" outlineLevel="0" collapsed="false">
      <c r="A4801" s="3" t="s">
        <v>1427</v>
      </c>
      <c r="B4801" s="4"/>
      <c r="C4801" s="4"/>
      <c r="D4801" s="4"/>
      <c r="E4801" s="4"/>
      <c r="F4801" s="4"/>
      <c r="G4801" s="4"/>
      <c r="H4801" s="4"/>
    </row>
    <row r="4802" customFormat="false" ht="15" hidden="false" customHeight="false" outlineLevel="1" collapsed="false">
      <c r="A4802" s="7" t="s">
        <v>770</v>
      </c>
      <c r="B4802" s="8" t="s">
        <v>11</v>
      </c>
      <c r="C4802" s="61" t="n">
        <f aca="false">0</f>
        <v>0</v>
      </c>
      <c r="D4802" s="61" t="n">
        <f aca="false">C4807</f>
        <v>275278.485565069</v>
      </c>
      <c r="E4802" s="61" t="n">
        <f aca="false">D4807</f>
        <v>150000</v>
      </c>
      <c r="F4802" s="61" t="n">
        <f aca="false">E4807</f>
        <v>150000</v>
      </c>
      <c r="G4802" s="61" t="n">
        <f aca="false">F4807</f>
        <v>150000</v>
      </c>
      <c r="H4802" s="2" t="s">
        <v>1428</v>
      </c>
    </row>
    <row r="4803" customFormat="false" ht="15" hidden="false" customHeight="false" outlineLevel="1" collapsed="false">
      <c r="A4803" s="7" t="s">
        <v>771</v>
      </c>
      <c r="B4803" s="8" t="s">
        <v>11</v>
      </c>
      <c r="C4803" s="61" t="n">
        <f aca="false">-(Pressupostos!$C$159+Pressupostos!$C$160+Pressupostos!$C$161+Pressupostos!$C$162+Pressupostos!$C$163+Pressupostos!$C$108)</f>
        <v>-145000</v>
      </c>
      <c r="D4803" s="61" t="n">
        <f aca="false">0</f>
        <v>0</v>
      </c>
      <c r="E4803" s="61" t="n">
        <f aca="false">0</f>
        <v>0</v>
      </c>
      <c r="F4803" s="61" t="n">
        <f aca="false">0</f>
        <v>0</v>
      </c>
      <c r="G4803" s="61" t="n">
        <f aca="false">0</f>
        <v>0</v>
      </c>
      <c r="H4803" s="2" t="s">
        <v>1429</v>
      </c>
    </row>
    <row r="4804" customFormat="false" ht="15" hidden="false" customHeight="false" outlineLevel="1" collapsed="false">
      <c r="A4804" s="7" t="s">
        <v>772</v>
      </c>
      <c r="B4804" s="8" t="s">
        <v>11</v>
      </c>
      <c r="C4804" s="53" t="n">
        <f aca="false">Pressupostos!$F$32</f>
        <v>1100000</v>
      </c>
      <c r="D4804" s="61" t="n">
        <f aca="false">0</f>
        <v>0</v>
      </c>
      <c r="E4804" s="61" t="n">
        <f aca="false">0</f>
        <v>0</v>
      </c>
      <c r="F4804" s="61" t="n">
        <f aca="false">0</f>
        <v>0</v>
      </c>
      <c r="G4804" s="61" t="n">
        <f aca="false">0</f>
        <v>0</v>
      </c>
      <c r="H4804" s="2" t="s">
        <v>1430</v>
      </c>
    </row>
    <row r="4805" customFormat="false" ht="15" hidden="false" customHeight="false" outlineLevel="1" collapsed="false">
      <c r="A4805" s="7" t="s">
        <v>773</v>
      </c>
      <c r="B4805" s="8" t="s">
        <v>11</v>
      </c>
      <c r="C4805" s="61" t="n">
        <f aca="false">C4802+C4803+C4804+C4798</f>
        <v>275278.485565069</v>
      </c>
      <c r="D4805" s="61" t="n">
        <f aca="false">D4802+D4803+D4804+D4798</f>
        <v>-509894.092666952</v>
      </c>
      <c r="E4805" s="61" t="n">
        <f aca="false">E4802+E4803+E4804+E4798</f>
        <v>-699433.217345891</v>
      </c>
      <c r="F4805" s="61" t="n">
        <f aca="false">F4802+F4803+F4804+F4798</f>
        <v>-726254.363100746</v>
      </c>
      <c r="G4805" s="61" t="n">
        <f aca="false">G4802+G4803+G4804+G4798</f>
        <v>-655146.784965731</v>
      </c>
      <c r="H4805" s="2" t="s">
        <v>1431</v>
      </c>
    </row>
    <row r="4806" customFormat="false" ht="15" hidden="false" customHeight="false" outlineLevel="1" collapsed="false">
      <c r="A4806" s="56" t="s">
        <v>774</v>
      </c>
      <c r="B4806" s="57" t="s">
        <v>11</v>
      </c>
      <c r="C4806" s="62" t="n">
        <f aca="false">MAX(0,Pressupostos!$C$170-C4805)</f>
        <v>0</v>
      </c>
      <c r="D4806" s="62" t="n">
        <f aca="false">MAX(0,Pressupostos!$C$170-D4805)</f>
        <v>659894.092666952</v>
      </c>
      <c r="E4806" s="62" t="n">
        <f aca="false">MAX(0,Pressupostos!$C$170-E4805)</f>
        <v>849433.217345891</v>
      </c>
      <c r="F4806" s="62" t="n">
        <f aca="false">MAX(0,Pressupostos!$C$170-F4805)</f>
        <v>876254.363100746</v>
      </c>
      <c r="G4806" s="62" t="n">
        <f aca="false">MAX(0,Pressupostos!$C$170-G4805)</f>
        <v>805146.784965731</v>
      </c>
      <c r="H4806" s="2" t="s">
        <v>1432</v>
      </c>
    </row>
    <row r="4807" customFormat="false" ht="15" hidden="false" customHeight="false" outlineLevel="1" collapsed="false">
      <c r="A4807" s="56" t="s">
        <v>775</v>
      </c>
      <c r="B4807" s="57" t="s">
        <v>11</v>
      </c>
      <c r="C4807" s="62" t="n">
        <f aca="false">C4805+C4806</f>
        <v>275278.485565069</v>
      </c>
      <c r="D4807" s="62" t="n">
        <f aca="false">D4805+D4806</f>
        <v>150000</v>
      </c>
      <c r="E4807" s="62" t="n">
        <f aca="false">E4805+E4806</f>
        <v>150000</v>
      </c>
      <c r="F4807" s="62" t="n">
        <f aca="false">F4805+F4806</f>
        <v>150000</v>
      </c>
      <c r="G4807" s="62" t="n">
        <f aca="false">G4805+G4806</f>
        <v>150000</v>
      </c>
      <c r="H4807" s="2" t="s">
        <v>1433</v>
      </c>
    </row>
    <row r="4808" customFormat="false" ht="15" hidden="false" customHeight="false" outlineLevel="1" collapsed="false">
      <c r="A4808" s="7" t="s">
        <v>776</v>
      </c>
      <c r="B4808" s="8" t="s">
        <v>11</v>
      </c>
      <c r="C4808" s="61" t="n">
        <f aca="false">C4783+C4786+C4785</f>
        <v>0</v>
      </c>
      <c r="D4808" s="61" t="n">
        <f aca="false">D4783+D4786+D4785</f>
        <v>73383.5718107877</v>
      </c>
      <c r="E4808" s="61" t="n">
        <f aca="false">E4783+E4786+E4785</f>
        <v>126471.845034247</v>
      </c>
      <c r="F4808" s="61" t="n">
        <f aca="false">F4783+F4786+F4785</f>
        <v>214359.172731164</v>
      </c>
      <c r="G4808" s="61" t="n">
        <f aca="false">G4783+G4786+G4785</f>
        <v>326592.444349315</v>
      </c>
      <c r="H4808" s="2" t="s">
        <v>1434</v>
      </c>
    </row>
    <row r="4809" customFormat="false" ht="15" hidden="false" customHeight="false" outlineLevel="1" collapsed="false">
      <c r="A4809" s="7" t="s">
        <v>777</v>
      </c>
      <c r="B4809" s="8" t="s">
        <v>11</v>
      </c>
      <c r="C4809" s="61" t="n">
        <f aca="false">C4807+C4808</f>
        <v>275278.485565069</v>
      </c>
      <c r="D4809" s="61" t="n">
        <f aca="false">D4807+D4808</f>
        <v>223383.571810788</v>
      </c>
      <c r="E4809" s="61" t="n">
        <f aca="false">E4807+E4808</f>
        <v>276471.845034247</v>
      </c>
      <c r="F4809" s="61" t="n">
        <f aca="false">F4807+F4808</f>
        <v>364359.172731164</v>
      </c>
      <c r="G4809" s="61" t="n">
        <f aca="false">G4807+G4808</f>
        <v>476592.444349315</v>
      </c>
      <c r="H4809" s="2" t="s">
        <v>1435</v>
      </c>
    </row>
    <row r="4810" customFormat="false" ht="15" hidden="false" customHeight="false" outlineLevel="1" collapsed="false">
      <c r="A4810" s="7" t="s">
        <v>778</v>
      </c>
      <c r="B4810" s="8" t="s">
        <v>11</v>
      </c>
      <c r="C4810" s="61" t="n">
        <f aca="false">C4804+C4806</f>
        <v>1100000</v>
      </c>
      <c r="D4810" s="61" t="n">
        <f aca="false">C4810+D4804+D4806</f>
        <v>1759894.09266695</v>
      </c>
      <c r="E4810" s="61" t="n">
        <f aca="false">D4810+E4804+E4806</f>
        <v>2609327.31001284</v>
      </c>
      <c r="F4810" s="61" t="n">
        <f aca="false">E4810+F4804+F4806</f>
        <v>3485581.67311359</v>
      </c>
      <c r="G4810" s="61" t="n">
        <f aca="false">F4810+G4804+G4806</f>
        <v>4290728.45807932</v>
      </c>
      <c r="H4810" s="2" t="s">
        <v>1436</v>
      </c>
    </row>
    <row r="4811" customFormat="false" ht="15" hidden="false" customHeight="false" outlineLevel="0" collapsed="false">
      <c r="A4811" s="3" t="s">
        <v>1437</v>
      </c>
      <c r="B4811" s="4"/>
      <c r="C4811" s="4"/>
      <c r="D4811" s="4"/>
      <c r="E4811" s="4"/>
      <c r="F4811" s="4"/>
      <c r="G4811" s="4"/>
      <c r="H4811" s="4"/>
    </row>
    <row r="4812" customFormat="false" ht="15" hidden="false" customHeight="false" outlineLevel="1" collapsed="false">
      <c r="A4812" s="7" t="s">
        <v>782</v>
      </c>
      <c r="B4812" s="8" t="s">
        <v>11</v>
      </c>
      <c r="C4812" s="72" t="n">
        <f aca="false">Pressupostos!$C$159+Pressupostos!$C$160+Pressupostos!$C$161+Pressupostos!$C$162+Pressupostos!$C$163</f>
        <v>95000</v>
      </c>
      <c r="H4812" s="2" t="s">
        <v>1438</v>
      </c>
    </row>
    <row r="4813" customFormat="false" ht="15" hidden="false" customHeight="false" outlineLevel="1" collapsed="false">
      <c r="A4813" s="7" t="s">
        <v>783</v>
      </c>
      <c r="B4813" s="8" t="s">
        <v>11</v>
      </c>
      <c r="C4813" s="73" t="n">
        <f aca="false">Pressupostos!$C$108</f>
        <v>50000</v>
      </c>
      <c r="H4813" s="2" t="s">
        <v>1439</v>
      </c>
    </row>
    <row r="4814" customFormat="false" ht="15" hidden="false" customHeight="false" outlineLevel="1" collapsed="false">
      <c r="A4814" s="7" t="s">
        <v>322</v>
      </c>
      <c r="B4814" s="8" t="s">
        <v>11</v>
      </c>
      <c r="C4814" s="73" t="n">
        <f aca="false">Pressupostos!$C$170</f>
        <v>150000</v>
      </c>
      <c r="H4814" s="2" t="s">
        <v>1440</v>
      </c>
    </row>
    <row r="4815" customFormat="false" ht="15" hidden="false" customHeight="false" outlineLevel="1" collapsed="false">
      <c r="A4815" s="7" t="s">
        <v>784</v>
      </c>
      <c r="B4815" s="8" t="s">
        <v>11</v>
      </c>
      <c r="C4815" s="72" t="n">
        <f aca="false">MAX(0,-MIN($C$4799:$G$4799))</f>
        <v>3995728.45807932</v>
      </c>
      <c r="H4815" s="2" t="s">
        <v>1441</v>
      </c>
    </row>
    <row r="4816" customFormat="false" ht="15" hidden="false" customHeight="false" outlineLevel="1" collapsed="false">
      <c r="A4816" s="56" t="s">
        <v>785</v>
      </c>
      <c r="B4816" s="57" t="s">
        <v>11</v>
      </c>
      <c r="C4816" s="74" t="n">
        <f aca="false">C4812+C4813+C4814+C4815</f>
        <v>4290728.45807932</v>
      </c>
      <c r="H4816" s="2" t="s">
        <v>1442</v>
      </c>
    </row>
    <row r="4817" customFormat="false" ht="15" hidden="false" customHeight="false" outlineLevel="1" collapsed="false">
      <c r="A4817" s="7" t="s">
        <v>786</v>
      </c>
      <c r="B4817" s="8" t="s">
        <v>20</v>
      </c>
      <c r="C4817" s="75" t="n">
        <f aca="false">INDEX($C$4544:$G$4544,1,MATCH(MIN($C$4799:$G$4799),$C$4799:$G$4799,0))</f>
        <v>2031</v>
      </c>
      <c r="H4817" s="2" t="s">
        <v>1443</v>
      </c>
    </row>
    <row r="4818" customFormat="false" ht="15" hidden="false" customHeight="false" outlineLevel="1" collapsed="false">
      <c r="A4818" s="7" t="s">
        <v>787</v>
      </c>
      <c r="B4818" s="8"/>
      <c r="C4818" s="76" t="str">
        <f aca="false">IF(G4798&lt;0,"sim","não")</f>
        <v>sim</v>
      </c>
      <c r="H4818" s="2" t="s">
        <v>1444</v>
      </c>
    </row>
    <row r="4819" customFormat="false" ht="15" hidden="false" customHeight="false" outlineLevel="1" collapsed="false">
      <c r="A4819" s="7" t="s">
        <v>788</v>
      </c>
      <c r="B4819" s="8" t="s">
        <v>11</v>
      </c>
      <c r="C4819" s="72" t="n">
        <f aca="false">G4810</f>
        <v>4290728.45807932</v>
      </c>
      <c r="H4819" s="2" t="s">
        <v>1445</v>
      </c>
    </row>
    <row r="4820" customFormat="false" ht="15" hidden="false" customHeight="false" outlineLevel="0" collapsed="false">
      <c r="A4820" s="3" t="s">
        <v>1446</v>
      </c>
      <c r="B4820" s="4"/>
      <c r="C4820" s="4"/>
      <c r="D4820" s="4"/>
      <c r="E4820" s="4"/>
      <c r="F4820" s="4"/>
      <c r="G4820" s="4"/>
      <c r="H4820" s="4"/>
    </row>
    <row r="4821" customFormat="false" ht="15" hidden="false" customHeight="false" outlineLevel="1" collapsed="false">
      <c r="A4821" s="7" t="s">
        <v>790</v>
      </c>
      <c r="B4821" s="8" t="s">
        <v>11</v>
      </c>
      <c r="C4821" s="72" t="n">
        <f aca="false">C4812+C4813</f>
        <v>145000</v>
      </c>
      <c r="H4821" s="2" t="s">
        <v>1447</v>
      </c>
    </row>
    <row r="4822" customFormat="false" ht="15" hidden="false" customHeight="false" outlineLevel="1" collapsed="false">
      <c r="A4822" s="7" t="s">
        <v>791</v>
      </c>
      <c r="B4822" s="8" t="s">
        <v>11</v>
      </c>
      <c r="C4822" s="72" t="n">
        <f aca="false">-SUMPRODUCT(($C$4544:$G$4544&lt;=C4817)*$C$4755:$G$4755)</f>
        <v>3382044.69523685</v>
      </c>
      <c r="H4822" s="2" t="s">
        <v>1448</v>
      </c>
    </row>
    <row r="4823" customFormat="false" ht="15" hidden="false" customHeight="false" outlineLevel="1" collapsed="false">
      <c r="A4823" s="7" t="s">
        <v>424</v>
      </c>
      <c r="B4823" s="8" t="s">
        <v>11</v>
      </c>
      <c r="C4823" s="72" t="n">
        <f aca="false">SUMPRODUCT(($C$4544:$G$4544&lt;=C4817)*$C$4739:$G$4739)</f>
        <v>250000</v>
      </c>
      <c r="H4823" s="2" t="s">
        <v>1449</v>
      </c>
    </row>
    <row r="4824" customFormat="false" ht="15" hidden="false" customHeight="false" outlineLevel="1" collapsed="false">
      <c r="A4824" s="7" t="s">
        <v>792</v>
      </c>
      <c r="B4824" s="8" t="s">
        <v>11</v>
      </c>
      <c r="C4824" s="72" t="n">
        <f aca="false">SUMPRODUCT(($C$4544:$G$4544&lt;=C4817)*$C$4770:$G$4770)</f>
        <v>0</v>
      </c>
      <c r="H4824" s="2" t="s">
        <v>1450</v>
      </c>
    </row>
    <row r="4825" customFormat="false" ht="15" hidden="false" customHeight="false" outlineLevel="1" collapsed="false">
      <c r="A4825" s="7" t="s">
        <v>793</v>
      </c>
      <c r="B4825" s="8" t="s">
        <v>11</v>
      </c>
      <c r="C4825" s="72" t="n">
        <f aca="false">C4815-C4822-C4823-C4824</f>
        <v>363683.762842466</v>
      </c>
      <c r="H4825" s="2" t="s">
        <v>1451</v>
      </c>
    </row>
    <row r="4826" customFormat="false" ht="15" hidden="false" customHeight="false" outlineLevel="1" collapsed="false">
      <c r="A4826" s="7" t="s">
        <v>322</v>
      </c>
      <c r="B4826" s="8" t="s">
        <v>11</v>
      </c>
      <c r="C4826" s="72" t="n">
        <f aca="false">C4814</f>
        <v>150000</v>
      </c>
      <c r="H4826" s="2" t="s">
        <v>1452</v>
      </c>
    </row>
    <row r="4827" customFormat="false" ht="15" hidden="false" customHeight="false" outlineLevel="1" collapsed="false">
      <c r="A4827" s="56" t="s">
        <v>794</v>
      </c>
      <c r="B4827" s="57" t="s">
        <v>11</v>
      </c>
      <c r="C4827" s="74" t="n">
        <f aca="false">C4821+C4822+C4823+C4824+C4825+C4826</f>
        <v>4290728.45807932</v>
      </c>
      <c r="H4827" s="2" t="s">
        <v>1453</v>
      </c>
    </row>
    <row r="4828" customFormat="false" ht="15" hidden="false" customHeight="false" outlineLevel="0" collapsed="false">
      <c r="A4828" s="3" t="s">
        <v>1454</v>
      </c>
      <c r="B4828" s="4"/>
      <c r="C4828" s="4"/>
      <c r="D4828" s="4"/>
      <c r="E4828" s="4"/>
      <c r="F4828" s="4"/>
      <c r="G4828" s="4"/>
      <c r="H4828" s="4"/>
    </row>
    <row r="4829" customFormat="false" ht="15" hidden="false" customHeight="false" outlineLevel="1" collapsed="false">
      <c r="A4829" s="7" t="s">
        <v>772</v>
      </c>
      <c r="B4829" s="8" t="s">
        <v>11</v>
      </c>
      <c r="C4829" s="73" t="n">
        <f aca="false">Pressupostos!$F$32</f>
        <v>1100000</v>
      </c>
      <c r="H4829" s="2" t="s">
        <v>1455</v>
      </c>
    </row>
    <row r="4830" customFormat="false" ht="15" hidden="false" customHeight="false" outlineLevel="1" collapsed="false">
      <c r="A4830" s="7" t="s">
        <v>796</v>
      </c>
      <c r="B4830" s="8" t="s">
        <v>11</v>
      </c>
      <c r="C4830" s="72" t="n">
        <f aca="false">C4812+Pressupostos!$C$108+Pressupostos!$C$130/12*((C4714-C4702-C4703+(C4702+C4703)/Pressupostos!$C$128*Pressupostos!$C$129)*(1+Pressupostos!$C$124+Pressupostos!$C$125)+C4700*Pressupostos!$C$126+C4733)+C4739+MAX(0,Pressupostos!$C$183*1000*(C4565+C4568)+Pressupostos!$C$184*1000*(C4588+C4591)-Pressupostos!$C$108)</f>
        <v>652596.666666667</v>
      </c>
      <c r="H4830" s="2" t="s">
        <v>1456</v>
      </c>
    </row>
    <row r="4831" customFormat="false" ht="15" hidden="false" customHeight="false" outlineLevel="1" collapsed="false">
      <c r="A4831" s="7" t="s">
        <v>798</v>
      </c>
      <c r="B4831" s="8" t="s">
        <v>11</v>
      </c>
      <c r="C4831" s="72" t="n">
        <f aca="false">C4812+Pressupostos!$C$108-C4798</f>
        <v>824721.514434932</v>
      </c>
      <c r="H4831" s="2" t="s">
        <v>1457</v>
      </c>
    </row>
    <row r="4832" customFormat="false" ht="15" hidden="false" customHeight="false" outlineLevel="1" collapsed="false">
      <c r="A4832" s="7" t="s">
        <v>799</v>
      </c>
      <c r="B4832" s="8" t="s">
        <v>11</v>
      </c>
      <c r="C4832" s="61" t="n">
        <f aca="false">Pressupostos!$F$32-C4812-Pressupostos!$C$108+C4799</f>
        <v>275278.485565069</v>
      </c>
      <c r="D4832" s="61" t="n">
        <f aca="false">Pressupostos!$F$32-C4812-Pressupostos!$C$108+D4799</f>
        <v>-509894.092666952</v>
      </c>
      <c r="E4832" s="61" t="n">
        <f aca="false">Pressupostos!$F$32-C4812-Pressupostos!$C$108+E4799</f>
        <v>-1359327.31001284</v>
      </c>
      <c r="F4832" s="61" t="n">
        <f aca="false">Pressupostos!$F$32-C4812-Pressupostos!$C$108+F4799</f>
        <v>-2235581.67311359</v>
      </c>
      <c r="G4832" s="61" t="n">
        <f aca="false">Pressupostos!$F$32-C4812-Pressupostos!$C$108+G4799</f>
        <v>-3040728.45807932</v>
      </c>
      <c r="H4832" s="2" t="s">
        <v>1458</v>
      </c>
    </row>
    <row r="4833" customFormat="false" ht="15" hidden="false" customHeight="false" outlineLevel="1" collapsed="false">
      <c r="A4833" s="7" t="s">
        <v>800</v>
      </c>
      <c r="B4833" s="8" t="s">
        <v>18</v>
      </c>
      <c r="C4833" s="77" t="str">
        <f aca="false">IF(AND(Pressupostos!$F$32-C4812-Pressupostos!$C$108&gt;0,C4832&lt;=0),12*(Pressupostos!$F$32-C4812-Pressupostos!$C$108)/(Pressupostos!$F$32-C4812-Pressupostos!$C$108-C4832),"")</f>
        <v/>
      </c>
      <c r="D4833" s="77" t="n">
        <f aca="false">IF(AND(C4832&gt;0,D4832&lt;=0),12+12*C4832/(C4832-D4832),"")</f>
        <v>16.2071538389929</v>
      </c>
      <c r="E4833" s="77" t="str">
        <f aca="false">IF(AND(D4832&gt;0,E4832&lt;=0),24+12*D4832/(D4832-E4832),"")</f>
        <v/>
      </c>
      <c r="F4833" s="77" t="str">
        <f aca="false">IF(AND(E4832&gt;0,F4832&lt;=0),36+12*E4832/(E4832-F4832),"")</f>
        <v/>
      </c>
      <c r="G4833" s="77" t="str">
        <f aca="false">IF(AND(F4832&gt;0,G4832&lt;=0),48+12*F4832/(F4832-G4832),"")</f>
        <v/>
      </c>
      <c r="H4833" s="2" t="s">
        <v>1459</v>
      </c>
    </row>
    <row r="4834" customFormat="false" ht="15" hidden="false" customHeight="false" outlineLevel="1" collapsed="false">
      <c r="A4834" s="56" t="s">
        <v>801</v>
      </c>
      <c r="B4834" s="57" t="s">
        <v>274</v>
      </c>
      <c r="C4834" s="78" t="n">
        <f aca="false">IF(COUNT($C$4833:$G$4833)=0,"&gt; 60",MIN($C$4833:$G$4833))</f>
        <v>16.2071538389929</v>
      </c>
      <c r="H4834" s="2" t="s">
        <v>1460</v>
      </c>
    </row>
    <row r="4835" customFormat="false" ht="15" hidden="false" customHeight="false" outlineLevel="0" collapsed="false">
      <c r="A4835" s="3" t="s">
        <v>1461</v>
      </c>
      <c r="B4835" s="4"/>
      <c r="C4835" s="4"/>
      <c r="D4835" s="4"/>
      <c r="E4835" s="4"/>
      <c r="F4835" s="4"/>
      <c r="G4835" s="4"/>
      <c r="H4835" s="4"/>
    </row>
    <row r="4836" customFormat="false" ht="15" hidden="false" customHeight="false" outlineLevel="1" collapsed="false">
      <c r="A4836" s="7" t="s">
        <v>803</v>
      </c>
      <c r="B4836" s="8" t="s">
        <v>18</v>
      </c>
      <c r="C4836" s="77" t="str">
        <f aca="false">IF(C4755&gt;=0,1,"")</f>
        <v/>
      </c>
      <c r="D4836" s="77" t="str">
        <f aca="false">IF(AND(C4755&lt;0,D4755&gt;=0),6.5+12*(-C4755)/(D4755-C4755),"")</f>
        <v/>
      </c>
      <c r="E4836" s="77" t="str">
        <f aca="false">IF(AND(D4755&lt;0,E4755&gt;=0),18.5+12*(-D4755)/(E4755-D4755),"")</f>
        <v/>
      </c>
      <c r="F4836" s="77" t="str">
        <f aca="false">IF(AND(E4755&lt;0,F4755&gt;=0),30.5+12*(-E4755)/(F4755-E4755),"")</f>
        <v/>
      </c>
      <c r="G4836" s="77" t="str">
        <f aca="false">IF(AND(F4755&lt;0,G4755&gt;=0),42.5+12*(-F4755)/(G4755-F4755),"")</f>
        <v/>
      </c>
      <c r="H4836" s="2" t="s">
        <v>1462</v>
      </c>
    </row>
    <row r="4837" customFormat="false" ht="15" hidden="false" customHeight="false" outlineLevel="1" collapsed="false">
      <c r="A4837" s="7" t="s">
        <v>804</v>
      </c>
      <c r="B4837" s="8" t="s">
        <v>18</v>
      </c>
      <c r="C4837" s="79" t="str">
        <f aca="false">IF(COUNT($C$4836:$G$4836)=0,"não atinge até 2031",ROUNDUP(MIN($C$4836:$G$4836),0))</f>
        <v>não atinge até 2031</v>
      </c>
      <c r="H4837" s="2" t="s">
        <v>1463</v>
      </c>
    </row>
    <row r="4838" customFormat="false" ht="15" hidden="false" customHeight="false" outlineLevel="1" collapsed="false">
      <c r="A4838" s="56" t="s">
        <v>805</v>
      </c>
      <c r="B4838" s="57" t="s">
        <v>806</v>
      </c>
      <c r="C4838" s="80" t="str">
        <f aca="false">IF(ISNUMBER(C4837),DATE(2027,C4837,1),"não atinge até 2031")</f>
        <v>não atinge até 2031</v>
      </c>
      <c r="H4838" s="2" t="s">
        <v>1464</v>
      </c>
    </row>
    <row r="4839" customFormat="false" ht="15" hidden="false" customHeight="false" outlineLevel="1" collapsed="false">
      <c r="A4839" s="7" t="s">
        <v>807</v>
      </c>
      <c r="B4839" s="8" t="s">
        <v>20</v>
      </c>
      <c r="C4839" s="81" t="str">
        <f aca="false">IF(C4755&gt;=0,C4544,"")</f>
        <v/>
      </c>
      <c r="D4839" s="81" t="str">
        <f aca="false">IF(D4755&gt;=0,D4544,"")</f>
        <v/>
      </c>
      <c r="E4839" s="81" t="str">
        <f aca="false">IF(E4755&gt;=0,E4544,"")</f>
        <v/>
      </c>
      <c r="F4839" s="81" t="str">
        <f aca="false">IF(F4755&gt;=0,F4544,"")</f>
        <v/>
      </c>
      <c r="G4839" s="81" t="str">
        <f aca="false">IF(G4755&gt;=0,G4544,"")</f>
        <v/>
      </c>
      <c r="H4839" s="2" t="s">
        <v>1465</v>
      </c>
    </row>
    <row r="4840" customFormat="false" ht="15" hidden="false" customHeight="false" outlineLevel="1" collapsed="false">
      <c r="A4840" s="7" t="s">
        <v>808</v>
      </c>
      <c r="B4840" s="8" t="s">
        <v>20</v>
      </c>
      <c r="C4840" s="75" t="str">
        <f aca="false">IF(COUNT($C$4839:$G$4839)=0,"não atinge até 2031",MIN($C$4839:$G$4839))</f>
        <v>não atinge até 2031</v>
      </c>
      <c r="H4840" s="2" t="s">
        <v>1466</v>
      </c>
    </row>
    <row r="4841" customFormat="false" ht="15" hidden="false" customHeight="false" outlineLevel="1" collapsed="false">
      <c r="A4841" s="7" t="s">
        <v>809</v>
      </c>
      <c r="B4841" s="8" t="s">
        <v>20</v>
      </c>
      <c r="C4841" s="81" t="str">
        <f aca="false">IF(C4773&gt;=0,C4544,"")</f>
        <v/>
      </c>
      <c r="D4841" s="81" t="str">
        <f aca="false">IF(D4773&gt;=0,D4544,"")</f>
        <v/>
      </c>
      <c r="E4841" s="81" t="str">
        <f aca="false">IF(E4773&gt;=0,E4544,"")</f>
        <v/>
      </c>
      <c r="F4841" s="81" t="str">
        <f aca="false">IF(F4773&gt;=0,F4544,"")</f>
        <v/>
      </c>
      <c r="G4841" s="81" t="str">
        <f aca="false">IF(G4773&gt;=0,G4544,"")</f>
        <v/>
      </c>
      <c r="H4841" s="2" t="s">
        <v>1467</v>
      </c>
    </row>
    <row r="4842" customFormat="false" ht="15" hidden="false" customHeight="false" outlineLevel="1" collapsed="false">
      <c r="A4842" s="7" t="s">
        <v>810</v>
      </c>
      <c r="B4842" s="8" t="s">
        <v>20</v>
      </c>
      <c r="C4842" s="75" t="str">
        <f aca="false">IF(COUNT($C$4841:$G$4841)=0,"não atinge até 2031",MIN($C$4841:$G$4841))</f>
        <v>não atinge até 2031</v>
      </c>
      <c r="H4842" s="2" t="s">
        <v>1468</v>
      </c>
    </row>
    <row r="4843" customFormat="false" ht="15" hidden="false" customHeight="false" outlineLevel="1" collapsed="false">
      <c r="A4843" s="7" t="s">
        <v>811</v>
      </c>
      <c r="B4843" s="8" t="s">
        <v>20</v>
      </c>
      <c r="C4843" s="81" t="str">
        <f aca="false">IF(C4798&gt;=0,C4544,"")</f>
        <v/>
      </c>
      <c r="D4843" s="81" t="str">
        <f aca="false">IF(D4798&gt;=0,D4544,"")</f>
        <v/>
      </c>
      <c r="E4843" s="81" t="str">
        <f aca="false">IF(E4798&gt;=0,E4544,"")</f>
        <v/>
      </c>
      <c r="F4843" s="81" t="str">
        <f aca="false">IF(F4798&gt;=0,F4544,"")</f>
        <v/>
      </c>
      <c r="G4843" s="81" t="str">
        <f aca="false">IF(G4798&gt;=0,G4544,"")</f>
        <v/>
      </c>
      <c r="H4843" s="2" t="s">
        <v>1469</v>
      </c>
    </row>
    <row r="4844" customFormat="false" ht="15" hidden="false" customHeight="false" outlineLevel="1" collapsed="false">
      <c r="A4844" s="7" t="s">
        <v>19</v>
      </c>
      <c r="B4844" s="8" t="s">
        <v>20</v>
      </c>
      <c r="C4844" s="75" t="str">
        <f aca="false">IF(COUNT($C$4843:$G$4843)=0,"não atinge até 2031",MIN($C$4843:$G$4843))</f>
        <v>não atinge até 2031</v>
      </c>
      <c r="H4844" s="2" t="s">
        <v>1470</v>
      </c>
    </row>
    <row r="4845" customFormat="false" ht="15" hidden="false" customHeight="false" outlineLevel="0" collapsed="false">
      <c r="A4845" s="3" t="s">
        <v>1471</v>
      </c>
      <c r="B4845" s="4"/>
      <c r="C4845" s="4"/>
      <c r="D4845" s="4"/>
      <c r="E4845" s="4"/>
      <c r="F4845" s="4"/>
      <c r="G4845" s="4"/>
      <c r="H4845" s="4"/>
    </row>
    <row r="4846" customFormat="false" ht="15" hidden="false" customHeight="false" outlineLevel="1" collapsed="false">
      <c r="A4846" s="7" t="s">
        <v>813</v>
      </c>
      <c r="B4846" s="8" t="s">
        <v>11</v>
      </c>
      <c r="C4846" s="61" t="n">
        <f aca="false">C4781</f>
        <v>0</v>
      </c>
      <c r="D4846" s="61" t="n">
        <f aca="false">D4781</f>
        <v>293534.287243151</v>
      </c>
      <c r="E4846" s="61" t="n">
        <f aca="false">E4781</f>
        <v>505887.380136986</v>
      </c>
      <c r="F4846" s="61" t="n">
        <f aca="false">F4781</f>
        <v>857436.690924657</v>
      </c>
      <c r="G4846" s="61" t="n">
        <f aca="false">G4781</f>
        <v>1306369.77739726</v>
      </c>
      <c r="H4846" s="2" t="s">
        <v>1472</v>
      </c>
    </row>
    <row r="4847" customFormat="false" ht="15" hidden="false" customHeight="false" outlineLevel="1" collapsed="false">
      <c r="A4847" s="7" t="s">
        <v>509</v>
      </c>
      <c r="B4847" s="8" t="s">
        <v>76</v>
      </c>
      <c r="C4847" s="82" t="n">
        <f aca="false">Pressupostos!$C$290</f>
        <v>0.08</v>
      </c>
      <c r="D4847" s="82" t="n">
        <f aca="false">Pressupostos!$D$290</f>
        <v>0.08</v>
      </c>
      <c r="E4847" s="82" t="n">
        <f aca="false">Pressupostos!$E$290</f>
        <v>0.075</v>
      </c>
      <c r="F4847" s="82" t="n">
        <f aca="false">Pressupostos!$F$290</f>
        <v>0.07</v>
      </c>
      <c r="G4847" s="82" t="n">
        <f aca="false">Pressupostos!$G$290</f>
        <v>0.07</v>
      </c>
      <c r="H4847" s="2" t="s">
        <v>1473</v>
      </c>
    </row>
    <row r="4848" customFormat="false" ht="15" hidden="false" customHeight="false" outlineLevel="1" collapsed="false">
      <c r="A4848" s="7" t="s">
        <v>814</v>
      </c>
      <c r="B4848" s="8" t="s">
        <v>76</v>
      </c>
      <c r="C4848" s="60" t="n">
        <f aca="false">Pressupostos!$C$290*(1-Pressupostos!$C$111)</f>
        <v>0.0576</v>
      </c>
      <c r="D4848" s="60" t="n">
        <f aca="false">Pressupostos!$D$290*(1-Pressupostos!$C$111)</f>
        <v>0.0576</v>
      </c>
      <c r="E4848" s="60" t="n">
        <f aca="false">Pressupostos!$E$290*(1-Pressupostos!$C$111)</f>
        <v>0.054</v>
      </c>
      <c r="F4848" s="60" t="n">
        <f aca="false">Pressupostos!$F$290*(1-Pressupostos!$C$111)</f>
        <v>0.0504</v>
      </c>
      <c r="G4848" s="60" t="n">
        <f aca="false">Pressupostos!$G$290*(1-Pressupostos!$C$111)</f>
        <v>0.0504</v>
      </c>
      <c r="H4848" s="2" t="s">
        <v>1474</v>
      </c>
    </row>
    <row r="4849" customFormat="false" ht="15" hidden="false" customHeight="false" outlineLevel="1" collapsed="false">
      <c r="A4849" s="7" t="s">
        <v>815</v>
      </c>
      <c r="B4849" s="8" t="s">
        <v>11</v>
      </c>
      <c r="C4849" s="61" t="n">
        <f aca="false">C4685</f>
        <v>0</v>
      </c>
      <c r="D4849" s="61" t="n">
        <f aca="false">D4685</f>
        <v>21524.1780821918</v>
      </c>
      <c r="E4849" s="61" t="n">
        <f aca="false">E4685</f>
        <v>34083.5991010274</v>
      </c>
      <c r="F4849" s="61" t="n">
        <f aca="false">F4685</f>
        <v>53929.0517979452</v>
      </c>
      <c r="G4849" s="61" t="n">
        <f aca="false">G4685</f>
        <v>82260.0385273973</v>
      </c>
      <c r="H4849" s="2" t="s">
        <v>1475</v>
      </c>
    </row>
    <row r="4850" customFormat="false" ht="15" hidden="false" customHeight="false" outlineLevel="1" collapsed="false">
      <c r="A4850" s="7" t="s">
        <v>816</v>
      </c>
      <c r="B4850" s="8" t="s">
        <v>76</v>
      </c>
      <c r="C4850" s="59" t="n">
        <f aca="false">IF(C4781&gt;0,(C4784+C4786)/C4781,0)</f>
        <v>0</v>
      </c>
      <c r="D4850" s="59" t="n">
        <f aca="false">IF(D4781&gt;0,(D4784+D4786)/D4781,0)</f>
        <v>0.316666666666667</v>
      </c>
      <c r="E4850" s="59" t="n">
        <f aca="false">IF(E4781&gt;0,(E4784+E4786)/E4781,0)</f>
        <v>0.316666666666667</v>
      </c>
      <c r="F4850" s="59" t="n">
        <f aca="false">IF(F4781&gt;0,(F4784+F4786)/F4781,0)</f>
        <v>0.316666666666667</v>
      </c>
      <c r="G4850" s="59" t="n">
        <f aca="false">IF(G4781&gt;0,(G4784+G4786)/G4781,0)</f>
        <v>0.316666666666667</v>
      </c>
      <c r="H4850" s="2" t="s">
        <v>1476</v>
      </c>
    </row>
    <row r="4851" customFormat="false" ht="15" hidden="false" customHeight="false" outlineLevel="1" collapsed="false">
      <c r="A4851" s="7" t="s">
        <v>817</v>
      </c>
      <c r="B4851" s="8" t="s">
        <v>123</v>
      </c>
      <c r="C4851" s="61" t="n">
        <f aca="false">C4787</f>
        <v>0</v>
      </c>
      <c r="D4851" s="61" t="n">
        <f aca="false">D4787</f>
        <v>5.87068574486301</v>
      </c>
      <c r="E4851" s="61" t="n">
        <f aca="false">E4787</f>
        <v>10.1177476027397</v>
      </c>
      <c r="F4851" s="61" t="n">
        <f aca="false">F4787</f>
        <v>17.1487338184932</v>
      </c>
      <c r="G4851" s="61" t="n">
        <f aca="false">G4787</f>
        <v>26.1273955479452</v>
      </c>
      <c r="H4851" s="2" t="s">
        <v>1477</v>
      </c>
    </row>
    <row r="4852" customFormat="false" ht="15" hidden="false" customHeight="false" outlineLevel="1" collapsed="false">
      <c r="A4852" s="7" t="s">
        <v>818</v>
      </c>
      <c r="B4852" s="8" t="s">
        <v>11</v>
      </c>
      <c r="C4852" s="61" t="n">
        <f aca="false">C4685+C4731</f>
        <v>65000</v>
      </c>
      <c r="D4852" s="61" t="n">
        <f aca="false">D4685+D4731</f>
        <v>96524.1780821918</v>
      </c>
      <c r="E4852" s="61" t="n">
        <f aca="false">E4685+E4731</f>
        <v>114083.599101027</v>
      </c>
      <c r="F4852" s="61" t="n">
        <f aca="false">F4685+F4731</f>
        <v>138929.051797945</v>
      </c>
      <c r="G4852" s="61" t="n">
        <f aca="false">G4685+G4731</f>
        <v>172260.038527397</v>
      </c>
      <c r="H4852" s="2" t="s">
        <v>1478</v>
      </c>
    </row>
    <row r="4853" customFormat="false" ht="15" hidden="false" customHeight="false" outlineLevel="1" collapsed="false">
      <c r="A4853" s="7" t="s">
        <v>819</v>
      </c>
      <c r="B4853" s="8" t="s">
        <v>76</v>
      </c>
      <c r="C4853" s="59" t="str">
        <f aca="false">IF(C4781&gt;0,C4852/C4781,"")</f>
        <v/>
      </c>
      <c r="D4853" s="59" t="n">
        <f aca="false">IF(D4781&gt;0,D4852/D4781,"")</f>
        <v>0.328834423360687</v>
      </c>
      <c r="E4853" s="59" t="n">
        <f aca="false">IF(E4781&gt;0,E4852/E4781,"")</f>
        <v>0.225511850226695</v>
      </c>
      <c r="F4853" s="59" t="n">
        <f aca="false">IF(F4781&gt;0,F4852/F4781,"")</f>
        <v>0.162028349461142</v>
      </c>
      <c r="G4853" s="59" t="n">
        <f aca="false">IF(G4781&gt;0,G4852/G4781,"")</f>
        <v>0.131861622572591</v>
      </c>
      <c r="H4853" s="2" t="s">
        <v>1479</v>
      </c>
    </row>
    <row r="4854" customFormat="false" ht="15" hidden="false" customHeight="false" outlineLevel="0" collapsed="false">
      <c r="A4854" s="3" t="s">
        <v>1480</v>
      </c>
      <c r="B4854" s="4"/>
      <c r="C4854" s="4"/>
      <c r="D4854" s="4"/>
      <c r="E4854" s="4"/>
      <c r="F4854" s="4"/>
      <c r="G4854" s="4"/>
      <c r="H4854" s="4"/>
    </row>
    <row r="4855" customFormat="false" ht="15" hidden="false" customHeight="false" outlineLevel="1" collapsed="false">
      <c r="A4855" s="7" t="s">
        <v>821</v>
      </c>
      <c r="B4855" s="8" t="s">
        <v>11</v>
      </c>
      <c r="C4855" s="61" t="n">
        <f aca="false">MAX(0,-C4755)</f>
        <v>587555.53635274</v>
      </c>
      <c r="D4855" s="61" t="n">
        <f aca="false">MAX(0,-D4755)</f>
        <v>699386.032020548</v>
      </c>
      <c r="E4855" s="61" t="n">
        <f aca="false">MAX(0,-E4755)</f>
        <v>738188.071262843</v>
      </c>
      <c r="F4855" s="61" t="n">
        <f aca="false">MAX(0,-F4755)</f>
        <v>727930.41468465</v>
      </c>
      <c r="G4855" s="61" t="n">
        <f aca="false">MAX(0,-G4755)</f>
        <v>628984.640916074</v>
      </c>
      <c r="H4855" s="2" t="s">
        <v>1481</v>
      </c>
    </row>
    <row r="4856" customFormat="false" ht="15" hidden="false" customHeight="false" outlineLevel="1" collapsed="false">
      <c r="A4856" s="2" t="s">
        <v>822</v>
      </c>
      <c r="B4856" s="8"/>
      <c r="C4856" s="61" t="n">
        <f aca="false">IF(AND(C4544&gt;=Pressupostos!$C$120,Pressupostos!$C$118*(C4638+C4639)+Pressupostos!$C$119*C4640&gt;Pressupostos!$C$302),1,0)</f>
        <v>0</v>
      </c>
      <c r="D4856" s="61" t="n">
        <f aca="false">IF(AND(D4544&gt;=Pressupostos!$C$120,Pressupostos!$C$118*(D4638+D4639)+Pressupostos!$C$119*D4640&gt;Pressupostos!$D$302),1,0)</f>
        <v>1</v>
      </c>
      <c r="E4856" s="61" t="n">
        <f aca="false">IF(AND(E4544&gt;=Pressupostos!$C$120,Pressupostos!$C$118*(E4638+E4639)+Pressupostos!$C$119*E4640&gt;Pressupostos!$E$302),1,0)</f>
        <v>1</v>
      </c>
      <c r="F4856" s="61" t="n">
        <f aca="false">IF(AND(F4544&gt;=Pressupostos!$C$120,Pressupostos!$C$118*(F4638+F4639)+Pressupostos!$C$119*F4640&gt;Pressupostos!$F$302),1,0)</f>
        <v>1</v>
      </c>
      <c r="G4856" s="61" t="n">
        <f aca="false">IF(AND(G4544&gt;=Pressupostos!$C$120,Pressupostos!$C$118*(G4638+G4639)+Pressupostos!$C$119*G4640&gt;Pressupostos!$G$302),1,0)</f>
        <v>1</v>
      </c>
      <c r="H4856" s="2" t="s">
        <v>1482</v>
      </c>
    </row>
    <row r="4857" customFormat="false" ht="15" hidden="false" customHeight="false" outlineLevel="1" collapsed="false">
      <c r="A4857" s="7" t="s">
        <v>823</v>
      </c>
      <c r="B4857" s="8" t="s">
        <v>64</v>
      </c>
      <c r="C4857" s="63" t="n">
        <f aca="false">IF(C4548&gt;0,C4855/(C4548*1000*(1-Pressupostos!$F$22)*(1-Pressupostos!$F$25-C4856*Pressupostos!$C$118)),"n/a")</f>
        <v>11.3331443629492</v>
      </c>
      <c r="D4857" s="63" t="n">
        <f aca="false">IF(D4548&gt;0,D4855/(D4548*1000*(1-Pressupostos!$F$22)*(1-Pressupostos!$F$25-D4856*Pressupostos!$C$118)),"n/a")</f>
        <v>1.94026513978163</v>
      </c>
      <c r="E4857" s="63" t="n">
        <f aca="false">IF(E4548&gt;0,E4855/(E4548*1000*(1-Pressupostos!$F$22)*(1-Pressupostos!$F$25-E4856*Pressupostos!$C$118)),"n/a")</f>
        <v>1.03680866661167</v>
      </c>
      <c r="F4857" s="63" t="n">
        <f aca="false">IF(F4548&gt;0,F4855/(F4548*1000*(1-Pressupostos!$F$22)*(1-Pressupostos!$F$25-F4856*Pressupostos!$C$118)),"n/a")</f>
        <v>0.619663438392203</v>
      </c>
      <c r="G4857" s="63" t="n">
        <f aca="false">IF(G4548&gt;0,G4855/(G4548*1000*(1-Pressupostos!$F$22)*(1-Pressupostos!$F$25-G4856*Pressupostos!$C$118)),"n/a")</f>
        <v>0.353865123414783</v>
      </c>
      <c r="H4857" s="2" t="s">
        <v>1483</v>
      </c>
    </row>
    <row r="4858" customFormat="false" ht="15" hidden="false" customHeight="false" outlineLevel="1" collapsed="false">
      <c r="A4858" s="7" t="s">
        <v>824</v>
      </c>
      <c r="B4858" s="8" t="s">
        <v>64</v>
      </c>
      <c r="C4858" s="63" t="n">
        <f aca="false">IF(C4547&gt;0,Pressupostos!$F$15+C4855/(C4547*1000*(1-(Pressupostos!$C$192))*(1-Pressupostos!$F$18-C4856*Pressupostos!$C$118)),"n/a")</f>
        <v>88.3835748081156</v>
      </c>
      <c r="D4858" s="63" t="n">
        <f aca="false">IF(D4547&gt;0,Pressupostos!$F$15+D4855/(D4547*1000*(1-(Pressupostos!$C$192))*(1-Pressupostos!$F$18-D4856*Pressupostos!$C$118)),"n/a")</f>
        <v>32.256001389807</v>
      </c>
      <c r="E4858" s="63" t="n">
        <f aca="false">IF(E4547&gt;0,Pressupostos!$F$15+E4855/(E4547*1000*(1-(Pressupostos!$C$192))*(1-Pressupostos!$F$18-E4856*Pressupostos!$C$118)),"n/a")</f>
        <v>16.3922580686706</v>
      </c>
      <c r="F4858" s="63" t="n">
        <f aca="false">IF(F4547&gt;0,Pressupostos!$F$15+F4855/(F4547*1000*(1-(Pressupostos!$C$192))*(1-Pressupostos!$F$18-F4856*Pressupostos!$C$118)),"n/a")</f>
        <v>11.8559143626179</v>
      </c>
      <c r="G4858" s="63" t="n">
        <f aca="false">IF(G4547&gt;0,Pressupostos!$F$15+G4855/(G4547*1000*(1-(Pressupostos!$C$192))*(1-Pressupostos!$F$18-G4856*Pressupostos!$C$118)),"n/a")</f>
        <v>9.54195412475176</v>
      </c>
      <c r="H4858" s="2" t="s">
        <v>1484</v>
      </c>
    </row>
    <row r="4859" customFormat="false" ht="15" hidden="false" customHeight="false" outlineLevel="1" collapsed="false">
      <c r="A4859" s="7" t="s">
        <v>825</v>
      </c>
      <c r="B4859" s="8" t="s">
        <v>64</v>
      </c>
      <c r="C4859" s="63" t="n">
        <f aca="false">IF(Pressupostos!$F$33=1,C4630-C4856*Pressupostos!$C$119*C4613,C4636)</f>
        <v>0.00725</v>
      </c>
      <c r="D4859" s="63" t="n">
        <f aca="false">IF(Pressupostos!$F$33=1,D4630-D4856*Pressupostos!$C$119*D4613,D4636)</f>
        <v>0.00725</v>
      </c>
      <c r="E4859" s="63" t="n">
        <f aca="false">IF(Pressupostos!$F$33=1,E4630-E4856*Pressupostos!$C$119*E4613,E4636)</f>
        <v>0.00725</v>
      </c>
      <c r="F4859" s="63" t="n">
        <f aca="false">IF(Pressupostos!$F$33=1,F4630-F4856*Pressupostos!$C$119*F4613,F4636)</f>
        <v>0.00725</v>
      </c>
      <c r="G4859" s="63" t="n">
        <f aca="false">IF(Pressupostos!$F$33=1,G4630-G4856*Pressupostos!$C$119*G4613,G4636)</f>
        <v>0.00725</v>
      </c>
      <c r="H4859" s="2" t="s">
        <v>1485</v>
      </c>
    </row>
    <row r="4860" customFormat="false" ht="15" hidden="false" customHeight="false" outlineLevel="1" collapsed="false">
      <c r="A4860" s="7" t="s">
        <v>826</v>
      </c>
      <c r="B4860" s="8" t="s">
        <v>120</v>
      </c>
      <c r="C4860" s="55" t="n">
        <f aca="false">IF(C4859&gt;0,C4549+C4855/(C4859*1000),"n/a")</f>
        <v>81042.1429452055</v>
      </c>
      <c r="D4860" s="55" t="n">
        <f aca="false">IF(D4859&gt;0,D4549+D4855/(D4859*1000),"n/a")</f>
        <v>96967.038899386</v>
      </c>
      <c r="E4860" s="55" t="n">
        <f aca="false">IF(E4859&gt;0,E4549+E4855/(E4859*1000),"n/a")</f>
        <v>103319.044312116</v>
      </c>
      <c r="F4860" s="55" t="n">
        <f aca="false">IF(F4859&gt;0,F4549+F4855/(F4859*1000),"n/a")</f>
        <v>102904.195128917</v>
      </c>
      <c r="G4860" s="55" t="n">
        <f aca="false">IF(G4859&gt;0,G4549+G4855/(G4859*1000),"n/a")</f>
        <v>90256.5021953206</v>
      </c>
      <c r="H4860" s="2" t="s">
        <v>1486</v>
      </c>
    </row>
    <row r="4861" customFormat="false" ht="15" hidden="false" customHeight="false" outlineLevel="1" collapsed="false">
      <c r="A4861" s="7" t="s">
        <v>827</v>
      </c>
      <c r="B4861" s="8" t="s">
        <v>76</v>
      </c>
      <c r="C4861" s="59" t="n">
        <f aca="false">C4855/(C4717+C4730+C4731)</f>
        <v>0.976536166327015</v>
      </c>
      <c r="D4861" s="59" t="n">
        <f aca="false">D4855/(D4717+D4730+D4731)</f>
        <v>0.907988929584823</v>
      </c>
      <c r="E4861" s="59" t="n">
        <f aca="false">E4855/(E4717+E4730+E4731)</f>
        <v>0.800717445544049</v>
      </c>
      <c r="F4861" s="59" t="n">
        <f aca="false">F4855/(F4717+F4730+F4731)</f>
        <v>0.679218677439289</v>
      </c>
      <c r="G4861" s="59" t="n">
        <f aca="false">G4855/(G4717+G4730+G4731)</f>
        <v>0.534807197970845</v>
      </c>
      <c r="H4861" s="2" t="s">
        <v>1487</v>
      </c>
    </row>
    <row r="4862" customFormat="false" ht="15" hidden="false" customHeight="false" outlineLevel="1" collapsed="false">
      <c r="A4862" s="2" t="s">
        <v>828</v>
      </c>
      <c r="B4862" s="8" t="s">
        <v>76</v>
      </c>
      <c r="C4862" s="60" t="n">
        <f aca="false">Pressupostos!$C$101*Pressupostos!$C$102+Pressupostos!$C$103-Pressupostos!$F$30*Pressupostos!$C$104*Pressupostos!$C$102/(Pressupostos!$C$105*Pressupostos!$C$106)</f>
        <v>0.02</v>
      </c>
      <c r="D4862" s="60" t="n">
        <f aca="false">Pressupostos!$C$101*Pressupostos!$C$102+Pressupostos!$C$103-Pressupostos!$F$30*Pressupostos!$C$104*Pressupostos!$C$102/(Pressupostos!$C$105*Pressupostos!$C$106)</f>
        <v>0.02</v>
      </c>
      <c r="E4862" s="60" t="n">
        <f aca="false">Pressupostos!$C$101*Pressupostos!$C$102+Pressupostos!$C$103-Pressupostos!$F$30*Pressupostos!$C$104*Pressupostos!$C$102/(Pressupostos!$C$105*Pressupostos!$C$106)</f>
        <v>0.02</v>
      </c>
      <c r="F4862" s="60" t="n">
        <f aca="false">Pressupostos!$C$101*Pressupostos!$C$102+Pressupostos!$C$103-Pressupostos!$F$30*Pressupostos!$C$104*Pressupostos!$C$102/(Pressupostos!$C$105*Pressupostos!$C$106)</f>
        <v>0.02</v>
      </c>
      <c r="G4862" s="60" t="n">
        <f aca="false">Pressupostos!$C$101*Pressupostos!$C$102+Pressupostos!$C$103-Pressupostos!$F$30*Pressupostos!$C$104*Pressupostos!$C$102/(Pressupostos!$C$105*Pressupostos!$C$106)</f>
        <v>0.02</v>
      </c>
      <c r="H4862" s="2" t="s">
        <v>1488</v>
      </c>
    </row>
    <row r="4863" customFormat="false" ht="15" hidden="false" customHeight="false" outlineLevel="1" collapsed="false">
      <c r="A4863" s="7" t="s">
        <v>829</v>
      </c>
      <c r="B4863" s="8" t="s">
        <v>11</v>
      </c>
      <c r="C4863" s="61" t="n">
        <f aca="false">IF(C4862&gt;0,C4562+C4855/C4862,"n/a")</f>
        <v>29377776.817637</v>
      </c>
      <c r="D4863" s="61" t="n">
        <f aca="false">IF(D4862&gt;0,D4562+D4855/D4862,"n/a")</f>
        <v>35469301.6010274</v>
      </c>
      <c r="E4863" s="61" t="n">
        <f aca="false">IF(E4862&gt;0,E4562+E4855/E4862,"n/a")</f>
        <v>38409403.5631422</v>
      </c>
      <c r="F4863" s="61" t="n">
        <f aca="false">IF(F4862&gt;0,F4562+F4855/F4862,"n/a")</f>
        <v>39396520.7342325</v>
      </c>
      <c r="G4863" s="61" t="n">
        <f aca="false">IF(G4862&gt;0,G4562+G4855/G4862,"n/a")</f>
        <v>36449232.0458037</v>
      </c>
      <c r="H4863" s="2" t="s">
        <v>1489</v>
      </c>
    </row>
    <row r="4866" customFormat="false" ht="15" hidden="false" customHeight="false" outlineLevel="0" collapsed="false">
      <c r="A4866" s="111" t="s">
        <v>1504</v>
      </c>
      <c r="B4866" s="112"/>
      <c r="C4866" s="112"/>
      <c r="D4866" s="112"/>
      <c r="E4866" s="112"/>
      <c r="F4866" s="112"/>
      <c r="G4866" s="112"/>
      <c r="H4866" s="112"/>
    </row>
    <row r="4867" customFormat="false" ht="15" hidden="false" customHeight="false" outlineLevel="0" collapsed="false">
      <c r="A4867" s="3" t="s">
        <v>1170</v>
      </c>
      <c r="B4867" s="4"/>
      <c r="C4867" s="4"/>
      <c r="D4867" s="4"/>
      <c r="E4867" s="4"/>
      <c r="F4867" s="4"/>
      <c r="G4867" s="4"/>
      <c r="H4867" s="4"/>
    </row>
    <row r="4868" customFormat="false" ht="15" hidden="false" customHeight="false" outlineLevel="1" collapsed="false">
      <c r="A4868" s="7" t="s">
        <v>588</v>
      </c>
      <c r="B4868" s="8"/>
      <c r="C4868" s="52" t="n">
        <v>2027</v>
      </c>
      <c r="D4868" s="52" t="n">
        <v>2028</v>
      </c>
      <c r="E4868" s="52" t="n">
        <v>2029</v>
      </c>
      <c r="F4868" s="52" t="n">
        <v>2030</v>
      </c>
      <c r="G4868" s="52" t="n">
        <v>2031</v>
      </c>
      <c r="H4868" s="2" t="s">
        <v>20</v>
      </c>
    </row>
    <row r="4869" customFormat="false" ht="15" hidden="false" customHeight="false" outlineLevel="0" collapsed="false">
      <c r="A4869" s="3" t="s">
        <v>1171</v>
      </c>
      <c r="B4869" s="4"/>
      <c r="C4869" s="4"/>
      <c r="D4869" s="4"/>
      <c r="E4869" s="4"/>
      <c r="F4869" s="4"/>
      <c r="G4869" s="4"/>
      <c r="H4869" s="4"/>
    </row>
    <row r="4870" customFormat="false" ht="15" hidden="false" customHeight="false" outlineLevel="1" collapsed="false">
      <c r="A4870" s="7" t="s">
        <v>387</v>
      </c>
      <c r="B4870" s="8" t="s">
        <v>123</v>
      </c>
      <c r="C4870" s="53" t="n">
        <f aca="false">Pressupostos!$C$215</f>
        <v>40</v>
      </c>
      <c r="D4870" s="53" t="n">
        <f aca="false">Pressupostos!$D$215</f>
        <v>150</v>
      </c>
      <c r="E4870" s="53" t="n">
        <f aca="false">Pressupostos!$E$215</f>
        <v>400</v>
      </c>
      <c r="F4870" s="53" t="n">
        <f aca="false">Pressupostos!$F$215</f>
        <v>700</v>
      </c>
      <c r="G4870" s="53" t="n">
        <f aca="false">Pressupostos!$G$215</f>
        <v>1000</v>
      </c>
      <c r="H4870" s="2" t="s">
        <v>1172</v>
      </c>
    </row>
    <row r="4871" customFormat="false" ht="15" hidden="false" customHeight="false" outlineLevel="1" collapsed="false">
      <c r="A4871" s="7" t="s">
        <v>590</v>
      </c>
      <c r="B4871" s="8" t="s">
        <v>120</v>
      </c>
      <c r="C4871" s="54" t="n">
        <f aca="false">Pressupostos!$C$221</f>
        <v>8.2</v>
      </c>
      <c r="D4871" s="54" t="n">
        <f aca="false">Pressupostos!$D$221</f>
        <v>30.75</v>
      </c>
      <c r="E4871" s="54" t="n">
        <f aca="false">Pressupostos!$E$221</f>
        <v>82</v>
      </c>
      <c r="F4871" s="54" t="n">
        <f aca="false">Pressupostos!$F$221</f>
        <v>143.5</v>
      </c>
      <c r="G4871" s="54" t="n">
        <f aca="false">Pressupostos!$G$221</f>
        <v>205</v>
      </c>
      <c r="H4871" s="2" t="s">
        <v>1173</v>
      </c>
    </row>
    <row r="4872" customFormat="false" ht="15" hidden="false" customHeight="false" outlineLevel="1" collapsed="false">
      <c r="A4872" s="7" t="s">
        <v>591</v>
      </c>
      <c r="B4872" s="8" t="s">
        <v>120</v>
      </c>
      <c r="C4872" s="54" t="n">
        <f aca="false">Pressupostos!$C$227</f>
        <v>52</v>
      </c>
      <c r="D4872" s="54" t="n">
        <f aca="false">Pressupostos!$D$227</f>
        <v>363</v>
      </c>
      <c r="E4872" s="54" t="n">
        <f aca="false">Pressupostos!$E$227</f>
        <v>717</v>
      </c>
      <c r="F4872" s="54" t="n">
        <f aca="false">Pressupostos!$F$227</f>
        <v>1183</v>
      </c>
      <c r="G4872" s="54" t="n">
        <f aca="false">Pressupostos!$G$227</f>
        <v>1790</v>
      </c>
      <c r="H4872" s="2" t="s">
        <v>1174</v>
      </c>
    </row>
    <row r="4873" customFormat="false" ht="15" hidden="false" customHeight="false" outlineLevel="1" collapsed="false">
      <c r="A4873" s="7" t="s">
        <v>398</v>
      </c>
      <c r="B4873" s="8" t="s">
        <v>120</v>
      </c>
      <c r="C4873" s="54" t="n">
        <f aca="false">Pressupostos!$C$233</f>
        <v>0</v>
      </c>
      <c r="D4873" s="54" t="n">
        <f aca="false">Pressupostos!$D$233</f>
        <v>500</v>
      </c>
      <c r="E4873" s="54" t="n">
        <f aca="false">Pressupostos!$E$233</f>
        <v>1500</v>
      </c>
      <c r="F4873" s="54" t="n">
        <f aca="false">Pressupostos!$F$233</f>
        <v>2500</v>
      </c>
      <c r="G4873" s="54" t="n">
        <f aca="false">Pressupostos!$G$233</f>
        <v>3500</v>
      </c>
      <c r="H4873" s="2" t="s">
        <v>1175</v>
      </c>
    </row>
    <row r="4874" customFormat="false" ht="15" hidden="false" customHeight="false" outlineLevel="1" collapsed="false">
      <c r="A4874" s="7" t="s">
        <v>592</v>
      </c>
      <c r="B4874" s="8" t="s">
        <v>120</v>
      </c>
      <c r="C4874" s="55" t="n">
        <f aca="false">C4873*Pressupostos!$F$33</f>
        <v>0</v>
      </c>
      <c r="D4874" s="55" t="n">
        <f aca="false">D4873*Pressupostos!$F$33</f>
        <v>0</v>
      </c>
      <c r="E4874" s="55" t="n">
        <f aca="false">E4873*Pressupostos!$F$33</f>
        <v>0</v>
      </c>
      <c r="F4874" s="55" t="n">
        <f aca="false">F4873*Pressupostos!$F$33</f>
        <v>0</v>
      </c>
      <c r="G4874" s="55" t="n">
        <f aca="false">G4873*Pressupostos!$F$33</f>
        <v>0</v>
      </c>
      <c r="H4874" s="2" t="s">
        <v>1176</v>
      </c>
    </row>
    <row r="4875" customFormat="false" ht="15" hidden="false" customHeight="false" outlineLevel="1" collapsed="false">
      <c r="A4875" s="7" t="s">
        <v>593</v>
      </c>
      <c r="B4875" s="8" t="s">
        <v>120</v>
      </c>
      <c r="C4875" s="55" t="n">
        <f aca="false">C4873-C4874</f>
        <v>0</v>
      </c>
      <c r="D4875" s="55" t="n">
        <f aca="false">D4873-D4874</f>
        <v>500</v>
      </c>
      <c r="E4875" s="55" t="n">
        <f aca="false">E4873-E4874</f>
        <v>1500</v>
      </c>
      <c r="F4875" s="55" t="n">
        <f aca="false">F4873-F4874</f>
        <v>2500</v>
      </c>
      <c r="G4875" s="55" t="n">
        <f aca="false">G4873-G4874</f>
        <v>3500</v>
      </c>
      <c r="H4875" s="2" t="s">
        <v>1177</v>
      </c>
    </row>
    <row r="4876" customFormat="false" ht="15" hidden="false" customHeight="false" outlineLevel="1" collapsed="false">
      <c r="A4876" s="56" t="s">
        <v>594</v>
      </c>
      <c r="B4876" s="57" t="s">
        <v>120</v>
      </c>
      <c r="C4876" s="58" t="n">
        <f aca="false">C4871+C4872+C4873</f>
        <v>60.2</v>
      </c>
      <c r="D4876" s="58" t="n">
        <f aca="false">D4871+D4872+D4873</f>
        <v>893.75</v>
      </c>
      <c r="E4876" s="58" t="n">
        <f aca="false">E4871+E4872+E4873</f>
        <v>2299</v>
      </c>
      <c r="F4876" s="58" t="n">
        <f aca="false">F4871+F4872+F4873</f>
        <v>3826.5</v>
      </c>
      <c r="G4876" s="58" t="n">
        <f aca="false">G4871+G4872+G4873</f>
        <v>5495</v>
      </c>
      <c r="H4876" s="2" t="s">
        <v>1178</v>
      </c>
    </row>
    <row r="4877" customFormat="false" ht="15" hidden="false" customHeight="false" outlineLevel="1" collapsed="false">
      <c r="A4877" s="7" t="s">
        <v>595</v>
      </c>
      <c r="B4877" s="8" t="s">
        <v>76</v>
      </c>
      <c r="C4877" s="59" t="n">
        <f aca="false">IF(C4876&gt;0,C4871/C4876,0)</f>
        <v>0.136212624584718</v>
      </c>
      <c r="D4877" s="59" t="n">
        <f aca="false">IF(D4876&gt;0,D4871/D4876,0)</f>
        <v>0.0344055944055944</v>
      </c>
      <c r="E4877" s="59" t="n">
        <f aca="false">IF(E4876&gt;0,E4871/E4876,0)</f>
        <v>0.035667681600696</v>
      </c>
      <c r="F4877" s="59" t="n">
        <f aca="false">IF(F4876&gt;0,F4871/F4876,0)</f>
        <v>0.0375016333464001</v>
      </c>
      <c r="G4877" s="59" t="n">
        <f aca="false">IF(G4876&gt;0,G4871/G4876,0)</f>
        <v>0.0373066424021838</v>
      </c>
      <c r="H4877" s="2" t="s">
        <v>1179</v>
      </c>
    </row>
    <row r="4878" customFormat="false" ht="15" hidden="false" customHeight="false" outlineLevel="1" collapsed="false">
      <c r="A4878" s="7" t="s">
        <v>596</v>
      </c>
      <c r="B4878" s="8" t="s">
        <v>76</v>
      </c>
      <c r="C4878" s="60" t="n">
        <f aca="false">C4876/(Pressupostos!$C$76*1000)</f>
        <v>0.000355162241887906</v>
      </c>
      <c r="D4878" s="60" t="n">
        <f aca="false">D4876/(Pressupostos!$C$76*1000)</f>
        <v>0.00527286135693215</v>
      </c>
      <c r="E4878" s="60" t="n">
        <f aca="false">E4876/(Pressupostos!$C$76*1000)</f>
        <v>0.0135634218289086</v>
      </c>
      <c r="F4878" s="60" t="n">
        <f aca="false">F4876/(Pressupostos!$C$76*1000)</f>
        <v>0.0225752212389381</v>
      </c>
      <c r="G4878" s="60" t="n">
        <f aca="false">G4876/(Pressupostos!$C$76*1000)</f>
        <v>0.0324188790560472</v>
      </c>
      <c r="H4878" s="2" t="s">
        <v>1180</v>
      </c>
    </row>
    <row r="4879" customFormat="false" ht="15" hidden="false" customHeight="false" outlineLevel="1" collapsed="false">
      <c r="A4879" s="7" t="s">
        <v>597</v>
      </c>
      <c r="B4879" s="8" t="s">
        <v>123</v>
      </c>
      <c r="C4879" s="55" t="n">
        <f aca="false">C4871/Pressupostos!$C$40+C4872/Pressupostos!$C$47+C4873/Pressupostos!$C$59</f>
        <v>2.14333333333333</v>
      </c>
      <c r="D4879" s="55" t="n">
        <f aca="false">D4871/Pressupostos!$C$40+D4872/Pressupostos!$C$47+D4873/Pressupostos!$C$59</f>
        <v>18.6375</v>
      </c>
      <c r="E4879" s="55" t="n">
        <f aca="false">E4871/Pressupostos!$C$40+E4872/Pressupostos!$C$47+E4873/Pressupostos!$C$59</f>
        <v>43</v>
      </c>
      <c r="F4879" s="55" t="n">
        <f aca="false">F4871/Pressupostos!$C$40+F4872/Pressupostos!$C$47+F4873/Pressupostos!$C$59</f>
        <v>71.6083333333333</v>
      </c>
      <c r="G4879" s="55" t="n">
        <f aca="false">G4871/Pressupostos!$C$40+G4872/Pressupostos!$C$47+G4873/Pressupostos!$C$59</f>
        <v>104.916666666667</v>
      </c>
      <c r="H4879" s="2" t="s">
        <v>1181</v>
      </c>
    </row>
    <row r="4880" customFormat="false" ht="15" hidden="false" customHeight="false" outlineLevel="0" collapsed="false">
      <c r="A4880" s="3" t="s">
        <v>1182</v>
      </c>
      <c r="B4880" s="4"/>
      <c r="C4880" s="4"/>
      <c r="D4880" s="4"/>
      <c r="E4880" s="4"/>
      <c r="F4880" s="4"/>
      <c r="G4880" s="4"/>
      <c r="H4880" s="4"/>
    </row>
    <row r="4881" customFormat="false" ht="15" hidden="false" customHeight="false" outlineLevel="1" collapsed="false">
      <c r="A4881" s="7" t="s">
        <v>599</v>
      </c>
      <c r="B4881" s="8" t="s">
        <v>202</v>
      </c>
      <c r="C4881" s="53" t="n">
        <f aca="false">Pressupostos!$C$259</f>
        <v>36</v>
      </c>
      <c r="D4881" s="53" t="n">
        <f aca="false">Pressupostos!$D$259</f>
        <v>135</v>
      </c>
      <c r="E4881" s="53" t="n">
        <f aca="false">Pressupostos!$E$259</f>
        <v>360</v>
      </c>
      <c r="F4881" s="53" t="n">
        <f aca="false">Pressupostos!$F$259</f>
        <v>630</v>
      </c>
      <c r="G4881" s="53" t="n">
        <f aca="false">Pressupostos!$G$259</f>
        <v>900</v>
      </c>
      <c r="H4881" s="2" t="s">
        <v>1183</v>
      </c>
    </row>
    <row r="4882" customFormat="false" ht="15" hidden="false" customHeight="false" outlineLevel="1" collapsed="false">
      <c r="A4882" s="7" t="s">
        <v>599</v>
      </c>
      <c r="B4882" s="8" t="s">
        <v>189</v>
      </c>
      <c r="C4882" s="61" t="n">
        <f aca="false">C4881*Pressupostos!$C$78</f>
        <v>27000</v>
      </c>
      <c r="D4882" s="61" t="n">
        <f aca="false">D4881*Pressupostos!$C$78</f>
        <v>101250</v>
      </c>
      <c r="E4882" s="61" t="n">
        <f aca="false">E4881*Pressupostos!$C$78</f>
        <v>270000</v>
      </c>
      <c r="F4882" s="61" t="n">
        <f aca="false">F4881*Pressupostos!$C$78</f>
        <v>472500</v>
      </c>
      <c r="G4882" s="61" t="n">
        <f aca="false">G4881*Pressupostos!$C$78</f>
        <v>675000</v>
      </c>
      <c r="H4882" s="2" t="s">
        <v>1184</v>
      </c>
    </row>
    <row r="4883" customFormat="false" ht="15" hidden="false" customHeight="false" outlineLevel="0" collapsed="false">
      <c r="A4883" s="3" t="s">
        <v>1185</v>
      </c>
      <c r="B4883" s="4"/>
      <c r="C4883" s="4"/>
      <c r="D4883" s="4"/>
      <c r="E4883" s="4"/>
      <c r="F4883" s="4"/>
      <c r="G4883" s="4"/>
      <c r="H4883" s="4"/>
    </row>
    <row r="4884" customFormat="false" ht="15" hidden="false" customHeight="false" outlineLevel="1" collapsed="false">
      <c r="A4884" s="7" t="s">
        <v>601</v>
      </c>
      <c r="B4884" s="8" t="s">
        <v>120</v>
      </c>
      <c r="C4884" s="55" t="n">
        <f aca="false">IF(C4868&lt;Pressupostos!$F$28,0,Pressupostos!$C$265)</f>
        <v>0</v>
      </c>
      <c r="D4884" s="55" t="n">
        <f aca="false">IF(D4868&lt;Pressupostos!$F$28,0,Pressupostos!$D$265)</f>
        <v>0</v>
      </c>
      <c r="E4884" s="55" t="n">
        <f aca="false">IF(E4868&lt;Pressupostos!$F$28,0,Pressupostos!$E$265)</f>
        <v>0</v>
      </c>
      <c r="F4884" s="55" t="n">
        <f aca="false">IF(F4868&lt;Pressupostos!$F$28,0,Pressupostos!$F$265)</f>
        <v>20</v>
      </c>
      <c r="G4884" s="55" t="n">
        <f aca="false">IF(G4868&lt;Pressupostos!$F$28,0,Pressupostos!$G$265)</f>
        <v>50</v>
      </c>
      <c r="H4884" s="2" t="s">
        <v>1186</v>
      </c>
    </row>
    <row r="4885" customFormat="false" ht="15" hidden="false" customHeight="false" outlineLevel="0" collapsed="false">
      <c r="A4885" s="3" t="s">
        <v>1187</v>
      </c>
      <c r="B4885" s="4"/>
      <c r="C4885" s="4"/>
      <c r="D4885" s="4"/>
      <c r="E4885" s="4"/>
      <c r="F4885" s="4"/>
      <c r="G4885" s="4"/>
      <c r="H4885" s="4"/>
    </row>
    <row r="4886" customFormat="false" ht="15" hidden="false" customHeight="false" outlineLevel="1" collapsed="false">
      <c r="A4886" s="7" t="s">
        <v>603</v>
      </c>
      <c r="B4886" s="8" t="s">
        <v>11</v>
      </c>
      <c r="C4886" s="53" t="n">
        <f aca="false">Pressupostos!$C$271</f>
        <v>0</v>
      </c>
      <c r="D4886" s="53" t="n">
        <f aca="false">Pressupostos!$D$271</f>
        <v>500000</v>
      </c>
      <c r="E4886" s="53" t="n">
        <f aca="false">Pressupostos!$E$271</f>
        <v>1500000</v>
      </c>
      <c r="F4886" s="53" t="n">
        <f aca="false">Pressupostos!$F$271</f>
        <v>3000000</v>
      </c>
      <c r="G4886" s="53" t="n">
        <f aca="false">Pressupostos!$G$271</f>
        <v>5000000</v>
      </c>
      <c r="H4886" s="2" t="s">
        <v>1188</v>
      </c>
    </row>
    <row r="4887" customFormat="false" ht="15" hidden="false" customHeight="false" outlineLevel="1" collapsed="false">
      <c r="A4887" s="7" t="s">
        <v>604</v>
      </c>
      <c r="B4887" s="8" t="s">
        <v>120</v>
      </c>
      <c r="C4887" s="55" t="n">
        <f aca="false">C4886/(Pressupostos!$C$105*Pressupostos!$C$106)*Pressupostos!$C$102/1000</f>
        <v>0</v>
      </c>
      <c r="D4887" s="55" t="n">
        <f aca="false">D4886/(Pressupostos!$C$105*Pressupostos!$C$106)*Pressupostos!$C$102/1000</f>
        <v>457.142857142857</v>
      </c>
      <c r="E4887" s="55" t="n">
        <f aca="false">E4886/(Pressupostos!$C$105*Pressupostos!$C$106)*Pressupostos!$C$102/1000</f>
        <v>1371.42857142857</v>
      </c>
      <c r="F4887" s="55" t="n">
        <f aca="false">F4886/(Pressupostos!$C$105*Pressupostos!$C$106)*Pressupostos!$C$102/1000</f>
        <v>2742.85714285714</v>
      </c>
      <c r="G4887" s="55" t="n">
        <f aca="false">G4886/(Pressupostos!$C$105*Pressupostos!$C$106)*Pressupostos!$C$102/1000</f>
        <v>4571.42857142857</v>
      </c>
      <c r="H4887" s="2" t="s">
        <v>1189</v>
      </c>
    </row>
    <row r="4888" customFormat="false" ht="15" hidden="false" customHeight="false" outlineLevel="0" collapsed="false">
      <c r="A4888" s="3" t="s">
        <v>1190</v>
      </c>
      <c r="B4888" s="4"/>
      <c r="C4888" s="4"/>
      <c r="D4888" s="4"/>
      <c r="E4888" s="4"/>
      <c r="F4888" s="4"/>
      <c r="G4888" s="4"/>
      <c r="H4888" s="4"/>
    </row>
    <row r="4889" customFormat="false" ht="15" hidden="false" customHeight="false" outlineLevel="1" collapsed="false">
      <c r="A4889" s="7" t="s">
        <v>669</v>
      </c>
      <c r="B4889" s="8" t="s">
        <v>64</v>
      </c>
      <c r="C4889" s="63" t="n">
        <f aca="false">Pressupostos!$F$10+Pressupostos!$F$11</f>
        <v>3.65</v>
      </c>
      <c r="D4889" s="63" t="n">
        <f aca="false">Pressupostos!$F$10+Pressupostos!$F$11</f>
        <v>3.65</v>
      </c>
      <c r="E4889" s="63" t="n">
        <f aca="false">Pressupostos!$F$10+Pressupostos!$F$11</f>
        <v>3.65</v>
      </c>
      <c r="F4889" s="63" t="n">
        <f aca="false">Pressupostos!$F$10+Pressupostos!$F$11</f>
        <v>3.65</v>
      </c>
      <c r="G4889" s="63" t="n">
        <f aca="false">Pressupostos!$F$10+Pressupostos!$F$11</f>
        <v>3.65</v>
      </c>
      <c r="H4889" s="2" t="s">
        <v>1191</v>
      </c>
    </row>
    <row r="4890" customFormat="false" ht="15" hidden="false" customHeight="false" outlineLevel="1" collapsed="false">
      <c r="A4890" s="7" t="s">
        <v>670</v>
      </c>
      <c r="B4890" s="8" t="s">
        <v>64</v>
      </c>
      <c r="C4890" s="67" t="n">
        <f aca="false">Pressupostos!$F$15</f>
        <v>6</v>
      </c>
      <c r="D4890" s="67" t="n">
        <f aca="false">Pressupostos!$F$15</f>
        <v>6</v>
      </c>
      <c r="E4890" s="67" t="n">
        <f aca="false">Pressupostos!$F$15</f>
        <v>6</v>
      </c>
      <c r="F4890" s="67" t="n">
        <f aca="false">Pressupostos!$F$15</f>
        <v>6</v>
      </c>
      <c r="G4890" s="67" t="n">
        <f aca="false">Pressupostos!$F$15</f>
        <v>6</v>
      </c>
      <c r="H4890" s="2" t="s">
        <v>1192</v>
      </c>
    </row>
    <row r="4891" customFormat="false" ht="15" hidden="false" customHeight="false" outlineLevel="1" collapsed="false">
      <c r="A4891" s="56" t="s">
        <v>671</v>
      </c>
      <c r="B4891" s="57" t="s">
        <v>64</v>
      </c>
      <c r="C4891" s="68" t="n">
        <f aca="false">C4890*(1-(Pressupostos!$C$193))</f>
        <v>5.1</v>
      </c>
      <c r="D4891" s="68" t="n">
        <f aca="false">D4890*(1-(Pressupostos!$C$193))</f>
        <v>5.1</v>
      </c>
      <c r="E4891" s="68" t="n">
        <f aca="false">E4890*(1-(Pressupostos!$C$193))</f>
        <v>5.1</v>
      </c>
      <c r="F4891" s="68" t="n">
        <f aca="false">F4890*(1-(Pressupostos!$C$193))</f>
        <v>5.1</v>
      </c>
      <c r="G4891" s="68" t="n">
        <f aca="false">G4890*(1-(Pressupostos!$C$193))</f>
        <v>5.1</v>
      </c>
      <c r="H4891" s="2" t="s">
        <v>1193</v>
      </c>
    </row>
    <row r="4892" customFormat="false" ht="15" hidden="false" customHeight="false" outlineLevel="1" collapsed="false">
      <c r="A4892" s="7" t="s">
        <v>144</v>
      </c>
      <c r="B4892" s="8" t="s">
        <v>64</v>
      </c>
      <c r="C4892" s="67" t="n">
        <f aca="false">Pressupostos!$C$38</f>
        <v>0.55</v>
      </c>
      <c r="D4892" s="67" t="n">
        <f aca="false">Pressupostos!$C$38</f>
        <v>0.55</v>
      </c>
      <c r="E4892" s="67" t="n">
        <f aca="false">Pressupostos!$C$38</f>
        <v>0.55</v>
      </c>
      <c r="F4892" s="67" t="n">
        <f aca="false">Pressupostos!$C$38</f>
        <v>0.55</v>
      </c>
      <c r="G4892" s="67" t="n">
        <f aca="false">Pressupostos!$C$38</f>
        <v>0.55</v>
      </c>
      <c r="H4892" s="2" t="s">
        <v>1194</v>
      </c>
    </row>
    <row r="4893" customFormat="false" ht="15" hidden="false" customHeight="false" outlineLevel="1" collapsed="false">
      <c r="A4893" s="7" t="s">
        <v>215</v>
      </c>
      <c r="B4893" s="8" t="s">
        <v>64</v>
      </c>
      <c r="C4893" s="67" t="n">
        <f aca="false">Pressupostos!$C$240</f>
        <v>0.3</v>
      </c>
      <c r="D4893" s="67" t="n">
        <f aca="false">Pressupostos!$D$240</f>
        <v>0.3</v>
      </c>
      <c r="E4893" s="67" t="n">
        <f aca="false">Pressupostos!$E$240</f>
        <v>0.28</v>
      </c>
      <c r="F4893" s="67" t="n">
        <f aca="false">Pressupostos!$F$240</f>
        <v>0.27</v>
      </c>
      <c r="G4893" s="67" t="n">
        <f aca="false">Pressupostos!$G$240</f>
        <v>0.27</v>
      </c>
      <c r="H4893" s="2" t="s">
        <v>1195</v>
      </c>
    </row>
    <row r="4894" customFormat="false" ht="15" hidden="false" customHeight="false" outlineLevel="1" collapsed="false">
      <c r="A4894" s="7" t="s">
        <v>117</v>
      </c>
      <c r="B4894" s="8" t="s">
        <v>64</v>
      </c>
      <c r="C4894" s="67" t="n">
        <f aca="false">Pressupostos!$C$39</f>
        <v>0.06</v>
      </c>
      <c r="D4894" s="67" t="n">
        <f aca="false">Pressupostos!$C$39</f>
        <v>0.06</v>
      </c>
      <c r="E4894" s="67" t="n">
        <f aca="false">Pressupostos!$C$39</f>
        <v>0.06</v>
      </c>
      <c r="F4894" s="67" t="n">
        <f aca="false">Pressupostos!$C$39</f>
        <v>0.06</v>
      </c>
      <c r="G4894" s="67" t="n">
        <f aca="false">Pressupostos!$C$39</f>
        <v>0.06</v>
      </c>
      <c r="H4894" s="2" t="s">
        <v>1196</v>
      </c>
    </row>
    <row r="4895" customFormat="false" ht="15" hidden="false" customHeight="false" outlineLevel="1" collapsed="false">
      <c r="A4895" s="7" t="s">
        <v>91</v>
      </c>
      <c r="B4895" s="8" t="s">
        <v>79</v>
      </c>
      <c r="C4895" s="69" t="n">
        <f aca="false">Pressupostos!$C$246</f>
        <v>180</v>
      </c>
      <c r="D4895" s="69" t="n">
        <f aca="false">Pressupostos!$D$246</f>
        <v>180</v>
      </c>
      <c r="E4895" s="69" t="n">
        <f aca="false">Pressupostos!$E$246</f>
        <v>45</v>
      </c>
      <c r="F4895" s="69" t="n">
        <f aca="false">Pressupostos!$F$246</f>
        <v>45</v>
      </c>
      <c r="G4895" s="69" t="n">
        <f aca="false">Pressupostos!$G$246</f>
        <v>45</v>
      </c>
      <c r="H4895" s="2" t="s">
        <v>1197</v>
      </c>
    </row>
    <row r="4896" customFormat="false" ht="15" hidden="false" customHeight="false" outlineLevel="1" collapsed="false">
      <c r="A4896" s="7" t="s">
        <v>78</v>
      </c>
      <c r="B4896" s="8" t="s">
        <v>79</v>
      </c>
      <c r="C4896" s="69" t="n">
        <f aca="false">Pressupostos!$F$17</f>
        <v>35</v>
      </c>
      <c r="D4896" s="69" t="n">
        <f aca="false">Pressupostos!$F$17</f>
        <v>35</v>
      </c>
      <c r="E4896" s="69" t="n">
        <f aca="false">Pressupostos!$F$17</f>
        <v>35</v>
      </c>
      <c r="F4896" s="69" t="n">
        <f aca="false">Pressupostos!$F$17</f>
        <v>35</v>
      </c>
      <c r="G4896" s="69" t="n">
        <f aca="false">Pressupostos!$F$17</f>
        <v>35</v>
      </c>
      <c r="H4896" s="2" t="s">
        <v>1198</v>
      </c>
    </row>
    <row r="4897" customFormat="false" ht="15" hidden="false" customHeight="false" outlineLevel="1" collapsed="false">
      <c r="A4897" s="7" t="s">
        <v>490</v>
      </c>
      <c r="B4897" s="8" t="s">
        <v>64</v>
      </c>
      <c r="C4897" s="63" t="n">
        <f aca="false">Pressupostos!$C$66*C4895/30/1000</f>
        <v>0.024</v>
      </c>
      <c r="D4897" s="63" t="n">
        <f aca="false">Pressupostos!$C$66*D4895/30/1000</f>
        <v>0.024</v>
      </c>
      <c r="E4897" s="63" t="n">
        <f aca="false">Pressupostos!$C$66*E4895/30/1000</f>
        <v>0.006</v>
      </c>
      <c r="F4897" s="63" t="n">
        <f aca="false">Pressupostos!$C$66*F4895/30/1000</f>
        <v>0.006</v>
      </c>
      <c r="G4897" s="63" t="n">
        <f aca="false">Pressupostos!$C$66*G4895/30/1000</f>
        <v>0.006</v>
      </c>
      <c r="H4897" s="2" t="s">
        <v>1199</v>
      </c>
    </row>
    <row r="4898" customFormat="false" ht="15" hidden="false" customHeight="false" outlineLevel="1" collapsed="false">
      <c r="A4898" s="7" t="s">
        <v>165</v>
      </c>
      <c r="B4898" s="8" t="s">
        <v>64</v>
      </c>
      <c r="C4898" s="63" t="n">
        <f aca="false">C4889*Pressupostos!$C$67*C4895/365</f>
        <v>0.0036</v>
      </c>
      <c r="D4898" s="63" t="n">
        <f aca="false">D4889*Pressupostos!$C$67*D4895/365</f>
        <v>0.0036</v>
      </c>
      <c r="E4898" s="63" t="n">
        <f aca="false">E4889*Pressupostos!$C$67*E4895/365</f>
        <v>0.0009</v>
      </c>
      <c r="F4898" s="63" t="n">
        <f aca="false">F4889*Pressupostos!$C$67*F4895/365</f>
        <v>0.0009</v>
      </c>
      <c r="G4898" s="63" t="n">
        <f aca="false">G4889*Pressupostos!$C$67*G4895/365</f>
        <v>0.0009</v>
      </c>
      <c r="H4898" s="2" t="s">
        <v>1200</v>
      </c>
    </row>
    <row r="4899" customFormat="false" ht="15" hidden="false" customHeight="false" outlineLevel="1" collapsed="false">
      <c r="A4899" s="7" t="s">
        <v>672</v>
      </c>
      <c r="B4899" s="8" t="s">
        <v>64</v>
      </c>
      <c r="C4899" s="63" t="n">
        <f aca="false">Pressupostos!$C$41*Pressupostos!$C$68/(Pressupostos!$C$40*1000)</f>
        <v>0.03</v>
      </c>
      <c r="D4899" s="63" t="n">
        <f aca="false">Pressupostos!$C$41*Pressupostos!$C$68/(Pressupostos!$C$40*1000)</f>
        <v>0.03</v>
      </c>
      <c r="E4899" s="63" t="n">
        <f aca="false">Pressupostos!$C$41*Pressupostos!$C$68/(Pressupostos!$C$40*1000)</f>
        <v>0.03</v>
      </c>
      <c r="F4899" s="63" t="n">
        <f aca="false">Pressupostos!$C$41*Pressupostos!$C$68/(Pressupostos!$C$40*1000)</f>
        <v>0.03</v>
      </c>
      <c r="G4899" s="63" t="n">
        <f aca="false">Pressupostos!$C$41*Pressupostos!$C$68/(Pressupostos!$C$40*1000)</f>
        <v>0.03</v>
      </c>
      <c r="H4899" s="2" t="s">
        <v>1201</v>
      </c>
    </row>
    <row r="4900" customFormat="false" ht="15" hidden="false" customHeight="false" outlineLevel="1" collapsed="false">
      <c r="A4900" s="7" t="s">
        <v>492</v>
      </c>
      <c r="B4900" s="8" t="s">
        <v>64</v>
      </c>
      <c r="C4900" s="63" t="n">
        <f aca="false">Pressupostos!$C$69*C4889</f>
        <v>0.01825</v>
      </c>
      <c r="D4900" s="63" t="n">
        <f aca="false">Pressupostos!$C$69*D4889</f>
        <v>0.01825</v>
      </c>
      <c r="E4900" s="63" t="n">
        <f aca="false">Pressupostos!$C$69*E4889</f>
        <v>0.01825</v>
      </c>
      <c r="F4900" s="63" t="n">
        <f aca="false">Pressupostos!$C$69*F4889</f>
        <v>0.01825</v>
      </c>
      <c r="G4900" s="63" t="n">
        <f aca="false">Pressupostos!$C$69*G4889</f>
        <v>0.01825</v>
      </c>
      <c r="H4900" s="2" t="s">
        <v>1202</v>
      </c>
    </row>
    <row r="4901" customFormat="false" ht="15" hidden="false" customHeight="false" outlineLevel="1" collapsed="false">
      <c r="A4901" s="7" t="s">
        <v>493</v>
      </c>
      <c r="B4901" s="8" t="s">
        <v>64</v>
      </c>
      <c r="C4901" s="63" t="n">
        <f aca="false">Pressupostos!$C$70*Pressupostos!$C$71*C4895/90</f>
        <v>0.018</v>
      </c>
      <c r="D4901" s="63" t="n">
        <f aca="false">Pressupostos!$C$70*Pressupostos!$C$71*D4895/90</f>
        <v>0.018</v>
      </c>
      <c r="E4901" s="63" t="n">
        <f aca="false">Pressupostos!$C$70*Pressupostos!$C$71*E4895/90</f>
        <v>0.0045</v>
      </c>
      <c r="F4901" s="63" t="n">
        <f aca="false">Pressupostos!$C$70*Pressupostos!$C$71*F4895/90</f>
        <v>0.0045</v>
      </c>
      <c r="G4901" s="63" t="n">
        <f aca="false">Pressupostos!$C$70*Pressupostos!$C$71*G4895/90</f>
        <v>0.0045</v>
      </c>
      <c r="H4901" s="2" t="s">
        <v>1203</v>
      </c>
    </row>
    <row r="4902" customFormat="false" ht="15" hidden="false" customHeight="false" outlineLevel="1" collapsed="false">
      <c r="A4902" s="7" t="s">
        <v>673</v>
      </c>
      <c r="B4902" s="8" t="s">
        <v>64</v>
      </c>
      <c r="C4902" s="63" t="n">
        <f aca="false">Pressupostos!$C$42/(Pressupostos!$C$40*1000)</f>
        <v>0.1</v>
      </c>
      <c r="D4902" s="63" t="n">
        <f aca="false">Pressupostos!$C$42/(Pressupostos!$C$40*1000)</f>
        <v>0.1</v>
      </c>
      <c r="E4902" s="63" t="n">
        <f aca="false">Pressupostos!$C$42/(Pressupostos!$C$40*1000)</f>
        <v>0.1</v>
      </c>
      <c r="F4902" s="63" t="n">
        <f aca="false">Pressupostos!$C$42/(Pressupostos!$C$40*1000)</f>
        <v>0.1</v>
      </c>
      <c r="G4902" s="63" t="n">
        <f aca="false">Pressupostos!$C$42/(Pressupostos!$C$40*1000)</f>
        <v>0.1</v>
      </c>
      <c r="H4902" s="2" t="s">
        <v>1204</v>
      </c>
    </row>
    <row r="4903" customFormat="false" ht="15" hidden="false" customHeight="false" outlineLevel="1" collapsed="false">
      <c r="A4903" s="7" t="s">
        <v>139</v>
      </c>
      <c r="B4903" s="8" t="s">
        <v>64</v>
      </c>
      <c r="C4903" s="67" t="n">
        <f aca="false">Pressupostos!$C$43</f>
        <v>0.01</v>
      </c>
      <c r="D4903" s="67" t="n">
        <f aca="false">Pressupostos!$C$43</f>
        <v>0.01</v>
      </c>
      <c r="E4903" s="67" t="n">
        <f aca="false">Pressupostos!$C$43</f>
        <v>0.01</v>
      </c>
      <c r="F4903" s="67" t="n">
        <f aca="false">Pressupostos!$C$43</f>
        <v>0.01</v>
      </c>
      <c r="G4903" s="67" t="n">
        <f aca="false">Pressupostos!$C$43</f>
        <v>0.01</v>
      </c>
      <c r="H4903" s="2" t="s">
        <v>1205</v>
      </c>
    </row>
    <row r="4904" customFormat="false" ht="15" hidden="false" customHeight="false" outlineLevel="1" collapsed="false">
      <c r="A4904" s="7" t="s">
        <v>81</v>
      </c>
      <c r="B4904" s="8" t="s">
        <v>64</v>
      </c>
      <c r="C4904" s="63" t="n">
        <f aca="false">Pressupostos!$F$18*C4891</f>
        <v>0.0306</v>
      </c>
      <c r="D4904" s="63" t="n">
        <f aca="false">Pressupostos!$F$18*D4891</f>
        <v>0.0306</v>
      </c>
      <c r="E4904" s="63" t="n">
        <f aca="false">Pressupostos!$F$18*E4891</f>
        <v>0.0306</v>
      </c>
      <c r="F4904" s="63" t="n">
        <f aca="false">Pressupostos!$F$18*F4891</f>
        <v>0.0306</v>
      </c>
      <c r="G4904" s="63" t="n">
        <f aca="false">Pressupostos!$F$18*G4891</f>
        <v>0.0306</v>
      </c>
      <c r="H4904" s="2" t="s">
        <v>1206</v>
      </c>
    </row>
    <row r="4905" customFormat="false" ht="15" hidden="false" customHeight="false" outlineLevel="1" collapsed="false">
      <c r="A4905" s="7" t="s">
        <v>674</v>
      </c>
      <c r="B4905" s="8" t="s">
        <v>64</v>
      </c>
      <c r="C4905" s="63" t="n">
        <f aca="false">Pressupostos!$C$73*C4891</f>
        <v>0</v>
      </c>
      <c r="D4905" s="63" t="n">
        <f aca="false">Pressupostos!$C$73*D4891</f>
        <v>0</v>
      </c>
      <c r="E4905" s="63" t="n">
        <f aca="false">Pressupostos!$C$73*E4891</f>
        <v>0</v>
      </c>
      <c r="F4905" s="63" t="n">
        <f aca="false">Pressupostos!$C$73*F4891</f>
        <v>0</v>
      </c>
      <c r="G4905" s="63" t="n">
        <f aca="false">Pressupostos!$C$73*G4891</f>
        <v>0</v>
      </c>
      <c r="H4905" s="2" t="s">
        <v>1207</v>
      </c>
    </row>
    <row r="4906" customFormat="false" ht="15" hidden="false" customHeight="false" outlineLevel="1" collapsed="false">
      <c r="A4906" s="7" t="s">
        <v>675</v>
      </c>
      <c r="B4906" s="8" t="s">
        <v>64</v>
      </c>
      <c r="C4906" s="63" t="n">
        <f aca="false">Pressupostos!$C$290*(C4889+C4892)*(C4895+C4896-Pressupostos!$C$72)/365*Pressupostos!$C$284/Pressupostos!$F$31</f>
        <v>0</v>
      </c>
      <c r="D4906" s="63" t="n">
        <f aca="false">Pressupostos!$D$290*(D4889+D4892)*(D4895+D4896-Pressupostos!$C$72)/365*Pressupostos!$D$284/Pressupostos!$F$31</f>
        <v>0.159657534246575</v>
      </c>
      <c r="E4906" s="63" t="n">
        <f aca="false">Pressupostos!$E$290*(E4889+E4892)*(E4895+E4896-Pressupostos!$C$72)/365*Pressupostos!$E$284/Pressupostos!$F$31</f>
        <v>0.0404537671232877</v>
      </c>
      <c r="F4906" s="63" t="n">
        <f aca="false">Pressupostos!$F$290*(F4889+F4892)*(F4895+F4896-Pressupostos!$C$72)/365*Pressupostos!$F$284/Pressupostos!$F$31</f>
        <v>0.0377568493150685</v>
      </c>
      <c r="G4906" s="63" t="n">
        <f aca="false">Pressupostos!$G$290*(G4889+G4892)*(G4895+G4896-Pressupostos!$C$72)/365*Pressupostos!$G$284/Pressupostos!$F$31</f>
        <v>0.0377568493150685</v>
      </c>
      <c r="H4906" s="2" t="s">
        <v>1208</v>
      </c>
    </row>
    <row r="4907" customFormat="false" ht="15" hidden="false" customHeight="false" outlineLevel="1" collapsed="false">
      <c r="A4907" s="7" t="s">
        <v>676</v>
      </c>
      <c r="B4907" s="8" t="s">
        <v>64</v>
      </c>
      <c r="C4907" s="63" t="n">
        <f aca="false">C4889+C4892+C4893+C4894+C4897+C4898+C4899+C4900+C4901+C4902+C4903+C4904+C4905+C4906</f>
        <v>4.79445</v>
      </c>
      <c r="D4907" s="63" t="n">
        <f aca="false">D4889+D4892+D4893+D4894+D4897+D4898+D4899+D4900+D4901+D4902+D4903+D4904+D4905+D4906</f>
        <v>4.95410753424657</v>
      </c>
      <c r="E4907" s="63" t="n">
        <f aca="false">E4889+E4892+E4893+E4894+E4897+E4898+E4899+E4900+E4901+E4902+E4903+E4904+E4905+E4906</f>
        <v>4.78070376712329</v>
      </c>
      <c r="F4907" s="63" t="n">
        <f aca="false">F4889+F4892+F4893+F4894+F4897+F4898+F4899+F4900+F4901+F4902+F4903+F4904+F4905+F4906</f>
        <v>4.76800684931507</v>
      </c>
      <c r="G4907" s="63" t="n">
        <f aca="false">G4889+G4892+G4893+G4894+G4897+G4898+G4899+G4900+G4901+G4902+G4903+G4904+G4905+G4906</f>
        <v>4.76800684931507</v>
      </c>
      <c r="H4907" s="2" t="s">
        <v>1209</v>
      </c>
    </row>
    <row r="4908" customFormat="false" ht="15" hidden="false" customHeight="false" outlineLevel="1" collapsed="false">
      <c r="A4908" s="56" t="s">
        <v>677</v>
      </c>
      <c r="B4908" s="57" t="s">
        <v>64</v>
      </c>
      <c r="C4908" s="68" t="n">
        <f aca="false">C4891-C4907</f>
        <v>0.305550000000001</v>
      </c>
      <c r="D4908" s="68" t="n">
        <f aca="false">D4891-D4907</f>
        <v>0.145892465753426</v>
      </c>
      <c r="E4908" s="68" t="n">
        <f aca="false">E4891-E4907</f>
        <v>0.319296232876712</v>
      </c>
      <c r="F4908" s="68" t="n">
        <f aca="false">F4891-F4907</f>
        <v>0.331993150684931</v>
      </c>
      <c r="G4908" s="68" t="n">
        <f aca="false">G4891-G4907</f>
        <v>0.331993150684931</v>
      </c>
      <c r="H4908" s="2" t="s">
        <v>1210</v>
      </c>
    </row>
    <row r="4909" customFormat="false" ht="15" hidden="false" customHeight="false" outlineLevel="1" collapsed="false">
      <c r="A4909" s="7" t="s">
        <v>678</v>
      </c>
      <c r="B4909" s="8" t="s">
        <v>76</v>
      </c>
      <c r="C4909" s="59" t="n">
        <f aca="false">IF(C4891&gt;0,C4908/C4891,0)</f>
        <v>0.0599117647058826</v>
      </c>
      <c r="D4909" s="59" t="n">
        <f aca="false">IF(D4891&gt;0,D4908/D4891,0)</f>
        <v>0.0286063658340051</v>
      </c>
      <c r="E4909" s="59" t="n">
        <f aca="false">IF(E4891&gt;0,E4908/E4891,0)</f>
        <v>0.0626071044856298</v>
      </c>
      <c r="F4909" s="59" t="n">
        <f aca="false">IF(F4891&gt;0,F4908/F4891,0)</f>
        <v>0.0650966962127316</v>
      </c>
      <c r="G4909" s="59" t="n">
        <f aca="false">IF(G4891&gt;0,G4908/G4891,0)</f>
        <v>0.0650966962127316</v>
      </c>
      <c r="H4909" s="2" t="s">
        <v>1211</v>
      </c>
    </row>
    <row r="4910" customFormat="false" ht="15" hidden="false" customHeight="false" outlineLevel="1" collapsed="false">
      <c r="A4910" s="7" t="s">
        <v>679</v>
      </c>
      <c r="B4910" s="8" t="s">
        <v>64</v>
      </c>
      <c r="C4910" s="63" t="n">
        <f aca="false">(C4889+C4892)*(C4895-Pressupostos!$C$72)/365+C4891*C4896/365</f>
        <v>2.21506849315068</v>
      </c>
      <c r="D4910" s="63" t="n">
        <f aca="false">(D4889+D4892)*(D4895-Pressupostos!$C$72)/365+D4891*D4896/365</f>
        <v>2.21506849315068</v>
      </c>
      <c r="E4910" s="63" t="n">
        <f aca="false">(E4889+E4892)*(E4895-Pressupostos!$C$72)/365+E4891*E4896/365</f>
        <v>0.661643835616438</v>
      </c>
      <c r="F4910" s="63" t="n">
        <f aca="false">(F4889+F4892)*(F4895-Pressupostos!$C$72)/365+F4891*F4896/365</f>
        <v>0.661643835616438</v>
      </c>
      <c r="G4910" s="63" t="n">
        <f aca="false">(G4889+G4892)*(G4895-Pressupostos!$C$72)/365+G4891*G4896/365</f>
        <v>0.661643835616438</v>
      </c>
      <c r="H4910" s="2" t="s">
        <v>1212</v>
      </c>
    </row>
    <row r="4911" customFormat="false" ht="15" hidden="false" customHeight="false" outlineLevel="0" collapsed="false">
      <c r="A4911" s="3" t="s">
        <v>1213</v>
      </c>
      <c r="B4911" s="4"/>
      <c r="C4911" s="4"/>
      <c r="D4911" s="4"/>
      <c r="E4911" s="4"/>
      <c r="F4911" s="4"/>
      <c r="G4911" s="4"/>
      <c r="H4911" s="4"/>
    </row>
    <row r="4912" customFormat="false" ht="15" hidden="false" customHeight="false" outlineLevel="1" collapsed="false">
      <c r="A4912" s="7" t="s">
        <v>669</v>
      </c>
      <c r="B4912" s="8" t="s">
        <v>64</v>
      </c>
      <c r="C4912" s="63" t="n">
        <f aca="false">Pressupostos!$F$10+Pressupostos!$F$12</f>
        <v>3.6</v>
      </c>
      <c r="D4912" s="63" t="n">
        <f aca="false">Pressupostos!$F$10+Pressupostos!$F$12</f>
        <v>3.6</v>
      </c>
      <c r="E4912" s="63" t="n">
        <f aca="false">Pressupostos!$F$10+Pressupostos!$F$12</f>
        <v>3.6</v>
      </c>
      <c r="F4912" s="63" t="n">
        <f aca="false">Pressupostos!$F$10+Pressupostos!$F$12</f>
        <v>3.6</v>
      </c>
      <c r="G4912" s="63" t="n">
        <f aca="false">Pressupostos!$F$10+Pressupostos!$F$12</f>
        <v>3.6</v>
      </c>
      <c r="H4912" s="2" t="s">
        <v>1214</v>
      </c>
    </row>
    <row r="4913" customFormat="false" ht="15" hidden="false" customHeight="false" outlineLevel="1" collapsed="false">
      <c r="A4913" s="7" t="s">
        <v>670</v>
      </c>
      <c r="B4913" s="8" t="s">
        <v>64</v>
      </c>
      <c r="C4913" s="63" t="n">
        <f aca="false">Pressupostos!$F$20+Pressupostos!$F$21</f>
        <v>4.45</v>
      </c>
      <c r="D4913" s="63" t="n">
        <f aca="false">Pressupostos!$F$20+Pressupostos!$F$21</f>
        <v>4.45</v>
      </c>
      <c r="E4913" s="63" t="n">
        <f aca="false">Pressupostos!$F$20+Pressupostos!$F$21</f>
        <v>4.45</v>
      </c>
      <c r="F4913" s="63" t="n">
        <f aca="false">Pressupostos!$F$20+Pressupostos!$F$21</f>
        <v>4.45</v>
      </c>
      <c r="G4913" s="63" t="n">
        <f aca="false">Pressupostos!$F$20+Pressupostos!$F$21</f>
        <v>4.45</v>
      </c>
      <c r="H4913" s="2" t="s">
        <v>1215</v>
      </c>
    </row>
    <row r="4914" customFormat="false" ht="15" hidden="false" customHeight="false" outlineLevel="1" collapsed="false">
      <c r="A4914" s="56" t="s">
        <v>671</v>
      </c>
      <c r="B4914" s="57" t="s">
        <v>64</v>
      </c>
      <c r="C4914" s="68" t="n">
        <f aca="false">C4913*(1-Pressupostos!$F$22)</f>
        <v>4.45</v>
      </c>
      <c r="D4914" s="68" t="n">
        <f aca="false">D4913*(1-Pressupostos!$F$22)</f>
        <v>4.45</v>
      </c>
      <c r="E4914" s="68" t="n">
        <f aca="false">E4913*(1-Pressupostos!$F$22)</f>
        <v>4.45</v>
      </c>
      <c r="F4914" s="68" t="n">
        <f aca="false">F4913*(1-Pressupostos!$F$22)</f>
        <v>4.45</v>
      </c>
      <c r="G4914" s="68" t="n">
        <f aca="false">G4913*(1-Pressupostos!$F$22)</f>
        <v>4.45</v>
      </c>
      <c r="H4914" s="2" t="s">
        <v>1216</v>
      </c>
    </row>
    <row r="4915" customFormat="false" ht="15" hidden="false" customHeight="false" outlineLevel="1" collapsed="false">
      <c r="A4915" s="7" t="s">
        <v>144</v>
      </c>
      <c r="B4915" s="8" t="s">
        <v>64</v>
      </c>
      <c r="C4915" s="67" t="n">
        <f aca="false">Pressupostos!$C$45</f>
        <v>0.45</v>
      </c>
      <c r="D4915" s="67" t="n">
        <f aca="false">Pressupostos!$C$45</f>
        <v>0.45</v>
      </c>
      <c r="E4915" s="67" t="n">
        <f aca="false">Pressupostos!$C$45</f>
        <v>0.45</v>
      </c>
      <c r="F4915" s="67" t="n">
        <f aca="false">Pressupostos!$C$45</f>
        <v>0.45</v>
      </c>
      <c r="G4915" s="67" t="n">
        <f aca="false">Pressupostos!$C$45</f>
        <v>0.45</v>
      </c>
      <c r="H4915" s="2" t="s">
        <v>1217</v>
      </c>
    </row>
    <row r="4916" customFormat="false" ht="15" hidden="false" customHeight="false" outlineLevel="1" collapsed="false">
      <c r="A4916" s="7" t="s">
        <v>215</v>
      </c>
      <c r="B4916" s="8" t="s">
        <v>64</v>
      </c>
      <c r="C4916" s="67" t="n">
        <f aca="false">Pressupostos!$C$252</f>
        <v>0.1</v>
      </c>
      <c r="D4916" s="67" t="n">
        <f aca="false">Pressupostos!$D$252</f>
        <v>0.1</v>
      </c>
      <c r="E4916" s="67" t="n">
        <f aca="false">Pressupostos!$E$252</f>
        <v>0.09</v>
      </c>
      <c r="F4916" s="67" t="n">
        <f aca="false">Pressupostos!$F$252</f>
        <v>0.09</v>
      </c>
      <c r="G4916" s="67" t="n">
        <f aca="false">Pressupostos!$G$252</f>
        <v>0.09</v>
      </c>
      <c r="H4916" s="2" t="s">
        <v>1218</v>
      </c>
    </row>
    <row r="4917" customFormat="false" ht="15" hidden="false" customHeight="false" outlineLevel="1" collapsed="false">
      <c r="A4917" s="7" t="s">
        <v>117</v>
      </c>
      <c r="B4917" s="8" t="s">
        <v>64</v>
      </c>
      <c r="C4917" s="67" t="n">
        <f aca="false">Pressupostos!$C$46</f>
        <v>0</v>
      </c>
      <c r="D4917" s="67" t="n">
        <f aca="false">Pressupostos!$C$46</f>
        <v>0</v>
      </c>
      <c r="E4917" s="67" t="n">
        <f aca="false">Pressupostos!$C$46</f>
        <v>0</v>
      </c>
      <c r="F4917" s="67" t="n">
        <f aca="false">Pressupostos!$C$46</f>
        <v>0</v>
      </c>
      <c r="G4917" s="67" t="n">
        <f aca="false">Pressupostos!$C$46</f>
        <v>0</v>
      </c>
      <c r="H4917" s="2" t="s">
        <v>1219</v>
      </c>
    </row>
    <row r="4918" customFormat="false" ht="15" hidden="false" customHeight="false" outlineLevel="1" collapsed="false">
      <c r="A4918" s="7" t="s">
        <v>91</v>
      </c>
      <c r="B4918" s="8" t="s">
        <v>79</v>
      </c>
      <c r="C4918" s="69" t="n">
        <f aca="false">Pressupostos!$F$23</f>
        <v>30</v>
      </c>
      <c r="D4918" s="69" t="n">
        <f aca="false">Pressupostos!$F$23</f>
        <v>30</v>
      </c>
      <c r="E4918" s="69" t="n">
        <f aca="false">Pressupostos!$F$23</f>
        <v>30</v>
      </c>
      <c r="F4918" s="69" t="n">
        <f aca="false">Pressupostos!$F$23</f>
        <v>30</v>
      </c>
      <c r="G4918" s="69" t="n">
        <f aca="false">Pressupostos!$F$23</f>
        <v>30</v>
      </c>
      <c r="H4918" s="2" t="s">
        <v>1220</v>
      </c>
    </row>
    <row r="4919" customFormat="false" ht="15" hidden="false" customHeight="false" outlineLevel="1" collapsed="false">
      <c r="A4919" s="7" t="s">
        <v>78</v>
      </c>
      <c r="B4919" s="8" t="s">
        <v>79</v>
      </c>
      <c r="C4919" s="69" t="n">
        <f aca="false">Pressupostos!$F$24</f>
        <v>55</v>
      </c>
      <c r="D4919" s="69" t="n">
        <f aca="false">Pressupostos!$F$24</f>
        <v>55</v>
      </c>
      <c r="E4919" s="69" t="n">
        <f aca="false">Pressupostos!$F$24</f>
        <v>55</v>
      </c>
      <c r="F4919" s="69" t="n">
        <f aca="false">Pressupostos!$F$24</f>
        <v>55</v>
      </c>
      <c r="G4919" s="69" t="n">
        <f aca="false">Pressupostos!$F$24</f>
        <v>55</v>
      </c>
      <c r="H4919" s="2" t="s">
        <v>1221</v>
      </c>
    </row>
    <row r="4920" customFormat="false" ht="15" hidden="false" customHeight="false" outlineLevel="1" collapsed="false">
      <c r="A4920" s="7" t="s">
        <v>490</v>
      </c>
      <c r="B4920" s="8" t="s">
        <v>64</v>
      </c>
      <c r="C4920" s="63" t="n">
        <f aca="false">Pressupostos!$C$66*C4918/30/1000</f>
        <v>0.004</v>
      </c>
      <c r="D4920" s="63" t="n">
        <f aca="false">Pressupostos!$C$66*D4918/30/1000</f>
        <v>0.004</v>
      </c>
      <c r="E4920" s="63" t="n">
        <f aca="false">Pressupostos!$C$66*E4918/30/1000</f>
        <v>0.004</v>
      </c>
      <c r="F4920" s="63" t="n">
        <f aca="false">Pressupostos!$C$66*F4918/30/1000</f>
        <v>0.004</v>
      </c>
      <c r="G4920" s="63" t="n">
        <f aca="false">Pressupostos!$C$66*G4918/30/1000</f>
        <v>0.004</v>
      </c>
      <c r="H4920" s="2" t="s">
        <v>1222</v>
      </c>
    </row>
    <row r="4921" customFormat="false" ht="15" hidden="false" customHeight="false" outlineLevel="1" collapsed="false">
      <c r="A4921" s="7" t="s">
        <v>165</v>
      </c>
      <c r="B4921" s="8" t="s">
        <v>64</v>
      </c>
      <c r="C4921" s="63" t="n">
        <f aca="false">C4912*Pressupostos!$C$67*C4918/365</f>
        <v>0.000591780821917808</v>
      </c>
      <c r="D4921" s="63" t="n">
        <f aca="false">D4912*Pressupostos!$C$67*D4918/365</f>
        <v>0.000591780821917808</v>
      </c>
      <c r="E4921" s="63" t="n">
        <f aca="false">E4912*Pressupostos!$C$67*E4918/365</f>
        <v>0.000591780821917808</v>
      </c>
      <c r="F4921" s="63" t="n">
        <f aca="false">F4912*Pressupostos!$C$67*F4918/365</f>
        <v>0.000591780821917808</v>
      </c>
      <c r="G4921" s="63" t="n">
        <f aca="false">G4912*Pressupostos!$C$67*G4918/365</f>
        <v>0.000591780821917808</v>
      </c>
      <c r="H4921" s="2" t="s">
        <v>1223</v>
      </c>
    </row>
    <row r="4922" customFormat="false" ht="15" hidden="false" customHeight="false" outlineLevel="1" collapsed="false">
      <c r="A4922" s="7" t="s">
        <v>672</v>
      </c>
      <c r="B4922" s="8" t="s">
        <v>64</v>
      </c>
      <c r="C4922" s="63" t="n">
        <f aca="false">Pressupostos!$C$48*Pressupostos!$C$68/(Pressupostos!$C$47*1000)</f>
        <v>0.02</v>
      </c>
      <c r="D4922" s="63" t="n">
        <f aca="false">Pressupostos!$C$48*Pressupostos!$C$68/(Pressupostos!$C$47*1000)</f>
        <v>0.02</v>
      </c>
      <c r="E4922" s="63" t="n">
        <f aca="false">Pressupostos!$C$48*Pressupostos!$C$68/(Pressupostos!$C$47*1000)</f>
        <v>0.02</v>
      </c>
      <c r="F4922" s="63" t="n">
        <f aca="false">Pressupostos!$C$48*Pressupostos!$C$68/(Pressupostos!$C$47*1000)</f>
        <v>0.02</v>
      </c>
      <c r="G4922" s="63" t="n">
        <f aca="false">Pressupostos!$C$48*Pressupostos!$C$68/(Pressupostos!$C$47*1000)</f>
        <v>0.02</v>
      </c>
      <c r="H4922" s="2" t="s">
        <v>1224</v>
      </c>
    </row>
    <row r="4923" customFormat="false" ht="15" hidden="false" customHeight="false" outlineLevel="1" collapsed="false">
      <c r="A4923" s="7" t="s">
        <v>492</v>
      </c>
      <c r="B4923" s="8" t="s">
        <v>64</v>
      </c>
      <c r="C4923" s="63" t="n">
        <f aca="false">Pressupostos!$C$69*C4912</f>
        <v>0.018</v>
      </c>
      <c r="D4923" s="63" t="n">
        <f aca="false">Pressupostos!$C$69*D4912</f>
        <v>0.018</v>
      </c>
      <c r="E4923" s="63" t="n">
        <f aca="false">Pressupostos!$C$69*E4912</f>
        <v>0.018</v>
      </c>
      <c r="F4923" s="63" t="n">
        <f aca="false">Pressupostos!$C$69*F4912</f>
        <v>0.018</v>
      </c>
      <c r="G4923" s="63" t="n">
        <f aca="false">Pressupostos!$C$69*G4912</f>
        <v>0.018</v>
      </c>
      <c r="H4923" s="2" t="s">
        <v>1225</v>
      </c>
    </row>
    <row r="4924" customFormat="false" ht="15" hidden="false" customHeight="false" outlineLevel="1" collapsed="false">
      <c r="A4924" s="7" t="s">
        <v>493</v>
      </c>
      <c r="B4924" s="8" t="s">
        <v>64</v>
      </c>
      <c r="C4924" s="63" t="n">
        <f aca="false">Pressupostos!$C$70*Pressupostos!$C$71*C4918/90</f>
        <v>0.003</v>
      </c>
      <c r="D4924" s="63" t="n">
        <f aca="false">Pressupostos!$C$70*Pressupostos!$C$71*D4918/90</f>
        <v>0.003</v>
      </c>
      <c r="E4924" s="63" t="n">
        <f aca="false">Pressupostos!$C$70*Pressupostos!$C$71*E4918/90</f>
        <v>0.003</v>
      </c>
      <c r="F4924" s="63" t="n">
        <f aca="false">Pressupostos!$C$70*Pressupostos!$C$71*F4918/90</f>
        <v>0.003</v>
      </c>
      <c r="G4924" s="63" t="n">
        <f aca="false">Pressupostos!$C$70*Pressupostos!$C$71*G4918/90</f>
        <v>0.003</v>
      </c>
      <c r="H4924" s="2" t="s">
        <v>1226</v>
      </c>
    </row>
    <row r="4925" customFormat="false" ht="15" hidden="false" customHeight="false" outlineLevel="1" collapsed="false">
      <c r="A4925" s="7" t="s">
        <v>673</v>
      </c>
      <c r="B4925" s="8" t="s">
        <v>64</v>
      </c>
      <c r="C4925" s="63" t="n">
        <f aca="false">Pressupostos!$C$49/(Pressupostos!$C$47*1000)</f>
        <v>0.04</v>
      </c>
      <c r="D4925" s="63" t="n">
        <f aca="false">Pressupostos!$C$49/(Pressupostos!$C$47*1000)</f>
        <v>0.04</v>
      </c>
      <c r="E4925" s="63" t="n">
        <f aca="false">Pressupostos!$C$49/(Pressupostos!$C$47*1000)</f>
        <v>0.04</v>
      </c>
      <c r="F4925" s="63" t="n">
        <f aca="false">Pressupostos!$C$49/(Pressupostos!$C$47*1000)</f>
        <v>0.04</v>
      </c>
      <c r="G4925" s="63" t="n">
        <f aca="false">Pressupostos!$C$49/(Pressupostos!$C$47*1000)</f>
        <v>0.04</v>
      </c>
      <c r="H4925" s="2" t="s">
        <v>1227</v>
      </c>
    </row>
    <row r="4926" customFormat="false" ht="15" hidden="false" customHeight="false" outlineLevel="1" collapsed="false">
      <c r="A4926" s="7" t="s">
        <v>139</v>
      </c>
      <c r="B4926" s="8" t="s">
        <v>64</v>
      </c>
      <c r="C4926" s="67" t="n">
        <f aca="false">Pressupostos!$C$50</f>
        <v>0.005</v>
      </c>
      <c r="D4926" s="67" t="n">
        <f aca="false">Pressupostos!$C$50</f>
        <v>0.005</v>
      </c>
      <c r="E4926" s="67" t="n">
        <f aca="false">Pressupostos!$C$50</f>
        <v>0.005</v>
      </c>
      <c r="F4926" s="67" t="n">
        <f aca="false">Pressupostos!$C$50</f>
        <v>0.005</v>
      </c>
      <c r="G4926" s="67" t="n">
        <f aca="false">Pressupostos!$C$50</f>
        <v>0.005</v>
      </c>
      <c r="H4926" s="2" t="s">
        <v>1228</v>
      </c>
    </row>
    <row r="4927" customFormat="false" ht="15" hidden="false" customHeight="false" outlineLevel="1" collapsed="false">
      <c r="A4927" s="7" t="s">
        <v>81</v>
      </c>
      <c r="B4927" s="8" t="s">
        <v>64</v>
      </c>
      <c r="C4927" s="63" t="n">
        <f aca="false">Pressupostos!$F$25*C4914</f>
        <v>0.01335</v>
      </c>
      <c r="D4927" s="63" t="n">
        <f aca="false">Pressupostos!$F$25*D4914</f>
        <v>0.01335</v>
      </c>
      <c r="E4927" s="63" t="n">
        <f aca="false">Pressupostos!$F$25*E4914</f>
        <v>0.01335</v>
      </c>
      <c r="F4927" s="63" t="n">
        <f aca="false">Pressupostos!$F$25*F4914</f>
        <v>0.01335</v>
      </c>
      <c r="G4927" s="63" t="n">
        <f aca="false">Pressupostos!$F$25*G4914</f>
        <v>0.01335</v>
      </c>
      <c r="H4927" s="2" t="s">
        <v>1229</v>
      </c>
    </row>
    <row r="4928" customFormat="false" ht="15" hidden="false" customHeight="false" outlineLevel="1" collapsed="false">
      <c r="A4928" s="7" t="s">
        <v>674</v>
      </c>
      <c r="B4928" s="8" t="s">
        <v>64</v>
      </c>
      <c r="C4928" s="63" t="n">
        <f aca="false">Pressupostos!$C$73*C4914</f>
        <v>0</v>
      </c>
      <c r="D4928" s="63" t="n">
        <f aca="false">Pressupostos!$C$73*D4914</f>
        <v>0</v>
      </c>
      <c r="E4928" s="63" t="n">
        <f aca="false">Pressupostos!$C$73*E4914</f>
        <v>0</v>
      </c>
      <c r="F4928" s="63" t="n">
        <f aca="false">Pressupostos!$C$73*F4914</f>
        <v>0</v>
      </c>
      <c r="G4928" s="63" t="n">
        <f aca="false">Pressupostos!$C$73*G4914</f>
        <v>0</v>
      </c>
      <c r="H4928" s="2" t="s">
        <v>1230</v>
      </c>
    </row>
    <row r="4929" customFormat="false" ht="15" hidden="false" customHeight="false" outlineLevel="1" collapsed="false">
      <c r="A4929" s="7" t="s">
        <v>675</v>
      </c>
      <c r="B4929" s="8" t="s">
        <v>64</v>
      </c>
      <c r="C4929" s="63" t="n">
        <f aca="false">Pressupostos!$C$290*(C4912+C4915)*(C4918+C4919-Pressupostos!$C$72)/365*Pressupostos!$C$284/Pressupostos!$F$31</f>
        <v>0</v>
      </c>
      <c r="D4929" s="63" t="n">
        <f aca="false">Pressupostos!$D$290*(D4912+D4915)*(D4918+D4919-Pressupostos!$C$72)/365*Pressupostos!$D$284/Pressupostos!$F$31</f>
        <v>0.0457705479452055</v>
      </c>
      <c r="E4929" s="63" t="n">
        <f aca="false">Pressupostos!$E$290*(E4912+E4915)*(E4918+E4919-Pressupostos!$C$72)/365*Pressupostos!$E$284/Pressupostos!$F$31</f>
        <v>0.0429098886986301</v>
      </c>
      <c r="F4929" s="63" t="n">
        <f aca="false">Pressupostos!$F$290*(F4912+F4915)*(F4918+F4919-Pressupostos!$C$72)/365*Pressupostos!$F$284/Pressupostos!$F$31</f>
        <v>0.0400492294520548</v>
      </c>
      <c r="G4929" s="63" t="n">
        <f aca="false">Pressupostos!$G$290*(G4912+G4915)*(G4918+G4919-Pressupostos!$C$72)/365*Pressupostos!$G$284/Pressupostos!$F$31</f>
        <v>0.0400492294520548</v>
      </c>
      <c r="H4929" s="2" t="s">
        <v>1231</v>
      </c>
    </row>
    <row r="4930" customFormat="false" ht="15" hidden="false" customHeight="false" outlineLevel="1" collapsed="false">
      <c r="A4930" s="7" t="s">
        <v>676</v>
      </c>
      <c r="B4930" s="8" t="s">
        <v>64</v>
      </c>
      <c r="C4930" s="63" t="n">
        <f aca="false">C4912+C4915+C4916+C4917+C4920+C4921+C4922+C4923+C4924+C4925+C4926+C4927+C4928+C4929</f>
        <v>4.25394178082192</v>
      </c>
      <c r="D4930" s="63" t="n">
        <f aca="false">D4912+D4915+D4916+D4917+D4920+D4921+D4922+D4923+D4924+D4925+D4926+D4927+D4928+D4929</f>
        <v>4.29971232876712</v>
      </c>
      <c r="E4930" s="63" t="n">
        <f aca="false">E4912+E4915+E4916+E4917+E4920+E4921+E4922+E4923+E4924+E4925+E4926+E4927+E4928+E4929</f>
        <v>4.28685166952055</v>
      </c>
      <c r="F4930" s="63" t="n">
        <f aca="false">F4912+F4915+F4916+F4917+F4920+F4921+F4922+F4923+F4924+F4925+F4926+F4927+F4928+F4929</f>
        <v>4.28399101027397</v>
      </c>
      <c r="G4930" s="63" t="n">
        <f aca="false">G4912+G4915+G4916+G4917+G4920+G4921+G4922+G4923+G4924+G4925+G4926+G4927+G4928+G4929</f>
        <v>4.28399101027397</v>
      </c>
      <c r="H4930" s="2" t="s">
        <v>1232</v>
      </c>
    </row>
    <row r="4931" customFormat="false" ht="15" hidden="false" customHeight="false" outlineLevel="1" collapsed="false">
      <c r="A4931" s="56" t="s">
        <v>677</v>
      </c>
      <c r="B4931" s="57" t="s">
        <v>64</v>
      </c>
      <c r="C4931" s="68" t="n">
        <f aca="false">C4914-C4930</f>
        <v>0.196058219178083</v>
      </c>
      <c r="D4931" s="68" t="n">
        <f aca="false">D4914-D4930</f>
        <v>0.150287671232877</v>
      </c>
      <c r="E4931" s="68" t="n">
        <f aca="false">E4914-E4930</f>
        <v>0.163148330479452</v>
      </c>
      <c r="F4931" s="68" t="n">
        <f aca="false">F4914-F4930</f>
        <v>0.166008989726028</v>
      </c>
      <c r="G4931" s="68" t="n">
        <f aca="false">G4914-G4930</f>
        <v>0.166008989726028</v>
      </c>
      <c r="H4931" s="2" t="s">
        <v>1233</v>
      </c>
    </row>
    <row r="4932" customFormat="false" ht="15" hidden="false" customHeight="false" outlineLevel="1" collapsed="false">
      <c r="A4932" s="7" t="s">
        <v>678</v>
      </c>
      <c r="B4932" s="8" t="s">
        <v>76</v>
      </c>
      <c r="C4932" s="59" t="n">
        <f aca="false">IF(C4914&gt;0,C4931/C4914,0)</f>
        <v>0.0440580267815916</v>
      </c>
      <c r="D4932" s="59" t="n">
        <f aca="false">IF(D4914&gt;0,D4931/D4914,0)</f>
        <v>0.0337725103894105</v>
      </c>
      <c r="E4932" s="59" t="n">
        <f aca="false">IF(E4914&gt;0,E4931/E4914,0)</f>
        <v>0.0366625461751578</v>
      </c>
      <c r="F4932" s="59" t="n">
        <f aca="false">IF(F4914&gt;0,F4931/F4914,0)</f>
        <v>0.0373053909496692</v>
      </c>
      <c r="G4932" s="59" t="n">
        <f aca="false">IF(G4914&gt;0,G4931/G4914,0)</f>
        <v>0.0373053909496692</v>
      </c>
      <c r="H4932" s="2" t="s">
        <v>1234</v>
      </c>
    </row>
    <row r="4933" customFormat="false" ht="15" hidden="false" customHeight="false" outlineLevel="1" collapsed="false">
      <c r="A4933" s="7" t="s">
        <v>679</v>
      </c>
      <c r="B4933" s="8" t="s">
        <v>64</v>
      </c>
      <c r="C4933" s="63" t="n">
        <f aca="false">(C4912+C4915)*(C4918-Pressupostos!$C$72)/365+C4914*C4919/365</f>
        <v>0.670547945205479</v>
      </c>
      <c r="D4933" s="63" t="n">
        <f aca="false">(D4912+D4915)*(D4918-Pressupostos!$C$72)/365+D4914*D4919/365</f>
        <v>0.670547945205479</v>
      </c>
      <c r="E4933" s="63" t="n">
        <f aca="false">(E4912+E4915)*(E4918-Pressupostos!$C$72)/365+E4914*E4919/365</f>
        <v>0.670547945205479</v>
      </c>
      <c r="F4933" s="63" t="n">
        <f aca="false">(F4912+F4915)*(F4918-Pressupostos!$C$72)/365+F4914*F4919/365</f>
        <v>0.670547945205479</v>
      </c>
      <c r="G4933" s="63" t="n">
        <f aca="false">(G4912+G4915)*(G4918-Pressupostos!$C$72)/365+G4914*G4919/365</f>
        <v>0.670547945205479</v>
      </c>
      <c r="H4933" s="2" t="s">
        <v>1235</v>
      </c>
    </row>
    <row r="4934" customFormat="false" ht="15" hidden="false" customHeight="false" outlineLevel="0" collapsed="false">
      <c r="A4934" s="3" t="s">
        <v>1236</v>
      </c>
      <c r="B4934" s="4"/>
      <c r="C4934" s="4"/>
      <c r="D4934" s="4"/>
      <c r="E4934" s="4"/>
      <c r="F4934" s="4"/>
      <c r="G4934" s="4"/>
      <c r="H4934" s="4"/>
    </row>
    <row r="4935" customFormat="false" ht="15" hidden="false" customHeight="false" outlineLevel="1" collapsed="false">
      <c r="A4935" s="7" t="s">
        <v>669</v>
      </c>
      <c r="B4935" s="8" t="s">
        <v>64</v>
      </c>
      <c r="C4935" s="63" t="n">
        <f aca="false">Pressupostos!$F$10+Pressupostos!$F$13</f>
        <v>3.5</v>
      </c>
      <c r="D4935" s="63" t="n">
        <f aca="false">Pressupostos!$F$10+Pressupostos!$F$13</f>
        <v>3.5</v>
      </c>
      <c r="E4935" s="63" t="n">
        <f aca="false">Pressupostos!$F$10+Pressupostos!$F$13</f>
        <v>3.5</v>
      </c>
      <c r="F4935" s="63" t="n">
        <f aca="false">Pressupostos!$F$10+Pressupostos!$F$13</f>
        <v>3.5</v>
      </c>
      <c r="G4935" s="63" t="n">
        <f aca="false">Pressupostos!$F$10+Pressupostos!$F$13</f>
        <v>3.5</v>
      </c>
      <c r="H4935" s="2" t="s">
        <v>1237</v>
      </c>
    </row>
    <row r="4936" customFormat="false" ht="15" hidden="false" customHeight="false" outlineLevel="1" collapsed="false">
      <c r="A4936" s="7" t="s">
        <v>670</v>
      </c>
      <c r="B4936" s="8" t="s">
        <v>64</v>
      </c>
      <c r="C4936" s="63" t="n">
        <f aca="false">Pressupostos!$F$10+Pressupostos!$C$52</f>
        <v>3.65</v>
      </c>
      <c r="D4936" s="63" t="n">
        <f aca="false">Pressupostos!$F$10+Pressupostos!$C$52</f>
        <v>3.65</v>
      </c>
      <c r="E4936" s="63" t="n">
        <f aca="false">Pressupostos!$F$10+Pressupostos!$C$52</f>
        <v>3.65</v>
      </c>
      <c r="F4936" s="63" t="n">
        <f aca="false">Pressupostos!$F$10+Pressupostos!$C$52</f>
        <v>3.65</v>
      </c>
      <c r="G4936" s="63" t="n">
        <f aca="false">Pressupostos!$F$10+Pressupostos!$C$52</f>
        <v>3.65</v>
      </c>
      <c r="H4936" s="2" t="s">
        <v>1238</v>
      </c>
    </row>
    <row r="4937" customFormat="false" ht="15" hidden="false" customHeight="false" outlineLevel="1" collapsed="false">
      <c r="A4937" s="56" t="s">
        <v>671</v>
      </c>
      <c r="B4937" s="57" t="s">
        <v>64</v>
      </c>
      <c r="C4937" s="68" t="n">
        <f aca="false">C4936*(1-Pressupostos!$C$53)</f>
        <v>3.65</v>
      </c>
      <c r="D4937" s="68" t="n">
        <f aca="false">D4936*(1-Pressupostos!$C$53)</f>
        <v>3.65</v>
      </c>
      <c r="E4937" s="68" t="n">
        <f aca="false">E4936*(1-Pressupostos!$C$53)</f>
        <v>3.65</v>
      </c>
      <c r="F4937" s="68" t="n">
        <f aca="false">F4936*(1-Pressupostos!$C$53)</f>
        <v>3.65</v>
      </c>
      <c r="G4937" s="68" t="n">
        <f aca="false">G4936*(1-Pressupostos!$C$53)</f>
        <v>3.65</v>
      </c>
      <c r="H4937" s="2" t="s">
        <v>1239</v>
      </c>
    </row>
    <row r="4938" customFormat="false" ht="15" hidden="false" customHeight="false" outlineLevel="1" collapsed="false">
      <c r="A4938" s="7" t="s">
        <v>144</v>
      </c>
      <c r="B4938" s="8" t="s">
        <v>64</v>
      </c>
      <c r="C4938" s="67" t="n">
        <f aca="false">Pressupostos!$C$54</f>
        <v>0</v>
      </c>
      <c r="D4938" s="67" t="n">
        <f aca="false">Pressupostos!$C$54</f>
        <v>0</v>
      </c>
      <c r="E4938" s="67" t="n">
        <f aca="false">Pressupostos!$C$54</f>
        <v>0</v>
      </c>
      <c r="F4938" s="67" t="n">
        <f aca="false">Pressupostos!$C$54</f>
        <v>0</v>
      </c>
      <c r="G4938" s="67" t="n">
        <f aca="false">Pressupostos!$C$54</f>
        <v>0</v>
      </c>
      <c r="H4938" s="2" t="s">
        <v>1240</v>
      </c>
    </row>
    <row r="4939" customFormat="false" ht="15" hidden="false" customHeight="false" outlineLevel="1" collapsed="false">
      <c r="A4939" s="7" t="s">
        <v>215</v>
      </c>
      <c r="B4939" s="8" t="s">
        <v>64</v>
      </c>
      <c r="C4939" s="67" t="n">
        <f aca="false">Pressupostos!$C$55</f>
        <v>0.04</v>
      </c>
      <c r="D4939" s="67" t="n">
        <f aca="false">Pressupostos!$C$55</f>
        <v>0.04</v>
      </c>
      <c r="E4939" s="67" t="n">
        <f aca="false">Pressupostos!$C$55</f>
        <v>0.04</v>
      </c>
      <c r="F4939" s="67" t="n">
        <f aca="false">Pressupostos!$C$55</f>
        <v>0.04</v>
      </c>
      <c r="G4939" s="67" t="n">
        <f aca="false">Pressupostos!$C$55</f>
        <v>0.04</v>
      </c>
      <c r="H4939" s="2" t="s">
        <v>1241</v>
      </c>
    </row>
    <row r="4940" customFormat="false" ht="15" hidden="false" customHeight="false" outlineLevel="1" collapsed="false">
      <c r="A4940" s="7" t="s">
        <v>117</v>
      </c>
      <c r="B4940" s="8" t="s">
        <v>64</v>
      </c>
      <c r="C4940" s="67" t="n">
        <f aca="false">Pressupostos!$C$56</f>
        <v>0</v>
      </c>
      <c r="D4940" s="67" t="n">
        <f aca="false">Pressupostos!$C$56</f>
        <v>0</v>
      </c>
      <c r="E4940" s="67" t="n">
        <f aca="false">Pressupostos!$C$56</f>
        <v>0</v>
      </c>
      <c r="F4940" s="67" t="n">
        <f aca="false">Pressupostos!$C$56</f>
        <v>0</v>
      </c>
      <c r="G4940" s="67" t="n">
        <f aca="false">Pressupostos!$C$56</f>
        <v>0</v>
      </c>
      <c r="H4940" s="2" t="s">
        <v>1242</v>
      </c>
    </row>
    <row r="4941" customFormat="false" ht="15" hidden="false" customHeight="false" outlineLevel="1" collapsed="false">
      <c r="A4941" s="7" t="s">
        <v>91</v>
      </c>
      <c r="B4941" s="8" t="s">
        <v>79</v>
      </c>
      <c r="C4941" s="69" t="n">
        <f aca="false">Pressupostos!$C$57</f>
        <v>15</v>
      </c>
      <c r="D4941" s="69" t="n">
        <f aca="false">Pressupostos!$C$57</f>
        <v>15</v>
      </c>
      <c r="E4941" s="69" t="n">
        <f aca="false">Pressupostos!$C$57</f>
        <v>15</v>
      </c>
      <c r="F4941" s="69" t="n">
        <f aca="false">Pressupostos!$C$57</f>
        <v>15</v>
      </c>
      <c r="G4941" s="69" t="n">
        <f aca="false">Pressupostos!$C$57</f>
        <v>15</v>
      </c>
      <c r="H4941" s="2" t="s">
        <v>1243</v>
      </c>
    </row>
    <row r="4942" customFormat="false" ht="15" hidden="false" customHeight="false" outlineLevel="1" collapsed="false">
      <c r="A4942" s="7" t="s">
        <v>78</v>
      </c>
      <c r="B4942" s="8" t="s">
        <v>79</v>
      </c>
      <c r="C4942" s="69" t="n">
        <f aca="false">Pressupostos!$C$58</f>
        <v>45</v>
      </c>
      <c r="D4942" s="69" t="n">
        <f aca="false">Pressupostos!$C$58</f>
        <v>45</v>
      </c>
      <c r="E4942" s="69" t="n">
        <f aca="false">Pressupostos!$C$58</f>
        <v>45</v>
      </c>
      <c r="F4942" s="69" t="n">
        <f aca="false">Pressupostos!$C$58</f>
        <v>45</v>
      </c>
      <c r="G4942" s="69" t="n">
        <f aca="false">Pressupostos!$C$58</f>
        <v>45</v>
      </c>
      <c r="H4942" s="2" t="s">
        <v>1244</v>
      </c>
    </row>
    <row r="4943" customFormat="false" ht="15" hidden="false" customHeight="false" outlineLevel="1" collapsed="false">
      <c r="A4943" s="7" t="s">
        <v>490</v>
      </c>
      <c r="B4943" s="8" t="s">
        <v>64</v>
      </c>
      <c r="C4943" s="63" t="n">
        <f aca="false">Pressupostos!$C$66*C4941/30/1000</f>
        <v>0.002</v>
      </c>
      <c r="D4943" s="63" t="n">
        <f aca="false">Pressupostos!$C$66*D4941/30/1000</f>
        <v>0.002</v>
      </c>
      <c r="E4943" s="63" t="n">
        <f aca="false">Pressupostos!$C$66*E4941/30/1000</f>
        <v>0.002</v>
      </c>
      <c r="F4943" s="63" t="n">
        <f aca="false">Pressupostos!$C$66*F4941/30/1000</f>
        <v>0.002</v>
      </c>
      <c r="G4943" s="63" t="n">
        <f aca="false">Pressupostos!$C$66*G4941/30/1000</f>
        <v>0.002</v>
      </c>
      <c r="H4943" s="2" t="s">
        <v>1245</v>
      </c>
    </row>
    <row r="4944" customFormat="false" ht="15" hidden="false" customHeight="false" outlineLevel="1" collapsed="false">
      <c r="A4944" s="7" t="s">
        <v>165</v>
      </c>
      <c r="B4944" s="8" t="s">
        <v>64</v>
      </c>
      <c r="C4944" s="63" t="n">
        <f aca="false">C4935*Pressupostos!$C$67*C4941/365</f>
        <v>0.000287671232876712</v>
      </c>
      <c r="D4944" s="63" t="n">
        <f aca="false">D4935*Pressupostos!$C$67*D4941/365</f>
        <v>0.000287671232876712</v>
      </c>
      <c r="E4944" s="63" t="n">
        <f aca="false">E4935*Pressupostos!$C$67*E4941/365</f>
        <v>0.000287671232876712</v>
      </c>
      <c r="F4944" s="63" t="n">
        <f aca="false">F4935*Pressupostos!$C$67*F4941/365</f>
        <v>0.000287671232876712</v>
      </c>
      <c r="G4944" s="63" t="n">
        <f aca="false">G4935*Pressupostos!$C$67*G4941/365</f>
        <v>0.000287671232876712</v>
      </c>
      <c r="H4944" s="2" t="s">
        <v>1246</v>
      </c>
    </row>
    <row r="4945" customFormat="false" ht="15" hidden="false" customHeight="false" outlineLevel="1" collapsed="false">
      <c r="A4945" s="7" t="s">
        <v>672</v>
      </c>
      <c r="B4945" s="8" t="s">
        <v>64</v>
      </c>
      <c r="C4945" s="63" t="n">
        <f aca="false">Pressupostos!$C$60*Pressupostos!$C$68/(Pressupostos!$C$59*1000)</f>
        <v>0.006</v>
      </c>
      <c r="D4945" s="63" t="n">
        <f aca="false">Pressupostos!$C$60*Pressupostos!$C$68/(Pressupostos!$C$59*1000)</f>
        <v>0.006</v>
      </c>
      <c r="E4945" s="63" t="n">
        <f aca="false">Pressupostos!$C$60*Pressupostos!$C$68/(Pressupostos!$C$59*1000)</f>
        <v>0.006</v>
      </c>
      <c r="F4945" s="63" t="n">
        <f aca="false">Pressupostos!$C$60*Pressupostos!$C$68/(Pressupostos!$C$59*1000)</f>
        <v>0.006</v>
      </c>
      <c r="G4945" s="63" t="n">
        <f aca="false">Pressupostos!$C$60*Pressupostos!$C$68/(Pressupostos!$C$59*1000)</f>
        <v>0.006</v>
      </c>
      <c r="H4945" s="2" t="s">
        <v>1247</v>
      </c>
    </row>
    <row r="4946" customFormat="false" ht="15" hidden="false" customHeight="false" outlineLevel="1" collapsed="false">
      <c r="A4946" s="7" t="s">
        <v>492</v>
      </c>
      <c r="B4946" s="8" t="s">
        <v>64</v>
      </c>
      <c r="C4946" s="63" t="n">
        <f aca="false">Pressupostos!$C$69*C4935</f>
        <v>0.0175</v>
      </c>
      <c r="D4946" s="63" t="n">
        <f aca="false">Pressupostos!$C$69*D4935</f>
        <v>0.0175</v>
      </c>
      <c r="E4946" s="63" t="n">
        <f aca="false">Pressupostos!$C$69*E4935</f>
        <v>0.0175</v>
      </c>
      <c r="F4946" s="63" t="n">
        <f aca="false">Pressupostos!$C$69*F4935</f>
        <v>0.0175</v>
      </c>
      <c r="G4946" s="63" t="n">
        <f aca="false">Pressupostos!$C$69*G4935</f>
        <v>0.0175</v>
      </c>
      <c r="H4946" s="2" t="s">
        <v>1248</v>
      </c>
    </row>
    <row r="4947" customFormat="false" ht="15" hidden="false" customHeight="false" outlineLevel="1" collapsed="false">
      <c r="A4947" s="7" t="s">
        <v>493</v>
      </c>
      <c r="B4947" s="8" t="s">
        <v>64</v>
      </c>
      <c r="C4947" s="63" t="n">
        <f aca="false">Pressupostos!$C$70*Pressupostos!$C$71*C4941/90</f>
        <v>0.0015</v>
      </c>
      <c r="D4947" s="63" t="n">
        <f aca="false">Pressupostos!$C$70*Pressupostos!$C$71*D4941/90</f>
        <v>0.0015</v>
      </c>
      <c r="E4947" s="63" t="n">
        <f aca="false">Pressupostos!$C$70*Pressupostos!$C$71*E4941/90</f>
        <v>0.0015</v>
      </c>
      <c r="F4947" s="63" t="n">
        <f aca="false">Pressupostos!$C$70*Pressupostos!$C$71*F4941/90</f>
        <v>0.0015</v>
      </c>
      <c r="G4947" s="63" t="n">
        <f aca="false">Pressupostos!$C$70*Pressupostos!$C$71*G4941/90</f>
        <v>0.0015</v>
      </c>
      <c r="H4947" s="2" t="s">
        <v>1249</v>
      </c>
    </row>
    <row r="4948" customFormat="false" ht="15" hidden="false" customHeight="false" outlineLevel="1" collapsed="false">
      <c r="A4948" s="7" t="s">
        <v>673</v>
      </c>
      <c r="B4948" s="8" t="s">
        <v>64</v>
      </c>
      <c r="C4948" s="63" t="n">
        <f aca="false">Pressupostos!$C$61/(Pressupostos!$C$59*1000)</f>
        <v>0.012</v>
      </c>
      <c r="D4948" s="63" t="n">
        <f aca="false">Pressupostos!$C$61/(Pressupostos!$C$59*1000)</f>
        <v>0.012</v>
      </c>
      <c r="E4948" s="63" t="n">
        <f aca="false">Pressupostos!$C$61/(Pressupostos!$C$59*1000)</f>
        <v>0.012</v>
      </c>
      <c r="F4948" s="63" t="n">
        <f aca="false">Pressupostos!$C$61/(Pressupostos!$C$59*1000)</f>
        <v>0.012</v>
      </c>
      <c r="G4948" s="63" t="n">
        <f aca="false">Pressupostos!$C$61/(Pressupostos!$C$59*1000)</f>
        <v>0.012</v>
      </c>
      <c r="H4948" s="2" t="s">
        <v>1250</v>
      </c>
    </row>
    <row r="4949" customFormat="false" ht="15" hidden="false" customHeight="false" outlineLevel="1" collapsed="false">
      <c r="A4949" s="7" t="s">
        <v>139</v>
      </c>
      <c r="B4949" s="8" t="s">
        <v>64</v>
      </c>
      <c r="C4949" s="67" t="n">
        <f aca="false">Pressupostos!$C$62</f>
        <v>0.001</v>
      </c>
      <c r="D4949" s="67" t="n">
        <f aca="false">Pressupostos!$C$62</f>
        <v>0.001</v>
      </c>
      <c r="E4949" s="67" t="n">
        <f aca="false">Pressupostos!$C$62</f>
        <v>0.001</v>
      </c>
      <c r="F4949" s="67" t="n">
        <f aca="false">Pressupostos!$C$62</f>
        <v>0.001</v>
      </c>
      <c r="G4949" s="67" t="n">
        <f aca="false">Pressupostos!$C$62</f>
        <v>0.001</v>
      </c>
      <c r="H4949" s="2" t="s">
        <v>1251</v>
      </c>
    </row>
    <row r="4950" customFormat="false" ht="15" hidden="false" customHeight="false" outlineLevel="1" collapsed="false">
      <c r="A4950" s="7" t="s">
        <v>81</v>
      </c>
      <c r="B4950" s="8" t="s">
        <v>64</v>
      </c>
      <c r="C4950" s="63" t="n">
        <f aca="false">Pressupostos!$C$63*C4937</f>
        <v>0.01095</v>
      </c>
      <c r="D4950" s="63" t="n">
        <f aca="false">Pressupostos!$C$63*D4937</f>
        <v>0.01095</v>
      </c>
      <c r="E4950" s="63" t="n">
        <f aca="false">Pressupostos!$C$63*E4937</f>
        <v>0.01095</v>
      </c>
      <c r="F4950" s="63" t="n">
        <f aca="false">Pressupostos!$C$63*F4937</f>
        <v>0.01095</v>
      </c>
      <c r="G4950" s="63" t="n">
        <f aca="false">Pressupostos!$C$63*G4937</f>
        <v>0.01095</v>
      </c>
      <c r="H4950" s="2" t="s">
        <v>1252</v>
      </c>
    </row>
    <row r="4951" customFormat="false" ht="15" hidden="false" customHeight="false" outlineLevel="1" collapsed="false">
      <c r="A4951" s="7" t="s">
        <v>674</v>
      </c>
      <c r="B4951" s="8" t="s">
        <v>64</v>
      </c>
      <c r="C4951" s="63" t="n">
        <f aca="false">Pressupostos!$C$73*C4937</f>
        <v>0</v>
      </c>
      <c r="D4951" s="63" t="n">
        <f aca="false">Pressupostos!$C$73*D4937</f>
        <v>0</v>
      </c>
      <c r="E4951" s="63" t="n">
        <f aca="false">Pressupostos!$C$73*E4937</f>
        <v>0</v>
      </c>
      <c r="F4951" s="63" t="n">
        <f aca="false">Pressupostos!$C$73*F4937</f>
        <v>0</v>
      </c>
      <c r="G4951" s="63" t="n">
        <f aca="false">Pressupostos!$C$73*G4937</f>
        <v>0</v>
      </c>
      <c r="H4951" s="2" t="s">
        <v>1253</v>
      </c>
    </row>
    <row r="4952" customFormat="false" ht="15" hidden="false" customHeight="false" outlineLevel="1" collapsed="false">
      <c r="A4952" s="7" t="s">
        <v>675</v>
      </c>
      <c r="B4952" s="8" t="s">
        <v>64</v>
      </c>
      <c r="C4952" s="63" t="n">
        <f aca="false">Pressupostos!$C$290*(C4935+C4938)*(C4941+C4942-Pressupostos!$C$72)/365*Pressupostos!$C$284/Pressupostos!$F$31</f>
        <v>0</v>
      </c>
      <c r="D4952" s="63" t="n">
        <f aca="false">Pressupostos!$D$290*(D4935+D4938)*(D4941+D4942-Pressupostos!$C$72)/365*Pressupostos!$D$284/Pressupostos!$F$31</f>
        <v>0.0215753424657534</v>
      </c>
      <c r="E4952" s="63" t="n">
        <f aca="false">Pressupostos!$E$290*(E4935+E4938)*(E4941+E4942-Pressupostos!$C$72)/365*Pressupostos!$E$284/Pressupostos!$F$31</f>
        <v>0.0202268835616438</v>
      </c>
      <c r="F4952" s="63" t="n">
        <f aca="false">Pressupostos!$F$290*(F4935+F4938)*(F4941+F4942-Pressupostos!$C$72)/365*Pressupostos!$F$284/Pressupostos!$F$31</f>
        <v>0.0188784246575342</v>
      </c>
      <c r="G4952" s="63" t="n">
        <f aca="false">Pressupostos!$G$290*(G4935+G4938)*(G4941+G4942-Pressupostos!$C$72)/365*Pressupostos!$G$284/Pressupostos!$F$31</f>
        <v>0.0188784246575342</v>
      </c>
      <c r="H4952" s="2" t="s">
        <v>1254</v>
      </c>
    </row>
    <row r="4953" customFormat="false" ht="15" hidden="false" customHeight="false" outlineLevel="1" collapsed="false">
      <c r="A4953" s="7" t="s">
        <v>676</v>
      </c>
      <c r="B4953" s="8" t="s">
        <v>64</v>
      </c>
      <c r="C4953" s="63" t="n">
        <f aca="false">C4935+C4938+C4939+C4940+C4943+C4944+C4945+C4946+C4947+C4948+C4949+C4950+C4951+C4952</f>
        <v>3.59123767123288</v>
      </c>
      <c r="D4953" s="63" t="n">
        <f aca="false">D4935+D4938+D4939+D4940+D4943+D4944+D4945+D4946+D4947+D4948+D4949+D4950+D4951+D4952</f>
        <v>3.61281301369863</v>
      </c>
      <c r="E4953" s="63" t="n">
        <f aca="false">E4935+E4938+E4939+E4940+E4943+E4944+E4945+E4946+E4947+E4948+E4949+E4950+E4951+E4952</f>
        <v>3.61146455479452</v>
      </c>
      <c r="F4953" s="63" t="n">
        <f aca="false">F4935+F4938+F4939+F4940+F4943+F4944+F4945+F4946+F4947+F4948+F4949+F4950+F4951+F4952</f>
        <v>3.61011609589041</v>
      </c>
      <c r="G4953" s="63" t="n">
        <f aca="false">G4935+G4938+G4939+G4940+G4943+G4944+G4945+G4946+G4947+G4948+G4949+G4950+G4951+G4952</f>
        <v>3.61011609589041</v>
      </c>
      <c r="H4953" s="2" t="s">
        <v>1255</v>
      </c>
    </row>
    <row r="4954" customFormat="false" ht="15" hidden="false" customHeight="false" outlineLevel="1" collapsed="false">
      <c r="A4954" s="56" t="s">
        <v>677</v>
      </c>
      <c r="B4954" s="57" t="s">
        <v>64</v>
      </c>
      <c r="C4954" s="68" t="n">
        <f aca="false">C4937-C4953</f>
        <v>0.058762328767124</v>
      </c>
      <c r="D4954" s="68" t="n">
        <f aca="false">D4937-D4953</f>
        <v>0.0371869863013705</v>
      </c>
      <c r="E4954" s="68" t="n">
        <f aca="false">E4937-E4953</f>
        <v>0.03853544520548</v>
      </c>
      <c r="F4954" s="68" t="n">
        <f aca="false">F4937-F4953</f>
        <v>0.0398839041095895</v>
      </c>
      <c r="G4954" s="68" t="n">
        <f aca="false">G4937-G4953</f>
        <v>0.0398839041095895</v>
      </c>
      <c r="H4954" s="2" t="s">
        <v>1256</v>
      </c>
    </row>
    <row r="4955" customFormat="false" ht="15" hidden="false" customHeight="false" outlineLevel="1" collapsed="false">
      <c r="A4955" s="7" t="s">
        <v>678</v>
      </c>
      <c r="B4955" s="8" t="s">
        <v>76</v>
      </c>
      <c r="C4955" s="59" t="n">
        <f aca="false">IF(C4937&gt;0,C4954/C4937,0)</f>
        <v>0.0160992681553764</v>
      </c>
      <c r="D4955" s="59" t="n">
        <f aca="false">IF(D4937&gt;0,D4954/D4937,0)</f>
        <v>0.010188215425033</v>
      </c>
      <c r="E4955" s="59" t="n">
        <f aca="false">IF(E4937&gt;0,E4954/E4937,0)</f>
        <v>0.0105576562206795</v>
      </c>
      <c r="F4955" s="59" t="n">
        <f aca="false">IF(F4937&gt;0,F4954/F4937,0)</f>
        <v>0.0109270970163259</v>
      </c>
      <c r="G4955" s="59" t="n">
        <f aca="false">IF(G4937&gt;0,G4954/G4937,0)</f>
        <v>0.0109270970163259</v>
      </c>
      <c r="H4955" s="2" t="s">
        <v>1257</v>
      </c>
    </row>
    <row r="4956" customFormat="false" ht="15" hidden="false" customHeight="false" outlineLevel="1" collapsed="false">
      <c r="A4956" s="7" t="s">
        <v>679</v>
      </c>
      <c r="B4956" s="8" t="s">
        <v>64</v>
      </c>
      <c r="C4956" s="63" t="n">
        <f aca="false">(C4935+C4938)*(C4941-Pressupostos!$C$72)/365+C4937*C4942/365</f>
        <v>0.306164383561644</v>
      </c>
      <c r="D4956" s="63" t="n">
        <f aca="false">(D4935+D4938)*(D4941-Pressupostos!$C$72)/365+D4937*D4942/365</f>
        <v>0.306164383561644</v>
      </c>
      <c r="E4956" s="63" t="n">
        <f aca="false">(E4935+E4938)*(E4941-Pressupostos!$C$72)/365+E4937*E4942/365</f>
        <v>0.306164383561644</v>
      </c>
      <c r="F4956" s="63" t="n">
        <f aca="false">(F4935+F4938)*(F4941-Pressupostos!$C$72)/365+F4937*F4942/365</f>
        <v>0.306164383561644</v>
      </c>
      <c r="G4956" s="63" t="n">
        <f aca="false">(G4935+G4938)*(G4941-Pressupostos!$C$72)/365+G4937*G4942/365</f>
        <v>0.306164383561644</v>
      </c>
      <c r="H4956" s="2" t="s">
        <v>1258</v>
      </c>
    </row>
    <row r="4957" customFormat="false" ht="15" hidden="false" customHeight="false" outlineLevel="0" collapsed="false">
      <c r="A4957" s="3" t="s">
        <v>1259</v>
      </c>
      <c r="B4957" s="4"/>
      <c r="C4957" s="4"/>
      <c r="D4957" s="4"/>
      <c r="E4957" s="4"/>
      <c r="F4957" s="4"/>
      <c r="G4957" s="4"/>
      <c r="H4957" s="4"/>
    </row>
    <row r="4958" customFormat="false" ht="15" hidden="false" customHeight="false" outlineLevel="1" collapsed="false">
      <c r="A4958" s="7" t="s">
        <v>683</v>
      </c>
      <c r="B4958" s="8" t="s">
        <v>64</v>
      </c>
      <c r="C4958" s="63" t="n">
        <f aca="false">Pressupostos!$C$64*Pressupostos!$F$10</f>
        <v>0.02625</v>
      </c>
      <c r="D4958" s="63" t="n">
        <f aca="false">Pressupostos!$C$64*Pressupostos!$F$10</f>
        <v>0.02625</v>
      </c>
      <c r="E4958" s="63" t="n">
        <f aca="false">Pressupostos!$C$64*Pressupostos!$F$10</f>
        <v>0.02625</v>
      </c>
      <c r="F4958" s="63" t="n">
        <f aca="false">Pressupostos!$C$64*Pressupostos!$F$10</f>
        <v>0.02625</v>
      </c>
      <c r="G4958" s="63" t="n">
        <f aca="false">Pressupostos!$C$64*Pressupostos!$F$10</f>
        <v>0.02625</v>
      </c>
      <c r="H4958" s="2" t="s">
        <v>1260</v>
      </c>
    </row>
    <row r="4959" customFormat="false" ht="15" hidden="false" customHeight="false" outlineLevel="1" collapsed="false">
      <c r="A4959" s="7" t="s">
        <v>684</v>
      </c>
      <c r="B4959" s="8" t="s">
        <v>64</v>
      </c>
      <c r="C4959" s="63" t="n">
        <f aca="false">C4948+C4945+C4949</f>
        <v>0.019</v>
      </c>
      <c r="D4959" s="63" t="n">
        <f aca="false">D4948+D4945+D4949</f>
        <v>0.019</v>
      </c>
      <c r="E4959" s="63" t="n">
        <f aca="false">E4948+E4945+E4949</f>
        <v>0.019</v>
      </c>
      <c r="F4959" s="63" t="n">
        <f aca="false">F4948+F4945+F4949</f>
        <v>0.019</v>
      </c>
      <c r="G4959" s="63" t="n">
        <f aca="false">G4948+G4945+G4949</f>
        <v>0.019</v>
      </c>
      <c r="H4959" s="2" t="s">
        <v>1261</v>
      </c>
    </row>
    <row r="4960" customFormat="false" ht="15" hidden="false" customHeight="false" outlineLevel="1" collapsed="false">
      <c r="A4960" s="56" t="s">
        <v>561</v>
      </c>
      <c r="B4960" s="57" t="s">
        <v>64</v>
      </c>
      <c r="C4960" s="68" t="n">
        <f aca="false">C4958-C4959</f>
        <v>0.00725</v>
      </c>
      <c r="D4960" s="68" t="n">
        <f aca="false">D4958-D4959</f>
        <v>0.00725</v>
      </c>
      <c r="E4960" s="68" t="n">
        <f aca="false">E4958-E4959</f>
        <v>0.00725</v>
      </c>
      <c r="F4960" s="68" t="n">
        <f aca="false">F4958-F4959</f>
        <v>0.00725</v>
      </c>
      <c r="G4960" s="68" t="n">
        <f aca="false">G4958-G4959</f>
        <v>0.00725</v>
      </c>
      <c r="H4960" s="2" t="s">
        <v>1262</v>
      </c>
    </row>
    <row r="4961" customFormat="false" ht="15" hidden="false" customHeight="false" outlineLevel="0" collapsed="false">
      <c r="A4961" s="3" t="s">
        <v>1263</v>
      </c>
      <c r="B4961" s="4"/>
      <c r="C4961" s="4"/>
      <c r="D4961" s="4"/>
      <c r="E4961" s="4"/>
      <c r="F4961" s="4"/>
      <c r="G4961" s="4"/>
      <c r="H4961" s="4"/>
    </row>
    <row r="4962" customFormat="false" ht="15" hidden="false" customHeight="false" outlineLevel="1" collapsed="false">
      <c r="A4962" s="7" t="s">
        <v>608</v>
      </c>
      <c r="B4962" s="8" t="s">
        <v>11</v>
      </c>
      <c r="C4962" s="61" t="n">
        <f aca="false">C4871*1000*C4891</f>
        <v>41820</v>
      </c>
      <c r="D4962" s="61" t="n">
        <f aca="false">D4871*1000*D4891</f>
        <v>156825</v>
      </c>
      <c r="E4962" s="61" t="n">
        <f aca="false">E4871*1000*E4891</f>
        <v>418200</v>
      </c>
      <c r="F4962" s="61" t="n">
        <f aca="false">F4871*1000*F4891</f>
        <v>731850</v>
      </c>
      <c r="G4962" s="61" t="n">
        <f aca="false">G4871*1000*G4891</f>
        <v>1045500</v>
      </c>
      <c r="H4962" s="2" t="s">
        <v>1264</v>
      </c>
    </row>
    <row r="4963" customFormat="false" ht="15" hidden="false" customHeight="false" outlineLevel="1" collapsed="false">
      <c r="A4963" s="7" t="s">
        <v>609</v>
      </c>
      <c r="B4963" s="8" t="s">
        <v>11</v>
      </c>
      <c r="C4963" s="61" t="n">
        <f aca="false">C4872*1000*C4914</f>
        <v>231400</v>
      </c>
      <c r="D4963" s="61" t="n">
        <f aca="false">D4872*1000*D4914</f>
        <v>1615350</v>
      </c>
      <c r="E4963" s="61" t="n">
        <f aca="false">E4872*1000*E4914</f>
        <v>3190650</v>
      </c>
      <c r="F4963" s="61" t="n">
        <f aca="false">F4872*1000*F4914</f>
        <v>5264350</v>
      </c>
      <c r="G4963" s="61" t="n">
        <f aca="false">G4872*1000*G4914</f>
        <v>7965500</v>
      </c>
      <c r="H4963" s="2" t="s">
        <v>1265</v>
      </c>
    </row>
    <row r="4964" customFormat="false" ht="15" hidden="false" customHeight="false" outlineLevel="1" collapsed="false">
      <c r="A4964" s="7" t="s">
        <v>610</v>
      </c>
      <c r="B4964" s="8" t="s">
        <v>11</v>
      </c>
      <c r="C4964" s="61" t="n">
        <f aca="false">C4874*1000*C4937</f>
        <v>0</v>
      </c>
      <c r="D4964" s="61" t="n">
        <f aca="false">D4874*1000*D4937</f>
        <v>0</v>
      </c>
      <c r="E4964" s="61" t="n">
        <f aca="false">E4874*1000*E4937</f>
        <v>0</v>
      </c>
      <c r="F4964" s="61" t="n">
        <f aca="false">F4874*1000*F4937</f>
        <v>0</v>
      </c>
      <c r="G4964" s="61" t="n">
        <f aca="false">G4874*1000*G4937</f>
        <v>0</v>
      </c>
      <c r="H4964" s="2" t="s">
        <v>1266</v>
      </c>
    </row>
    <row r="4965" customFormat="false" ht="15" hidden="false" customHeight="false" outlineLevel="1" collapsed="false">
      <c r="A4965" s="7" t="s">
        <v>611</v>
      </c>
      <c r="B4965" s="8" t="s">
        <v>11</v>
      </c>
      <c r="C4965" s="61" t="n">
        <f aca="false">C4962+C4963+C4964</f>
        <v>273220</v>
      </c>
      <c r="D4965" s="61" t="n">
        <f aca="false">D4962+D4963+D4964</f>
        <v>1772175</v>
      </c>
      <c r="E4965" s="61" t="n">
        <f aca="false">E4962+E4963+E4964</f>
        <v>3608850</v>
      </c>
      <c r="F4965" s="61" t="n">
        <f aca="false">F4962+F4963+F4964</f>
        <v>5996200</v>
      </c>
      <c r="G4965" s="61" t="n">
        <f aca="false">G4962+G4963+G4964</f>
        <v>9011000</v>
      </c>
      <c r="H4965" s="2" t="s">
        <v>1267</v>
      </c>
    </row>
    <row r="4966" customFormat="false" ht="15" hidden="false" customHeight="false" outlineLevel="1" collapsed="false">
      <c r="A4966" s="7" t="s">
        <v>612</v>
      </c>
      <c r="B4966" s="8" t="s">
        <v>11</v>
      </c>
      <c r="C4966" s="61" t="n">
        <f aca="false">C4884*1000*Pressupostos!$C$93</f>
        <v>0</v>
      </c>
      <c r="D4966" s="61" t="n">
        <f aca="false">D4884*1000*Pressupostos!$C$93</f>
        <v>0</v>
      </c>
      <c r="E4966" s="61" t="n">
        <f aca="false">E4884*1000*Pressupostos!$C$93</f>
        <v>0</v>
      </c>
      <c r="F4966" s="61" t="n">
        <f aca="false">F4884*1000*Pressupostos!$C$93</f>
        <v>157000</v>
      </c>
      <c r="G4966" s="61" t="n">
        <f aca="false">G4884*1000*Pressupostos!$C$93</f>
        <v>392500</v>
      </c>
      <c r="H4966" s="2" t="s">
        <v>1268</v>
      </c>
    </row>
    <row r="4967" customFormat="false" ht="15" hidden="false" customHeight="false" outlineLevel="1" collapsed="false">
      <c r="A4967" s="2" t="s">
        <v>613</v>
      </c>
      <c r="B4967" s="8" t="s">
        <v>11</v>
      </c>
      <c r="C4967" s="61" t="n">
        <f aca="false">C4882*Pressupostos!$C$80*(1-Pressupostos!$C$81)</f>
        <v>9720</v>
      </c>
      <c r="D4967" s="61" t="n">
        <f aca="false">D4882*Pressupostos!$C$80*(1-Pressupostos!$C$81)</f>
        <v>36450</v>
      </c>
      <c r="E4967" s="61" t="n">
        <f aca="false">E4882*Pressupostos!$C$80*(1-Pressupostos!$C$81)</f>
        <v>97200</v>
      </c>
      <c r="F4967" s="61" t="n">
        <f aca="false">F4882*Pressupostos!$C$80*(1-Pressupostos!$C$81)</f>
        <v>170100</v>
      </c>
      <c r="G4967" s="61" t="n">
        <f aca="false">G4882*Pressupostos!$C$80*(1-Pressupostos!$C$81)</f>
        <v>243000</v>
      </c>
      <c r="H4967" s="2" t="s">
        <v>1269</v>
      </c>
    </row>
    <row r="4968" customFormat="false" ht="15" hidden="false" customHeight="false" outlineLevel="1" collapsed="false">
      <c r="A4968" s="7" t="s">
        <v>614</v>
      </c>
      <c r="B4968" s="8" t="s">
        <v>11</v>
      </c>
      <c r="C4968" s="61" t="n">
        <f aca="false">C4967*Pressupostos!$F$27</f>
        <v>194.4</v>
      </c>
      <c r="D4968" s="61" t="n">
        <f aca="false">D4967*Pressupostos!$F$27</f>
        <v>729</v>
      </c>
      <c r="E4968" s="61" t="n">
        <f aca="false">E4967*Pressupostos!$F$27</f>
        <v>1944</v>
      </c>
      <c r="F4968" s="61" t="n">
        <f aca="false">F4967*Pressupostos!$F$27</f>
        <v>3402</v>
      </c>
      <c r="G4968" s="61" t="n">
        <f aca="false">G4967*Pressupostos!$F$27</f>
        <v>4860</v>
      </c>
      <c r="H4968" s="2" t="s">
        <v>1270</v>
      </c>
    </row>
    <row r="4969" customFormat="false" ht="15" hidden="false" customHeight="false" outlineLevel="1" collapsed="false">
      <c r="A4969" s="7" t="s">
        <v>615</v>
      </c>
      <c r="B4969" s="8" t="s">
        <v>11</v>
      </c>
      <c r="C4969" s="61" t="n">
        <f aca="false">C4875*1000*C4958</f>
        <v>0</v>
      </c>
      <c r="D4969" s="61" t="n">
        <f aca="false">D4875*1000*D4958</f>
        <v>13125</v>
      </c>
      <c r="E4969" s="61" t="n">
        <f aca="false">E4875*1000*E4958</f>
        <v>39375</v>
      </c>
      <c r="F4969" s="61" t="n">
        <f aca="false">F4875*1000*F4958</f>
        <v>65625</v>
      </c>
      <c r="G4969" s="61" t="n">
        <f aca="false">G4875*1000*G4958</f>
        <v>91875</v>
      </c>
      <c r="H4969" s="2" t="s">
        <v>1271</v>
      </c>
    </row>
    <row r="4970" customFormat="false" ht="15" hidden="false" customHeight="false" outlineLevel="1" collapsed="false">
      <c r="A4970" s="7" t="s">
        <v>616</v>
      </c>
      <c r="B4970" s="8" t="s">
        <v>11</v>
      </c>
      <c r="C4970" s="61" t="n">
        <f aca="false">C4886*(Pressupostos!$C$101*Pressupostos!$C$102+Pressupostos!$C$103)</f>
        <v>0</v>
      </c>
      <c r="D4970" s="61" t="n">
        <f aca="false">D4886*(Pressupostos!$C$101*Pressupostos!$C$102+Pressupostos!$C$103)</f>
        <v>10000</v>
      </c>
      <c r="E4970" s="61" t="n">
        <f aca="false">E4886*(Pressupostos!$C$101*Pressupostos!$C$102+Pressupostos!$C$103)</f>
        <v>30000</v>
      </c>
      <c r="F4970" s="61" t="n">
        <f aca="false">F4886*(Pressupostos!$C$101*Pressupostos!$C$102+Pressupostos!$C$103)</f>
        <v>60000</v>
      </c>
      <c r="G4970" s="61" t="n">
        <f aca="false">G4886*(Pressupostos!$C$101*Pressupostos!$C$102+Pressupostos!$C$103)</f>
        <v>100000</v>
      </c>
      <c r="H4970" s="2" t="s">
        <v>1272</v>
      </c>
    </row>
    <row r="4971" customFormat="false" ht="15" hidden="false" customHeight="false" outlineLevel="1" collapsed="false">
      <c r="A4971" s="7" t="s">
        <v>617</v>
      </c>
      <c r="B4971" s="8" t="s">
        <v>11</v>
      </c>
      <c r="C4971" s="53" t="n">
        <f aca="false">Pressupostos!$C$277</f>
        <v>0</v>
      </c>
      <c r="D4971" s="53" t="n">
        <f aca="false">Pressupostos!$D$277</f>
        <v>0</v>
      </c>
      <c r="E4971" s="53" t="n">
        <f aca="false">Pressupostos!$E$277</f>
        <v>0</v>
      </c>
      <c r="F4971" s="53" t="n">
        <f aca="false">Pressupostos!$F$277</f>
        <v>10000</v>
      </c>
      <c r="G4971" s="53" t="n">
        <f aca="false">Pressupostos!$G$277</f>
        <v>30000</v>
      </c>
      <c r="H4971" s="2" t="s">
        <v>1273</v>
      </c>
    </row>
    <row r="4972" customFormat="false" ht="15" hidden="false" customHeight="false" outlineLevel="1" collapsed="false">
      <c r="A4972" s="56" t="s">
        <v>618</v>
      </c>
      <c r="B4972" s="57" t="s">
        <v>11</v>
      </c>
      <c r="C4972" s="62" t="n">
        <f aca="false">C4965+C4966+C4968+C4969+C4970+C4971</f>
        <v>273414.4</v>
      </c>
      <c r="D4972" s="62" t="n">
        <f aca="false">D4965+D4966+D4968+D4969+D4970+D4971</f>
        <v>1796029</v>
      </c>
      <c r="E4972" s="62" t="n">
        <f aca="false">E4965+E4966+E4968+E4969+E4970+E4971</f>
        <v>3680169</v>
      </c>
      <c r="F4972" s="62" t="n">
        <f aca="false">F4965+F4966+F4968+F4969+F4970+F4971</f>
        <v>6292227</v>
      </c>
      <c r="G4972" s="62" t="n">
        <f aca="false">G4965+G4966+G4968+G4969+G4970+G4971</f>
        <v>9630235</v>
      </c>
      <c r="H4972" s="2" t="s">
        <v>1274</v>
      </c>
    </row>
    <row r="4973" customFormat="false" ht="15" hidden="false" customHeight="false" outlineLevel="0" collapsed="false">
      <c r="A4973" s="3" t="s">
        <v>1275</v>
      </c>
      <c r="B4973" s="4"/>
      <c r="C4973" s="4"/>
      <c r="D4973" s="4"/>
      <c r="E4973" s="4"/>
      <c r="F4973" s="4"/>
      <c r="G4973" s="4"/>
      <c r="H4973" s="4"/>
    </row>
    <row r="4974" customFormat="false" ht="15" hidden="false" customHeight="false" outlineLevel="1" collapsed="false">
      <c r="A4974" s="2" t="s">
        <v>620</v>
      </c>
      <c r="B4974" s="8" t="s">
        <v>11</v>
      </c>
      <c r="C4974" s="61" t="n">
        <f aca="false">C4875*1000*Pressupostos!$F$10</f>
        <v>0</v>
      </c>
      <c r="D4974" s="61" t="n">
        <f aca="false">D4875*1000*Pressupostos!$F$10</f>
        <v>1750000</v>
      </c>
      <c r="E4974" s="61" t="n">
        <f aca="false">E4875*1000*Pressupostos!$F$10</f>
        <v>5250000</v>
      </c>
      <c r="F4974" s="61" t="n">
        <f aca="false">F4875*1000*Pressupostos!$F$10</f>
        <v>8750000</v>
      </c>
      <c r="G4974" s="61" t="n">
        <f aca="false">G4875*1000*Pressupostos!$F$10</f>
        <v>12250000</v>
      </c>
      <c r="H4974" s="2" t="s">
        <v>1276</v>
      </c>
    </row>
    <row r="4975" customFormat="false" ht="15" hidden="false" customHeight="false" outlineLevel="1" collapsed="false">
      <c r="A4975" s="56" t="s">
        <v>621</v>
      </c>
      <c r="B4975" s="57" t="s">
        <v>11</v>
      </c>
      <c r="C4975" s="62" t="n">
        <f aca="false">C4965+C4966+C4967+C4974</f>
        <v>282940</v>
      </c>
      <c r="D4975" s="62" t="n">
        <f aca="false">D4965+D4966+D4967+D4974</f>
        <v>3558625</v>
      </c>
      <c r="E4975" s="62" t="n">
        <f aca="false">E4965+E4966+E4967+E4974</f>
        <v>8956050</v>
      </c>
      <c r="F4975" s="62" t="n">
        <f aca="false">F4965+F4966+F4967+F4974</f>
        <v>15073300</v>
      </c>
      <c r="G4975" s="62" t="n">
        <f aca="false">G4965+G4966+G4967+G4974</f>
        <v>21896500</v>
      </c>
      <c r="H4975" s="2" t="s">
        <v>1277</v>
      </c>
    </row>
    <row r="4976" customFormat="false" ht="15" hidden="false" customHeight="false" outlineLevel="1" collapsed="false">
      <c r="A4976" s="7" t="s">
        <v>622</v>
      </c>
      <c r="B4976" s="8" t="s">
        <v>11</v>
      </c>
      <c r="C4976" s="61" t="n">
        <f aca="false">C4975-C4974-C4964</f>
        <v>282940</v>
      </c>
      <c r="D4976" s="61" t="n">
        <f aca="false">D4975-D4974-D4964</f>
        <v>1808625</v>
      </c>
      <c r="E4976" s="61" t="n">
        <f aca="false">E4975-E4974-E4964</f>
        <v>3706050</v>
      </c>
      <c r="F4976" s="61" t="n">
        <f aca="false">F4975-F4974-F4964</f>
        <v>6323300</v>
      </c>
      <c r="G4976" s="61" t="n">
        <f aca="false">G4975-G4974-G4964</f>
        <v>9646500</v>
      </c>
      <c r="H4976" s="2" t="s">
        <v>1278</v>
      </c>
    </row>
    <row r="4977" customFormat="false" ht="15" hidden="false" customHeight="false" outlineLevel="1" collapsed="false">
      <c r="A4977" s="7" t="s">
        <v>623</v>
      </c>
      <c r="B4977" s="8" t="s">
        <v>11</v>
      </c>
      <c r="C4977" s="61" t="n">
        <f aca="false">C4871*1000*(C4889+C4892)+C4872*1000*(C4912+C4915)+C4874*1000*(C4935+C4938)+C4884*1000*Pressupostos!$C$92</f>
        <v>245040</v>
      </c>
      <c r="D4977" s="61" t="n">
        <f aca="false">D4871*1000*(D4889+D4892)+D4872*1000*(D4912+D4915)+D4874*1000*(D4935+D4938)+D4884*1000*Pressupostos!$C$92</f>
        <v>1599300</v>
      </c>
      <c r="E4977" s="61" t="n">
        <f aca="false">E4871*1000*(E4889+E4892)+E4872*1000*(E4912+E4915)+E4874*1000*(E4935+E4938)+E4884*1000*Pressupostos!$C$92</f>
        <v>3248250</v>
      </c>
      <c r="F4977" s="61" t="n">
        <f aca="false">F4871*1000*(F4889+F4892)+F4872*1000*(F4912+F4915)+F4874*1000*(F4935+F4938)+F4884*1000*Pressupostos!$C$92</f>
        <v>5533850</v>
      </c>
      <c r="G4977" s="61" t="n">
        <f aca="false">G4871*1000*(G4889+G4892)+G4872*1000*(G4912+G4915)+G4874*1000*(G4935+G4938)+G4884*1000*Pressupostos!$C$92</f>
        <v>8460500</v>
      </c>
      <c r="H4977" s="2" t="s">
        <v>1279</v>
      </c>
    </row>
    <row r="4978" customFormat="false" ht="15" hidden="false" customHeight="false" outlineLevel="1" collapsed="false">
      <c r="A4978" s="7" t="s">
        <v>624</v>
      </c>
      <c r="B4978" s="8" t="s">
        <v>11</v>
      </c>
      <c r="C4978" s="61" t="n">
        <f aca="false">C4977*Pressupostos!$C$284</f>
        <v>0</v>
      </c>
      <c r="D4978" s="61" t="n">
        <f aca="false">D4977*Pressupostos!$D$284</f>
        <v>1199475</v>
      </c>
      <c r="E4978" s="61" t="n">
        <f aca="false">E4977*Pressupostos!$E$284</f>
        <v>2436187.5</v>
      </c>
      <c r="F4978" s="61" t="n">
        <f aca="false">F4977*Pressupostos!$F$284</f>
        <v>4150387.5</v>
      </c>
      <c r="G4978" s="61" t="n">
        <f aca="false">G4977*Pressupostos!$G$284</f>
        <v>6345375</v>
      </c>
      <c r="H4978" s="2" t="s">
        <v>1280</v>
      </c>
    </row>
    <row r="4979" customFormat="false" ht="15" hidden="false" customHeight="false" outlineLevel="0" collapsed="false">
      <c r="A4979" s="3" t="s">
        <v>1281</v>
      </c>
      <c r="B4979" s="4"/>
      <c r="C4979" s="4"/>
      <c r="D4979" s="4"/>
      <c r="E4979" s="4"/>
      <c r="F4979" s="4"/>
      <c r="G4979" s="4"/>
      <c r="H4979" s="4"/>
    </row>
    <row r="4980" customFormat="false" ht="15" hidden="false" customHeight="false" outlineLevel="1" collapsed="false">
      <c r="A4980" s="7" t="s">
        <v>626</v>
      </c>
      <c r="B4980" s="8" t="s">
        <v>11</v>
      </c>
      <c r="C4980" s="61" t="n">
        <f aca="false">C4871*1000*C4908</f>
        <v>2505.51000000001</v>
      </c>
      <c r="D4980" s="61" t="n">
        <f aca="false">D4871*1000*D4908</f>
        <v>4486.19332191785</v>
      </c>
      <c r="E4980" s="61" t="n">
        <f aca="false">E4871*1000*E4908</f>
        <v>26182.2910958904</v>
      </c>
      <c r="F4980" s="61" t="n">
        <f aca="false">F4871*1000*F4908</f>
        <v>47641.0171232876</v>
      </c>
      <c r="G4980" s="61" t="n">
        <f aca="false">G4871*1000*G4908</f>
        <v>68058.5958904108</v>
      </c>
      <c r="H4980" s="2" t="s">
        <v>1282</v>
      </c>
    </row>
    <row r="4981" customFormat="false" ht="15" hidden="false" customHeight="false" outlineLevel="1" collapsed="false">
      <c r="A4981" s="7" t="s">
        <v>627</v>
      </c>
      <c r="B4981" s="8" t="s">
        <v>11</v>
      </c>
      <c r="C4981" s="61" t="n">
        <f aca="false">C4872*1000*C4931</f>
        <v>10195.0273972603</v>
      </c>
      <c r="D4981" s="61" t="n">
        <f aca="false">D4872*1000*D4931</f>
        <v>54554.4246575343</v>
      </c>
      <c r="E4981" s="61" t="n">
        <f aca="false">E4872*1000*E4931</f>
        <v>116977.352953767</v>
      </c>
      <c r="F4981" s="61" t="n">
        <f aca="false">F4872*1000*F4931</f>
        <v>196388.634845891</v>
      </c>
      <c r="G4981" s="61" t="n">
        <f aca="false">G4872*1000*G4931</f>
        <v>297156.09160959</v>
      </c>
      <c r="H4981" s="2" t="s">
        <v>1283</v>
      </c>
    </row>
    <row r="4982" customFormat="false" ht="15" hidden="false" customHeight="false" outlineLevel="1" collapsed="false">
      <c r="A4982" s="7" t="s">
        <v>628</v>
      </c>
      <c r="B4982" s="8" t="s">
        <v>11</v>
      </c>
      <c r="C4982" s="61" t="n">
        <f aca="false">C4874*1000*C4954+C4875*1000*C4960</f>
        <v>0</v>
      </c>
      <c r="D4982" s="61" t="n">
        <f aca="false">D4874*1000*D4954+D4875*1000*D4960</f>
        <v>3625</v>
      </c>
      <c r="E4982" s="61" t="n">
        <f aca="false">E4874*1000*E4954+E4875*1000*E4960</f>
        <v>10875</v>
      </c>
      <c r="F4982" s="61" t="n">
        <f aca="false">F4874*1000*F4954+F4875*1000*F4960</f>
        <v>18125</v>
      </c>
      <c r="G4982" s="61" t="n">
        <f aca="false">G4874*1000*G4954+G4875*1000*G4960</f>
        <v>25375</v>
      </c>
      <c r="H4982" s="2" t="s">
        <v>1284</v>
      </c>
    </row>
    <row r="4983" customFormat="false" ht="15" hidden="false" customHeight="false" outlineLevel="1" collapsed="false">
      <c r="A4983" s="7" t="s">
        <v>629</v>
      </c>
      <c r="B4983" s="8" t="s">
        <v>11</v>
      </c>
      <c r="C4983" s="61" t="n">
        <f aca="false">C4980+C4981+C4982</f>
        <v>12700.5373972603</v>
      </c>
      <c r="D4983" s="61" t="n">
        <f aca="false">D4980+D4981+D4982</f>
        <v>62665.6179794522</v>
      </c>
      <c r="E4983" s="61" t="n">
        <f aca="false">E4980+E4981+E4982</f>
        <v>154034.644049658</v>
      </c>
      <c r="F4983" s="61" t="n">
        <f aca="false">F4980+F4981+F4982</f>
        <v>262154.651969179</v>
      </c>
      <c r="G4983" s="61" t="n">
        <f aca="false">G4980+G4981+G4982</f>
        <v>390589.687500001</v>
      </c>
      <c r="H4983" s="2" t="s">
        <v>1285</v>
      </c>
    </row>
    <row r="4984" customFormat="false" ht="15" hidden="false" customHeight="false" outlineLevel="1" collapsed="false">
      <c r="A4984" s="7" t="s">
        <v>630</v>
      </c>
      <c r="B4984" s="8" t="s">
        <v>64</v>
      </c>
      <c r="C4984" s="63" t="n">
        <f aca="false">IF(C4876&gt;0,C4983/(C4876*1000),0)</f>
        <v>0.210972382014291</v>
      </c>
      <c r="D4984" s="63" t="n">
        <f aca="false">IF(D4876&gt;0,D4983/(D4876*1000),0)</f>
        <v>0.0701153767602262</v>
      </c>
      <c r="E4984" s="63" t="n">
        <f aca="false">IF(E4876&gt;0,E4983/(E4876*1000),0)</f>
        <v>0.0670007151151186</v>
      </c>
      <c r="F4984" s="63" t="n">
        <f aca="false">IF(F4876&gt;0,F4983/(F4876*1000),0)</f>
        <v>0.0685102971303224</v>
      </c>
      <c r="G4984" s="63" t="n">
        <f aca="false">IF(G4876&gt;0,G4983/(G4876*1000),0)</f>
        <v>0.0710809258416744</v>
      </c>
      <c r="H4984" s="2" t="s">
        <v>1286</v>
      </c>
    </row>
    <row r="4985" customFormat="false" ht="15" hidden="false" customHeight="false" outlineLevel="1" collapsed="false">
      <c r="A4985" s="7" t="s">
        <v>631</v>
      </c>
      <c r="B4985" s="8" t="s">
        <v>76</v>
      </c>
      <c r="C4985" s="59" t="n">
        <f aca="false">IF(C4965&gt;0,C4983/C4965,0)</f>
        <v>0.0464846548468645</v>
      </c>
      <c r="D4985" s="59" t="n">
        <f aca="false">IF(D4965&gt;0,D4983/D4965,0)</f>
        <v>0.0353608520487267</v>
      </c>
      <c r="E4985" s="59" t="n">
        <f aca="false">IF(E4965&gt;0,E4983/E4965,0)</f>
        <v>0.042682473377851</v>
      </c>
      <c r="F4985" s="59" t="n">
        <f aca="false">IF(F4965&gt;0,F4983/F4965,0)</f>
        <v>0.0437201314114237</v>
      </c>
      <c r="G4985" s="59" t="n">
        <f aca="false">IF(G4965&gt;0,G4983/G4965,0)</f>
        <v>0.043345875873932</v>
      </c>
      <c r="H4985" s="2" t="s">
        <v>1287</v>
      </c>
    </row>
    <row r="4986" customFormat="false" ht="15" hidden="false" customHeight="false" outlineLevel="1" collapsed="false">
      <c r="A4986" s="2" t="s">
        <v>632</v>
      </c>
      <c r="B4986" s="8" t="s">
        <v>64</v>
      </c>
      <c r="C4986" s="63" t="n">
        <f aca="false">Pressupostos!$C$290*Pressupostos!$C$92*(Pressupostos!$C$95+Pressupostos!$C$96-Pressupostos!$C$97)/365*Pressupostos!$C$284/Pressupostos!$F$31</f>
        <v>0</v>
      </c>
      <c r="D4986" s="63" t="n">
        <f aca="false">Pressupostos!$D$290*Pressupostos!$C$92*(Pressupostos!$C$95+Pressupostos!$C$96-Pressupostos!$C$97)/365*Pressupostos!$D$284/Pressupostos!$F$31</f>
        <v>0.0647260273972603</v>
      </c>
      <c r="E4986" s="63" t="n">
        <f aca="false">Pressupostos!$E$290*Pressupostos!$C$92*(Pressupostos!$C$95+Pressupostos!$C$96-Pressupostos!$C$97)/365*Pressupostos!$E$284/Pressupostos!$F$31</f>
        <v>0.0606806506849315</v>
      </c>
      <c r="F4986" s="63" t="n">
        <f aca="false">Pressupostos!$F$290*Pressupostos!$C$92*(Pressupostos!$C$95+Pressupostos!$C$96-Pressupostos!$C$97)/365*Pressupostos!$F$284/Pressupostos!$F$31</f>
        <v>0.0566352739726028</v>
      </c>
      <c r="G4986" s="63" t="n">
        <f aca="false">Pressupostos!$G$290*Pressupostos!$C$92*(Pressupostos!$C$95+Pressupostos!$C$96-Pressupostos!$C$97)/365*Pressupostos!$G$284/Pressupostos!$F$31</f>
        <v>0.0566352739726028</v>
      </c>
      <c r="H4986" s="2" t="s">
        <v>1288</v>
      </c>
    </row>
    <row r="4987" customFormat="false" ht="15" hidden="false" customHeight="false" outlineLevel="1" collapsed="false">
      <c r="A4987" s="7" t="s">
        <v>600</v>
      </c>
      <c r="B4987" s="8" t="s">
        <v>11</v>
      </c>
      <c r="C4987" s="61" t="n">
        <f aca="false">C4884*1000*(Pressupostos!$C$93-Pressupostos!$C$92-Pressupostos!$C$94-C4986-Pressupostos!$C$98*Pressupostos!$C$93-Pressupostos!$C$99-Pressupostos!$F$29*Pressupostos!$C$92)</f>
        <v>0</v>
      </c>
      <c r="D4987" s="61" t="n">
        <f aca="false">D4884*1000*(Pressupostos!$C$93-Pressupostos!$C$92-Pressupostos!$C$94-D4986-Pressupostos!$C$98*Pressupostos!$C$93-Pressupostos!$C$99-Pressupostos!$F$29*Pressupostos!$C$92)</f>
        <v>0</v>
      </c>
      <c r="E4987" s="61" t="n">
        <f aca="false">E4884*1000*(Pressupostos!$C$93-Pressupostos!$C$92-Pressupostos!$C$94-E4986-Pressupostos!$C$98*Pressupostos!$C$93-Pressupostos!$C$99-Pressupostos!$F$29*Pressupostos!$C$92)</f>
        <v>0</v>
      </c>
      <c r="F4987" s="61" t="n">
        <f aca="false">F4884*1000*(Pressupostos!$C$93-Pressupostos!$C$92-Pressupostos!$C$94-F4986-Pressupostos!$C$98*Pressupostos!$C$93-Pressupostos!$C$99-Pressupostos!$F$29*Pressupostos!$C$92)</f>
        <v>10905.2945205479</v>
      </c>
      <c r="G4987" s="61" t="n">
        <f aca="false">G4884*1000*(Pressupostos!$C$93-Pressupostos!$C$92-Pressupostos!$C$94-G4986-Pressupostos!$C$98*Pressupostos!$C$93-Pressupostos!$C$99-Pressupostos!$F$29*Pressupostos!$C$92)</f>
        <v>27263.2363013698</v>
      </c>
      <c r="H4987" s="2" t="s">
        <v>1289</v>
      </c>
    </row>
    <row r="4988" customFormat="false" ht="15" hidden="false" customHeight="false" outlineLevel="1" collapsed="false">
      <c r="A4988" s="7" t="s">
        <v>633</v>
      </c>
      <c r="B4988" s="8" t="s">
        <v>11</v>
      </c>
      <c r="C4988" s="61" t="n">
        <f aca="false">C4968</f>
        <v>194.4</v>
      </c>
      <c r="D4988" s="61" t="n">
        <f aca="false">D4968</f>
        <v>729</v>
      </c>
      <c r="E4988" s="61" t="n">
        <f aca="false">E4968</f>
        <v>1944</v>
      </c>
      <c r="F4988" s="61" t="n">
        <f aca="false">F4968</f>
        <v>3402</v>
      </c>
      <c r="G4988" s="61" t="n">
        <f aca="false">G4968</f>
        <v>4860</v>
      </c>
      <c r="H4988" s="2" t="s">
        <v>1290</v>
      </c>
    </row>
    <row r="4989" customFormat="false" ht="15" hidden="false" customHeight="false" outlineLevel="1" collapsed="false">
      <c r="A4989" s="7" t="s">
        <v>634</v>
      </c>
      <c r="B4989" s="8" t="s">
        <v>11</v>
      </c>
      <c r="C4989" s="61" t="n">
        <f aca="false">C4970-C5004</f>
        <v>0</v>
      </c>
      <c r="D4989" s="61" t="n">
        <f aca="false">D4970-D5004</f>
        <v>10000</v>
      </c>
      <c r="E4989" s="61" t="n">
        <f aca="false">E4970-E5004</f>
        <v>30000</v>
      </c>
      <c r="F4989" s="61" t="n">
        <f aca="false">F4970-F5004</f>
        <v>60000</v>
      </c>
      <c r="G4989" s="61" t="n">
        <f aca="false">G4970-G5004</f>
        <v>100000</v>
      </c>
      <c r="H4989" s="2" t="s">
        <v>1291</v>
      </c>
    </row>
    <row r="4990" customFormat="false" ht="15" hidden="false" customHeight="false" outlineLevel="1" collapsed="false">
      <c r="A4990" s="7" t="s">
        <v>617</v>
      </c>
      <c r="B4990" s="8" t="s">
        <v>11</v>
      </c>
      <c r="C4990" s="61" t="n">
        <f aca="false">C4971</f>
        <v>0</v>
      </c>
      <c r="D4990" s="61" t="n">
        <f aca="false">D4971</f>
        <v>0</v>
      </c>
      <c r="E4990" s="61" t="n">
        <f aca="false">E4971</f>
        <v>0</v>
      </c>
      <c r="F4990" s="61" t="n">
        <f aca="false">F4971</f>
        <v>10000</v>
      </c>
      <c r="G4990" s="61" t="n">
        <f aca="false">G4971</f>
        <v>30000</v>
      </c>
      <c r="H4990" s="2" t="s">
        <v>1292</v>
      </c>
    </row>
    <row r="4991" customFormat="false" ht="15" hidden="false" customHeight="false" outlineLevel="1" collapsed="false">
      <c r="A4991" s="56" t="s">
        <v>635</v>
      </c>
      <c r="B4991" s="57" t="s">
        <v>11</v>
      </c>
      <c r="C4991" s="62" t="n">
        <f aca="false">C4983+C4987+C4988+C4989+C4990</f>
        <v>12894.9373972603</v>
      </c>
      <c r="D4991" s="62" t="n">
        <f aca="false">D4983+D4987+D4988+D4989+D4990</f>
        <v>73394.6179794522</v>
      </c>
      <c r="E4991" s="62" t="n">
        <f aca="false">E4983+E4987+E4988+E4989+E4990</f>
        <v>185978.644049658</v>
      </c>
      <c r="F4991" s="62" t="n">
        <f aca="false">F4983+F4987+F4988+F4989+F4990</f>
        <v>346461.946489727</v>
      </c>
      <c r="G4991" s="62" t="n">
        <f aca="false">G4983+G4987+G4988+G4989+G4990</f>
        <v>552712.923801371</v>
      </c>
      <c r="H4991" s="2" t="s">
        <v>1293</v>
      </c>
    </row>
    <row r="4992" customFormat="false" ht="15" hidden="false" customHeight="false" outlineLevel="0" collapsed="false">
      <c r="A4992" s="3" t="s">
        <v>1294</v>
      </c>
      <c r="B4992" s="4"/>
      <c r="C4992" s="4"/>
      <c r="D4992" s="4"/>
      <c r="E4992" s="4"/>
      <c r="F4992" s="4"/>
      <c r="G4992" s="4"/>
      <c r="H4992" s="4"/>
    </row>
    <row r="4993" customFormat="false" ht="15" hidden="false" customHeight="false" outlineLevel="1" collapsed="false">
      <c r="A4993" s="7" t="s">
        <v>686</v>
      </c>
      <c r="B4993" s="8" t="s">
        <v>11</v>
      </c>
      <c r="C4993" s="61" t="n">
        <f aca="false">C4871*1000*(C4889+C4892)+C4872*1000*(C4912+C4915)+C4874*1000*(C4935+C4938)</f>
        <v>245040</v>
      </c>
      <c r="D4993" s="61" t="n">
        <f aca="false">D4871*1000*(D4889+D4892)+D4872*1000*(D4912+D4915)+D4874*1000*(D4935+D4938)</f>
        <v>1599300</v>
      </c>
      <c r="E4993" s="61" t="n">
        <f aca="false">E4871*1000*(E4889+E4892)+E4872*1000*(E4912+E4915)+E4874*1000*(E4935+E4938)</f>
        <v>3248250</v>
      </c>
      <c r="F4993" s="61" t="n">
        <f aca="false">F4871*1000*(F4889+F4892)+F4872*1000*(F4912+F4915)+F4874*1000*(F4935+F4938)</f>
        <v>5393850</v>
      </c>
      <c r="G4993" s="61" t="n">
        <f aca="false">G4871*1000*(G4889+G4892)+G4872*1000*(G4912+G4915)+G4874*1000*(G4935+G4938)</f>
        <v>8110500</v>
      </c>
      <c r="H4993" s="2" t="s">
        <v>1295</v>
      </c>
    </row>
    <row r="4994" customFormat="false" ht="15" hidden="false" customHeight="false" outlineLevel="1" collapsed="false">
      <c r="A4994" s="7" t="s">
        <v>687</v>
      </c>
      <c r="B4994" s="8" t="s">
        <v>11</v>
      </c>
      <c r="C4994" s="61" t="n">
        <f aca="false">C4884*1000*Pressupostos!$C$92</f>
        <v>0</v>
      </c>
      <c r="D4994" s="61" t="n">
        <f aca="false">D4884*1000*Pressupostos!$C$92</f>
        <v>0</v>
      </c>
      <c r="E4994" s="61" t="n">
        <f aca="false">E4884*1000*Pressupostos!$C$92</f>
        <v>0</v>
      </c>
      <c r="F4994" s="61" t="n">
        <f aca="false">F4884*1000*Pressupostos!$C$92</f>
        <v>140000</v>
      </c>
      <c r="G4994" s="61" t="n">
        <f aca="false">G4884*1000*Pressupostos!$C$92</f>
        <v>350000</v>
      </c>
      <c r="H4994" s="2" t="s">
        <v>1296</v>
      </c>
    </row>
    <row r="4995" customFormat="false" ht="15" hidden="false" customHeight="false" outlineLevel="1" collapsed="false">
      <c r="A4995" s="7" t="s">
        <v>688</v>
      </c>
      <c r="B4995" s="8" t="s">
        <v>11</v>
      </c>
      <c r="C4995" s="61" t="n">
        <f aca="false">C4993+C4994</f>
        <v>245040</v>
      </c>
      <c r="D4995" s="61" t="n">
        <f aca="false">D4993+D4994</f>
        <v>1599300</v>
      </c>
      <c r="E4995" s="61" t="n">
        <f aca="false">E4993+E4994</f>
        <v>3248250</v>
      </c>
      <c r="F4995" s="61" t="n">
        <f aca="false">F4993+F4994</f>
        <v>5533850</v>
      </c>
      <c r="G4995" s="61" t="n">
        <f aca="false">G4993+G4994</f>
        <v>8460500</v>
      </c>
      <c r="H4995" s="2" t="s">
        <v>1297</v>
      </c>
    </row>
    <row r="4996" customFormat="false" ht="15" hidden="false" customHeight="false" outlineLevel="1" collapsed="false">
      <c r="A4996" s="7" t="s">
        <v>215</v>
      </c>
      <c r="B4996" s="8" t="s">
        <v>11</v>
      </c>
      <c r="C4996" s="61" t="n">
        <f aca="false">C4871*1000*(C4893)+C4872*1000*(C4916)+C4874*1000*(C4939)+C4884*1000*Pressupostos!$C$94</f>
        <v>7660</v>
      </c>
      <c r="D4996" s="61" t="n">
        <f aca="false">D4871*1000*(D4893)+D4872*1000*(D4916)+D4874*1000*(D4939)+D4884*1000*Pressupostos!$C$94</f>
        <v>45525</v>
      </c>
      <c r="E4996" s="61" t="n">
        <f aca="false">E4871*1000*(E4893)+E4872*1000*(E4916)+E4874*1000*(E4939)+E4884*1000*Pressupostos!$C$94</f>
        <v>87490</v>
      </c>
      <c r="F4996" s="61" t="n">
        <f aca="false">F4871*1000*(F4893)+F4872*1000*(F4916)+F4874*1000*(F4939)+F4884*1000*Pressupostos!$C$94</f>
        <v>148215</v>
      </c>
      <c r="G4996" s="61" t="n">
        <f aca="false">G4871*1000*(G4893)+G4872*1000*(G4916)+G4874*1000*(G4939)+G4884*1000*Pressupostos!$C$94</f>
        <v>223950</v>
      </c>
      <c r="H4996" s="2" t="s">
        <v>1298</v>
      </c>
    </row>
    <row r="4997" customFormat="false" ht="15" hidden="false" customHeight="false" outlineLevel="1" collapsed="false">
      <c r="A4997" s="7" t="s">
        <v>117</v>
      </c>
      <c r="B4997" s="8" t="s">
        <v>11</v>
      </c>
      <c r="C4997" s="61" t="n">
        <f aca="false">C4871*1000*(C4894)+C4872*1000*(C4917)+C4874*1000*(C4940)</f>
        <v>492</v>
      </c>
      <c r="D4997" s="61" t="n">
        <f aca="false">D4871*1000*(D4894)+D4872*1000*(D4917)+D4874*1000*(D4940)</f>
        <v>1845</v>
      </c>
      <c r="E4997" s="61" t="n">
        <f aca="false">E4871*1000*(E4894)+E4872*1000*(E4917)+E4874*1000*(E4940)</f>
        <v>4920</v>
      </c>
      <c r="F4997" s="61" t="n">
        <f aca="false">F4871*1000*(F4894)+F4872*1000*(F4917)+F4874*1000*(F4940)</f>
        <v>8610</v>
      </c>
      <c r="G4997" s="61" t="n">
        <f aca="false">G4871*1000*(G4894)+G4872*1000*(G4917)+G4874*1000*(G4940)</f>
        <v>12300</v>
      </c>
      <c r="H4997" s="2" t="s">
        <v>1299</v>
      </c>
    </row>
    <row r="4998" customFormat="false" ht="15" hidden="false" customHeight="false" outlineLevel="1" collapsed="false">
      <c r="A4998" s="7" t="s">
        <v>689</v>
      </c>
      <c r="B4998" s="8" t="s">
        <v>11</v>
      </c>
      <c r="C4998" s="61" t="n">
        <f aca="false">C4871*1000*(C4897+C4898)+C4872*1000*(C4920+C4921)+C4874*1000*(C4943+C4944)</f>
        <v>465.092602739726</v>
      </c>
      <c r="D4998" s="61" t="n">
        <f aca="false">D4871*1000*(D4897+D4898)+D4872*1000*(D4920+D4921)+D4874*1000*(D4943+D4944)</f>
        <v>2515.51643835616</v>
      </c>
      <c r="E4998" s="61" t="n">
        <f aca="false">E4871*1000*(E4897+E4898)+E4872*1000*(E4920+E4921)+E4874*1000*(E4943+E4944)</f>
        <v>3858.10684931507</v>
      </c>
      <c r="F4998" s="61" t="n">
        <f aca="false">F4871*1000*(F4897+F4898)+F4872*1000*(F4920+F4921)+F4874*1000*(F4943+F4944)</f>
        <v>6422.22671232877</v>
      </c>
      <c r="G4998" s="61" t="n">
        <f aca="false">G4871*1000*(G4897+G4898)+G4872*1000*(G4920+G4921)+G4874*1000*(G4943+G4944)</f>
        <v>9633.78767123288</v>
      </c>
      <c r="H4998" s="2" t="s">
        <v>1300</v>
      </c>
    </row>
    <row r="4999" customFormat="false" ht="15" hidden="false" customHeight="false" outlineLevel="1" collapsed="false">
      <c r="A4999" s="7" t="s">
        <v>690</v>
      </c>
      <c r="B4999" s="8" t="s">
        <v>11</v>
      </c>
      <c r="C4999" s="61" t="n">
        <f aca="false">C4871*1000*(C4899+C4900+C4901)+C4872*1000*(C4922+C4923+C4924)+C4874*1000*(C4945+C4946+C4947)</f>
        <v>2675.25</v>
      </c>
      <c r="D4999" s="61" t="n">
        <f aca="false">D4871*1000*(D4899+D4900+D4901)+D4872*1000*(D4922+D4923+D4924)+D4874*1000*(D4945+D4946+D4947)</f>
        <v>16920.1875</v>
      </c>
      <c r="E4999" s="61" t="n">
        <f aca="false">E4871*1000*(E4899+E4900+E4901)+E4872*1000*(E4922+E4923+E4924)+E4874*1000*(E4945+E4946+E4947)</f>
        <v>33722.5</v>
      </c>
      <c r="F4999" s="61" t="n">
        <f aca="false">F4871*1000*(F4899+F4900+F4901)+F4872*1000*(F4922+F4923+F4924)+F4874*1000*(F4945+F4946+F4947)</f>
        <v>56072.625</v>
      </c>
      <c r="G4999" s="61" t="n">
        <f aca="false">G4871*1000*(G4899+G4900+G4901)+G4872*1000*(G4922+G4923+G4924)+G4874*1000*(G4945+G4946+G4947)</f>
        <v>84203.75</v>
      </c>
      <c r="H4999" s="2" t="s">
        <v>1301</v>
      </c>
    </row>
    <row r="5000" customFormat="false" ht="15" hidden="false" customHeight="false" outlineLevel="1" collapsed="false">
      <c r="A5000" s="7" t="s">
        <v>673</v>
      </c>
      <c r="B5000" s="8" t="s">
        <v>11</v>
      </c>
      <c r="C5000" s="61" t="n">
        <f aca="false">C4871*1000*(C4902)+C4872*1000*(C4925)+C4874*1000*(C4948)</f>
        <v>2900</v>
      </c>
      <c r="D5000" s="61" t="n">
        <f aca="false">D4871*1000*(D4902)+D4872*1000*(D4925)+D4874*1000*(D4948)</f>
        <v>17595</v>
      </c>
      <c r="E5000" s="61" t="n">
        <f aca="false">E4871*1000*(E4902)+E4872*1000*(E4925)+E4874*1000*(E4948)</f>
        <v>36880</v>
      </c>
      <c r="F5000" s="61" t="n">
        <f aca="false">F4871*1000*(F4902)+F4872*1000*(F4925)+F4874*1000*(F4948)</f>
        <v>61670</v>
      </c>
      <c r="G5000" s="61" t="n">
        <f aca="false">G4871*1000*(G4902)+G4872*1000*(G4925)+G4874*1000*(G4948)</f>
        <v>92100</v>
      </c>
      <c r="H5000" s="2" t="s">
        <v>1302</v>
      </c>
    </row>
    <row r="5001" customFormat="false" ht="15" hidden="false" customHeight="false" outlineLevel="1" collapsed="false">
      <c r="A5001" s="7" t="s">
        <v>691</v>
      </c>
      <c r="B5001" s="8" t="s">
        <v>11</v>
      </c>
      <c r="C5001" s="61" t="n">
        <f aca="false">C4871*1000*(C4903)+C4872*1000*(C4926)+C4874*1000*(C4949)+C4884*1000*Pressupostos!$C$99</f>
        <v>342</v>
      </c>
      <c r="D5001" s="61" t="n">
        <f aca="false">D4871*1000*(D4903)+D4872*1000*(D4926)+D4874*1000*(D4949)+D4884*1000*Pressupostos!$C$99</f>
        <v>2122.5</v>
      </c>
      <c r="E5001" s="61" t="n">
        <f aca="false">E4871*1000*(E4903)+E4872*1000*(E4926)+E4874*1000*(E4949)+E4884*1000*Pressupostos!$C$99</f>
        <v>4405</v>
      </c>
      <c r="F5001" s="61" t="n">
        <f aca="false">F4871*1000*(F4903)+F4872*1000*(F4926)+F4874*1000*(F4949)+F4884*1000*Pressupostos!$C$99</f>
        <v>7950</v>
      </c>
      <c r="G5001" s="61" t="n">
        <f aca="false">G4871*1000*(G4903)+G4872*1000*(G4926)+G4874*1000*(G4949)+G4884*1000*Pressupostos!$C$99</f>
        <v>12500</v>
      </c>
      <c r="H5001" s="2" t="s">
        <v>1303</v>
      </c>
    </row>
    <row r="5002" customFormat="false" ht="15" hidden="false" customHeight="false" outlineLevel="1" collapsed="false">
      <c r="A5002" s="7" t="s">
        <v>81</v>
      </c>
      <c r="B5002" s="8" t="s">
        <v>11</v>
      </c>
      <c r="C5002" s="61" t="n">
        <f aca="false">C4871*1000*(C4904)+C4872*1000*(C4927)+C4874*1000*(C4950)+C4884*1000*Pressupostos!$C$98*Pressupostos!$C$93</f>
        <v>945.12</v>
      </c>
      <c r="D5002" s="61" t="n">
        <f aca="false">D4871*1000*(D4904)+D4872*1000*(D4927)+D4874*1000*(D4950)+D4884*1000*Pressupostos!$C$98*Pressupostos!$C$93</f>
        <v>5787</v>
      </c>
      <c r="E5002" s="61" t="n">
        <f aca="false">E4871*1000*(E4904)+E4872*1000*(E4927)+E4874*1000*(E4950)+E4884*1000*Pressupostos!$C$98*Pressupostos!$C$93</f>
        <v>12081.15</v>
      </c>
      <c r="F5002" s="61" t="n">
        <f aca="false">F4871*1000*(F4904)+F4872*1000*(F4927)+F4874*1000*(F4950)+F4884*1000*Pressupostos!$C$98*Pressupostos!$C$93</f>
        <v>21126.15</v>
      </c>
      <c r="G5002" s="61" t="n">
        <f aca="false">G4871*1000*(G4904)+G4872*1000*(G4927)+G4874*1000*(G4950)+G4884*1000*Pressupostos!$C$98*Pressupostos!$C$93</f>
        <v>32524.5</v>
      </c>
      <c r="H5002" s="2" t="s">
        <v>1304</v>
      </c>
    </row>
    <row r="5003" customFormat="false" ht="15" hidden="false" customHeight="false" outlineLevel="1" collapsed="false">
      <c r="A5003" s="7" t="s">
        <v>692</v>
      </c>
      <c r="B5003" s="8" t="s">
        <v>11</v>
      </c>
      <c r="C5003" s="61" t="n">
        <f aca="false">C4871*1000*(C4905)+C4872*1000*(C4928)+C4874*1000*(C4951)+C4884*1000*Pressupostos!$F$29*Pressupostos!$C$92</f>
        <v>0</v>
      </c>
      <c r="D5003" s="61" t="n">
        <f aca="false">D4871*1000*(D4905)+D4872*1000*(D4928)+D4874*1000*(D4951)+D4884*1000*Pressupostos!$F$29*Pressupostos!$C$92</f>
        <v>0</v>
      </c>
      <c r="E5003" s="61" t="n">
        <f aca="false">E4871*1000*(E4905)+E4872*1000*(E4928)+E4874*1000*(E4951)+E4884*1000*Pressupostos!$F$29*Pressupostos!$C$92</f>
        <v>0</v>
      </c>
      <c r="F5003" s="61" t="n">
        <f aca="false">F4871*1000*(F4905)+F4872*1000*(F4928)+F4874*1000*(F4951)+F4884*1000*Pressupostos!$F$29*Pressupostos!$C$92</f>
        <v>420</v>
      </c>
      <c r="G5003" s="61" t="n">
        <f aca="false">G4871*1000*(G4905)+G4872*1000*(G4928)+G4874*1000*(G4951)+G4884*1000*Pressupostos!$F$29*Pressupostos!$C$92</f>
        <v>1050</v>
      </c>
      <c r="H5003" s="2" t="s">
        <v>1305</v>
      </c>
    </row>
    <row r="5004" customFormat="false" ht="15" hidden="false" customHeight="false" outlineLevel="1" collapsed="false">
      <c r="A5004" s="7" t="s">
        <v>693</v>
      </c>
      <c r="B5004" s="8" t="s">
        <v>11</v>
      </c>
      <c r="C5004" s="61" t="n">
        <f aca="false">C4887*1000*Pressupostos!$C$104*Pressupostos!$F$30</f>
        <v>0</v>
      </c>
      <c r="D5004" s="61" t="n">
        <f aca="false">D4887*1000*Pressupostos!$C$104*Pressupostos!$F$30</f>
        <v>0</v>
      </c>
      <c r="E5004" s="61" t="n">
        <f aca="false">E4887*1000*Pressupostos!$C$104*Pressupostos!$F$30</f>
        <v>0</v>
      </c>
      <c r="F5004" s="61" t="n">
        <f aca="false">F4887*1000*Pressupostos!$C$104*Pressupostos!$F$30</f>
        <v>0</v>
      </c>
      <c r="G5004" s="61" t="n">
        <f aca="false">G4887*1000*Pressupostos!$C$104*Pressupostos!$F$30</f>
        <v>0</v>
      </c>
      <c r="H5004" s="2" t="s">
        <v>1306</v>
      </c>
    </row>
    <row r="5005" customFormat="false" ht="15" hidden="false" customHeight="false" outlineLevel="1" collapsed="false">
      <c r="A5005" s="7" t="s">
        <v>694</v>
      </c>
      <c r="B5005" s="8" t="s">
        <v>11</v>
      </c>
      <c r="C5005" s="61" t="n">
        <f aca="false">C4875*1000*C4959</f>
        <v>0</v>
      </c>
      <c r="D5005" s="61" t="n">
        <f aca="false">D4875*1000*D4959</f>
        <v>9500</v>
      </c>
      <c r="E5005" s="61" t="n">
        <f aca="false">E4875*1000*E4959</f>
        <v>28500</v>
      </c>
      <c r="F5005" s="61" t="n">
        <f aca="false">F4875*1000*F4959</f>
        <v>47500</v>
      </c>
      <c r="G5005" s="61" t="n">
        <f aca="false">G4875*1000*G4959</f>
        <v>66500</v>
      </c>
      <c r="H5005" s="2" t="s">
        <v>1307</v>
      </c>
    </row>
    <row r="5006" customFormat="false" ht="15" hidden="false" customHeight="false" outlineLevel="1" collapsed="false">
      <c r="A5006" s="7" t="s">
        <v>695</v>
      </c>
      <c r="B5006" s="8" t="s">
        <v>11</v>
      </c>
      <c r="C5006" s="61" t="n">
        <f aca="false">C4996+C4997+C4998+C4999+C5000+C5001+C5002+C5003+C5004+C5005</f>
        <v>15479.4626027397</v>
      </c>
      <c r="D5006" s="61" t="n">
        <f aca="false">D4996+D4997+D4998+D4999+D5000+D5001+D5002+D5003+D5004+D5005</f>
        <v>101810.203938356</v>
      </c>
      <c r="E5006" s="61" t="n">
        <f aca="false">E4996+E4997+E4998+E4999+E5000+E5001+E5002+E5003+E5004+E5005</f>
        <v>211856.756849315</v>
      </c>
      <c r="F5006" s="61" t="n">
        <f aca="false">F4996+F4997+F4998+F4999+F5000+F5001+F5002+F5003+F5004+F5005</f>
        <v>357986.001712329</v>
      </c>
      <c r="G5006" s="61" t="n">
        <f aca="false">G4996+G4997+G4998+G4999+G5000+G5001+G5002+G5003+G5004+G5005</f>
        <v>534762.037671233</v>
      </c>
      <c r="H5006" s="2" t="s">
        <v>1308</v>
      </c>
    </row>
    <row r="5007" customFormat="false" ht="15" hidden="false" customHeight="false" outlineLevel="1" collapsed="false">
      <c r="A5007" s="7" t="s">
        <v>696</v>
      </c>
      <c r="B5007" s="8" t="s">
        <v>11</v>
      </c>
      <c r="C5007" s="61" t="n">
        <f aca="false">C4871*1000*(C4906)+C4872*1000*(C4929)+C4874*1000*(C4952)</f>
        <v>0</v>
      </c>
      <c r="D5007" s="61" t="n">
        <f aca="false">D4871*1000*(D4906)+D4872*1000*(D4929)+D4874*1000*(D4952)</f>
        <v>21524.1780821918</v>
      </c>
      <c r="E5007" s="61" t="n">
        <f aca="false">E4871*1000*(E4906)+E4872*1000*(E4929)+E4874*1000*(E4952)</f>
        <v>34083.5991010274</v>
      </c>
      <c r="F5007" s="61" t="n">
        <f aca="false">F4871*1000*(F4906)+F4872*1000*(F4929)+F4874*1000*(F4952)</f>
        <v>52796.3463184931</v>
      </c>
      <c r="G5007" s="61" t="n">
        <f aca="false">G4871*1000*(G4906)+G4872*1000*(G4929)+G4874*1000*(G4952)</f>
        <v>79428.2748287671</v>
      </c>
      <c r="H5007" s="2" t="s">
        <v>1309</v>
      </c>
    </row>
    <row r="5008" customFormat="false" ht="15" hidden="false" customHeight="false" outlineLevel="1" collapsed="false">
      <c r="A5008" s="7" t="s">
        <v>697</v>
      </c>
      <c r="B5008" s="8" t="s">
        <v>11</v>
      </c>
      <c r="C5008" s="61" t="n">
        <f aca="false">C4884*1000*C4986</f>
        <v>0</v>
      </c>
      <c r="D5008" s="61" t="n">
        <f aca="false">D4884*1000*D4986</f>
        <v>0</v>
      </c>
      <c r="E5008" s="61" t="n">
        <f aca="false">E4884*1000*E4986</f>
        <v>0</v>
      </c>
      <c r="F5008" s="61" t="n">
        <f aca="false">F4884*1000*F4986</f>
        <v>1132.70547945206</v>
      </c>
      <c r="G5008" s="61" t="n">
        <f aca="false">G4884*1000*G4986</f>
        <v>2831.76369863014</v>
      </c>
      <c r="H5008" s="2" t="s">
        <v>1310</v>
      </c>
    </row>
    <row r="5009" customFormat="false" ht="15" hidden="false" customHeight="false" outlineLevel="1" collapsed="false">
      <c r="A5009" s="7" t="s">
        <v>698</v>
      </c>
      <c r="B5009" s="8" t="s">
        <v>11</v>
      </c>
      <c r="C5009" s="61" t="n">
        <f aca="false">C5007+C5008</f>
        <v>0</v>
      </c>
      <c r="D5009" s="61" t="n">
        <f aca="false">D5007+D5008</f>
        <v>21524.1780821918</v>
      </c>
      <c r="E5009" s="61" t="n">
        <f aca="false">E5007+E5008</f>
        <v>34083.5991010274</v>
      </c>
      <c r="F5009" s="61" t="n">
        <f aca="false">F5007+F5008</f>
        <v>53929.0517979452</v>
      </c>
      <c r="G5009" s="61" t="n">
        <f aca="false">G5007+G5008</f>
        <v>82260.0385273973</v>
      </c>
      <c r="H5009" s="2" t="s">
        <v>1311</v>
      </c>
    </row>
    <row r="5010" customFormat="false" ht="15" hidden="false" customHeight="false" outlineLevel="1" collapsed="false">
      <c r="A5010" s="8" t="s">
        <v>699</v>
      </c>
      <c r="B5010" s="8" t="s">
        <v>11</v>
      </c>
      <c r="C5010" s="70" t="n">
        <f aca="false">ROUND(C4972-C4995-C5006-C5009-C4991,6)</f>
        <v>0</v>
      </c>
      <c r="D5010" s="70" t="n">
        <f aca="false">ROUND(D4972-D4995-D5006-D5009-D4991,6)</f>
        <v>-0</v>
      </c>
      <c r="E5010" s="70" t="n">
        <f aca="false">ROUND(E4972-E4995-E5006-E5009-E4991,6)</f>
        <v>0</v>
      </c>
      <c r="F5010" s="70" t="n">
        <f aca="false">ROUND(F4972-F4995-F5006-F5009-F4991,6)</f>
        <v>-0</v>
      </c>
      <c r="G5010" s="70" t="n">
        <f aca="false">ROUND(G4972-G4995-G5006-G5009-G4991,6)</f>
        <v>-0</v>
      </c>
      <c r="H5010" s="2" t="s">
        <v>1312</v>
      </c>
    </row>
    <row r="5011" customFormat="false" ht="15" hidden="false" customHeight="false" outlineLevel="0" collapsed="false">
      <c r="A5011" s="3" t="s">
        <v>1313</v>
      </c>
      <c r="B5011" s="4"/>
      <c r="C5011" s="4"/>
      <c r="D5011" s="4"/>
      <c r="E5011" s="4"/>
      <c r="F5011" s="4"/>
      <c r="G5011" s="4"/>
      <c r="H5011" s="4"/>
    </row>
    <row r="5012" customFormat="false" ht="15" hidden="false" customHeight="false" outlineLevel="1" collapsed="false">
      <c r="A5012" s="7" t="s">
        <v>638</v>
      </c>
      <c r="B5012" s="8" t="s">
        <v>432</v>
      </c>
      <c r="C5012" s="64" t="n">
        <f aca="false">Pressupostos!$C$334</f>
        <v>1</v>
      </c>
      <c r="D5012" s="64" t="n">
        <f aca="false">Pressupostos!$D$334</f>
        <v>1</v>
      </c>
      <c r="E5012" s="64" t="n">
        <f aca="false">Pressupostos!$E$334</f>
        <v>1</v>
      </c>
      <c r="F5012" s="64" t="n">
        <f aca="false">Pressupostos!$F$334</f>
        <v>1</v>
      </c>
      <c r="G5012" s="64" t="n">
        <f aca="false">Pressupostos!$G$334</f>
        <v>1</v>
      </c>
      <c r="H5012" s="2" t="s">
        <v>1314</v>
      </c>
    </row>
    <row r="5013" customFormat="false" ht="15" hidden="false" customHeight="false" outlineLevel="1" collapsed="false">
      <c r="A5013" s="7" t="s">
        <v>639</v>
      </c>
      <c r="B5013" s="8" t="s">
        <v>432</v>
      </c>
      <c r="C5013" s="64" t="n">
        <f aca="false">Pressupostos!$C$340</f>
        <v>1</v>
      </c>
      <c r="D5013" s="64" t="n">
        <f aca="false">Pressupostos!$D$340</f>
        <v>1</v>
      </c>
      <c r="E5013" s="64" t="n">
        <f aca="false">Pressupostos!$E$340</f>
        <v>1</v>
      </c>
      <c r="F5013" s="64" t="n">
        <f aca="false">Pressupostos!$F$340</f>
        <v>1</v>
      </c>
      <c r="G5013" s="64" t="n">
        <f aca="false">Pressupostos!$G$340</f>
        <v>1</v>
      </c>
      <c r="H5013" s="2" t="s">
        <v>1315</v>
      </c>
    </row>
    <row r="5014" customFormat="false" ht="15" hidden="false" customHeight="false" outlineLevel="1" collapsed="false">
      <c r="A5014" s="7" t="s">
        <v>640</v>
      </c>
      <c r="B5014" s="8" t="s">
        <v>432</v>
      </c>
      <c r="C5014" s="64" t="n">
        <f aca="false">Pressupostos!$C$346</f>
        <v>0</v>
      </c>
      <c r="D5014" s="64" t="n">
        <f aca="false">Pressupostos!$D$346</f>
        <v>1</v>
      </c>
      <c r="E5014" s="64" t="n">
        <f aca="false">Pressupostos!$E$346</f>
        <v>1</v>
      </c>
      <c r="F5014" s="64" t="n">
        <f aca="false">Pressupostos!$F$346</f>
        <v>1</v>
      </c>
      <c r="G5014" s="64" t="n">
        <f aca="false">Pressupostos!$G$346</f>
        <v>1</v>
      </c>
      <c r="H5014" s="2" t="s">
        <v>1316</v>
      </c>
    </row>
    <row r="5015" customFormat="false" ht="15" hidden="false" customHeight="false" outlineLevel="1" collapsed="false">
      <c r="A5015" s="7" t="s">
        <v>641</v>
      </c>
      <c r="B5015" s="8" t="s">
        <v>432</v>
      </c>
      <c r="C5015" s="64" t="n">
        <f aca="false">Pressupostos!$C$352</f>
        <v>0.5</v>
      </c>
      <c r="D5015" s="64" t="n">
        <f aca="false">Pressupostos!$D$352</f>
        <v>1</v>
      </c>
      <c r="E5015" s="64" t="n">
        <f aca="false">Pressupostos!$E$352</f>
        <v>1</v>
      </c>
      <c r="F5015" s="64" t="n">
        <f aca="false">Pressupostos!$F$352</f>
        <v>1</v>
      </c>
      <c r="G5015" s="64" t="n">
        <f aca="false">Pressupostos!$G$352</f>
        <v>1</v>
      </c>
      <c r="H5015" s="2" t="s">
        <v>1317</v>
      </c>
    </row>
    <row r="5016" customFormat="false" ht="15" hidden="false" customHeight="false" outlineLevel="1" collapsed="false">
      <c r="A5016" s="7" t="s">
        <v>642</v>
      </c>
      <c r="B5016" s="8" t="s">
        <v>432</v>
      </c>
      <c r="C5016" s="64" t="n">
        <f aca="false">Pressupostos!$C$358</f>
        <v>0.5</v>
      </c>
      <c r="D5016" s="64" t="n">
        <f aca="false">Pressupostos!$D$358</f>
        <v>0.5</v>
      </c>
      <c r="E5016" s="64" t="n">
        <f aca="false">Pressupostos!$E$358</f>
        <v>0.5</v>
      </c>
      <c r="F5016" s="64" t="n">
        <f aca="false">Pressupostos!$F$358</f>
        <v>1</v>
      </c>
      <c r="G5016" s="64" t="n">
        <f aca="false">Pressupostos!$G$358</f>
        <v>1</v>
      </c>
      <c r="H5016" s="2" t="s">
        <v>1318</v>
      </c>
    </row>
    <row r="5017" customFormat="false" ht="15" hidden="false" customHeight="false" outlineLevel="1" collapsed="false">
      <c r="A5017" s="7" t="s">
        <v>643</v>
      </c>
      <c r="B5017" s="8" t="s">
        <v>432</v>
      </c>
      <c r="C5017" s="64" t="n">
        <f aca="false">Pressupostos!$C$364</f>
        <v>1</v>
      </c>
      <c r="D5017" s="64" t="n">
        <f aca="false">Pressupostos!$D$364</f>
        <v>1</v>
      </c>
      <c r="E5017" s="64" t="n">
        <f aca="false">Pressupostos!$E$364</f>
        <v>1</v>
      </c>
      <c r="F5017" s="64" t="n">
        <f aca="false">Pressupostos!$F$364</f>
        <v>1</v>
      </c>
      <c r="G5017" s="64" t="n">
        <f aca="false">Pressupostos!$G$364</f>
        <v>1</v>
      </c>
      <c r="H5017" s="2" t="s">
        <v>1319</v>
      </c>
    </row>
    <row r="5018" customFormat="false" ht="15" hidden="false" customHeight="false" outlineLevel="1" collapsed="false">
      <c r="A5018" s="7" t="s">
        <v>644</v>
      </c>
      <c r="B5018" s="8" t="s">
        <v>432</v>
      </c>
      <c r="C5018" s="64" t="n">
        <f aca="false">Pressupostos!$C$370</f>
        <v>0.5</v>
      </c>
      <c r="D5018" s="64" t="n">
        <f aca="false">Pressupostos!$D$370</f>
        <v>1</v>
      </c>
      <c r="E5018" s="64" t="n">
        <f aca="false">Pressupostos!$E$370</f>
        <v>1</v>
      </c>
      <c r="F5018" s="64" t="n">
        <f aca="false">Pressupostos!$F$370</f>
        <v>1</v>
      </c>
      <c r="G5018" s="64" t="n">
        <f aca="false">Pressupostos!$G$370</f>
        <v>1</v>
      </c>
      <c r="H5018" s="2" t="s">
        <v>1320</v>
      </c>
    </row>
    <row r="5019" customFormat="false" ht="15" hidden="false" customHeight="false" outlineLevel="1" collapsed="false">
      <c r="A5019" s="7" t="s">
        <v>645</v>
      </c>
      <c r="B5019" s="8" t="s">
        <v>432</v>
      </c>
      <c r="C5019" s="64" t="n">
        <f aca="false">Pressupostos!$C$376</f>
        <v>1</v>
      </c>
      <c r="D5019" s="64" t="n">
        <f aca="false">Pressupostos!$D$376</f>
        <v>1</v>
      </c>
      <c r="E5019" s="64" t="n">
        <f aca="false">Pressupostos!$E$376</f>
        <v>1</v>
      </c>
      <c r="F5019" s="64" t="n">
        <f aca="false">Pressupostos!$F$376</f>
        <v>2</v>
      </c>
      <c r="G5019" s="64" t="n">
        <f aca="false">Pressupostos!$G$376</f>
        <v>3</v>
      </c>
      <c r="H5019" s="2" t="s">
        <v>1321</v>
      </c>
    </row>
    <row r="5020" customFormat="false" ht="15" hidden="false" customHeight="false" outlineLevel="1" collapsed="false">
      <c r="A5020" s="7" t="s">
        <v>646</v>
      </c>
      <c r="B5020" s="8" t="s">
        <v>432</v>
      </c>
      <c r="C5020" s="64" t="n">
        <f aca="false">Pressupostos!$C$382</f>
        <v>0</v>
      </c>
      <c r="D5020" s="64" t="n">
        <f aca="false">Pressupostos!$D$382</f>
        <v>0</v>
      </c>
      <c r="E5020" s="64" t="n">
        <f aca="false">Pressupostos!$E$382</f>
        <v>0</v>
      </c>
      <c r="F5020" s="64" t="n">
        <f aca="false">Pressupostos!$F$382</f>
        <v>0</v>
      </c>
      <c r="G5020" s="64" t="n">
        <f aca="false">Pressupostos!$G$382</f>
        <v>0</v>
      </c>
      <c r="H5020" s="2" t="s">
        <v>1322</v>
      </c>
    </row>
    <row r="5021" customFormat="false" ht="15" hidden="false" customHeight="false" outlineLevel="1" collapsed="false">
      <c r="A5021" s="7" t="s">
        <v>647</v>
      </c>
      <c r="B5021" s="8" t="s">
        <v>432</v>
      </c>
      <c r="C5021" s="64" t="n">
        <f aca="false">Pressupostos!$C$388</f>
        <v>0</v>
      </c>
      <c r="D5021" s="64" t="n">
        <f aca="false">Pressupostos!$D$388</f>
        <v>0</v>
      </c>
      <c r="E5021" s="64" t="n">
        <f aca="false">Pressupostos!$E$388</f>
        <v>0</v>
      </c>
      <c r="F5021" s="64" t="n">
        <f aca="false">Pressupostos!$F$388</f>
        <v>0</v>
      </c>
      <c r="G5021" s="64" t="n">
        <f aca="false">Pressupostos!$G$388</f>
        <v>0</v>
      </c>
      <c r="H5021" s="2" t="s">
        <v>1323</v>
      </c>
    </row>
    <row r="5022" customFormat="false" ht="15" hidden="false" customHeight="false" outlineLevel="1" collapsed="false">
      <c r="A5022" s="7" t="s">
        <v>648</v>
      </c>
      <c r="B5022" s="8" t="s">
        <v>432</v>
      </c>
      <c r="C5022" s="64" t="n">
        <f aca="false">Pressupostos!$C$394</f>
        <v>0</v>
      </c>
      <c r="D5022" s="64" t="n">
        <f aca="false">Pressupostos!$D$394</f>
        <v>0</v>
      </c>
      <c r="E5022" s="64" t="n">
        <f aca="false">Pressupostos!$E$394</f>
        <v>0</v>
      </c>
      <c r="F5022" s="64" t="n">
        <f aca="false">Pressupostos!$F$394</f>
        <v>1</v>
      </c>
      <c r="G5022" s="64" t="n">
        <f aca="false">Pressupostos!$G$394</f>
        <v>1</v>
      </c>
      <c r="H5022" s="2" t="s">
        <v>1324</v>
      </c>
    </row>
    <row r="5023" customFormat="false" ht="15" hidden="false" customHeight="false" outlineLevel="1" collapsed="false">
      <c r="A5023" s="7" t="s">
        <v>649</v>
      </c>
      <c r="B5023" s="8" t="s">
        <v>432</v>
      </c>
      <c r="C5023" s="64" t="n">
        <f aca="false">Pressupostos!$C$400</f>
        <v>0</v>
      </c>
      <c r="D5023" s="64" t="n">
        <f aca="false">Pressupostos!$D$400</f>
        <v>0</v>
      </c>
      <c r="E5023" s="64" t="n">
        <f aca="false">Pressupostos!$E$400</f>
        <v>1</v>
      </c>
      <c r="F5023" s="64" t="n">
        <f aca="false">Pressupostos!$F$400</f>
        <v>1</v>
      </c>
      <c r="G5023" s="64" t="n">
        <f aca="false">Pressupostos!$G$400</f>
        <v>1</v>
      </c>
      <c r="H5023" s="2" t="s">
        <v>1325</v>
      </c>
    </row>
    <row r="5024" customFormat="false" ht="15" hidden="false" customHeight="false" outlineLevel="1" collapsed="false">
      <c r="A5024" s="56" t="s">
        <v>650</v>
      </c>
      <c r="B5024" s="57" t="s">
        <v>432</v>
      </c>
      <c r="C5024" s="65" t="n">
        <f aca="false">C5012+C5013+C5014+C5015+C5016+C5017+C5018+C5019+C5020+C5021+C5022+C5023</f>
        <v>5.5</v>
      </c>
      <c r="D5024" s="65" t="n">
        <f aca="false">D5012+D5013+D5014+D5015+D5016+D5017+D5018+D5019+D5020+D5021+D5022+D5023</f>
        <v>7.5</v>
      </c>
      <c r="E5024" s="65" t="n">
        <f aca="false">E5012+E5013+E5014+E5015+E5016+E5017+E5018+E5019+E5020+E5021+E5022+E5023</f>
        <v>8.5</v>
      </c>
      <c r="F5024" s="65" t="n">
        <f aca="false">F5012+F5013+F5014+F5015+F5016+F5017+F5018+F5019+F5020+F5021+F5022+F5023</f>
        <v>11</v>
      </c>
      <c r="G5024" s="65" t="n">
        <f aca="false">G5012+G5013+G5014+G5015+G5016+G5017+G5018+G5019+G5020+G5021+G5022+G5023</f>
        <v>12</v>
      </c>
      <c r="H5024" s="2" t="s">
        <v>1326</v>
      </c>
    </row>
    <row r="5025" customFormat="false" ht="15" hidden="false" customHeight="false" outlineLevel="0" collapsed="false">
      <c r="A5025" s="3" t="s">
        <v>1327</v>
      </c>
      <c r="B5025" s="4"/>
      <c r="C5025" s="4"/>
      <c r="D5025" s="4"/>
      <c r="E5025" s="4"/>
      <c r="F5025" s="4"/>
      <c r="G5025" s="4"/>
      <c r="H5025" s="4"/>
    </row>
    <row r="5026" customFormat="false" ht="15" hidden="false" customHeight="false" outlineLevel="1" collapsed="false">
      <c r="A5026" s="7" t="s">
        <v>638</v>
      </c>
      <c r="B5026" s="8" t="s">
        <v>11</v>
      </c>
      <c r="C5026" s="61" t="n">
        <f aca="false">C5012*Pressupostos!$C$131*(1+Pressupostos!$C$127)^0*(1+Pressupostos!$C$132)*Pressupostos!$C$128</f>
        <v>43998</v>
      </c>
      <c r="D5026" s="61" t="n">
        <f aca="false">D5012*Pressupostos!$C$131*(1+Pressupostos!$C$127)^1*(1+Pressupostos!$C$132)</f>
        <v>61800</v>
      </c>
      <c r="E5026" s="61" t="n">
        <f aca="false">E5012*Pressupostos!$C$131*(1+Pressupostos!$C$127)^2*(1+Pressupostos!$C$132)</f>
        <v>63654</v>
      </c>
      <c r="F5026" s="61" t="n">
        <f aca="false">F5012*Pressupostos!$C$131*(1+Pressupostos!$C$127)^3*(1+Pressupostos!$C$132)</f>
        <v>65563.62</v>
      </c>
      <c r="G5026" s="61" t="n">
        <f aca="false">G5012*Pressupostos!$C$131*(1+Pressupostos!$C$127)^4*(1+Pressupostos!$C$132)</f>
        <v>67530.5286</v>
      </c>
      <c r="H5026" s="2" t="s">
        <v>1328</v>
      </c>
    </row>
    <row r="5027" customFormat="false" ht="15" hidden="false" customHeight="false" outlineLevel="1" collapsed="false">
      <c r="A5027" s="7" t="s">
        <v>639</v>
      </c>
      <c r="B5027" s="8" t="s">
        <v>11</v>
      </c>
      <c r="C5027" s="61" t="n">
        <f aca="false">C5013*Pressupostos!$C$133*(1+Pressupostos!$C$127)^0*(1+Pressupostos!$C$134)*Pressupostos!$C$128</f>
        <v>47664.5</v>
      </c>
      <c r="D5027" s="61" t="n">
        <f aca="false">D5013*Pressupostos!$C$133*(1+Pressupostos!$C$127)^1*(1+Pressupostos!$C$134)</f>
        <v>66950</v>
      </c>
      <c r="E5027" s="61" t="n">
        <f aca="false">E5013*Pressupostos!$C$133*(1+Pressupostos!$C$127)^2*(1+Pressupostos!$C$134)</f>
        <v>68958.5</v>
      </c>
      <c r="F5027" s="61" t="n">
        <f aca="false">F5013*Pressupostos!$C$133*(1+Pressupostos!$C$127)^3*(1+Pressupostos!$C$134)</f>
        <v>71027.255</v>
      </c>
      <c r="G5027" s="61" t="n">
        <f aca="false">G5013*Pressupostos!$C$133*(1+Pressupostos!$C$127)^4*(1+Pressupostos!$C$134)</f>
        <v>73158.07265</v>
      </c>
      <c r="H5027" s="2" t="s">
        <v>1329</v>
      </c>
    </row>
    <row r="5028" customFormat="false" ht="15" hidden="false" customHeight="false" outlineLevel="1" collapsed="false">
      <c r="A5028" s="7" t="s">
        <v>640</v>
      </c>
      <c r="B5028" s="8" t="s">
        <v>11</v>
      </c>
      <c r="C5028" s="61" t="n">
        <f aca="false">C5014*Pressupostos!$C$135*(1+Pressupostos!$C$127)^0*(1+Pressupostos!$C$136)</f>
        <v>0</v>
      </c>
      <c r="D5028" s="61" t="n">
        <f aca="false">D5014*Pressupostos!$C$135*(1+Pressupostos!$C$127)^1*(1+Pressupostos!$C$136)</f>
        <v>46350</v>
      </c>
      <c r="E5028" s="61" t="n">
        <f aca="false">E5014*Pressupostos!$C$135*(1+Pressupostos!$C$127)^2*(1+Pressupostos!$C$136)</f>
        <v>47740.5</v>
      </c>
      <c r="F5028" s="61" t="n">
        <f aca="false">F5014*Pressupostos!$C$135*(1+Pressupostos!$C$127)^3*(1+Pressupostos!$C$136)</f>
        <v>49172.715</v>
      </c>
      <c r="G5028" s="61" t="n">
        <f aca="false">G5014*Pressupostos!$C$135*(1+Pressupostos!$C$127)^4*(1+Pressupostos!$C$136)</f>
        <v>50647.89645</v>
      </c>
      <c r="H5028" s="2" t="s">
        <v>1330</v>
      </c>
    </row>
    <row r="5029" customFormat="false" ht="15" hidden="false" customHeight="false" outlineLevel="1" collapsed="false">
      <c r="A5029" s="7" t="s">
        <v>641</v>
      </c>
      <c r="B5029" s="8" t="s">
        <v>11</v>
      </c>
      <c r="C5029" s="61" t="n">
        <f aca="false">C5015*Pressupostos!$C$137*(1+Pressupostos!$C$127)^0*(1+Pressupostos!$C$138)</f>
        <v>30000</v>
      </c>
      <c r="D5029" s="61" t="n">
        <f aca="false">D5015*Pressupostos!$C$137*(1+Pressupostos!$C$127)^1*(1+Pressupostos!$C$138)</f>
        <v>61800</v>
      </c>
      <c r="E5029" s="61" t="n">
        <f aca="false">E5015*Pressupostos!$C$137*(1+Pressupostos!$C$127)^2*(1+Pressupostos!$C$138)</f>
        <v>63654</v>
      </c>
      <c r="F5029" s="61" t="n">
        <f aca="false">F5015*Pressupostos!$C$137*(1+Pressupostos!$C$127)^3*(1+Pressupostos!$C$138)</f>
        <v>65563.62</v>
      </c>
      <c r="G5029" s="61" t="n">
        <f aca="false">G5015*Pressupostos!$C$137*(1+Pressupostos!$C$127)^4*(1+Pressupostos!$C$138)</f>
        <v>67530.5286</v>
      </c>
      <c r="H5029" s="2" t="s">
        <v>1331</v>
      </c>
    </row>
    <row r="5030" customFormat="false" ht="15" hidden="false" customHeight="false" outlineLevel="1" collapsed="false">
      <c r="A5030" s="7" t="s">
        <v>642</v>
      </c>
      <c r="B5030" s="8" t="s">
        <v>11</v>
      </c>
      <c r="C5030" s="61" t="n">
        <f aca="false">C5016*Pressupostos!$C$139*(1+Pressupostos!$C$127)^0*(1+Pressupostos!$C$140)</f>
        <v>22500</v>
      </c>
      <c r="D5030" s="61" t="n">
        <f aca="false">D5016*Pressupostos!$C$139*(1+Pressupostos!$C$127)^1*(1+Pressupostos!$C$140)</f>
        <v>23175</v>
      </c>
      <c r="E5030" s="61" t="n">
        <f aca="false">E5016*Pressupostos!$C$139*(1+Pressupostos!$C$127)^2*(1+Pressupostos!$C$140)</f>
        <v>23870.25</v>
      </c>
      <c r="F5030" s="61" t="n">
        <f aca="false">F5016*Pressupostos!$C$139*(1+Pressupostos!$C$127)^3*(1+Pressupostos!$C$140)</f>
        <v>49172.715</v>
      </c>
      <c r="G5030" s="61" t="n">
        <f aca="false">G5016*Pressupostos!$C$139*(1+Pressupostos!$C$127)^4*(1+Pressupostos!$C$140)</f>
        <v>50647.89645</v>
      </c>
      <c r="H5030" s="2" t="s">
        <v>1332</v>
      </c>
    </row>
    <row r="5031" customFormat="false" ht="15" hidden="false" customHeight="false" outlineLevel="1" collapsed="false">
      <c r="A5031" s="7" t="s">
        <v>643</v>
      </c>
      <c r="B5031" s="8" t="s">
        <v>11</v>
      </c>
      <c r="C5031" s="61" t="n">
        <f aca="false">C5017*Pressupostos!$C$141*(1+Pressupostos!$C$127)^0*(1+Pressupostos!$C$142)</f>
        <v>38000</v>
      </c>
      <c r="D5031" s="61" t="n">
        <f aca="false">D5017*Pressupostos!$C$141*(1+Pressupostos!$C$127)^1*(1+Pressupostos!$C$142)</f>
        <v>39140</v>
      </c>
      <c r="E5031" s="61" t="n">
        <f aca="false">E5017*Pressupostos!$C$141*(1+Pressupostos!$C$127)^2*(1+Pressupostos!$C$142)</f>
        <v>40314.2</v>
      </c>
      <c r="F5031" s="61" t="n">
        <f aca="false">F5017*Pressupostos!$C$141*(1+Pressupostos!$C$127)^3*(1+Pressupostos!$C$142)</f>
        <v>41523.626</v>
      </c>
      <c r="G5031" s="61" t="n">
        <f aca="false">G5017*Pressupostos!$C$141*(1+Pressupostos!$C$127)^4*(1+Pressupostos!$C$142)</f>
        <v>42769.33478</v>
      </c>
      <c r="H5031" s="2" t="s">
        <v>1333</v>
      </c>
    </row>
    <row r="5032" customFormat="false" ht="15" hidden="false" customHeight="false" outlineLevel="1" collapsed="false">
      <c r="A5032" s="7" t="s">
        <v>644</v>
      </c>
      <c r="B5032" s="8" t="s">
        <v>11</v>
      </c>
      <c r="C5032" s="61" t="n">
        <f aca="false">C5018*Pressupostos!$C$143*(1+Pressupostos!$C$127)^0*(1+Pressupostos!$C$144)</f>
        <v>16000</v>
      </c>
      <c r="D5032" s="61" t="n">
        <f aca="false">D5018*Pressupostos!$C$143*(1+Pressupostos!$C$127)^1*(1+Pressupostos!$C$144)</f>
        <v>32960</v>
      </c>
      <c r="E5032" s="61" t="n">
        <f aca="false">E5018*Pressupostos!$C$143*(1+Pressupostos!$C$127)^2*(1+Pressupostos!$C$144)</f>
        <v>33948.8</v>
      </c>
      <c r="F5032" s="61" t="n">
        <f aca="false">F5018*Pressupostos!$C$143*(1+Pressupostos!$C$127)^3*(1+Pressupostos!$C$144)</f>
        <v>34967.264</v>
      </c>
      <c r="G5032" s="61" t="n">
        <f aca="false">G5018*Pressupostos!$C$143*(1+Pressupostos!$C$127)^4*(1+Pressupostos!$C$144)</f>
        <v>36016.28192</v>
      </c>
      <c r="H5032" s="2" t="s">
        <v>1334</v>
      </c>
    </row>
    <row r="5033" customFormat="false" ht="15" hidden="false" customHeight="false" outlineLevel="1" collapsed="false">
      <c r="A5033" s="7" t="s">
        <v>645</v>
      </c>
      <c r="B5033" s="8" t="s">
        <v>11</v>
      </c>
      <c r="C5033" s="61" t="n">
        <f aca="false">C5019*Pressupostos!$C$145*(1+Pressupostos!$C$127)^0*(1+Pressupostos!$C$146)</f>
        <v>34500</v>
      </c>
      <c r="D5033" s="61" t="n">
        <f aca="false">D5019*Pressupostos!$C$145*(1+Pressupostos!$C$127)^1*(1+Pressupostos!$C$146)</f>
        <v>35535</v>
      </c>
      <c r="E5033" s="61" t="n">
        <f aca="false">E5019*Pressupostos!$C$145*(1+Pressupostos!$C$127)^2*(1+Pressupostos!$C$146)</f>
        <v>36601.05</v>
      </c>
      <c r="F5033" s="61" t="n">
        <f aca="false">F5019*Pressupostos!$C$145*(1+Pressupostos!$C$127)^3*(1+Pressupostos!$C$146)</f>
        <v>75398.163</v>
      </c>
      <c r="G5033" s="61" t="n">
        <f aca="false">G5019*Pressupostos!$C$145*(1+Pressupostos!$C$127)^4*(1+Pressupostos!$C$146)</f>
        <v>116490.161835</v>
      </c>
      <c r="H5033" s="2" t="s">
        <v>1335</v>
      </c>
    </row>
    <row r="5034" customFormat="false" ht="15" hidden="false" customHeight="false" outlineLevel="1" collapsed="false">
      <c r="A5034" s="7" t="s">
        <v>646</v>
      </c>
      <c r="B5034" s="8" t="s">
        <v>11</v>
      </c>
      <c r="C5034" s="61" t="n">
        <f aca="false">C5020*Pressupostos!$C$147*(1+Pressupostos!$C$127)^0*(1+Pressupostos!$C$148)</f>
        <v>0</v>
      </c>
      <c r="D5034" s="61" t="n">
        <f aca="false">D5020*Pressupostos!$C$147*(1+Pressupostos!$C$127)^1*(1+Pressupostos!$C$148)</f>
        <v>0</v>
      </c>
      <c r="E5034" s="61" t="n">
        <f aca="false">E5020*Pressupostos!$C$147*(1+Pressupostos!$C$127)^2*(1+Pressupostos!$C$148)</f>
        <v>0</v>
      </c>
      <c r="F5034" s="61" t="n">
        <f aca="false">F5020*Pressupostos!$C$147*(1+Pressupostos!$C$127)^3*(1+Pressupostos!$C$148)</f>
        <v>0</v>
      </c>
      <c r="G5034" s="61" t="n">
        <f aca="false">G5020*Pressupostos!$C$147*(1+Pressupostos!$C$127)^4*(1+Pressupostos!$C$148)</f>
        <v>0</v>
      </c>
      <c r="H5034" s="2" t="s">
        <v>1336</v>
      </c>
    </row>
    <row r="5035" customFormat="false" ht="15" hidden="false" customHeight="false" outlineLevel="1" collapsed="false">
      <c r="A5035" s="7" t="s">
        <v>647</v>
      </c>
      <c r="B5035" s="8" t="s">
        <v>11</v>
      </c>
      <c r="C5035" s="61" t="n">
        <f aca="false">C5021*Pressupostos!$C$149*(1+Pressupostos!$C$127)^0*(1+Pressupostos!$C$150)</f>
        <v>0</v>
      </c>
      <c r="D5035" s="61" t="n">
        <f aca="false">D5021*Pressupostos!$C$149*(1+Pressupostos!$C$127)^1*(1+Pressupostos!$C$150)</f>
        <v>0</v>
      </c>
      <c r="E5035" s="61" t="n">
        <f aca="false">E5021*Pressupostos!$C$149*(1+Pressupostos!$C$127)^2*(1+Pressupostos!$C$150)</f>
        <v>0</v>
      </c>
      <c r="F5035" s="61" t="n">
        <f aca="false">F5021*Pressupostos!$C$149*(1+Pressupostos!$C$127)^3*(1+Pressupostos!$C$150)</f>
        <v>0</v>
      </c>
      <c r="G5035" s="61" t="n">
        <f aca="false">G5021*Pressupostos!$C$149*(1+Pressupostos!$C$127)^4*(1+Pressupostos!$C$150)</f>
        <v>0</v>
      </c>
      <c r="H5035" s="2" t="s">
        <v>1337</v>
      </c>
    </row>
    <row r="5036" customFormat="false" ht="15" hidden="false" customHeight="false" outlineLevel="1" collapsed="false">
      <c r="A5036" s="7" t="s">
        <v>648</v>
      </c>
      <c r="B5036" s="8" t="s">
        <v>11</v>
      </c>
      <c r="C5036" s="61" t="n">
        <f aca="false">C5022*Pressupostos!$C$151*(1+Pressupostos!$C$127)^0*(1+Pressupostos!$C$152)</f>
        <v>0</v>
      </c>
      <c r="D5036" s="61" t="n">
        <f aca="false">D5022*Pressupostos!$C$151*(1+Pressupostos!$C$127)^1*(1+Pressupostos!$C$152)</f>
        <v>0</v>
      </c>
      <c r="E5036" s="61" t="n">
        <f aca="false">E5022*Pressupostos!$C$151*(1+Pressupostos!$C$127)^2*(1+Pressupostos!$C$152)</f>
        <v>0</v>
      </c>
      <c r="F5036" s="61" t="n">
        <f aca="false">F5022*Pressupostos!$C$151*(1+Pressupostos!$C$127)^3*(1+Pressupostos!$C$152)</f>
        <v>26225.448</v>
      </c>
      <c r="G5036" s="61" t="n">
        <f aca="false">G5022*Pressupostos!$C$151*(1+Pressupostos!$C$127)^4*(1+Pressupostos!$C$152)</f>
        <v>27012.21144</v>
      </c>
      <c r="H5036" s="2" t="s">
        <v>1338</v>
      </c>
    </row>
    <row r="5037" customFormat="false" ht="15" hidden="false" customHeight="false" outlineLevel="1" collapsed="false">
      <c r="A5037" s="7" t="s">
        <v>649</v>
      </c>
      <c r="B5037" s="8" t="s">
        <v>11</v>
      </c>
      <c r="C5037" s="61" t="n">
        <f aca="false">C5023*Pressupostos!$C$153*(1+Pressupostos!$C$127)^0*(1+Pressupostos!$C$154)</f>
        <v>0</v>
      </c>
      <c r="D5037" s="61" t="n">
        <f aca="false">D5023*Pressupostos!$C$153*(1+Pressupostos!$C$127)^1*(1+Pressupostos!$C$154)</f>
        <v>0</v>
      </c>
      <c r="E5037" s="61" t="n">
        <f aca="false">E5023*Pressupostos!$C$153*(1+Pressupostos!$C$127)^2*(1+Pressupostos!$C$154)</f>
        <v>54901.575</v>
      </c>
      <c r="F5037" s="61" t="n">
        <f aca="false">F5023*Pressupostos!$C$153*(1+Pressupostos!$C$127)^3*(1+Pressupostos!$C$154)</f>
        <v>56548.62225</v>
      </c>
      <c r="G5037" s="61" t="n">
        <f aca="false">G5023*Pressupostos!$C$153*(1+Pressupostos!$C$127)^4*(1+Pressupostos!$C$154)</f>
        <v>58245.0809175</v>
      </c>
      <c r="H5037" s="2" t="s">
        <v>1339</v>
      </c>
    </row>
    <row r="5038" customFormat="false" ht="15" hidden="false" customHeight="false" outlineLevel="1" collapsed="false">
      <c r="A5038" s="7" t="s">
        <v>652</v>
      </c>
      <c r="B5038" s="8" t="s">
        <v>11</v>
      </c>
      <c r="C5038" s="61" t="n">
        <f aca="false">C5026+C5027+C5028+C5029+C5030+C5031+C5032+C5033+C5034+C5035+C5036+C5037</f>
        <v>232662.5</v>
      </c>
      <c r="D5038" s="61" t="n">
        <f aca="false">D5026+D5027+D5028+D5029+D5030+D5031+D5032+D5033+D5034+D5035+D5036+D5037</f>
        <v>367710</v>
      </c>
      <c r="E5038" s="61" t="n">
        <f aca="false">E5026+E5027+E5028+E5029+E5030+E5031+E5032+E5033+E5034+E5035+E5036+E5037</f>
        <v>433642.875</v>
      </c>
      <c r="F5038" s="61" t="n">
        <f aca="false">F5026+F5027+F5028+F5029+F5030+F5031+F5032+F5033+F5034+F5035+F5036+F5037</f>
        <v>535163.04825</v>
      </c>
      <c r="G5038" s="61" t="n">
        <f aca="false">G5026+G5027+G5028+G5029+G5030+G5031+G5032+G5033+G5034+G5035+G5036+G5037</f>
        <v>590047.9936425</v>
      </c>
      <c r="H5038" s="2" t="s">
        <v>1340</v>
      </c>
    </row>
    <row r="5039" customFormat="false" ht="15" hidden="false" customHeight="false" outlineLevel="1" collapsed="false">
      <c r="A5039" s="7" t="s">
        <v>653</v>
      </c>
      <c r="B5039" s="8" t="s">
        <v>11</v>
      </c>
      <c r="C5039" s="61" t="n">
        <f aca="false">C5038*(Pressupostos!$C$124+Pressupostos!$C$125)</f>
        <v>59910.59375</v>
      </c>
      <c r="D5039" s="61" t="n">
        <f aca="false">D5038*(Pressupostos!$C$124+Pressupostos!$C$125)</f>
        <v>94685.325</v>
      </c>
      <c r="E5039" s="61" t="n">
        <f aca="false">E5038*(Pressupostos!$C$124+Pressupostos!$C$125)</f>
        <v>111663.0403125</v>
      </c>
      <c r="F5039" s="61" t="n">
        <f aca="false">F5038*(Pressupostos!$C$124+Pressupostos!$C$125)</f>
        <v>137804.484924375</v>
      </c>
      <c r="G5039" s="61" t="n">
        <f aca="false">G5038*(Pressupostos!$C$124+Pressupostos!$C$125)</f>
        <v>151937.358362944</v>
      </c>
      <c r="H5039" s="2" t="s">
        <v>1341</v>
      </c>
    </row>
    <row r="5040" customFormat="false" ht="15" hidden="false" customHeight="false" outlineLevel="1" collapsed="false">
      <c r="A5040" s="7" t="s">
        <v>654</v>
      </c>
      <c r="B5040" s="8" t="s">
        <v>11</v>
      </c>
      <c r="C5040" s="61" t="n">
        <f aca="false">C5024*Pressupostos!$C$126*(1+Pressupostos!$C$127)^0</f>
        <v>11000</v>
      </c>
      <c r="D5040" s="61" t="n">
        <f aca="false">D5024*Pressupostos!$C$126*(1+Pressupostos!$C$127)^1</f>
        <v>15450</v>
      </c>
      <c r="E5040" s="61" t="n">
        <f aca="false">E5024*Pressupostos!$C$126*(1+Pressupostos!$C$127)^2</f>
        <v>18035.3</v>
      </c>
      <c r="F5040" s="61" t="n">
        <f aca="false">F5024*Pressupostos!$C$126*(1+Pressupostos!$C$127)^3</f>
        <v>24039.994</v>
      </c>
      <c r="G5040" s="61" t="n">
        <f aca="false">G5024*Pressupostos!$C$126*(1+Pressupostos!$C$127)^4</f>
        <v>27012.21144</v>
      </c>
      <c r="H5040" s="2" t="s">
        <v>1342</v>
      </c>
    </row>
    <row r="5041" customFormat="false" ht="15" hidden="false" customHeight="false" outlineLevel="1" collapsed="false">
      <c r="A5041" s="56" t="s">
        <v>655</v>
      </c>
      <c r="B5041" s="57" t="s">
        <v>11</v>
      </c>
      <c r="C5041" s="62" t="n">
        <f aca="false">C5038+C5039+C5040</f>
        <v>303573.09375</v>
      </c>
      <c r="D5041" s="62" t="n">
        <f aca="false">D5038+D5039+D5040</f>
        <v>477845.325</v>
      </c>
      <c r="E5041" s="62" t="n">
        <f aca="false">E5038+E5039+E5040</f>
        <v>563341.2153125</v>
      </c>
      <c r="F5041" s="62" t="n">
        <f aca="false">F5038+F5039+F5040</f>
        <v>697007.527174375</v>
      </c>
      <c r="G5041" s="62" t="n">
        <f aca="false">G5038+G5039+G5040</f>
        <v>768997.563445444</v>
      </c>
      <c r="H5041" s="2" t="s">
        <v>1343</v>
      </c>
    </row>
    <row r="5042" customFormat="false" ht="15" hidden="false" customHeight="false" outlineLevel="1" collapsed="false">
      <c r="A5042" s="2" t="s">
        <v>656</v>
      </c>
      <c r="B5042" s="8" t="s">
        <v>11</v>
      </c>
      <c r="C5042" s="61" t="n">
        <f aca="false">IF(C5024&gt;0,C5041/C5024,0)</f>
        <v>55195.1079545455</v>
      </c>
      <c r="D5042" s="61" t="n">
        <f aca="false">IF(D5024&gt;0,D5041/D5024,0)</f>
        <v>63712.71</v>
      </c>
      <c r="E5042" s="61" t="n">
        <f aca="false">IF(E5024&gt;0,E5041/E5024,0)</f>
        <v>66275.4370955882</v>
      </c>
      <c r="F5042" s="61" t="n">
        <f aca="false">IF(F5024&gt;0,F5041/F5024,0)</f>
        <v>63364.3206522159</v>
      </c>
      <c r="G5042" s="61" t="n">
        <f aca="false">IF(G5024&gt;0,G5041/G5024,0)</f>
        <v>64083.1302871203</v>
      </c>
      <c r="H5042" s="2" t="s">
        <v>1344</v>
      </c>
    </row>
    <row r="5043" customFormat="false" ht="15" hidden="false" customHeight="false" outlineLevel="0" collapsed="false">
      <c r="A5043" s="3" t="s">
        <v>1345</v>
      </c>
      <c r="B5043" s="4"/>
      <c r="C5043" s="4"/>
      <c r="D5043" s="4"/>
      <c r="E5043" s="4"/>
      <c r="F5043" s="4"/>
      <c r="G5043" s="4"/>
      <c r="H5043" s="4"/>
    </row>
    <row r="5044" customFormat="false" ht="15" hidden="false" customHeight="false" outlineLevel="1" collapsed="false">
      <c r="A5044" s="7" t="s">
        <v>449</v>
      </c>
      <c r="B5044" s="8" t="s">
        <v>11</v>
      </c>
      <c r="C5044" s="61" t="n">
        <f aca="false">Pressupostos!$C$407*(1+Pressupostos!$C$156)*(1+Pressupostos!$C$157)^0</f>
        <v>94500</v>
      </c>
      <c r="D5044" s="61" t="n">
        <f aca="false">Pressupostos!$D$407*(1+Pressupostos!$C$156)*(1+Pressupostos!$C$157)^1</f>
        <v>53550</v>
      </c>
      <c r="E5044" s="61" t="n">
        <f aca="false">Pressupostos!$E$407*(1+Pressupostos!$C$156)*(1+Pressupostos!$C$157)^2</f>
        <v>49158.9</v>
      </c>
      <c r="F5044" s="61" t="n">
        <f aca="false">Pressupostos!$F$407*(1+Pressupostos!$C$156)*(1+Pressupostos!$C$157)^3</f>
        <v>50142.078</v>
      </c>
      <c r="G5044" s="61" t="n">
        <f aca="false">Pressupostos!$G$407*(1+Pressupostos!$C$156)*(1+Pressupostos!$C$157)^4</f>
        <v>51144.91956</v>
      </c>
      <c r="H5044" s="2" t="s">
        <v>1346</v>
      </c>
    </row>
    <row r="5045" customFormat="false" ht="15" hidden="false" customHeight="false" outlineLevel="1" collapsed="false">
      <c r="A5045" s="7" t="s">
        <v>451</v>
      </c>
      <c r="B5045" s="8" t="s">
        <v>11</v>
      </c>
      <c r="C5045" s="61" t="n">
        <f aca="false">Pressupostos!$C$413*(1+Pressupostos!$C$156)*(1+Pressupostos!$C$157)^0</f>
        <v>10500</v>
      </c>
      <c r="D5045" s="61" t="n">
        <f aca="false">Pressupostos!$D$413*(1+Pressupostos!$C$156)*(1+Pressupostos!$C$157)^1</f>
        <v>10710</v>
      </c>
      <c r="E5045" s="61" t="n">
        <f aca="false">Pressupostos!$E$413*(1+Pressupostos!$C$156)*(1+Pressupostos!$C$157)^2</f>
        <v>10924.2</v>
      </c>
      <c r="F5045" s="61" t="n">
        <f aca="false">Pressupostos!$F$413*(1+Pressupostos!$C$156)*(1+Pressupostos!$C$157)^3</f>
        <v>11142.684</v>
      </c>
      <c r="G5045" s="61" t="n">
        <f aca="false">Pressupostos!$G$413*(1+Pressupostos!$C$156)*(1+Pressupostos!$C$157)^4</f>
        <v>11365.53768</v>
      </c>
      <c r="H5045" s="2" t="s">
        <v>1347</v>
      </c>
    </row>
    <row r="5046" customFormat="false" ht="15" hidden="false" customHeight="false" outlineLevel="1" collapsed="false">
      <c r="A5046" s="7" t="s">
        <v>452</v>
      </c>
      <c r="B5046" s="8" t="s">
        <v>11</v>
      </c>
      <c r="C5046" s="61" t="n">
        <f aca="false">Pressupostos!$C$419*(1+Pressupostos!$C$156)*(1+Pressupostos!$C$157)^0</f>
        <v>12600</v>
      </c>
      <c r="D5046" s="61" t="n">
        <f aca="false">Pressupostos!$D$419*(1+Pressupostos!$C$156)*(1+Pressupostos!$C$157)^1</f>
        <v>12852</v>
      </c>
      <c r="E5046" s="61" t="n">
        <f aca="false">Pressupostos!$E$419*(1+Pressupostos!$C$156)*(1+Pressupostos!$C$157)^2</f>
        <v>13109.04</v>
      </c>
      <c r="F5046" s="61" t="n">
        <f aca="false">Pressupostos!$F$419*(1+Pressupostos!$C$156)*(1+Pressupostos!$C$157)^3</f>
        <v>13371.2208</v>
      </c>
      <c r="G5046" s="61" t="n">
        <f aca="false">Pressupostos!$G$419*(1+Pressupostos!$C$156)*(1+Pressupostos!$C$157)^4</f>
        <v>13638.645216</v>
      </c>
      <c r="H5046" s="2" t="s">
        <v>1348</v>
      </c>
    </row>
    <row r="5047" customFormat="false" ht="15" hidden="false" customHeight="false" outlineLevel="1" collapsed="false">
      <c r="A5047" s="7" t="s">
        <v>454</v>
      </c>
      <c r="B5047" s="8" t="s">
        <v>11</v>
      </c>
      <c r="C5047" s="61" t="n">
        <f aca="false">Pressupostos!$C$425*(1+Pressupostos!$C$156)*(1+Pressupostos!$C$157)^0</f>
        <v>31500</v>
      </c>
      <c r="D5047" s="61" t="n">
        <f aca="false">Pressupostos!$D$425*(1+Pressupostos!$C$156)*(1+Pressupostos!$C$157)^1</f>
        <v>37485</v>
      </c>
      <c r="E5047" s="61" t="n">
        <f aca="false">Pressupostos!$E$425*(1+Pressupostos!$C$156)*(1+Pressupostos!$C$157)^2</f>
        <v>49158.9</v>
      </c>
      <c r="F5047" s="61" t="n">
        <f aca="false">Pressupostos!$F$425*(1+Pressupostos!$C$156)*(1+Pressupostos!$C$157)^3</f>
        <v>55713.42</v>
      </c>
      <c r="G5047" s="61" t="n">
        <f aca="false">Pressupostos!$G$425*(1+Pressupostos!$C$156)*(1+Pressupostos!$C$157)^4</f>
        <v>62510.45724</v>
      </c>
      <c r="H5047" s="2" t="s">
        <v>1349</v>
      </c>
    </row>
    <row r="5048" customFormat="false" ht="15" hidden="false" customHeight="false" outlineLevel="1" collapsed="false">
      <c r="A5048" s="7" t="s">
        <v>456</v>
      </c>
      <c r="B5048" s="8" t="s">
        <v>11</v>
      </c>
      <c r="C5048" s="61" t="n">
        <f aca="false">Pressupostos!$C$431*(1+Pressupostos!$C$156)*(1+Pressupostos!$C$157)^0</f>
        <v>15750</v>
      </c>
      <c r="D5048" s="61" t="n">
        <f aca="false">Pressupostos!$D$431*(1+Pressupostos!$C$156)*(1+Pressupostos!$C$157)^1</f>
        <v>16065</v>
      </c>
      <c r="E5048" s="61" t="n">
        <f aca="false">Pressupostos!$E$431*(1+Pressupostos!$C$156)*(1+Pressupostos!$C$157)^2</f>
        <v>38234.7</v>
      </c>
      <c r="F5048" s="61" t="n">
        <f aca="false">Pressupostos!$F$431*(1+Pressupostos!$C$156)*(1+Pressupostos!$C$157)^3</f>
        <v>22285.368</v>
      </c>
      <c r="G5048" s="61" t="n">
        <f aca="false">Pressupostos!$G$431*(1+Pressupostos!$C$156)*(1+Pressupostos!$C$157)^4</f>
        <v>22731.07536</v>
      </c>
      <c r="H5048" s="2" t="s">
        <v>1350</v>
      </c>
    </row>
    <row r="5049" customFormat="false" ht="15" hidden="false" customHeight="false" outlineLevel="1" collapsed="false">
      <c r="A5049" s="7" t="s">
        <v>458</v>
      </c>
      <c r="B5049" s="8" t="s">
        <v>11</v>
      </c>
      <c r="C5049" s="61" t="n">
        <f aca="false">Pressupostos!$C$437*(1+Pressupostos!$C$156)*(1+Pressupostos!$C$157)^0</f>
        <v>10500</v>
      </c>
      <c r="D5049" s="61" t="n">
        <f aca="false">Pressupostos!$D$437*(1+Pressupostos!$C$156)*(1+Pressupostos!$C$157)^1</f>
        <v>12852</v>
      </c>
      <c r="E5049" s="61" t="n">
        <f aca="false">Pressupostos!$E$437*(1+Pressupostos!$C$156)*(1+Pressupostos!$C$157)^2</f>
        <v>16386.3</v>
      </c>
      <c r="F5049" s="61" t="n">
        <f aca="false">Pressupostos!$F$437*(1+Pressupostos!$C$156)*(1+Pressupostos!$C$157)^3</f>
        <v>20056.8312</v>
      </c>
      <c r="G5049" s="61" t="n">
        <f aca="false">Pressupostos!$G$437*(1+Pressupostos!$C$156)*(1+Pressupostos!$C$157)^4</f>
        <v>22731.07536</v>
      </c>
      <c r="H5049" s="2" t="s">
        <v>1351</v>
      </c>
    </row>
    <row r="5050" customFormat="false" ht="15" hidden="false" customHeight="false" outlineLevel="1" collapsed="false">
      <c r="A5050" s="7" t="s">
        <v>459</v>
      </c>
      <c r="B5050" s="8" t="s">
        <v>11</v>
      </c>
      <c r="C5050" s="61" t="n">
        <f aca="false">Pressupostos!$C$443*(1+Pressupostos!$C$156)*(1+Pressupostos!$C$157)^0</f>
        <v>31500</v>
      </c>
      <c r="D5050" s="61" t="n">
        <f aca="false">Pressupostos!$D$443*(1+Pressupostos!$C$156)*(1+Pressupostos!$C$157)^1</f>
        <v>37485</v>
      </c>
      <c r="E5050" s="61" t="n">
        <f aca="false">Pressupostos!$E$443*(1+Pressupostos!$C$156)*(1+Pressupostos!$C$157)^2</f>
        <v>49158.9</v>
      </c>
      <c r="F5050" s="61" t="n">
        <f aca="false">Pressupostos!$F$443*(1+Pressupostos!$C$156)*(1+Pressupostos!$C$157)^3</f>
        <v>55713.42</v>
      </c>
      <c r="G5050" s="61" t="n">
        <f aca="false">Pressupostos!$G$443*(1+Pressupostos!$C$156)*(1+Pressupostos!$C$157)^4</f>
        <v>62510.45724</v>
      </c>
      <c r="H5050" s="2" t="s">
        <v>1352</v>
      </c>
    </row>
    <row r="5051" customFormat="false" ht="15" hidden="false" customHeight="false" outlineLevel="1" collapsed="false">
      <c r="A5051" s="7" t="s">
        <v>461</v>
      </c>
      <c r="B5051" s="8" t="s">
        <v>11</v>
      </c>
      <c r="C5051" s="61" t="n">
        <f aca="false">Pressupostos!$C$449*(1+Pressupostos!$C$156)*(1+Pressupostos!$C$157)^0</f>
        <v>6300</v>
      </c>
      <c r="D5051" s="61" t="n">
        <f aca="false">Pressupostos!$D$449*(1+Pressupostos!$C$156)*(1+Pressupostos!$C$157)^1</f>
        <v>8568</v>
      </c>
      <c r="E5051" s="61" t="n">
        <f aca="false">Pressupostos!$E$449*(1+Pressupostos!$C$156)*(1+Pressupostos!$C$157)^2</f>
        <v>13109.04</v>
      </c>
      <c r="F5051" s="61" t="n">
        <f aca="false">Pressupostos!$F$449*(1+Pressupostos!$C$156)*(1+Pressupostos!$C$157)^3</f>
        <v>16714.026</v>
      </c>
      <c r="G5051" s="61" t="n">
        <f aca="false">Pressupostos!$G$449*(1+Pressupostos!$C$156)*(1+Pressupostos!$C$157)^4</f>
        <v>20457.967824</v>
      </c>
      <c r="H5051" s="2" t="s">
        <v>1353</v>
      </c>
    </row>
    <row r="5052" customFormat="false" ht="15" hidden="false" customHeight="false" outlineLevel="1" collapsed="false">
      <c r="A5052" s="7" t="s">
        <v>463</v>
      </c>
      <c r="B5052" s="8" t="s">
        <v>11</v>
      </c>
      <c r="C5052" s="61" t="n">
        <f aca="false">Pressupostos!$C$455*(1+Pressupostos!$C$156)*(1+Pressupostos!$C$157)^0</f>
        <v>15750</v>
      </c>
      <c r="D5052" s="61" t="n">
        <f aca="false">Pressupostos!$D$455*(1+Pressupostos!$C$156)*(1+Pressupostos!$C$157)^1</f>
        <v>21420</v>
      </c>
      <c r="E5052" s="61" t="n">
        <f aca="false">Pressupostos!$E$455*(1+Pressupostos!$C$156)*(1+Pressupostos!$C$157)^2</f>
        <v>30587.76</v>
      </c>
      <c r="F5052" s="61" t="n">
        <f aca="false">Pressupostos!$F$455*(1+Pressupostos!$C$156)*(1+Pressupostos!$C$157)^3</f>
        <v>35656.5888</v>
      </c>
      <c r="G5052" s="61" t="n">
        <f aca="false">Pressupostos!$G$455*(1+Pressupostos!$C$156)*(1+Pressupostos!$C$157)^4</f>
        <v>40915.935648</v>
      </c>
      <c r="H5052" s="2" t="s">
        <v>1354</v>
      </c>
    </row>
    <row r="5053" customFormat="false" ht="15" hidden="false" customHeight="false" outlineLevel="1" collapsed="false">
      <c r="A5053" s="7" t="s">
        <v>464</v>
      </c>
      <c r="B5053" s="8" t="s">
        <v>11</v>
      </c>
      <c r="C5053" s="61" t="n">
        <f aca="false">Pressupostos!$C$461*(1+Pressupostos!$C$156)*(1+Pressupostos!$C$157)^0</f>
        <v>4200</v>
      </c>
      <c r="D5053" s="61" t="n">
        <f aca="false">Pressupostos!$D$461*(1+Pressupostos!$C$156)*(1+Pressupostos!$C$157)^1</f>
        <v>6426</v>
      </c>
      <c r="E5053" s="61" t="n">
        <f aca="false">Pressupostos!$E$461*(1+Pressupostos!$C$156)*(1+Pressupostos!$C$157)^2</f>
        <v>8739.36</v>
      </c>
      <c r="F5053" s="61" t="n">
        <f aca="false">Pressupostos!$F$461*(1+Pressupostos!$C$156)*(1+Pressupostos!$C$157)^3</f>
        <v>8914.1472</v>
      </c>
      <c r="G5053" s="61" t="n">
        <f aca="false">Pressupostos!$G$461*(1+Pressupostos!$C$156)*(1+Pressupostos!$C$157)^4</f>
        <v>9092.430144</v>
      </c>
      <c r="H5053" s="2" t="s">
        <v>1355</v>
      </c>
    </row>
    <row r="5054" customFormat="false" ht="15" hidden="false" customHeight="false" outlineLevel="1" collapsed="false">
      <c r="A5054" s="7" t="s">
        <v>701</v>
      </c>
      <c r="B5054" s="8" t="s">
        <v>11</v>
      </c>
      <c r="C5054" s="61" t="n">
        <f aca="false">C5044+C5045+C5046+C5047+C5048+C5049+C5050+C5051+C5052+C5053</f>
        <v>233100</v>
      </c>
      <c r="D5054" s="61" t="n">
        <f aca="false">D5044+D5045+D5046+D5047+D5048+D5049+D5050+D5051+D5052+D5053</f>
        <v>217413</v>
      </c>
      <c r="E5054" s="61" t="n">
        <f aca="false">E5044+E5045+E5046+E5047+E5048+E5049+E5050+E5051+E5052+E5053</f>
        <v>278567.1</v>
      </c>
      <c r="F5054" s="61" t="n">
        <f aca="false">F5044+F5045+F5046+F5047+F5048+F5049+F5050+F5051+F5052+F5053</f>
        <v>289709.784</v>
      </c>
      <c r="G5054" s="61" t="n">
        <f aca="false">G5044+G5045+G5046+G5047+G5048+G5049+G5050+G5051+G5052+G5053</f>
        <v>317098.501272</v>
      </c>
      <c r="H5054" s="2" t="s">
        <v>1356</v>
      </c>
    </row>
    <row r="5055" customFormat="false" ht="15" hidden="false" customHeight="false" outlineLevel="1" collapsed="false">
      <c r="A5055" s="7" t="s">
        <v>702</v>
      </c>
      <c r="B5055" s="8" t="s">
        <v>11</v>
      </c>
      <c r="C5055" s="61" t="n">
        <f aca="false">Pressupostos!$C$114+Pressupostos!$C$115+Pressupostos!$C$116*Pressupostos!$C$296+Pressupostos!$C$466+Pressupostos!$C$308</f>
        <v>65000</v>
      </c>
      <c r="D5055" s="61" t="n">
        <f aca="false">Pressupostos!$C$115+Pressupostos!$C$116*Pressupostos!$D$296+Pressupostos!$D$466+Pressupostos!$D$308</f>
        <v>75000</v>
      </c>
      <c r="E5055" s="61" t="n">
        <f aca="false">Pressupostos!$C$115+Pressupostos!$C$116*Pressupostos!$E$296+Pressupostos!$E$466+Pressupostos!$E$308</f>
        <v>80000</v>
      </c>
      <c r="F5055" s="61" t="n">
        <f aca="false">Pressupostos!$C$115+Pressupostos!$C$116*Pressupostos!$F$296+Pressupostos!$F$466+Pressupostos!$F$308</f>
        <v>85000</v>
      </c>
      <c r="G5055" s="61" t="n">
        <f aca="false">Pressupostos!$C$115+Pressupostos!$C$116*Pressupostos!$G$296+Pressupostos!$G$466+Pressupostos!$G$308</f>
        <v>90000</v>
      </c>
      <c r="H5055" s="2" t="s">
        <v>1357</v>
      </c>
    </row>
    <row r="5056" customFormat="false" ht="15" hidden="false" customHeight="false" outlineLevel="1" collapsed="false">
      <c r="A5056" s="7" t="s">
        <v>703</v>
      </c>
      <c r="B5056" s="8" t="s">
        <v>11</v>
      </c>
      <c r="C5056" s="61" t="n">
        <f aca="false">IF(C4868&lt;Pressupostos!$C$120,0,MAX(Pressupostos!$C$302,Pressupostos!$C$118*(C4962+C4963)+Pressupostos!$C$119*C4964))</f>
        <v>0</v>
      </c>
      <c r="D5056" s="61" t="n">
        <f aca="false">IF(D4868&lt;Pressupostos!$C$120,0,MAX(Pressupostos!$D$302,Pressupostos!$C$118*(D4962+D4963)+Pressupostos!$C$119*D4964))</f>
        <v>7088.7</v>
      </c>
      <c r="E5056" s="61" t="n">
        <f aca="false">IF(E4868&lt;Pressupostos!$C$120,0,MAX(Pressupostos!$E$302,Pressupostos!$C$118*(E4962+E4963)+Pressupostos!$C$119*E4964))</f>
        <v>14435.4</v>
      </c>
      <c r="F5056" s="61" t="n">
        <f aca="false">IF(F4868&lt;Pressupostos!$C$120,0,MAX(Pressupostos!$F$302,Pressupostos!$C$118*(F4962+F4963)+Pressupostos!$C$119*F4964))</f>
        <v>23984.8</v>
      </c>
      <c r="G5056" s="61" t="n">
        <f aca="false">IF(G4868&lt;Pressupostos!$C$120,0,MAX(Pressupostos!$G$302,Pressupostos!$C$118*(G4962+G4963)+Pressupostos!$C$119*G4964))</f>
        <v>36044</v>
      </c>
      <c r="H5056" s="2" t="s">
        <v>1358</v>
      </c>
    </row>
    <row r="5057" customFormat="false" ht="15" hidden="false" customHeight="false" outlineLevel="1" collapsed="false">
      <c r="A5057" s="56" t="s">
        <v>704</v>
      </c>
      <c r="B5057" s="57" t="s">
        <v>11</v>
      </c>
      <c r="C5057" s="62" t="n">
        <f aca="false">C5054+C5055+C5056</f>
        <v>298100</v>
      </c>
      <c r="D5057" s="62" t="n">
        <f aca="false">D5054+D5055+D5056</f>
        <v>299501.7</v>
      </c>
      <c r="E5057" s="62" t="n">
        <f aca="false">E5054+E5055+E5056</f>
        <v>373002.5</v>
      </c>
      <c r="F5057" s="62" t="n">
        <f aca="false">F5054+F5055+F5056</f>
        <v>398694.584</v>
      </c>
      <c r="G5057" s="62" t="n">
        <f aca="false">G5054+G5055+G5056</f>
        <v>443142.501272</v>
      </c>
      <c r="H5057" s="2" t="s">
        <v>1359</v>
      </c>
    </row>
    <row r="5058" customFormat="false" ht="15" hidden="false" customHeight="false" outlineLevel="0" collapsed="false">
      <c r="A5058" s="3" t="s">
        <v>1360</v>
      </c>
      <c r="B5058" s="4"/>
      <c r="C5058" s="4"/>
      <c r="D5058" s="4"/>
      <c r="E5058" s="4"/>
      <c r="F5058" s="4"/>
      <c r="G5058" s="4"/>
      <c r="H5058" s="4"/>
    </row>
    <row r="5059" customFormat="false" ht="15" hidden="false" customHeight="false" outlineLevel="1" collapsed="false">
      <c r="A5059" s="7" t="s">
        <v>706</v>
      </c>
      <c r="B5059" s="8" t="s">
        <v>11</v>
      </c>
      <c r="C5059" s="61" t="n">
        <f aca="false">Pressupostos!$C$165*Pressupostos!$C$315</f>
        <v>18000</v>
      </c>
      <c r="D5059" s="61" t="n">
        <f aca="false">Pressupostos!$C$165*Pressupostos!$D$315</f>
        <v>12000</v>
      </c>
      <c r="E5059" s="61" t="n">
        <f aca="false">Pressupostos!$C$165*Pressupostos!$E$315</f>
        <v>12000</v>
      </c>
      <c r="F5059" s="61" t="n">
        <f aca="false">Pressupostos!$C$165*Pressupostos!$F$315</f>
        <v>12000</v>
      </c>
      <c r="G5059" s="61" t="n">
        <f aca="false">Pressupostos!$C$165*Pressupostos!$G$315</f>
        <v>12000</v>
      </c>
      <c r="H5059" s="2" t="s">
        <v>1361</v>
      </c>
    </row>
    <row r="5060" customFormat="false" ht="15" hidden="false" customHeight="false" outlineLevel="1" collapsed="false">
      <c r="A5060" s="7" t="s">
        <v>707</v>
      </c>
      <c r="B5060" s="8" t="s">
        <v>11</v>
      </c>
      <c r="C5060" s="53" t="n">
        <f aca="false">Pressupostos!$C$321</f>
        <v>60000</v>
      </c>
      <c r="D5060" s="53" t="n">
        <f aca="false">Pressupostos!$D$321</f>
        <v>15000</v>
      </c>
      <c r="E5060" s="53" t="n">
        <f aca="false">Pressupostos!$E$321</f>
        <v>15000</v>
      </c>
      <c r="F5060" s="53" t="n">
        <f aca="false">Pressupostos!$F$321</f>
        <v>10000</v>
      </c>
      <c r="G5060" s="53" t="n">
        <f aca="false">Pressupostos!$G$321</f>
        <v>10000</v>
      </c>
      <c r="H5060" s="2" t="s">
        <v>1362</v>
      </c>
    </row>
    <row r="5061" customFormat="false" ht="15" hidden="false" customHeight="false" outlineLevel="1" collapsed="false">
      <c r="A5061" s="7" t="s">
        <v>708</v>
      </c>
      <c r="B5061" s="8" t="s">
        <v>11</v>
      </c>
      <c r="C5061" s="53" t="n">
        <f aca="false">Pressupostos!$C$327</f>
        <v>0</v>
      </c>
      <c r="D5061" s="53" t="n">
        <f aca="false">Pressupostos!$D$327</f>
        <v>15000</v>
      </c>
      <c r="E5061" s="53" t="n">
        <f aca="false">Pressupostos!$E$327</f>
        <v>15000</v>
      </c>
      <c r="F5061" s="53" t="n">
        <f aca="false">Pressupostos!$F$327</f>
        <v>10000</v>
      </c>
      <c r="G5061" s="53" t="n">
        <f aca="false">Pressupostos!$G$327</f>
        <v>10000</v>
      </c>
      <c r="H5061" s="2" t="s">
        <v>1363</v>
      </c>
    </row>
    <row r="5062" customFormat="false" ht="15" hidden="false" customHeight="false" outlineLevel="1" collapsed="false">
      <c r="A5062" s="7" t="s">
        <v>709</v>
      </c>
      <c r="B5062" s="8" t="s">
        <v>11</v>
      </c>
      <c r="C5062" s="61" t="n">
        <f aca="false">Pressupostos!$C$166*MAX(0,C5024)</f>
        <v>11000</v>
      </c>
      <c r="D5062" s="61" t="n">
        <f aca="false">Pressupostos!$C$166*MAX(0,D5024-C5024)</f>
        <v>4000</v>
      </c>
      <c r="E5062" s="61" t="n">
        <f aca="false">Pressupostos!$C$166*MAX(0,E5024-D5024)</f>
        <v>2000</v>
      </c>
      <c r="F5062" s="61" t="n">
        <f aca="false">Pressupostos!$C$166*MAX(0,F5024-E5024)</f>
        <v>5000</v>
      </c>
      <c r="G5062" s="61" t="n">
        <f aca="false">Pressupostos!$C$166*MAX(0,G5024-F5024)</f>
        <v>2000</v>
      </c>
      <c r="H5062" s="2" t="s">
        <v>1364</v>
      </c>
    </row>
    <row r="5063" customFormat="false" ht="15" hidden="false" customHeight="false" outlineLevel="1" collapsed="false">
      <c r="A5063" s="7" t="s">
        <v>424</v>
      </c>
      <c r="B5063" s="8" t="s">
        <v>11</v>
      </c>
      <c r="C5063" s="61" t="n">
        <f aca="false">C5059+C5060+C5061+C5062</f>
        <v>89000</v>
      </c>
      <c r="D5063" s="61" t="n">
        <f aca="false">D5059+D5060+D5061+D5062</f>
        <v>46000</v>
      </c>
      <c r="E5063" s="61" t="n">
        <f aca="false">E5059+E5060+E5061+E5062</f>
        <v>44000</v>
      </c>
      <c r="F5063" s="61" t="n">
        <f aca="false">F5059+F5060+F5061+F5062</f>
        <v>37000</v>
      </c>
      <c r="G5063" s="61" t="n">
        <f aca="false">G5059+G5060+G5061+G5062</f>
        <v>34000</v>
      </c>
      <c r="H5063" s="2" t="s">
        <v>1365</v>
      </c>
    </row>
    <row r="5064" customFormat="false" ht="15" hidden="false" customHeight="false" outlineLevel="1" collapsed="false">
      <c r="A5064" s="7" t="s">
        <v>710</v>
      </c>
      <c r="B5064" s="8" t="s">
        <v>11</v>
      </c>
      <c r="C5064" s="61" t="n">
        <f aca="false">(C5060*((0)&lt;Pressupostos!$C$167))/Pressupostos!$C$167</f>
        <v>20000</v>
      </c>
      <c r="D5064" s="61" t="n">
        <f aca="false">(C5060*((1)&lt;Pressupostos!$C$167)+D5060*((0)&lt;Pressupostos!$C$167))/Pressupostos!$C$167</f>
        <v>25000</v>
      </c>
      <c r="E5064" s="61" t="n">
        <f aca="false">(C5060*((2)&lt;Pressupostos!$C$167)+D5060*((1)&lt;Pressupostos!$C$167)+E5060*((0)&lt;Pressupostos!$C$167))/Pressupostos!$C$167</f>
        <v>30000</v>
      </c>
      <c r="F5064" s="61" t="n">
        <f aca="false">(C5060*((3)&lt;Pressupostos!$C$167)+D5060*((2)&lt;Pressupostos!$C$167)+E5060*((1)&lt;Pressupostos!$C$167)+F5060*((0)&lt;Pressupostos!$C$167))/Pressupostos!$C$167</f>
        <v>13333.3333333333</v>
      </c>
      <c r="G5064" s="61" t="n">
        <f aca="false">(C5060*((4)&lt;Pressupostos!$C$167)+D5060*((3)&lt;Pressupostos!$C$167)+E5060*((2)&lt;Pressupostos!$C$167)+F5060*((1)&lt;Pressupostos!$C$167)+G5060*((0)&lt;Pressupostos!$C$167))/Pressupostos!$C$167</f>
        <v>11666.6666666667</v>
      </c>
      <c r="H5064" s="2" t="s">
        <v>1366</v>
      </c>
    </row>
    <row r="5065" customFormat="false" ht="15" hidden="false" customHeight="false" outlineLevel="1" collapsed="false">
      <c r="A5065" s="7" t="s">
        <v>711</v>
      </c>
      <c r="B5065" s="8" t="s">
        <v>11</v>
      </c>
      <c r="C5065" s="61" t="n">
        <f aca="false">(C5061*((0)&lt;Pressupostos!$C$167))/Pressupostos!$C$167</f>
        <v>0</v>
      </c>
      <c r="D5065" s="61" t="n">
        <f aca="false">(C5061*((1)&lt;Pressupostos!$C$167)+D5061*((0)&lt;Pressupostos!$C$167))/Pressupostos!$C$167</f>
        <v>5000</v>
      </c>
      <c r="E5065" s="61" t="n">
        <f aca="false">(C5061*((2)&lt;Pressupostos!$C$167)+D5061*((1)&lt;Pressupostos!$C$167)+E5061*((0)&lt;Pressupostos!$C$167))/Pressupostos!$C$167</f>
        <v>10000</v>
      </c>
      <c r="F5065" s="61" t="n">
        <f aca="false">(C5061*((3)&lt;Pressupostos!$C$167)+D5061*((2)&lt;Pressupostos!$C$167)+E5061*((1)&lt;Pressupostos!$C$167)+F5061*((0)&lt;Pressupostos!$C$167))/Pressupostos!$C$167</f>
        <v>13333.3333333333</v>
      </c>
      <c r="G5065" s="61" t="n">
        <f aca="false">(C5061*((4)&lt;Pressupostos!$C$167)+D5061*((3)&lt;Pressupostos!$C$167)+E5061*((2)&lt;Pressupostos!$C$167)+F5061*((1)&lt;Pressupostos!$C$167)+G5061*((0)&lt;Pressupostos!$C$167))/Pressupostos!$C$167</f>
        <v>11666.6666666667</v>
      </c>
      <c r="H5065" s="2" t="s">
        <v>1367</v>
      </c>
    </row>
    <row r="5066" customFormat="false" ht="15" hidden="false" customHeight="false" outlineLevel="1" collapsed="false">
      <c r="A5066" s="7" t="s">
        <v>712</v>
      </c>
      <c r="B5066" s="8" t="s">
        <v>11</v>
      </c>
      <c r="C5066" s="61" t="n">
        <f aca="false">(C5059*((0)&lt;Pressupostos!$C$169))/Pressupostos!$C$169</f>
        <v>3600</v>
      </c>
      <c r="D5066" s="61" t="n">
        <f aca="false">(C5059*((1)&lt;Pressupostos!$C$169)+D5059*((0)&lt;Pressupostos!$C$169))/Pressupostos!$C$169</f>
        <v>6000</v>
      </c>
      <c r="E5066" s="61" t="n">
        <f aca="false">(C5059*((2)&lt;Pressupostos!$C$169)+D5059*((1)&lt;Pressupostos!$C$169)+E5059*((0)&lt;Pressupostos!$C$169))/Pressupostos!$C$169</f>
        <v>8400</v>
      </c>
      <c r="F5066" s="61" t="n">
        <f aca="false">(C5059*((3)&lt;Pressupostos!$C$169)+D5059*((2)&lt;Pressupostos!$C$169)+E5059*((1)&lt;Pressupostos!$C$169)+F5059*((0)&lt;Pressupostos!$C$169))/Pressupostos!$C$169</f>
        <v>10800</v>
      </c>
      <c r="G5066" s="61" t="n">
        <f aca="false">(C5059*((4)&lt;Pressupostos!$C$169)+D5059*((3)&lt;Pressupostos!$C$169)+E5059*((2)&lt;Pressupostos!$C$169)+F5059*((1)&lt;Pressupostos!$C$169)+G5059*((0)&lt;Pressupostos!$C$169))/Pressupostos!$C$169</f>
        <v>13200</v>
      </c>
      <c r="H5066" s="2" t="s">
        <v>1368</v>
      </c>
    </row>
    <row r="5067" customFormat="false" ht="15" hidden="false" customHeight="false" outlineLevel="1" collapsed="false">
      <c r="A5067" s="7" t="s">
        <v>713</v>
      </c>
      <c r="B5067" s="8" t="s">
        <v>11</v>
      </c>
      <c r="C5067" s="61" t="n">
        <f aca="false">(C5062*((0)&lt;Pressupostos!$C$168))/Pressupostos!$C$168</f>
        <v>2750</v>
      </c>
      <c r="D5067" s="61" t="n">
        <f aca="false">(C5062*((1)&lt;Pressupostos!$C$168)+D5062*((0)&lt;Pressupostos!$C$168))/Pressupostos!$C$168</f>
        <v>3750</v>
      </c>
      <c r="E5067" s="61" t="n">
        <f aca="false">(C5062*((2)&lt;Pressupostos!$C$168)+D5062*((1)&lt;Pressupostos!$C$168)+E5062*((0)&lt;Pressupostos!$C$168))/Pressupostos!$C$168</f>
        <v>4250</v>
      </c>
      <c r="F5067" s="61" t="n">
        <f aca="false">(C5062*((3)&lt;Pressupostos!$C$168)+D5062*((2)&lt;Pressupostos!$C$168)+E5062*((1)&lt;Pressupostos!$C$168)+F5062*((0)&lt;Pressupostos!$C$168))/Pressupostos!$C$168</f>
        <v>5500</v>
      </c>
      <c r="G5067" s="61" t="n">
        <f aca="false">(C5062*((4)&lt;Pressupostos!$C$168)+D5062*((3)&lt;Pressupostos!$C$168)+E5062*((2)&lt;Pressupostos!$C$168)+F5062*((1)&lt;Pressupostos!$C$168)+G5062*((0)&lt;Pressupostos!$C$168))/Pressupostos!$C$168</f>
        <v>3250</v>
      </c>
      <c r="H5067" s="2" t="s">
        <v>1369</v>
      </c>
    </row>
    <row r="5068" customFormat="false" ht="15" hidden="false" customHeight="false" outlineLevel="1" collapsed="false">
      <c r="A5068" s="7" t="s">
        <v>714</v>
      </c>
      <c r="B5068" s="8" t="s">
        <v>11</v>
      </c>
      <c r="C5068" s="61" t="n">
        <f aca="false">C5064+C5065+C5066+C5067</f>
        <v>26350</v>
      </c>
      <c r="D5068" s="61" t="n">
        <f aca="false">D5064+D5065+D5066+D5067</f>
        <v>39750</v>
      </c>
      <c r="E5068" s="61" t="n">
        <f aca="false">E5064+E5065+E5066+E5067</f>
        <v>52650</v>
      </c>
      <c r="F5068" s="61" t="n">
        <f aca="false">F5064+F5065+F5066+F5067</f>
        <v>42966.6666666667</v>
      </c>
      <c r="G5068" s="61" t="n">
        <f aca="false">G5064+G5065+G5066+G5067</f>
        <v>39783.3333333333</v>
      </c>
      <c r="H5068" s="2" t="s">
        <v>1370</v>
      </c>
    </row>
    <row r="5069" customFormat="false" ht="15" hidden="false" customHeight="false" outlineLevel="0" collapsed="false">
      <c r="A5069" s="3" t="s">
        <v>1371</v>
      </c>
      <c r="B5069" s="4"/>
      <c r="C5069" s="4"/>
      <c r="D5069" s="4"/>
      <c r="E5069" s="4"/>
      <c r="F5069" s="4"/>
      <c r="G5069" s="4"/>
      <c r="H5069" s="4"/>
    </row>
    <row r="5070" customFormat="false" ht="15" hidden="false" customHeight="false" outlineLevel="1" collapsed="false">
      <c r="A5070" s="56" t="s">
        <v>718</v>
      </c>
      <c r="B5070" s="57" t="s">
        <v>11</v>
      </c>
      <c r="C5070" s="62" t="n">
        <f aca="false">C4972</f>
        <v>273414.4</v>
      </c>
      <c r="D5070" s="62" t="n">
        <f aca="false">D4972</f>
        <v>1796029</v>
      </c>
      <c r="E5070" s="62" t="n">
        <f aca="false">E4972</f>
        <v>3680169</v>
      </c>
      <c r="F5070" s="62" t="n">
        <f aca="false">F4972</f>
        <v>6292227</v>
      </c>
      <c r="G5070" s="62" t="n">
        <f aca="false">G4972</f>
        <v>9630235</v>
      </c>
      <c r="H5070" s="2" t="s">
        <v>1372</v>
      </c>
    </row>
    <row r="5071" customFormat="false" ht="15" hidden="false" customHeight="false" outlineLevel="1" collapsed="false">
      <c r="A5071" s="7" t="s">
        <v>688</v>
      </c>
      <c r="B5071" s="8" t="s">
        <v>11</v>
      </c>
      <c r="C5071" s="61" t="n">
        <f aca="false">-C4995</f>
        <v>-245040</v>
      </c>
      <c r="D5071" s="61" t="n">
        <f aca="false">-D4995</f>
        <v>-1599300</v>
      </c>
      <c r="E5071" s="61" t="n">
        <f aca="false">-E4995</f>
        <v>-3248250</v>
      </c>
      <c r="F5071" s="61" t="n">
        <f aca="false">-F4995</f>
        <v>-5533850</v>
      </c>
      <c r="G5071" s="61" t="n">
        <f aca="false">-G4995</f>
        <v>-8460500</v>
      </c>
      <c r="H5071" s="2" t="s">
        <v>1373</v>
      </c>
    </row>
    <row r="5072" customFormat="false" ht="15" hidden="false" customHeight="false" outlineLevel="1" collapsed="false">
      <c r="A5072" s="56" t="s">
        <v>719</v>
      </c>
      <c r="B5072" s="57" t="s">
        <v>11</v>
      </c>
      <c r="C5072" s="62" t="n">
        <f aca="false">C5070+C5071</f>
        <v>28374.4</v>
      </c>
      <c r="D5072" s="62" t="n">
        <f aca="false">D5070+D5071</f>
        <v>196729</v>
      </c>
      <c r="E5072" s="62" t="n">
        <f aca="false">E5070+E5071</f>
        <v>431919</v>
      </c>
      <c r="F5072" s="62" t="n">
        <f aca="false">F5070+F5071</f>
        <v>758376.999999999</v>
      </c>
      <c r="G5072" s="62" t="n">
        <f aca="false">G5070+G5071</f>
        <v>1169735</v>
      </c>
      <c r="H5072" s="2" t="s">
        <v>1374</v>
      </c>
    </row>
    <row r="5073" customFormat="false" ht="15" hidden="false" customHeight="false" outlineLevel="1" collapsed="false">
      <c r="A5073" s="2" t="s">
        <v>720</v>
      </c>
      <c r="B5073" s="8" t="s">
        <v>76</v>
      </c>
      <c r="C5073" s="59" t="n">
        <f aca="false">IF(C5070&gt;0,C5072/C5070,0)</f>
        <v>0.103778001451277</v>
      </c>
      <c r="D5073" s="59" t="n">
        <f aca="false">IF(D5070&gt;0,D5072/D5070,0)</f>
        <v>0.109535536452919</v>
      </c>
      <c r="E5073" s="59" t="n">
        <f aca="false">IF(E5070&gt;0,E5072/E5070,0)</f>
        <v>0.117363903668554</v>
      </c>
      <c r="F5073" s="59" t="n">
        <f aca="false">IF(F5070&gt;0,F5072/F5070,0)</f>
        <v>0.120526007723497</v>
      </c>
      <c r="G5073" s="59" t="n">
        <f aca="false">IF(G5070&gt;0,G5072/G5070,0)</f>
        <v>0.121464844835043</v>
      </c>
      <c r="H5073" s="2" t="s">
        <v>1375</v>
      </c>
    </row>
    <row r="5074" customFormat="false" ht="15" hidden="false" customHeight="false" outlineLevel="1" collapsed="false">
      <c r="A5074" s="7" t="s">
        <v>721</v>
      </c>
      <c r="B5074" s="8" t="s">
        <v>11</v>
      </c>
      <c r="C5074" s="61" t="n">
        <f aca="false">-C5006</f>
        <v>-15479.4626027397</v>
      </c>
      <c r="D5074" s="61" t="n">
        <f aca="false">-D5006</f>
        <v>-101810.203938356</v>
      </c>
      <c r="E5074" s="61" t="n">
        <f aca="false">-E5006</f>
        <v>-211856.756849315</v>
      </c>
      <c r="F5074" s="61" t="n">
        <f aca="false">-F5006</f>
        <v>-357986.001712329</v>
      </c>
      <c r="G5074" s="61" t="n">
        <f aca="false">-G5006</f>
        <v>-534762.037671233</v>
      </c>
      <c r="H5074" s="2" t="s">
        <v>1376</v>
      </c>
    </row>
    <row r="5075" customFormat="false" ht="15" hidden="false" customHeight="false" outlineLevel="1" collapsed="false">
      <c r="A5075" s="7" t="s">
        <v>698</v>
      </c>
      <c r="B5075" s="8" t="s">
        <v>11</v>
      </c>
      <c r="C5075" s="61" t="n">
        <f aca="false">-C5009</f>
        <v>-0</v>
      </c>
      <c r="D5075" s="61" t="n">
        <f aca="false">-D5009</f>
        <v>-21524.1780821918</v>
      </c>
      <c r="E5075" s="61" t="n">
        <f aca="false">-E5009</f>
        <v>-34083.5991010274</v>
      </c>
      <c r="F5075" s="61" t="n">
        <f aca="false">-F5009</f>
        <v>-53929.0517979452</v>
      </c>
      <c r="G5075" s="61" t="n">
        <f aca="false">-G5009</f>
        <v>-82260.0385273973</v>
      </c>
      <c r="H5075" s="2" t="s">
        <v>1377</v>
      </c>
    </row>
    <row r="5076" customFormat="false" ht="15" hidden="false" customHeight="false" outlineLevel="1" collapsed="false">
      <c r="A5076" s="56" t="s">
        <v>677</v>
      </c>
      <c r="B5076" s="57" t="s">
        <v>11</v>
      </c>
      <c r="C5076" s="62" t="n">
        <f aca="false">C5072+C5074+C5075</f>
        <v>12894.9373972603</v>
      </c>
      <c r="D5076" s="62" t="n">
        <f aca="false">D5072+D5074+D5075</f>
        <v>73394.6179794518</v>
      </c>
      <c r="E5076" s="62" t="n">
        <f aca="false">E5072+E5074+E5075</f>
        <v>185978.644049657</v>
      </c>
      <c r="F5076" s="62" t="n">
        <f aca="false">F5072+F5074+F5075</f>
        <v>346461.946489725</v>
      </c>
      <c r="G5076" s="62" t="n">
        <f aca="false">G5072+G5074+G5075</f>
        <v>552712.923801368</v>
      </c>
      <c r="H5076" s="2" t="s">
        <v>1378</v>
      </c>
    </row>
    <row r="5077" customFormat="false" ht="15" hidden="false" customHeight="false" outlineLevel="1" collapsed="false">
      <c r="A5077" s="7" t="s">
        <v>261</v>
      </c>
      <c r="B5077" s="8" t="s">
        <v>11</v>
      </c>
      <c r="C5077" s="61" t="n">
        <f aca="false">-C5041</f>
        <v>-303573.09375</v>
      </c>
      <c r="D5077" s="61" t="n">
        <f aca="false">-D5041</f>
        <v>-477845.325</v>
      </c>
      <c r="E5077" s="61" t="n">
        <f aca="false">-E5041</f>
        <v>-563341.2153125</v>
      </c>
      <c r="F5077" s="61" t="n">
        <f aca="false">-F5041</f>
        <v>-697007.527174375</v>
      </c>
      <c r="G5077" s="61" t="n">
        <f aca="false">-G5041</f>
        <v>-768997.563445444</v>
      </c>
      <c r="H5077" s="2" t="s">
        <v>1379</v>
      </c>
    </row>
    <row r="5078" customFormat="false" ht="15" hidden="false" customHeight="false" outlineLevel="1" collapsed="false">
      <c r="A5078" s="7" t="s">
        <v>722</v>
      </c>
      <c r="B5078" s="8" t="s">
        <v>11</v>
      </c>
      <c r="C5078" s="61" t="n">
        <f aca="false">-C5057</f>
        <v>-298100</v>
      </c>
      <c r="D5078" s="61" t="n">
        <f aca="false">-D5057</f>
        <v>-299501.7</v>
      </c>
      <c r="E5078" s="61" t="n">
        <f aca="false">-E5057</f>
        <v>-373002.5</v>
      </c>
      <c r="F5078" s="61" t="n">
        <f aca="false">-F5057</f>
        <v>-398694.584</v>
      </c>
      <c r="G5078" s="61" t="n">
        <f aca="false">-G5057</f>
        <v>-443142.501272</v>
      </c>
      <c r="H5078" s="2" t="s">
        <v>1380</v>
      </c>
    </row>
    <row r="5079" customFormat="false" ht="15" hidden="false" customHeight="false" outlineLevel="1" collapsed="false">
      <c r="A5079" s="56" t="s">
        <v>723</v>
      </c>
      <c r="B5079" s="57" t="s">
        <v>11</v>
      </c>
      <c r="C5079" s="62" t="n">
        <f aca="false">C5076+C5077+C5078</f>
        <v>-588778.15635274</v>
      </c>
      <c r="D5079" s="62" t="n">
        <f aca="false">D5076+D5077+D5078</f>
        <v>-703952.407020548</v>
      </c>
      <c r="E5079" s="62" t="n">
        <f aca="false">E5076+E5077+E5078</f>
        <v>-750365.071262843</v>
      </c>
      <c r="F5079" s="62" t="n">
        <f aca="false">F5076+F5077+F5078</f>
        <v>-749240.16468465</v>
      </c>
      <c r="G5079" s="62" t="n">
        <f aca="false">G5076+G5077+G5078</f>
        <v>-659427.140916076</v>
      </c>
      <c r="H5079" s="2" t="s">
        <v>1381</v>
      </c>
    </row>
    <row r="5080" customFormat="false" ht="15" hidden="false" customHeight="false" outlineLevel="1" collapsed="false">
      <c r="A5080" s="2" t="s">
        <v>725</v>
      </c>
      <c r="B5080" s="8" t="s">
        <v>76</v>
      </c>
      <c r="C5080" s="59" t="n">
        <f aca="false">IF(C5070&gt;0,C5079/C5070,0)</f>
        <v>-2.15342775052353</v>
      </c>
      <c r="D5080" s="59" t="n">
        <f aca="false">IF(D5070&gt;0,D5079/D5070,0)</f>
        <v>-0.39194935439269</v>
      </c>
      <c r="E5080" s="59" t="n">
        <f aca="false">IF(E5070&gt;0,E5079/E5070,0)</f>
        <v>-0.203894188354623</v>
      </c>
      <c r="F5080" s="59" t="n">
        <f aca="false">IF(F5070&gt;0,F5079/F5070,0)</f>
        <v>-0.119073924809873</v>
      </c>
      <c r="G5080" s="59" t="n">
        <f aca="false">IF(G5070&gt;0,G5079/G5070,0)</f>
        <v>-0.0684746676395826</v>
      </c>
      <c r="H5080" s="2" t="s">
        <v>1382</v>
      </c>
    </row>
    <row r="5081" customFormat="false" ht="15" hidden="false" customHeight="false" outlineLevel="1" collapsed="false">
      <c r="A5081" s="2" t="s">
        <v>726</v>
      </c>
      <c r="B5081" s="8" t="s">
        <v>11</v>
      </c>
      <c r="C5081" s="61" t="n">
        <f aca="false">C5079+C5009</f>
        <v>-588778.15635274</v>
      </c>
      <c r="D5081" s="61" t="n">
        <f aca="false">D5079+D5009</f>
        <v>-682428.228938356</v>
      </c>
      <c r="E5081" s="61" t="n">
        <f aca="false">E5079+E5009</f>
        <v>-716281.472161816</v>
      </c>
      <c r="F5081" s="61" t="n">
        <f aca="false">F5079+F5009</f>
        <v>-695311.112886705</v>
      </c>
      <c r="G5081" s="61" t="n">
        <f aca="false">G5079+G5009</f>
        <v>-577167.102388679</v>
      </c>
      <c r="H5081" s="2" t="s">
        <v>1383</v>
      </c>
    </row>
    <row r="5082" customFormat="false" ht="15" hidden="false" customHeight="false" outlineLevel="1" collapsed="false">
      <c r="A5082" s="7" t="s">
        <v>714</v>
      </c>
      <c r="B5082" s="8" t="s">
        <v>11</v>
      </c>
      <c r="C5082" s="61" t="n">
        <f aca="false">-C5068</f>
        <v>-26350</v>
      </c>
      <c r="D5082" s="61" t="n">
        <f aca="false">-D5068</f>
        <v>-39750</v>
      </c>
      <c r="E5082" s="61" t="n">
        <f aca="false">-E5068</f>
        <v>-52650</v>
      </c>
      <c r="F5082" s="61" t="n">
        <f aca="false">-F5068</f>
        <v>-42966.6666666667</v>
      </c>
      <c r="G5082" s="61" t="n">
        <f aca="false">-G5068</f>
        <v>-39783.3333333333</v>
      </c>
      <c r="H5082" s="2" t="s">
        <v>1384</v>
      </c>
    </row>
    <row r="5083" customFormat="false" ht="15" hidden="false" customHeight="false" outlineLevel="1" collapsed="false">
      <c r="A5083" s="56" t="s">
        <v>727</v>
      </c>
      <c r="B5083" s="57" t="s">
        <v>11</v>
      </c>
      <c r="C5083" s="62" t="n">
        <f aca="false">C5079+C5082</f>
        <v>-615128.15635274</v>
      </c>
      <c r="D5083" s="62" t="n">
        <f aca="false">D5079+D5082</f>
        <v>-743702.407020548</v>
      </c>
      <c r="E5083" s="62" t="n">
        <f aca="false">E5079+E5082</f>
        <v>-803015.071262843</v>
      </c>
      <c r="F5083" s="62" t="n">
        <f aca="false">F5079+F5082</f>
        <v>-792206.831351316</v>
      </c>
      <c r="G5083" s="62" t="n">
        <f aca="false">G5079+G5082</f>
        <v>-699210.474249409</v>
      </c>
      <c r="H5083" s="2" t="s">
        <v>1385</v>
      </c>
    </row>
    <row r="5084" customFormat="false" ht="15" hidden="false" customHeight="false" outlineLevel="0" collapsed="false">
      <c r="A5084" s="3" t="s">
        <v>1386</v>
      </c>
      <c r="B5084" s="4"/>
      <c r="C5084" s="4"/>
      <c r="D5084" s="4"/>
      <c r="E5084" s="4"/>
      <c r="F5084" s="4"/>
      <c r="G5084" s="4"/>
      <c r="H5084" s="4"/>
    </row>
    <row r="5085" customFormat="false" ht="15" hidden="false" customHeight="false" outlineLevel="1" collapsed="false">
      <c r="A5085" s="7" t="s">
        <v>729</v>
      </c>
      <c r="B5085" s="8" t="s">
        <v>11</v>
      </c>
      <c r="C5085" s="61" t="n">
        <f aca="false">C5083</f>
        <v>-615128.15635274</v>
      </c>
      <c r="D5085" s="61" t="n">
        <f aca="false">D5083</f>
        <v>-743702.407020548</v>
      </c>
      <c r="E5085" s="61" t="n">
        <f aca="false">E5083</f>
        <v>-803015.071262843</v>
      </c>
      <c r="F5085" s="61" t="n">
        <f aca="false">F5083</f>
        <v>-792206.831351316</v>
      </c>
      <c r="G5085" s="61" t="n">
        <f aca="false">G5083</f>
        <v>-699210.474249409</v>
      </c>
      <c r="H5085" s="2" t="s">
        <v>1387</v>
      </c>
    </row>
    <row r="5086" customFormat="false" ht="15" hidden="false" customHeight="false" outlineLevel="1" collapsed="false">
      <c r="A5086" s="7" t="s">
        <v>730</v>
      </c>
      <c r="B5086" s="8" t="s">
        <v>11</v>
      </c>
      <c r="C5086" s="61" t="n">
        <f aca="false">0</f>
        <v>0</v>
      </c>
      <c r="D5086" s="61" t="n">
        <f aca="false">C5089</f>
        <v>615128.15635274</v>
      </c>
      <c r="E5086" s="61" t="n">
        <f aca="false">D5089</f>
        <v>1358830.56337329</v>
      </c>
      <c r="F5086" s="61" t="n">
        <f aca="false">E5089</f>
        <v>2161845.63463613</v>
      </c>
      <c r="G5086" s="61" t="n">
        <f aca="false">F5089</f>
        <v>2954052.46598745</v>
      </c>
      <c r="H5086" s="2" t="s">
        <v>1388</v>
      </c>
    </row>
    <row r="5087" customFormat="false" ht="15" hidden="false" customHeight="false" outlineLevel="1" collapsed="false">
      <c r="A5087" s="7" t="s">
        <v>731</v>
      </c>
      <c r="B5087" s="8" t="s">
        <v>11</v>
      </c>
      <c r="C5087" s="61" t="n">
        <f aca="false">MAX(0,-C5085)</f>
        <v>615128.15635274</v>
      </c>
      <c r="D5087" s="61" t="n">
        <f aca="false">MAX(0,-D5085)</f>
        <v>743702.407020548</v>
      </c>
      <c r="E5087" s="61" t="n">
        <f aca="false">MAX(0,-E5085)</f>
        <v>803015.071262843</v>
      </c>
      <c r="F5087" s="61" t="n">
        <f aca="false">MAX(0,-F5085)</f>
        <v>792206.831351316</v>
      </c>
      <c r="G5087" s="61" t="n">
        <f aca="false">MAX(0,-G5085)</f>
        <v>699210.474249409</v>
      </c>
      <c r="H5087" s="2" t="s">
        <v>1389</v>
      </c>
    </row>
    <row r="5088" customFormat="false" ht="15" hidden="false" customHeight="false" outlineLevel="1" collapsed="false">
      <c r="A5088" s="7" t="s">
        <v>732</v>
      </c>
      <c r="B5088" s="8" t="s">
        <v>11</v>
      </c>
      <c r="C5088" s="61" t="n">
        <f aca="false">MIN(C5086,Pressupostos!$C$181*MAX(0,C5085))</f>
        <v>0</v>
      </c>
      <c r="D5088" s="61" t="n">
        <f aca="false">MIN(D5086,Pressupostos!$C$181*MAX(0,D5085))</f>
        <v>0</v>
      </c>
      <c r="E5088" s="61" t="n">
        <f aca="false">MIN(E5086,Pressupostos!$C$181*MAX(0,E5085))</f>
        <v>0</v>
      </c>
      <c r="F5088" s="61" t="n">
        <f aca="false">MIN(F5086,Pressupostos!$C$181*MAX(0,F5085))</f>
        <v>0</v>
      </c>
      <c r="G5088" s="61" t="n">
        <f aca="false">MIN(G5086,Pressupostos!$C$181*MAX(0,G5085))</f>
        <v>0</v>
      </c>
      <c r="H5088" s="2" t="s">
        <v>1390</v>
      </c>
    </row>
    <row r="5089" customFormat="false" ht="15" hidden="false" customHeight="false" outlineLevel="1" collapsed="false">
      <c r="A5089" s="7" t="s">
        <v>733</v>
      </c>
      <c r="B5089" s="8" t="s">
        <v>11</v>
      </c>
      <c r="C5089" s="61" t="n">
        <f aca="false">C5086+C5087-C5088</f>
        <v>615128.15635274</v>
      </c>
      <c r="D5089" s="61" t="n">
        <f aca="false">D5086+D5087-D5088</f>
        <v>1358830.56337329</v>
      </c>
      <c r="E5089" s="61" t="n">
        <f aca="false">E5086+E5087-E5088</f>
        <v>2161845.63463613</v>
      </c>
      <c r="F5089" s="61" t="n">
        <f aca="false">F5086+F5087-F5088</f>
        <v>2954052.46598745</v>
      </c>
      <c r="G5089" s="61" t="n">
        <f aca="false">G5086+G5087-G5088</f>
        <v>3653262.94023686</v>
      </c>
      <c r="H5089" s="2" t="s">
        <v>1391</v>
      </c>
    </row>
    <row r="5090" customFormat="false" ht="15" hidden="false" customHeight="false" outlineLevel="1" collapsed="false">
      <c r="A5090" s="7" t="s">
        <v>734</v>
      </c>
      <c r="B5090" s="8" t="s">
        <v>11</v>
      </c>
      <c r="C5090" s="61" t="n">
        <f aca="false">MAX(0,C5085)-C5088</f>
        <v>0</v>
      </c>
      <c r="D5090" s="61" t="n">
        <f aca="false">MAX(0,D5085)-D5088</f>
        <v>0</v>
      </c>
      <c r="E5090" s="61" t="n">
        <f aca="false">MAX(0,E5085)-E5088</f>
        <v>0</v>
      </c>
      <c r="F5090" s="61" t="n">
        <f aca="false">MAX(0,F5085)-F5088</f>
        <v>0</v>
      </c>
      <c r="G5090" s="61" t="n">
        <f aca="false">MAX(0,G5085)-G5088</f>
        <v>0</v>
      </c>
      <c r="H5090" s="2" t="s">
        <v>1392</v>
      </c>
    </row>
    <row r="5091" customFormat="false" ht="15" hidden="false" customHeight="false" outlineLevel="1" collapsed="false">
      <c r="A5091" s="7" t="s">
        <v>735</v>
      </c>
      <c r="B5091" s="8" t="s">
        <v>11</v>
      </c>
      <c r="C5091" s="61" t="n">
        <f aca="false">Pressupostos!$C$172*MIN(C5090,Pressupostos!$C$173)+Pressupostos!$C$467*MAX(0,C5090-Pressupostos!$C$173)</f>
        <v>0</v>
      </c>
      <c r="D5091" s="61" t="n">
        <f aca="false">Pressupostos!$C$172*MIN(D5090,Pressupostos!$C$173)+Pressupostos!$D$467*MAX(0,D5090-Pressupostos!$C$173)</f>
        <v>0</v>
      </c>
      <c r="E5091" s="61" t="n">
        <f aca="false">Pressupostos!$C$172*MIN(E5090,Pressupostos!$C$173)+Pressupostos!$E$467*MAX(0,E5090-Pressupostos!$C$173)</f>
        <v>0</v>
      </c>
      <c r="F5091" s="61" t="n">
        <f aca="false">Pressupostos!$C$172*MIN(F5090,Pressupostos!$C$173)+Pressupostos!$F$467*MAX(0,F5090-Pressupostos!$C$173)</f>
        <v>0</v>
      </c>
      <c r="G5091" s="61" t="n">
        <f aca="false">Pressupostos!$C$172*MIN(G5090,Pressupostos!$C$173)+Pressupostos!$G$467*MAX(0,G5090-Pressupostos!$C$173)</f>
        <v>0</v>
      </c>
      <c r="H5091" s="2" t="s">
        <v>1393</v>
      </c>
    </row>
    <row r="5092" customFormat="false" ht="15" hidden="false" customHeight="false" outlineLevel="1" collapsed="false">
      <c r="A5092" s="7" t="s">
        <v>736</v>
      </c>
      <c r="B5092" s="8" t="s">
        <v>11</v>
      </c>
      <c r="C5092" s="61" t="n">
        <f aca="false">Pressupostos!$C$174*MAX(0,C5085)</f>
        <v>0</v>
      </c>
      <c r="D5092" s="61" t="n">
        <f aca="false">Pressupostos!$C$174*MAX(0,D5085)</f>
        <v>0</v>
      </c>
      <c r="E5092" s="61" t="n">
        <f aca="false">Pressupostos!$C$174*MAX(0,E5085)</f>
        <v>0</v>
      </c>
      <c r="F5092" s="61" t="n">
        <f aca="false">Pressupostos!$C$174*MAX(0,F5085)</f>
        <v>0</v>
      </c>
      <c r="G5092" s="61" t="n">
        <f aca="false">Pressupostos!$C$174*MAX(0,G5085)</f>
        <v>0</v>
      </c>
      <c r="H5092" s="2" t="s">
        <v>1394</v>
      </c>
    </row>
    <row r="5093" customFormat="false" ht="15" hidden="false" customHeight="false" outlineLevel="1" collapsed="false">
      <c r="A5093" s="7" t="s">
        <v>737</v>
      </c>
      <c r="B5093" s="8" t="s">
        <v>11</v>
      </c>
      <c r="C5093" s="61" t="n">
        <f aca="false">Pressupostos!$C$176*MAX(0,MIN(C5085,Pressupostos!$C$177)-Pressupostos!$C$175)+Pressupostos!$C$178*MAX(0,MIN(C5085,Pressupostos!$C$179)-Pressupostos!$C$177)+Pressupostos!$C$180*MAX(0,C5085-Pressupostos!$C$179)</f>
        <v>0</v>
      </c>
      <c r="D5093" s="61" t="n">
        <f aca="false">Pressupostos!$C$176*MAX(0,MIN(D5085,Pressupostos!$C$177)-Pressupostos!$C$175)+Pressupostos!$C$178*MAX(0,MIN(D5085,Pressupostos!$C$179)-Pressupostos!$C$177)+Pressupostos!$C$180*MAX(0,D5085-Pressupostos!$C$179)</f>
        <v>0</v>
      </c>
      <c r="E5093" s="61" t="n">
        <f aca="false">Pressupostos!$C$176*MAX(0,MIN(E5085,Pressupostos!$C$177)-Pressupostos!$C$175)+Pressupostos!$C$178*MAX(0,MIN(E5085,Pressupostos!$C$179)-Pressupostos!$C$177)+Pressupostos!$C$180*MAX(0,E5085-Pressupostos!$C$179)</f>
        <v>0</v>
      </c>
      <c r="F5093" s="61" t="n">
        <f aca="false">Pressupostos!$C$176*MAX(0,MIN(F5085,Pressupostos!$C$177)-Pressupostos!$C$175)+Pressupostos!$C$178*MAX(0,MIN(F5085,Pressupostos!$C$179)-Pressupostos!$C$177)+Pressupostos!$C$180*MAX(0,F5085-Pressupostos!$C$179)</f>
        <v>0</v>
      </c>
      <c r="G5093" s="61" t="n">
        <f aca="false">Pressupostos!$C$176*MAX(0,MIN(G5085,Pressupostos!$C$177)-Pressupostos!$C$175)+Pressupostos!$C$178*MAX(0,MIN(G5085,Pressupostos!$C$179)-Pressupostos!$C$177)+Pressupostos!$C$180*MAX(0,G5085-Pressupostos!$C$179)</f>
        <v>0</v>
      </c>
      <c r="H5093" s="2" t="s">
        <v>1395</v>
      </c>
    </row>
    <row r="5094" customFormat="false" ht="15" hidden="false" customHeight="false" outlineLevel="1" collapsed="false">
      <c r="A5094" s="7" t="s">
        <v>738</v>
      </c>
      <c r="B5094" s="8" t="s">
        <v>11</v>
      </c>
      <c r="C5094" s="61" t="n">
        <f aca="false">C5091+C5092+C5093</f>
        <v>0</v>
      </c>
      <c r="D5094" s="61" t="n">
        <f aca="false">D5091+D5092+D5093</f>
        <v>0</v>
      </c>
      <c r="E5094" s="61" t="n">
        <f aca="false">E5091+E5092+E5093</f>
        <v>0</v>
      </c>
      <c r="F5094" s="61" t="n">
        <f aca="false">F5091+F5092+F5093</f>
        <v>0</v>
      </c>
      <c r="G5094" s="61" t="n">
        <f aca="false">G5091+G5092+G5093</f>
        <v>0</v>
      </c>
      <c r="H5094" s="2" t="s">
        <v>1396</v>
      </c>
    </row>
    <row r="5095" customFormat="false" ht="15" hidden="false" customHeight="false" outlineLevel="0" collapsed="false">
      <c r="A5095" s="3" t="s">
        <v>1397</v>
      </c>
      <c r="B5095" s="4"/>
      <c r="C5095" s="4"/>
      <c r="D5095" s="4"/>
      <c r="E5095" s="4"/>
      <c r="F5095" s="4"/>
      <c r="G5095" s="4"/>
      <c r="H5095" s="4"/>
    </row>
    <row r="5096" customFormat="false" ht="15" hidden="false" customHeight="false" outlineLevel="1" collapsed="false">
      <c r="A5096" s="7" t="s">
        <v>738</v>
      </c>
      <c r="B5096" s="8" t="s">
        <v>11</v>
      </c>
      <c r="C5096" s="61" t="n">
        <f aca="false">-C5094</f>
        <v>-0</v>
      </c>
      <c r="D5096" s="61" t="n">
        <f aca="false">-D5094</f>
        <v>-0</v>
      </c>
      <c r="E5096" s="61" t="n">
        <f aca="false">-E5094</f>
        <v>-0</v>
      </c>
      <c r="F5096" s="61" t="n">
        <f aca="false">-F5094</f>
        <v>-0</v>
      </c>
      <c r="G5096" s="61" t="n">
        <f aca="false">-G5094</f>
        <v>-0</v>
      </c>
      <c r="H5096" s="2" t="s">
        <v>1398</v>
      </c>
    </row>
    <row r="5097" customFormat="false" ht="15" hidden="false" customHeight="false" outlineLevel="1" collapsed="false">
      <c r="A5097" s="56" t="s">
        <v>740</v>
      </c>
      <c r="B5097" s="57" t="s">
        <v>11</v>
      </c>
      <c r="C5097" s="62" t="n">
        <f aca="false">C5083+C5096</f>
        <v>-615128.15635274</v>
      </c>
      <c r="D5097" s="62" t="n">
        <f aca="false">D5083+D5096</f>
        <v>-743702.407020548</v>
      </c>
      <c r="E5097" s="62" t="n">
        <f aca="false">E5083+E5096</f>
        <v>-803015.071262843</v>
      </c>
      <c r="F5097" s="62" t="n">
        <f aca="false">F5083+F5096</f>
        <v>-792206.831351316</v>
      </c>
      <c r="G5097" s="62" t="n">
        <f aca="false">G5083+G5096</f>
        <v>-699210.474249409</v>
      </c>
      <c r="H5097" s="2" t="s">
        <v>1399</v>
      </c>
    </row>
    <row r="5098" customFormat="false" ht="15" hidden="false" customHeight="false" outlineLevel="0" collapsed="false">
      <c r="A5098" s="3" t="s">
        <v>1400</v>
      </c>
      <c r="B5098" s="4"/>
      <c r="C5098" s="4"/>
      <c r="D5098" s="4"/>
      <c r="E5098" s="4"/>
      <c r="F5098" s="4"/>
      <c r="G5098" s="4"/>
      <c r="H5098" s="4"/>
    </row>
    <row r="5099" customFormat="false" ht="15" hidden="false" customHeight="false" outlineLevel="1" collapsed="false">
      <c r="A5099" s="7" t="s">
        <v>744</v>
      </c>
      <c r="B5099" s="8" t="s">
        <v>11</v>
      </c>
      <c r="C5099" s="61" t="n">
        <f aca="false">C4871*1000*((C4889+C4892)*C4895/365)+C4872*1000*((C4912+C4915)*C4918/365)+C4874*1000*((C4935+C4938)*C4941/365)</f>
        <v>34293.698630137</v>
      </c>
      <c r="D5099" s="61" t="n">
        <f aca="false">D4871*1000*((D4889+D4892)*D4895/365)+D4872*1000*((D4912+D4915)*D4918/365)+D4874*1000*((D4935+D4938)*D4941/365)</f>
        <v>184524.657534247</v>
      </c>
      <c r="E5099" s="61" t="n">
        <f aca="false">E4871*1000*((E4889+E4892)*E4895/365)+E4872*1000*((E4912+E4915)*E4918/365)+E4874*1000*((E4935+E4938)*E4941/365)</f>
        <v>281132.876712329</v>
      </c>
      <c r="F5099" s="61" t="n">
        <f aca="false">F4871*1000*((F4889+F4892)*F4895/365)+F4872*1000*((F4912+F4915)*F4918/365)+F4874*1000*((F4935+F4938)*F4941/365)</f>
        <v>468098.630136986</v>
      </c>
      <c r="G5099" s="61" t="n">
        <f aca="false">G4871*1000*((G4889+G4892)*G4895/365)+G4872*1000*((G4912+G4915)*G4918/365)+G4874*1000*((G4935+G4938)*G4941/365)</f>
        <v>702000</v>
      </c>
      <c r="H5099" s="2" t="s">
        <v>1401</v>
      </c>
    </row>
    <row r="5100" customFormat="false" ht="15" hidden="false" customHeight="false" outlineLevel="1" collapsed="false">
      <c r="A5100" s="7" t="s">
        <v>745</v>
      </c>
      <c r="B5100" s="8" t="s">
        <v>11</v>
      </c>
      <c r="C5100" s="61" t="n">
        <f aca="false">C5099+C4884*1000*Pressupostos!$C$92*Pressupostos!$C$95/365</f>
        <v>34293.698630137</v>
      </c>
      <c r="D5100" s="61" t="n">
        <f aca="false">D5099+D4884*1000*Pressupostos!$C$92*Pressupostos!$C$95/365</f>
        <v>184524.657534247</v>
      </c>
      <c r="E5100" s="61" t="n">
        <f aca="false">E5099+E4884*1000*Pressupostos!$C$92*Pressupostos!$C$95/365</f>
        <v>281132.876712329</v>
      </c>
      <c r="F5100" s="61" t="n">
        <f aca="false">F5099+F4884*1000*Pressupostos!$C$92*Pressupostos!$C$95/365</f>
        <v>485358.904109589</v>
      </c>
      <c r="G5100" s="61" t="n">
        <f aca="false">G5099+G4884*1000*Pressupostos!$C$92*Pressupostos!$C$95/365</f>
        <v>745150.684931507</v>
      </c>
      <c r="H5100" s="2" t="s">
        <v>1402</v>
      </c>
    </row>
    <row r="5101" customFormat="false" ht="15" hidden="false" customHeight="false" outlineLevel="1" collapsed="false">
      <c r="A5101" s="7" t="s">
        <v>746</v>
      </c>
      <c r="B5101" s="8" t="s">
        <v>11</v>
      </c>
      <c r="C5101" s="61" t="n">
        <f aca="false">C4871*1000*(C4891*C4896/365)+C4872*1000*(C4914*C4919/365)+C4874*1000*(C4937*C4942/365)+C4966*Pressupostos!$C$96/365+(C4968+C4969)*Pressupostos!$C$82/365</f>
        <v>38894.6082191781</v>
      </c>
      <c r="D5101" s="61" t="n">
        <f aca="false">D4871*1000*(D4891*D4896/365)+D4872*1000*(D4914*D4919/365)+D4874*1000*(D4937*D4942/365)+D4966*Pressupostos!$C$96/365+(D4968+D4969)*Pressupostos!$C$82/365</f>
        <v>259585.602739726</v>
      </c>
      <c r="E5101" s="61" t="n">
        <f aca="false">E4871*1000*(E4891*E4896/365)+E4872*1000*(E4914*E4919/365)+E4874*1000*(E4937*E4942/365)+E4966*Pressupostos!$C$96/365+(E4968+E4969)*Pressupostos!$C$82/365</f>
        <v>524280.328767123</v>
      </c>
      <c r="F5101" s="61" t="n">
        <f aca="false">F4871*1000*(F4891*F4896/365)+F4872*1000*(F4914*F4919/365)+F4874*1000*(F4937*F4942/365)+F4966*Pressupostos!$C$96/365+(F4968+F4969)*Pressupostos!$C$82/365</f>
        <v>882013.178082192</v>
      </c>
      <c r="G5101" s="61" t="n">
        <f aca="false">G4871*1000*(G4891*G4896/365)+G4872*1000*(G4914*G4919/365)+G4874*1000*(G4937*G4942/365)+G4966*Pressupostos!$C$96/365+(G4968+G4969)*Pressupostos!$C$82/365</f>
        <v>1340745.34246575</v>
      </c>
      <c r="H5101" s="2" t="s">
        <v>1403</v>
      </c>
    </row>
    <row r="5102" customFormat="false" ht="15" hidden="false" customHeight="false" outlineLevel="1" collapsed="false">
      <c r="A5102" s="7" t="s">
        <v>747</v>
      </c>
      <c r="B5102" s="8" t="s">
        <v>11</v>
      </c>
      <c r="C5102" s="61" t="n">
        <f aca="false">C4871*1000*((C4889+C4892)*Pressupostos!$C$72/365)+C4872*1000*((C4912+C4915)*Pressupostos!$C$72/365)+C4874*1000*((C4935+C4938)*Pressupostos!$C$72/365)+C4884*1000*Pressupostos!$C$92*Pressupostos!$C$97/365</f>
        <v>20140.2739726027</v>
      </c>
      <c r="D5102" s="61" t="n">
        <f aca="false">D4871*1000*((D4889+D4892)*Pressupostos!$C$72/365)+D4872*1000*((D4912+D4915)*Pressupostos!$C$72/365)+D4874*1000*((D4935+D4938)*Pressupostos!$C$72/365)+D4884*1000*Pressupostos!$C$92*Pressupostos!$C$97/365</f>
        <v>131449.315068493</v>
      </c>
      <c r="E5102" s="61" t="n">
        <f aca="false">E4871*1000*((E4889+E4892)*Pressupostos!$C$72/365)+E4872*1000*((E4912+E4915)*Pressupostos!$C$72/365)+E4874*1000*((E4935+E4938)*Pressupostos!$C$72/365)+E4884*1000*Pressupostos!$C$92*Pressupostos!$C$97/365</f>
        <v>266979.452054795</v>
      </c>
      <c r="F5102" s="61" t="n">
        <f aca="false">F4871*1000*((F4889+F4892)*Pressupostos!$C$72/365)+F4872*1000*((F4912+F4915)*Pressupostos!$C$72/365)+F4874*1000*((F4935+F4938)*Pressupostos!$C$72/365)+F4884*1000*Pressupostos!$C$92*Pressupostos!$C$97/365</f>
        <v>454836.98630137</v>
      </c>
      <c r="G5102" s="61" t="n">
        <f aca="false">G4871*1000*((G4889+G4892)*Pressupostos!$C$72/365)+G4872*1000*((G4912+G4915)*Pressupostos!$C$72/365)+G4874*1000*((G4935+G4938)*Pressupostos!$C$72/365)+G4884*1000*Pressupostos!$C$92*Pressupostos!$C$97/365</f>
        <v>695383.561643836</v>
      </c>
      <c r="H5102" s="2" t="s">
        <v>1404</v>
      </c>
    </row>
    <row r="5103" customFormat="false" ht="15" hidden="false" customHeight="false" outlineLevel="1" collapsed="false">
      <c r="A5103" s="56" t="s">
        <v>748</v>
      </c>
      <c r="B5103" s="57" t="s">
        <v>11</v>
      </c>
      <c r="C5103" s="62" t="n">
        <f aca="false">C5100+C5101-C5102</f>
        <v>53048.0328767123</v>
      </c>
      <c r="D5103" s="62" t="n">
        <f aca="false">D5100+D5101-D5102</f>
        <v>312660.945205479</v>
      </c>
      <c r="E5103" s="62" t="n">
        <f aca="false">E5100+E5101-E5102</f>
        <v>538433.753424657</v>
      </c>
      <c r="F5103" s="62" t="n">
        <f aca="false">F5100+F5101-F5102</f>
        <v>912535.095890411</v>
      </c>
      <c r="G5103" s="62" t="n">
        <f aca="false">G5100+G5101-G5102</f>
        <v>1390512.46575342</v>
      </c>
      <c r="H5103" s="2" t="s">
        <v>1405</v>
      </c>
    </row>
    <row r="5104" customFormat="false" ht="15" hidden="false" customHeight="false" outlineLevel="0" collapsed="false">
      <c r="A5104" s="3" t="s">
        <v>1406</v>
      </c>
      <c r="B5104" s="4"/>
      <c r="C5104" s="4"/>
      <c r="D5104" s="4"/>
      <c r="E5104" s="4"/>
      <c r="F5104" s="4"/>
      <c r="G5104" s="4"/>
      <c r="H5104" s="4"/>
    </row>
    <row r="5105" customFormat="false" ht="15" hidden="false" customHeight="false" outlineLevel="1" collapsed="false">
      <c r="A5105" s="56" t="s">
        <v>750</v>
      </c>
      <c r="B5105" s="57" t="s">
        <v>11</v>
      </c>
      <c r="C5105" s="62" t="n">
        <f aca="false">Pressupostos!$C$284*C5103/Pressupostos!$F$31</f>
        <v>0</v>
      </c>
      <c r="D5105" s="62" t="n">
        <f aca="false">Pressupostos!$D$284*D5103/Pressupostos!$F$31</f>
        <v>293119.636130137</v>
      </c>
      <c r="E5105" s="62" t="n">
        <f aca="false">Pressupostos!$E$284*E5103/Pressupostos!$F$31</f>
        <v>504781.643835616</v>
      </c>
      <c r="F5105" s="62" t="n">
        <f aca="false">Pressupostos!$F$284*F5103/Pressupostos!$F$31</f>
        <v>855501.65239726</v>
      </c>
      <c r="G5105" s="62" t="n">
        <f aca="false">Pressupostos!$G$284*G5103/Pressupostos!$F$31</f>
        <v>1303605.43664384</v>
      </c>
      <c r="H5105" s="2" t="s">
        <v>1407</v>
      </c>
    </row>
    <row r="5106" customFormat="false" ht="15" hidden="false" customHeight="false" outlineLevel="1" collapsed="false">
      <c r="A5106" s="7" t="s">
        <v>751</v>
      </c>
      <c r="B5106" s="8" t="s">
        <v>11</v>
      </c>
      <c r="C5106" s="61" t="n">
        <f aca="false">Pressupostos!$C$284*C5103</f>
        <v>0</v>
      </c>
      <c r="D5106" s="61" t="n">
        <f aca="false">Pressupostos!$D$284*D5103</f>
        <v>234495.70890411</v>
      </c>
      <c r="E5106" s="61" t="n">
        <f aca="false">Pressupostos!$E$284*E5103</f>
        <v>403825.315068493</v>
      </c>
      <c r="F5106" s="61" t="n">
        <f aca="false">Pressupostos!$F$284*F5103</f>
        <v>684401.321917808</v>
      </c>
      <c r="G5106" s="61" t="n">
        <f aca="false">Pressupostos!$G$284*G5103</f>
        <v>1042884.34931507</v>
      </c>
      <c r="H5106" s="2" t="s">
        <v>1408</v>
      </c>
    </row>
    <row r="5107" customFormat="false" ht="15" hidden="false" customHeight="false" outlineLevel="1" collapsed="false">
      <c r="A5107" s="7" t="s">
        <v>752</v>
      </c>
      <c r="B5107" s="8" t="s">
        <v>11</v>
      </c>
      <c r="C5107" s="61" t="n">
        <f aca="false">C5105-C5106</f>
        <v>0</v>
      </c>
      <c r="D5107" s="61" t="n">
        <f aca="false">D5105-D5106</f>
        <v>58623.9272260274</v>
      </c>
      <c r="E5107" s="61" t="n">
        <f aca="false">E5105-E5106</f>
        <v>100956.328767123</v>
      </c>
      <c r="F5107" s="61" t="n">
        <f aca="false">F5105-F5106</f>
        <v>171100.330479452</v>
      </c>
      <c r="G5107" s="61" t="n">
        <f aca="false">G5105-G5106</f>
        <v>260721.087328767</v>
      </c>
      <c r="H5107" s="2" t="s">
        <v>1409</v>
      </c>
    </row>
    <row r="5108" customFormat="false" ht="15" hidden="false" customHeight="false" outlineLevel="1" collapsed="false">
      <c r="A5108" s="7" t="s">
        <v>753</v>
      </c>
      <c r="B5108" s="8" t="s">
        <v>11</v>
      </c>
      <c r="C5108" s="61" t="n">
        <f aca="false">C5103-C5106</f>
        <v>53048.0328767123</v>
      </c>
      <c r="D5108" s="61" t="n">
        <f aca="false">D5103-D5106</f>
        <v>78165.2363013699</v>
      </c>
      <c r="E5108" s="61" t="n">
        <f aca="false">E5103-E5106</f>
        <v>134608.438356164</v>
      </c>
      <c r="F5108" s="61" t="n">
        <f aca="false">F5103-F5106</f>
        <v>228133.773972603</v>
      </c>
      <c r="G5108" s="61" t="n">
        <f aca="false">G5103-G5106</f>
        <v>347628.116438356</v>
      </c>
      <c r="H5108" s="2" t="s">
        <v>1410</v>
      </c>
    </row>
    <row r="5109" customFormat="false" ht="15" hidden="false" customHeight="false" outlineLevel="1" collapsed="false">
      <c r="A5109" s="7" t="s">
        <v>754</v>
      </c>
      <c r="B5109" s="8" t="s">
        <v>11</v>
      </c>
      <c r="C5109" s="61" t="n">
        <f aca="false">MAX(0,Pressupostos!$C$108-C5108)</f>
        <v>0</v>
      </c>
      <c r="D5109" s="61" t="n">
        <f aca="false">MAX(0,Pressupostos!$C$108-D5108)</f>
        <v>0</v>
      </c>
      <c r="E5109" s="61" t="n">
        <f aca="false">MAX(0,Pressupostos!$C$108-E5108)</f>
        <v>0</v>
      </c>
      <c r="F5109" s="61" t="n">
        <f aca="false">MAX(0,Pressupostos!$C$108-F5108)</f>
        <v>0</v>
      </c>
      <c r="G5109" s="61" t="n">
        <f aca="false">MAX(0,Pressupostos!$C$108-G5108)</f>
        <v>0</v>
      </c>
      <c r="H5109" s="2" t="s">
        <v>1411</v>
      </c>
    </row>
    <row r="5110" customFormat="false" ht="15" hidden="false" customHeight="false" outlineLevel="1" collapsed="false">
      <c r="A5110" s="7" t="s">
        <v>755</v>
      </c>
      <c r="B5110" s="8" t="s">
        <v>11</v>
      </c>
      <c r="C5110" s="61" t="n">
        <f aca="false">Pressupostos!$C$109*C5105</f>
        <v>0</v>
      </c>
      <c r="D5110" s="61" t="n">
        <f aca="false">Pressupostos!$C$109*D5105</f>
        <v>14655.9818065068</v>
      </c>
      <c r="E5110" s="61" t="n">
        <f aca="false">Pressupostos!$C$109*E5105</f>
        <v>25239.0821917808</v>
      </c>
      <c r="F5110" s="61" t="n">
        <f aca="false">Pressupostos!$C$109*F5105</f>
        <v>42775.082619863</v>
      </c>
      <c r="G5110" s="61" t="n">
        <f aca="false">Pressupostos!$C$109*G5105</f>
        <v>65180.2718321918</v>
      </c>
      <c r="H5110" s="2" t="s">
        <v>1412</v>
      </c>
    </row>
    <row r="5111" customFormat="false" ht="15" hidden="false" customHeight="false" outlineLevel="1" collapsed="false">
      <c r="A5111" s="2" t="s">
        <v>756</v>
      </c>
      <c r="B5111" s="8" t="s">
        <v>123</v>
      </c>
      <c r="C5111" s="61" t="n">
        <f aca="false">C5105/Pressupostos!$C$112</f>
        <v>0</v>
      </c>
      <c r="D5111" s="61" t="n">
        <f aca="false">D5105/Pressupostos!$C$112</f>
        <v>5.86239272260274</v>
      </c>
      <c r="E5111" s="61" t="n">
        <f aca="false">E5105/Pressupostos!$C$112</f>
        <v>10.0956328767123</v>
      </c>
      <c r="F5111" s="61" t="n">
        <f aca="false">F5105/Pressupostos!$C$112</f>
        <v>17.1100330479452</v>
      </c>
      <c r="G5111" s="61" t="n">
        <f aca="false">G5105/Pressupostos!$C$112</f>
        <v>26.0721087328767</v>
      </c>
      <c r="H5111" s="2" t="s">
        <v>1413</v>
      </c>
    </row>
    <row r="5112" customFormat="false" ht="15" hidden="false" customHeight="false" outlineLevel="0" collapsed="false">
      <c r="A5112" s="3" t="s">
        <v>1414</v>
      </c>
      <c r="B5112" s="4"/>
      <c r="C5112" s="4"/>
      <c r="D5112" s="4"/>
      <c r="E5112" s="4"/>
      <c r="F5112" s="4"/>
      <c r="G5112" s="4"/>
      <c r="H5112" s="4"/>
    </row>
    <row r="5113" customFormat="false" ht="15" hidden="false" customHeight="false" outlineLevel="1" collapsed="false">
      <c r="A5113" s="7" t="s">
        <v>758</v>
      </c>
      <c r="B5113" s="8" t="s">
        <v>11</v>
      </c>
      <c r="C5113" s="61" t="n">
        <f aca="false">C5079</f>
        <v>-588778.15635274</v>
      </c>
      <c r="D5113" s="61" t="n">
        <f aca="false">D5079</f>
        <v>-703952.407020548</v>
      </c>
      <c r="E5113" s="61" t="n">
        <f aca="false">E5079</f>
        <v>-750365.071262843</v>
      </c>
      <c r="F5113" s="61" t="n">
        <f aca="false">F5079</f>
        <v>-749240.16468465</v>
      </c>
      <c r="G5113" s="61" t="n">
        <f aca="false">G5079</f>
        <v>-659427.140916076</v>
      </c>
      <c r="H5113" s="2" t="s">
        <v>1415</v>
      </c>
    </row>
    <row r="5114" customFormat="false" ht="15" hidden="false" customHeight="false" outlineLevel="1" collapsed="false">
      <c r="A5114" s="7" t="s">
        <v>759</v>
      </c>
      <c r="B5114" s="8" t="s">
        <v>11</v>
      </c>
      <c r="C5114" s="61" t="n">
        <f aca="false">-C5094</f>
        <v>-0</v>
      </c>
      <c r="D5114" s="61" t="n">
        <f aca="false">-D5094</f>
        <v>-0</v>
      </c>
      <c r="E5114" s="61" t="n">
        <f aca="false">-E5094</f>
        <v>-0</v>
      </c>
      <c r="F5114" s="61" t="n">
        <f aca="false">-F5094</f>
        <v>-0</v>
      </c>
      <c r="G5114" s="61" t="n">
        <f aca="false">-G5094</f>
        <v>-0</v>
      </c>
      <c r="H5114" s="2" t="s">
        <v>1416</v>
      </c>
    </row>
    <row r="5115" customFormat="false" ht="15" hidden="false" customHeight="false" outlineLevel="1" collapsed="false">
      <c r="A5115" s="7" t="s">
        <v>760</v>
      </c>
      <c r="B5115" s="8" t="s">
        <v>11</v>
      </c>
      <c r="C5115" s="61" t="n">
        <f aca="false">-C5103</f>
        <v>-53048.0328767123</v>
      </c>
      <c r="D5115" s="61" t="n">
        <f aca="false">-(D5103-C5103)</f>
        <v>-259612.912328767</v>
      </c>
      <c r="E5115" s="61" t="n">
        <f aca="false">-(E5103-D5103)</f>
        <v>-225772.808219178</v>
      </c>
      <c r="F5115" s="61" t="n">
        <f aca="false">-(F5103-E5103)</f>
        <v>-374101.342465753</v>
      </c>
      <c r="G5115" s="61" t="n">
        <f aca="false">-(G5103-F5103)</f>
        <v>-477977.369863014</v>
      </c>
      <c r="H5115" s="2" t="s">
        <v>1417</v>
      </c>
    </row>
    <row r="5116" customFormat="false" ht="15" hidden="false" customHeight="false" outlineLevel="1" collapsed="false">
      <c r="A5116" s="7" t="s">
        <v>424</v>
      </c>
      <c r="B5116" s="8" t="s">
        <v>11</v>
      </c>
      <c r="C5116" s="61" t="n">
        <f aca="false">-C5063</f>
        <v>-89000</v>
      </c>
      <c r="D5116" s="61" t="n">
        <f aca="false">-D5063</f>
        <v>-46000</v>
      </c>
      <c r="E5116" s="61" t="n">
        <f aca="false">-E5063</f>
        <v>-44000</v>
      </c>
      <c r="F5116" s="61" t="n">
        <f aca="false">-F5063</f>
        <v>-37000</v>
      </c>
      <c r="G5116" s="61" t="n">
        <f aca="false">-G5063</f>
        <v>-34000</v>
      </c>
      <c r="H5116" s="2" t="s">
        <v>1418</v>
      </c>
    </row>
    <row r="5117" customFormat="false" ht="15" hidden="false" customHeight="false" outlineLevel="1" collapsed="false">
      <c r="A5117" s="7" t="s">
        <v>761</v>
      </c>
      <c r="B5117" s="8" t="s">
        <v>11</v>
      </c>
      <c r="C5117" s="61" t="n">
        <f aca="false">C5113+C5114+C5115+C5116</f>
        <v>-730826.189229452</v>
      </c>
      <c r="D5117" s="61" t="n">
        <f aca="false">D5113+D5114+D5115+D5116</f>
        <v>-1009565.31934932</v>
      </c>
      <c r="E5117" s="61" t="n">
        <f aca="false">E5113+E5114+E5115+E5116</f>
        <v>-1020137.87948202</v>
      </c>
      <c r="F5117" s="61" t="n">
        <f aca="false">F5113+F5114+F5115+F5116</f>
        <v>-1160341.5071504</v>
      </c>
      <c r="G5117" s="61" t="n">
        <f aca="false">G5113+G5114+G5115+G5116</f>
        <v>-1171404.51077909</v>
      </c>
      <c r="H5117" s="2" t="s">
        <v>1419</v>
      </c>
    </row>
    <row r="5118" customFormat="false" ht="15" hidden="false" customHeight="false" outlineLevel="1" collapsed="false">
      <c r="A5118" s="7" t="s">
        <v>762</v>
      </c>
      <c r="B5118" s="8" t="s">
        <v>11</v>
      </c>
      <c r="C5118" s="61" t="n">
        <f aca="false">C5105</f>
        <v>0</v>
      </c>
      <c r="D5118" s="61" t="n">
        <f aca="false">D5105-C5105</f>
        <v>293119.636130137</v>
      </c>
      <c r="E5118" s="61" t="n">
        <f aca="false">E5105-D5105</f>
        <v>211662.007705479</v>
      </c>
      <c r="F5118" s="61" t="n">
        <f aca="false">F5105-E5105</f>
        <v>350720.008561644</v>
      </c>
      <c r="G5118" s="61" t="n">
        <f aca="false">G5105-F5105</f>
        <v>448103.784246575</v>
      </c>
      <c r="H5118" s="2" t="s">
        <v>1420</v>
      </c>
    </row>
    <row r="5119" customFormat="false" ht="15" hidden="false" customHeight="false" outlineLevel="1" collapsed="false">
      <c r="A5119" s="7" t="s">
        <v>763</v>
      </c>
      <c r="B5119" s="8" t="s">
        <v>11</v>
      </c>
      <c r="C5119" s="61" t="n">
        <f aca="false">-C5107</f>
        <v>-0</v>
      </c>
      <c r="D5119" s="61" t="n">
        <f aca="false">-(D5107-C5107)</f>
        <v>-58623.9272260274</v>
      </c>
      <c r="E5119" s="61" t="n">
        <f aca="false">-(E5107-D5107)</f>
        <v>-42332.4015410959</v>
      </c>
      <c r="F5119" s="61" t="n">
        <f aca="false">-(F5107-E5107)</f>
        <v>-70144.0017123287</v>
      </c>
      <c r="G5119" s="61" t="n">
        <f aca="false">-(G5107-F5107)</f>
        <v>-89620.7568493151</v>
      </c>
      <c r="H5119" s="2" t="s">
        <v>1421</v>
      </c>
    </row>
    <row r="5120" customFormat="false" ht="15" hidden="false" customHeight="false" outlineLevel="1" collapsed="false">
      <c r="A5120" s="7" t="s">
        <v>764</v>
      </c>
      <c r="B5120" s="8" t="s">
        <v>11</v>
      </c>
      <c r="C5120" s="61" t="n">
        <f aca="false">-C5110</f>
        <v>-0</v>
      </c>
      <c r="D5120" s="61" t="n">
        <f aca="false">-(D5110-C5110)</f>
        <v>-14655.9818065068</v>
      </c>
      <c r="E5120" s="61" t="n">
        <f aca="false">-(E5110-D5110)</f>
        <v>-10583.100385274</v>
      </c>
      <c r="F5120" s="61" t="n">
        <f aca="false">-(F5110-E5110)</f>
        <v>-17536.0004280822</v>
      </c>
      <c r="G5120" s="61" t="n">
        <f aca="false">-(G5110-F5110)</f>
        <v>-22405.1892123288</v>
      </c>
      <c r="H5120" s="2" t="s">
        <v>1422</v>
      </c>
    </row>
    <row r="5121" customFormat="false" ht="15" hidden="false" customHeight="false" outlineLevel="1" collapsed="false">
      <c r="A5121" s="7" t="s">
        <v>765</v>
      </c>
      <c r="B5121" s="8" t="s">
        <v>11</v>
      </c>
      <c r="C5121" s="61" t="n">
        <f aca="false">-(C5109-Pressupostos!$C$108)</f>
        <v>50000</v>
      </c>
      <c r="D5121" s="61" t="n">
        <f aca="false">-(D5109-C5109)</f>
        <v>-0</v>
      </c>
      <c r="E5121" s="61" t="n">
        <f aca="false">-(E5109-D5109)</f>
        <v>-0</v>
      </c>
      <c r="F5121" s="61" t="n">
        <f aca="false">-(F5109-E5109)</f>
        <v>-0</v>
      </c>
      <c r="G5121" s="61" t="n">
        <f aca="false">-(G5109-F5109)</f>
        <v>-0</v>
      </c>
      <c r="H5121" s="2" t="s">
        <v>1423</v>
      </c>
    </row>
    <row r="5122" customFormat="false" ht="15" hidden="false" customHeight="false" outlineLevel="1" collapsed="false">
      <c r="A5122" s="56" t="s">
        <v>766</v>
      </c>
      <c r="B5122" s="57" t="s">
        <v>11</v>
      </c>
      <c r="C5122" s="62" t="n">
        <f aca="false">C5117+C5118+C5119+C5120+C5121</f>
        <v>-680826.189229452</v>
      </c>
      <c r="D5122" s="62" t="n">
        <f aca="false">D5117+D5118+D5119+D5120+D5121</f>
        <v>-789725.592251713</v>
      </c>
      <c r="E5122" s="62" t="n">
        <f aca="false">E5117+E5118+E5119+E5120+E5121</f>
        <v>-861391.373702912</v>
      </c>
      <c r="F5122" s="62" t="n">
        <f aca="false">F5117+F5118+F5119+F5120+F5121</f>
        <v>-897301.50072917</v>
      </c>
      <c r="G5122" s="62" t="n">
        <f aca="false">G5117+G5118+G5119+G5120+G5121</f>
        <v>-835326.672594158</v>
      </c>
      <c r="H5122" s="2" t="s">
        <v>1424</v>
      </c>
    </row>
    <row r="5123" customFormat="false" ht="15" hidden="false" customHeight="false" outlineLevel="1" collapsed="false">
      <c r="A5123" s="56" t="s">
        <v>767</v>
      </c>
      <c r="B5123" s="57" t="s">
        <v>11</v>
      </c>
      <c r="C5123" s="62" t="n">
        <f aca="false">C5122</f>
        <v>-680826.189229452</v>
      </c>
      <c r="D5123" s="62" t="n">
        <f aca="false">C5123+D5122</f>
        <v>-1470551.78148116</v>
      </c>
      <c r="E5123" s="62" t="n">
        <f aca="false">D5123+E5122</f>
        <v>-2331943.15518408</v>
      </c>
      <c r="F5123" s="62" t="n">
        <f aca="false">E5123+F5122</f>
        <v>-3229244.65591325</v>
      </c>
      <c r="G5123" s="62" t="n">
        <f aca="false">F5123+G5122</f>
        <v>-4064571.32850741</v>
      </c>
      <c r="H5123" s="2" t="s">
        <v>1425</v>
      </c>
    </row>
    <row r="5124" customFormat="false" ht="15" hidden="false" customHeight="false" outlineLevel="1" collapsed="false">
      <c r="A5124" s="8" t="s">
        <v>768</v>
      </c>
      <c r="B5124" s="8" t="s">
        <v>11</v>
      </c>
      <c r="C5124" s="70" t="n">
        <f aca="false">ROUND(C5079-C5063-C5094-(MAX(C5108,Pressupostos!$C$108)-Pressupostos!$C$108)-(C5110)-C5122,6)</f>
        <v>0</v>
      </c>
      <c r="D5124" s="70" t="n">
        <f aca="false">ROUND(D5079-D5063-D5094-(MAX(D5108,Pressupostos!$C$108)-MAX(C5108,Pressupostos!$C$108))-(D5110-C5110)-D5122,6)</f>
        <v>0</v>
      </c>
      <c r="E5124" s="70" t="n">
        <f aca="false">ROUND(E5079-E5063-E5094-(MAX(E5108,Pressupostos!$C$108)-MAX(D5108,Pressupostos!$C$108))-(E5110-D5110)-E5122,6)</f>
        <v>0</v>
      </c>
      <c r="F5124" s="70" t="n">
        <f aca="false">ROUND(F5079-F5063-F5094-(MAX(F5108,Pressupostos!$C$108)-MAX(E5108,Pressupostos!$C$108))-(F5110-E5110)-F5122,6)</f>
        <v>0</v>
      </c>
      <c r="G5124" s="70" t="n">
        <f aca="false">ROUND(G5079-G5063-G5094-(MAX(G5108,Pressupostos!$C$108)-MAX(F5108,Pressupostos!$C$108))-(G5110-F5110)-G5122,6)</f>
        <v>0</v>
      </c>
      <c r="H5124" s="2" t="s">
        <v>1426</v>
      </c>
    </row>
    <row r="5125" customFormat="false" ht="15" hidden="false" customHeight="false" outlineLevel="0" collapsed="false">
      <c r="A5125" s="3" t="s">
        <v>1427</v>
      </c>
      <c r="B5125" s="4"/>
      <c r="C5125" s="4"/>
      <c r="D5125" s="4"/>
      <c r="E5125" s="4"/>
      <c r="F5125" s="4"/>
      <c r="G5125" s="4"/>
      <c r="H5125" s="4"/>
    </row>
    <row r="5126" customFormat="false" ht="15" hidden="false" customHeight="false" outlineLevel="1" collapsed="false">
      <c r="A5126" s="7" t="s">
        <v>770</v>
      </c>
      <c r="B5126" s="8" t="s">
        <v>11</v>
      </c>
      <c r="C5126" s="61" t="n">
        <f aca="false">0</f>
        <v>0</v>
      </c>
      <c r="D5126" s="61" t="n">
        <f aca="false">C5131</f>
        <v>274173.810770548</v>
      </c>
      <c r="E5126" s="61" t="n">
        <f aca="false">D5131</f>
        <v>150000</v>
      </c>
      <c r="F5126" s="61" t="n">
        <f aca="false">E5131</f>
        <v>150000</v>
      </c>
      <c r="G5126" s="61" t="n">
        <f aca="false">F5131</f>
        <v>150000</v>
      </c>
      <c r="H5126" s="2" t="s">
        <v>1428</v>
      </c>
    </row>
    <row r="5127" customFormat="false" ht="15" hidden="false" customHeight="false" outlineLevel="1" collapsed="false">
      <c r="A5127" s="7" t="s">
        <v>771</v>
      </c>
      <c r="B5127" s="8" t="s">
        <v>11</v>
      </c>
      <c r="C5127" s="61" t="n">
        <f aca="false">-(Pressupostos!$C$159+Pressupostos!$C$160+Pressupostos!$C$161+Pressupostos!$C$162+Pressupostos!$C$163+Pressupostos!$C$108)</f>
        <v>-145000</v>
      </c>
      <c r="D5127" s="61" t="n">
        <f aca="false">0</f>
        <v>0</v>
      </c>
      <c r="E5127" s="61" t="n">
        <f aca="false">0</f>
        <v>0</v>
      </c>
      <c r="F5127" s="61" t="n">
        <f aca="false">0</f>
        <v>0</v>
      </c>
      <c r="G5127" s="61" t="n">
        <f aca="false">0</f>
        <v>0</v>
      </c>
      <c r="H5127" s="2" t="s">
        <v>1429</v>
      </c>
    </row>
    <row r="5128" customFormat="false" ht="15" hidden="false" customHeight="false" outlineLevel="1" collapsed="false">
      <c r="A5128" s="7" t="s">
        <v>772</v>
      </c>
      <c r="B5128" s="8" t="s">
        <v>11</v>
      </c>
      <c r="C5128" s="53" t="n">
        <f aca="false">Pressupostos!$F$32</f>
        <v>1100000</v>
      </c>
      <c r="D5128" s="61" t="n">
        <f aca="false">0</f>
        <v>0</v>
      </c>
      <c r="E5128" s="61" t="n">
        <f aca="false">0</f>
        <v>0</v>
      </c>
      <c r="F5128" s="61" t="n">
        <f aca="false">0</f>
        <v>0</v>
      </c>
      <c r="G5128" s="61" t="n">
        <f aca="false">0</f>
        <v>0</v>
      </c>
      <c r="H5128" s="2" t="s">
        <v>1430</v>
      </c>
    </row>
    <row r="5129" customFormat="false" ht="15" hidden="false" customHeight="false" outlineLevel="1" collapsed="false">
      <c r="A5129" s="7" t="s">
        <v>773</v>
      </c>
      <c r="B5129" s="8" t="s">
        <v>11</v>
      </c>
      <c r="C5129" s="61" t="n">
        <f aca="false">C5126+C5127+C5128+C5122</f>
        <v>274173.810770548</v>
      </c>
      <c r="D5129" s="61" t="n">
        <f aca="false">D5126+D5127+D5128+D5122</f>
        <v>-515551.781481165</v>
      </c>
      <c r="E5129" s="61" t="n">
        <f aca="false">E5126+E5127+E5128+E5122</f>
        <v>-711391.373702912</v>
      </c>
      <c r="F5129" s="61" t="n">
        <f aca="false">F5126+F5127+F5128+F5122</f>
        <v>-747301.50072917</v>
      </c>
      <c r="G5129" s="61" t="n">
        <f aca="false">G5126+G5127+G5128+G5122</f>
        <v>-685326.672594158</v>
      </c>
      <c r="H5129" s="2" t="s">
        <v>1431</v>
      </c>
    </row>
    <row r="5130" customFormat="false" ht="15" hidden="false" customHeight="false" outlineLevel="1" collapsed="false">
      <c r="A5130" s="56" t="s">
        <v>774</v>
      </c>
      <c r="B5130" s="57" t="s">
        <v>11</v>
      </c>
      <c r="C5130" s="62" t="n">
        <f aca="false">MAX(0,Pressupostos!$C$170-C5129)</f>
        <v>0</v>
      </c>
      <c r="D5130" s="62" t="n">
        <f aca="false">MAX(0,Pressupostos!$C$170-D5129)</f>
        <v>665551.781481165</v>
      </c>
      <c r="E5130" s="62" t="n">
        <f aca="false">MAX(0,Pressupostos!$C$170-E5129)</f>
        <v>861391.373702912</v>
      </c>
      <c r="F5130" s="62" t="n">
        <f aca="false">MAX(0,Pressupostos!$C$170-F5129)</f>
        <v>897301.50072917</v>
      </c>
      <c r="G5130" s="62" t="n">
        <f aca="false">MAX(0,Pressupostos!$C$170-G5129)</f>
        <v>835326.672594158</v>
      </c>
      <c r="H5130" s="2" t="s">
        <v>1432</v>
      </c>
    </row>
    <row r="5131" customFormat="false" ht="15" hidden="false" customHeight="false" outlineLevel="1" collapsed="false">
      <c r="A5131" s="56" t="s">
        <v>775</v>
      </c>
      <c r="B5131" s="57" t="s">
        <v>11</v>
      </c>
      <c r="C5131" s="62" t="n">
        <f aca="false">C5129+C5130</f>
        <v>274173.810770548</v>
      </c>
      <c r="D5131" s="62" t="n">
        <f aca="false">D5129+D5130</f>
        <v>150000</v>
      </c>
      <c r="E5131" s="62" t="n">
        <f aca="false">E5129+E5130</f>
        <v>150000</v>
      </c>
      <c r="F5131" s="62" t="n">
        <f aca="false">F5129+F5130</f>
        <v>150000</v>
      </c>
      <c r="G5131" s="62" t="n">
        <f aca="false">G5129+G5130</f>
        <v>150000</v>
      </c>
      <c r="H5131" s="2" t="s">
        <v>1433</v>
      </c>
    </row>
    <row r="5132" customFormat="false" ht="15" hidden="false" customHeight="false" outlineLevel="1" collapsed="false">
      <c r="A5132" s="7" t="s">
        <v>776</v>
      </c>
      <c r="B5132" s="8" t="s">
        <v>11</v>
      </c>
      <c r="C5132" s="61" t="n">
        <f aca="false">C5107+C5110+C5109</f>
        <v>0</v>
      </c>
      <c r="D5132" s="61" t="n">
        <f aca="false">D5107+D5110+D5109</f>
        <v>73279.9090325342</v>
      </c>
      <c r="E5132" s="61" t="n">
        <f aca="false">E5107+E5110+E5109</f>
        <v>126195.410958904</v>
      </c>
      <c r="F5132" s="61" t="n">
        <f aca="false">F5107+F5110+F5109</f>
        <v>213875.413099315</v>
      </c>
      <c r="G5132" s="61" t="n">
        <f aca="false">G5107+G5110+G5109</f>
        <v>325901.359160959</v>
      </c>
      <c r="H5132" s="2" t="s">
        <v>1434</v>
      </c>
    </row>
    <row r="5133" customFormat="false" ht="15" hidden="false" customHeight="false" outlineLevel="1" collapsed="false">
      <c r="A5133" s="7" t="s">
        <v>777</v>
      </c>
      <c r="B5133" s="8" t="s">
        <v>11</v>
      </c>
      <c r="C5133" s="61" t="n">
        <f aca="false">C5131+C5132</f>
        <v>274173.810770548</v>
      </c>
      <c r="D5133" s="61" t="n">
        <f aca="false">D5131+D5132</f>
        <v>223279.909032534</v>
      </c>
      <c r="E5133" s="61" t="n">
        <f aca="false">E5131+E5132</f>
        <v>276195.410958904</v>
      </c>
      <c r="F5133" s="61" t="n">
        <f aca="false">F5131+F5132</f>
        <v>363875.413099315</v>
      </c>
      <c r="G5133" s="61" t="n">
        <f aca="false">G5131+G5132</f>
        <v>475901.359160959</v>
      </c>
      <c r="H5133" s="2" t="s">
        <v>1435</v>
      </c>
    </row>
    <row r="5134" customFormat="false" ht="15" hidden="false" customHeight="false" outlineLevel="1" collapsed="false">
      <c r="A5134" s="7" t="s">
        <v>778</v>
      </c>
      <c r="B5134" s="8" t="s">
        <v>11</v>
      </c>
      <c r="C5134" s="61" t="n">
        <f aca="false">C5128+C5130</f>
        <v>1100000</v>
      </c>
      <c r="D5134" s="61" t="n">
        <f aca="false">C5134+D5128+D5130</f>
        <v>1765551.78148116</v>
      </c>
      <c r="E5134" s="61" t="n">
        <f aca="false">D5134+E5128+E5130</f>
        <v>2626943.15518408</v>
      </c>
      <c r="F5134" s="61" t="n">
        <f aca="false">E5134+F5128+F5130</f>
        <v>3524244.65591325</v>
      </c>
      <c r="G5134" s="61" t="n">
        <f aca="false">F5134+G5128+G5130</f>
        <v>4359571.32850741</v>
      </c>
      <c r="H5134" s="2" t="s">
        <v>1436</v>
      </c>
    </row>
    <row r="5135" customFormat="false" ht="15" hidden="false" customHeight="false" outlineLevel="0" collapsed="false">
      <c r="A5135" s="3" t="s">
        <v>1437</v>
      </c>
      <c r="B5135" s="4"/>
      <c r="C5135" s="4"/>
      <c r="D5135" s="4"/>
      <c r="E5135" s="4"/>
      <c r="F5135" s="4"/>
      <c r="G5135" s="4"/>
      <c r="H5135" s="4"/>
    </row>
    <row r="5136" customFormat="false" ht="15" hidden="false" customHeight="false" outlineLevel="1" collapsed="false">
      <c r="A5136" s="7" t="s">
        <v>782</v>
      </c>
      <c r="B5136" s="8" t="s">
        <v>11</v>
      </c>
      <c r="C5136" s="72" t="n">
        <f aca="false">Pressupostos!$C$159+Pressupostos!$C$160+Pressupostos!$C$161+Pressupostos!$C$162+Pressupostos!$C$163</f>
        <v>95000</v>
      </c>
      <c r="H5136" s="2" t="s">
        <v>1438</v>
      </c>
    </row>
    <row r="5137" customFormat="false" ht="15" hidden="false" customHeight="false" outlineLevel="1" collapsed="false">
      <c r="A5137" s="7" t="s">
        <v>783</v>
      </c>
      <c r="B5137" s="8" t="s">
        <v>11</v>
      </c>
      <c r="C5137" s="73" t="n">
        <f aca="false">Pressupostos!$C$108</f>
        <v>50000</v>
      </c>
      <c r="H5137" s="2" t="s">
        <v>1439</v>
      </c>
    </row>
    <row r="5138" customFormat="false" ht="15" hidden="false" customHeight="false" outlineLevel="1" collapsed="false">
      <c r="A5138" s="7" t="s">
        <v>322</v>
      </c>
      <c r="B5138" s="8" t="s">
        <v>11</v>
      </c>
      <c r="C5138" s="73" t="n">
        <f aca="false">Pressupostos!$C$170</f>
        <v>150000</v>
      </c>
      <c r="H5138" s="2" t="s">
        <v>1440</v>
      </c>
    </row>
    <row r="5139" customFormat="false" ht="15" hidden="false" customHeight="false" outlineLevel="1" collapsed="false">
      <c r="A5139" s="7" t="s">
        <v>784</v>
      </c>
      <c r="B5139" s="8" t="s">
        <v>11</v>
      </c>
      <c r="C5139" s="72" t="n">
        <f aca="false">MAX(0,-MIN($C$5123:$G$5123))</f>
        <v>4064571.32850741</v>
      </c>
      <c r="H5139" s="2" t="s">
        <v>1441</v>
      </c>
    </row>
    <row r="5140" customFormat="false" ht="15" hidden="false" customHeight="false" outlineLevel="1" collapsed="false">
      <c r="A5140" s="56" t="s">
        <v>785</v>
      </c>
      <c r="B5140" s="57" t="s">
        <v>11</v>
      </c>
      <c r="C5140" s="74" t="n">
        <f aca="false">C5136+C5137+C5138+C5139</f>
        <v>4359571.32850741</v>
      </c>
      <c r="H5140" s="2" t="s">
        <v>1442</v>
      </c>
    </row>
    <row r="5141" customFormat="false" ht="15" hidden="false" customHeight="false" outlineLevel="1" collapsed="false">
      <c r="A5141" s="7" t="s">
        <v>786</v>
      </c>
      <c r="B5141" s="8" t="s">
        <v>20</v>
      </c>
      <c r="C5141" s="75" t="n">
        <f aca="false">INDEX($C$4868:$G$4868,1,MATCH(MIN($C$5123:$G$5123),$C$5123:$G$5123,0))</f>
        <v>2031</v>
      </c>
      <c r="H5141" s="2" t="s">
        <v>1443</v>
      </c>
    </row>
    <row r="5142" customFormat="false" ht="15" hidden="false" customHeight="false" outlineLevel="1" collapsed="false">
      <c r="A5142" s="7" t="s">
        <v>787</v>
      </c>
      <c r="B5142" s="8"/>
      <c r="C5142" s="76" t="str">
        <f aca="false">IF(G5122&lt;0,"sim","não")</f>
        <v>sim</v>
      </c>
      <c r="H5142" s="2" t="s">
        <v>1444</v>
      </c>
    </row>
    <row r="5143" customFormat="false" ht="15" hidden="false" customHeight="false" outlineLevel="1" collapsed="false">
      <c r="A5143" s="7" t="s">
        <v>788</v>
      </c>
      <c r="B5143" s="8" t="s">
        <v>11</v>
      </c>
      <c r="C5143" s="72" t="n">
        <f aca="false">G5134</f>
        <v>4359571.32850741</v>
      </c>
      <c r="H5143" s="2" t="s">
        <v>1445</v>
      </c>
    </row>
    <row r="5144" customFormat="false" ht="15" hidden="false" customHeight="false" outlineLevel="0" collapsed="false">
      <c r="A5144" s="3" t="s">
        <v>1446</v>
      </c>
      <c r="B5144" s="4"/>
      <c r="C5144" s="4"/>
      <c r="D5144" s="4"/>
      <c r="E5144" s="4"/>
      <c r="F5144" s="4"/>
      <c r="G5144" s="4"/>
      <c r="H5144" s="4"/>
    </row>
    <row r="5145" customFormat="false" ht="15" hidden="false" customHeight="false" outlineLevel="1" collapsed="false">
      <c r="A5145" s="7" t="s">
        <v>790</v>
      </c>
      <c r="B5145" s="8" t="s">
        <v>11</v>
      </c>
      <c r="C5145" s="72" t="n">
        <f aca="false">C5136+C5137</f>
        <v>145000</v>
      </c>
      <c r="H5145" s="2" t="s">
        <v>1447</v>
      </c>
    </row>
    <row r="5146" customFormat="false" ht="15" hidden="false" customHeight="false" outlineLevel="1" collapsed="false">
      <c r="A5146" s="7" t="s">
        <v>791</v>
      </c>
      <c r="B5146" s="8" t="s">
        <v>11</v>
      </c>
      <c r="C5146" s="72" t="n">
        <f aca="false">-SUMPRODUCT(($C$4868:$G$4868&lt;=C5141)*$C$5079:$G$5079)</f>
        <v>3451762.94023686</v>
      </c>
      <c r="H5146" s="2" t="s">
        <v>1448</v>
      </c>
    </row>
    <row r="5147" customFormat="false" ht="15" hidden="false" customHeight="false" outlineLevel="1" collapsed="false">
      <c r="A5147" s="7" t="s">
        <v>424</v>
      </c>
      <c r="B5147" s="8" t="s">
        <v>11</v>
      </c>
      <c r="C5147" s="72" t="n">
        <f aca="false">SUMPRODUCT(($C$4868:$G$4868&lt;=C5141)*$C$5063:$G$5063)</f>
        <v>250000</v>
      </c>
      <c r="H5147" s="2" t="s">
        <v>1449</v>
      </c>
    </row>
    <row r="5148" customFormat="false" ht="15" hidden="false" customHeight="false" outlineLevel="1" collapsed="false">
      <c r="A5148" s="7" t="s">
        <v>792</v>
      </c>
      <c r="B5148" s="8" t="s">
        <v>11</v>
      </c>
      <c r="C5148" s="72" t="n">
        <f aca="false">SUMPRODUCT(($C$4868:$G$4868&lt;=C5141)*$C$5094:$G$5094)</f>
        <v>0</v>
      </c>
      <c r="H5148" s="2" t="s">
        <v>1450</v>
      </c>
    </row>
    <row r="5149" customFormat="false" ht="15" hidden="false" customHeight="false" outlineLevel="1" collapsed="false">
      <c r="A5149" s="7" t="s">
        <v>793</v>
      </c>
      <c r="B5149" s="8" t="s">
        <v>11</v>
      </c>
      <c r="C5149" s="72" t="n">
        <f aca="false">C5139-C5146-C5147-C5148</f>
        <v>362808.388270549</v>
      </c>
      <c r="H5149" s="2" t="s">
        <v>1451</v>
      </c>
    </row>
    <row r="5150" customFormat="false" ht="15" hidden="false" customHeight="false" outlineLevel="1" collapsed="false">
      <c r="A5150" s="7" t="s">
        <v>322</v>
      </c>
      <c r="B5150" s="8" t="s">
        <v>11</v>
      </c>
      <c r="C5150" s="72" t="n">
        <f aca="false">C5138</f>
        <v>150000</v>
      </c>
      <c r="H5150" s="2" t="s">
        <v>1452</v>
      </c>
    </row>
    <row r="5151" customFormat="false" ht="15" hidden="false" customHeight="false" outlineLevel="1" collapsed="false">
      <c r="A5151" s="56" t="s">
        <v>794</v>
      </c>
      <c r="B5151" s="57" t="s">
        <v>11</v>
      </c>
      <c r="C5151" s="74" t="n">
        <f aca="false">C5145+C5146+C5147+C5148+C5149+C5150</f>
        <v>4359571.32850741</v>
      </c>
      <c r="H5151" s="2" t="s">
        <v>1453</v>
      </c>
    </row>
    <row r="5152" customFormat="false" ht="15" hidden="false" customHeight="false" outlineLevel="0" collapsed="false">
      <c r="A5152" s="3" t="s">
        <v>1454</v>
      </c>
      <c r="B5152" s="4"/>
      <c r="C5152" s="4"/>
      <c r="D5152" s="4"/>
      <c r="E5152" s="4"/>
      <c r="F5152" s="4"/>
      <c r="G5152" s="4"/>
      <c r="H5152" s="4"/>
    </row>
    <row r="5153" customFormat="false" ht="15" hidden="false" customHeight="false" outlineLevel="1" collapsed="false">
      <c r="A5153" s="7" t="s">
        <v>772</v>
      </c>
      <c r="B5153" s="8" t="s">
        <v>11</v>
      </c>
      <c r="C5153" s="73" t="n">
        <f aca="false">Pressupostos!$F$32</f>
        <v>1100000</v>
      </c>
      <c r="H5153" s="2" t="s">
        <v>1455</v>
      </c>
    </row>
    <row r="5154" customFormat="false" ht="15" hidden="false" customHeight="false" outlineLevel="1" collapsed="false">
      <c r="A5154" s="7" t="s">
        <v>796</v>
      </c>
      <c r="B5154" s="8" t="s">
        <v>11</v>
      </c>
      <c r="C5154" s="72" t="n">
        <f aca="false">C5136+Pressupostos!$C$108+Pressupostos!$C$130/12*((C5038-C5026-C5027+(C5026+C5027)/Pressupostos!$C$128*Pressupostos!$C$129)*(1+Pressupostos!$C$124+Pressupostos!$C$125)+C5024*Pressupostos!$C$126+C5057)+C5063+MAX(0,Pressupostos!$C$183*1000*(C4889+C4892)+Pressupostos!$C$184*1000*(C4912+C4915)-Pressupostos!$C$108)</f>
        <v>652596.666666667</v>
      </c>
      <c r="H5154" s="2" t="s">
        <v>1456</v>
      </c>
    </row>
    <row r="5155" customFormat="false" ht="15" hidden="false" customHeight="false" outlineLevel="1" collapsed="false">
      <c r="A5155" s="7" t="s">
        <v>798</v>
      </c>
      <c r="B5155" s="8" t="s">
        <v>11</v>
      </c>
      <c r="C5155" s="72" t="n">
        <f aca="false">C5136+Pressupostos!$C$108-C5122</f>
        <v>825826.189229452</v>
      </c>
      <c r="H5155" s="2" t="s">
        <v>1457</v>
      </c>
    </row>
    <row r="5156" customFormat="false" ht="15" hidden="false" customHeight="false" outlineLevel="1" collapsed="false">
      <c r="A5156" s="7" t="s">
        <v>799</v>
      </c>
      <c r="B5156" s="8" t="s">
        <v>11</v>
      </c>
      <c r="C5156" s="61" t="n">
        <f aca="false">Pressupostos!$F$32-C5136-Pressupostos!$C$108+C5123</f>
        <v>274173.810770548</v>
      </c>
      <c r="D5156" s="61" t="n">
        <f aca="false">Pressupostos!$F$32-C5136-Pressupostos!$C$108+D5123</f>
        <v>-515551.781481165</v>
      </c>
      <c r="E5156" s="61" t="n">
        <f aca="false">Pressupostos!$F$32-C5136-Pressupostos!$C$108+E5123</f>
        <v>-1376943.15518408</v>
      </c>
      <c r="F5156" s="61" t="n">
        <f aca="false">Pressupostos!$F$32-C5136-Pressupostos!$C$108+F5123</f>
        <v>-2274244.65591325</v>
      </c>
      <c r="G5156" s="61" t="n">
        <f aca="false">Pressupostos!$F$32-C5136-Pressupostos!$C$108+G5123</f>
        <v>-3109571.32850741</v>
      </c>
      <c r="H5156" s="2" t="s">
        <v>1458</v>
      </c>
    </row>
    <row r="5157" customFormat="false" ht="15" hidden="false" customHeight="false" outlineLevel="1" collapsed="false">
      <c r="A5157" s="7" t="s">
        <v>800</v>
      </c>
      <c r="B5157" s="8" t="s">
        <v>18</v>
      </c>
      <c r="C5157" s="77" t="str">
        <f aca="false">IF(AND(Pressupostos!$F$32-C5136-Pressupostos!$C$108&gt;0,C5156&lt;=0),12*(Pressupostos!$F$32-C5136-Pressupostos!$C$108)/(Pressupostos!$F$32-C5136-Pressupostos!$C$108-C5156),"")</f>
        <v/>
      </c>
      <c r="D5157" s="77" t="n">
        <f aca="false">IF(AND(C5156&gt;0,D5156&lt;=0),12+12*C5156/(C5156-D5156),"")</f>
        <v>16.1661125858486</v>
      </c>
      <c r="E5157" s="77" t="str">
        <f aca="false">IF(AND(D5156&gt;0,E5156&lt;=0),24+12*D5156/(D5156-E5156),"")</f>
        <v/>
      </c>
      <c r="F5157" s="77" t="str">
        <f aca="false">IF(AND(E5156&gt;0,F5156&lt;=0),36+12*E5156/(E5156-F5156),"")</f>
        <v/>
      </c>
      <c r="G5157" s="77" t="str">
        <f aca="false">IF(AND(F5156&gt;0,G5156&lt;=0),48+12*F5156/(F5156-G5156),"")</f>
        <v/>
      </c>
      <c r="H5157" s="2" t="s">
        <v>1459</v>
      </c>
    </row>
    <row r="5158" customFormat="false" ht="15" hidden="false" customHeight="false" outlineLevel="1" collapsed="false">
      <c r="A5158" s="56" t="s">
        <v>801</v>
      </c>
      <c r="B5158" s="57" t="s">
        <v>274</v>
      </c>
      <c r="C5158" s="78" t="n">
        <f aca="false">IF(COUNT($C$5157:$G$5157)=0,"&gt; 60",MIN($C$5157:$G$5157))</f>
        <v>16.1661125858486</v>
      </c>
      <c r="H5158" s="2" t="s">
        <v>1460</v>
      </c>
    </row>
    <row r="5159" customFormat="false" ht="15" hidden="false" customHeight="false" outlineLevel="0" collapsed="false">
      <c r="A5159" s="3" t="s">
        <v>1461</v>
      </c>
      <c r="B5159" s="4"/>
      <c r="C5159" s="4"/>
      <c r="D5159" s="4"/>
      <c r="E5159" s="4"/>
      <c r="F5159" s="4"/>
      <c r="G5159" s="4"/>
      <c r="H5159" s="4"/>
    </row>
    <row r="5160" customFormat="false" ht="15" hidden="false" customHeight="false" outlineLevel="1" collapsed="false">
      <c r="A5160" s="7" t="s">
        <v>803</v>
      </c>
      <c r="B5160" s="8" t="s">
        <v>18</v>
      </c>
      <c r="C5160" s="77" t="str">
        <f aca="false">IF(C5079&gt;=0,1,"")</f>
        <v/>
      </c>
      <c r="D5160" s="77" t="str">
        <f aca="false">IF(AND(C5079&lt;0,D5079&gt;=0),6.5+12*(-C5079)/(D5079-C5079),"")</f>
        <v/>
      </c>
      <c r="E5160" s="77" t="str">
        <f aca="false">IF(AND(D5079&lt;0,E5079&gt;=0),18.5+12*(-D5079)/(E5079-D5079),"")</f>
        <v/>
      </c>
      <c r="F5160" s="77" t="str">
        <f aca="false">IF(AND(E5079&lt;0,F5079&gt;=0),30.5+12*(-E5079)/(F5079-E5079),"")</f>
        <v/>
      </c>
      <c r="G5160" s="77" t="str">
        <f aca="false">IF(AND(F5079&lt;0,G5079&gt;=0),42.5+12*(-F5079)/(G5079-F5079),"")</f>
        <v/>
      </c>
      <c r="H5160" s="2" t="s">
        <v>1462</v>
      </c>
    </row>
    <row r="5161" customFormat="false" ht="15" hidden="false" customHeight="false" outlineLevel="1" collapsed="false">
      <c r="A5161" s="7" t="s">
        <v>804</v>
      </c>
      <c r="B5161" s="8" t="s">
        <v>18</v>
      </c>
      <c r="C5161" s="79" t="str">
        <f aca="false">IF(COUNT($C$5160:$G$5160)=0,"não atinge até 2031",ROUNDUP(MIN($C$5160:$G$5160),0))</f>
        <v>não atinge até 2031</v>
      </c>
      <c r="H5161" s="2" t="s">
        <v>1463</v>
      </c>
    </row>
    <row r="5162" customFormat="false" ht="15" hidden="false" customHeight="false" outlineLevel="1" collapsed="false">
      <c r="A5162" s="56" t="s">
        <v>805</v>
      </c>
      <c r="B5162" s="57" t="s">
        <v>806</v>
      </c>
      <c r="C5162" s="80" t="str">
        <f aca="false">IF(ISNUMBER(C5161),DATE(2027,C5161,1),"não atinge até 2031")</f>
        <v>não atinge até 2031</v>
      </c>
      <c r="H5162" s="2" t="s">
        <v>1464</v>
      </c>
    </row>
    <row r="5163" customFormat="false" ht="15" hidden="false" customHeight="false" outlineLevel="1" collapsed="false">
      <c r="A5163" s="7" t="s">
        <v>807</v>
      </c>
      <c r="B5163" s="8" t="s">
        <v>20</v>
      </c>
      <c r="C5163" s="81" t="str">
        <f aca="false">IF(C5079&gt;=0,C4868,"")</f>
        <v/>
      </c>
      <c r="D5163" s="81" t="str">
        <f aca="false">IF(D5079&gt;=0,D4868,"")</f>
        <v/>
      </c>
      <c r="E5163" s="81" t="str">
        <f aca="false">IF(E5079&gt;=0,E4868,"")</f>
        <v/>
      </c>
      <c r="F5163" s="81" t="str">
        <f aca="false">IF(F5079&gt;=0,F4868,"")</f>
        <v/>
      </c>
      <c r="G5163" s="81" t="str">
        <f aca="false">IF(G5079&gt;=0,G4868,"")</f>
        <v/>
      </c>
      <c r="H5163" s="2" t="s">
        <v>1465</v>
      </c>
    </row>
    <row r="5164" customFormat="false" ht="15" hidden="false" customHeight="false" outlineLevel="1" collapsed="false">
      <c r="A5164" s="7" t="s">
        <v>808</v>
      </c>
      <c r="B5164" s="8" t="s">
        <v>20</v>
      </c>
      <c r="C5164" s="75" t="str">
        <f aca="false">IF(COUNT($C$5163:$G$5163)=0,"não atinge até 2031",MIN($C$5163:$G$5163))</f>
        <v>não atinge até 2031</v>
      </c>
      <c r="H5164" s="2" t="s">
        <v>1466</v>
      </c>
    </row>
    <row r="5165" customFormat="false" ht="15" hidden="false" customHeight="false" outlineLevel="1" collapsed="false">
      <c r="A5165" s="7" t="s">
        <v>809</v>
      </c>
      <c r="B5165" s="8" t="s">
        <v>20</v>
      </c>
      <c r="C5165" s="81" t="str">
        <f aca="false">IF(C5097&gt;=0,C4868,"")</f>
        <v/>
      </c>
      <c r="D5165" s="81" t="str">
        <f aca="false">IF(D5097&gt;=0,D4868,"")</f>
        <v/>
      </c>
      <c r="E5165" s="81" t="str">
        <f aca="false">IF(E5097&gt;=0,E4868,"")</f>
        <v/>
      </c>
      <c r="F5165" s="81" t="str">
        <f aca="false">IF(F5097&gt;=0,F4868,"")</f>
        <v/>
      </c>
      <c r="G5165" s="81" t="str">
        <f aca="false">IF(G5097&gt;=0,G4868,"")</f>
        <v/>
      </c>
      <c r="H5165" s="2" t="s">
        <v>1467</v>
      </c>
    </row>
    <row r="5166" customFormat="false" ht="15" hidden="false" customHeight="false" outlineLevel="1" collapsed="false">
      <c r="A5166" s="7" t="s">
        <v>810</v>
      </c>
      <c r="B5166" s="8" t="s">
        <v>20</v>
      </c>
      <c r="C5166" s="75" t="str">
        <f aca="false">IF(COUNT($C$5165:$G$5165)=0,"não atinge até 2031",MIN($C$5165:$G$5165))</f>
        <v>não atinge até 2031</v>
      </c>
      <c r="H5166" s="2" t="s">
        <v>1468</v>
      </c>
    </row>
    <row r="5167" customFormat="false" ht="15" hidden="false" customHeight="false" outlineLevel="1" collapsed="false">
      <c r="A5167" s="7" t="s">
        <v>811</v>
      </c>
      <c r="B5167" s="8" t="s">
        <v>20</v>
      </c>
      <c r="C5167" s="81" t="str">
        <f aca="false">IF(C5122&gt;=0,C4868,"")</f>
        <v/>
      </c>
      <c r="D5167" s="81" t="str">
        <f aca="false">IF(D5122&gt;=0,D4868,"")</f>
        <v/>
      </c>
      <c r="E5167" s="81" t="str">
        <f aca="false">IF(E5122&gt;=0,E4868,"")</f>
        <v/>
      </c>
      <c r="F5167" s="81" t="str">
        <f aca="false">IF(F5122&gt;=0,F4868,"")</f>
        <v/>
      </c>
      <c r="G5167" s="81" t="str">
        <f aca="false">IF(G5122&gt;=0,G4868,"")</f>
        <v/>
      </c>
      <c r="H5167" s="2" t="s">
        <v>1469</v>
      </c>
    </row>
    <row r="5168" customFormat="false" ht="15" hidden="false" customHeight="false" outlineLevel="1" collapsed="false">
      <c r="A5168" s="7" t="s">
        <v>19</v>
      </c>
      <c r="B5168" s="8" t="s">
        <v>20</v>
      </c>
      <c r="C5168" s="75" t="str">
        <f aca="false">IF(COUNT($C$5167:$G$5167)=0,"não atinge até 2031",MIN($C$5167:$G$5167))</f>
        <v>não atinge até 2031</v>
      </c>
      <c r="H5168" s="2" t="s">
        <v>1470</v>
      </c>
    </row>
    <row r="5169" customFormat="false" ht="15" hidden="false" customHeight="false" outlineLevel="0" collapsed="false">
      <c r="A5169" s="3" t="s">
        <v>1471</v>
      </c>
      <c r="B5169" s="4"/>
      <c r="C5169" s="4"/>
      <c r="D5169" s="4"/>
      <c r="E5169" s="4"/>
      <c r="F5169" s="4"/>
      <c r="G5169" s="4"/>
      <c r="H5169" s="4"/>
    </row>
    <row r="5170" customFormat="false" ht="15" hidden="false" customHeight="false" outlineLevel="1" collapsed="false">
      <c r="A5170" s="7" t="s">
        <v>813</v>
      </c>
      <c r="B5170" s="8" t="s">
        <v>11</v>
      </c>
      <c r="C5170" s="61" t="n">
        <f aca="false">C5105</f>
        <v>0</v>
      </c>
      <c r="D5170" s="61" t="n">
        <f aca="false">D5105</f>
        <v>293119.636130137</v>
      </c>
      <c r="E5170" s="61" t="n">
        <f aca="false">E5105</f>
        <v>504781.643835616</v>
      </c>
      <c r="F5170" s="61" t="n">
        <f aca="false">F5105</f>
        <v>855501.65239726</v>
      </c>
      <c r="G5170" s="61" t="n">
        <f aca="false">G5105</f>
        <v>1303605.43664384</v>
      </c>
      <c r="H5170" s="2" t="s">
        <v>1472</v>
      </c>
    </row>
    <row r="5171" customFormat="false" ht="15" hidden="false" customHeight="false" outlineLevel="1" collapsed="false">
      <c r="A5171" s="7" t="s">
        <v>509</v>
      </c>
      <c r="B5171" s="8" t="s">
        <v>76</v>
      </c>
      <c r="C5171" s="82" t="n">
        <f aca="false">Pressupostos!$C$290</f>
        <v>0.08</v>
      </c>
      <c r="D5171" s="82" t="n">
        <f aca="false">Pressupostos!$D$290</f>
        <v>0.08</v>
      </c>
      <c r="E5171" s="82" t="n">
        <f aca="false">Pressupostos!$E$290</f>
        <v>0.075</v>
      </c>
      <c r="F5171" s="82" t="n">
        <f aca="false">Pressupostos!$F$290</f>
        <v>0.07</v>
      </c>
      <c r="G5171" s="82" t="n">
        <f aca="false">Pressupostos!$G$290</f>
        <v>0.07</v>
      </c>
      <c r="H5171" s="2" t="s">
        <v>1473</v>
      </c>
    </row>
    <row r="5172" customFormat="false" ht="15" hidden="false" customHeight="false" outlineLevel="1" collapsed="false">
      <c r="A5172" s="7" t="s">
        <v>814</v>
      </c>
      <c r="B5172" s="8" t="s">
        <v>76</v>
      </c>
      <c r="C5172" s="60" t="n">
        <f aca="false">Pressupostos!$C$290*(1-Pressupostos!$C$111)</f>
        <v>0.0576</v>
      </c>
      <c r="D5172" s="60" t="n">
        <f aca="false">Pressupostos!$D$290*(1-Pressupostos!$C$111)</f>
        <v>0.0576</v>
      </c>
      <c r="E5172" s="60" t="n">
        <f aca="false">Pressupostos!$E$290*(1-Pressupostos!$C$111)</f>
        <v>0.054</v>
      </c>
      <c r="F5172" s="60" t="n">
        <f aca="false">Pressupostos!$F$290*(1-Pressupostos!$C$111)</f>
        <v>0.0504</v>
      </c>
      <c r="G5172" s="60" t="n">
        <f aca="false">Pressupostos!$G$290*(1-Pressupostos!$C$111)</f>
        <v>0.0504</v>
      </c>
      <c r="H5172" s="2" t="s">
        <v>1474</v>
      </c>
    </row>
    <row r="5173" customFormat="false" ht="15" hidden="false" customHeight="false" outlineLevel="1" collapsed="false">
      <c r="A5173" s="7" t="s">
        <v>815</v>
      </c>
      <c r="B5173" s="8" t="s">
        <v>11</v>
      </c>
      <c r="C5173" s="61" t="n">
        <f aca="false">C5009</f>
        <v>0</v>
      </c>
      <c r="D5173" s="61" t="n">
        <f aca="false">D5009</f>
        <v>21524.1780821918</v>
      </c>
      <c r="E5173" s="61" t="n">
        <f aca="false">E5009</f>
        <v>34083.5991010274</v>
      </c>
      <c r="F5173" s="61" t="n">
        <f aca="false">F5009</f>
        <v>53929.0517979452</v>
      </c>
      <c r="G5173" s="61" t="n">
        <f aca="false">G5009</f>
        <v>82260.0385273973</v>
      </c>
      <c r="H5173" s="2" t="s">
        <v>1475</v>
      </c>
    </row>
    <row r="5174" customFormat="false" ht="15" hidden="false" customHeight="false" outlineLevel="1" collapsed="false">
      <c r="A5174" s="7" t="s">
        <v>816</v>
      </c>
      <c r="B5174" s="8" t="s">
        <v>76</v>
      </c>
      <c r="C5174" s="59" t="n">
        <f aca="false">IF(C5105&gt;0,(C5108+C5110)/C5105,0)</f>
        <v>0</v>
      </c>
      <c r="D5174" s="59" t="n">
        <f aca="false">IF(D5105&gt;0,(D5108+D5110)/D5105,0)</f>
        <v>0.316666666666667</v>
      </c>
      <c r="E5174" s="59" t="n">
        <f aca="false">IF(E5105&gt;0,(E5108+E5110)/E5105,0)</f>
        <v>0.316666666666667</v>
      </c>
      <c r="F5174" s="59" t="n">
        <f aca="false">IF(F5105&gt;0,(F5108+F5110)/F5105,0)</f>
        <v>0.316666666666667</v>
      </c>
      <c r="G5174" s="59" t="n">
        <f aca="false">IF(G5105&gt;0,(G5108+G5110)/G5105,0)</f>
        <v>0.316666666666667</v>
      </c>
      <c r="H5174" s="2" t="s">
        <v>1476</v>
      </c>
    </row>
    <row r="5175" customFormat="false" ht="15" hidden="false" customHeight="false" outlineLevel="1" collapsed="false">
      <c r="A5175" s="7" t="s">
        <v>817</v>
      </c>
      <c r="B5175" s="8" t="s">
        <v>123</v>
      </c>
      <c r="C5175" s="61" t="n">
        <f aca="false">C5111</f>
        <v>0</v>
      </c>
      <c r="D5175" s="61" t="n">
        <f aca="false">D5111</f>
        <v>5.86239272260274</v>
      </c>
      <c r="E5175" s="61" t="n">
        <f aca="false">E5111</f>
        <v>10.0956328767123</v>
      </c>
      <c r="F5175" s="61" t="n">
        <f aca="false">F5111</f>
        <v>17.1100330479452</v>
      </c>
      <c r="G5175" s="61" t="n">
        <f aca="false">G5111</f>
        <v>26.0721087328767</v>
      </c>
      <c r="H5175" s="2" t="s">
        <v>1477</v>
      </c>
    </row>
    <row r="5176" customFormat="false" ht="15" hidden="false" customHeight="false" outlineLevel="1" collapsed="false">
      <c r="A5176" s="7" t="s">
        <v>818</v>
      </c>
      <c r="B5176" s="8" t="s">
        <v>11</v>
      </c>
      <c r="C5176" s="61" t="n">
        <f aca="false">C5009+C5055</f>
        <v>65000</v>
      </c>
      <c r="D5176" s="61" t="n">
        <f aca="false">D5009+D5055</f>
        <v>96524.1780821918</v>
      </c>
      <c r="E5176" s="61" t="n">
        <f aca="false">E5009+E5055</f>
        <v>114083.599101027</v>
      </c>
      <c r="F5176" s="61" t="n">
        <f aca="false">F5009+F5055</f>
        <v>138929.051797945</v>
      </c>
      <c r="G5176" s="61" t="n">
        <f aca="false">G5009+G5055</f>
        <v>172260.038527397</v>
      </c>
      <c r="H5176" s="2" t="s">
        <v>1478</v>
      </c>
    </row>
    <row r="5177" customFormat="false" ht="15" hidden="false" customHeight="false" outlineLevel="1" collapsed="false">
      <c r="A5177" s="7" t="s">
        <v>819</v>
      </c>
      <c r="B5177" s="8" t="s">
        <v>76</v>
      </c>
      <c r="C5177" s="59" t="str">
        <f aca="false">IF(C5105&gt;0,C5176/C5105,"")</f>
        <v/>
      </c>
      <c r="D5177" s="59" t="n">
        <f aca="false">IF(D5105&gt;0,D5176/D5105,"")</f>
        <v>0.329299597108321</v>
      </c>
      <c r="E5177" s="59" t="n">
        <f aca="false">IF(E5105&gt;0,E5176/E5105,"")</f>
        <v>0.22600583934502</v>
      </c>
      <c r="F5177" s="59" t="n">
        <f aca="false">IF(F5105&gt;0,F5176/F5105,"")</f>
        <v>0.162394837471842</v>
      </c>
      <c r="G5177" s="59" t="n">
        <f aca="false">IF(G5105&gt;0,G5176/G5105,"")</f>
        <v>0.132141239738064</v>
      </c>
      <c r="H5177" s="2" t="s">
        <v>1479</v>
      </c>
    </row>
    <row r="5178" customFormat="false" ht="15" hidden="false" customHeight="false" outlineLevel="0" collapsed="false">
      <c r="A5178" s="3" t="s">
        <v>1480</v>
      </c>
      <c r="B5178" s="4"/>
      <c r="C5178" s="4"/>
      <c r="D5178" s="4"/>
      <c r="E5178" s="4"/>
      <c r="F5178" s="4"/>
      <c r="G5178" s="4"/>
      <c r="H5178" s="4"/>
    </row>
    <row r="5179" customFormat="false" ht="15" hidden="false" customHeight="false" outlineLevel="1" collapsed="false">
      <c r="A5179" s="7" t="s">
        <v>821</v>
      </c>
      <c r="B5179" s="8" t="s">
        <v>11</v>
      </c>
      <c r="C5179" s="61" t="n">
        <f aca="false">MAX(0,-C5079)</f>
        <v>588778.15635274</v>
      </c>
      <c r="D5179" s="61" t="n">
        <f aca="false">MAX(0,-D5079)</f>
        <v>703952.407020548</v>
      </c>
      <c r="E5179" s="61" t="n">
        <f aca="false">MAX(0,-E5079)</f>
        <v>750365.071262843</v>
      </c>
      <c r="F5179" s="61" t="n">
        <f aca="false">MAX(0,-F5079)</f>
        <v>749240.16468465</v>
      </c>
      <c r="G5179" s="61" t="n">
        <f aca="false">MAX(0,-G5079)</f>
        <v>659427.140916076</v>
      </c>
      <c r="H5179" s="2" t="s">
        <v>1481</v>
      </c>
    </row>
    <row r="5180" customFormat="false" ht="15" hidden="false" customHeight="false" outlineLevel="1" collapsed="false">
      <c r="A5180" s="2" t="s">
        <v>822</v>
      </c>
      <c r="B5180" s="8"/>
      <c r="C5180" s="61" t="n">
        <f aca="false">IF(AND(C4868&gt;=Pressupostos!$C$120,Pressupostos!$C$118*(C4962+C4963)+Pressupostos!$C$119*C4964&gt;Pressupostos!$C$302),1,0)</f>
        <v>0</v>
      </c>
      <c r="D5180" s="61" t="n">
        <f aca="false">IF(AND(D4868&gt;=Pressupostos!$C$120,Pressupostos!$C$118*(D4962+D4963)+Pressupostos!$C$119*D4964&gt;Pressupostos!$D$302),1,0)</f>
        <v>1</v>
      </c>
      <c r="E5180" s="61" t="n">
        <f aca="false">IF(AND(E4868&gt;=Pressupostos!$C$120,Pressupostos!$C$118*(E4962+E4963)+Pressupostos!$C$119*E4964&gt;Pressupostos!$E$302),1,0)</f>
        <v>1</v>
      </c>
      <c r="F5180" s="61" t="n">
        <f aca="false">IF(AND(F4868&gt;=Pressupostos!$C$120,Pressupostos!$C$118*(F4962+F4963)+Pressupostos!$C$119*F4964&gt;Pressupostos!$F$302),1,0)</f>
        <v>1</v>
      </c>
      <c r="G5180" s="61" t="n">
        <f aca="false">IF(AND(G4868&gt;=Pressupostos!$C$120,Pressupostos!$C$118*(G4962+G4963)+Pressupostos!$C$119*G4964&gt;Pressupostos!$G$302),1,0)</f>
        <v>1</v>
      </c>
      <c r="H5180" s="2" t="s">
        <v>1482</v>
      </c>
    </row>
    <row r="5181" customFormat="false" ht="15" hidden="false" customHeight="false" outlineLevel="1" collapsed="false">
      <c r="A5181" s="7" t="s">
        <v>823</v>
      </c>
      <c r="B5181" s="8" t="s">
        <v>64</v>
      </c>
      <c r="C5181" s="63" t="n">
        <f aca="false">IF(C4872&gt;0,C5179/(C4872*1000*(1-Pressupostos!$F$22)*(1-Pressupostos!$F$25-C5180*Pressupostos!$C$118)),"n/a")</f>
        <v>11.3567270340394</v>
      </c>
      <c r="D5181" s="63" t="n">
        <f aca="false">IF(D4872&gt;0,D5179/(D4872*1000*(1-Pressupostos!$F$22)*(1-Pressupostos!$F$25-D5180*Pressupostos!$C$118)),"n/a")</f>
        <v>1.95293336279729</v>
      </c>
      <c r="E5181" s="63" t="n">
        <f aca="false">IF(E4872&gt;0,E5179/(E4872*1000*(1-Pressupostos!$F$22)*(1-Pressupostos!$F$25-E5180*Pressupostos!$C$118)),"n/a")</f>
        <v>1.05391165110142</v>
      </c>
      <c r="F5181" s="63" t="n">
        <f aca="false">IF(F4872&gt;0,F5179/(F4872*1000*(1-Pressupostos!$F$22)*(1-Pressupostos!$F$25-F5180*Pressupostos!$C$118)),"n/a")</f>
        <v>0.637803734071425</v>
      </c>
      <c r="G5181" s="63" t="n">
        <f aca="false">IF(G4872&gt;0,G5179/(G4872*1000*(1-Pressupostos!$F$22)*(1-Pressupostos!$F$25-G5180*Pressupostos!$C$118)),"n/a")</f>
        <v>0.370991994754385</v>
      </c>
      <c r="H5181" s="2" t="s">
        <v>1483</v>
      </c>
    </row>
    <row r="5182" customFormat="false" ht="15" hidden="false" customHeight="false" outlineLevel="1" collapsed="false">
      <c r="A5182" s="7" t="s">
        <v>824</v>
      </c>
      <c r="B5182" s="8" t="s">
        <v>64</v>
      </c>
      <c r="C5182" s="63" t="n">
        <f aca="false">IF(C4871&gt;0,Pressupostos!$F$15+C5179/(C4871*1000*(1-(Pressupostos!$C$193))*(1-Pressupostos!$F$18-C5180*Pressupostos!$C$118)),"n/a")</f>
        <v>90.9830917142366</v>
      </c>
      <c r="D5182" s="63" t="n">
        <f aca="false">IF(D4871&gt;0,Pressupostos!$F$15+D5179/(D4871*1000*(1-(Pressupostos!$C$193))*(1-Pressupostos!$F$18-D5180*Pressupostos!$C$118)),"n/a")</f>
        <v>33.2047073130366</v>
      </c>
      <c r="E5182" s="63" t="n">
        <f aca="false">IF(E4871&gt;0,Pressupostos!$F$15+E5179/(E4871*1000*(1-(Pressupostos!$C$193))*(1-Pressupostos!$F$18-E5180*Pressupostos!$C$118)),"n/a")</f>
        <v>16.8743833059844</v>
      </c>
      <c r="F5182" s="63" t="n">
        <f aca="false">IF(F4871&gt;0,Pressupostos!$F$15+F5179/(F4871*1000*(1-(Pressupostos!$C$193))*(1-Pressupostos!$F$18-F5180*Pressupostos!$C$118)),"n/a")</f>
        <v>12.2046177262243</v>
      </c>
      <c r="G5182" s="63" t="n">
        <f aca="false">IF(G4871&gt;0,Pressupostos!$F$15+G5179/(G4871*1000*(1-(Pressupostos!$C$193))*(1-Pressupostos!$F$18-G5180*Pressupostos!$C$118)),"n/a")</f>
        <v>9.8225998343033</v>
      </c>
      <c r="H5182" s="2" t="s">
        <v>1484</v>
      </c>
    </row>
    <row r="5183" customFormat="false" ht="15" hidden="false" customHeight="false" outlineLevel="1" collapsed="false">
      <c r="A5183" s="7" t="s">
        <v>825</v>
      </c>
      <c r="B5183" s="8" t="s">
        <v>64</v>
      </c>
      <c r="C5183" s="63" t="n">
        <f aca="false">IF(Pressupostos!$F$33=1,C4954-C5180*Pressupostos!$C$119*C4937,C4960)</f>
        <v>0.00725</v>
      </c>
      <c r="D5183" s="63" t="n">
        <f aca="false">IF(Pressupostos!$F$33=1,D4954-D5180*Pressupostos!$C$119*D4937,D4960)</f>
        <v>0.00725</v>
      </c>
      <c r="E5183" s="63" t="n">
        <f aca="false">IF(Pressupostos!$F$33=1,E4954-E5180*Pressupostos!$C$119*E4937,E4960)</f>
        <v>0.00725</v>
      </c>
      <c r="F5183" s="63" t="n">
        <f aca="false">IF(Pressupostos!$F$33=1,F4954-F5180*Pressupostos!$C$119*F4937,F4960)</f>
        <v>0.00725</v>
      </c>
      <c r="G5183" s="63" t="n">
        <f aca="false">IF(Pressupostos!$F$33=1,G4954-G5180*Pressupostos!$C$119*G4937,G4960)</f>
        <v>0.00725</v>
      </c>
      <c r="H5183" s="2" t="s">
        <v>1485</v>
      </c>
    </row>
    <row r="5184" customFormat="false" ht="15" hidden="false" customHeight="false" outlineLevel="1" collapsed="false">
      <c r="A5184" s="7" t="s">
        <v>826</v>
      </c>
      <c r="B5184" s="8" t="s">
        <v>120</v>
      </c>
      <c r="C5184" s="55" t="n">
        <f aca="false">IF(C5183&gt;0,C4873+C5179/(C5183*1000),"n/a")</f>
        <v>81210.7801865848</v>
      </c>
      <c r="D5184" s="55" t="n">
        <f aca="false">IF(D5183&gt;0,D4873+D5179/(D5183*1000),"n/a")</f>
        <v>97596.8837269722</v>
      </c>
      <c r="E5184" s="55" t="n">
        <f aca="false">IF(E5183&gt;0,E4873+E5179/(E5183*1000),"n/a")</f>
        <v>104998.630519013</v>
      </c>
      <c r="F5184" s="55" t="n">
        <f aca="false">IF(F5183&gt;0,F4873+F5179/(F5183*1000),"n/a")</f>
        <v>105843.470990986</v>
      </c>
      <c r="G5184" s="55" t="n">
        <f aca="false">IF(G5183&gt;0,G4873+G5179/(G5183*1000),"n/a")</f>
        <v>94455.4677125622</v>
      </c>
      <c r="H5184" s="2" t="s">
        <v>1486</v>
      </c>
    </row>
    <row r="5185" customFormat="false" ht="15" hidden="false" customHeight="false" outlineLevel="1" collapsed="false">
      <c r="A5185" s="7" t="s">
        <v>827</v>
      </c>
      <c r="B5185" s="8" t="s">
        <v>76</v>
      </c>
      <c r="C5185" s="59" t="n">
        <f aca="false">C5179/(C5041+C5054+C5055)</f>
        <v>0.978568200022223</v>
      </c>
      <c r="D5185" s="59" t="n">
        <f aca="false">D5179/(D5041+D5054+D5055)</f>
        <v>0.913917297837123</v>
      </c>
      <c r="E5185" s="59" t="n">
        <f aca="false">E5179/(E5041+E5054+E5055)</f>
        <v>0.81392591736033</v>
      </c>
      <c r="F5185" s="59" t="n">
        <f aca="false">F5179/(F5041+F5054+F5055)</f>
        <v>0.699102418961248</v>
      </c>
      <c r="G5185" s="59" t="n">
        <f aca="false">G5179/(G5041+G5054+G5055)</f>
        <v>0.560691563128819</v>
      </c>
      <c r="H5185" s="2" t="s">
        <v>1487</v>
      </c>
    </row>
    <row r="5186" customFormat="false" ht="15" hidden="false" customHeight="false" outlineLevel="1" collapsed="false">
      <c r="A5186" s="2" t="s">
        <v>828</v>
      </c>
      <c r="B5186" s="8" t="s">
        <v>76</v>
      </c>
      <c r="C5186" s="60" t="n">
        <f aca="false">Pressupostos!$C$101*Pressupostos!$C$102+Pressupostos!$C$103-Pressupostos!$F$30*Pressupostos!$C$104*Pressupostos!$C$102/(Pressupostos!$C$105*Pressupostos!$C$106)</f>
        <v>0.02</v>
      </c>
      <c r="D5186" s="60" t="n">
        <f aca="false">Pressupostos!$C$101*Pressupostos!$C$102+Pressupostos!$C$103-Pressupostos!$F$30*Pressupostos!$C$104*Pressupostos!$C$102/(Pressupostos!$C$105*Pressupostos!$C$106)</f>
        <v>0.02</v>
      </c>
      <c r="E5186" s="60" t="n">
        <f aca="false">Pressupostos!$C$101*Pressupostos!$C$102+Pressupostos!$C$103-Pressupostos!$F$30*Pressupostos!$C$104*Pressupostos!$C$102/(Pressupostos!$C$105*Pressupostos!$C$106)</f>
        <v>0.02</v>
      </c>
      <c r="F5186" s="60" t="n">
        <f aca="false">Pressupostos!$C$101*Pressupostos!$C$102+Pressupostos!$C$103-Pressupostos!$F$30*Pressupostos!$C$104*Pressupostos!$C$102/(Pressupostos!$C$105*Pressupostos!$C$106)</f>
        <v>0.02</v>
      </c>
      <c r="G5186" s="60" t="n">
        <f aca="false">Pressupostos!$C$101*Pressupostos!$C$102+Pressupostos!$C$103-Pressupostos!$F$30*Pressupostos!$C$104*Pressupostos!$C$102/(Pressupostos!$C$105*Pressupostos!$C$106)</f>
        <v>0.02</v>
      </c>
      <c r="H5186" s="2" t="s">
        <v>1488</v>
      </c>
    </row>
    <row r="5187" customFormat="false" ht="15" hidden="false" customHeight="false" outlineLevel="1" collapsed="false">
      <c r="A5187" s="7" t="s">
        <v>829</v>
      </c>
      <c r="B5187" s="8" t="s">
        <v>11</v>
      </c>
      <c r="C5187" s="61" t="n">
        <f aca="false">IF(C5186&gt;0,C4886+C5179/C5186,"n/a")</f>
        <v>29438907.817637</v>
      </c>
      <c r="D5187" s="61" t="n">
        <f aca="false">IF(D5186&gt;0,D4886+D5179/D5186,"n/a")</f>
        <v>35697620.3510274</v>
      </c>
      <c r="E5187" s="61" t="n">
        <f aca="false">IF(E5186&gt;0,E4886+E5179/E5186,"n/a")</f>
        <v>39018253.5631422</v>
      </c>
      <c r="F5187" s="61" t="n">
        <f aca="false">IF(F5186&gt;0,F4886+F5179/F5186,"n/a")</f>
        <v>40462008.2342325</v>
      </c>
      <c r="G5187" s="61" t="n">
        <f aca="false">IF(G5186&gt;0,G4886+G5179/G5186,"n/a")</f>
        <v>37971357.0458038</v>
      </c>
      <c r="H5187" s="2" t="s">
        <v>1489</v>
      </c>
    </row>
    <row r="5190" customFormat="false" ht="15" hidden="false" customHeight="false" outlineLevel="0" collapsed="false">
      <c r="A5190" s="111" t="s">
        <v>1505</v>
      </c>
      <c r="B5190" s="112"/>
      <c r="C5190" s="112"/>
      <c r="D5190" s="112"/>
      <c r="E5190" s="112"/>
      <c r="F5190" s="112"/>
      <c r="G5190" s="112"/>
      <c r="H5190" s="112"/>
    </row>
    <row r="5191" customFormat="false" ht="15" hidden="false" customHeight="false" outlineLevel="0" collapsed="false">
      <c r="A5191" s="3" t="s">
        <v>1170</v>
      </c>
      <c r="B5191" s="4"/>
      <c r="C5191" s="4"/>
      <c r="D5191" s="4"/>
      <c r="E5191" s="4"/>
      <c r="F5191" s="4"/>
      <c r="G5191" s="4"/>
      <c r="H5191" s="4"/>
    </row>
    <row r="5192" customFormat="false" ht="15" hidden="false" customHeight="false" outlineLevel="1" collapsed="false">
      <c r="A5192" s="7" t="s">
        <v>588</v>
      </c>
      <c r="B5192" s="8"/>
      <c r="C5192" s="52" t="n">
        <v>2027</v>
      </c>
      <c r="D5192" s="52" t="n">
        <v>2028</v>
      </c>
      <c r="E5192" s="52" t="n">
        <v>2029</v>
      </c>
      <c r="F5192" s="52" t="n">
        <v>2030</v>
      </c>
      <c r="G5192" s="52" t="n">
        <v>2031</v>
      </c>
      <c r="H5192" s="2" t="s">
        <v>20</v>
      </c>
    </row>
    <row r="5193" customFormat="false" ht="15" hidden="false" customHeight="false" outlineLevel="0" collapsed="false">
      <c r="A5193" s="3" t="s">
        <v>1171</v>
      </c>
      <c r="B5193" s="4"/>
      <c r="C5193" s="4"/>
      <c r="D5193" s="4"/>
      <c r="E5193" s="4"/>
      <c r="F5193" s="4"/>
      <c r="G5193" s="4"/>
      <c r="H5193" s="4"/>
    </row>
    <row r="5194" customFormat="false" ht="15" hidden="false" customHeight="false" outlineLevel="1" collapsed="false">
      <c r="A5194" s="7" t="s">
        <v>387</v>
      </c>
      <c r="B5194" s="8" t="s">
        <v>123</v>
      </c>
      <c r="C5194" s="61" t="n">
        <f aca="false">(Pressupostos!$C$215*(1+Pressupostos!$C$194))</f>
        <v>28</v>
      </c>
      <c r="D5194" s="61" t="n">
        <f aca="false">(Pressupostos!$D$215*(1+Pressupostos!$C$194))</f>
        <v>105</v>
      </c>
      <c r="E5194" s="61" t="n">
        <f aca="false">(Pressupostos!$E$215*(1+Pressupostos!$C$194))</f>
        <v>280</v>
      </c>
      <c r="F5194" s="61" t="n">
        <f aca="false">(Pressupostos!$F$215*(1+Pressupostos!$C$194))</f>
        <v>490</v>
      </c>
      <c r="G5194" s="61" t="n">
        <f aca="false">(Pressupostos!$G$215*(1+Pressupostos!$C$194))</f>
        <v>700</v>
      </c>
      <c r="H5194" s="2" t="s">
        <v>1172</v>
      </c>
    </row>
    <row r="5195" customFormat="false" ht="15" hidden="false" customHeight="false" outlineLevel="1" collapsed="false">
      <c r="A5195" s="7" t="s">
        <v>590</v>
      </c>
      <c r="B5195" s="8" t="s">
        <v>120</v>
      </c>
      <c r="C5195" s="55" t="n">
        <f aca="false">(Pressupostos!$C$221*(1+Pressupostos!$C$194))</f>
        <v>5.74</v>
      </c>
      <c r="D5195" s="55" t="n">
        <f aca="false">(Pressupostos!$D$221*(1+Pressupostos!$C$194))</f>
        <v>21.525</v>
      </c>
      <c r="E5195" s="55" t="n">
        <f aca="false">(Pressupostos!$E$221*(1+Pressupostos!$C$194))</f>
        <v>57.4</v>
      </c>
      <c r="F5195" s="55" t="n">
        <f aca="false">(Pressupostos!$F$221*(1+Pressupostos!$C$194))</f>
        <v>100.45</v>
      </c>
      <c r="G5195" s="55" t="n">
        <f aca="false">(Pressupostos!$G$221*(1+Pressupostos!$C$194))</f>
        <v>143.5</v>
      </c>
      <c r="H5195" s="2" t="s">
        <v>1173</v>
      </c>
    </row>
    <row r="5196" customFormat="false" ht="15" hidden="false" customHeight="false" outlineLevel="1" collapsed="false">
      <c r="A5196" s="7" t="s">
        <v>591</v>
      </c>
      <c r="B5196" s="8" t="s">
        <v>120</v>
      </c>
      <c r="C5196" s="55" t="n">
        <f aca="false">(Pressupostos!$C$227*(1+Pressupostos!$C$194))</f>
        <v>36.4</v>
      </c>
      <c r="D5196" s="55" t="n">
        <f aca="false">(Pressupostos!$D$227*(1+Pressupostos!$C$194))</f>
        <v>254.1</v>
      </c>
      <c r="E5196" s="55" t="n">
        <f aca="false">(Pressupostos!$E$227*(1+Pressupostos!$C$194))</f>
        <v>501.9</v>
      </c>
      <c r="F5196" s="55" t="n">
        <f aca="false">(Pressupostos!$F$227*(1+Pressupostos!$C$194))</f>
        <v>828.1</v>
      </c>
      <c r="G5196" s="55" t="n">
        <f aca="false">(Pressupostos!$G$227*(1+Pressupostos!$C$194))</f>
        <v>1253</v>
      </c>
      <c r="H5196" s="2" t="s">
        <v>1174</v>
      </c>
    </row>
    <row r="5197" customFormat="false" ht="15" hidden="false" customHeight="false" outlineLevel="1" collapsed="false">
      <c r="A5197" s="7" t="s">
        <v>398</v>
      </c>
      <c r="B5197" s="8" t="s">
        <v>120</v>
      </c>
      <c r="C5197" s="55" t="n">
        <f aca="false">(Pressupostos!$C$233*(1+Pressupostos!$C$194))</f>
        <v>0</v>
      </c>
      <c r="D5197" s="55" t="n">
        <f aca="false">(Pressupostos!$D$233*(1+Pressupostos!$C$194))</f>
        <v>350</v>
      </c>
      <c r="E5197" s="55" t="n">
        <f aca="false">(Pressupostos!$E$233*(1+Pressupostos!$C$194))</f>
        <v>1050</v>
      </c>
      <c r="F5197" s="55" t="n">
        <f aca="false">(Pressupostos!$F$233*(1+Pressupostos!$C$194))</f>
        <v>1750</v>
      </c>
      <c r="G5197" s="55" t="n">
        <f aca="false">(Pressupostos!$G$233*(1+Pressupostos!$C$194))</f>
        <v>2450</v>
      </c>
      <c r="H5197" s="2" t="s">
        <v>1175</v>
      </c>
    </row>
    <row r="5198" customFormat="false" ht="15" hidden="false" customHeight="false" outlineLevel="1" collapsed="false">
      <c r="A5198" s="7" t="s">
        <v>592</v>
      </c>
      <c r="B5198" s="8" t="s">
        <v>120</v>
      </c>
      <c r="C5198" s="55" t="n">
        <f aca="false">C5197*Pressupostos!$F$33</f>
        <v>0</v>
      </c>
      <c r="D5198" s="55" t="n">
        <f aca="false">D5197*Pressupostos!$F$33</f>
        <v>0</v>
      </c>
      <c r="E5198" s="55" t="n">
        <f aca="false">E5197*Pressupostos!$F$33</f>
        <v>0</v>
      </c>
      <c r="F5198" s="55" t="n">
        <f aca="false">F5197*Pressupostos!$F$33</f>
        <v>0</v>
      </c>
      <c r="G5198" s="55" t="n">
        <f aca="false">G5197*Pressupostos!$F$33</f>
        <v>0</v>
      </c>
      <c r="H5198" s="2" t="s">
        <v>1176</v>
      </c>
    </row>
    <row r="5199" customFormat="false" ht="15" hidden="false" customHeight="false" outlineLevel="1" collapsed="false">
      <c r="A5199" s="7" t="s">
        <v>593</v>
      </c>
      <c r="B5199" s="8" t="s">
        <v>120</v>
      </c>
      <c r="C5199" s="55" t="n">
        <f aca="false">C5197-C5198</f>
        <v>0</v>
      </c>
      <c r="D5199" s="55" t="n">
        <f aca="false">D5197-D5198</f>
        <v>350</v>
      </c>
      <c r="E5199" s="55" t="n">
        <f aca="false">E5197-E5198</f>
        <v>1050</v>
      </c>
      <c r="F5199" s="55" t="n">
        <f aca="false">F5197-F5198</f>
        <v>1750</v>
      </c>
      <c r="G5199" s="55" t="n">
        <f aca="false">G5197-G5198</f>
        <v>2450</v>
      </c>
      <c r="H5199" s="2" t="s">
        <v>1177</v>
      </c>
    </row>
    <row r="5200" customFormat="false" ht="15" hidden="false" customHeight="false" outlineLevel="1" collapsed="false">
      <c r="A5200" s="56" t="s">
        <v>594</v>
      </c>
      <c r="B5200" s="57" t="s">
        <v>120</v>
      </c>
      <c r="C5200" s="58" t="n">
        <f aca="false">C5195+C5196+C5197</f>
        <v>42.14</v>
      </c>
      <c r="D5200" s="58" t="n">
        <f aca="false">D5195+D5196+D5197</f>
        <v>625.625</v>
      </c>
      <c r="E5200" s="58" t="n">
        <f aca="false">E5195+E5196+E5197</f>
        <v>1609.3</v>
      </c>
      <c r="F5200" s="58" t="n">
        <f aca="false">F5195+F5196+F5197</f>
        <v>2678.55</v>
      </c>
      <c r="G5200" s="58" t="n">
        <f aca="false">G5195+G5196+G5197</f>
        <v>3846.5</v>
      </c>
      <c r="H5200" s="2" t="s">
        <v>1178</v>
      </c>
    </row>
    <row r="5201" customFormat="false" ht="15" hidden="false" customHeight="false" outlineLevel="1" collapsed="false">
      <c r="A5201" s="7" t="s">
        <v>595</v>
      </c>
      <c r="B5201" s="8" t="s">
        <v>76</v>
      </c>
      <c r="C5201" s="59" t="n">
        <f aca="false">IF(C5200&gt;0,C5195/C5200,0)</f>
        <v>0.136212624584718</v>
      </c>
      <c r="D5201" s="59" t="n">
        <f aca="false">IF(D5200&gt;0,D5195/D5200,0)</f>
        <v>0.0344055944055944</v>
      </c>
      <c r="E5201" s="59" t="n">
        <f aca="false">IF(E5200&gt;0,E5195/E5200,0)</f>
        <v>0.035667681600696</v>
      </c>
      <c r="F5201" s="59" t="n">
        <f aca="false">IF(F5200&gt;0,F5195/F5200,0)</f>
        <v>0.0375016333464001</v>
      </c>
      <c r="G5201" s="59" t="n">
        <f aca="false">IF(G5200&gt;0,G5195/G5200,0)</f>
        <v>0.0373066424021838</v>
      </c>
      <c r="H5201" s="2" t="s">
        <v>1179</v>
      </c>
    </row>
    <row r="5202" customFormat="false" ht="15" hidden="false" customHeight="false" outlineLevel="1" collapsed="false">
      <c r="A5202" s="7" t="s">
        <v>596</v>
      </c>
      <c r="B5202" s="8" t="s">
        <v>76</v>
      </c>
      <c r="C5202" s="60" t="n">
        <f aca="false">C5200/(Pressupostos!$C$76*1000)</f>
        <v>0.000248613569321534</v>
      </c>
      <c r="D5202" s="60" t="n">
        <f aca="false">D5200/(Pressupostos!$C$76*1000)</f>
        <v>0.00369100294985251</v>
      </c>
      <c r="E5202" s="60" t="n">
        <f aca="false">E5200/(Pressupostos!$C$76*1000)</f>
        <v>0.00949439528023599</v>
      </c>
      <c r="F5202" s="60" t="n">
        <f aca="false">F5200/(Pressupostos!$C$76*1000)</f>
        <v>0.0158026548672566</v>
      </c>
      <c r="G5202" s="60" t="n">
        <f aca="false">G5200/(Pressupostos!$C$76*1000)</f>
        <v>0.022693215339233</v>
      </c>
      <c r="H5202" s="2" t="s">
        <v>1180</v>
      </c>
    </row>
    <row r="5203" customFormat="false" ht="15" hidden="false" customHeight="false" outlineLevel="1" collapsed="false">
      <c r="A5203" s="7" t="s">
        <v>597</v>
      </c>
      <c r="B5203" s="8" t="s">
        <v>123</v>
      </c>
      <c r="C5203" s="55" t="n">
        <f aca="false">C5195/Pressupostos!$C$40+C5196/Pressupostos!$C$47+C5197/Pressupostos!$C$59</f>
        <v>1.50033333333333</v>
      </c>
      <c r="D5203" s="55" t="n">
        <f aca="false">D5195/Pressupostos!$C$40+D5196/Pressupostos!$C$47+D5197/Pressupostos!$C$59</f>
        <v>13.04625</v>
      </c>
      <c r="E5203" s="55" t="n">
        <f aca="false">E5195/Pressupostos!$C$40+E5196/Pressupostos!$C$47+E5197/Pressupostos!$C$59</f>
        <v>30.1</v>
      </c>
      <c r="F5203" s="55" t="n">
        <f aca="false">F5195/Pressupostos!$C$40+F5196/Pressupostos!$C$47+F5197/Pressupostos!$C$59</f>
        <v>50.1258333333333</v>
      </c>
      <c r="G5203" s="55" t="n">
        <f aca="false">G5195/Pressupostos!$C$40+G5196/Pressupostos!$C$47+G5197/Pressupostos!$C$59</f>
        <v>73.4416666666667</v>
      </c>
      <c r="H5203" s="2" t="s">
        <v>1181</v>
      </c>
    </row>
    <row r="5204" customFormat="false" ht="15" hidden="false" customHeight="false" outlineLevel="0" collapsed="false">
      <c r="A5204" s="3" t="s">
        <v>1182</v>
      </c>
      <c r="B5204" s="4"/>
      <c r="C5204" s="4"/>
      <c r="D5204" s="4"/>
      <c r="E5204" s="4"/>
      <c r="F5204" s="4"/>
      <c r="G5204" s="4"/>
      <c r="H5204" s="4"/>
    </row>
    <row r="5205" customFormat="false" ht="15" hidden="false" customHeight="false" outlineLevel="1" collapsed="false">
      <c r="A5205" s="7" t="s">
        <v>599</v>
      </c>
      <c r="B5205" s="8" t="s">
        <v>202</v>
      </c>
      <c r="C5205" s="61" t="n">
        <f aca="false">(Pressupostos!$C$259*(1+Pressupostos!$C$194))</f>
        <v>25.2</v>
      </c>
      <c r="D5205" s="61" t="n">
        <f aca="false">(Pressupostos!$D$259*(1+Pressupostos!$C$194))</f>
        <v>94.5</v>
      </c>
      <c r="E5205" s="61" t="n">
        <f aca="false">(Pressupostos!$E$259*(1+Pressupostos!$C$194))</f>
        <v>252</v>
      </c>
      <c r="F5205" s="61" t="n">
        <f aca="false">(Pressupostos!$F$259*(1+Pressupostos!$C$194))</f>
        <v>441</v>
      </c>
      <c r="G5205" s="61" t="n">
        <f aca="false">(Pressupostos!$G$259*(1+Pressupostos!$C$194))</f>
        <v>630</v>
      </c>
      <c r="H5205" s="2" t="s">
        <v>1183</v>
      </c>
    </row>
    <row r="5206" customFormat="false" ht="15" hidden="false" customHeight="false" outlineLevel="1" collapsed="false">
      <c r="A5206" s="7" t="s">
        <v>599</v>
      </c>
      <c r="B5206" s="8" t="s">
        <v>189</v>
      </c>
      <c r="C5206" s="61" t="n">
        <f aca="false">C5205*Pressupostos!$C$78</f>
        <v>18900</v>
      </c>
      <c r="D5206" s="61" t="n">
        <f aca="false">D5205*Pressupostos!$C$78</f>
        <v>70875</v>
      </c>
      <c r="E5206" s="61" t="n">
        <f aca="false">E5205*Pressupostos!$C$78</f>
        <v>189000</v>
      </c>
      <c r="F5206" s="61" t="n">
        <f aca="false">F5205*Pressupostos!$C$78</f>
        <v>330750</v>
      </c>
      <c r="G5206" s="61" t="n">
        <f aca="false">G5205*Pressupostos!$C$78</f>
        <v>472500</v>
      </c>
      <c r="H5206" s="2" t="s">
        <v>1184</v>
      </c>
    </row>
    <row r="5207" customFormat="false" ht="15" hidden="false" customHeight="false" outlineLevel="0" collapsed="false">
      <c r="A5207" s="3" t="s">
        <v>1185</v>
      </c>
      <c r="B5207" s="4"/>
      <c r="C5207" s="4"/>
      <c r="D5207" s="4"/>
      <c r="E5207" s="4"/>
      <c r="F5207" s="4"/>
      <c r="G5207" s="4"/>
      <c r="H5207" s="4"/>
    </row>
    <row r="5208" customFormat="false" ht="15" hidden="false" customHeight="false" outlineLevel="1" collapsed="false">
      <c r="A5208" s="7" t="s">
        <v>601</v>
      </c>
      <c r="B5208" s="8" t="s">
        <v>120</v>
      </c>
      <c r="C5208" s="55" t="n">
        <f aca="false">IF(C5192&lt;Pressupostos!$F$28,0,(Pressupostos!$C$265*(1+Pressupostos!$C$194)))</f>
        <v>0</v>
      </c>
      <c r="D5208" s="55" t="n">
        <f aca="false">IF(D5192&lt;Pressupostos!$F$28,0,(Pressupostos!$D$265*(1+Pressupostos!$C$194)))</f>
        <v>0</v>
      </c>
      <c r="E5208" s="55" t="n">
        <f aca="false">IF(E5192&lt;Pressupostos!$F$28,0,(Pressupostos!$E$265*(1+Pressupostos!$C$194)))</f>
        <v>0</v>
      </c>
      <c r="F5208" s="55" t="n">
        <f aca="false">IF(F5192&lt;Pressupostos!$F$28,0,(Pressupostos!$F$265*(1+Pressupostos!$C$194)))</f>
        <v>14</v>
      </c>
      <c r="G5208" s="55" t="n">
        <f aca="false">IF(G5192&lt;Pressupostos!$F$28,0,(Pressupostos!$G$265*(1+Pressupostos!$C$194)))</f>
        <v>35</v>
      </c>
      <c r="H5208" s="2" t="s">
        <v>1186</v>
      </c>
    </row>
    <row r="5209" customFormat="false" ht="15" hidden="false" customHeight="false" outlineLevel="0" collapsed="false">
      <c r="A5209" s="3" t="s">
        <v>1187</v>
      </c>
      <c r="B5209" s="4"/>
      <c r="C5209" s="4"/>
      <c r="D5209" s="4"/>
      <c r="E5209" s="4"/>
      <c r="F5209" s="4"/>
      <c r="G5209" s="4"/>
      <c r="H5209" s="4"/>
    </row>
    <row r="5210" customFormat="false" ht="15" hidden="false" customHeight="false" outlineLevel="1" collapsed="false">
      <c r="A5210" s="7" t="s">
        <v>603</v>
      </c>
      <c r="B5210" s="8" t="s">
        <v>11</v>
      </c>
      <c r="C5210" s="53" t="n">
        <f aca="false">Pressupostos!$C$271</f>
        <v>0</v>
      </c>
      <c r="D5210" s="53" t="n">
        <f aca="false">Pressupostos!$D$271</f>
        <v>500000</v>
      </c>
      <c r="E5210" s="53" t="n">
        <f aca="false">Pressupostos!$E$271</f>
        <v>1500000</v>
      </c>
      <c r="F5210" s="53" t="n">
        <f aca="false">Pressupostos!$F$271</f>
        <v>3000000</v>
      </c>
      <c r="G5210" s="53" t="n">
        <f aca="false">Pressupostos!$G$271</f>
        <v>5000000</v>
      </c>
      <c r="H5210" s="2" t="s">
        <v>1188</v>
      </c>
    </row>
    <row r="5211" customFormat="false" ht="15" hidden="false" customHeight="false" outlineLevel="1" collapsed="false">
      <c r="A5211" s="7" t="s">
        <v>604</v>
      </c>
      <c r="B5211" s="8" t="s">
        <v>120</v>
      </c>
      <c r="C5211" s="55" t="n">
        <f aca="false">C5210/(Pressupostos!$C$105*Pressupostos!$C$106)*Pressupostos!$C$102/1000</f>
        <v>0</v>
      </c>
      <c r="D5211" s="55" t="n">
        <f aca="false">D5210/(Pressupostos!$C$105*Pressupostos!$C$106)*Pressupostos!$C$102/1000</f>
        <v>457.142857142857</v>
      </c>
      <c r="E5211" s="55" t="n">
        <f aca="false">E5210/(Pressupostos!$C$105*Pressupostos!$C$106)*Pressupostos!$C$102/1000</f>
        <v>1371.42857142857</v>
      </c>
      <c r="F5211" s="55" t="n">
        <f aca="false">F5210/(Pressupostos!$C$105*Pressupostos!$C$106)*Pressupostos!$C$102/1000</f>
        <v>2742.85714285714</v>
      </c>
      <c r="G5211" s="55" t="n">
        <f aca="false">G5210/(Pressupostos!$C$105*Pressupostos!$C$106)*Pressupostos!$C$102/1000</f>
        <v>4571.42857142857</v>
      </c>
      <c r="H5211" s="2" t="s">
        <v>1189</v>
      </c>
    </row>
    <row r="5212" customFormat="false" ht="15" hidden="false" customHeight="false" outlineLevel="0" collapsed="false">
      <c r="A5212" s="3" t="s">
        <v>1190</v>
      </c>
      <c r="B5212" s="4"/>
      <c r="C5212" s="4"/>
      <c r="D5212" s="4"/>
      <c r="E5212" s="4"/>
      <c r="F5212" s="4"/>
      <c r="G5212" s="4"/>
      <c r="H5212" s="4"/>
    </row>
    <row r="5213" customFormat="false" ht="15" hidden="false" customHeight="false" outlineLevel="1" collapsed="false">
      <c r="A5213" s="7" t="s">
        <v>669</v>
      </c>
      <c r="B5213" s="8" t="s">
        <v>64</v>
      </c>
      <c r="C5213" s="63" t="n">
        <f aca="false">Pressupostos!$F$10+Pressupostos!$F$11</f>
        <v>3.65</v>
      </c>
      <c r="D5213" s="63" t="n">
        <f aca="false">Pressupostos!$F$10+Pressupostos!$F$11</f>
        <v>3.65</v>
      </c>
      <c r="E5213" s="63" t="n">
        <f aca="false">Pressupostos!$F$10+Pressupostos!$F$11</f>
        <v>3.65</v>
      </c>
      <c r="F5213" s="63" t="n">
        <f aca="false">Pressupostos!$F$10+Pressupostos!$F$11</f>
        <v>3.65</v>
      </c>
      <c r="G5213" s="63" t="n">
        <f aca="false">Pressupostos!$F$10+Pressupostos!$F$11</f>
        <v>3.65</v>
      </c>
      <c r="H5213" s="2" t="s">
        <v>1191</v>
      </c>
    </row>
    <row r="5214" customFormat="false" ht="15" hidden="false" customHeight="false" outlineLevel="1" collapsed="false">
      <c r="A5214" s="7" t="s">
        <v>670</v>
      </c>
      <c r="B5214" s="8" t="s">
        <v>64</v>
      </c>
      <c r="C5214" s="67" t="n">
        <f aca="false">Pressupostos!$F$15</f>
        <v>6</v>
      </c>
      <c r="D5214" s="67" t="n">
        <f aca="false">Pressupostos!$F$15</f>
        <v>6</v>
      </c>
      <c r="E5214" s="67" t="n">
        <f aca="false">Pressupostos!$F$15</f>
        <v>6</v>
      </c>
      <c r="F5214" s="67" t="n">
        <f aca="false">Pressupostos!$F$15</f>
        <v>6</v>
      </c>
      <c r="G5214" s="67" t="n">
        <f aca="false">Pressupostos!$F$15</f>
        <v>6</v>
      </c>
      <c r="H5214" s="2" t="s">
        <v>1192</v>
      </c>
    </row>
    <row r="5215" customFormat="false" ht="15" hidden="false" customHeight="false" outlineLevel="1" collapsed="false">
      <c r="A5215" s="56" t="s">
        <v>671</v>
      </c>
      <c r="B5215" s="57" t="s">
        <v>64</v>
      </c>
      <c r="C5215" s="68" t="n">
        <f aca="false">C5214*(1-Pressupostos!$F$16)</f>
        <v>5.4</v>
      </c>
      <c r="D5215" s="68" t="n">
        <f aca="false">D5214*(1-Pressupostos!$F$16)</f>
        <v>5.4</v>
      </c>
      <c r="E5215" s="68" t="n">
        <f aca="false">E5214*(1-Pressupostos!$F$16)</f>
        <v>5.4</v>
      </c>
      <c r="F5215" s="68" t="n">
        <f aca="false">F5214*(1-Pressupostos!$F$16)</f>
        <v>5.4</v>
      </c>
      <c r="G5215" s="68" t="n">
        <f aca="false">G5214*(1-Pressupostos!$F$16)</f>
        <v>5.4</v>
      </c>
      <c r="H5215" s="2" t="s">
        <v>1193</v>
      </c>
    </row>
    <row r="5216" customFormat="false" ht="15" hidden="false" customHeight="false" outlineLevel="1" collapsed="false">
      <c r="A5216" s="7" t="s">
        <v>144</v>
      </c>
      <c r="B5216" s="8" t="s">
        <v>64</v>
      </c>
      <c r="C5216" s="67" t="n">
        <f aca="false">Pressupostos!$C$38</f>
        <v>0.55</v>
      </c>
      <c r="D5216" s="67" t="n">
        <f aca="false">Pressupostos!$C$38</f>
        <v>0.55</v>
      </c>
      <c r="E5216" s="67" t="n">
        <f aca="false">Pressupostos!$C$38</f>
        <v>0.55</v>
      </c>
      <c r="F5216" s="67" t="n">
        <f aca="false">Pressupostos!$C$38</f>
        <v>0.55</v>
      </c>
      <c r="G5216" s="67" t="n">
        <f aca="false">Pressupostos!$C$38</f>
        <v>0.55</v>
      </c>
      <c r="H5216" s="2" t="s">
        <v>1194</v>
      </c>
    </row>
    <row r="5217" customFormat="false" ht="15" hidden="false" customHeight="false" outlineLevel="1" collapsed="false">
      <c r="A5217" s="7" t="s">
        <v>215</v>
      </c>
      <c r="B5217" s="8" t="s">
        <v>64</v>
      </c>
      <c r="C5217" s="67" t="n">
        <f aca="false">Pressupostos!$C$240</f>
        <v>0.3</v>
      </c>
      <c r="D5217" s="67" t="n">
        <f aca="false">Pressupostos!$D$240</f>
        <v>0.3</v>
      </c>
      <c r="E5217" s="67" t="n">
        <f aca="false">Pressupostos!$E$240</f>
        <v>0.28</v>
      </c>
      <c r="F5217" s="67" t="n">
        <f aca="false">Pressupostos!$F$240</f>
        <v>0.27</v>
      </c>
      <c r="G5217" s="67" t="n">
        <f aca="false">Pressupostos!$G$240</f>
        <v>0.27</v>
      </c>
      <c r="H5217" s="2" t="s">
        <v>1195</v>
      </c>
    </row>
    <row r="5218" customFormat="false" ht="15" hidden="false" customHeight="false" outlineLevel="1" collapsed="false">
      <c r="A5218" s="7" t="s">
        <v>117</v>
      </c>
      <c r="B5218" s="8" t="s">
        <v>64</v>
      </c>
      <c r="C5218" s="67" t="n">
        <f aca="false">Pressupostos!$C$39</f>
        <v>0.06</v>
      </c>
      <c r="D5218" s="67" t="n">
        <f aca="false">Pressupostos!$C$39</f>
        <v>0.06</v>
      </c>
      <c r="E5218" s="67" t="n">
        <f aca="false">Pressupostos!$C$39</f>
        <v>0.06</v>
      </c>
      <c r="F5218" s="67" t="n">
        <f aca="false">Pressupostos!$C$39</f>
        <v>0.06</v>
      </c>
      <c r="G5218" s="67" t="n">
        <f aca="false">Pressupostos!$C$39</f>
        <v>0.06</v>
      </c>
      <c r="H5218" s="2" t="s">
        <v>1196</v>
      </c>
    </row>
    <row r="5219" customFormat="false" ht="15" hidden="false" customHeight="false" outlineLevel="1" collapsed="false">
      <c r="A5219" s="7" t="s">
        <v>91</v>
      </c>
      <c r="B5219" s="8" t="s">
        <v>79</v>
      </c>
      <c r="C5219" s="69" t="n">
        <f aca="false">Pressupostos!$C$246</f>
        <v>180</v>
      </c>
      <c r="D5219" s="69" t="n">
        <f aca="false">Pressupostos!$D$246</f>
        <v>180</v>
      </c>
      <c r="E5219" s="69" t="n">
        <f aca="false">Pressupostos!$E$246</f>
        <v>45</v>
      </c>
      <c r="F5219" s="69" t="n">
        <f aca="false">Pressupostos!$F$246</f>
        <v>45</v>
      </c>
      <c r="G5219" s="69" t="n">
        <f aca="false">Pressupostos!$G$246</f>
        <v>45</v>
      </c>
      <c r="H5219" s="2" t="s">
        <v>1197</v>
      </c>
    </row>
    <row r="5220" customFormat="false" ht="15" hidden="false" customHeight="false" outlineLevel="1" collapsed="false">
      <c r="A5220" s="7" t="s">
        <v>78</v>
      </c>
      <c r="B5220" s="8" t="s">
        <v>79</v>
      </c>
      <c r="C5220" s="69" t="n">
        <f aca="false">Pressupostos!$F$17</f>
        <v>35</v>
      </c>
      <c r="D5220" s="69" t="n">
        <f aca="false">Pressupostos!$F$17</f>
        <v>35</v>
      </c>
      <c r="E5220" s="69" t="n">
        <f aca="false">Pressupostos!$F$17</f>
        <v>35</v>
      </c>
      <c r="F5220" s="69" t="n">
        <f aca="false">Pressupostos!$F$17</f>
        <v>35</v>
      </c>
      <c r="G5220" s="69" t="n">
        <f aca="false">Pressupostos!$F$17</f>
        <v>35</v>
      </c>
      <c r="H5220" s="2" t="s">
        <v>1198</v>
      </c>
    </row>
    <row r="5221" customFormat="false" ht="15" hidden="false" customHeight="false" outlineLevel="1" collapsed="false">
      <c r="A5221" s="7" t="s">
        <v>490</v>
      </c>
      <c r="B5221" s="8" t="s">
        <v>64</v>
      </c>
      <c r="C5221" s="63" t="n">
        <f aca="false">Pressupostos!$C$66*C5219/30/1000</f>
        <v>0.024</v>
      </c>
      <c r="D5221" s="63" t="n">
        <f aca="false">Pressupostos!$C$66*D5219/30/1000</f>
        <v>0.024</v>
      </c>
      <c r="E5221" s="63" t="n">
        <f aca="false">Pressupostos!$C$66*E5219/30/1000</f>
        <v>0.006</v>
      </c>
      <c r="F5221" s="63" t="n">
        <f aca="false">Pressupostos!$C$66*F5219/30/1000</f>
        <v>0.006</v>
      </c>
      <c r="G5221" s="63" t="n">
        <f aca="false">Pressupostos!$C$66*G5219/30/1000</f>
        <v>0.006</v>
      </c>
      <c r="H5221" s="2" t="s">
        <v>1199</v>
      </c>
    </row>
    <row r="5222" customFormat="false" ht="15" hidden="false" customHeight="false" outlineLevel="1" collapsed="false">
      <c r="A5222" s="7" t="s">
        <v>165</v>
      </c>
      <c r="B5222" s="8" t="s">
        <v>64</v>
      </c>
      <c r="C5222" s="63" t="n">
        <f aca="false">C5213*Pressupostos!$C$67*C5219/365</f>
        <v>0.0036</v>
      </c>
      <c r="D5222" s="63" t="n">
        <f aca="false">D5213*Pressupostos!$C$67*D5219/365</f>
        <v>0.0036</v>
      </c>
      <c r="E5222" s="63" t="n">
        <f aca="false">E5213*Pressupostos!$C$67*E5219/365</f>
        <v>0.0009</v>
      </c>
      <c r="F5222" s="63" t="n">
        <f aca="false">F5213*Pressupostos!$C$67*F5219/365</f>
        <v>0.0009</v>
      </c>
      <c r="G5222" s="63" t="n">
        <f aca="false">G5213*Pressupostos!$C$67*G5219/365</f>
        <v>0.0009</v>
      </c>
      <c r="H5222" s="2" t="s">
        <v>1200</v>
      </c>
    </row>
    <row r="5223" customFormat="false" ht="15" hidden="false" customHeight="false" outlineLevel="1" collapsed="false">
      <c r="A5223" s="7" t="s">
        <v>672</v>
      </c>
      <c r="B5223" s="8" t="s">
        <v>64</v>
      </c>
      <c r="C5223" s="63" t="n">
        <f aca="false">Pressupostos!$C$41*Pressupostos!$C$68/(Pressupostos!$C$40*1000)</f>
        <v>0.03</v>
      </c>
      <c r="D5223" s="63" t="n">
        <f aca="false">Pressupostos!$C$41*Pressupostos!$C$68/(Pressupostos!$C$40*1000)</f>
        <v>0.03</v>
      </c>
      <c r="E5223" s="63" t="n">
        <f aca="false">Pressupostos!$C$41*Pressupostos!$C$68/(Pressupostos!$C$40*1000)</f>
        <v>0.03</v>
      </c>
      <c r="F5223" s="63" t="n">
        <f aca="false">Pressupostos!$C$41*Pressupostos!$C$68/(Pressupostos!$C$40*1000)</f>
        <v>0.03</v>
      </c>
      <c r="G5223" s="63" t="n">
        <f aca="false">Pressupostos!$C$41*Pressupostos!$C$68/(Pressupostos!$C$40*1000)</f>
        <v>0.03</v>
      </c>
      <c r="H5223" s="2" t="s">
        <v>1201</v>
      </c>
    </row>
    <row r="5224" customFormat="false" ht="15" hidden="false" customHeight="false" outlineLevel="1" collapsed="false">
      <c r="A5224" s="7" t="s">
        <v>492</v>
      </c>
      <c r="B5224" s="8" t="s">
        <v>64</v>
      </c>
      <c r="C5224" s="63" t="n">
        <f aca="false">Pressupostos!$C$69*C5213</f>
        <v>0.01825</v>
      </c>
      <c r="D5224" s="63" t="n">
        <f aca="false">Pressupostos!$C$69*D5213</f>
        <v>0.01825</v>
      </c>
      <c r="E5224" s="63" t="n">
        <f aca="false">Pressupostos!$C$69*E5213</f>
        <v>0.01825</v>
      </c>
      <c r="F5224" s="63" t="n">
        <f aca="false">Pressupostos!$C$69*F5213</f>
        <v>0.01825</v>
      </c>
      <c r="G5224" s="63" t="n">
        <f aca="false">Pressupostos!$C$69*G5213</f>
        <v>0.01825</v>
      </c>
      <c r="H5224" s="2" t="s">
        <v>1202</v>
      </c>
    </row>
    <row r="5225" customFormat="false" ht="15" hidden="false" customHeight="false" outlineLevel="1" collapsed="false">
      <c r="A5225" s="7" t="s">
        <v>493</v>
      </c>
      <c r="B5225" s="8" t="s">
        <v>64</v>
      </c>
      <c r="C5225" s="63" t="n">
        <f aca="false">Pressupostos!$C$70*Pressupostos!$C$71*C5219/90</f>
        <v>0.018</v>
      </c>
      <c r="D5225" s="63" t="n">
        <f aca="false">Pressupostos!$C$70*Pressupostos!$C$71*D5219/90</f>
        <v>0.018</v>
      </c>
      <c r="E5225" s="63" t="n">
        <f aca="false">Pressupostos!$C$70*Pressupostos!$C$71*E5219/90</f>
        <v>0.0045</v>
      </c>
      <c r="F5225" s="63" t="n">
        <f aca="false">Pressupostos!$C$70*Pressupostos!$C$71*F5219/90</f>
        <v>0.0045</v>
      </c>
      <c r="G5225" s="63" t="n">
        <f aca="false">Pressupostos!$C$70*Pressupostos!$C$71*G5219/90</f>
        <v>0.0045</v>
      </c>
      <c r="H5225" s="2" t="s">
        <v>1203</v>
      </c>
    </row>
    <row r="5226" customFormat="false" ht="15" hidden="false" customHeight="false" outlineLevel="1" collapsed="false">
      <c r="A5226" s="7" t="s">
        <v>673</v>
      </c>
      <c r="B5226" s="8" t="s">
        <v>64</v>
      </c>
      <c r="C5226" s="63" t="n">
        <f aca="false">Pressupostos!$C$42/(Pressupostos!$C$40*1000)</f>
        <v>0.1</v>
      </c>
      <c r="D5226" s="63" t="n">
        <f aca="false">Pressupostos!$C$42/(Pressupostos!$C$40*1000)</f>
        <v>0.1</v>
      </c>
      <c r="E5226" s="63" t="n">
        <f aca="false">Pressupostos!$C$42/(Pressupostos!$C$40*1000)</f>
        <v>0.1</v>
      </c>
      <c r="F5226" s="63" t="n">
        <f aca="false">Pressupostos!$C$42/(Pressupostos!$C$40*1000)</f>
        <v>0.1</v>
      </c>
      <c r="G5226" s="63" t="n">
        <f aca="false">Pressupostos!$C$42/(Pressupostos!$C$40*1000)</f>
        <v>0.1</v>
      </c>
      <c r="H5226" s="2" t="s">
        <v>1204</v>
      </c>
    </row>
    <row r="5227" customFormat="false" ht="15" hidden="false" customHeight="false" outlineLevel="1" collapsed="false">
      <c r="A5227" s="7" t="s">
        <v>139</v>
      </c>
      <c r="B5227" s="8" t="s">
        <v>64</v>
      </c>
      <c r="C5227" s="67" t="n">
        <f aca="false">Pressupostos!$C$43</f>
        <v>0.01</v>
      </c>
      <c r="D5227" s="67" t="n">
        <f aca="false">Pressupostos!$C$43</f>
        <v>0.01</v>
      </c>
      <c r="E5227" s="67" t="n">
        <f aca="false">Pressupostos!$C$43</f>
        <v>0.01</v>
      </c>
      <c r="F5227" s="67" t="n">
        <f aca="false">Pressupostos!$C$43</f>
        <v>0.01</v>
      </c>
      <c r="G5227" s="67" t="n">
        <f aca="false">Pressupostos!$C$43</f>
        <v>0.01</v>
      </c>
      <c r="H5227" s="2" t="s">
        <v>1205</v>
      </c>
    </row>
    <row r="5228" customFormat="false" ht="15" hidden="false" customHeight="false" outlineLevel="1" collapsed="false">
      <c r="A5228" s="7" t="s">
        <v>81</v>
      </c>
      <c r="B5228" s="8" t="s">
        <v>64</v>
      </c>
      <c r="C5228" s="63" t="n">
        <f aca="false">Pressupostos!$F$18*C5215</f>
        <v>0.0324</v>
      </c>
      <c r="D5228" s="63" t="n">
        <f aca="false">Pressupostos!$F$18*D5215</f>
        <v>0.0324</v>
      </c>
      <c r="E5228" s="63" t="n">
        <f aca="false">Pressupostos!$F$18*E5215</f>
        <v>0.0324</v>
      </c>
      <c r="F5228" s="63" t="n">
        <f aca="false">Pressupostos!$F$18*F5215</f>
        <v>0.0324</v>
      </c>
      <c r="G5228" s="63" t="n">
        <f aca="false">Pressupostos!$F$18*G5215</f>
        <v>0.0324</v>
      </c>
      <c r="H5228" s="2" t="s">
        <v>1206</v>
      </c>
    </row>
    <row r="5229" customFormat="false" ht="15" hidden="false" customHeight="false" outlineLevel="1" collapsed="false">
      <c r="A5229" s="7" t="s">
        <v>674</v>
      </c>
      <c r="B5229" s="8" t="s">
        <v>64</v>
      </c>
      <c r="C5229" s="63" t="n">
        <f aca="false">Pressupostos!$C$73*C5215</f>
        <v>0</v>
      </c>
      <c r="D5229" s="63" t="n">
        <f aca="false">Pressupostos!$C$73*D5215</f>
        <v>0</v>
      </c>
      <c r="E5229" s="63" t="n">
        <f aca="false">Pressupostos!$C$73*E5215</f>
        <v>0</v>
      </c>
      <c r="F5229" s="63" t="n">
        <f aca="false">Pressupostos!$C$73*F5215</f>
        <v>0</v>
      </c>
      <c r="G5229" s="63" t="n">
        <f aca="false">Pressupostos!$C$73*G5215</f>
        <v>0</v>
      </c>
      <c r="H5229" s="2" t="s">
        <v>1207</v>
      </c>
    </row>
    <row r="5230" customFormat="false" ht="15" hidden="false" customHeight="false" outlineLevel="1" collapsed="false">
      <c r="A5230" s="7" t="s">
        <v>675</v>
      </c>
      <c r="B5230" s="8" t="s">
        <v>64</v>
      </c>
      <c r="C5230" s="63" t="n">
        <f aca="false">Pressupostos!$C$290*(C5213+C5216)*(C5219+C5220-Pressupostos!$C$72)/365*Pressupostos!$C$284/Pressupostos!$F$31</f>
        <v>0</v>
      </c>
      <c r="D5230" s="63" t="n">
        <f aca="false">Pressupostos!$D$290*(D5213+D5216)*(D5219+D5220-Pressupostos!$C$72)/365*Pressupostos!$D$284/Pressupostos!$F$31</f>
        <v>0.159657534246575</v>
      </c>
      <c r="E5230" s="63" t="n">
        <f aca="false">Pressupostos!$E$290*(E5213+E5216)*(E5219+E5220-Pressupostos!$C$72)/365*Pressupostos!$E$284/Pressupostos!$F$31</f>
        <v>0.0404537671232877</v>
      </c>
      <c r="F5230" s="63" t="n">
        <f aca="false">Pressupostos!$F$290*(F5213+F5216)*(F5219+F5220-Pressupostos!$C$72)/365*Pressupostos!$F$284/Pressupostos!$F$31</f>
        <v>0.0377568493150685</v>
      </c>
      <c r="G5230" s="63" t="n">
        <f aca="false">Pressupostos!$G$290*(G5213+G5216)*(G5219+G5220-Pressupostos!$C$72)/365*Pressupostos!$G$284/Pressupostos!$F$31</f>
        <v>0.0377568493150685</v>
      </c>
      <c r="H5230" s="2" t="s">
        <v>1208</v>
      </c>
    </row>
    <row r="5231" customFormat="false" ht="15" hidden="false" customHeight="false" outlineLevel="1" collapsed="false">
      <c r="A5231" s="7" t="s">
        <v>676</v>
      </c>
      <c r="B5231" s="8" t="s">
        <v>64</v>
      </c>
      <c r="C5231" s="63" t="n">
        <f aca="false">C5213+C5216+C5217+C5218+C5221+C5222+C5223+C5224+C5225+C5226+C5227+C5228+C5229+C5230</f>
        <v>4.79625</v>
      </c>
      <c r="D5231" s="63" t="n">
        <f aca="false">D5213+D5216+D5217+D5218+D5221+D5222+D5223+D5224+D5225+D5226+D5227+D5228+D5229+D5230</f>
        <v>4.95590753424657</v>
      </c>
      <c r="E5231" s="63" t="n">
        <f aca="false">E5213+E5216+E5217+E5218+E5221+E5222+E5223+E5224+E5225+E5226+E5227+E5228+E5229+E5230</f>
        <v>4.78250376712329</v>
      </c>
      <c r="F5231" s="63" t="n">
        <f aca="false">F5213+F5216+F5217+F5218+F5221+F5222+F5223+F5224+F5225+F5226+F5227+F5228+F5229+F5230</f>
        <v>4.76980684931507</v>
      </c>
      <c r="G5231" s="63" t="n">
        <f aca="false">G5213+G5216+G5217+G5218+G5221+G5222+G5223+G5224+G5225+G5226+G5227+G5228+G5229+G5230</f>
        <v>4.76980684931507</v>
      </c>
      <c r="H5231" s="2" t="s">
        <v>1209</v>
      </c>
    </row>
    <row r="5232" customFormat="false" ht="15" hidden="false" customHeight="false" outlineLevel="1" collapsed="false">
      <c r="A5232" s="56" t="s">
        <v>677</v>
      </c>
      <c r="B5232" s="57" t="s">
        <v>64</v>
      </c>
      <c r="C5232" s="68" t="n">
        <f aca="false">C5215-C5231</f>
        <v>0.603750000000002</v>
      </c>
      <c r="D5232" s="68" t="n">
        <f aca="false">D5215-D5231</f>
        <v>0.444092465753426</v>
      </c>
      <c r="E5232" s="68" t="n">
        <f aca="false">E5215-E5231</f>
        <v>0.617496232876713</v>
      </c>
      <c r="F5232" s="68" t="n">
        <f aca="false">F5215-F5231</f>
        <v>0.630193150684931</v>
      </c>
      <c r="G5232" s="68" t="n">
        <f aca="false">G5215-G5231</f>
        <v>0.630193150684931</v>
      </c>
      <c r="H5232" s="2" t="s">
        <v>1210</v>
      </c>
    </row>
    <row r="5233" customFormat="false" ht="15" hidden="false" customHeight="false" outlineLevel="1" collapsed="false">
      <c r="A5233" s="7" t="s">
        <v>678</v>
      </c>
      <c r="B5233" s="8" t="s">
        <v>76</v>
      </c>
      <c r="C5233" s="59" t="n">
        <f aca="false">IF(C5215&gt;0,C5232/C5215,0)</f>
        <v>0.111805555555556</v>
      </c>
      <c r="D5233" s="59" t="n">
        <f aca="false">IF(D5215&gt;0,D5232/D5215,0)</f>
        <v>0.0822393455098938</v>
      </c>
      <c r="E5233" s="59" t="n">
        <f aca="false">IF(E5215&gt;0,E5232/E5215,0)</f>
        <v>0.114351154236428</v>
      </c>
      <c r="F5233" s="59" t="n">
        <f aca="false">IF(F5215&gt;0,F5232/F5215,0)</f>
        <v>0.116702435312024</v>
      </c>
      <c r="G5233" s="59" t="n">
        <f aca="false">IF(G5215&gt;0,G5232/G5215,0)</f>
        <v>0.116702435312024</v>
      </c>
      <c r="H5233" s="2" t="s">
        <v>1211</v>
      </c>
    </row>
    <row r="5234" customFormat="false" ht="15" hidden="false" customHeight="false" outlineLevel="1" collapsed="false">
      <c r="A5234" s="7" t="s">
        <v>679</v>
      </c>
      <c r="B5234" s="8" t="s">
        <v>64</v>
      </c>
      <c r="C5234" s="63" t="n">
        <f aca="false">(C5213+C5216)*(C5219-Pressupostos!$C$72)/365+C5215*C5220/365</f>
        <v>2.24383561643836</v>
      </c>
      <c r="D5234" s="63" t="n">
        <f aca="false">(D5213+D5216)*(D5219-Pressupostos!$C$72)/365+D5215*D5220/365</f>
        <v>2.24383561643836</v>
      </c>
      <c r="E5234" s="63" t="n">
        <f aca="false">(E5213+E5216)*(E5219-Pressupostos!$C$72)/365+E5215*E5220/365</f>
        <v>0.69041095890411</v>
      </c>
      <c r="F5234" s="63" t="n">
        <f aca="false">(F5213+F5216)*(F5219-Pressupostos!$C$72)/365+F5215*F5220/365</f>
        <v>0.69041095890411</v>
      </c>
      <c r="G5234" s="63" t="n">
        <f aca="false">(G5213+G5216)*(G5219-Pressupostos!$C$72)/365+G5215*G5220/365</f>
        <v>0.69041095890411</v>
      </c>
      <c r="H5234" s="2" t="s">
        <v>1212</v>
      </c>
    </row>
    <row r="5235" customFormat="false" ht="15" hidden="false" customHeight="false" outlineLevel="0" collapsed="false">
      <c r="A5235" s="3" t="s">
        <v>1213</v>
      </c>
      <c r="B5235" s="4"/>
      <c r="C5235" s="4"/>
      <c r="D5235" s="4"/>
      <c r="E5235" s="4"/>
      <c r="F5235" s="4"/>
      <c r="G5235" s="4"/>
      <c r="H5235" s="4"/>
    </row>
    <row r="5236" customFormat="false" ht="15" hidden="false" customHeight="false" outlineLevel="1" collapsed="false">
      <c r="A5236" s="7" t="s">
        <v>669</v>
      </c>
      <c r="B5236" s="8" t="s">
        <v>64</v>
      </c>
      <c r="C5236" s="63" t="n">
        <f aca="false">Pressupostos!$F$10+Pressupostos!$F$12</f>
        <v>3.6</v>
      </c>
      <c r="D5236" s="63" t="n">
        <f aca="false">Pressupostos!$F$10+Pressupostos!$F$12</f>
        <v>3.6</v>
      </c>
      <c r="E5236" s="63" t="n">
        <f aca="false">Pressupostos!$F$10+Pressupostos!$F$12</f>
        <v>3.6</v>
      </c>
      <c r="F5236" s="63" t="n">
        <f aca="false">Pressupostos!$F$10+Pressupostos!$F$12</f>
        <v>3.6</v>
      </c>
      <c r="G5236" s="63" t="n">
        <f aca="false">Pressupostos!$F$10+Pressupostos!$F$12</f>
        <v>3.6</v>
      </c>
      <c r="H5236" s="2" t="s">
        <v>1214</v>
      </c>
    </row>
    <row r="5237" customFormat="false" ht="15" hidden="false" customHeight="false" outlineLevel="1" collapsed="false">
      <c r="A5237" s="7" t="s">
        <v>670</v>
      </c>
      <c r="B5237" s="8" t="s">
        <v>64</v>
      </c>
      <c r="C5237" s="63" t="n">
        <f aca="false">Pressupostos!$F$20+Pressupostos!$F$21</f>
        <v>4.45</v>
      </c>
      <c r="D5237" s="63" t="n">
        <f aca="false">Pressupostos!$F$20+Pressupostos!$F$21</f>
        <v>4.45</v>
      </c>
      <c r="E5237" s="63" t="n">
        <f aca="false">Pressupostos!$F$20+Pressupostos!$F$21</f>
        <v>4.45</v>
      </c>
      <c r="F5237" s="63" t="n">
        <f aca="false">Pressupostos!$F$20+Pressupostos!$F$21</f>
        <v>4.45</v>
      </c>
      <c r="G5237" s="63" t="n">
        <f aca="false">Pressupostos!$F$20+Pressupostos!$F$21</f>
        <v>4.45</v>
      </c>
      <c r="H5237" s="2" t="s">
        <v>1215</v>
      </c>
    </row>
    <row r="5238" customFormat="false" ht="15" hidden="false" customHeight="false" outlineLevel="1" collapsed="false">
      <c r="A5238" s="56" t="s">
        <v>671</v>
      </c>
      <c r="B5238" s="57" t="s">
        <v>64</v>
      </c>
      <c r="C5238" s="68" t="n">
        <f aca="false">C5237*(1-Pressupostos!$F$22)</f>
        <v>4.45</v>
      </c>
      <c r="D5238" s="68" t="n">
        <f aca="false">D5237*(1-Pressupostos!$F$22)</f>
        <v>4.45</v>
      </c>
      <c r="E5238" s="68" t="n">
        <f aca="false">E5237*(1-Pressupostos!$F$22)</f>
        <v>4.45</v>
      </c>
      <c r="F5238" s="68" t="n">
        <f aca="false">F5237*(1-Pressupostos!$F$22)</f>
        <v>4.45</v>
      </c>
      <c r="G5238" s="68" t="n">
        <f aca="false">G5237*(1-Pressupostos!$F$22)</f>
        <v>4.45</v>
      </c>
      <c r="H5238" s="2" t="s">
        <v>1216</v>
      </c>
    </row>
    <row r="5239" customFormat="false" ht="15" hidden="false" customHeight="false" outlineLevel="1" collapsed="false">
      <c r="A5239" s="7" t="s">
        <v>144</v>
      </c>
      <c r="B5239" s="8" t="s">
        <v>64</v>
      </c>
      <c r="C5239" s="67" t="n">
        <f aca="false">Pressupostos!$C$45</f>
        <v>0.45</v>
      </c>
      <c r="D5239" s="67" t="n">
        <f aca="false">Pressupostos!$C$45</f>
        <v>0.45</v>
      </c>
      <c r="E5239" s="67" t="n">
        <f aca="false">Pressupostos!$C$45</f>
        <v>0.45</v>
      </c>
      <c r="F5239" s="67" t="n">
        <f aca="false">Pressupostos!$C$45</f>
        <v>0.45</v>
      </c>
      <c r="G5239" s="67" t="n">
        <f aca="false">Pressupostos!$C$45</f>
        <v>0.45</v>
      </c>
      <c r="H5239" s="2" t="s">
        <v>1217</v>
      </c>
    </row>
    <row r="5240" customFormat="false" ht="15" hidden="false" customHeight="false" outlineLevel="1" collapsed="false">
      <c r="A5240" s="7" t="s">
        <v>215</v>
      </c>
      <c r="B5240" s="8" t="s">
        <v>64</v>
      </c>
      <c r="C5240" s="67" t="n">
        <f aca="false">Pressupostos!$C$252</f>
        <v>0.1</v>
      </c>
      <c r="D5240" s="67" t="n">
        <f aca="false">Pressupostos!$D$252</f>
        <v>0.1</v>
      </c>
      <c r="E5240" s="67" t="n">
        <f aca="false">Pressupostos!$E$252</f>
        <v>0.09</v>
      </c>
      <c r="F5240" s="67" t="n">
        <f aca="false">Pressupostos!$F$252</f>
        <v>0.09</v>
      </c>
      <c r="G5240" s="67" t="n">
        <f aca="false">Pressupostos!$G$252</f>
        <v>0.09</v>
      </c>
      <c r="H5240" s="2" t="s">
        <v>1218</v>
      </c>
    </row>
    <row r="5241" customFormat="false" ht="15" hidden="false" customHeight="false" outlineLevel="1" collapsed="false">
      <c r="A5241" s="7" t="s">
        <v>117</v>
      </c>
      <c r="B5241" s="8" t="s">
        <v>64</v>
      </c>
      <c r="C5241" s="67" t="n">
        <f aca="false">Pressupostos!$C$46</f>
        <v>0</v>
      </c>
      <c r="D5241" s="67" t="n">
        <f aca="false">Pressupostos!$C$46</f>
        <v>0</v>
      </c>
      <c r="E5241" s="67" t="n">
        <f aca="false">Pressupostos!$C$46</f>
        <v>0</v>
      </c>
      <c r="F5241" s="67" t="n">
        <f aca="false">Pressupostos!$C$46</f>
        <v>0</v>
      </c>
      <c r="G5241" s="67" t="n">
        <f aca="false">Pressupostos!$C$46</f>
        <v>0</v>
      </c>
      <c r="H5241" s="2" t="s">
        <v>1219</v>
      </c>
    </row>
    <row r="5242" customFormat="false" ht="15" hidden="false" customHeight="false" outlineLevel="1" collapsed="false">
      <c r="A5242" s="7" t="s">
        <v>91</v>
      </c>
      <c r="B5242" s="8" t="s">
        <v>79</v>
      </c>
      <c r="C5242" s="69" t="n">
        <f aca="false">Pressupostos!$F$23</f>
        <v>30</v>
      </c>
      <c r="D5242" s="69" t="n">
        <f aca="false">Pressupostos!$F$23</f>
        <v>30</v>
      </c>
      <c r="E5242" s="69" t="n">
        <f aca="false">Pressupostos!$F$23</f>
        <v>30</v>
      </c>
      <c r="F5242" s="69" t="n">
        <f aca="false">Pressupostos!$F$23</f>
        <v>30</v>
      </c>
      <c r="G5242" s="69" t="n">
        <f aca="false">Pressupostos!$F$23</f>
        <v>30</v>
      </c>
      <c r="H5242" s="2" t="s">
        <v>1220</v>
      </c>
    </row>
    <row r="5243" customFormat="false" ht="15" hidden="false" customHeight="false" outlineLevel="1" collapsed="false">
      <c r="A5243" s="7" t="s">
        <v>78</v>
      </c>
      <c r="B5243" s="8" t="s">
        <v>79</v>
      </c>
      <c r="C5243" s="69" t="n">
        <f aca="false">Pressupostos!$F$24</f>
        <v>55</v>
      </c>
      <c r="D5243" s="69" t="n">
        <f aca="false">Pressupostos!$F$24</f>
        <v>55</v>
      </c>
      <c r="E5243" s="69" t="n">
        <f aca="false">Pressupostos!$F$24</f>
        <v>55</v>
      </c>
      <c r="F5243" s="69" t="n">
        <f aca="false">Pressupostos!$F$24</f>
        <v>55</v>
      </c>
      <c r="G5243" s="69" t="n">
        <f aca="false">Pressupostos!$F$24</f>
        <v>55</v>
      </c>
      <c r="H5243" s="2" t="s">
        <v>1221</v>
      </c>
    </row>
    <row r="5244" customFormat="false" ht="15" hidden="false" customHeight="false" outlineLevel="1" collapsed="false">
      <c r="A5244" s="7" t="s">
        <v>490</v>
      </c>
      <c r="B5244" s="8" t="s">
        <v>64</v>
      </c>
      <c r="C5244" s="63" t="n">
        <f aca="false">Pressupostos!$C$66*C5242/30/1000</f>
        <v>0.004</v>
      </c>
      <c r="D5244" s="63" t="n">
        <f aca="false">Pressupostos!$C$66*D5242/30/1000</f>
        <v>0.004</v>
      </c>
      <c r="E5244" s="63" t="n">
        <f aca="false">Pressupostos!$C$66*E5242/30/1000</f>
        <v>0.004</v>
      </c>
      <c r="F5244" s="63" t="n">
        <f aca="false">Pressupostos!$C$66*F5242/30/1000</f>
        <v>0.004</v>
      </c>
      <c r="G5244" s="63" t="n">
        <f aca="false">Pressupostos!$C$66*G5242/30/1000</f>
        <v>0.004</v>
      </c>
      <c r="H5244" s="2" t="s">
        <v>1222</v>
      </c>
    </row>
    <row r="5245" customFormat="false" ht="15" hidden="false" customHeight="false" outlineLevel="1" collapsed="false">
      <c r="A5245" s="7" t="s">
        <v>165</v>
      </c>
      <c r="B5245" s="8" t="s">
        <v>64</v>
      </c>
      <c r="C5245" s="63" t="n">
        <f aca="false">C5236*Pressupostos!$C$67*C5242/365</f>
        <v>0.000591780821917808</v>
      </c>
      <c r="D5245" s="63" t="n">
        <f aca="false">D5236*Pressupostos!$C$67*D5242/365</f>
        <v>0.000591780821917808</v>
      </c>
      <c r="E5245" s="63" t="n">
        <f aca="false">E5236*Pressupostos!$C$67*E5242/365</f>
        <v>0.000591780821917808</v>
      </c>
      <c r="F5245" s="63" t="n">
        <f aca="false">F5236*Pressupostos!$C$67*F5242/365</f>
        <v>0.000591780821917808</v>
      </c>
      <c r="G5245" s="63" t="n">
        <f aca="false">G5236*Pressupostos!$C$67*G5242/365</f>
        <v>0.000591780821917808</v>
      </c>
      <c r="H5245" s="2" t="s">
        <v>1223</v>
      </c>
    </row>
    <row r="5246" customFormat="false" ht="15" hidden="false" customHeight="false" outlineLevel="1" collapsed="false">
      <c r="A5246" s="7" t="s">
        <v>672</v>
      </c>
      <c r="B5246" s="8" t="s">
        <v>64</v>
      </c>
      <c r="C5246" s="63" t="n">
        <f aca="false">Pressupostos!$C$48*Pressupostos!$C$68/(Pressupostos!$C$47*1000)</f>
        <v>0.02</v>
      </c>
      <c r="D5246" s="63" t="n">
        <f aca="false">Pressupostos!$C$48*Pressupostos!$C$68/(Pressupostos!$C$47*1000)</f>
        <v>0.02</v>
      </c>
      <c r="E5246" s="63" t="n">
        <f aca="false">Pressupostos!$C$48*Pressupostos!$C$68/(Pressupostos!$C$47*1000)</f>
        <v>0.02</v>
      </c>
      <c r="F5246" s="63" t="n">
        <f aca="false">Pressupostos!$C$48*Pressupostos!$C$68/(Pressupostos!$C$47*1000)</f>
        <v>0.02</v>
      </c>
      <c r="G5246" s="63" t="n">
        <f aca="false">Pressupostos!$C$48*Pressupostos!$C$68/(Pressupostos!$C$47*1000)</f>
        <v>0.02</v>
      </c>
      <c r="H5246" s="2" t="s">
        <v>1224</v>
      </c>
    </row>
    <row r="5247" customFormat="false" ht="15" hidden="false" customHeight="false" outlineLevel="1" collapsed="false">
      <c r="A5247" s="7" t="s">
        <v>492</v>
      </c>
      <c r="B5247" s="8" t="s">
        <v>64</v>
      </c>
      <c r="C5247" s="63" t="n">
        <f aca="false">Pressupostos!$C$69*C5236</f>
        <v>0.018</v>
      </c>
      <c r="D5247" s="63" t="n">
        <f aca="false">Pressupostos!$C$69*D5236</f>
        <v>0.018</v>
      </c>
      <c r="E5247" s="63" t="n">
        <f aca="false">Pressupostos!$C$69*E5236</f>
        <v>0.018</v>
      </c>
      <c r="F5247" s="63" t="n">
        <f aca="false">Pressupostos!$C$69*F5236</f>
        <v>0.018</v>
      </c>
      <c r="G5247" s="63" t="n">
        <f aca="false">Pressupostos!$C$69*G5236</f>
        <v>0.018</v>
      </c>
      <c r="H5247" s="2" t="s">
        <v>1225</v>
      </c>
    </row>
    <row r="5248" customFormat="false" ht="15" hidden="false" customHeight="false" outlineLevel="1" collapsed="false">
      <c r="A5248" s="7" t="s">
        <v>493</v>
      </c>
      <c r="B5248" s="8" t="s">
        <v>64</v>
      </c>
      <c r="C5248" s="63" t="n">
        <f aca="false">Pressupostos!$C$70*Pressupostos!$C$71*C5242/90</f>
        <v>0.003</v>
      </c>
      <c r="D5248" s="63" t="n">
        <f aca="false">Pressupostos!$C$70*Pressupostos!$C$71*D5242/90</f>
        <v>0.003</v>
      </c>
      <c r="E5248" s="63" t="n">
        <f aca="false">Pressupostos!$C$70*Pressupostos!$C$71*E5242/90</f>
        <v>0.003</v>
      </c>
      <c r="F5248" s="63" t="n">
        <f aca="false">Pressupostos!$C$70*Pressupostos!$C$71*F5242/90</f>
        <v>0.003</v>
      </c>
      <c r="G5248" s="63" t="n">
        <f aca="false">Pressupostos!$C$70*Pressupostos!$C$71*G5242/90</f>
        <v>0.003</v>
      </c>
      <c r="H5248" s="2" t="s">
        <v>1226</v>
      </c>
    </row>
    <row r="5249" customFormat="false" ht="15" hidden="false" customHeight="false" outlineLevel="1" collapsed="false">
      <c r="A5249" s="7" t="s">
        <v>673</v>
      </c>
      <c r="B5249" s="8" t="s">
        <v>64</v>
      </c>
      <c r="C5249" s="63" t="n">
        <f aca="false">Pressupostos!$C$49/(Pressupostos!$C$47*1000)</f>
        <v>0.04</v>
      </c>
      <c r="D5249" s="63" t="n">
        <f aca="false">Pressupostos!$C$49/(Pressupostos!$C$47*1000)</f>
        <v>0.04</v>
      </c>
      <c r="E5249" s="63" t="n">
        <f aca="false">Pressupostos!$C$49/(Pressupostos!$C$47*1000)</f>
        <v>0.04</v>
      </c>
      <c r="F5249" s="63" t="n">
        <f aca="false">Pressupostos!$C$49/(Pressupostos!$C$47*1000)</f>
        <v>0.04</v>
      </c>
      <c r="G5249" s="63" t="n">
        <f aca="false">Pressupostos!$C$49/(Pressupostos!$C$47*1000)</f>
        <v>0.04</v>
      </c>
      <c r="H5249" s="2" t="s">
        <v>1227</v>
      </c>
    </row>
    <row r="5250" customFormat="false" ht="15" hidden="false" customHeight="false" outlineLevel="1" collapsed="false">
      <c r="A5250" s="7" t="s">
        <v>139</v>
      </c>
      <c r="B5250" s="8" t="s">
        <v>64</v>
      </c>
      <c r="C5250" s="67" t="n">
        <f aca="false">Pressupostos!$C$50</f>
        <v>0.005</v>
      </c>
      <c r="D5250" s="67" t="n">
        <f aca="false">Pressupostos!$C$50</f>
        <v>0.005</v>
      </c>
      <c r="E5250" s="67" t="n">
        <f aca="false">Pressupostos!$C$50</f>
        <v>0.005</v>
      </c>
      <c r="F5250" s="67" t="n">
        <f aca="false">Pressupostos!$C$50</f>
        <v>0.005</v>
      </c>
      <c r="G5250" s="67" t="n">
        <f aca="false">Pressupostos!$C$50</f>
        <v>0.005</v>
      </c>
      <c r="H5250" s="2" t="s">
        <v>1228</v>
      </c>
    </row>
    <row r="5251" customFormat="false" ht="15" hidden="false" customHeight="false" outlineLevel="1" collapsed="false">
      <c r="A5251" s="7" t="s">
        <v>81</v>
      </c>
      <c r="B5251" s="8" t="s">
        <v>64</v>
      </c>
      <c r="C5251" s="63" t="n">
        <f aca="false">Pressupostos!$F$25*C5238</f>
        <v>0.01335</v>
      </c>
      <c r="D5251" s="63" t="n">
        <f aca="false">Pressupostos!$F$25*D5238</f>
        <v>0.01335</v>
      </c>
      <c r="E5251" s="63" t="n">
        <f aca="false">Pressupostos!$F$25*E5238</f>
        <v>0.01335</v>
      </c>
      <c r="F5251" s="63" t="n">
        <f aca="false">Pressupostos!$F$25*F5238</f>
        <v>0.01335</v>
      </c>
      <c r="G5251" s="63" t="n">
        <f aca="false">Pressupostos!$F$25*G5238</f>
        <v>0.01335</v>
      </c>
      <c r="H5251" s="2" t="s">
        <v>1229</v>
      </c>
    </row>
    <row r="5252" customFormat="false" ht="15" hidden="false" customHeight="false" outlineLevel="1" collapsed="false">
      <c r="A5252" s="7" t="s">
        <v>674</v>
      </c>
      <c r="B5252" s="8" t="s">
        <v>64</v>
      </c>
      <c r="C5252" s="63" t="n">
        <f aca="false">Pressupostos!$C$73*C5238</f>
        <v>0</v>
      </c>
      <c r="D5252" s="63" t="n">
        <f aca="false">Pressupostos!$C$73*D5238</f>
        <v>0</v>
      </c>
      <c r="E5252" s="63" t="n">
        <f aca="false">Pressupostos!$C$73*E5238</f>
        <v>0</v>
      </c>
      <c r="F5252" s="63" t="n">
        <f aca="false">Pressupostos!$C$73*F5238</f>
        <v>0</v>
      </c>
      <c r="G5252" s="63" t="n">
        <f aca="false">Pressupostos!$C$73*G5238</f>
        <v>0</v>
      </c>
      <c r="H5252" s="2" t="s">
        <v>1230</v>
      </c>
    </row>
    <row r="5253" customFormat="false" ht="15" hidden="false" customHeight="false" outlineLevel="1" collapsed="false">
      <c r="A5253" s="7" t="s">
        <v>675</v>
      </c>
      <c r="B5253" s="8" t="s">
        <v>64</v>
      </c>
      <c r="C5253" s="63" t="n">
        <f aca="false">Pressupostos!$C$290*(C5236+C5239)*(C5242+C5243-Pressupostos!$C$72)/365*Pressupostos!$C$284/Pressupostos!$F$31</f>
        <v>0</v>
      </c>
      <c r="D5253" s="63" t="n">
        <f aca="false">Pressupostos!$D$290*(D5236+D5239)*(D5242+D5243-Pressupostos!$C$72)/365*Pressupostos!$D$284/Pressupostos!$F$31</f>
        <v>0.0457705479452055</v>
      </c>
      <c r="E5253" s="63" t="n">
        <f aca="false">Pressupostos!$E$290*(E5236+E5239)*(E5242+E5243-Pressupostos!$C$72)/365*Pressupostos!$E$284/Pressupostos!$F$31</f>
        <v>0.0429098886986301</v>
      </c>
      <c r="F5253" s="63" t="n">
        <f aca="false">Pressupostos!$F$290*(F5236+F5239)*(F5242+F5243-Pressupostos!$C$72)/365*Pressupostos!$F$284/Pressupostos!$F$31</f>
        <v>0.0400492294520548</v>
      </c>
      <c r="G5253" s="63" t="n">
        <f aca="false">Pressupostos!$G$290*(G5236+G5239)*(G5242+G5243-Pressupostos!$C$72)/365*Pressupostos!$G$284/Pressupostos!$F$31</f>
        <v>0.0400492294520548</v>
      </c>
      <c r="H5253" s="2" t="s">
        <v>1231</v>
      </c>
    </row>
    <row r="5254" customFormat="false" ht="15" hidden="false" customHeight="false" outlineLevel="1" collapsed="false">
      <c r="A5254" s="7" t="s">
        <v>676</v>
      </c>
      <c r="B5254" s="8" t="s">
        <v>64</v>
      </c>
      <c r="C5254" s="63" t="n">
        <f aca="false">C5236+C5239+C5240+C5241+C5244+C5245+C5246+C5247+C5248+C5249+C5250+C5251+C5252+C5253</f>
        <v>4.25394178082192</v>
      </c>
      <c r="D5254" s="63" t="n">
        <f aca="false">D5236+D5239+D5240+D5241+D5244+D5245+D5246+D5247+D5248+D5249+D5250+D5251+D5252+D5253</f>
        <v>4.29971232876712</v>
      </c>
      <c r="E5254" s="63" t="n">
        <f aca="false">E5236+E5239+E5240+E5241+E5244+E5245+E5246+E5247+E5248+E5249+E5250+E5251+E5252+E5253</f>
        <v>4.28685166952055</v>
      </c>
      <c r="F5254" s="63" t="n">
        <f aca="false">F5236+F5239+F5240+F5241+F5244+F5245+F5246+F5247+F5248+F5249+F5250+F5251+F5252+F5253</f>
        <v>4.28399101027397</v>
      </c>
      <c r="G5254" s="63" t="n">
        <f aca="false">G5236+G5239+G5240+G5241+G5244+G5245+G5246+G5247+G5248+G5249+G5250+G5251+G5252+G5253</f>
        <v>4.28399101027397</v>
      </c>
      <c r="H5254" s="2" t="s">
        <v>1232</v>
      </c>
    </row>
    <row r="5255" customFormat="false" ht="15" hidden="false" customHeight="false" outlineLevel="1" collapsed="false">
      <c r="A5255" s="56" t="s">
        <v>677</v>
      </c>
      <c r="B5255" s="57" t="s">
        <v>64</v>
      </c>
      <c r="C5255" s="68" t="n">
        <f aca="false">C5238-C5254</f>
        <v>0.196058219178083</v>
      </c>
      <c r="D5255" s="68" t="n">
        <f aca="false">D5238-D5254</f>
        <v>0.150287671232877</v>
      </c>
      <c r="E5255" s="68" t="n">
        <f aca="false">E5238-E5254</f>
        <v>0.163148330479452</v>
      </c>
      <c r="F5255" s="68" t="n">
        <f aca="false">F5238-F5254</f>
        <v>0.166008989726028</v>
      </c>
      <c r="G5255" s="68" t="n">
        <f aca="false">G5238-G5254</f>
        <v>0.166008989726028</v>
      </c>
      <c r="H5255" s="2" t="s">
        <v>1233</v>
      </c>
    </row>
    <row r="5256" customFormat="false" ht="15" hidden="false" customHeight="false" outlineLevel="1" collapsed="false">
      <c r="A5256" s="7" t="s">
        <v>678</v>
      </c>
      <c r="B5256" s="8" t="s">
        <v>76</v>
      </c>
      <c r="C5256" s="59" t="n">
        <f aca="false">IF(C5238&gt;0,C5255/C5238,0)</f>
        <v>0.0440580267815916</v>
      </c>
      <c r="D5256" s="59" t="n">
        <f aca="false">IF(D5238&gt;0,D5255/D5238,0)</f>
        <v>0.0337725103894105</v>
      </c>
      <c r="E5256" s="59" t="n">
        <f aca="false">IF(E5238&gt;0,E5255/E5238,0)</f>
        <v>0.0366625461751578</v>
      </c>
      <c r="F5256" s="59" t="n">
        <f aca="false">IF(F5238&gt;0,F5255/F5238,0)</f>
        <v>0.0373053909496692</v>
      </c>
      <c r="G5256" s="59" t="n">
        <f aca="false">IF(G5238&gt;0,G5255/G5238,0)</f>
        <v>0.0373053909496692</v>
      </c>
      <c r="H5256" s="2" t="s">
        <v>1234</v>
      </c>
    </row>
    <row r="5257" customFormat="false" ht="15" hidden="false" customHeight="false" outlineLevel="1" collapsed="false">
      <c r="A5257" s="7" t="s">
        <v>679</v>
      </c>
      <c r="B5257" s="8" t="s">
        <v>64</v>
      </c>
      <c r="C5257" s="63" t="n">
        <f aca="false">(C5236+C5239)*(C5242-Pressupostos!$C$72)/365+C5238*C5243/365</f>
        <v>0.670547945205479</v>
      </c>
      <c r="D5257" s="63" t="n">
        <f aca="false">(D5236+D5239)*(D5242-Pressupostos!$C$72)/365+D5238*D5243/365</f>
        <v>0.670547945205479</v>
      </c>
      <c r="E5257" s="63" t="n">
        <f aca="false">(E5236+E5239)*(E5242-Pressupostos!$C$72)/365+E5238*E5243/365</f>
        <v>0.670547945205479</v>
      </c>
      <c r="F5257" s="63" t="n">
        <f aca="false">(F5236+F5239)*(F5242-Pressupostos!$C$72)/365+F5238*F5243/365</f>
        <v>0.670547945205479</v>
      </c>
      <c r="G5257" s="63" t="n">
        <f aca="false">(G5236+G5239)*(G5242-Pressupostos!$C$72)/365+G5238*G5243/365</f>
        <v>0.670547945205479</v>
      </c>
      <c r="H5257" s="2" t="s">
        <v>1235</v>
      </c>
    </row>
    <row r="5258" customFormat="false" ht="15" hidden="false" customHeight="false" outlineLevel="0" collapsed="false">
      <c r="A5258" s="3" t="s">
        <v>1236</v>
      </c>
      <c r="B5258" s="4"/>
      <c r="C5258" s="4"/>
      <c r="D5258" s="4"/>
      <c r="E5258" s="4"/>
      <c r="F5258" s="4"/>
      <c r="G5258" s="4"/>
      <c r="H5258" s="4"/>
    </row>
    <row r="5259" customFormat="false" ht="15" hidden="false" customHeight="false" outlineLevel="1" collapsed="false">
      <c r="A5259" s="7" t="s">
        <v>669</v>
      </c>
      <c r="B5259" s="8" t="s">
        <v>64</v>
      </c>
      <c r="C5259" s="63" t="n">
        <f aca="false">Pressupostos!$F$10+Pressupostos!$F$13</f>
        <v>3.5</v>
      </c>
      <c r="D5259" s="63" t="n">
        <f aca="false">Pressupostos!$F$10+Pressupostos!$F$13</f>
        <v>3.5</v>
      </c>
      <c r="E5259" s="63" t="n">
        <f aca="false">Pressupostos!$F$10+Pressupostos!$F$13</f>
        <v>3.5</v>
      </c>
      <c r="F5259" s="63" t="n">
        <f aca="false">Pressupostos!$F$10+Pressupostos!$F$13</f>
        <v>3.5</v>
      </c>
      <c r="G5259" s="63" t="n">
        <f aca="false">Pressupostos!$F$10+Pressupostos!$F$13</f>
        <v>3.5</v>
      </c>
      <c r="H5259" s="2" t="s">
        <v>1237</v>
      </c>
    </row>
    <row r="5260" customFormat="false" ht="15" hidden="false" customHeight="false" outlineLevel="1" collapsed="false">
      <c r="A5260" s="7" t="s">
        <v>670</v>
      </c>
      <c r="B5260" s="8" t="s">
        <v>64</v>
      </c>
      <c r="C5260" s="63" t="n">
        <f aca="false">Pressupostos!$F$10+Pressupostos!$C$52</f>
        <v>3.65</v>
      </c>
      <c r="D5260" s="63" t="n">
        <f aca="false">Pressupostos!$F$10+Pressupostos!$C$52</f>
        <v>3.65</v>
      </c>
      <c r="E5260" s="63" t="n">
        <f aca="false">Pressupostos!$F$10+Pressupostos!$C$52</f>
        <v>3.65</v>
      </c>
      <c r="F5260" s="63" t="n">
        <f aca="false">Pressupostos!$F$10+Pressupostos!$C$52</f>
        <v>3.65</v>
      </c>
      <c r="G5260" s="63" t="n">
        <f aca="false">Pressupostos!$F$10+Pressupostos!$C$52</f>
        <v>3.65</v>
      </c>
      <c r="H5260" s="2" t="s">
        <v>1238</v>
      </c>
    </row>
    <row r="5261" customFormat="false" ht="15" hidden="false" customHeight="false" outlineLevel="1" collapsed="false">
      <c r="A5261" s="56" t="s">
        <v>671</v>
      </c>
      <c r="B5261" s="57" t="s">
        <v>64</v>
      </c>
      <c r="C5261" s="68" t="n">
        <f aca="false">C5260*(1-Pressupostos!$C$53)</f>
        <v>3.65</v>
      </c>
      <c r="D5261" s="68" t="n">
        <f aca="false">D5260*(1-Pressupostos!$C$53)</f>
        <v>3.65</v>
      </c>
      <c r="E5261" s="68" t="n">
        <f aca="false">E5260*(1-Pressupostos!$C$53)</f>
        <v>3.65</v>
      </c>
      <c r="F5261" s="68" t="n">
        <f aca="false">F5260*(1-Pressupostos!$C$53)</f>
        <v>3.65</v>
      </c>
      <c r="G5261" s="68" t="n">
        <f aca="false">G5260*(1-Pressupostos!$C$53)</f>
        <v>3.65</v>
      </c>
      <c r="H5261" s="2" t="s">
        <v>1239</v>
      </c>
    </row>
    <row r="5262" customFormat="false" ht="15" hidden="false" customHeight="false" outlineLevel="1" collapsed="false">
      <c r="A5262" s="7" t="s">
        <v>144</v>
      </c>
      <c r="B5262" s="8" t="s">
        <v>64</v>
      </c>
      <c r="C5262" s="67" t="n">
        <f aca="false">Pressupostos!$C$54</f>
        <v>0</v>
      </c>
      <c r="D5262" s="67" t="n">
        <f aca="false">Pressupostos!$C$54</f>
        <v>0</v>
      </c>
      <c r="E5262" s="67" t="n">
        <f aca="false">Pressupostos!$C$54</f>
        <v>0</v>
      </c>
      <c r="F5262" s="67" t="n">
        <f aca="false">Pressupostos!$C$54</f>
        <v>0</v>
      </c>
      <c r="G5262" s="67" t="n">
        <f aca="false">Pressupostos!$C$54</f>
        <v>0</v>
      </c>
      <c r="H5262" s="2" t="s">
        <v>1240</v>
      </c>
    </row>
    <row r="5263" customFormat="false" ht="15" hidden="false" customHeight="false" outlineLevel="1" collapsed="false">
      <c r="A5263" s="7" t="s">
        <v>215</v>
      </c>
      <c r="B5263" s="8" t="s">
        <v>64</v>
      </c>
      <c r="C5263" s="67" t="n">
        <f aca="false">Pressupostos!$C$55</f>
        <v>0.04</v>
      </c>
      <c r="D5263" s="67" t="n">
        <f aca="false">Pressupostos!$C$55</f>
        <v>0.04</v>
      </c>
      <c r="E5263" s="67" t="n">
        <f aca="false">Pressupostos!$C$55</f>
        <v>0.04</v>
      </c>
      <c r="F5263" s="67" t="n">
        <f aca="false">Pressupostos!$C$55</f>
        <v>0.04</v>
      </c>
      <c r="G5263" s="67" t="n">
        <f aca="false">Pressupostos!$C$55</f>
        <v>0.04</v>
      </c>
      <c r="H5263" s="2" t="s">
        <v>1241</v>
      </c>
    </row>
    <row r="5264" customFormat="false" ht="15" hidden="false" customHeight="false" outlineLevel="1" collapsed="false">
      <c r="A5264" s="7" t="s">
        <v>117</v>
      </c>
      <c r="B5264" s="8" t="s">
        <v>64</v>
      </c>
      <c r="C5264" s="67" t="n">
        <f aca="false">Pressupostos!$C$56</f>
        <v>0</v>
      </c>
      <c r="D5264" s="67" t="n">
        <f aca="false">Pressupostos!$C$56</f>
        <v>0</v>
      </c>
      <c r="E5264" s="67" t="n">
        <f aca="false">Pressupostos!$C$56</f>
        <v>0</v>
      </c>
      <c r="F5264" s="67" t="n">
        <f aca="false">Pressupostos!$C$56</f>
        <v>0</v>
      </c>
      <c r="G5264" s="67" t="n">
        <f aca="false">Pressupostos!$C$56</f>
        <v>0</v>
      </c>
      <c r="H5264" s="2" t="s">
        <v>1242</v>
      </c>
    </row>
    <row r="5265" customFormat="false" ht="15" hidden="false" customHeight="false" outlineLevel="1" collapsed="false">
      <c r="A5265" s="7" t="s">
        <v>91</v>
      </c>
      <c r="B5265" s="8" t="s">
        <v>79</v>
      </c>
      <c r="C5265" s="69" t="n">
        <f aca="false">Pressupostos!$C$57</f>
        <v>15</v>
      </c>
      <c r="D5265" s="69" t="n">
        <f aca="false">Pressupostos!$C$57</f>
        <v>15</v>
      </c>
      <c r="E5265" s="69" t="n">
        <f aca="false">Pressupostos!$C$57</f>
        <v>15</v>
      </c>
      <c r="F5265" s="69" t="n">
        <f aca="false">Pressupostos!$C$57</f>
        <v>15</v>
      </c>
      <c r="G5265" s="69" t="n">
        <f aca="false">Pressupostos!$C$57</f>
        <v>15</v>
      </c>
      <c r="H5265" s="2" t="s">
        <v>1243</v>
      </c>
    </row>
    <row r="5266" customFormat="false" ht="15" hidden="false" customHeight="false" outlineLevel="1" collapsed="false">
      <c r="A5266" s="7" t="s">
        <v>78</v>
      </c>
      <c r="B5266" s="8" t="s">
        <v>79</v>
      </c>
      <c r="C5266" s="69" t="n">
        <f aca="false">Pressupostos!$C$58</f>
        <v>45</v>
      </c>
      <c r="D5266" s="69" t="n">
        <f aca="false">Pressupostos!$C$58</f>
        <v>45</v>
      </c>
      <c r="E5266" s="69" t="n">
        <f aca="false">Pressupostos!$C$58</f>
        <v>45</v>
      </c>
      <c r="F5266" s="69" t="n">
        <f aca="false">Pressupostos!$C$58</f>
        <v>45</v>
      </c>
      <c r="G5266" s="69" t="n">
        <f aca="false">Pressupostos!$C$58</f>
        <v>45</v>
      </c>
      <c r="H5266" s="2" t="s">
        <v>1244</v>
      </c>
    </row>
    <row r="5267" customFormat="false" ht="15" hidden="false" customHeight="false" outlineLevel="1" collapsed="false">
      <c r="A5267" s="7" t="s">
        <v>490</v>
      </c>
      <c r="B5267" s="8" t="s">
        <v>64</v>
      </c>
      <c r="C5267" s="63" t="n">
        <f aca="false">Pressupostos!$C$66*C5265/30/1000</f>
        <v>0.002</v>
      </c>
      <c r="D5267" s="63" t="n">
        <f aca="false">Pressupostos!$C$66*D5265/30/1000</f>
        <v>0.002</v>
      </c>
      <c r="E5267" s="63" t="n">
        <f aca="false">Pressupostos!$C$66*E5265/30/1000</f>
        <v>0.002</v>
      </c>
      <c r="F5267" s="63" t="n">
        <f aca="false">Pressupostos!$C$66*F5265/30/1000</f>
        <v>0.002</v>
      </c>
      <c r="G5267" s="63" t="n">
        <f aca="false">Pressupostos!$C$66*G5265/30/1000</f>
        <v>0.002</v>
      </c>
      <c r="H5267" s="2" t="s">
        <v>1245</v>
      </c>
    </row>
    <row r="5268" customFormat="false" ht="15" hidden="false" customHeight="false" outlineLevel="1" collapsed="false">
      <c r="A5268" s="7" t="s">
        <v>165</v>
      </c>
      <c r="B5268" s="8" t="s">
        <v>64</v>
      </c>
      <c r="C5268" s="63" t="n">
        <f aca="false">C5259*Pressupostos!$C$67*C5265/365</f>
        <v>0.000287671232876712</v>
      </c>
      <c r="D5268" s="63" t="n">
        <f aca="false">D5259*Pressupostos!$C$67*D5265/365</f>
        <v>0.000287671232876712</v>
      </c>
      <c r="E5268" s="63" t="n">
        <f aca="false">E5259*Pressupostos!$C$67*E5265/365</f>
        <v>0.000287671232876712</v>
      </c>
      <c r="F5268" s="63" t="n">
        <f aca="false">F5259*Pressupostos!$C$67*F5265/365</f>
        <v>0.000287671232876712</v>
      </c>
      <c r="G5268" s="63" t="n">
        <f aca="false">G5259*Pressupostos!$C$67*G5265/365</f>
        <v>0.000287671232876712</v>
      </c>
      <c r="H5268" s="2" t="s">
        <v>1246</v>
      </c>
    </row>
    <row r="5269" customFormat="false" ht="15" hidden="false" customHeight="false" outlineLevel="1" collapsed="false">
      <c r="A5269" s="7" t="s">
        <v>672</v>
      </c>
      <c r="B5269" s="8" t="s">
        <v>64</v>
      </c>
      <c r="C5269" s="63" t="n">
        <f aca="false">Pressupostos!$C$60*Pressupostos!$C$68/(Pressupostos!$C$59*1000)</f>
        <v>0.006</v>
      </c>
      <c r="D5269" s="63" t="n">
        <f aca="false">Pressupostos!$C$60*Pressupostos!$C$68/(Pressupostos!$C$59*1000)</f>
        <v>0.006</v>
      </c>
      <c r="E5269" s="63" t="n">
        <f aca="false">Pressupostos!$C$60*Pressupostos!$C$68/(Pressupostos!$C$59*1000)</f>
        <v>0.006</v>
      </c>
      <c r="F5269" s="63" t="n">
        <f aca="false">Pressupostos!$C$60*Pressupostos!$C$68/(Pressupostos!$C$59*1000)</f>
        <v>0.006</v>
      </c>
      <c r="G5269" s="63" t="n">
        <f aca="false">Pressupostos!$C$60*Pressupostos!$C$68/(Pressupostos!$C$59*1000)</f>
        <v>0.006</v>
      </c>
      <c r="H5269" s="2" t="s">
        <v>1247</v>
      </c>
    </row>
    <row r="5270" customFormat="false" ht="15" hidden="false" customHeight="false" outlineLevel="1" collapsed="false">
      <c r="A5270" s="7" t="s">
        <v>492</v>
      </c>
      <c r="B5270" s="8" t="s">
        <v>64</v>
      </c>
      <c r="C5270" s="63" t="n">
        <f aca="false">Pressupostos!$C$69*C5259</f>
        <v>0.0175</v>
      </c>
      <c r="D5270" s="63" t="n">
        <f aca="false">Pressupostos!$C$69*D5259</f>
        <v>0.0175</v>
      </c>
      <c r="E5270" s="63" t="n">
        <f aca="false">Pressupostos!$C$69*E5259</f>
        <v>0.0175</v>
      </c>
      <c r="F5270" s="63" t="n">
        <f aca="false">Pressupostos!$C$69*F5259</f>
        <v>0.0175</v>
      </c>
      <c r="G5270" s="63" t="n">
        <f aca="false">Pressupostos!$C$69*G5259</f>
        <v>0.0175</v>
      </c>
      <c r="H5270" s="2" t="s">
        <v>1248</v>
      </c>
    </row>
    <row r="5271" customFormat="false" ht="15" hidden="false" customHeight="false" outlineLevel="1" collapsed="false">
      <c r="A5271" s="7" t="s">
        <v>493</v>
      </c>
      <c r="B5271" s="8" t="s">
        <v>64</v>
      </c>
      <c r="C5271" s="63" t="n">
        <f aca="false">Pressupostos!$C$70*Pressupostos!$C$71*C5265/90</f>
        <v>0.0015</v>
      </c>
      <c r="D5271" s="63" t="n">
        <f aca="false">Pressupostos!$C$70*Pressupostos!$C$71*D5265/90</f>
        <v>0.0015</v>
      </c>
      <c r="E5271" s="63" t="n">
        <f aca="false">Pressupostos!$C$70*Pressupostos!$C$71*E5265/90</f>
        <v>0.0015</v>
      </c>
      <c r="F5271" s="63" t="n">
        <f aca="false">Pressupostos!$C$70*Pressupostos!$C$71*F5265/90</f>
        <v>0.0015</v>
      </c>
      <c r="G5271" s="63" t="n">
        <f aca="false">Pressupostos!$C$70*Pressupostos!$C$71*G5265/90</f>
        <v>0.0015</v>
      </c>
      <c r="H5271" s="2" t="s">
        <v>1249</v>
      </c>
    </row>
    <row r="5272" customFormat="false" ht="15" hidden="false" customHeight="false" outlineLevel="1" collapsed="false">
      <c r="A5272" s="7" t="s">
        <v>673</v>
      </c>
      <c r="B5272" s="8" t="s">
        <v>64</v>
      </c>
      <c r="C5272" s="63" t="n">
        <f aca="false">Pressupostos!$C$61/(Pressupostos!$C$59*1000)</f>
        <v>0.012</v>
      </c>
      <c r="D5272" s="63" t="n">
        <f aca="false">Pressupostos!$C$61/(Pressupostos!$C$59*1000)</f>
        <v>0.012</v>
      </c>
      <c r="E5272" s="63" t="n">
        <f aca="false">Pressupostos!$C$61/(Pressupostos!$C$59*1000)</f>
        <v>0.012</v>
      </c>
      <c r="F5272" s="63" t="n">
        <f aca="false">Pressupostos!$C$61/(Pressupostos!$C$59*1000)</f>
        <v>0.012</v>
      </c>
      <c r="G5272" s="63" t="n">
        <f aca="false">Pressupostos!$C$61/(Pressupostos!$C$59*1000)</f>
        <v>0.012</v>
      </c>
      <c r="H5272" s="2" t="s">
        <v>1250</v>
      </c>
    </row>
    <row r="5273" customFormat="false" ht="15" hidden="false" customHeight="false" outlineLevel="1" collapsed="false">
      <c r="A5273" s="7" t="s">
        <v>139</v>
      </c>
      <c r="B5273" s="8" t="s">
        <v>64</v>
      </c>
      <c r="C5273" s="67" t="n">
        <f aca="false">Pressupostos!$C$62</f>
        <v>0.001</v>
      </c>
      <c r="D5273" s="67" t="n">
        <f aca="false">Pressupostos!$C$62</f>
        <v>0.001</v>
      </c>
      <c r="E5273" s="67" t="n">
        <f aca="false">Pressupostos!$C$62</f>
        <v>0.001</v>
      </c>
      <c r="F5273" s="67" t="n">
        <f aca="false">Pressupostos!$C$62</f>
        <v>0.001</v>
      </c>
      <c r="G5273" s="67" t="n">
        <f aca="false">Pressupostos!$C$62</f>
        <v>0.001</v>
      </c>
      <c r="H5273" s="2" t="s">
        <v>1251</v>
      </c>
    </row>
    <row r="5274" customFormat="false" ht="15" hidden="false" customHeight="false" outlineLevel="1" collapsed="false">
      <c r="A5274" s="7" t="s">
        <v>81</v>
      </c>
      <c r="B5274" s="8" t="s">
        <v>64</v>
      </c>
      <c r="C5274" s="63" t="n">
        <f aca="false">Pressupostos!$C$63*C5261</f>
        <v>0.01095</v>
      </c>
      <c r="D5274" s="63" t="n">
        <f aca="false">Pressupostos!$C$63*D5261</f>
        <v>0.01095</v>
      </c>
      <c r="E5274" s="63" t="n">
        <f aca="false">Pressupostos!$C$63*E5261</f>
        <v>0.01095</v>
      </c>
      <c r="F5274" s="63" t="n">
        <f aca="false">Pressupostos!$C$63*F5261</f>
        <v>0.01095</v>
      </c>
      <c r="G5274" s="63" t="n">
        <f aca="false">Pressupostos!$C$63*G5261</f>
        <v>0.01095</v>
      </c>
      <c r="H5274" s="2" t="s">
        <v>1252</v>
      </c>
    </row>
    <row r="5275" customFormat="false" ht="15" hidden="false" customHeight="false" outlineLevel="1" collapsed="false">
      <c r="A5275" s="7" t="s">
        <v>674</v>
      </c>
      <c r="B5275" s="8" t="s">
        <v>64</v>
      </c>
      <c r="C5275" s="63" t="n">
        <f aca="false">Pressupostos!$C$73*C5261</f>
        <v>0</v>
      </c>
      <c r="D5275" s="63" t="n">
        <f aca="false">Pressupostos!$C$73*D5261</f>
        <v>0</v>
      </c>
      <c r="E5275" s="63" t="n">
        <f aca="false">Pressupostos!$C$73*E5261</f>
        <v>0</v>
      </c>
      <c r="F5275" s="63" t="n">
        <f aca="false">Pressupostos!$C$73*F5261</f>
        <v>0</v>
      </c>
      <c r="G5275" s="63" t="n">
        <f aca="false">Pressupostos!$C$73*G5261</f>
        <v>0</v>
      </c>
      <c r="H5275" s="2" t="s">
        <v>1253</v>
      </c>
    </row>
    <row r="5276" customFormat="false" ht="15" hidden="false" customHeight="false" outlineLevel="1" collapsed="false">
      <c r="A5276" s="7" t="s">
        <v>675</v>
      </c>
      <c r="B5276" s="8" t="s">
        <v>64</v>
      </c>
      <c r="C5276" s="63" t="n">
        <f aca="false">Pressupostos!$C$290*(C5259+C5262)*(C5265+C5266-Pressupostos!$C$72)/365*Pressupostos!$C$284/Pressupostos!$F$31</f>
        <v>0</v>
      </c>
      <c r="D5276" s="63" t="n">
        <f aca="false">Pressupostos!$D$290*(D5259+D5262)*(D5265+D5266-Pressupostos!$C$72)/365*Pressupostos!$D$284/Pressupostos!$F$31</f>
        <v>0.0215753424657534</v>
      </c>
      <c r="E5276" s="63" t="n">
        <f aca="false">Pressupostos!$E$290*(E5259+E5262)*(E5265+E5266-Pressupostos!$C$72)/365*Pressupostos!$E$284/Pressupostos!$F$31</f>
        <v>0.0202268835616438</v>
      </c>
      <c r="F5276" s="63" t="n">
        <f aca="false">Pressupostos!$F$290*(F5259+F5262)*(F5265+F5266-Pressupostos!$C$72)/365*Pressupostos!$F$284/Pressupostos!$F$31</f>
        <v>0.0188784246575342</v>
      </c>
      <c r="G5276" s="63" t="n">
        <f aca="false">Pressupostos!$G$290*(G5259+G5262)*(G5265+G5266-Pressupostos!$C$72)/365*Pressupostos!$G$284/Pressupostos!$F$31</f>
        <v>0.0188784246575342</v>
      </c>
      <c r="H5276" s="2" t="s">
        <v>1254</v>
      </c>
    </row>
    <row r="5277" customFormat="false" ht="15" hidden="false" customHeight="false" outlineLevel="1" collapsed="false">
      <c r="A5277" s="7" t="s">
        <v>676</v>
      </c>
      <c r="B5277" s="8" t="s">
        <v>64</v>
      </c>
      <c r="C5277" s="63" t="n">
        <f aca="false">C5259+C5262+C5263+C5264+C5267+C5268+C5269+C5270+C5271+C5272+C5273+C5274+C5275+C5276</f>
        <v>3.59123767123288</v>
      </c>
      <c r="D5277" s="63" t="n">
        <f aca="false">D5259+D5262+D5263+D5264+D5267+D5268+D5269+D5270+D5271+D5272+D5273+D5274+D5275+D5276</f>
        <v>3.61281301369863</v>
      </c>
      <c r="E5277" s="63" t="n">
        <f aca="false">E5259+E5262+E5263+E5264+E5267+E5268+E5269+E5270+E5271+E5272+E5273+E5274+E5275+E5276</f>
        <v>3.61146455479452</v>
      </c>
      <c r="F5277" s="63" t="n">
        <f aca="false">F5259+F5262+F5263+F5264+F5267+F5268+F5269+F5270+F5271+F5272+F5273+F5274+F5275+F5276</f>
        <v>3.61011609589041</v>
      </c>
      <c r="G5277" s="63" t="n">
        <f aca="false">G5259+G5262+G5263+G5264+G5267+G5268+G5269+G5270+G5271+G5272+G5273+G5274+G5275+G5276</f>
        <v>3.61011609589041</v>
      </c>
      <c r="H5277" s="2" t="s">
        <v>1255</v>
      </c>
    </row>
    <row r="5278" customFormat="false" ht="15" hidden="false" customHeight="false" outlineLevel="1" collapsed="false">
      <c r="A5278" s="56" t="s">
        <v>677</v>
      </c>
      <c r="B5278" s="57" t="s">
        <v>64</v>
      </c>
      <c r="C5278" s="68" t="n">
        <f aca="false">C5261-C5277</f>
        <v>0.058762328767124</v>
      </c>
      <c r="D5278" s="68" t="n">
        <f aca="false">D5261-D5277</f>
        <v>0.0371869863013705</v>
      </c>
      <c r="E5278" s="68" t="n">
        <f aca="false">E5261-E5277</f>
        <v>0.03853544520548</v>
      </c>
      <c r="F5278" s="68" t="n">
        <f aca="false">F5261-F5277</f>
        <v>0.0398839041095895</v>
      </c>
      <c r="G5278" s="68" t="n">
        <f aca="false">G5261-G5277</f>
        <v>0.0398839041095895</v>
      </c>
      <c r="H5278" s="2" t="s">
        <v>1256</v>
      </c>
    </row>
    <row r="5279" customFormat="false" ht="15" hidden="false" customHeight="false" outlineLevel="1" collapsed="false">
      <c r="A5279" s="7" t="s">
        <v>678</v>
      </c>
      <c r="B5279" s="8" t="s">
        <v>76</v>
      </c>
      <c r="C5279" s="59" t="n">
        <f aca="false">IF(C5261&gt;0,C5278/C5261,0)</f>
        <v>0.0160992681553764</v>
      </c>
      <c r="D5279" s="59" t="n">
        <f aca="false">IF(D5261&gt;0,D5278/D5261,0)</f>
        <v>0.010188215425033</v>
      </c>
      <c r="E5279" s="59" t="n">
        <f aca="false">IF(E5261&gt;0,E5278/E5261,0)</f>
        <v>0.0105576562206795</v>
      </c>
      <c r="F5279" s="59" t="n">
        <f aca="false">IF(F5261&gt;0,F5278/F5261,0)</f>
        <v>0.0109270970163259</v>
      </c>
      <c r="G5279" s="59" t="n">
        <f aca="false">IF(G5261&gt;0,G5278/G5261,0)</f>
        <v>0.0109270970163259</v>
      </c>
      <c r="H5279" s="2" t="s">
        <v>1257</v>
      </c>
    </row>
    <row r="5280" customFormat="false" ht="15" hidden="false" customHeight="false" outlineLevel="1" collapsed="false">
      <c r="A5280" s="7" t="s">
        <v>679</v>
      </c>
      <c r="B5280" s="8" t="s">
        <v>64</v>
      </c>
      <c r="C5280" s="63" t="n">
        <f aca="false">(C5259+C5262)*(C5265-Pressupostos!$C$72)/365+C5261*C5266/365</f>
        <v>0.306164383561644</v>
      </c>
      <c r="D5280" s="63" t="n">
        <f aca="false">(D5259+D5262)*(D5265-Pressupostos!$C$72)/365+D5261*D5266/365</f>
        <v>0.306164383561644</v>
      </c>
      <c r="E5280" s="63" t="n">
        <f aca="false">(E5259+E5262)*(E5265-Pressupostos!$C$72)/365+E5261*E5266/365</f>
        <v>0.306164383561644</v>
      </c>
      <c r="F5280" s="63" t="n">
        <f aca="false">(F5259+F5262)*(F5265-Pressupostos!$C$72)/365+F5261*F5266/365</f>
        <v>0.306164383561644</v>
      </c>
      <c r="G5280" s="63" t="n">
        <f aca="false">(G5259+G5262)*(G5265-Pressupostos!$C$72)/365+G5261*G5266/365</f>
        <v>0.306164383561644</v>
      </c>
      <c r="H5280" s="2" t="s">
        <v>1258</v>
      </c>
    </row>
    <row r="5281" customFormat="false" ht="15" hidden="false" customHeight="false" outlineLevel="0" collapsed="false">
      <c r="A5281" s="3" t="s">
        <v>1259</v>
      </c>
      <c r="B5281" s="4"/>
      <c r="C5281" s="4"/>
      <c r="D5281" s="4"/>
      <c r="E5281" s="4"/>
      <c r="F5281" s="4"/>
      <c r="G5281" s="4"/>
      <c r="H5281" s="4"/>
    </row>
    <row r="5282" customFormat="false" ht="15" hidden="false" customHeight="false" outlineLevel="1" collapsed="false">
      <c r="A5282" s="7" t="s">
        <v>683</v>
      </c>
      <c r="B5282" s="8" t="s">
        <v>64</v>
      </c>
      <c r="C5282" s="63" t="n">
        <f aca="false">Pressupostos!$C$64*Pressupostos!$F$10</f>
        <v>0.02625</v>
      </c>
      <c r="D5282" s="63" t="n">
        <f aca="false">Pressupostos!$C$64*Pressupostos!$F$10</f>
        <v>0.02625</v>
      </c>
      <c r="E5282" s="63" t="n">
        <f aca="false">Pressupostos!$C$64*Pressupostos!$F$10</f>
        <v>0.02625</v>
      </c>
      <c r="F5282" s="63" t="n">
        <f aca="false">Pressupostos!$C$64*Pressupostos!$F$10</f>
        <v>0.02625</v>
      </c>
      <c r="G5282" s="63" t="n">
        <f aca="false">Pressupostos!$C$64*Pressupostos!$F$10</f>
        <v>0.02625</v>
      </c>
      <c r="H5282" s="2" t="s">
        <v>1260</v>
      </c>
    </row>
    <row r="5283" customFormat="false" ht="15" hidden="false" customHeight="false" outlineLevel="1" collapsed="false">
      <c r="A5283" s="7" t="s">
        <v>684</v>
      </c>
      <c r="B5283" s="8" t="s">
        <v>64</v>
      </c>
      <c r="C5283" s="63" t="n">
        <f aca="false">C5272+C5269+C5273</f>
        <v>0.019</v>
      </c>
      <c r="D5283" s="63" t="n">
        <f aca="false">D5272+D5269+D5273</f>
        <v>0.019</v>
      </c>
      <c r="E5283" s="63" t="n">
        <f aca="false">E5272+E5269+E5273</f>
        <v>0.019</v>
      </c>
      <c r="F5283" s="63" t="n">
        <f aca="false">F5272+F5269+F5273</f>
        <v>0.019</v>
      </c>
      <c r="G5283" s="63" t="n">
        <f aca="false">G5272+G5269+G5273</f>
        <v>0.019</v>
      </c>
      <c r="H5283" s="2" t="s">
        <v>1261</v>
      </c>
    </row>
    <row r="5284" customFormat="false" ht="15" hidden="false" customHeight="false" outlineLevel="1" collapsed="false">
      <c r="A5284" s="56" t="s">
        <v>561</v>
      </c>
      <c r="B5284" s="57" t="s">
        <v>64</v>
      </c>
      <c r="C5284" s="68" t="n">
        <f aca="false">C5282-C5283</f>
        <v>0.00725</v>
      </c>
      <c r="D5284" s="68" t="n">
        <f aca="false">D5282-D5283</f>
        <v>0.00725</v>
      </c>
      <c r="E5284" s="68" t="n">
        <f aca="false">E5282-E5283</f>
        <v>0.00725</v>
      </c>
      <c r="F5284" s="68" t="n">
        <f aca="false">F5282-F5283</f>
        <v>0.00725</v>
      </c>
      <c r="G5284" s="68" t="n">
        <f aca="false">G5282-G5283</f>
        <v>0.00725</v>
      </c>
      <c r="H5284" s="2" t="s">
        <v>1262</v>
      </c>
    </row>
    <row r="5285" customFormat="false" ht="15" hidden="false" customHeight="false" outlineLevel="0" collapsed="false">
      <c r="A5285" s="3" t="s">
        <v>1263</v>
      </c>
      <c r="B5285" s="4"/>
      <c r="C5285" s="4"/>
      <c r="D5285" s="4"/>
      <c r="E5285" s="4"/>
      <c r="F5285" s="4"/>
      <c r="G5285" s="4"/>
      <c r="H5285" s="4"/>
    </row>
    <row r="5286" customFormat="false" ht="15" hidden="false" customHeight="false" outlineLevel="1" collapsed="false">
      <c r="A5286" s="7" t="s">
        <v>608</v>
      </c>
      <c r="B5286" s="8" t="s">
        <v>11</v>
      </c>
      <c r="C5286" s="61" t="n">
        <f aca="false">C5195*1000*C5215</f>
        <v>30996</v>
      </c>
      <c r="D5286" s="61" t="n">
        <f aca="false">D5195*1000*D5215</f>
        <v>116235</v>
      </c>
      <c r="E5286" s="61" t="n">
        <f aca="false">E5195*1000*E5215</f>
        <v>309960</v>
      </c>
      <c r="F5286" s="61" t="n">
        <f aca="false">F5195*1000*F5215</f>
        <v>542430</v>
      </c>
      <c r="G5286" s="61" t="n">
        <f aca="false">G5195*1000*G5215</f>
        <v>774900</v>
      </c>
      <c r="H5286" s="2" t="s">
        <v>1264</v>
      </c>
    </row>
    <row r="5287" customFormat="false" ht="15" hidden="false" customHeight="false" outlineLevel="1" collapsed="false">
      <c r="A5287" s="7" t="s">
        <v>609</v>
      </c>
      <c r="B5287" s="8" t="s">
        <v>11</v>
      </c>
      <c r="C5287" s="61" t="n">
        <f aca="false">C5196*1000*C5238</f>
        <v>161980</v>
      </c>
      <c r="D5287" s="61" t="n">
        <f aca="false">D5196*1000*D5238</f>
        <v>1130745</v>
      </c>
      <c r="E5287" s="61" t="n">
        <f aca="false">E5196*1000*E5238</f>
        <v>2233455</v>
      </c>
      <c r="F5287" s="61" t="n">
        <f aca="false">F5196*1000*F5238</f>
        <v>3685045</v>
      </c>
      <c r="G5287" s="61" t="n">
        <f aca="false">G5196*1000*G5238</f>
        <v>5575850</v>
      </c>
      <c r="H5287" s="2" t="s">
        <v>1265</v>
      </c>
    </row>
    <row r="5288" customFormat="false" ht="15" hidden="false" customHeight="false" outlineLevel="1" collapsed="false">
      <c r="A5288" s="7" t="s">
        <v>610</v>
      </c>
      <c r="B5288" s="8" t="s">
        <v>11</v>
      </c>
      <c r="C5288" s="61" t="n">
        <f aca="false">C5198*1000*C5261</f>
        <v>0</v>
      </c>
      <c r="D5288" s="61" t="n">
        <f aca="false">D5198*1000*D5261</f>
        <v>0</v>
      </c>
      <c r="E5288" s="61" t="n">
        <f aca="false">E5198*1000*E5261</f>
        <v>0</v>
      </c>
      <c r="F5288" s="61" t="n">
        <f aca="false">F5198*1000*F5261</f>
        <v>0</v>
      </c>
      <c r="G5288" s="61" t="n">
        <f aca="false">G5198*1000*G5261</f>
        <v>0</v>
      </c>
      <c r="H5288" s="2" t="s">
        <v>1266</v>
      </c>
    </row>
    <row r="5289" customFormat="false" ht="15" hidden="false" customHeight="false" outlineLevel="1" collapsed="false">
      <c r="A5289" s="7" t="s">
        <v>611</v>
      </c>
      <c r="B5289" s="8" t="s">
        <v>11</v>
      </c>
      <c r="C5289" s="61" t="n">
        <f aca="false">C5286+C5287+C5288</f>
        <v>192976</v>
      </c>
      <c r="D5289" s="61" t="n">
        <f aca="false">D5286+D5287+D5288</f>
        <v>1246980</v>
      </c>
      <c r="E5289" s="61" t="n">
        <f aca="false">E5286+E5287+E5288</f>
        <v>2543415</v>
      </c>
      <c r="F5289" s="61" t="n">
        <f aca="false">F5286+F5287+F5288</f>
        <v>4227475</v>
      </c>
      <c r="G5289" s="61" t="n">
        <f aca="false">G5286+G5287+G5288</f>
        <v>6350750</v>
      </c>
      <c r="H5289" s="2" t="s">
        <v>1267</v>
      </c>
    </row>
    <row r="5290" customFormat="false" ht="15" hidden="false" customHeight="false" outlineLevel="1" collapsed="false">
      <c r="A5290" s="7" t="s">
        <v>612</v>
      </c>
      <c r="B5290" s="8" t="s">
        <v>11</v>
      </c>
      <c r="C5290" s="61" t="n">
        <f aca="false">C5208*1000*Pressupostos!$C$93</f>
        <v>0</v>
      </c>
      <c r="D5290" s="61" t="n">
        <f aca="false">D5208*1000*Pressupostos!$C$93</f>
        <v>0</v>
      </c>
      <c r="E5290" s="61" t="n">
        <f aca="false">E5208*1000*Pressupostos!$C$93</f>
        <v>0</v>
      </c>
      <c r="F5290" s="61" t="n">
        <f aca="false">F5208*1000*Pressupostos!$C$93</f>
        <v>109900</v>
      </c>
      <c r="G5290" s="61" t="n">
        <f aca="false">G5208*1000*Pressupostos!$C$93</f>
        <v>274750</v>
      </c>
      <c r="H5290" s="2" t="s">
        <v>1268</v>
      </c>
    </row>
    <row r="5291" customFormat="false" ht="15" hidden="false" customHeight="false" outlineLevel="1" collapsed="false">
      <c r="A5291" s="2" t="s">
        <v>613</v>
      </c>
      <c r="B5291" s="8" t="s">
        <v>11</v>
      </c>
      <c r="C5291" s="61" t="n">
        <f aca="false">C5206*Pressupostos!$C$80*(1-Pressupostos!$C$81)</f>
        <v>6804</v>
      </c>
      <c r="D5291" s="61" t="n">
        <f aca="false">D5206*Pressupostos!$C$80*(1-Pressupostos!$C$81)</f>
        <v>25515</v>
      </c>
      <c r="E5291" s="61" t="n">
        <f aca="false">E5206*Pressupostos!$C$80*(1-Pressupostos!$C$81)</f>
        <v>68040</v>
      </c>
      <c r="F5291" s="61" t="n">
        <f aca="false">F5206*Pressupostos!$C$80*(1-Pressupostos!$C$81)</f>
        <v>119070</v>
      </c>
      <c r="G5291" s="61" t="n">
        <f aca="false">G5206*Pressupostos!$C$80*(1-Pressupostos!$C$81)</f>
        <v>170100</v>
      </c>
      <c r="H5291" s="2" t="s">
        <v>1269</v>
      </c>
    </row>
    <row r="5292" customFormat="false" ht="15" hidden="false" customHeight="false" outlineLevel="1" collapsed="false">
      <c r="A5292" s="7" t="s">
        <v>614</v>
      </c>
      <c r="B5292" s="8" t="s">
        <v>11</v>
      </c>
      <c r="C5292" s="61" t="n">
        <f aca="false">C5291*Pressupostos!$F$27</f>
        <v>136.08</v>
      </c>
      <c r="D5292" s="61" t="n">
        <f aca="false">D5291*Pressupostos!$F$27</f>
        <v>510.3</v>
      </c>
      <c r="E5292" s="61" t="n">
        <f aca="false">E5291*Pressupostos!$F$27</f>
        <v>1360.8</v>
      </c>
      <c r="F5292" s="61" t="n">
        <f aca="false">F5291*Pressupostos!$F$27</f>
        <v>2381.4</v>
      </c>
      <c r="G5292" s="61" t="n">
        <f aca="false">G5291*Pressupostos!$F$27</f>
        <v>3402</v>
      </c>
      <c r="H5292" s="2" t="s">
        <v>1270</v>
      </c>
    </row>
    <row r="5293" customFormat="false" ht="15" hidden="false" customHeight="false" outlineLevel="1" collapsed="false">
      <c r="A5293" s="7" t="s">
        <v>615</v>
      </c>
      <c r="B5293" s="8" t="s">
        <v>11</v>
      </c>
      <c r="C5293" s="61" t="n">
        <f aca="false">C5199*1000*C5282</f>
        <v>0</v>
      </c>
      <c r="D5293" s="61" t="n">
        <f aca="false">D5199*1000*D5282</f>
        <v>9187.5</v>
      </c>
      <c r="E5293" s="61" t="n">
        <f aca="false">E5199*1000*E5282</f>
        <v>27562.5</v>
      </c>
      <c r="F5293" s="61" t="n">
        <f aca="false">F5199*1000*F5282</f>
        <v>45937.5</v>
      </c>
      <c r="G5293" s="61" t="n">
        <f aca="false">G5199*1000*G5282</f>
        <v>64312.5</v>
      </c>
      <c r="H5293" s="2" t="s">
        <v>1271</v>
      </c>
    </row>
    <row r="5294" customFormat="false" ht="15" hidden="false" customHeight="false" outlineLevel="1" collapsed="false">
      <c r="A5294" s="7" t="s">
        <v>616</v>
      </c>
      <c r="B5294" s="8" t="s">
        <v>11</v>
      </c>
      <c r="C5294" s="61" t="n">
        <f aca="false">C5210*(Pressupostos!$C$101*Pressupostos!$C$102+Pressupostos!$C$103)</f>
        <v>0</v>
      </c>
      <c r="D5294" s="61" t="n">
        <f aca="false">D5210*(Pressupostos!$C$101*Pressupostos!$C$102+Pressupostos!$C$103)</f>
        <v>10000</v>
      </c>
      <c r="E5294" s="61" t="n">
        <f aca="false">E5210*(Pressupostos!$C$101*Pressupostos!$C$102+Pressupostos!$C$103)</f>
        <v>30000</v>
      </c>
      <c r="F5294" s="61" t="n">
        <f aca="false">F5210*(Pressupostos!$C$101*Pressupostos!$C$102+Pressupostos!$C$103)</f>
        <v>60000</v>
      </c>
      <c r="G5294" s="61" t="n">
        <f aca="false">G5210*(Pressupostos!$C$101*Pressupostos!$C$102+Pressupostos!$C$103)</f>
        <v>100000</v>
      </c>
      <c r="H5294" s="2" t="s">
        <v>1272</v>
      </c>
    </row>
    <row r="5295" customFormat="false" ht="15" hidden="false" customHeight="false" outlineLevel="1" collapsed="false">
      <c r="A5295" s="7" t="s">
        <v>617</v>
      </c>
      <c r="B5295" s="8" t="s">
        <v>11</v>
      </c>
      <c r="C5295" s="53" t="n">
        <f aca="false">Pressupostos!$C$277</f>
        <v>0</v>
      </c>
      <c r="D5295" s="53" t="n">
        <f aca="false">Pressupostos!$D$277</f>
        <v>0</v>
      </c>
      <c r="E5295" s="53" t="n">
        <f aca="false">Pressupostos!$E$277</f>
        <v>0</v>
      </c>
      <c r="F5295" s="53" t="n">
        <f aca="false">Pressupostos!$F$277</f>
        <v>10000</v>
      </c>
      <c r="G5295" s="53" t="n">
        <f aca="false">Pressupostos!$G$277</f>
        <v>30000</v>
      </c>
      <c r="H5295" s="2" t="s">
        <v>1273</v>
      </c>
    </row>
    <row r="5296" customFormat="false" ht="15" hidden="false" customHeight="false" outlineLevel="1" collapsed="false">
      <c r="A5296" s="56" t="s">
        <v>618</v>
      </c>
      <c r="B5296" s="57" t="s">
        <v>11</v>
      </c>
      <c r="C5296" s="62" t="n">
        <f aca="false">C5289+C5290+C5292+C5293+C5294+C5295</f>
        <v>193112.08</v>
      </c>
      <c r="D5296" s="62" t="n">
        <f aca="false">D5289+D5290+D5292+D5293+D5294+D5295</f>
        <v>1266677.8</v>
      </c>
      <c r="E5296" s="62" t="n">
        <f aca="false">E5289+E5290+E5292+E5293+E5294+E5295</f>
        <v>2602338.3</v>
      </c>
      <c r="F5296" s="62" t="n">
        <f aca="false">F5289+F5290+F5292+F5293+F5294+F5295</f>
        <v>4455693.9</v>
      </c>
      <c r="G5296" s="62" t="n">
        <f aca="false">G5289+G5290+G5292+G5293+G5294+G5295</f>
        <v>6823214.5</v>
      </c>
      <c r="H5296" s="2" t="s">
        <v>1274</v>
      </c>
    </row>
    <row r="5297" customFormat="false" ht="15" hidden="false" customHeight="false" outlineLevel="0" collapsed="false">
      <c r="A5297" s="3" t="s">
        <v>1275</v>
      </c>
      <c r="B5297" s="4"/>
      <c r="C5297" s="4"/>
      <c r="D5297" s="4"/>
      <c r="E5297" s="4"/>
      <c r="F5297" s="4"/>
      <c r="G5297" s="4"/>
      <c r="H5297" s="4"/>
    </row>
    <row r="5298" customFormat="false" ht="15" hidden="false" customHeight="false" outlineLevel="1" collapsed="false">
      <c r="A5298" s="2" t="s">
        <v>620</v>
      </c>
      <c r="B5298" s="8" t="s">
        <v>11</v>
      </c>
      <c r="C5298" s="61" t="n">
        <f aca="false">C5199*1000*Pressupostos!$F$10</f>
        <v>0</v>
      </c>
      <c r="D5298" s="61" t="n">
        <f aca="false">D5199*1000*Pressupostos!$F$10</f>
        <v>1225000</v>
      </c>
      <c r="E5298" s="61" t="n">
        <f aca="false">E5199*1000*Pressupostos!$F$10</f>
        <v>3675000</v>
      </c>
      <c r="F5298" s="61" t="n">
        <f aca="false">F5199*1000*Pressupostos!$F$10</f>
        <v>6125000</v>
      </c>
      <c r="G5298" s="61" t="n">
        <f aca="false">G5199*1000*Pressupostos!$F$10</f>
        <v>8575000</v>
      </c>
      <c r="H5298" s="2" t="s">
        <v>1276</v>
      </c>
    </row>
    <row r="5299" customFormat="false" ht="15" hidden="false" customHeight="false" outlineLevel="1" collapsed="false">
      <c r="A5299" s="56" t="s">
        <v>621</v>
      </c>
      <c r="B5299" s="57" t="s">
        <v>11</v>
      </c>
      <c r="C5299" s="62" t="n">
        <f aca="false">C5289+C5290+C5291+C5298</f>
        <v>199780</v>
      </c>
      <c r="D5299" s="62" t="n">
        <f aca="false">D5289+D5290+D5291+D5298</f>
        <v>2497495</v>
      </c>
      <c r="E5299" s="62" t="n">
        <f aca="false">E5289+E5290+E5291+E5298</f>
        <v>6286455</v>
      </c>
      <c r="F5299" s="62" t="n">
        <f aca="false">F5289+F5290+F5291+F5298</f>
        <v>10581445</v>
      </c>
      <c r="G5299" s="62" t="n">
        <f aca="false">G5289+G5290+G5291+G5298</f>
        <v>15370600</v>
      </c>
      <c r="H5299" s="2" t="s">
        <v>1277</v>
      </c>
    </row>
    <row r="5300" customFormat="false" ht="15" hidden="false" customHeight="false" outlineLevel="1" collapsed="false">
      <c r="A5300" s="7" t="s">
        <v>622</v>
      </c>
      <c r="B5300" s="8" t="s">
        <v>11</v>
      </c>
      <c r="C5300" s="61" t="n">
        <f aca="false">C5299-C5298-C5288</f>
        <v>199780</v>
      </c>
      <c r="D5300" s="61" t="n">
        <f aca="false">D5299-D5298-D5288</f>
        <v>1272495</v>
      </c>
      <c r="E5300" s="61" t="n">
        <f aca="false">E5299-E5298-E5288</f>
        <v>2611455</v>
      </c>
      <c r="F5300" s="61" t="n">
        <f aca="false">F5299-F5298-F5288</f>
        <v>4456445</v>
      </c>
      <c r="G5300" s="61" t="n">
        <f aca="false">G5299-G5298-G5288</f>
        <v>6795600</v>
      </c>
      <c r="H5300" s="2" t="s">
        <v>1278</v>
      </c>
    </row>
    <row r="5301" customFormat="false" ht="15" hidden="false" customHeight="false" outlineLevel="1" collapsed="false">
      <c r="A5301" s="7" t="s">
        <v>623</v>
      </c>
      <c r="B5301" s="8" t="s">
        <v>11</v>
      </c>
      <c r="C5301" s="61" t="n">
        <f aca="false">C5195*1000*(C5213+C5216)+C5196*1000*(C5236+C5239)+C5198*1000*(C5259+C5262)+C5208*1000*Pressupostos!$C$92</f>
        <v>171528</v>
      </c>
      <c r="D5301" s="61" t="n">
        <f aca="false">D5195*1000*(D5213+D5216)+D5196*1000*(D5236+D5239)+D5198*1000*(D5259+D5262)+D5208*1000*Pressupostos!$C$92</f>
        <v>1119510</v>
      </c>
      <c r="E5301" s="61" t="n">
        <f aca="false">E5195*1000*(E5213+E5216)+E5196*1000*(E5236+E5239)+E5198*1000*(E5259+E5262)+E5208*1000*Pressupostos!$C$92</f>
        <v>2273775</v>
      </c>
      <c r="F5301" s="61" t="n">
        <f aca="false">F5195*1000*(F5213+F5216)+F5196*1000*(F5236+F5239)+F5198*1000*(F5259+F5262)+F5208*1000*Pressupostos!$C$92</f>
        <v>3873695</v>
      </c>
      <c r="G5301" s="61" t="n">
        <f aca="false">G5195*1000*(G5213+G5216)+G5196*1000*(G5236+G5239)+G5198*1000*(G5259+G5262)+G5208*1000*Pressupostos!$C$92</f>
        <v>5922350</v>
      </c>
      <c r="H5301" s="2" t="s">
        <v>1279</v>
      </c>
    </row>
    <row r="5302" customFormat="false" ht="15" hidden="false" customHeight="false" outlineLevel="1" collapsed="false">
      <c r="A5302" s="7" t="s">
        <v>624</v>
      </c>
      <c r="B5302" s="8" t="s">
        <v>11</v>
      </c>
      <c r="C5302" s="61" t="n">
        <f aca="false">C5301*Pressupostos!$C$284</f>
        <v>0</v>
      </c>
      <c r="D5302" s="61" t="n">
        <f aca="false">D5301*Pressupostos!$D$284</f>
        <v>839632.5</v>
      </c>
      <c r="E5302" s="61" t="n">
        <f aca="false">E5301*Pressupostos!$E$284</f>
        <v>1705331.25</v>
      </c>
      <c r="F5302" s="61" t="n">
        <f aca="false">F5301*Pressupostos!$F$284</f>
        <v>2905271.25</v>
      </c>
      <c r="G5302" s="61" t="n">
        <f aca="false">G5301*Pressupostos!$G$284</f>
        <v>4441762.5</v>
      </c>
      <c r="H5302" s="2" t="s">
        <v>1280</v>
      </c>
    </row>
    <row r="5303" customFormat="false" ht="15" hidden="false" customHeight="false" outlineLevel="0" collapsed="false">
      <c r="A5303" s="3" t="s">
        <v>1281</v>
      </c>
      <c r="B5303" s="4"/>
      <c r="C5303" s="4"/>
      <c r="D5303" s="4"/>
      <c r="E5303" s="4"/>
      <c r="F5303" s="4"/>
      <c r="G5303" s="4"/>
      <c r="H5303" s="4"/>
    </row>
    <row r="5304" customFormat="false" ht="15" hidden="false" customHeight="false" outlineLevel="1" collapsed="false">
      <c r="A5304" s="7" t="s">
        <v>626</v>
      </c>
      <c r="B5304" s="8" t="s">
        <v>11</v>
      </c>
      <c r="C5304" s="61" t="n">
        <f aca="false">C5195*1000*C5232</f>
        <v>3465.52500000001</v>
      </c>
      <c r="D5304" s="61" t="n">
        <f aca="false">D5195*1000*D5232</f>
        <v>9559.0903253425</v>
      </c>
      <c r="E5304" s="61" t="n">
        <f aca="false">E5195*1000*E5232</f>
        <v>35444.2837671233</v>
      </c>
      <c r="F5304" s="61" t="n">
        <f aca="false">F5195*1000*F5232</f>
        <v>63302.9019863014</v>
      </c>
      <c r="G5304" s="61" t="n">
        <f aca="false">G5195*1000*G5232</f>
        <v>90432.7171232877</v>
      </c>
      <c r="H5304" s="2" t="s">
        <v>1282</v>
      </c>
    </row>
    <row r="5305" customFormat="false" ht="15" hidden="false" customHeight="false" outlineLevel="1" collapsed="false">
      <c r="A5305" s="7" t="s">
        <v>627</v>
      </c>
      <c r="B5305" s="8" t="s">
        <v>11</v>
      </c>
      <c r="C5305" s="61" t="n">
        <f aca="false">C5196*1000*C5255</f>
        <v>7136.51917808221</v>
      </c>
      <c r="D5305" s="61" t="n">
        <f aca="false">D5196*1000*D5255</f>
        <v>38188.097260274</v>
      </c>
      <c r="E5305" s="61" t="n">
        <f aca="false">E5196*1000*E5255</f>
        <v>81884.1470676371</v>
      </c>
      <c r="F5305" s="61" t="n">
        <f aca="false">F5196*1000*F5255</f>
        <v>137472.044392124</v>
      </c>
      <c r="G5305" s="61" t="n">
        <f aca="false">G5196*1000*G5255</f>
        <v>208009.264126713</v>
      </c>
      <c r="H5305" s="2" t="s">
        <v>1283</v>
      </c>
    </row>
    <row r="5306" customFormat="false" ht="15" hidden="false" customHeight="false" outlineLevel="1" collapsed="false">
      <c r="A5306" s="7" t="s">
        <v>628</v>
      </c>
      <c r="B5306" s="8" t="s">
        <v>11</v>
      </c>
      <c r="C5306" s="61" t="n">
        <f aca="false">C5198*1000*C5278+C5199*1000*C5284</f>
        <v>0</v>
      </c>
      <c r="D5306" s="61" t="n">
        <f aca="false">D5198*1000*D5278+D5199*1000*D5284</f>
        <v>2537.5</v>
      </c>
      <c r="E5306" s="61" t="n">
        <f aca="false">E5198*1000*E5278+E5199*1000*E5284</f>
        <v>7612.5</v>
      </c>
      <c r="F5306" s="61" t="n">
        <f aca="false">F5198*1000*F5278+F5199*1000*F5284</f>
        <v>12687.5</v>
      </c>
      <c r="G5306" s="61" t="n">
        <f aca="false">G5198*1000*G5278+G5199*1000*G5284</f>
        <v>17762.5</v>
      </c>
      <c r="H5306" s="2" t="s">
        <v>1284</v>
      </c>
    </row>
    <row r="5307" customFormat="false" ht="15" hidden="false" customHeight="false" outlineLevel="1" collapsed="false">
      <c r="A5307" s="7" t="s">
        <v>629</v>
      </c>
      <c r="B5307" s="8" t="s">
        <v>11</v>
      </c>
      <c r="C5307" s="61" t="n">
        <f aca="false">C5304+C5305+C5306</f>
        <v>10602.0441780822</v>
      </c>
      <c r="D5307" s="61" t="n">
        <f aca="false">D5304+D5305+D5306</f>
        <v>50284.6875856165</v>
      </c>
      <c r="E5307" s="61" t="n">
        <f aca="false">E5304+E5305+E5306</f>
        <v>124940.93083476</v>
      </c>
      <c r="F5307" s="61" t="n">
        <f aca="false">F5304+F5305+F5306</f>
        <v>213462.446378425</v>
      </c>
      <c r="G5307" s="61" t="n">
        <f aca="false">G5304+G5305+G5306</f>
        <v>316204.481250001</v>
      </c>
      <c r="H5307" s="2" t="s">
        <v>1285</v>
      </c>
    </row>
    <row r="5308" customFormat="false" ht="15" hidden="false" customHeight="false" outlineLevel="1" collapsed="false">
      <c r="A5308" s="7" t="s">
        <v>630</v>
      </c>
      <c r="B5308" s="8" t="s">
        <v>64</v>
      </c>
      <c r="C5308" s="63" t="n">
        <f aca="false">IF(C5200&gt;0,C5307/(C5200*1000),0)</f>
        <v>0.251590986665454</v>
      </c>
      <c r="D5308" s="63" t="n">
        <f aca="false">IF(D5200&gt;0,D5307/(D5200*1000),0)</f>
        <v>0.0803751250119745</v>
      </c>
      <c r="E5308" s="63" t="n">
        <f aca="false">IF(E5200&gt;0,E5307/(E5200*1000),0)</f>
        <v>0.0776368177684462</v>
      </c>
      <c r="F5308" s="63" t="n">
        <f aca="false">IF(F5200&gt;0,F5307/(F5200*1000),0)</f>
        <v>0.0796932841942189</v>
      </c>
      <c r="G5308" s="63" t="n">
        <f aca="false">IF(G5200&gt;0,G5307/(G5200*1000),0)</f>
        <v>0.0822057666060057</v>
      </c>
      <c r="H5308" s="2" t="s">
        <v>1286</v>
      </c>
    </row>
    <row r="5309" customFormat="false" ht="15" hidden="false" customHeight="false" outlineLevel="1" collapsed="false">
      <c r="A5309" s="7" t="s">
        <v>631</v>
      </c>
      <c r="B5309" s="8" t="s">
        <v>76</v>
      </c>
      <c r="C5309" s="59" t="n">
        <f aca="false">IF(C5289&gt;0,C5307/C5289,0)</f>
        <v>0.0549397032692263</v>
      </c>
      <c r="D5309" s="59" t="n">
        <f aca="false">IF(D5289&gt;0,D5307/D5289,0)</f>
        <v>0.0403251756929674</v>
      </c>
      <c r="E5309" s="59" t="n">
        <f aca="false">IF(E5289&gt;0,E5307/E5289,0)</f>
        <v>0.0491232971555017</v>
      </c>
      <c r="F5309" s="59" t="n">
        <f aca="false">IF(F5289&gt;0,F5307/F5289,0)</f>
        <v>0.0504940765772536</v>
      </c>
      <c r="G5309" s="59" t="n">
        <f aca="false">IF(G5289&gt;0,G5307/G5289,0)</f>
        <v>0.0497901005786719</v>
      </c>
      <c r="H5309" s="2" t="s">
        <v>1287</v>
      </c>
    </row>
    <row r="5310" customFormat="false" ht="15" hidden="false" customHeight="false" outlineLevel="1" collapsed="false">
      <c r="A5310" s="2" t="s">
        <v>632</v>
      </c>
      <c r="B5310" s="8" t="s">
        <v>64</v>
      </c>
      <c r="C5310" s="63" t="n">
        <f aca="false">Pressupostos!$C$290*Pressupostos!$C$92*(Pressupostos!$C$95+Pressupostos!$C$96-Pressupostos!$C$97)/365*Pressupostos!$C$284/Pressupostos!$F$31</f>
        <v>0</v>
      </c>
      <c r="D5310" s="63" t="n">
        <f aca="false">Pressupostos!$D$290*Pressupostos!$C$92*(Pressupostos!$C$95+Pressupostos!$C$96-Pressupostos!$C$97)/365*Pressupostos!$D$284/Pressupostos!$F$31</f>
        <v>0.0647260273972603</v>
      </c>
      <c r="E5310" s="63" t="n">
        <f aca="false">Pressupostos!$E$290*Pressupostos!$C$92*(Pressupostos!$C$95+Pressupostos!$C$96-Pressupostos!$C$97)/365*Pressupostos!$E$284/Pressupostos!$F$31</f>
        <v>0.0606806506849315</v>
      </c>
      <c r="F5310" s="63" t="n">
        <f aca="false">Pressupostos!$F$290*Pressupostos!$C$92*(Pressupostos!$C$95+Pressupostos!$C$96-Pressupostos!$C$97)/365*Pressupostos!$F$284/Pressupostos!$F$31</f>
        <v>0.0566352739726028</v>
      </c>
      <c r="G5310" s="63" t="n">
        <f aca="false">Pressupostos!$G$290*Pressupostos!$C$92*(Pressupostos!$C$95+Pressupostos!$C$96-Pressupostos!$C$97)/365*Pressupostos!$G$284/Pressupostos!$F$31</f>
        <v>0.0566352739726028</v>
      </c>
      <c r="H5310" s="2" t="s">
        <v>1288</v>
      </c>
    </row>
    <row r="5311" customFormat="false" ht="15" hidden="false" customHeight="false" outlineLevel="1" collapsed="false">
      <c r="A5311" s="7" t="s">
        <v>600</v>
      </c>
      <c r="B5311" s="8" t="s">
        <v>11</v>
      </c>
      <c r="C5311" s="61" t="n">
        <f aca="false">C5208*1000*(Pressupostos!$C$93-Pressupostos!$C$92-Pressupostos!$C$94-C5310-Pressupostos!$C$98*Pressupostos!$C$93-Pressupostos!$C$99-Pressupostos!$F$29*Pressupostos!$C$92)</f>
        <v>0</v>
      </c>
      <c r="D5311" s="61" t="n">
        <f aca="false">D5208*1000*(Pressupostos!$C$93-Pressupostos!$C$92-Pressupostos!$C$94-D5310-Pressupostos!$C$98*Pressupostos!$C$93-Pressupostos!$C$99-Pressupostos!$F$29*Pressupostos!$C$92)</f>
        <v>0</v>
      </c>
      <c r="E5311" s="61" t="n">
        <f aca="false">E5208*1000*(Pressupostos!$C$93-Pressupostos!$C$92-Pressupostos!$C$94-E5310-Pressupostos!$C$98*Pressupostos!$C$93-Pressupostos!$C$99-Pressupostos!$F$29*Pressupostos!$C$92)</f>
        <v>0</v>
      </c>
      <c r="F5311" s="61" t="n">
        <f aca="false">F5208*1000*(Pressupostos!$C$93-Pressupostos!$C$92-Pressupostos!$C$94-F5310-Pressupostos!$C$98*Pressupostos!$C$93-Pressupostos!$C$99-Pressupostos!$F$29*Pressupostos!$C$92)</f>
        <v>7633.70616438356</v>
      </c>
      <c r="G5311" s="61" t="n">
        <f aca="false">G5208*1000*(Pressupostos!$C$93-Pressupostos!$C$92-Pressupostos!$C$94-G5310-Pressupostos!$C$98*Pressupostos!$C$93-Pressupostos!$C$99-Pressupostos!$F$29*Pressupostos!$C$92)</f>
        <v>19084.2654109589</v>
      </c>
      <c r="H5311" s="2" t="s">
        <v>1289</v>
      </c>
    </row>
    <row r="5312" customFormat="false" ht="15" hidden="false" customHeight="false" outlineLevel="1" collapsed="false">
      <c r="A5312" s="7" t="s">
        <v>633</v>
      </c>
      <c r="B5312" s="8" t="s">
        <v>11</v>
      </c>
      <c r="C5312" s="61" t="n">
        <f aca="false">C5292</f>
        <v>136.08</v>
      </c>
      <c r="D5312" s="61" t="n">
        <f aca="false">D5292</f>
        <v>510.3</v>
      </c>
      <c r="E5312" s="61" t="n">
        <f aca="false">E5292</f>
        <v>1360.8</v>
      </c>
      <c r="F5312" s="61" t="n">
        <f aca="false">F5292</f>
        <v>2381.4</v>
      </c>
      <c r="G5312" s="61" t="n">
        <f aca="false">G5292</f>
        <v>3402</v>
      </c>
      <c r="H5312" s="2" t="s">
        <v>1290</v>
      </c>
    </row>
    <row r="5313" customFormat="false" ht="15" hidden="false" customHeight="false" outlineLevel="1" collapsed="false">
      <c r="A5313" s="7" t="s">
        <v>634</v>
      </c>
      <c r="B5313" s="8" t="s">
        <v>11</v>
      </c>
      <c r="C5313" s="61" t="n">
        <f aca="false">C5294-C5328</f>
        <v>0</v>
      </c>
      <c r="D5313" s="61" t="n">
        <f aca="false">D5294-D5328</f>
        <v>10000</v>
      </c>
      <c r="E5313" s="61" t="n">
        <f aca="false">E5294-E5328</f>
        <v>30000</v>
      </c>
      <c r="F5313" s="61" t="n">
        <f aca="false">F5294-F5328</f>
        <v>60000</v>
      </c>
      <c r="G5313" s="61" t="n">
        <f aca="false">G5294-G5328</f>
        <v>100000</v>
      </c>
      <c r="H5313" s="2" t="s">
        <v>1291</v>
      </c>
    </row>
    <row r="5314" customFormat="false" ht="15" hidden="false" customHeight="false" outlineLevel="1" collapsed="false">
      <c r="A5314" s="7" t="s">
        <v>617</v>
      </c>
      <c r="B5314" s="8" t="s">
        <v>11</v>
      </c>
      <c r="C5314" s="61" t="n">
        <f aca="false">C5295</f>
        <v>0</v>
      </c>
      <c r="D5314" s="61" t="n">
        <f aca="false">D5295</f>
        <v>0</v>
      </c>
      <c r="E5314" s="61" t="n">
        <f aca="false">E5295</f>
        <v>0</v>
      </c>
      <c r="F5314" s="61" t="n">
        <f aca="false">F5295</f>
        <v>10000</v>
      </c>
      <c r="G5314" s="61" t="n">
        <f aca="false">G5295</f>
        <v>30000</v>
      </c>
      <c r="H5314" s="2" t="s">
        <v>1292</v>
      </c>
    </row>
    <row r="5315" customFormat="false" ht="15" hidden="false" customHeight="false" outlineLevel="1" collapsed="false">
      <c r="A5315" s="56" t="s">
        <v>635</v>
      </c>
      <c r="B5315" s="57" t="s">
        <v>11</v>
      </c>
      <c r="C5315" s="62" t="n">
        <f aca="false">C5307+C5311+C5312+C5313+C5314</f>
        <v>10738.1241780822</v>
      </c>
      <c r="D5315" s="62" t="n">
        <f aca="false">D5307+D5311+D5312+D5313+D5314</f>
        <v>60794.9875856165</v>
      </c>
      <c r="E5315" s="62" t="n">
        <f aca="false">E5307+E5311+E5312+E5313+E5314</f>
        <v>156301.73083476</v>
      </c>
      <c r="F5315" s="62" t="n">
        <f aca="false">F5307+F5311+F5312+F5313+F5314</f>
        <v>293477.552542809</v>
      </c>
      <c r="G5315" s="62" t="n">
        <f aca="false">G5307+G5311+G5312+G5313+G5314</f>
        <v>468690.74666096</v>
      </c>
      <c r="H5315" s="2" t="s">
        <v>1293</v>
      </c>
    </row>
    <row r="5316" customFormat="false" ht="15" hidden="false" customHeight="false" outlineLevel="0" collapsed="false">
      <c r="A5316" s="3" t="s">
        <v>1294</v>
      </c>
      <c r="B5316" s="4"/>
      <c r="C5316" s="4"/>
      <c r="D5316" s="4"/>
      <c r="E5316" s="4"/>
      <c r="F5316" s="4"/>
      <c r="G5316" s="4"/>
      <c r="H5316" s="4"/>
    </row>
    <row r="5317" customFormat="false" ht="15" hidden="false" customHeight="false" outlineLevel="1" collapsed="false">
      <c r="A5317" s="7" t="s">
        <v>686</v>
      </c>
      <c r="B5317" s="8" t="s">
        <v>11</v>
      </c>
      <c r="C5317" s="61" t="n">
        <f aca="false">C5195*1000*(C5213+C5216)+C5196*1000*(C5236+C5239)+C5198*1000*(C5259+C5262)</f>
        <v>171528</v>
      </c>
      <c r="D5317" s="61" t="n">
        <f aca="false">D5195*1000*(D5213+D5216)+D5196*1000*(D5236+D5239)+D5198*1000*(D5259+D5262)</f>
        <v>1119510</v>
      </c>
      <c r="E5317" s="61" t="n">
        <f aca="false">E5195*1000*(E5213+E5216)+E5196*1000*(E5236+E5239)+E5198*1000*(E5259+E5262)</f>
        <v>2273775</v>
      </c>
      <c r="F5317" s="61" t="n">
        <f aca="false">F5195*1000*(F5213+F5216)+F5196*1000*(F5236+F5239)+F5198*1000*(F5259+F5262)</f>
        <v>3775695</v>
      </c>
      <c r="G5317" s="61" t="n">
        <f aca="false">G5195*1000*(G5213+G5216)+G5196*1000*(G5236+G5239)+G5198*1000*(G5259+G5262)</f>
        <v>5677350</v>
      </c>
      <c r="H5317" s="2" t="s">
        <v>1295</v>
      </c>
    </row>
    <row r="5318" customFormat="false" ht="15" hidden="false" customHeight="false" outlineLevel="1" collapsed="false">
      <c r="A5318" s="7" t="s">
        <v>687</v>
      </c>
      <c r="B5318" s="8" t="s">
        <v>11</v>
      </c>
      <c r="C5318" s="61" t="n">
        <f aca="false">C5208*1000*Pressupostos!$C$92</f>
        <v>0</v>
      </c>
      <c r="D5318" s="61" t="n">
        <f aca="false">D5208*1000*Pressupostos!$C$92</f>
        <v>0</v>
      </c>
      <c r="E5318" s="61" t="n">
        <f aca="false">E5208*1000*Pressupostos!$C$92</f>
        <v>0</v>
      </c>
      <c r="F5318" s="61" t="n">
        <f aca="false">F5208*1000*Pressupostos!$C$92</f>
        <v>98000</v>
      </c>
      <c r="G5318" s="61" t="n">
        <f aca="false">G5208*1000*Pressupostos!$C$92</f>
        <v>245000</v>
      </c>
      <c r="H5318" s="2" t="s">
        <v>1296</v>
      </c>
    </row>
    <row r="5319" customFormat="false" ht="15" hidden="false" customHeight="false" outlineLevel="1" collapsed="false">
      <c r="A5319" s="7" t="s">
        <v>688</v>
      </c>
      <c r="B5319" s="8" t="s">
        <v>11</v>
      </c>
      <c r="C5319" s="61" t="n">
        <f aca="false">C5317+C5318</f>
        <v>171528</v>
      </c>
      <c r="D5319" s="61" t="n">
        <f aca="false">D5317+D5318</f>
        <v>1119510</v>
      </c>
      <c r="E5319" s="61" t="n">
        <f aca="false">E5317+E5318</f>
        <v>2273775</v>
      </c>
      <c r="F5319" s="61" t="n">
        <f aca="false">F5317+F5318</f>
        <v>3873695</v>
      </c>
      <c r="G5319" s="61" t="n">
        <f aca="false">G5317+G5318</f>
        <v>5922350</v>
      </c>
      <c r="H5319" s="2" t="s">
        <v>1297</v>
      </c>
    </row>
    <row r="5320" customFormat="false" ht="15" hidden="false" customHeight="false" outlineLevel="1" collapsed="false">
      <c r="A5320" s="7" t="s">
        <v>215</v>
      </c>
      <c r="B5320" s="8" t="s">
        <v>11</v>
      </c>
      <c r="C5320" s="61" t="n">
        <f aca="false">C5195*1000*(C5217)+C5196*1000*(C5240)+C5198*1000*(C5263)+C5208*1000*Pressupostos!$C$94</f>
        <v>5362</v>
      </c>
      <c r="D5320" s="61" t="n">
        <f aca="false">D5195*1000*(D5217)+D5196*1000*(D5240)+D5198*1000*(D5263)+D5208*1000*Pressupostos!$C$94</f>
        <v>31867.5</v>
      </c>
      <c r="E5320" s="61" t="n">
        <f aca="false">E5195*1000*(E5217)+E5196*1000*(E5240)+E5198*1000*(E5263)+E5208*1000*Pressupostos!$C$94</f>
        <v>61243</v>
      </c>
      <c r="F5320" s="61" t="n">
        <f aca="false">F5195*1000*(F5217)+F5196*1000*(F5240)+F5198*1000*(F5263)+F5208*1000*Pressupostos!$C$94</f>
        <v>103750.5</v>
      </c>
      <c r="G5320" s="61" t="n">
        <f aca="false">G5195*1000*(G5217)+G5196*1000*(G5240)+G5198*1000*(G5263)+G5208*1000*Pressupostos!$C$94</f>
        <v>156765</v>
      </c>
      <c r="H5320" s="2" t="s">
        <v>1298</v>
      </c>
    </row>
    <row r="5321" customFormat="false" ht="15" hidden="false" customHeight="false" outlineLevel="1" collapsed="false">
      <c r="A5321" s="7" t="s">
        <v>117</v>
      </c>
      <c r="B5321" s="8" t="s">
        <v>11</v>
      </c>
      <c r="C5321" s="61" t="n">
        <f aca="false">C5195*1000*(C5218)+C5196*1000*(C5241)+C5198*1000*(C5264)</f>
        <v>344.4</v>
      </c>
      <c r="D5321" s="61" t="n">
        <f aca="false">D5195*1000*(D5218)+D5196*1000*(D5241)+D5198*1000*(D5264)</f>
        <v>1291.5</v>
      </c>
      <c r="E5321" s="61" t="n">
        <f aca="false">E5195*1000*(E5218)+E5196*1000*(E5241)+E5198*1000*(E5264)</f>
        <v>3444</v>
      </c>
      <c r="F5321" s="61" t="n">
        <f aca="false">F5195*1000*(F5218)+F5196*1000*(F5241)+F5198*1000*(F5264)</f>
        <v>6027</v>
      </c>
      <c r="G5321" s="61" t="n">
        <f aca="false">G5195*1000*(G5218)+G5196*1000*(G5241)+G5198*1000*(G5264)</f>
        <v>8610</v>
      </c>
      <c r="H5321" s="2" t="s">
        <v>1299</v>
      </c>
    </row>
    <row r="5322" customFormat="false" ht="15" hidden="false" customHeight="false" outlineLevel="1" collapsed="false">
      <c r="A5322" s="7" t="s">
        <v>689</v>
      </c>
      <c r="B5322" s="8" t="s">
        <v>11</v>
      </c>
      <c r="C5322" s="61" t="n">
        <f aca="false">C5195*1000*(C5221+C5222)+C5196*1000*(C5244+C5245)+C5198*1000*(C5267+C5268)</f>
        <v>325.564821917808</v>
      </c>
      <c r="D5322" s="61" t="n">
        <f aca="false">D5195*1000*(D5221+D5222)+D5196*1000*(D5244+D5245)+D5198*1000*(D5267+D5268)</f>
        <v>1760.86150684932</v>
      </c>
      <c r="E5322" s="61" t="n">
        <f aca="false">E5195*1000*(E5221+E5222)+E5196*1000*(E5244+E5245)+E5198*1000*(E5267+E5268)</f>
        <v>2700.67479452055</v>
      </c>
      <c r="F5322" s="61" t="n">
        <f aca="false">F5195*1000*(F5221+F5222)+F5196*1000*(F5244+F5245)+F5198*1000*(F5267+F5268)</f>
        <v>4495.55869863014</v>
      </c>
      <c r="G5322" s="61" t="n">
        <f aca="false">G5195*1000*(G5221+G5222)+G5196*1000*(G5244+G5245)+G5198*1000*(G5267+G5268)</f>
        <v>6743.65136986301</v>
      </c>
      <c r="H5322" s="2" t="s">
        <v>1300</v>
      </c>
    </row>
    <row r="5323" customFormat="false" ht="15" hidden="false" customHeight="false" outlineLevel="1" collapsed="false">
      <c r="A5323" s="7" t="s">
        <v>690</v>
      </c>
      <c r="B5323" s="8" t="s">
        <v>11</v>
      </c>
      <c r="C5323" s="61" t="n">
        <f aca="false">C5195*1000*(C5223+C5224+C5225)+C5196*1000*(C5246+C5247+C5248)+C5198*1000*(C5269+C5270+C5271)</f>
        <v>1872.675</v>
      </c>
      <c r="D5323" s="61" t="n">
        <f aca="false">D5195*1000*(D5223+D5224+D5225)+D5196*1000*(D5246+D5247+D5248)+D5198*1000*(D5269+D5270+D5271)</f>
        <v>11844.13125</v>
      </c>
      <c r="E5323" s="61" t="n">
        <f aca="false">E5195*1000*(E5223+E5224+E5225)+E5196*1000*(E5246+E5247+E5248)+E5198*1000*(E5269+E5270+E5271)</f>
        <v>23605.75</v>
      </c>
      <c r="F5323" s="61" t="n">
        <f aca="false">F5195*1000*(F5223+F5224+F5225)+F5196*1000*(F5246+F5247+F5248)+F5198*1000*(F5269+F5270+F5271)</f>
        <v>39250.8375</v>
      </c>
      <c r="G5323" s="61" t="n">
        <f aca="false">G5195*1000*(G5223+G5224+G5225)+G5196*1000*(G5246+G5247+G5248)+G5198*1000*(G5269+G5270+G5271)</f>
        <v>58942.625</v>
      </c>
      <c r="H5323" s="2" t="s">
        <v>1301</v>
      </c>
    </row>
    <row r="5324" customFormat="false" ht="15" hidden="false" customHeight="false" outlineLevel="1" collapsed="false">
      <c r="A5324" s="7" t="s">
        <v>673</v>
      </c>
      <c r="B5324" s="8" t="s">
        <v>11</v>
      </c>
      <c r="C5324" s="61" t="n">
        <f aca="false">C5195*1000*(C5226)+C5196*1000*(C5249)+C5198*1000*(C5272)</f>
        <v>2030</v>
      </c>
      <c r="D5324" s="61" t="n">
        <f aca="false">D5195*1000*(D5226)+D5196*1000*(D5249)+D5198*1000*(D5272)</f>
        <v>12316.5</v>
      </c>
      <c r="E5324" s="61" t="n">
        <f aca="false">E5195*1000*(E5226)+E5196*1000*(E5249)+E5198*1000*(E5272)</f>
        <v>25816</v>
      </c>
      <c r="F5324" s="61" t="n">
        <f aca="false">F5195*1000*(F5226)+F5196*1000*(F5249)+F5198*1000*(F5272)</f>
        <v>43169</v>
      </c>
      <c r="G5324" s="61" t="n">
        <f aca="false">G5195*1000*(G5226)+G5196*1000*(G5249)+G5198*1000*(G5272)</f>
        <v>64470</v>
      </c>
      <c r="H5324" s="2" t="s">
        <v>1302</v>
      </c>
    </row>
    <row r="5325" customFormat="false" ht="15" hidden="false" customHeight="false" outlineLevel="1" collapsed="false">
      <c r="A5325" s="7" t="s">
        <v>691</v>
      </c>
      <c r="B5325" s="8" t="s">
        <v>11</v>
      </c>
      <c r="C5325" s="61" t="n">
        <f aca="false">C5195*1000*(C5227)+C5196*1000*(C5250)+C5198*1000*(C5273)+C5208*1000*Pressupostos!$C$99</f>
        <v>239.4</v>
      </c>
      <c r="D5325" s="61" t="n">
        <f aca="false">D5195*1000*(D5227)+D5196*1000*(D5250)+D5198*1000*(D5273)+D5208*1000*Pressupostos!$C$99</f>
        <v>1485.75</v>
      </c>
      <c r="E5325" s="61" t="n">
        <f aca="false">E5195*1000*(E5227)+E5196*1000*(E5250)+E5198*1000*(E5273)+E5208*1000*Pressupostos!$C$99</f>
        <v>3083.5</v>
      </c>
      <c r="F5325" s="61" t="n">
        <f aca="false">F5195*1000*(F5227)+F5196*1000*(F5250)+F5198*1000*(F5273)+F5208*1000*Pressupostos!$C$99</f>
        <v>5565</v>
      </c>
      <c r="G5325" s="61" t="n">
        <f aca="false">G5195*1000*(G5227)+G5196*1000*(G5250)+G5198*1000*(G5273)+G5208*1000*Pressupostos!$C$99</f>
        <v>8750</v>
      </c>
      <c r="H5325" s="2" t="s">
        <v>1303</v>
      </c>
    </row>
    <row r="5326" customFormat="false" ht="15" hidden="false" customHeight="false" outlineLevel="1" collapsed="false">
      <c r="A5326" s="7" t="s">
        <v>81</v>
      </c>
      <c r="B5326" s="8" t="s">
        <v>11</v>
      </c>
      <c r="C5326" s="61" t="n">
        <f aca="false">C5195*1000*(C5228)+C5196*1000*(C5251)+C5198*1000*(C5274)+C5208*1000*Pressupostos!$C$98*Pressupostos!$C$93</f>
        <v>671.916</v>
      </c>
      <c r="D5326" s="61" t="n">
        <f aca="false">D5195*1000*(D5228)+D5196*1000*(D5251)+D5198*1000*(D5274)+D5208*1000*Pressupostos!$C$98*Pressupostos!$C$93</f>
        <v>4089.645</v>
      </c>
      <c r="E5326" s="61" t="n">
        <f aca="false">E5195*1000*(E5228)+E5196*1000*(E5251)+E5198*1000*(E5274)+E5208*1000*Pressupostos!$C$98*Pressupostos!$C$93</f>
        <v>8560.125</v>
      </c>
      <c r="F5326" s="61" t="n">
        <f aca="false">F5195*1000*(F5228)+F5196*1000*(F5251)+F5198*1000*(F5274)+F5208*1000*Pressupostos!$C$98*Pressupostos!$C$93</f>
        <v>14969.115</v>
      </c>
      <c r="G5326" s="61" t="n">
        <f aca="false">G5195*1000*(G5228)+G5196*1000*(G5251)+G5198*1000*(G5274)+G5208*1000*Pressupostos!$C$98*Pressupostos!$C$93</f>
        <v>23025.45</v>
      </c>
      <c r="H5326" s="2" t="s">
        <v>1304</v>
      </c>
    </row>
    <row r="5327" customFormat="false" ht="15" hidden="false" customHeight="false" outlineLevel="1" collapsed="false">
      <c r="A5327" s="7" t="s">
        <v>692</v>
      </c>
      <c r="B5327" s="8" t="s">
        <v>11</v>
      </c>
      <c r="C5327" s="61" t="n">
        <f aca="false">C5195*1000*(C5229)+C5196*1000*(C5252)+C5198*1000*(C5275)+C5208*1000*Pressupostos!$F$29*Pressupostos!$C$92</f>
        <v>0</v>
      </c>
      <c r="D5327" s="61" t="n">
        <f aca="false">D5195*1000*(D5229)+D5196*1000*(D5252)+D5198*1000*(D5275)+D5208*1000*Pressupostos!$F$29*Pressupostos!$C$92</f>
        <v>0</v>
      </c>
      <c r="E5327" s="61" t="n">
        <f aca="false">E5195*1000*(E5229)+E5196*1000*(E5252)+E5198*1000*(E5275)+E5208*1000*Pressupostos!$F$29*Pressupostos!$C$92</f>
        <v>0</v>
      </c>
      <c r="F5327" s="61" t="n">
        <f aca="false">F5195*1000*(F5229)+F5196*1000*(F5252)+F5198*1000*(F5275)+F5208*1000*Pressupostos!$F$29*Pressupostos!$C$92</f>
        <v>294</v>
      </c>
      <c r="G5327" s="61" t="n">
        <f aca="false">G5195*1000*(G5229)+G5196*1000*(G5252)+G5198*1000*(G5275)+G5208*1000*Pressupostos!$F$29*Pressupostos!$C$92</f>
        <v>735</v>
      </c>
      <c r="H5327" s="2" t="s">
        <v>1305</v>
      </c>
    </row>
    <row r="5328" customFormat="false" ht="15" hidden="false" customHeight="false" outlineLevel="1" collapsed="false">
      <c r="A5328" s="7" t="s">
        <v>693</v>
      </c>
      <c r="B5328" s="8" t="s">
        <v>11</v>
      </c>
      <c r="C5328" s="61" t="n">
        <f aca="false">C5211*1000*Pressupostos!$C$104*Pressupostos!$F$30</f>
        <v>0</v>
      </c>
      <c r="D5328" s="61" t="n">
        <f aca="false">D5211*1000*Pressupostos!$C$104*Pressupostos!$F$30</f>
        <v>0</v>
      </c>
      <c r="E5328" s="61" t="n">
        <f aca="false">E5211*1000*Pressupostos!$C$104*Pressupostos!$F$30</f>
        <v>0</v>
      </c>
      <c r="F5328" s="61" t="n">
        <f aca="false">F5211*1000*Pressupostos!$C$104*Pressupostos!$F$30</f>
        <v>0</v>
      </c>
      <c r="G5328" s="61" t="n">
        <f aca="false">G5211*1000*Pressupostos!$C$104*Pressupostos!$F$30</f>
        <v>0</v>
      </c>
      <c r="H5328" s="2" t="s">
        <v>1306</v>
      </c>
    </row>
    <row r="5329" customFormat="false" ht="15" hidden="false" customHeight="false" outlineLevel="1" collapsed="false">
      <c r="A5329" s="7" t="s">
        <v>694</v>
      </c>
      <c r="B5329" s="8" t="s">
        <v>11</v>
      </c>
      <c r="C5329" s="61" t="n">
        <f aca="false">C5199*1000*C5283</f>
        <v>0</v>
      </c>
      <c r="D5329" s="61" t="n">
        <f aca="false">D5199*1000*D5283</f>
        <v>6650</v>
      </c>
      <c r="E5329" s="61" t="n">
        <f aca="false">E5199*1000*E5283</f>
        <v>19950</v>
      </c>
      <c r="F5329" s="61" t="n">
        <f aca="false">F5199*1000*F5283</f>
        <v>33250</v>
      </c>
      <c r="G5329" s="61" t="n">
        <f aca="false">G5199*1000*G5283</f>
        <v>46550</v>
      </c>
      <c r="H5329" s="2" t="s">
        <v>1307</v>
      </c>
    </row>
    <row r="5330" customFormat="false" ht="15" hidden="false" customHeight="false" outlineLevel="1" collapsed="false">
      <c r="A5330" s="7" t="s">
        <v>695</v>
      </c>
      <c r="B5330" s="8" t="s">
        <v>11</v>
      </c>
      <c r="C5330" s="61" t="n">
        <f aca="false">C5320+C5321+C5322+C5323+C5324+C5325+C5326+C5327+C5328+C5329</f>
        <v>10845.9558219178</v>
      </c>
      <c r="D5330" s="61" t="n">
        <f aca="false">D5320+D5321+D5322+D5323+D5324+D5325+D5326+D5327+D5328+D5329</f>
        <v>71305.8877568493</v>
      </c>
      <c r="E5330" s="61" t="n">
        <f aca="false">E5320+E5321+E5322+E5323+E5324+E5325+E5326+E5327+E5328+E5329</f>
        <v>148403.049794521</v>
      </c>
      <c r="F5330" s="61" t="n">
        <f aca="false">F5320+F5321+F5322+F5323+F5324+F5325+F5326+F5327+F5328+F5329</f>
        <v>250771.01119863</v>
      </c>
      <c r="G5330" s="61" t="n">
        <f aca="false">G5320+G5321+G5322+G5323+G5324+G5325+G5326+G5327+G5328+G5329</f>
        <v>374591.726369863</v>
      </c>
      <c r="H5330" s="2" t="s">
        <v>1308</v>
      </c>
    </row>
    <row r="5331" customFormat="false" ht="15" hidden="false" customHeight="false" outlineLevel="1" collapsed="false">
      <c r="A5331" s="7" t="s">
        <v>696</v>
      </c>
      <c r="B5331" s="8" t="s">
        <v>11</v>
      </c>
      <c r="C5331" s="61" t="n">
        <f aca="false">C5195*1000*(C5230)+C5196*1000*(C5253)+C5198*1000*(C5276)</f>
        <v>0</v>
      </c>
      <c r="D5331" s="61" t="n">
        <f aca="false">D5195*1000*(D5230)+D5196*1000*(D5253)+D5198*1000*(D5276)</f>
        <v>15066.9246575342</v>
      </c>
      <c r="E5331" s="61" t="n">
        <f aca="false">E5195*1000*(E5230)+E5196*1000*(E5253)+E5198*1000*(E5276)</f>
        <v>23858.5193707192</v>
      </c>
      <c r="F5331" s="61" t="n">
        <f aca="false">F5195*1000*(F5230)+F5196*1000*(F5253)+F5198*1000*(F5276)</f>
        <v>36957.4424229452</v>
      </c>
      <c r="G5331" s="61" t="n">
        <f aca="false">G5195*1000*(G5230)+G5196*1000*(G5253)+G5198*1000*(G5276)</f>
        <v>55599.792380137</v>
      </c>
      <c r="H5331" s="2" t="s">
        <v>1309</v>
      </c>
    </row>
    <row r="5332" customFormat="false" ht="15" hidden="false" customHeight="false" outlineLevel="1" collapsed="false">
      <c r="A5332" s="7" t="s">
        <v>697</v>
      </c>
      <c r="B5332" s="8" t="s">
        <v>11</v>
      </c>
      <c r="C5332" s="61" t="n">
        <f aca="false">C5208*1000*C5310</f>
        <v>0</v>
      </c>
      <c r="D5332" s="61" t="n">
        <f aca="false">D5208*1000*D5310</f>
        <v>0</v>
      </c>
      <c r="E5332" s="61" t="n">
        <f aca="false">E5208*1000*E5310</f>
        <v>0</v>
      </c>
      <c r="F5332" s="61" t="n">
        <f aca="false">F5208*1000*F5310</f>
        <v>792.893835616438</v>
      </c>
      <c r="G5332" s="61" t="n">
        <f aca="false">G5208*1000*G5310</f>
        <v>1982.2345890411</v>
      </c>
      <c r="H5332" s="2" t="s">
        <v>1310</v>
      </c>
    </row>
    <row r="5333" customFormat="false" ht="15" hidden="false" customHeight="false" outlineLevel="1" collapsed="false">
      <c r="A5333" s="7" t="s">
        <v>698</v>
      </c>
      <c r="B5333" s="8" t="s">
        <v>11</v>
      </c>
      <c r="C5333" s="61" t="n">
        <f aca="false">C5331+C5332</f>
        <v>0</v>
      </c>
      <c r="D5333" s="61" t="n">
        <f aca="false">D5331+D5332</f>
        <v>15066.9246575342</v>
      </c>
      <c r="E5333" s="61" t="n">
        <f aca="false">E5331+E5332</f>
        <v>23858.5193707192</v>
      </c>
      <c r="F5333" s="61" t="n">
        <f aca="false">F5331+F5332</f>
        <v>37750.3362585616</v>
      </c>
      <c r="G5333" s="61" t="n">
        <f aca="false">G5331+G5332</f>
        <v>57582.0269691781</v>
      </c>
      <c r="H5333" s="2" t="s">
        <v>1311</v>
      </c>
    </row>
    <row r="5334" customFormat="false" ht="15" hidden="false" customHeight="false" outlineLevel="1" collapsed="false">
      <c r="A5334" s="8" t="s">
        <v>699</v>
      </c>
      <c r="B5334" s="8" t="s">
        <v>11</v>
      </c>
      <c r="C5334" s="70" t="n">
        <f aca="false">ROUND(C5296-C5319-C5330-C5333-C5315,6)</f>
        <v>-0</v>
      </c>
      <c r="D5334" s="70" t="n">
        <f aca="false">ROUND(D5296-D5319-D5330-D5333-D5315,6)</f>
        <v>-0</v>
      </c>
      <c r="E5334" s="70" t="n">
        <f aca="false">ROUND(E5296-E5319-E5330-E5333-E5315,6)</f>
        <v>-0</v>
      </c>
      <c r="F5334" s="70" t="n">
        <f aca="false">ROUND(F5296-F5319-F5330-F5333-F5315,6)</f>
        <v>0</v>
      </c>
      <c r="G5334" s="70" t="n">
        <f aca="false">ROUND(G5296-G5319-G5330-G5333-G5315,6)</f>
        <v>-0</v>
      </c>
      <c r="H5334" s="2" t="s">
        <v>1312</v>
      </c>
    </row>
    <row r="5335" customFormat="false" ht="15" hidden="false" customHeight="false" outlineLevel="0" collapsed="false">
      <c r="A5335" s="3" t="s">
        <v>1313</v>
      </c>
      <c r="B5335" s="4"/>
      <c r="C5335" s="4"/>
      <c r="D5335" s="4"/>
      <c r="E5335" s="4"/>
      <c r="F5335" s="4"/>
      <c r="G5335" s="4"/>
      <c r="H5335" s="4"/>
    </row>
    <row r="5336" customFormat="false" ht="15" hidden="false" customHeight="false" outlineLevel="1" collapsed="false">
      <c r="A5336" s="7" t="s">
        <v>638</v>
      </c>
      <c r="B5336" s="8" t="s">
        <v>432</v>
      </c>
      <c r="C5336" s="64" t="n">
        <f aca="false">Pressupostos!$C$334</f>
        <v>1</v>
      </c>
      <c r="D5336" s="64" t="n">
        <f aca="false">Pressupostos!$D$334</f>
        <v>1</v>
      </c>
      <c r="E5336" s="64" t="n">
        <f aca="false">Pressupostos!$E$334</f>
        <v>1</v>
      </c>
      <c r="F5336" s="64" t="n">
        <f aca="false">Pressupostos!$F$334</f>
        <v>1</v>
      </c>
      <c r="G5336" s="64" t="n">
        <f aca="false">Pressupostos!$G$334</f>
        <v>1</v>
      </c>
      <c r="H5336" s="2" t="s">
        <v>1314</v>
      </c>
    </row>
    <row r="5337" customFormat="false" ht="15" hidden="false" customHeight="false" outlineLevel="1" collapsed="false">
      <c r="A5337" s="7" t="s">
        <v>639</v>
      </c>
      <c r="B5337" s="8" t="s">
        <v>432</v>
      </c>
      <c r="C5337" s="64" t="n">
        <f aca="false">Pressupostos!$C$340</f>
        <v>1</v>
      </c>
      <c r="D5337" s="64" t="n">
        <f aca="false">Pressupostos!$D$340</f>
        <v>1</v>
      </c>
      <c r="E5337" s="64" t="n">
        <f aca="false">Pressupostos!$E$340</f>
        <v>1</v>
      </c>
      <c r="F5337" s="64" t="n">
        <f aca="false">Pressupostos!$F$340</f>
        <v>1</v>
      </c>
      <c r="G5337" s="64" t="n">
        <f aca="false">Pressupostos!$G$340</f>
        <v>1</v>
      </c>
      <c r="H5337" s="2" t="s">
        <v>1315</v>
      </c>
    </row>
    <row r="5338" customFormat="false" ht="15" hidden="false" customHeight="false" outlineLevel="1" collapsed="false">
      <c r="A5338" s="7" t="s">
        <v>640</v>
      </c>
      <c r="B5338" s="8" t="s">
        <v>432</v>
      </c>
      <c r="C5338" s="64" t="n">
        <f aca="false">Pressupostos!$C$346</f>
        <v>0</v>
      </c>
      <c r="D5338" s="64" t="n">
        <f aca="false">Pressupostos!$D$346</f>
        <v>1</v>
      </c>
      <c r="E5338" s="64" t="n">
        <f aca="false">Pressupostos!$E$346</f>
        <v>1</v>
      </c>
      <c r="F5338" s="64" t="n">
        <f aca="false">Pressupostos!$F$346</f>
        <v>1</v>
      </c>
      <c r="G5338" s="64" t="n">
        <f aca="false">Pressupostos!$G$346</f>
        <v>1</v>
      </c>
      <c r="H5338" s="2" t="s">
        <v>1316</v>
      </c>
    </row>
    <row r="5339" customFormat="false" ht="15" hidden="false" customHeight="false" outlineLevel="1" collapsed="false">
      <c r="A5339" s="7" t="s">
        <v>641</v>
      </c>
      <c r="B5339" s="8" t="s">
        <v>432</v>
      </c>
      <c r="C5339" s="64" t="n">
        <f aca="false">Pressupostos!$C$352</f>
        <v>0.5</v>
      </c>
      <c r="D5339" s="64" t="n">
        <f aca="false">Pressupostos!$D$352</f>
        <v>1</v>
      </c>
      <c r="E5339" s="64" t="n">
        <f aca="false">Pressupostos!$E$352</f>
        <v>1</v>
      </c>
      <c r="F5339" s="64" t="n">
        <f aca="false">Pressupostos!$F$352</f>
        <v>1</v>
      </c>
      <c r="G5339" s="64" t="n">
        <f aca="false">Pressupostos!$G$352</f>
        <v>1</v>
      </c>
      <c r="H5339" s="2" t="s">
        <v>1317</v>
      </c>
    </row>
    <row r="5340" customFormat="false" ht="15" hidden="false" customHeight="false" outlineLevel="1" collapsed="false">
      <c r="A5340" s="7" t="s">
        <v>642</v>
      </c>
      <c r="B5340" s="8" t="s">
        <v>432</v>
      </c>
      <c r="C5340" s="64" t="n">
        <f aca="false">Pressupostos!$C$358</f>
        <v>0.5</v>
      </c>
      <c r="D5340" s="64" t="n">
        <f aca="false">Pressupostos!$D$358</f>
        <v>0.5</v>
      </c>
      <c r="E5340" s="64" t="n">
        <f aca="false">Pressupostos!$E$358</f>
        <v>0.5</v>
      </c>
      <c r="F5340" s="64" t="n">
        <f aca="false">Pressupostos!$F$358</f>
        <v>1</v>
      </c>
      <c r="G5340" s="64" t="n">
        <f aca="false">Pressupostos!$G$358</f>
        <v>1</v>
      </c>
      <c r="H5340" s="2" t="s">
        <v>1318</v>
      </c>
    </row>
    <row r="5341" customFormat="false" ht="15" hidden="false" customHeight="false" outlineLevel="1" collapsed="false">
      <c r="A5341" s="7" t="s">
        <v>643</v>
      </c>
      <c r="B5341" s="8" t="s">
        <v>432</v>
      </c>
      <c r="C5341" s="64" t="n">
        <f aca="false">Pressupostos!$C$364</f>
        <v>1</v>
      </c>
      <c r="D5341" s="64" t="n">
        <f aca="false">Pressupostos!$D$364</f>
        <v>1</v>
      </c>
      <c r="E5341" s="64" t="n">
        <f aca="false">Pressupostos!$E$364</f>
        <v>1</v>
      </c>
      <c r="F5341" s="64" t="n">
        <f aca="false">Pressupostos!$F$364</f>
        <v>1</v>
      </c>
      <c r="G5341" s="64" t="n">
        <f aca="false">Pressupostos!$G$364</f>
        <v>1</v>
      </c>
      <c r="H5341" s="2" t="s">
        <v>1319</v>
      </c>
    </row>
    <row r="5342" customFormat="false" ht="15" hidden="false" customHeight="false" outlineLevel="1" collapsed="false">
      <c r="A5342" s="7" t="s">
        <v>644</v>
      </c>
      <c r="B5342" s="8" t="s">
        <v>432</v>
      </c>
      <c r="C5342" s="64" t="n">
        <f aca="false">Pressupostos!$C$370</f>
        <v>0.5</v>
      </c>
      <c r="D5342" s="64" t="n">
        <f aca="false">Pressupostos!$D$370</f>
        <v>1</v>
      </c>
      <c r="E5342" s="64" t="n">
        <f aca="false">Pressupostos!$E$370</f>
        <v>1</v>
      </c>
      <c r="F5342" s="64" t="n">
        <f aca="false">Pressupostos!$F$370</f>
        <v>1</v>
      </c>
      <c r="G5342" s="64" t="n">
        <f aca="false">Pressupostos!$G$370</f>
        <v>1</v>
      </c>
      <c r="H5342" s="2" t="s">
        <v>1320</v>
      </c>
    </row>
    <row r="5343" customFormat="false" ht="15" hidden="false" customHeight="false" outlineLevel="1" collapsed="false">
      <c r="A5343" s="7" t="s">
        <v>645</v>
      </c>
      <c r="B5343" s="8" t="s">
        <v>432</v>
      </c>
      <c r="C5343" s="64" t="n">
        <f aca="false">Pressupostos!$C$376</f>
        <v>1</v>
      </c>
      <c r="D5343" s="64" t="n">
        <f aca="false">Pressupostos!$D$376</f>
        <v>1</v>
      </c>
      <c r="E5343" s="64" t="n">
        <f aca="false">Pressupostos!$E$376</f>
        <v>1</v>
      </c>
      <c r="F5343" s="64" t="n">
        <f aca="false">Pressupostos!$F$376</f>
        <v>2</v>
      </c>
      <c r="G5343" s="64" t="n">
        <f aca="false">Pressupostos!$G$376</f>
        <v>3</v>
      </c>
      <c r="H5343" s="2" t="s">
        <v>1321</v>
      </c>
    </row>
    <row r="5344" customFormat="false" ht="15" hidden="false" customHeight="false" outlineLevel="1" collapsed="false">
      <c r="A5344" s="7" t="s">
        <v>646</v>
      </c>
      <c r="B5344" s="8" t="s">
        <v>432</v>
      </c>
      <c r="C5344" s="64" t="n">
        <f aca="false">Pressupostos!$C$382</f>
        <v>0</v>
      </c>
      <c r="D5344" s="64" t="n">
        <f aca="false">Pressupostos!$D$382</f>
        <v>0</v>
      </c>
      <c r="E5344" s="64" t="n">
        <f aca="false">Pressupostos!$E$382</f>
        <v>0</v>
      </c>
      <c r="F5344" s="64" t="n">
        <f aca="false">Pressupostos!$F$382</f>
        <v>0</v>
      </c>
      <c r="G5344" s="64" t="n">
        <f aca="false">Pressupostos!$G$382</f>
        <v>0</v>
      </c>
      <c r="H5344" s="2" t="s">
        <v>1322</v>
      </c>
    </row>
    <row r="5345" customFormat="false" ht="15" hidden="false" customHeight="false" outlineLevel="1" collapsed="false">
      <c r="A5345" s="7" t="s">
        <v>647</v>
      </c>
      <c r="B5345" s="8" t="s">
        <v>432</v>
      </c>
      <c r="C5345" s="64" t="n">
        <f aca="false">Pressupostos!$C$388</f>
        <v>0</v>
      </c>
      <c r="D5345" s="64" t="n">
        <f aca="false">Pressupostos!$D$388</f>
        <v>0</v>
      </c>
      <c r="E5345" s="64" t="n">
        <f aca="false">Pressupostos!$E$388</f>
        <v>0</v>
      </c>
      <c r="F5345" s="64" t="n">
        <f aca="false">Pressupostos!$F$388</f>
        <v>0</v>
      </c>
      <c r="G5345" s="64" t="n">
        <f aca="false">Pressupostos!$G$388</f>
        <v>0</v>
      </c>
      <c r="H5345" s="2" t="s">
        <v>1323</v>
      </c>
    </row>
    <row r="5346" customFormat="false" ht="15" hidden="false" customHeight="false" outlineLevel="1" collapsed="false">
      <c r="A5346" s="7" t="s">
        <v>648</v>
      </c>
      <c r="B5346" s="8" t="s">
        <v>432</v>
      </c>
      <c r="C5346" s="64" t="n">
        <f aca="false">Pressupostos!$C$394</f>
        <v>0</v>
      </c>
      <c r="D5346" s="64" t="n">
        <f aca="false">Pressupostos!$D$394</f>
        <v>0</v>
      </c>
      <c r="E5346" s="64" t="n">
        <f aca="false">Pressupostos!$E$394</f>
        <v>0</v>
      </c>
      <c r="F5346" s="64" t="n">
        <f aca="false">Pressupostos!$F$394</f>
        <v>1</v>
      </c>
      <c r="G5346" s="64" t="n">
        <f aca="false">Pressupostos!$G$394</f>
        <v>1</v>
      </c>
      <c r="H5346" s="2" t="s">
        <v>1324</v>
      </c>
    </row>
    <row r="5347" customFormat="false" ht="15" hidden="false" customHeight="false" outlineLevel="1" collapsed="false">
      <c r="A5347" s="7" t="s">
        <v>649</v>
      </c>
      <c r="B5347" s="8" t="s">
        <v>432</v>
      </c>
      <c r="C5347" s="64" t="n">
        <f aca="false">Pressupostos!$C$400</f>
        <v>0</v>
      </c>
      <c r="D5347" s="64" t="n">
        <f aca="false">Pressupostos!$D$400</f>
        <v>0</v>
      </c>
      <c r="E5347" s="64" t="n">
        <f aca="false">Pressupostos!$E$400</f>
        <v>1</v>
      </c>
      <c r="F5347" s="64" t="n">
        <f aca="false">Pressupostos!$F$400</f>
        <v>1</v>
      </c>
      <c r="G5347" s="64" t="n">
        <f aca="false">Pressupostos!$G$400</f>
        <v>1</v>
      </c>
      <c r="H5347" s="2" t="s">
        <v>1325</v>
      </c>
    </row>
    <row r="5348" customFormat="false" ht="15" hidden="false" customHeight="false" outlineLevel="1" collapsed="false">
      <c r="A5348" s="56" t="s">
        <v>650</v>
      </c>
      <c r="B5348" s="57" t="s">
        <v>432</v>
      </c>
      <c r="C5348" s="65" t="n">
        <f aca="false">C5336+C5337+C5338+C5339+C5340+C5341+C5342+C5343+C5344+C5345+C5346+C5347</f>
        <v>5.5</v>
      </c>
      <c r="D5348" s="65" t="n">
        <f aca="false">D5336+D5337+D5338+D5339+D5340+D5341+D5342+D5343+D5344+D5345+D5346+D5347</f>
        <v>7.5</v>
      </c>
      <c r="E5348" s="65" t="n">
        <f aca="false">E5336+E5337+E5338+E5339+E5340+E5341+E5342+E5343+E5344+E5345+E5346+E5347</f>
        <v>8.5</v>
      </c>
      <c r="F5348" s="65" t="n">
        <f aca="false">F5336+F5337+F5338+F5339+F5340+F5341+F5342+F5343+F5344+F5345+F5346+F5347</f>
        <v>11</v>
      </c>
      <c r="G5348" s="65" t="n">
        <f aca="false">G5336+G5337+G5338+G5339+G5340+G5341+G5342+G5343+G5344+G5345+G5346+G5347</f>
        <v>12</v>
      </c>
      <c r="H5348" s="2" t="s">
        <v>1326</v>
      </c>
    </row>
    <row r="5349" customFormat="false" ht="15" hidden="false" customHeight="false" outlineLevel="0" collapsed="false">
      <c r="A5349" s="3" t="s">
        <v>1327</v>
      </c>
      <c r="B5349" s="4"/>
      <c r="C5349" s="4"/>
      <c r="D5349" s="4"/>
      <c r="E5349" s="4"/>
      <c r="F5349" s="4"/>
      <c r="G5349" s="4"/>
      <c r="H5349" s="4"/>
    </row>
    <row r="5350" customFormat="false" ht="15" hidden="false" customHeight="false" outlineLevel="1" collapsed="false">
      <c r="A5350" s="7" t="s">
        <v>638</v>
      </c>
      <c r="B5350" s="8" t="s">
        <v>11</v>
      </c>
      <c r="C5350" s="61" t="n">
        <f aca="false">C5336*Pressupostos!$C$131*(1+Pressupostos!$C$127)^0*(1+Pressupostos!$C$132)*Pressupostos!$C$128</f>
        <v>43998</v>
      </c>
      <c r="D5350" s="61" t="n">
        <f aca="false">D5336*Pressupostos!$C$131*(1+Pressupostos!$C$127)^1*(1+Pressupostos!$C$132)</f>
        <v>61800</v>
      </c>
      <c r="E5350" s="61" t="n">
        <f aca="false">E5336*Pressupostos!$C$131*(1+Pressupostos!$C$127)^2*(1+Pressupostos!$C$132)</f>
        <v>63654</v>
      </c>
      <c r="F5350" s="61" t="n">
        <f aca="false">F5336*Pressupostos!$C$131*(1+Pressupostos!$C$127)^3*(1+Pressupostos!$C$132)</f>
        <v>65563.62</v>
      </c>
      <c r="G5350" s="61" t="n">
        <f aca="false">G5336*Pressupostos!$C$131*(1+Pressupostos!$C$127)^4*(1+Pressupostos!$C$132)</f>
        <v>67530.5286</v>
      </c>
      <c r="H5350" s="2" t="s">
        <v>1328</v>
      </c>
    </row>
    <row r="5351" customFormat="false" ht="15" hidden="false" customHeight="false" outlineLevel="1" collapsed="false">
      <c r="A5351" s="7" t="s">
        <v>639</v>
      </c>
      <c r="B5351" s="8" t="s">
        <v>11</v>
      </c>
      <c r="C5351" s="61" t="n">
        <f aca="false">C5337*Pressupostos!$C$133*(1+Pressupostos!$C$127)^0*(1+Pressupostos!$C$134)*Pressupostos!$C$128</f>
        <v>47664.5</v>
      </c>
      <c r="D5351" s="61" t="n">
        <f aca="false">D5337*Pressupostos!$C$133*(1+Pressupostos!$C$127)^1*(1+Pressupostos!$C$134)</f>
        <v>66950</v>
      </c>
      <c r="E5351" s="61" t="n">
        <f aca="false">E5337*Pressupostos!$C$133*(1+Pressupostos!$C$127)^2*(1+Pressupostos!$C$134)</f>
        <v>68958.5</v>
      </c>
      <c r="F5351" s="61" t="n">
        <f aca="false">F5337*Pressupostos!$C$133*(1+Pressupostos!$C$127)^3*(1+Pressupostos!$C$134)</f>
        <v>71027.255</v>
      </c>
      <c r="G5351" s="61" t="n">
        <f aca="false">G5337*Pressupostos!$C$133*(1+Pressupostos!$C$127)^4*(1+Pressupostos!$C$134)</f>
        <v>73158.07265</v>
      </c>
      <c r="H5351" s="2" t="s">
        <v>1329</v>
      </c>
    </row>
    <row r="5352" customFormat="false" ht="15" hidden="false" customHeight="false" outlineLevel="1" collapsed="false">
      <c r="A5352" s="7" t="s">
        <v>640</v>
      </c>
      <c r="B5352" s="8" t="s">
        <v>11</v>
      </c>
      <c r="C5352" s="61" t="n">
        <f aca="false">C5338*Pressupostos!$C$135*(1+Pressupostos!$C$127)^0*(1+Pressupostos!$C$136)</f>
        <v>0</v>
      </c>
      <c r="D5352" s="61" t="n">
        <f aca="false">D5338*Pressupostos!$C$135*(1+Pressupostos!$C$127)^1*(1+Pressupostos!$C$136)</f>
        <v>46350</v>
      </c>
      <c r="E5352" s="61" t="n">
        <f aca="false">E5338*Pressupostos!$C$135*(1+Pressupostos!$C$127)^2*(1+Pressupostos!$C$136)</f>
        <v>47740.5</v>
      </c>
      <c r="F5352" s="61" t="n">
        <f aca="false">F5338*Pressupostos!$C$135*(1+Pressupostos!$C$127)^3*(1+Pressupostos!$C$136)</f>
        <v>49172.715</v>
      </c>
      <c r="G5352" s="61" t="n">
        <f aca="false">G5338*Pressupostos!$C$135*(1+Pressupostos!$C$127)^4*(1+Pressupostos!$C$136)</f>
        <v>50647.89645</v>
      </c>
      <c r="H5352" s="2" t="s">
        <v>1330</v>
      </c>
    </row>
    <row r="5353" customFormat="false" ht="15" hidden="false" customHeight="false" outlineLevel="1" collapsed="false">
      <c r="A5353" s="7" t="s">
        <v>641</v>
      </c>
      <c r="B5353" s="8" t="s">
        <v>11</v>
      </c>
      <c r="C5353" s="61" t="n">
        <f aca="false">C5339*Pressupostos!$C$137*(1+Pressupostos!$C$127)^0*(1+Pressupostos!$C$138)</f>
        <v>30000</v>
      </c>
      <c r="D5353" s="61" t="n">
        <f aca="false">D5339*Pressupostos!$C$137*(1+Pressupostos!$C$127)^1*(1+Pressupostos!$C$138)</f>
        <v>61800</v>
      </c>
      <c r="E5353" s="61" t="n">
        <f aca="false">E5339*Pressupostos!$C$137*(1+Pressupostos!$C$127)^2*(1+Pressupostos!$C$138)</f>
        <v>63654</v>
      </c>
      <c r="F5353" s="61" t="n">
        <f aca="false">F5339*Pressupostos!$C$137*(1+Pressupostos!$C$127)^3*(1+Pressupostos!$C$138)</f>
        <v>65563.62</v>
      </c>
      <c r="G5353" s="61" t="n">
        <f aca="false">G5339*Pressupostos!$C$137*(1+Pressupostos!$C$127)^4*(1+Pressupostos!$C$138)</f>
        <v>67530.5286</v>
      </c>
      <c r="H5353" s="2" t="s">
        <v>1331</v>
      </c>
    </row>
    <row r="5354" customFormat="false" ht="15" hidden="false" customHeight="false" outlineLevel="1" collapsed="false">
      <c r="A5354" s="7" t="s">
        <v>642</v>
      </c>
      <c r="B5354" s="8" t="s">
        <v>11</v>
      </c>
      <c r="C5354" s="61" t="n">
        <f aca="false">C5340*Pressupostos!$C$139*(1+Pressupostos!$C$127)^0*(1+Pressupostos!$C$140)</f>
        <v>22500</v>
      </c>
      <c r="D5354" s="61" t="n">
        <f aca="false">D5340*Pressupostos!$C$139*(1+Pressupostos!$C$127)^1*(1+Pressupostos!$C$140)</f>
        <v>23175</v>
      </c>
      <c r="E5354" s="61" t="n">
        <f aca="false">E5340*Pressupostos!$C$139*(1+Pressupostos!$C$127)^2*(1+Pressupostos!$C$140)</f>
        <v>23870.25</v>
      </c>
      <c r="F5354" s="61" t="n">
        <f aca="false">F5340*Pressupostos!$C$139*(1+Pressupostos!$C$127)^3*(1+Pressupostos!$C$140)</f>
        <v>49172.715</v>
      </c>
      <c r="G5354" s="61" t="n">
        <f aca="false">G5340*Pressupostos!$C$139*(1+Pressupostos!$C$127)^4*(1+Pressupostos!$C$140)</f>
        <v>50647.89645</v>
      </c>
      <c r="H5354" s="2" t="s">
        <v>1332</v>
      </c>
    </row>
    <row r="5355" customFormat="false" ht="15" hidden="false" customHeight="false" outlineLevel="1" collapsed="false">
      <c r="A5355" s="7" t="s">
        <v>643</v>
      </c>
      <c r="B5355" s="8" t="s">
        <v>11</v>
      </c>
      <c r="C5355" s="61" t="n">
        <f aca="false">C5341*Pressupostos!$C$141*(1+Pressupostos!$C$127)^0*(1+Pressupostos!$C$142)</f>
        <v>38000</v>
      </c>
      <c r="D5355" s="61" t="n">
        <f aca="false">D5341*Pressupostos!$C$141*(1+Pressupostos!$C$127)^1*(1+Pressupostos!$C$142)</f>
        <v>39140</v>
      </c>
      <c r="E5355" s="61" t="n">
        <f aca="false">E5341*Pressupostos!$C$141*(1+Pressupostos!$C$127)^2*(1+Pressupostos!$C$142)</f>
        <v>40314.2</v>
      </c>
      <c r="F5355" s="61" t="n">
        <f aca="false">F5341*Pressupostos!$C$141*(1+Pressupostos!$C$127)^3*(1+Pressupostos!$C$142)</f>
        <v>41523.626</v>
      </c>
      <c r="G5355" s="61" t="n">
        <f aca="false">G5341*Pressupostos!$C$141*(1+Pressupostos!$C$127)^4*(1+Pressupostos!$C$142)</f>
        <v>42769.33478</v>
      </c>
      <c r="H5355" s="2" t="s">
        <v>1333</v>
      </c>
    </row>
    <row r="5356" customFormat="false" ht="15" hidden="false" customHeight="false" outlineLevel="1" collapsed="false">
      <c r="A5356" s="7" t="s">
        <v>644</v>
      </c>
      <c r="B5356" s="8" t="s">
        <v>11</v>
      </c>
      <c r="C5356" s="61" t="n">
        <f aca="false">C5342*Pressupostos!$C$143*(1+Pressupostos!$C$127)^0*(1+Pressupostos!$C$144)</f>
        <v>16000</v>
      </c>
      <c r="D5356" s="61" t="n">
        <f aca="false">D5342*Pressupostos!$C$143*(1+Pressupostos!$C$127)^1*(1+Pressupostos!$C$144)</f>
        <v>32960</v>
      </c>
      <c r="E5356" s="61" t="n">
        <f aca="false">E5342*Pressupostos!$C$143*(1+Pressupostos!$C$127)^2*(1+Pressupostos!$C$144)</f>
        <v>33948.8</v>
      </c>
      <c r="F5356" s="61" t="n">
        <f aca="false">F5342*Pressupostos!$C$143*(1+Pressupostos!$C$127)^3*(1+Pressupostos!$C$144)</f>
        <v>34967.264</v>
      </c>
      <c r="G5356" s="61" t="n">
        <f aca="false">G5342*Pressupostos!$C$143*(1+Pressupostos!$C$127)^4*(1+Pressupostos!$C$144)</f>
        <v>36016.28192</v>
      </c>
      <c r="H5356" s="2" t="s">
        <v>1334</v>
      </c>
    </row>
    <row r="5357" customFormat="false" ht="15" hidden="false" customHeight="false" outlineLevel="1" collapsed="false">
      <c r="A5357" s="7" t="s">
        <v>645</v>
      </c>
      <c r="B5357" s="8" t="s">
        <v>11</v>
      </c>
      <c r="C5357" s="61" t="n">
        <f aca="false">C5343*Pressupostos!$C$145*(1+Pressupostos!$C$127)^0*(1+Pressupostos!$C$146)</f>
        <v>34500</v>
      </c>
      <c r="D5357" s="61" t="n">
        <f aca="false">D5343*Pressupostos!$C$145*(1+Pressupostos!$C$127)^1*(1+Pressupostos!$C$146)</f>
        <v>35535</v>
      </c>
      <c r="E5357" s="61" t="n">
        <f aca="false">E5343*Pressupostos!$C$145*(1+Pressupostos!$C$127)^2*(1+Pressupostos!$C$146)</f>
        <v>36601.05</v>
      </c>
      <c r="F5357" s="61" t="n">
        <f aca="false">F5343*Pressupostos!$C$145*(1+Pressupostos!$C$127)^3*(1+Pressupostos!$C$146)</f>
        <v>75398.163</v>
      </c>
      <c r="G5357" s="61" t="n">
        <f aca="false">G5343*Pressupostos!$C$145*(1+Pressupostos!$C$127)^4*(1+Pressupostos!$C$146)</f>
        <v>116490.161835</v>
      </c>
      <c r="H5357" s="2" t="s">
        <v>1335</v>
      </c>
    </row>
    <row r="5358" customFormat="false" ht="15" hidden="false" customHeight="false" outlineLevel="1" collapsed="false">
      <c r="A5358" s="7" t="s">
        <v>646</v>
      </c>
      <c r="B5358" s="8" t="s">
        <v>11</v>
      </c>
      <c r="C5358" s="61" t="n">
        <f aca="false">C5344*Pressupostos!$C$147*(1+Pressupostos!$C$127)^0*(1+Pressupostos!$C$148)</f>
        <v>0</v>
      </c>
      <c r="D5358" s="61" t="n">
        <f aca="false">D5344*Pressupostos!$C$147*(1+Pressupostos!$C$127)^1*(1+Pressupostos!$C$148)</f>
        <v>0</v>
      </c>
      <c r="E5358" s="61" t="n">
        <f aca="false">E5344*Pressupostos!$C$147*(1+Pressupostos!$C$127)^2*(1+Pressupostos!$C$148)</f>
        <v>0</v>
      </c>
      <c r="F5358" s="61" t="n">
        <f aca="false">F5344*Pressupostos!$C$147*(1+Pressupostos!$C$127)^3*(1+Pressupostos!$C$148)</f>
        <v>0</v>
      </c>
      <c r="G5358" s="61" t="n">
        <f aca="false">G5344*Pressupostos!$C$147*(1+Pressupostos!$C$127)^4*(1+Pressupostos!$C$148)</f>
        <v>0</v>
      </c>
      <c r="H5358" s="2" t="s">
        <v>1336</v>
      </c>
    </row>
    <row r="5359" customFormat="false" ht="15" hidden="false" customHeight="false" outlineLevel="1" collapsed="false">
      <c r="A5359" s="7" t="s">
        <v>647</v>
      </c>
      <c r="B5359" s="8" t="s">
        <v>11</v>
      </c>
      <c r="C5359" s="61" t="n">
        <f aca="false">C5345*Pressupostos!$C$149*(1+Pressupostos!$C$127)^0*(1+Pressupostos!$C$150)</f>
        <v>0</v>
      </c>
      <c r="D5359" s="61" t="n">
        <f aca="false">D5345*Pressupostos!$C$149*(1+Pressupostos!$C$127)^1*(1+Pressupostos!$C$150)</f>
        <v>0</v>
      </c>
      <c r="E5359" s="61" t="n">
        <f aca="false">E5345*Pressupostos!$C$149*(1+Pressupostos!$C$127)^2*(1+Pressupostos!$C$150)</f>
        <v>0</v>
      </c>
      <c r="F5359" s="61" t="n">
        <f aca="false">F5345*Pressupostos!$C$149*(1+Pressupostos!$C$127)^3*(1+Pressupostos!$C$150)</f>
        <v>0</v>
      </c>
      <c r="G5359" s="61" t="n">
        <f aca="false">G5345*Pressupostos!$C$149*(1+Pressupostos!$C$127)^4*(1+Pressupostos!$C$150)</f>
        <v>0</v>
      </c>
      <c r="H5359" s="2" t="s">
        <v>1337</v>
      </c>
    </row>
    <row r="5360" customFormat="false" ht="15" hidden="false" customHeight="false" outlineLevel="1" collapsed="false">
      <c r="A5360" s="7" t="s">
        <v>648</v>
      </c>
      <c r="B5360" s="8" t="s">
        <v>11</v>
      </c>
      <c r="C5360" s="61" t="n">
        <f aca="false">C5346*Pressupostos!$C$151*(1+Pressupostos!$C$127)^0*(1+Pressupostos!$C$152)</f>
        <v>0</v>
      </c>
      <c r="D5360" s="61" t="n">
        <f aca="false">D5346*Pressupostos!$C$151*(1+Pressupostos!$C$127)^1*(1+Pressupostos!$C$152)</f>
        <v>0</v>
      </c>
      <c r="E5360" s="61" t="n">
        <f aca="false">E5346*Pressupostos!$C$151*(1+Pressupostos!$C$127)^2*(1+Pressupostos!$C$152)</f>
        <v>0</v>
      </c>
      <c r="F5360" s="61" t="n">
        <f aca="false">F5346*Pressupostos!$C$151*(1+Pressupostos!$C$127)^3*(1+Pressupostos!$C$152)</f>
        <v>26225.448</v>
      </c>
      <c r="G5360" s="61" t="n">
        <f aca="false">G5346*Pressupostos!$C$151*(1+Pressupostos!$C$127)^4*(1+Pressupostos!$C$152)</f>
        <v>27012.21144</v>
      </c>
      <c r="H5360" s="2" t="s">
        <v>1338</v>
      </c>
    </row>
    <row r="5361" customFormat="false" ht="15" hidden="false" customHeight="false" outlineLevel="1" collapsed="false">
      <c r="A5361" s="7" t="s">
        <v>649</v>
      </c>
      <c r="B5361" s="8" t="s">
        <v>11</v>
      </c>
      <c r="C5361" s="61" t="n">
        <f aca="false">C5347*Pressupostos!$C$153*(1+Pressupostos!$C$127)^0*(1+Pressupostos!$C$154)</f>
        <v>0</v>
      </c>
      <c r="D5361" s="61" t="n">
        <f aca="false">D5347*Pressupostos!$C$153*(1+Pressupostos!$C$127)^1*(1+Pressupostos!$C$154)</f>
        <v>0</v>
      </c>
      <c r="E5361" s="61" t="n">
        <f aca="false">E5347*Pressupostos!$C$153*(1+Pressupostos!$C$127)^2*(1+Pressupostos!$C$154)</f>
        <v>54901.575</v>
      </c>
      <c r="F5361" s="61" t="n">
        <f aca="false">F5347*Pressupostos!$C$153*(1+Pressupostos!$C$127)^3*(1+Pressupostos!$C$154)</f>
        <v>56548.62225</v>
      </c>
      <c r="G5361" s="61" t="n">
        <f aca="false">G5347*Pressupostos!$C$153*(1+Pressupostos!$C$127)^4*(1+Pressupostos!$C$154)</f>
        <v>58245.0809175</v>
      </c>
      <c r="H5361" s="2" t="s">
        <v>1339</v>
      </c>
    </row>
    <row r="5362" customFormat="false" ht="15" hidden="false" customHeight="false" outlineLevel="1" collapsed="false">
      <c r="A5362" s="7" t="s">
        <v>652</v>
      </c>
      <c r="B5362" s="8" t="s">
        <v>11</v>
      </c>
      <c r="C5362" s="61" t="n">
        <f aca="false">C5350+C5351+C5352+C5353+C5354+C5355+C5356+C5357+C5358+C5359+C5360+C5361</f>
        <v>232662.5</v>
      </c>
      <c r="D5362" s="61" t="n">
        <f aca="false">D5350+D5351+D5352+D5353+D5354+D5355+D5356+D5357+D5358+D5359+D5360+D5361</f>
        <v>367710</v>
      </c>
      <c r="E5362" s="61" t="n">
        <f aca="false">E5350+E5351+E5352+E5353+E5354+E5355+E5356+E5357+E5358+E5359+E5360+E5361</f>
        <v>433642.875</v>
      </c>
      <c r="F5362" s="61" t="n">
        <f aca="false">F5350+F5351+F5352+F5353+F5354+F5355+F5356+F5357+F5358+F5359+F5360+F5361</f>
        <v>535163.04825</v>
      </c>
      <c r="G5362" s="61" t="n">
        <f aca="false">G5350+G5351+G5352+G5353+G5354+G5355+G5356+G5357+G5358+G5359+G5360+G5361</f>
        <v>590047.9936425</v>
      </c>
      <c r="H5362" s="2" t="s">
        <v>1340</v>
      </c>
    </row>
    <row r="5363" customFormat="false" ht="15" hidden="false" customHeight="false" outlineLevel="1" collapsed="false">
      <c r="A5363" s="7" t="s">
        <v>653</v>
      </c>
      <c r="B5363" s="8" t="s">
        <v>11</v>
      </c>
      <c r="C5363" s="61" t="n">
        <f aca="false">C5362*(Pressupostos!$C$124+Pressupostos!$C$125)</f>
        <v>59910.59375</v>
      </c>
      <c r="D5363" s="61" t="n">
        <f aca="false">D5362*(Pressupostos!$C$124+Pressupostos!$C$125)</f>
        <v>94685.325</v>
      </c>
      <c r="E5363" s="61" t="n">
        <f aca="false">E5362*(Pressupostos!$C$124+Pressupostos!$C$125)</f>
        <v>111663.0403125</v>
      </c>
      <c r="F5363" s="61" t="n">
        <f aca="false">F5362*(Pressupostos!$C$124+Pressupostos!$C$125)</f>
        <v>137804.484924375</v>
      </c>
      <c r="G5363" s="61" t="n">
        <f aca="false">G5362*(Pressupostos!$C$124+Pressupostos!$C$125)</f>
        <v>151937.358362944</v>
      </c>
      <c r="H5363" s="2" t="s">
        <v>1341</v>
      </c>
    </row>
    <row r="5364" customFormat="false" ht="15" hidden="false" customHeight="false" outlineLevel="1" collapsed="false">
      <c r="A5364" s="7" t="s">
        <v>654</v>
      </c>
      <c r="B5364" s="8" t="s">
        <v>11</v>
      </c>
      <c r="C5364" s="61" t="n">
        <f aca="false">C5348*Pressupostos!$C$126*(1+Pressupostos!$C$127)^0</f>
        <v>11000</v>
      </c>
      <c r="D5364" s="61" t="n">
        <f aca="false">D5348*Pressupostos!$C$126*(1+Pressupostos!$C$127)^1</f>
        <v>15450</v>
      </c>
      <c r="E5364" s="61" t="n">
        <f aca="false">E5348*Pressupostos!$C$126*(1+Pressupostos!$C$127)^2</f>
        <v>18035.3</v>
      </c>
      <c r="F5364" s="61" t="n">
        <f aca="false">F5348*Pressupostos!$C$126*(1+Pressupostos!$C$127)^3</f>
        <v>24039.994</v>
      </c>
      <c r="G5364" s="61" t="n">
        <f aca="false">G5348*Pressupostos!$C$126*(1+Pressupostos!$C$127)^4</f>
        <v>27012.21144</v>
      </c>
      <c r="H5364" s="2" t="s">
        <v>1342</v>
      </c>
    </row>
    <row r="5365" customFormat="false" ht="15" hidden="false" customHeight="false" outlineLevel="1" collapsed="false">
      <c r="A5365" s="56" t="s">
        <v>655</v>
      </c>
      <c r="B5365" s="57" t="s">
        <v>11</v>
      </c>
      <c r="C5365" s="62" t="n">
        <f aca="false">C5362+C5363+C5364</f>
        <v>303573.09375</v>
      </c>
      <c r="D5365" s="62" t="n">
        <f aca="false">D5362+D5363+D5364</f>
        <v>477845.325</v>
      </c>
      <c r="E5365" s="62" t="n">
        <f aca="false">E5362+E5363+E5364</f>
        <v>563341.2153125</v>
      </c>
      <c r="F5365" s="62" t="n">
        <f aca="false">F5362+F5363+F5364</f>
        <v>697007.527174375</v>
      </c>
      <c r="G5365" s="62" t="n">
        <f aca="false">G5362+G5363+G5364</f>
        <v>768997.563445444</v>
      </c>
      <c r="H5365" s="2" t="s">
        <v>1343</v>
      </c>
    </row>
    <row r="5366" customFormat="false" ht="15" hidden="false" customHeight="false" outlineLevel="1" collapsed="false">
      <c r="A5366" s="2" t="s">
        <v>656</v>
      </c>
      <c r="B5366" s="8" t="s">
        <v>11</v>
      </c>
      <c r="C5366" s="61" t="n">
        <f aca="false">IF(C5348&gt;0,C5365/C5348,0)</f>
        <v>55195.1079545455</v>
      </c>
      <c r="D5366" s="61" t="n">
        <f aca="false">IF(D5348&gt;0,D5365/D5348,0)</f>
        <v>63712.71</v>
      </c>
      <c r="E5366" s="61" t="n">
        <f aca="false">IF(E5348&gt;0,E5365/E5348,0)</f>
        <v>66275.4370955882</v>
      </c>
      <c r="F5366" s="61" t="n">
        <f aca="false">IF(F5348&gt;0,F5365/F5348,0)</f>
        <v>63364.3206522159</v>
      </c>
      <c r="G5366" s="61" t="n">
        <f aca="false">IF(G5348&gt;0,G5365/G5348,0)</f>
        <v>64083.1302871203</v>
      </c>
      <c r="H5366" s="2" t="s">
        <v>1344</v>
      </c>
    </row>
    <row r="5367" customFormat="false" ht="15" hidden="false" customHeight="false" outlineLevel="0" collapsed="false">
      <c r="A5367" s="3" t="s">
        <v>1345</v>
      </c>
      <c r="B5367" s="4"/>
      <c r="C5367" s="4"/>
      <c r="D5367" s="4"/>
      <c r="E5367" s="4"/>
      <c r="F5367" s="4"/>
      <c r="G5367" s="4"/>
      <c r="H5367" s="4"/>
    </row>
    <row r="5368" customFormat="false" ht="15" hidden="false" customHeight="false" outlineLevel="1" collapsed="false">
      <c r="A5368" s="7" t="s">
        <v>449</v>
      </c>
      <c r="B5368" s="8" t="s">
        <v>11</v>
      </c>
      <c r="C5368" s="61" t="n">
        <f aca="false">Pressupostos!$C$407*(1+Pressupostos!$C$156)*(1+Pressupostos!$C$157)^0</f>
        <v>94500</v>
      </c>
      <c r="D5368" s="61" t="n">
        <f aca="false">Pressupostos!$D$407*(1+Pressupostos!$C$156)*(1+Pressupostos!$C$157)^1</f>
        <v>53550</v>
      </c>
      <c r="E5368" s="61" t="n">
        <f aca="false">Pressupostos!$E$407*(1+Pressupostos!$C$156)*(1+Pressupostos!$C$157)^2</f>
        <v>49158.9</v>
      </c>
      <c r="F5368" s="61" t="n">
        <f aca="false">Pressupostos!$F$407*(1+Pressupostos!$C$156)*(1+Pressupostos!$C$157)^3</f>
        <v>50142.078</v>
      </c>
      <c r="G5368" s="61" t="n">
        <f aca="false">Pressupostos!$G$407*(1+Pressupostos!$C$156)*(1+Pressupostos!$C$157)^4</f>
        <v>51144.91956</v>
      </c>
      <c r="H5368" s="2" t="s">
        <v>1346</v>
      </c>
    </row>
    <row r="5369" customFormat="false" ht="15" hidden="false" customHeight="false" outlineLevel="1" collapsed="false">
      <c r="A5369" s="7" t="s">
        <v>451</v>
      </c>
      <c r="B5369" s="8" t="s">
        <v>11</v>
      </c>
      <c r="C5369" s="61" t="n">
        <f aca="false">Pressupostos!$C$413*(1+Pressupostos!$C$156)*(1+Pressupostos!$C$157)^0</f>
        <v>10500</v>
      </c>
      <c r="D5369" s="61" t="n">
        <f aca="false">Pressupostos!$D$413*(1+Pressupostos!$C$156)*(1+Pressupostos!$C$157)^1</f>
        <v>10710</v>
      </c>
      <c r="E5369" s="61" t="n">
        <f aca="false">Pressupostos!$E$413*(1+Pressupostos!$C$156)*(1+Pressupostos!$C$157)^2</f>
        <v>10924.2</v>
      </c>
      <c r="F5369" s="61" t="n">
        <f aca="false">Pressupostos!$F$413*(1+Pressupostos!$C$156)*(1+Pressupostos!$C$157)^3</f>
        <v>11142.684</v>
      </c>
      <c r="G5369" s="61" t="n">
        <f aca="false">Pressupostos!$G$413*(1+Pressupostos!$C$156)*(1+Pressupostos!$C$157)^4</f>
        <v>11365.53768</v>
      </c>
      <c r="H5369" s="2" t="s">
        <v>1347</v>
      </c>
    </row>
    <row r="5370" customFormat="false" ht="15" hidden="false" customHeight="false" outlineLevel="1" collapsed="false">
      <c r="A5370" s="7" t="s">
        <v>452</v>
      </c>
      <c r="B5370" s="8" t="s">
        <v>11</v>
      </c>
      <c r="C5370" s="61" t="n">
        <f aca="false">Pressupostos!$C$419*(1+Pressupostos!$C$156)*(1+Pressupostos!$C$157)^0</f>
        <v>12600</v>
      </c>
      <c r="D5370" s="61" t="n">
        <f aca="false">Pressupostos!$D$419*(1+Pressupostos!$C$156)*(1+Pressupostos!$C$157)^1</f>
        <v>12852</v>
      </c>
      <c r="E5370" s="61" t="n">
        <f aca="false">Pressupostos!$E$419*(1+Pressupostos!$C$156)*(1+Pressupostos!$C$157)^2</f>
        <v>13109.04</v>
      </c>
      <c r="F5370" s="61" t="n">
        <f aca="false">Pressupostos!$F$419*(1+Pressupostos!$C$156)*(1+Pressupostos!$C$157)^3</f>
        <v>13371.2208</v>
      </c>
      <c r="G5370" s="61" t="n">
        <f aca="false">Pressupostos!$G$419*(1+Pressupostos!$C$156)*(1+Pressupostos!$C$157)^4</f>
        <v>13638.645216</v>
      </c>
      <c r="H5370" s="2" t="s">
        <v>1348</v>
      </c>
    </row>
    <row r="5371" customFormat="false" ht="15" hidden="false" customHeight="false" outlineLevel="1" collapsed="false">
      <c r="A5371" s="7" t="s">
        <v>454</v>
      </c>
      <c r="B5371" s="8" t="s">
        <v>11</v>
      </c>
      <c r="C5371" s="61" t="n">
        <f aca="false">Pressupostos!$C$425*(1+Pressupostos!$C$156)*(1+Pressupostos!$C$157)^0</f>
        <v>31500</v>
      </c>
      <c r="D5371" s="61" t="n">
        <f aca="false">Pressupostos!$D$425*(1+Pressupostos!$C$156)*(1+Pressupostos!$C$157)^1</f>
        <v>37485</v>
      </c>
      <c r="E5371" s="61" t="n">
        <f aca="false">Pressupostos!$E$425*(1+Pressupostos!$C$156)*(1+Pressupostos!$C$157)^2</f>
        <v>49158.9</v>
      </c>
      <c r="F5371" s="61" t="n">
        <f aca="false">Pressupostos!$F$425*(1+Pressupostos!$C$156)*(1+Pressupostos!$C$157)^3</f>
        <v>55713.42</v>
      </c>
      <c r="G5371" s="61" t="n">
        <f aca="false">Pressupostos!$G$425*(1+Pressupostos!$C$156)*(1+Pressupostos!$C$157)^4</f>
        <v>62510.45724</v>
      </c>
      <c r="H5371" s="2" t="s">
        <v>1349</v>
      </c>
    </row>
    <row r="5372" customFormat="false" ht="15" hidden="false" customHeight="false" outlineLevel="1" collapsed="false">
      <c r="A5372" s="7" t="s">
        <v>456</v>
      </c>
      <c r="B5372" s="8" t="s">
        <v>11</v>
      </c>
      <c r="C5372" s="61" t="n">
        <f aca="false">Pressupostos!$C$431*(1+Pressupostos!$C$156)*(1+Pressupostos!$C$157)^0</f>
        <v>15750</v>
      </c>
      <c r="D5372" s="61" t="n">
        <f aca="false">Pressupostos!$D$431*(1+Pressupostos!$C$156)*(1+Pressupostos!$C$157)^1</f>
        <v>16065</v>
      </c>
      <c r="E5372" s="61" t="n">
        <f aca="false">Pressupostos!$E$431*(1+Pressupostos!$C$156)*(1+Pressupostos!$C$157)^2</f>
        <v>38234.7</v>
      </c>
      <c r="F5372" s="61" t="n">
        <f aca="false">Pressupostos!$F$431*(1+Pressupostos!$C$156)*(1+Pressupostos!$C$157)^3</f>
        <v>22285.368</v>
      </c>
      <c r="G5372" s="61" t="n">
        <f aca="false">Pressupostos!$G$431*(1+Pressupostos!$C$156)*(1+Pressupostos!$C$157)^4</f>
        <v>22731.07536</v>
      </c>
      <c r="H5372" s="2" t="s">
        <v>1350</v>
      </c>
    </row>
    <row r="5373" customFormat="false" ht="15" hidden="false" customHeight="false" outlineLevel="1" collapsed="false">
      <c r="A5373" s="7" t="s">
        <v>458</v>
      </c>
      <c r="B5373" s="8" t="s">
        <v>11</v>
      </c>
      <c r="C5373" s="61" t="n">
        <f aca="false">Pressupostos!$C$437*(1+Pressupostos!$C$156)*(1+Pressupostos!$C$157)^0</f>
        <v>10500</v>
      </c>
      <c r="D5373" s="61" t="n">
        <f aca="false">Pressupostos!$D$437*(1+Pressupostos!$C$156)*(1+Pressupostos!$C$157)^1</f>
        <v>12852</v>
      </c>
      <c r="E5373" s="61" t="n">
        <f aca="false">Pressupostos!$E$437*(1+Pressupostos!$C$156)*(1+Pressupostos!$C$157)^2</f>
        <v>16386.3</v>
      </c>
      <c r="F5373" s="61" t="n">
        <f aca="false">Pressupostos!$F$437*(1+Pressupostos!$C$156)*(1+Pressupostos!$C$157)^3</f>
        <v>20056.8312</v>
      </c>
      <c r="G5373" s="61" t="n">
        <f aca="false">Pressupostos!$G$437*(1+Pressupostos!$C$156)*(1+Pressupostos!$C$157)^4</f>
        <v>22731.07536</v>
      </c>
      <c r="H5373" s="2" t="s">
        <v>1351</v>
      </c>
    </row>
    <row r="5374" customFormat="false" ht="15" hidden="false" customHeight="false" outlineLevel="1" collapsed="false">
      <c r="A5374" s="7" t="s">
        <v>459</v>
      </c>
      <c r="B5374" s="8" t="s">
        <v>11</v>
      </c>
      <c r="C5374" s="61" t="n">
        <f aca="false">Pressupostos!$C$443*(1+Pressupostos!$C$156)*(1+Pressupostos!$C$157)^0</f>
        <v>31500</v>
      </c>
      <c r="D5374" s="61" t="n">
        <f aca="false">Pressupostos!$D$443*(1+Pressupostos!$C$156)*(1+Pressupostos!$C$157)^1</f>
        <v>37485</v>
      </c>
      <c r="E5374" s="61" t="n">
        <f aca="false">Pressupostos!$E$443*(1+Pressupostos!$C$156)*(1+Pressupostos!$C$157)^2</f>
        <v>49158.9</v>
      </c>
      <c r="F5374" s="61" t="n">
        <f aca="false">Pressupostos!$F$443*(1+Pressupostos!$C$156)*(1+Pressupostos!$C$157)^3</f>
        <v>55713.42</v>
      </c>
      <c r="G5374" s="61" t="n">
        <f aca="false">Pressupostos!$G$443*(1+Pressupostos!$C$156)*(1+Pressupostos!$C$157)^4</f>
        <v>62510.45724</v>
      </c>
      <c r="H5374" s="2" t="s">
        <v>1352</v>
      </c>
    </row>
    <row r="5375" customFormat="false" ht="15" hidden="false" customHeight="false" outlineLevel="1" collapsed="false">
      <c r="A5375" s="7" t="s">
        <v>461</v>
      </c>
      <c r="B5375" s="8" t="s">
        <v>11</v>
      </c>
      <c r="C5375" s="61" t="n">
        <f aca="false">Pressupostos!$C$449*(1+Pressupostos!$C$156)*(1+Pressupostos!$C$157)^0</f>
        <v>6300</v>
      </c>
      <c r="D5375" s="61" t="n">
        <f aca="false">Pressupostos!$D$449*(1+Pressupostos!$C$156)*(1+Pressupostos!$C$157)^1</f>
        <v>8568</v>
      </c>
      <c r="E5375" s="61" t="n">
        <f aca="false">Pressupostos!$E$449*(1+Pressupostos!$C$156)*(1+Pressupostos!$C$157)^2</f>
        <v>13109.04</v>
      </c>
      <c r="F5375" s="61" t="n">
        <f aca="false">Pressupostos!$F$449*(1+Pressupostos!$C$156)*(1+Pressupostos!$C$157)^3</f>
        <v>16714.026</v>
      </c>
      <c r="G5375" s="61" t="n">
        <f aca="false">Pressupostos!$G$449*(1+Pressupostos!$C$156)*(1+Pressupostos!$C$157)^4</f>
        <v>20457.967824</v>
      </c>
      <c r="H5375" s="2" t="s">
        <v>1353</v>
      </c>
    </row>
    <row r="5376" customFormat="false" ht="15" hidden="false" customHeight="false" outlineLevel="1" collapsed="false">
      <c r="A5376" s="7" t="s">
        <v>463</v>
      </c>
      <c r="B5376" s="8" t="s">
        <v>11</v>
      </c>
      <c r="C5376" s="61" t="n">
        <f aca="false">Pressupostos!$C$455*(1+Pressupostos!$C$156)*(1+Pressupostos!$C$157)^0</f>
        <v>15750</v>
      </c>
      <c r="D5376" s="61" t="n">
        <f aca="false">Pressupostos!$D$455*(1+Pressupostos!$C$156)*(1+Pressupostos!$C$157)^1</f>
        <v>21420</v>
      </c>
      <c r="E5376" s="61" t="n">
        <f aca="false">Pressupostos!$E$455*(1+Pressupostos!$C$156)*(1+Pressupostos!$C$157)^2</f>
        <v>30587.76</v>
      </c>
      <c r="F5376" s="61" t="n">
        <f aca="false">Pressupostos!$F$455*(1+Pressupostos!$C$156)*(1+Pressupostos!$C$157)^3</f>
        <v>35656.5888</v>
      </c>
      <c r="G5376" s="61" t="n">
        <f aca="false">Pressupostos!$G$455*(1+Pressupostos!$C$156)*(1+Pressupostos!$C$157)^4</f>
        <v>40915.935648</v>
      </c>
      <c r="H5376" s="2" t="s">
        <v>1354</v>
      </c>
    </row>
    <row r="5377" customFormat="false" ht="15" hidden="false" customHeight="false" outlineLevel="1" collapsed="false">
      <c r="A5377" s="7" t="s">
        <v>464</v>
      </c>
      <c r="B5377" s="8" t="s">
        <v>11</v>
      </c>
      <c r="C5377" s="61" t="n">
        <f aca="false">Pressupostos!$C$461*(1+Pressupostos!$C$156)*(1+Pressupostos!$C$157)^0</f>
        <v>4200</v>
      </c>
      <c r="D5377" s="61" t="n">
        <f aca="false">Pressupostos!$D$461*(1+Pressupostos!$C$156)*(1+Pressupostos!$C$157)^1</f>
        <v>6426</v>
      </c>
      <c r="E5377" s="61" t="n">
        <f aca="false">Pressupostos!$E$461*(1+Pressupostos!$C$156)*(1+Pressupostos!$C$157)^2</f>
        <v>8739.36</v>
      </c>
      <c r="F5377" s="61" t="n">
        <f aca="false">Pressupostos!$F$461*(1+Pressupostos!$C$156)*(1+Pressupostos!$C$157)^3</f>
        <v>8914.1472</v>
      </c>
      <c r="G5377" s="61" t="n">
        <f aca="false">Pressupostos!$G$461*(1+Pressupostos!$C$156)*(1+Pressupostos!$C$157)^4</f>
        <v>9092.430144</v>
      </c>
      <c r="H5377" s="2" t="s">
        <v>1355</v>
      </c>
    </row>
    <row r="5378" customFormat="false" ht="15" hidden="false" customHeight="false" outlineLevel="1" collapsed="false">
      <c r="A5378" s="7" t="s">
        <v>701</v>
      </c>
      <c r="B5378" s="8" t="s">
        <v>11</v>
      </c>
      <c r="C5378" s="61" t="n">
        <f aca="false">C5368+C5369+C5370+C5371+C5372+C5373+C5374+C5375+C5376+C5377</f>
        <v>233100</v>
      </c>
      <c r="D5378" s="61" t="n">
        <f aca="false">D5368+D5369+D5370+D5371+D5372+D5373+D5374+D5375+D5376+D5377</f>
        <v>217413</v>
      </c>
      <c r="E5378" s="61" t="n">
        <f aca="false">E5368+E5369+E5370+E5371+E5372+E5373+E5374+E5375+E5376+E5377</f>
        <v>278567.1</v>
      </c>
      <c r="F5378" s="61" t="n">
        <f aca="false">F5368+F5369+F5370+F5371+F5372+F5373+F5374+F5375+F5376+F5377</f>
        <v>289709.784</v>
      </c>
      <c r="G5378" s="61" t="n">
        <f aca="false">G5368+G5369+G5370+G5371+G5372+G5373+G5374+G5375+G5376+G5377</f>
        <v>317098.501272</v>
      </c>
      <c r="H5378" s="2" t="s">
        <v>1356</v>
      </c>
    </row>
    <row r="5379" customFormat="false" ht="15" hidden="false" customHeight="false" outlineLevel="1" collapsed="false">
      <c r="A5379" s="7" t="s">
        <v>702</v>
      </c>
      <c r="B5379" s="8" t="s">
        <v>11</v>
      </c>
      <c r="C5379" s="61" t="n">
        <f aca="false">Pressupostos!$C$114+Pressupostos!$C$115+Pressupostos!$C$116*Pressupostos!$C$296+Pressupostos!$C$466+Pressupostos!$C$308</f>
        <v>65000</v>
      </c>
      <c r="D5379" s="61" t="n">
        <f aca="false">Pressupostos!$C$115+Pressupostos!$C$116*Pressupostos!$D$296+Pressupostos!$D$466+Pressupostos!$D$308</f>
        <v>75000</v>
      </c>
      <c r="E5379" s="61" t="n">
        <f aca="false">Pressupostos!$C$115+Pressupostos!$C$116*Pressupostos!$E$296+Pressupostos!$E$466+Pressupostos!$E$308</f>
        <v>80000</v>
      </c>
      <c r="F5379" s="61" t="n">
        <f aca="false">Pressupostos!$C$115+Pressupostos!$C$116*Pressupostos!$F$296+Pressupostos!$F$466+Pressupostos!$F$308</f>
        <v>85000</v>
      </c>
      <c r="G5379" s="61" t="n">
        <f aca="false">Pressupostos!$C$115+Pressupostos!$C$116*Pressupostos!$G$296+Pressupostos!$G$466+Pressupostos!$G$308</f>
        <v>90000</v>
      </c>
      <c r="H5379" s="2" t="s">
        <v>1357</v>
      </c>
    </row>
    <row r="5380" customFormat="false" ht="15" hidden="false" customHeight="false" outlineLevel="1" collapsed="false">
      <c r="A5380" s="7" t="s">
        <v>703</v>
      </c>
      <c r="B5380" s="8" t="s">
        <v>11</v>
      </c>
      <c r="C5380" s="61" t="n">
        <f aca="false">IF(C5192&lt;Pressupostos!$C$120,0,MAX(Pressupostos!$C$302,Pressupostos!$C$118*(C5286+C5287)+Pressupostos!$C$119*C5288))</f>
        <v>0</v>
      </c>
      <c r="D5380" s="61" t="n">
        <f aca="false">IF(D5192&lt;Pressupostos!$C$120,0,MAX(Pressupostos!$D$302,Pressupostos!$C$118*(D5286+D5287)+Pressupostos!$C$119*D5288))</f>
        <v>4987.92</v>
      </c>
      <c r="E5380" s="61" t="n">
        <f aca="false">IF(E5192&lt;Pressupostos!$C$120,0,MAX(Pressupostos!$E$302,Pressupostos!$C$118*(E5286+E5287)+Pressupostos!$C$119*E5288))</f>
        <v>10173.66</v>
      </c>
      <c r="F5380" s="61" t="n">
        <f aca="false">IF(F5192&lt;Pressupostos!$C$120,0,MAX(Pressupostos!$F$302,Pressupostos!$C$118*(F5286+F5287)+Pressupostos!$C$119*F5288))</f>
        <v>16909.9</v>
      </c>
      <c r="G5380" s="61" t="n">
        <f aca="false">IF(G5192&lt;Pressupostos!$C$120,0,MAX(Pressupostos!$G$302,Pressupostos!$C$118*(G5286+G5287)+Pressupostos!$C$119*G5288))</f>
        <v>25403</v>
      </c>
      <c r="H5380" s="2" t="s">
        <v>1358</v>
      </c>
    </row>
    <row r="5381" customFormat="false" ht="15" hidden="false" customHeight="false" outlineLevel="1" collapsed="false">
      <c r="A5381" s="56" t="s">
        <v>704</v>
      </c>
      <c r="B5381" s="57" t="s">
        <v>11</v>
      </c>
      <c r="C5381" s="62" t="n">
        <f aca="false">C5378+C5379+C5380</f>
        <v>298100</v>
      </c>
      <c r="D5381" s="62" t="n">
        <f aca="false">D5378+D5379+D5380</f>
        <v>297400.92</v>
      </c>
      <c r="E5381" s="62" t="n">
        <f aca="false">E5378+E5379+E5380</f>
        <v>368740.76</v>
      </c>
      <c r="F5381" s="62" t="n">
        <f aca="false">F5378+F5379+F5380</f>
        <v>391619.684</v>
      </c>
      <c r="G5381" s="62" t="n">
        <f aca="false">G5378+G5379+G5380</f>
        <v>432501.501272</v>
      </c>
      <c r="H5381" s="2" t="s">
        <v>1359</v>
      </c>
    </row>
    <row r="5382" customFormat="false" ht="15" hidden="false" customHeight="false" outlineLevel="0" collapsed="false">
      <c r="A5382" s="3" t="s">
        <v>1360</v>
      </c>
      <c r="B5382" s="4"/>
      <c r="C5382" s="4"/>
      <c r="D5382" s="4"/>
      <c r="E5382" s="4"/>
      <c r="F5382" s="4"/>
      <c r="G5382" s="4"/>
      <c r="H5382" s="4"/>
    </row>
    <row r="5383" customFormat="false" ht="15" hidden="false" customHeight="false" outlineLevel="1" collapsed="false">
      <c r="A5383" s="7" t="s">
        <v>706</v>
      </c>
      <c r="B5383" s="8" t="s">
        <v>11</v>
      </c>
      <c r="C5383" s="61" t="n">
        <f aca="false">Pressupostos!$C$165*Pressupostos!$C$315</f>
        <v>18000</v>
      </c>
      <c r="D5383" s="61" t="n">
        <f aca="false">Pressupostos!$C$165*Pressupostos!$D$315</f>
        <v>12000</v>
      </c>
      <c r="E5383" s="61" t="n">
        <f aca="false">Pressupostos!$C$165*Pressupostos!$E$315</f>
        <v>12000</v>
      </c>
      <c r="F5383" s="61" t="n">
        <f aca="false">Pressupostos!$C$165*Pressupostos!$F$315</f>
        <v>12000</v>
      </c>
      <c r="G5383" s="61" t="n">
        <f aca="false">Pressupostos!$C$165*Pressupostos!$G$315</f>
        <v>12000</v>
      </c>
      <c r="H5383" s="2" t="s">
        <v>1361</v>
      </c>
    </row>
    <row r="5384" customFormat="false" ht="15" hidden="false" customHeight="false" outlineLevel="1" collapsed="false">
      <c r="A5384" s="7" t="s">
        <v>707</v>
      </c>
      <c r="B5384" s="8" t="s">
        <v>11</v>
      </c>
      <c r="C5384" s="53" t="n">
        <f aca="false">Pressupostos!$C$321</f>
        <v>60000</v>
      </c>
      <c r="D5384" s="53" t="n">
        <f aca="false">Pressupostos!$D$321</f>
        <v>15000</v>
      </c>
      <c r="E5384" s="53" t="n">
        <f aca="false">Pressupostos!$E$321</f>
        <v>15000</v>
      </c>
      <c r="F5384" s="53" t="n">
        <f aca="false">Pressupostos!$F$321</f>
        <v>10000</v>
      </c>
      <c r="G5384" s="53" t="n">
        <f aca="false">Pressupostos!$G$321</f>
        <v>10000</v>
      </c>
      <c r="H5384" s="2" t="s">
        <v>1362</v>
      </c>
    </row>
    <row r="5385" customFormat="false" ht="15" hidden="false" customHeight="false" outlineLevel="1" collapsed="false">
      <c r="A5385" s="7" t="s">
        <v>708</v>
      </c>
      <c r="B5385" s="8" t="s">
        <v>11</v>
      </c>
      <c r="C5385" s="53" t="n">
        <f aca="false">Pressupostos!$C$327</f>
        <v>0</v>
      </c>
      <c r="D5385" s="53" t="n">
        <f aca="false">Pressupostos!$D$327</f>
        <v>15000</v>
      </c>
      <c r="E5385" s="53" t="n">
        <f aca="false">Pressupostos!$E$327</f>
        <v>15000</v>
      </c>
      <c r="F5385" s="53" t="n">
        <f aca="false">Pressupostos!$F$327</f>
        <v>10000</v>
      </c>
      <c r="G5385" s="53" t="n">
        <f aca="false">Pressupostos!$G$327</f>
        <v>10000</v>
      </c>
      <c r="H5385" s="2" t="s">
        <v>1363</v>
      </c>
    </row>
    <row r="5386" customFormat="false" ht="15" hidden="false" customHeight="false" outlineLevel="1" collapsed="false">
      <c r="A5386" s="7" t="s">
        <v>709</v>
      </c>
      <c r="B5386" s="8" t="s">
        <v>11</v>
      </c>
      <c r="C5386" s="61" t="n">
        <f aca="false">Pressupostos!$C$166*MAX(0,C5348)</f>
        <v>11000</v>
      </c>
      <c r="D5386" s="61" t="n">
        <f aca="false">Pressupostos!$C$166*MAX(0,D5348-C5348)</f>
        <v>4000</v>
      </c>
      <c r="E5386" s="61" t="n">
        <f aca="false">Pressupostos!$C$166*MAX(0,E5348-D5348)</f>
        <v>2000</v>
      </c>
      <c r="F5386" s="61" t="n">
        <f aca="false">Pressupostos!$C$166*MAX(0,F5348-E5348)</f>
        <v>5000</v>
      </c>
      <c r="G5386" s="61" t="n">
        <f aca="false">Pressupostos!$C$166*MAX(0,G5348-F5348)</f>
        <v>2000</v>
      </c>
      <c r="H5386" s="2" t="s">
        <v>1364</v>
      </c>
    </row>
    <row r="5387" customFormat="false" ht="15" hidden="false" customHeight="false" outlineLevel="1" collapsed="false">
      <c r="A5387" s="7" t="s">
        <v>424</v>
      </c>
      <c r="B5387" s="8" t="s">
        <v>11</v>
      </c>
      <c r="C5387" s="61" t="n">
        <f aca="false">C5383+C5384+C5385+C5386</f>
        <v>89000</v>
      </c>
      <c r="D5387" s="61" t="n">
        <f aca="false">D5383+D5384+D5385+D5386</f>
        <v>46000</v>
      </c>
      <c r="E5387" s="61" t="n">
        <f aca="false">E5383+E5384+E5385+E5386</f>
        <v>44000</v>
      </c>
      <c r="F5387" s="61" t="n">
        <f aca="false">F5383+F5384+F5385+F5386</f>
        <v>37000</v>
      </c>
      <c r="G5387" s="61" t="n">
        <f aca="false">G5383+G5384+G5385+G5386</f>
        <v>34000</v>
      </c>
      <c r="H5387" s="2" t="s">
        <v>1365</v>
      </c>
    </row>
    <row r="5388" customFormat="false" ht="15" hidden="false" customHeight="false" outlineLevel="1" collapsed="false">
      <c r="A5388" s="7" t="s">
        <v>710</v>
      </c>
      <c r="B5388" s="8" t="s">
        <v>11</v>
      </c>
      <c r="C5388" s="61" t="n">
        <f aca="false">(C5384*((0)&lt;Pressupostos!$C$167))/Pressupostos!$C$167</f>
        <v>20000</v>
      </c>
      <c r="D5388" s="61" t="n">
        <f aca="false">(C5384*((1)&lt;Pressupostos!$C$167)+D5384*((0)&lt;Pressupostos!$C$167))/Pressupostos!$C$167</f>
        <v>25000</v>
      </c>
      <c r="E5388" s="61" t="n">
        <f aca="false">(C5384*((2)&lt;Pressupostos!$C$167)+D5384*((1)&lt;Pressupostos!$C$167)+E5384*((0)&lt;Pressupostos!$C$167))/Pressupostos!$C$167</f>
        <v>30000</v>
      </c>
      <c r="F5388" s="61" t="n">
        <f aca="false">(C5384*((3)&lt;Pressupostos!$C$167)+D5384*((2)&lt;Pressupostos!$C$167)+E5384*((1)&lt;Pressupostos!$C$167)+F5384*((0)&lt;Pressupostos!$C$167))/Pressupostos!$C$167</f>
        <v>13333.3333333333</v>
      </c>
      <c r="G5388" s="61" t="n">
        <f aca="false">(C5384*((4)&lt;Pressupostos!$C$167)+D5384*((3)&lt;Pressupostos!$C$167)+E5384*((2)&lt;Pressupostos!$C$167)+F5384*((1)&lt;Pressupostos!$C$167)+G5384*((0)&lt;Pressupostos!$C$167))/Pressupostos!$C$167</f>
        <v>11666.6666666667</v>
      </c>
      <c r="H5388" s="2" t="s">
        <v>1366</v>
      </c>
    </row>
    <row r="5389" customFormat="false" ht="15" hidden="false" customHeight="false" outlineLevel="1" collapsed="false">
      <c r="A5389" s="7" t="s">
        <v>711</v>
      </c>
      <c r="B5389" s="8" t="s">
        <v>11</v>
      </c>
      <c r="C5389" s="61" t="n">
        <f aca="false">(C5385*((0)&lt;Pressupostos!$C$167))/Pressupostos!$C$167</f>
        <v>0</v>
      </c>
      <c r="D5389" s="61" t="n">
        <f aca="false">(C5385*((1)&lt;Pressupostos!$C$167)+D5385*((0)&lt;Pressupostos!$C$167))/Pressupostos!$C$167</f>
        <v>5000</v>
      </c>
      <c r="E5389" s="61" t="n">
        <f aca="false">(C5385*((2)&lt;Pressupostos!$C$167)+D5385*((1)&lt;Pressupostos!$C$167)+E5385*((0)&lt;Pressupostos!$C$167))/Pressupostos!$C$167</f>
        <v>10000</v>
      </c>
      <c r="F5389" s="61" t="n">
        <f aca="false">(C5385*((3)&lt;Pressupostos!$C$167)+D5385*((2)&lt;Pressupostos!$C$167)+E5385*((1)&lt;Pressupostos!$C$167)+F5385*((0)&lt;Pressupostos!$C$167))/Pressupostos!$C$167</f>
        <v>13333.3333333333</v>
      </c>
      <c r="G5389" s="61" t="n">
        <f aca="false">(C5385*((4)&lt;Pressupostos!$C$167)+D5385*((3)&lt;Pressupostos!$C$167)+E5385*((2)&lt;Pressupostos!$C$167)+F5385*((1)&lt;Pressupostos!$C$167)+G5385*((0)&lt;Pressupostos!$C$167))/Pressupostos!$C$167</f>
        <v>11666.6666666667</v>
      </c>
      <c r="H5389" s="2" t="s">
        <v>1367</v>
      </c>
    </row>
    <row r="5390" customFormat="false" ht="15" hidden="false" customHeight="false" outlineLevel="1" collapsed="false">
      <c r="A5390" s="7" t="s">
        <v>712</v>
      </c>
      <c r="B5390" s="8" t="s">
        <v>11</v>
      </c>
      <c r="C5390" s="61" t="n">
        <f aca="false">(C5383*((0)&lt;Pressupostos!$C$169))/Pressupostos!$C$169</f>
        <v>3600</v>
      </c>
      <c r="D5390" s="61" t="n">
        <f aca="false">(C5383*((1)&lt;Pressupostos!$C$169)+D5383*((0)&lt;Pressupostos!$C$169))/Pressupostos!$C$169</f>
        <v>6000</v>
      </c>
      <c r="E5390" s="61" t="n">
        <f aca="false">(C5383*((2)&lt;Pressupostos!$C$169)+D5383*((1)&lt;Pressupostos!$C$169)+E5383*((0)&lt;Pressupostos!$C$169))/Pressupostos!$C$169</f>
        <v>8400</v>
      </c>
      <c r="F5390" s="61" t="n">
        <f aca="false">(C5383*((3)&lt;Pressupostos!$C$169)+D5383*((2)&lt;Pressupostos!$C$169)+E5383*((1)&lt;Pressupostos!$C$169)+F5383*((0)&lt;Pressupostos!$C$169))/Pressupostos!$C$169</f>
        <v>10800</v>
      </c>
      <c r="G5390" s="61" t="n">
        <f aca="false">(C5383*((4)&lt;Pressupostos!$C$169)+D5383*((3)&lt;Pressupostos!$C$169)+E5383*((2)&lt;Pressupostos!$C$169)+F5383*((1)&lt;Pressupostos!$C$169)+G5383*((0)&lt;Pressupostos!$C$169))/Pressupostos!$C$169</f>
        <v>13200</v>
      </c>
      <c r="H5390" s="2" t="s">
        <v>1368</v>
      </c>
    </row>
    <row r="5391" customFormat="false" ht="15" hidden="false" customHeight="false" outlineLevel="1" collapsed="false">
      <c r="A5391" s="7" t="s">
        <v>713</v>
      </c>
      <c r="B5391" s="8" t="s">
        <v>11</v>
      </c>
      <c r="C5391" s="61" t="n">
        <f aca="false">(C5386*((0)&lt;Pressupostos!$C$168))/Pressupostos!$C$168</f>
        <v>2750</v>
      </c>
      <c r="D5391" s="61" t="n">
        <f aca="false">(C5386*((1)&lt;Pressupostos!$C$168)+D5386*((0)&lt;Pressupostos!$C$168))/Pressupostos!$C$168</f>
        <v>3750</v>
      </c>
      <c r="E5391" s="61" t="n">
        <f aca="false">(C5386*((2)&lt;Pressupostos!$C$168)+D5386*((1)&lt;Pressupostos!$C$168)+E5386*((0)&lt;Pressupostos!$C$168))/Pressupostos!$C$168</f>
        <v>4250</v>
      </c>
      <c r="F5391" s="61" t="n">
        <f aca="false">(C5386*((3)&lt;Pressupostos!$C$168)+D5386*((2)&lt;Pressupostos!$C$168)+E5386*((1)&lt;Pressupostos!$C$168)+F5386*((0)&lt;Pressupostos!$C$168))/Pressupostos!$C$168</f>
        <v>5500</v>
      </c>
      <c r="G5391" s="61" t="n">
        <f aca="false">(C5386*((4)&lt;Pressupostos!$C$168)+D5386*((3)&lt;Pressupostos!$C$168)+E5386*((2)&lt;Pressupostos!$C$168)+F5386*((1)&lt;Pressupostos!$C$168)+G5386*((0)&lt;Pressupostos!$C$168))/Pressupostos!$C$168</f>
        <v>3250</v>
      </c>
      <c r="H5391" s="2" t="s">
        <v>1369</v>
      </c>
    </row>
    <row r="5392" customFormat="false" ht="15" hidden="false" customHeight="false" outlineLevel="1" collapsed="false">
      <c r="A5392" s="7" t="s">
        <v>714</v>
      </c>
      <c r="B5392" s="8" t="s">
        <v>11</v>
      </c>
      <c r="C5392" s="61" t="n">
        <f aca="false">C5388+C5389+C5390+C5391</f>
        <v>26350</v>
      </c>
      <c r="D5392" s="61" t="n">
        <f aca="false">D5388+D5389+D5390+D5391</f>
        <v>39750</v>
      </c>
      <c r="E5392" s="61" t="n">
        <f aca="false">E5388+E5389+E5390+E5391</f>
        <v>52650</v>
      </c>
      <c r="F5392" s="61" t="n">
        <f aca="false">F5388+F5389+F5390+F5391</f>
        <v>42966.6666666667</v>
      </c>
      <c r="G5392" s="61" t="n">
        <f aca="false">G5388+G5389+G5390+G5391</f>
        <v>39783.3333333333</v>
      </c>
      <c r="H5392" s="2" t="s">
        <v>1370</v>
      </c>
    </row>
    <row r="5393" customFormat="false" ht="15" hidden="false" customHeight="false" outlineLevel="0" collapsed="false">
      <c r="A5393" s="3" t="s">
        <v>1371</v>
      </c>
      <c r="B5393" s="4"/>
      <c r="C5393" s="4"/>
      <c r="D5393" s="4"/>
      <c r="E5393" s="4"/>
      <c r="F5393" s="4"/>
      <c r="G5393" s="4"/>
      <c r="H5393" s="4"/>
    </row>
    <row r="5394" customFormat="false" ht="15" hidden="false" customHeight="false" outlineLevel="1" collapsed="false">
      <c r="A5394" s="56" t="s">
        <v>718</v>
      </c>
      <c r="B5394" s="57" t="s">
        <v>11</v>
      </c>
      <c r="C5394" s="62" t="n">
        <f aca="false">C5296</f>
        <v>193112.08</v>
      </c>
      <c r="D5394" s="62" t="n">
        <f aca="false">D5296</f>
        <v>1266677.8</v>
      </c>
      <c r="E5394" s="62" t="n">
        <f aca="false">E5296</f>
        <v>2602338.3</v>
      </c>
      <c r="F5394" s="62" t="n">
        <f aca="false">F5296</f>
        <v>4455693.9</v>
      </c>
      <c r="G5394" s="62" t="n">
        <f aca="false">G5296</f>
        <v>6823214.5</v>
      </c>
      <c r="H5394" s="2" t="s">
        <v>1372</v>
      </c>
    </row>
    <row r="5395" customFormat="false" ht="15" hidden="false" customHeight="false" outlineLevel="1" collapsed="false">
      <c r="A5395" s="7" t="s">
        <v>688</v>
      </c>
      <c r="B5395" s="8" t="s">
        <v>11</v>
      </c>
      <c r="C5395" s="61" t="n">
        <f aca="false">-C5319</f>
        <v>-171528</v>
      </c>
      <c r="D5395" s="61" t="n">
        <f aca="false">-D5319</f>
        <v>-1119510</v>
      </c>
      <c r="E5395" s="61" t="n">
        <f aca="false">-E5319</f>
        <v>-2273775</v>
      </c>
      <c r="F5395" s="61" t="n">
        <f aca="false">-F5319</f>
        <v>-3873695</v>
      </c>
      <c r="G5395" s="61" t="n">
        <f aca="false">-G5319</f>
        <v>-5922350</v>
      </c>
      <c r="H5395" s="2" t="s">
        <v>1373</v>
      </c>
    </row>
    <row r="5396" customFormat="false" ht="15" hidden="false" customHeight="false" outlineLevel="1" collapsed="false">
      <c r="A5396" s="56" t="s">
        <v>719</v>
      </c>
      <c r="B5396" s="57" t="s">
        <v>11</v>
      </c>
      <c r="C5396" s="62" t="n">
        <f aca="false">C5394+C5395</f>
        <v>21584.08</v>
      </c>
      <c r="D5396" s="62" t="n">
        <f aca="false">D5394+D5395</f>
        <v>147167.8</v>
      </c>
      <c r="E5396" s="62" t="n">
        <f aca="false">E5394+E5395</f>
        <v>328563.299999999</v>
      </c>
      <c r="F5396" s="62" t="n">
        <f aca="false">F5394+F5395</f>
        <v>581998.9</v>
      </c>
      <c r="G5396" s="62" t="n">
        <f aca="false">G5394+G5395</f>
        <v>900864.499999999</v>
      </c>
      <c r="H5396" s="2" t="s">
        <v>1374</v>
      </c>
    </row>
    <row r="5397" customFormat="false" ht="15" hidden="false" customHeight="false" outlineLevel="1" collapsed="false">
      <c r="A5397" s="2" t="s">
        <v>720</v>
      </c>
      <c r="B5397" s="8" t="s">
        <v>76</v>
      </c>
      <c r="C5397" s="59" t="n">
        <f aca="false">IF(C5394&gt;0,C5396/C5394,0)</f>
        <v>0.111769703894236</v>
      </c>
      <c r="D5397" s="59" t="n">
        <f aca="false">IF(D5394&gt;0,D5396/D5394,0)</f>
        <v>0.116184084066208</v>
      </c>
      <c r="E5397" s="59" t="n">
        <f aca="false">IF(E5394&gt;0,E5396/E5394,0)</f>
        <v>0.126256951296455</v>
      </c>
      <c r="F5397" s="59" t="n">
        <f aca="false">IF(F5394&gt;0,F5396/F5394,0)</f>
        <v>0.130619138805742</v>
      </c>
      <c r="G5397" s="59" t="n">
        <f aca="false">IF(G5394&gt;0,G5396/G5394,0)</f>
        <v>0.132029338957466</v>
      </c>
      <c r="H5397" s="2" t="s">
        <v>1375</v>
      </c>
    </row>
    <row r="5398" customFormat="false" ht="15" hidden="false" customHeight="false" outlineLevel="1" collapsed="false">
      <c r="A5398" s="7" t="s">
        <v>721</v>
      </c>
      <c r="B5398" s="8" t="s">
        <v>11</v>
      </c>
      <c r="C5398" s="61" t="n">
        <f aca="false">-C5330</f>
        <v>-10845.9558219178</v>
      </c>
      <c r="D5398" s="61" t="n">
        <f aca="false">-D5330</f>
        <v>-71305.8877568493</v>
      </c>
      <c r="E5398" s="61" t="n">
        <f aca="false">-E5330</f>
        <v>-148403.049794521</v>
      </c>
      <c r="F5398" s="61" t="n">
        <f aca="false">-F5330</f>
        <v>-250771.01119863</v>
      </c>
      <c r="G5398" s="61" t="n">
        <f aca="false">-G5330</f>
        <v>-374591.726369863</v>
      </c>
      <c r="H5398" s="2" t="s">
        <v>1376</v>
      </c>
    </row>
    <row r="5399" customFormat="false" ht="15" hidden="false" customHeight="false" outlineLevel="1" collapsed="false">
      <c r="A5399" s="7" t="s">
        <v>698</v>
      </c>
      <c r="B5399" s="8" t="s">
        <v>11</v>
      </c>
      <c r="C5399" s="61" t="n">
        <f aca="false">-C5333</f>
        <v>-0</v>
      </c>
      <c r="D5399" s="61" t="n">
        <f aca="false">-D5333</f>
        <v>-15066.9246575342</v>
      </c>
      <c r="E5399" s="61" t="n">
        <f aca="false">-E5333</f>
        <v>-23858.5193707192</v>
      </c>
      <c r="F5399" s="61" t="n">
        <f aca="false">-F5333</f>
        <v>-37750.3362585616</v>
      </c>
      <c r="G5399" s="61" t="n">
        <f aca="false">-G5333</f>
        <v>-57582.0269691781</v>
      </c>
      <c r="H5399" s="2" t="s">
        <v>1377</v>
      </c>
    </row>
    <row r="5400" customFormat="false" ht="15" hidden="false" customHeight="false" outlineLevel="1" collapsed="false">
      <c r="A5400" s="56" t="s">
        <v>677</v>
      </c>
      <c r="B5400" s="57" t="s">
        <v>11</v>
      </c>
      <c r="C5400" s="62" t="n">
        <f aca="false">C5396+C5398+C5399</f>
        <v>10738.1241780822</v>
      </c>
      <c r="D5400" s="62" t="n">
        <f aca="false">D5396+D5398+D5399</f>
        <v>60794.9875856163</v>
      </c>
      <c r="E5400" s="62" t="n">
        <f aca="false">E5396+E5398+E5399</f>
        <v>156301.73083476</v>
      </c>
      <c r="F5400" s="62" t="n">
        <f aca="false">F5396+F5398+F5399</f>
        <v>293477.552542808</v>
      </c>
      <c r="G5400" s="62" t="n">
        <f aca="false">G5396+G5398+G5399</f>
        <v>468690.746660958</v>
      </c>
      <c r="H5400" s="2" t="s">
        <v>1378</v>
      </c>
    </row>
    <row r="5401" customFormat="false" ht="15" hidden="false" customHeight="false" outlineLevel="1" collapsed="false">
      <c r="A5401" s="7" t="s">
        <v>261</v>
      </c>
      <c r="B5401" s="8" t="s">
        <v>11</v>
      </c>
      <c r="C5401" s="61" t="n">
        <f aca="false">-C5365</f>
        <v>-303573.09375</v>
      </c>
      <c r="D5401" s="61" t="n">
        <f aca="false">-D5365</f>
        <v>-477845.325</v>
      </c>
      <c r="E5401" s="61" t="n">
        <f aca="false">-E5365</f>
        <v>-563341.2153125</v>
      </c>
      <c r="F5401" s="61" t="n">
        <f aca="false">-F5365</f>
        <v>-697007.527174375</v>
      </c>
      <c r="G5401" s="61" t="n">
        <f aca="false">-G5365</f>
        <v>-768997.563445444</v>
      </c>
      <c r="H5401" s="2" t="s">
        <v>1379</v>
      </c>
    </row>
    <row r="5402" customFormat="false" ht="15" hidden="false" customHeight="false" outlineLevel="1" collapsed="false">
      <c r="A5402" s="7" t="s">
        <v>722</v>
      </c>
      <c r="B5402" s="8" t="s">
        <v>11</v>
      </c>
      <c r="C5402" s="61" t="n">
        <f aca="false">-C5381</f>
        <v>-298100</v>
      </c>
      <c r="D5402" s="61" t="n">
        <f aca="false">-D5381</f>
        <v>-297400.92</v>
      </c>
      <c r="E5402" s="61" t="n">
        <f aca="false">-E5381</f>
        <v>-368740.76</v>
      </c>
      <c r="F5402" s="61" t="n">
        <f aca="false">-F5381</f>
        <v>-391619.684</v>
      </c>
      <c r="G5402" s="61" t="n">
        <f aca="false">-G5381</f>
        <v>-432501.501272</v>
      </c>
      <c r="H5402" s="2" t="s">
        <v>1380</v>
      </c>
    </row>
    <row r="5403" customFormat="false" ht="15" hidden="false" customHeight="false" outlineLevel="1" collapsed="false">
      <c r="A5403" s="56" t="s">
        <v>723</v>
      </c>
      <c r="B5403" s="57" t="s">
        <v>11</v>
      </c>
      <c r="C5403" s="62" t="n">
        <f aca="false">C5400+C5401+C5402</f>
        <v>-590934.969571918</v>
      </c>
      <c r="D5403" s="62" t="n">
        <f aca="false">D5400+D5401+D5402</f>
        <v>-714451.257414384</v>
      </c>
      <c r="E5403" s="62" t="n">
        <f aca="false">E5400+E5401+E5402</f>
        <v>-775780.24447774</v>
      </c>
      <c r="F5403" s="62" t="n">
        <f aca="false">F5400+F5401+F5402</f>
        <v>-795149.658631567</v>
      </c>
      <c r="G5403" s="62" t="n">
        <f aca="false">G5400+G5401+G5402</f>
        <v>-732808.318056486</v>
      </c>
      <c r="H5403" s="2" t="s">
        <v>1381</v>
      </c>
    </row>
    <row r="5404" customFormat="false" ht="15" hidden="false" customHeight="false" outlineLevel="1" collapsed="false">
      <c r="A5404" s="2" t="s">
        <v>725</v>
      </c>
      <c r="B5404" s="8" t="s">
        <v>76</v>
      </c>
      <c r="C5404" s="59" t="n">
        <f aca="false">IF(C5394&gt;0,C5403/C5394,0)</f>
        <v>-3.06006216479009</v>
      </c>
      <c r="D5404" s="59" t="n">
        <f aca="false">IF(D5394&gt;0,D5403/D5394,0)</f>
        <v>-0.564035508804515</v>
      </c>
      <c r="E5404" s="59" t="n">
        <f aca="false">IF(E5394&gt;0,E5403/E5394,0)</f>
        <v>-0.298108914001589</v>
      </c>
      <c r="F5404" s="59" t="n">
        <f aca="false">IF(F5394&gt;0,F5403/F5394,0)</f>
        <v>-0.178456975833005</v>
      </c>
      <c r="G5404" s="59" t="n">
        <f aca="false">IF(G5394&gt;0,G5403/G5394,0)</f>
        <v>-0.107399279043109</v>
      </c>
      <c r="H5404" s="2" t="s">
        <v>1382</v>
      </c>
    </row>
    <row r="5405" customFormat="false" ht="15" hidden="false" customHeight="false" outlineLevel="1" collapsed="false">
      <c r="A5405" s="2" t="s">
        <v>726</v>
      </c>
      <c r="B5405" s="8" t="s">
        <v>11</v>
      </c>
      <c r="C5405" s="61" t="n">
        <f aca="false">C5403+C5333</f>
        <v>-590934.969571918</v>
      </c>
      <c r="D5405" s="61" t="n">
        <f aca="false">D5403+D5333</f>
        <v>-699384.33275685</v>
      </c>
      <c r="E5405" s="61" t="n">
        <f aca="false">E5403+E5333</f>
        <v>-751921.725107021</v>
      </c>
      <c r="F5405" s="61" t="n">
        <f aca="false">F5403+F5333</f>
        <v>-757399.322373005</v>
      </c>
      <c r="G5405" s="61" t="n">
        <f aca="false">G5403+G5333</f>
        <v>-675226.291087308</v>
      </c>
      <c r="H5405" s="2" t="s">
        <v>1383</v>
      </c>
    </row>
    <row r="5406" customFormat="false" ht="15" hidden="false" customHeight="false" outlineLevel="1" collapsed="false">
      <c r="A5406" s="7" t="s">
        <v>714</v>
      </c>
      <c r="B5406" s="8" t="s">
        <v>11</v>
      </c>
      <c r="C5406" s="61" t="n">
        <f aca="false">-C5392</f>
        <v>-26350</v>
      </c>
      <c r="D5406" s="61" t="n">
        <f aca="false">-D5392</f>
        <v>-39750</v>
      </c>
      <c r="E5406" s="61" t="n">
        <f aca="false">-E5392</f>
        <v>-52650</v>
      </c>
      <c r="F5406" s="61" t="n">
        <f aca="false">-F5392</f>
        <v>-42966.6666666667</v>
      </c>
      <c r="G5406" s="61" t="n">
        <f aca="false">-G5392</f>
        <v>-39783.3333333333</v>
      </c>
      <c r="H5406" s="2" t="s">
        <v>1384</v>
      </c>
    </row>
    <row r="5407" customFormat="false" ht="15" hidden="false" customHeight="false" outlineLevel="1" collapsed="false">
      <c r="A5407" s="56" t="s">
        <v>727</v>
      </c>
      <c r="B5407" s="57" t="s">
        <v>11</v>
      </c>
      <c r="C5407" s="62" t="n">
        <f aca="false">C5403+C5406</f>
        <v>-617284.969571918</v>
      </c>
      <c r="D5407" s="62" t="n">
        <f aca="false">D5403+D5406</f>
        <v>-754201.257414384</v>
      </c>
      <c r="E5407" s="62" t="n">
        <f aca="false">E5403+E5406</f>
        <v>-828430.24447774</v>
      </c>
      <c r="F5407" s="62" t="n">
        <f aca="false">F5403+F5406</f>
        <v>-838116.325298233</v>
      </c>
      <c r="G5407" s="62" t="n">
        <f aca="false">G5403+G5406</f>
        <v>-772591.651389819</v>
      </c>
      <c r="H5407" s="2" t="s">
        <v>1385</v>
      </c>
    </row>
    <row r="5408" customFormat="false" ht="15" hidden="false" customHeight="false" outlineLevel="0" collapsed="false">
      <c r="A5408" s="3" t="s">
        <v>1386</v>
      </c>
      <c r="B5408" s="4"/>
      <c r="C5408" s="4"/>
      <c r="D5408" s="4"/>
      <c r="E5408" s="4"/>
      <c r="F5408" s="4"/>
      <c r="G5408" s="4"/>
      <c r="H5408" s="4"/>
    </row>
    <row r="5409" customFormat="false" ht="15" hidden="false" customHeight="false" outlineLevel="1" collapsed="false">
      <c r="A5409" s="7" t="s">
        <v>729</v>
      </c>
      <c r="B5409" s="8" t="s">
        <v>11</v>
      </c>
      <c r="C5409" s="61" t="n">
        <f aca="false">C5407</f>
        <v>-617284.969571918</v>
      </c>
      <c r="D5409" s="61" t="n">
        <f aca="false">D5407</f>
        <v>-754201.257414384</v>
      </c>
      <c r="E5409" s="61" t="n">
        <f aca="false">E5407</f>
        <v>-828430.24447774</v>
      </c>
      <c r="F5409" s="61" t="n">
        <f aca="false">F5407</f>
        <v>-838116.325298233</v>
      </c>
      <c r="G5409" s="61" t="n">
        <f aca="false">G5407</f>
        <v>-772591.651389819</v>
      </c>
      <c r="H5409" s="2" t="s">
        <v>1387</v>
      </c>
    </row>
    <row r="5410" customFormat="false" ht="15" hidden="false" customHeight="false" outlineLevel="1" collapsed="false">
      <c r="A5410" s="7" t="s">
        <v>730</v>
      </c>
      <c r="B5410" s="8" t="s">
        <v>11</v>
      </c>
      <c r="C5410" s="61" t="n">
        <f aca="false">0</f>
        <v>0</v>
      </c>
      <c r="D5410" s="61" t="n">
        <f aca="false">C5413</f>
        <v>617284.969571918</v>
      </c>
      <c r="E5410" s="61" t="n">
        <f aca="false">D5413</f>
        <v>1371486.2269863</v>
      </c>
      <c r="F5410" s="61" t="n">
        <f aca="false">E5413</f>
        <v>2199916.47146404</v>
      </c>
      <c r="G5410" s="61" t="n">
        <f aca="false">F5413</f>
        <v>3038032.79676228</v>
      </c>
      <c r="H5410" s="2" t="s">
        <v>1388</v>
      </c>
    </row>
    <row r="5411" customFormat="false" ht="15" hidden="false" customHeight="false" outlineLevel="1" collapsed="false">
      <c r="A5411" s="7" t="s">
        <v>731</v>
      </c>
      <c r="B5411" s="8" t="s">
        <v>11</v>
      </c>
      <c r="C5411" s="61" t="n">
        <f aca="false">MAX(0,-C5409)</f>
        <v>617284.969571918</v>
      </c>
      <c r="D5411" s="61" t="n">
        <f aca="false">MAX(0,-D5409)</f>
        <v>754201.257414384</v>
      </c>
      <c r="E5411" s="61" t="n">
        <f aca="false">MAX(0,-E5409)</f>
        <v>828430.24447774</v>
      </c>
      <c r="F5411" s="61" t="n">
        <f aca="false">MAX(0,-F5409)</f>
        <v>838116.325298233</v>
      </c>
      <c r="G5411" s="61" t="n">
        <f aca="false">MAX(0,-G5409)</f>
        <v>772591.651389819</v>
      </c>
      <c r="H5411" s="2" t="s">
        <v>1389</v>
      </c>
    </row>
    <row r="5412" customFormat="false" ht="15" hidden="false" customHeight="false" outlineLevel="1" collapsed="false">
      <c r="A5412" s="7" t="s">
        <v>732</v>
      </c>
      <c r="B5412" s="8" t="s">
        <v>11</v>
      </c>
      <c r="C5412" s="61" t="n">
        <f aca="false">MIN(C5410,Pressupostos!$C$181*MAX(0,C5409))</f>
        <v>0</v>
      </c>
      <c r="D5412" s="61" t="n">
        <f aca="false">MIN(D5410,Pressupostos!$C$181*MAX(0,D5409))</f>
        <v>0</v>
      </c>
      <c r="E5412" s="61" t="n">
        <f aca="false">MIN(E5410,Pressupostos!$C$181*MAX(0,E5409))</f>
        <v>0</v>
      </c>
      <c r="F5412" s="61" t="n">
        <f aca="false">MIN(F5410,Pressupostos!$C$181*MAX(0,F5409))</f>
        <v>0</v>
      </c>
      <c r="G5412" s="61" t="n">
        <f aca="false">MIN(G5410,Pressupostos!$C$181*MAX(0,G5409))</f>
        <v>0</v>
      </c>
      <c r="H5412" s="2" t="s">
        <v>1390</v>
      </c>
    </row>
    <row r="5413" customFormat="false" ht="15" hidden="false" customHeight="false" outlineLevel="1" collapsed="false">
      <c r="A5413" s="7" t="s">
        <v>733</v>
      </c>
      <c r="B5413" s="8" t="s">
        <v>11</v>
      </c>
      <c r="C5413" s="61" t="n">
        <f aca="false">C5410+C5411-C5412</f>
        <v>617284.969571918</v>
      </c>
      <c r="D5413" s="61" t="n">
        <f aca="false">D5410+D5411-D5412</f>
        <v>1371486.2269863</v>
      </c>
      <c r="E5413" s="61" t="n">
        <f aca="false">E5410+E5411-E5412</f>
        <v>2199916.47146404</v>
      </c>
      <c r="F5413" s="61" t="n">
        <f aca="false">F5410+F5411-F5412</f>
        <v>3038032.79676228</v>
      </c>
      <c r="G5413" s="61" t="n">
        <f aca="false">G5410+G5411-G5412</f>
        <v>3810624.44815209</v>
      </c>
      <c r="H5413" s="2" t="s">
        <v>1391</v>
      </c>
    </row>
    <row r="5414" customFormat="false" ht="15" hidden="false" customHeight="false" outlineLevel="1" collapsed="false">
      <c r="A5414" s="7" t="s">
        <v>734</v>
      </c>
      <c r="B5414" s="8" t="s">
        <v>11</v>
      </c>
      <c r="C5414" s="61" t="n">
        <f aca="false">MAX(0,C5409)-C5412</f>
        <v>0</v>
      </c>
      <c r="D5414" s="61" t="n">
        <f aca="false">MAX(0,D5409)-D5412</f>
        <v>0</v>
      </c>
      <c r="E5414" s="61" t="n">
        <f aca="false">MAX(0,E5409)-E5412</f>
        <v>0</v>
      </c>
      <c r="F5414" s="61" t="n">
        <f aca="false">MAX(0,F5409)-F5412</f>
        <v>0</v>
      </c>
      <c r="G5414" s="61" t="n">
        <f aca="false">MAX(0,G5409)-G5412</f>
        <v>0</v>
      </c>
      <c r="H5414" s="2" t="s">
        <v>1392</v>
      </c>
    </row>
    <row r="5415" customFormat="false" ht="15" hidden="false" customHeight="false" outlineLevel="1" collapsed="false">
      <c r="A5415" s="7" t="s">
        <v>735</v>
      </c>
      <c r="B5415" s="8" t="s">
        <v>11</v>
      </c>
      <c r="C5415" s="61" t="n">
        <f aca="false">Pressupostos!$C$172*MIN(C5414,Pressupostos!$C$173)+Pressupostos!$C$467*MAX(0,C5414-Pressupostos!$C$173)</f>
        <v>0</v>
      </c>
      <c r="D5415" s="61" t="n">
        <f aca="false">Pressupostos!$C$172*MIN(D5414,Pressupostos!$C$173)+Pressupostos!$D$467*MAX(0,D5414-Pressupostos!$C$173)</f>
        <v>0</v>
      </c>
      <c r="E5415" s="61" t="n">
        <f aca="false">Pressupostos!$C$172*MIN(E5414,Pressupostos!$C$173)+Pressupostos!$E$467*MAX(0,E5414-Pressupostos!$C$173)</f>
        <v>0</v>
      </c>
      <c r="F5415" s="61" t="n">
        <f aca="false">Pressupostos!$C$172*MIN(F5414,Pressupostos!$C$173)+Pressupostos!$F$467*MAX(0,F5414-Pressupostos!$C$173)</f>
        <v>0</v>
      </c>
      <c r="G5415" s="61" t="n">
        <f aca="false">Pressupostos!$C$172*MIN(G5414,Pressupostos!$C$173)+Pressupostos!$G$467*MAX(0,G5414-Pressupostos!$C$173)</f>
        <v>0</v>
      </c>
      <c r="H5415" s="2" t="s">
        <v>1393</v>
      </c>
    </row>
    <row r="5416" customFormat="false" ht="15" hidden="false" customHeight="false" outlineLevel="1" collapsed="false">
      <c r="A5416" s="7" t="s">
        <v>736</v>
      </c>
      <c r="B5416" s="8" t="s">
        <v>11</v>
      </c>
      <c r="C5416" s="61" t="n">
        <f aca="false">Pressupostos!$C$174*MAX(0,C5409)</f>
        <v>0</v>
      </c>
      <c r="D5416" s="61" t="n">
        <f aca="false">Pressupostos!$C$174*MAX(0,D5409)</f>
        <v>0</v>
      </c>
      <c r="E5416" s="61" t="n">
        <f aca="false">Pressupostos!$C$174*MAX(0,E5409)</f>
        <v>0</v>
      </c>
      <c r="F5416" s="61" t="n">
        <f aca="false">Pressupostos!$C$174*MAX(0,F5409)</f>
        <v>0</v>
      </c>
      <c r="G5416" s="61" t="n">
        <f aca="false">Pressupostos!$C$174*MAX(0,G5409)</f>
        <v>0</v>
      </c>
      <c r="H5416" s="2" t="s">
        <v>1394</v>
      </c>
    </row>
    <row r="5417" customFormat="false" ht="15" hidden="false" customHeight="false" outlineLevel="1" collapsed="false">
      <c r="A5417" s="7" t="s">
        <v>737</v>
      </c>
      <c r="B5417" s="8" t="s">
        <v>11</v>
      </c>
      <c r="C5417" s="61" t="n">
        <f aca="false">Pressupostos!$C$176*MAX(0,MIN(C5409,Pressupostos!$C$177)-Pressupostos!$C$175)+Pressupostos!$C$178*MAX(0,MIN(C5409,Pressupostos!$C$179)-Pressupostos!$C$177)+Pressupostos!$C$180*MAX(0,C5409-Pressupostos!$C$179)</f>
        <v>0</v>
      </c>
      <c r="D5417" s="61" t="n">
        <f aca="false">Pressupostos!$C$176*MAX(0,MIN(D5409,Pressupostos!$C$177)-Pressupostos!$C$175)+Pressupostos!$C$178*MAX(0,MIN(D5409,Pressupostos!$C$179)-Pressupostos!$C$177)+Pressupostos!$C$180*MAX(0,D5409-Pressupostos!$C$179)</f>
        <v>0</v>
      </c>
      <c r="E5417" s="61" t="n">
        <f aca="false">Pressupostos!$C$176*MAX(0,MIN(E5409,Pressupostos!$C$177)-Pressupostos!$C$175)+Pressupostos!$C$178*MAX(0,MIN(E5409,Pressupostos!$C$179)-Pressupostos!$C$177)+Pressupostos!$C$180*MAX(0,E5409-Pressupostos!$C$179)</f>
        <v>0</v>
      </c>
      <c r="F5417" s="61" t="n">
        <f aca="false">Pressupostos!$C$176*MAX(0,MIN(F5409,Pressupostos!$C$177)-Pressupostos!$C$175)+Pressupostos!$C$178*MAX(0,MIN(F5409,Pressupostos!$C$179)-Pressupostos!$C$177)+Pressupostos!$C$180*MAX(0,F5409-Pressupostos!$C$179)</f>
        <v>0</v>
      </c>
      <c r="G5417" s="61" t="n">
        <f aca="false">Pressupostos!$C$176*MAX(0,MIN(G5409,Pressupostos!$C$177)-Pressupostos!$C$175)+Pressupostos!$C$178*MAX(0,MIN(G5409,Pressupostos!$C$179)-Pressupostos!$C$177)+Pressupostos!$C$180*MAX(0,G5409-Pressupostos!$C$179)</f>
        <v>0</v>
      </c>
      <c r="H5417" s="2" t="s">
        <v>1395</v>
      </c>
    </row>
    <row r="5418" customFormat="false" ht="15" hidden="false" customHeight="false" outlineLevel="1" collapsed="false">
      <c r="A5418" s="7" t="s">
        <v>738</v>
      </c>
      <c r="B5418" s="8" t="s">
        <v>11</v>
      </c>
      <c r="C5418" s="61" t="n">
        <f aca="false">C5415+C5416+C5417</f>
        <v>0</v>
      </c>
      <c r="D5418" s="61" t="n">
        <f aca="false">D5415+D5416+D5417</f>
        <v>0</v>
      </c>
      <c r="E5418" s="61" t="n">
        <f aca="false">E5415+E5416+E5417</f>
        <v>0</v>
      </c>
      <c r="F5418" s="61" t="n">
        <f aca="false">F5415+F5416+F5417</f>
        <v>0</v>
      </c>
      <c r="G5418" s="61" t="n">
        <f aca="false">G5415+G5416+G5417</f>
        <v>0</v>
      </c>
      <c r="H5418" s="2" t="s">
        <v>1396</v>
      </c>
    </row>
    <row r="5419" customFormat="false" ht="15" hidden="false" customHeight="false" outlineLevel="0" collapsed="false">
      <c r="A5419" s="3" t="s">
        <v>1397</v>
      </c>
      <c r="B5419" s="4"/>
      <c r="C5419" s="4"/>
      <c r="D5419" s="4"/>
      <c r="E5419" s="4"/>
      <c r="F5419" s="4"/>
      <c r="G5419" s="4"/>
      <c r="H5419" s="4"/>
    </row>
    <row r="5420" customFormat="false" ht="15" hidden="false" customHeight="false" outlineLevel="1" collapsed="false">
      <c r="A5420" s="7" t="s">
        <v>738</v>
      </c>
      <c r="B5420" s="8" t="s">
        <v>11</v>
      </c>
      <c r="C5420" s="61" t="n">
        <f aca="false">-C5418</f>
        <v>-0</v>
      </c>
      <c r="D5420" s="61" t="n">
        <f aca="false">-D5418</f>
        <v>-0</v>
      </c>
      <c r="E5420" s="61" t="n">
        <f aca="false">-E5418</f>
        <v>-0</v>
      </c>
      <c r="F5420" s="61" t="n">
        <f aca="false">-F5418</f>
        <v>-0</v>
      </c>
      <c r="G5420" s="61" t="n">
        <f aca="false">-G5418</f>
        <v>-0</v>
      </c>
      <c r="H5420" s="2" t="s">
        <v>1398</v>
      </c>
    </row>
    <row r="5421" customFormat="false" ht="15" hidden="false" customHeight="false" outlineLevel="1" collapsed="false">
      <c r="A5421" s="56" t="s">
        <v>740</v>
      </c>
      <c r="B5421" s="57" t="s">
        <v>11</v>
      </c>
      <c r="C5421" s="62" t="n">
        <f aca="false">C5407+C5420</f>
        <v>-617284.969571918</v>
      </c>
      <c r="D5421" s="62" t="n">
        <f aca="false">D5407+D5420</f>
        <v>-754201.257414384</v>
      </c>
      <c r="E5421" s="62" t="n">
        <f aca="false">E5407+E5420</f>
        <v>-828430.24447774</v>
      </c>
      <c r="F5421" s="62" t="n">
        <f aca="false">F5407+F5420</f>
        <v>-838116.325298233</v>
      </c>
      <c r="G5421" s="62" t="n">
        <f aca="false">G5407+G5420</f>
        <v>-772591.651389819</v>
      </c>
      <c r="H5421" s="2" t="s">
        <v>1399</v>
      </c>
    </row>
    <row r="5422" customFormat="false" ht="15" hidden="false" customHeight="false" outlineLevel="0" collapsed="false">
      <c r="A5422" s="3" t="s">
        <v>1400</v>
      </c>
      <c r="B5422" s="4"/>
      <c r="C5422" s="4"/>
      <c r="D5422" s="4"/>
      <c r="E5422" s="4"/>
      <c r="F5422" s="4"/>
      <c r="G5422" s="4"/>
      <c r="H5422" s="4"/>
    </row>
    <row r="5423" customFormat="false" ht="15" hidden="false" customHeight="false" outlineLevel="1" collapsed="false">
      <c r="A5423" s="7" t="s">
        <v>744</v>
      </c>
      <c r="B5423" s="8" t="s">
        <v>11</v>
      </c>
      <c r="C5423" s="61" t="n">
        <f aca="false">C5195*1000*((C5213+C5216)*C5219/365)+C5196*1000*((C5236+C5239)*C5242/365)+C5198*1000*((C5259+C5262)*C5265/365)</f>
        <v>24005.5890410959</v>
      </c>
      <c r="D5423" s="61" t="n">
        <f aca="false">D5195*1000*((D5213+D5216)*D5219/365)+D5196*1000*((D5236+D5239)*D5242/365)+D5198*1000*((D5259+D5262)*D5265/365)</f>
        <v>129167.260273973</v>
      </c>
      <c r="E5423" s="61" t="n">
        <f aca="false">E5195*1000*((E5213+E5216)*E5219/365)+E5196*1000*((E5236+E5239)*E5242/365)+E5198*1000*((E5259+E5262)*E5265/365)</f>
        <v>196793.01369863</v>
      </c>
      <c r="F5423" s="61" t="n">
        <f aca="false">F5195*1000*((F5213+F5216)*F5219/365)+F5196*1000*((F5236+F5239)*F5242/365)+F5198*1000*((F5259+F5262)*F5265/365)</f>
        <v>327669.04109589</v>
      </c>
      <c r="G5423" s="61" t="n">
        <f aca="false">G5195*1000*((G5213+G5216)*G5219/365)+G5196*1000*((G5236+G5239)*G5242/365)+G5198*1000*((G5259+G5262)*G5265/365)</f>
        <v>491400</v>
      </c>
      <c r="H5423" s="2" t="s">
        <v>1401</v>
      </c>
    </row>
    <row r="5424" customFormat="false" ht="15" hidden="false" customHeight="false" outlineLevel="1" collapsed="false">
      <c r="A5424" s="7" t="s">
        <v>745</v>
      </c>
      <c r="B5424" s="8" t="s">
        <v>11</v>
      </c>
      <c r="C5424" s="61" t="n">
        <f aca="false">C5423+C5208*1000*Pressupostos!$C$92*Pressupostos!$C$95/365</f>
        <v>24005.5890410959</v>
      </c>
      <c r="D5424" s="61" t="n">
        <f aca="false">D5423+D5208*1000*Pressupostos!$C$92*Pressupostos!$C$95/365</f>
        <v>129167.260273973</v>
      </c>
      <c r="E5424" s="61" t="n">
        <f aca="false">E5423+E5208*1000*Pressupostos!$C$92*Pressupostos!$C$95/365</f>
        <v>196793.01369863</v>
      </c>
      <c r="F5424" s="61" t="n">
        <f aca="false">F5423+F5208*1000*Pressupostos!$C$92*Pressupostos!$C$95/365</f>
        <v>339751.232876712</v>
      </c>
      <c r="G5424" s="61" t="n">
        <f aca="false">G5423+G5208*1000*Pressupostos!$C$92*Pressupostos!$C$95/365</f>
        <v>521605.479452055</v>
      </c>
      <c r="H5424" s="2" t="s">
        <v>1402</v>
      </c>
    </row>
    <row r="5425" customFormat="false" ht="15" hidden="false" customHeight="false" outlineLevel="1" collapsed="false">
      <c r="A5425" s="7" t="s">
        <v>746</v>
      </c>
      <c r="B5425" s="8" t="s">
        <v>11</v>
      </c>
      <c r="C5425" s="61" t="n">
        <f aca="false">C5195*1000*(C5215*C5220/365)+C5196*1000*(C5238*C5243/365)+C5198*1000*(C5261*C5266/365)+C5290*Pressupostos!$C$96/365+(C5292+C5293)*Pressupostos!$C$82/365</f>
        <v>27391.3490410959</v>
      </c>
      <c r="D5425" s="61" t="n">
        <f aca="false">D5195*1000*(D5215*D5220/365)+D5196*1000*(D5238*D5243/365)+D5198*1000*(D5261*D5266/365)+D5290*Pressupostos!$C$96/365+(D5292+D5293)*Pressupostos!$C$82/365</f>
        <v>182329.134246575</v>
      </c>
      <c r="E5425" s="61" t="n">
        <f aca="false">E5195*1000*(E5215*E5220/365)+E5196*1000*(E5238*E5243/365)+E5198*1000*(E5261*E5266/365)+E5290*Pressupostos!$C$96/365+(E5292+E5293)*Pressupostos!$C$82/365</f>
        <v>368647.463013699</v>
      </c>
      <c r="F5425" s="61" t="n">
        <f aca="false">F5195*1000*(F5215*F5220/365)+F5196*1000*(F5238*F5243/365)+F5198*1000*(F5261*F5266/365)+F5290*Pressupostos!$C$96/365+(F5292+F5293)*Pressupostos!$C$82/365</f>
        <v>620298.882191781</v>
      </c>
      <c r="G5425" s="61" t="n">
        <f aca="false">G5195*1000*(G5215*G5220/365)+G5196*1000*(G5238*G5243/365)+G5198*1000*(G5261*G5266/365)+G5290*Pressupostos!$C$96/365+(G5292+G5293)*Pressupostos!$C$82/365</f>
        <v>942649.821917808</v>
      </c>
      <c r="H5425" s="2" t="s">
        <v>1403</v>
      </c>
    </row>
    <row r="5426" customFormat="false" ht="15" hidden="false" customHeight="false" outlineLevel="1" collapsed="false">
      <c r="A5426" s="7" t="s">
        <v>747</v>
      </c>
      <c r="B5426" s="8" t="s">
        <v>11</v>
      </c>
      <c r="C5426" s="61" t="n">
        <f aca="false">C5195*1000*((C5213+C5216)*Pressupostos!$C$72/365)+C5196*1000*((C5236+C5239)*Pressupostos!$C$72/365)+C5198*1000*((C5259+C5262)*Pressupostos!$C$72/365)+C5208*1000*Pressupostos!$C$92*Pressupostos!$C$97/365</f>
        <v>14098.1917808219</v>
      </c>
      <c r="D5426" s="61" t="n">
        <f aca="false">D5195*1000*((D5213+D5216)*Pressupostos!$C$72/365)+D5196*1000*((D5236+D5239)*Pressupostos!$C$72/365)+D5198*1000*((D5259+D5262)*Pressupostos!$C$72/365)+D5208*1000*Pressupostos!$C$92*Pressupostos!$C$97/365</f>
        <v>92014.5205479452</v>
      </c>
      <c r="E5426" s="61" t="n">
        <f aca="false">E5195*1000*((E5213+E5216)*Pressupostos!$C$72/365)+E5196*1000*((E5236+E5239)*Pressupostos!$C$72/365)+E5198*1000*((E5259+E5262)*Pressupostos!$C$72/365)+E5208*1000*Pressupostos!$C$92*Pressupostos!$C$97/365</f>
        <v>186885.616438356</v>
      </c>
      <c r="F5426" s="61" t="n">
        <f aca="false">F5195*1000*((F5213+F5216)*Pressupostos!$C$72/365)+F5196*1000*((F5236+F5239)*Pressupostos!$C$72/365)+F5198*1000*((F5259+F5262)*Pressupostos!$C$72/365)+F5208*1000*Pressupostos!$C$92*Pressupostos!$C$97/365</f>
        <v>318385.890410959</v>
      </c>
      <c r="G5426" s="61" t="n">
        <f aca="false">G5195*1000*((G5213+G5216)*Pressupostos!$C$72/365)+G5196*1000*((G5236+G5239)*Pressupostos!$C$72/365)+G5198*1000*((G5259+G5262)*Pressupostos!$C$72/365)+G5208*1000*Pressupostos!$C$92*Pressupostos!$C$97/365</f>
        <v>486768.493150685</v>
      </c>
      <c r="H5426" s="2" t="s">
        <v>1404</v>
      </c>
    </row>
    <row r="5427" customFormat="false" ht="15" hidden="false" customHeight="false" outlineLevel="1" collapsed="false">
      <c r="A5427" s="56" t="s">
        <v>748</v>
      </c>
      <c r="B5427" s="57" t="s">
        <v>11</v>
      </c>
      <c r="C5427" s="62" t="n">
        <f aca="false">C5424+C5425-C5426</f>
        <v>37298.7463013699</v>
      </c>
      <c r="D5427" s="62" t="n">
        <f aca="false">D5424+D5425-D5426</f>
        <v>219481.873972603</v>
      </c>
      <c r="E5427" s="62" t="n">
        <f aca="false">E5424+E5425-E5426</f>
        <v>378554.860273973</v>
      </c>
      <c r="F5427" s="62" t="n">
        <f aca="false">F5424+F5425-F5426</f>
        <v>641664.224657534</v>
      </c>
      <c r="G5427" s="62" t="n">
        <f aca="false">G5424+G5425-G5426</f>
        <v>977486.808219178</v>
      </c>
      <c r="H5427" s="2" t="s">
        <v>1405</v>
      </c>
    </row>
    <row r="5428" customFormat="false" ht="15" hidden="false" customHeight="false" outlineLevel="0" collapsed="false">
      <c r="A5428" s="3" t="s">
        <v>1406</v>
      </c>
      <c r="B5428" s="4"/>
      <c r="C5428" s="4"/>
      <c r="D5428" s="4"/>
      <c r="E5428" s="4"/>
      <c r="F5428" s="4"/>
      <c r="G5428" s="4"/>
      <c r="H5428" s="4"/>
    </row>
    <row r="5429" customFormat="false" ht="15" hidden="false" customHeight="false" outlineLevel="1" collapsed="false">
      <c r="A5429" s="56" t="s">
        <v>750</v>
      </c>
      <c r="B5429" s="57" t="s">
        <v>11</v>
      </c>
      <c r="C5429" s="62" t="n">
        <f aca="false">Pressupostos!$C$284*C5427/Pressupostos!$F$31</f>
        <v>0</v>
      </c>
      <c r="D5429" s="62" t="n">
        <f aca="false">Pressupostos!$D$284*D5427/Pressupostos!$F$31</f>
        <v>205764.256849315</v>
      </c>
      <c r="E5429" s="62" t="n">
        <f aca="false">Pressupostos!$E$284*E5427/Pressupostos!$F$31</f>
        <v>354895.181506849</v>
      </c>
      <c r="F5429" s="62" t="n">
        <f aca="false">Pressupostos!$F$284*F5427/Pressupostos!$F$31</f>
        <v>601560.210616438</v>
      </c>
      <c r="G5429" s="62" t="n">
        <f aca="false">Pressupostos!$G$284*G5427/Pressupostos!$F$31</f>
        <v>916393.882705479</v>
      </c>
      <c r="H5429" s="2" t="s">
        <v>1407</v>
      </c>
    </row>
    <row r="5430" customFormat="false" ht="15" hidden="false" customHeight="false" outlineLevel="1" collapsed="false">
      <c r="A5430" s="7" t="s">
        <v>751</v>
      </c>
      <c r="B5430" s="8" t="s">
        <v>11</v>
      </c>
      <c r="C5430" s="61" t="n">
        <f aca="false">Pressupostos!$C$284*C5427</f>
        <v>0</v>
      </c>
      <c r="D5430" s="61" t="n">
        <f aca="false">Pressupostos!$D$284*D5427</f>
        <v>164611.405479452</v>
      </c>
      <c r="E5430" s="61" t="n">
        <f aca="false">Pressupostos!$E$284*E5427</f>
        <v>283916.14520548</v>
      </c>
      <c r="F5430" s="61" t="n">
        <f aca="false">Pressupostos!$F$284*F5427</f>
        <v>481248.168493151</v>
      </c>
      <c r="G5430" s="61" t="n">
        <f aca="false">Pressupostos!$G$284*G5427</f>
        <v>733115.106164384</v>
      </c>
      <c r="H5430" s="2" t="s">
        <v>1408</v>
      </c>
    </row>
    <row r="5431" customFormat="false" ht="15" hidden="false" customHeight="false" outlineLevel="1" collapsed="false">
      <c r="A5431" s="7" t="s">
        <v>752</v>
      </c>
      <c r="B5431" s="8" t="s">
        <v>11</v>
      </c>
      <c r="C5431" s="61" t="n">
        <f aca="false">C5429-C5430</f>
        <v>0</v>
      </c>
      <c r="D5431" s="61" t="n">
        <f aca="false">D5429-D5430</f>
        <v>41152.851369863</v>
      </c>
      <c r="E5431" s="61" t="n">
        <f aca="false">E5429-E5430</f>
        <v>70979.0363013698</v>
      </c>
      <c r="F5431" s="61" t="n">
        <f aca="false">F5429-F5430</f>
        <v>120312.042123288</v>
      </c>
      <c r="G5431" s="61" t="n">
        <f aca="false">G5429-G5430</f>
        <v>183278.776541096</v>
      </c>
      <c r="H5431" s="2" t="s">
        <v>1409</v>
      </c>
    </row>
    <row r="5432" customFormat="false" ht="15" hidden="false" customHeight="false" outlineLevel="1" collapsed="false">
      <c r="A5432" s="7" t="s">
        <v>753</v>
      </c>
      <c r="B5432" s="8" t="s">
        <v>11</v>
      </c>
      <c r="C5432" s="61" t="n">
        <f aca="false">C5427-C5430</f>
        <v>37298.7463013699</v>
      </c>
      <c r="D5432" s="61" t="n">
        <f aca="false">D5427-D5430</f>
        <v>54870.4684931507</v>
      </c>
      <c r="E5432" s="61" t="n">
        <f aca="false">E5427-E5430</f>
        <v>94638.7150684932</v>
      </c>
      <c r="F5432" s="61" t="n">
        <f aca="false">F5427-F5430</f>
        <v>160416.056164384</v>
      </c>
      <c r="G5432" s="61" t="n">
        <f aca="false">G5427-G5430</f>
        <v>244371.702054794</v>
      </c>
      <c r="H5432" s="2" t="s">
        <v>1410</v>
      </c>
    </row>
    <row r="5433" customFormat="false" ht="15" hidden="false" customHeight="false" outlineLevel="1" collapsed="false">
      <c r="A5433" s="7" t="s">
        <v>754</v>
      </c>
      <c r="B5433" s="8" t="s">
        <v>11</v>
      </c>
      <c r="C5433" s="61" t="n">
        <f aca="false">MAX(0,Pressupostos!$C$108-C5432)</f>
        <v>12701.2536986301</v>
      </c>
      <c r="D5433" s="61" t="n">
        <f aca="false">MAX(0,Pressupostos!$C$108-D5432)</f>
        <v>0</v>
      </c>
      <c r="E5433" s="61" t="n">
        <f aca="false">MAX(0,Pressupostos!$C$108-E5432)</f>
        <v>0</v>
      </c>
      <c r="F5433" s="61" t="n">
        <f aca="false">MAX(0,Pressupostos!$C$108-F5432)</f>
        <v>0</v>
      </c>
      <c r="G5433" s="61" t="n">
        <f aca="false">MAX(0,Pressupostos!$C$108-G5432)</f>
        <v>0</v>
      </c>
      <c r="H5433" s="2" t="s">
        <v>1411</v>
      </c>
    </row>
    <row r="5434" customFormat="false" ht="15" hidden="false" customHeight="false" outlineLevel="1" collapsed="false">
      <c r="A5434" s="7" t="s">
        <v>755</v>
      </c>
      <c r="B5434" s="8" t="s">
        <v>11</v>
      </c>
      <c r="C5434" s="61" t="n">
        <f aca="false">Pressupostos!$C$109*C5429</f>
        <v>0</v>
      </c>
      <c r="D5434" s="61" t="n">
        <f aca="false">Pressupostos!$C$109*D5429</f>
        <v>10288.2128424658</v>
      </c>
      <c r="E5434" s="61" t="n">
        <f aca="false">Pressupostos!$C$109*E5429</f>
        <v>17744.7590753425</v>
      </c>
      <c r="F5434" s="61" t="n">
        <f aca="false">Pressupostos!$C$109*F5429</f>
        <v>30078.0105308219</v>
      </c>
      <c r="G5434" s="61" t="n">
        <f aca="false">Pressupostos!$C$109*G5429</f>
        <v>45819.694135274</v>
      </c>
      <c r="H5434" s="2" t="s">
        <v>1412</v>
      </c>
    </row>
    <row r="5435" customFormat="false" ht="15" hidden="false" customHeight="false" outlineLevel="1" collapsed="false">
      <c r="A5435" s="2" t="s">
        <v>756</v>
      </c>
      <c r="B5435" s="8" t="s">
        <v>123</v>
      </c>
      <c r="C5435" s="61" t="n">
        <f aca="false">C5429/Pressupostos!$C$112</f>
        <v>0</v>
      </c>
      <c r="D5435" s="61" t="n">
        <f aca="false">D5429/Pressupostos!$C$112</f>
        <v>4.1152851369863</v>
      </c>
      <c r="E5435" s="61" t="n">
        <f aca="false">E5429/Pressupostos!$C$112</f>
        <v>7.09790363013699</v>
      </c>
      <c r="F5435" s="61" t="n">
        <f aca="false">F5429/Pressupostos!$C$112</f>
        <v>12.0312042123288</v>
      </c>
      <c r="G5435" s="61" t="n">
        <f aca="false">G5429/Pressupostos!$C$112</f>
        <v>18.3278776541096</v>
      </c>
      <c r="H5435" s="2" t="s">
        <v>1413</v>
      </c>
    </row>
    <row r="5436" customFormat="false" ht="15" hidden="false" customHeight="false" outlineLevel="0" collapsed="false">
      <c r="A5436" s="3" t="s">
        <v>1414</v>
      </c>
      <c r="B5436" s="4"/>
      <c r="C5436" s="4"/>
      <c r="D5436" s="4"/>
      <c r="E5436" s="4"/>
      <c r="F5436" s="4"/>
      <c r="G5436" s="4"/>
      <c r="H5436" s="4"/>
    </row>
    <row r="5437" customFormat="false" ht="15" hidden="false" customHeight="false" outlineLevel="1" collapsed="false">
      <c r="A5437" s="7" t="s">
        <v>758</v>
      </c>
      <c r="B5437" s="8" t="s">
        <v>11</v>
      </c>
      <c r="C5437" s="61" t="n">
        <f aca="false">C5403</f>
        <v>-590934.969571918</v>
      </c>
      <c r="D5437" s="61" t="n">
        <f aca="false">D5403</f>
        <v>-714451.257414384</v>
      </c>
      <c r="E5437" s="61" t="n">
        <f aca="false">E5403</f>
        <v>-775780.24447774</v>
      </c>
      <c r="F5437" s="61" t="n">
        <f aca="false">F5403</f>
        <v>-795149.658631567</v>
      </c>
      <c r="G5437" s="61" t="n">
        <f aca="false">G5403</f>
        <v>-732808.318056486</v>
      </c>
      <c r="H5437" s="2" t="s">
        <v>1415</v>
      </c>
    </row>
    <row r="5438" customFormat="false" ht="15" hidden="false" customHeight="false" outlineLevel="1" collapsed="false">
      <c r="A5438" s="7" t="s">
        <v>759</v>
      </c>
      <c r="B5438" s="8" t="s">
        <v>11</v>
      </c>
      <c r="C5438" s="61" t="n">
        <f aca="false">-C5418</f>
        <v>-0</v>
      </c>
      <c r="D5438" s="61" t="n">
        <f aca="false">-D5418</f>
        <v>-0</v>
      </c>
      <c r="E5438" s="61" t="n">
        <f aca="false">-E5418</f>
        <v>-0</v>
      </c>
      <c r="F5438" s="61" t="n">
        <f aca="false">-F5418</f>
        <v>-0</v>
      </c>
      <c r="G5438" s="61" t="n">
        <f aca="false">-G5418</f>
        <v>-0</v>
      </c>
      <c r="H5438" s="2" t="s">
        <v>1416</v>
      </c>
    </row>
    <row r="5439" customFormat="false" ht="15" hidden="false" customHeight="false" outlineLevel="1" collapsed="false">
      <c r="A5439" s="7" t="s">
        <v>760</v>
      </c>
      <c r="B5439" s="8" t="s">
        <v>11</v>
      </c>
      <c r="C5439" s="61" t="n">
        <f aca="false">-C5427</f>
        <v>-37298.7463013699</v>
      </c>
      <c r="D5439" s="61" t="n">
        <f aca="false">-(D5427-C5427)</f>
        <v>-182183.127671233</v>
      </c>
      <c r="E5439" s="61" t="n">
        <f aca="false">-(E5427-D5427)</f>
        <v>-159072.98630137</v>
      </c>
      <c r="F5439" s="61" t="n">
        <f aca="false">-(F5427-E5427)</f>
        <v>-263109.364383561</v>
      </c>
      <c r="G5439" s="61" t="n">
        <f aca="false">-(G5427-F5427)</f>
        <v>-335822.583561644</v>
      </c>
      <c r="H5439" s="2" t="s">
        <v>1417</v>
      </c>
    </row>
    <row r="5440" customFormat="false" ht="15" hidden="false" customHeight="false" outlineLevel="1" collapsed="false">
      <c r="A5440" s="7" t="s">
        <v>424</v>
      </c>
      <c r="B5440" s="8" t="s">
        <v>11</v>
      </c>
      <c r="C5440" s="61" t="n">
        <f aca="false">-C5387</f>
        <v>-89000</v>
      </c>
      <c r="D5440" s="61" t="n">
        <f aca="false">-D5387</f>
        <v>-46000</v>
      </c>
      <c r="E5440" s="61" t="n">
        <f aca="false">-E5387</f>
        <v>-44000</v>
      </c>
      <c r="F5440" s="61" t="n">
        <f aca="false">-F5387</f>
        <v>-37000</v>
      </c>
      <c r="G5440" s="61" t="n">
        <f aca="false">-G5387</f>
        <v>-34000</v>
      </c>
      <c r="H5440" s="2" t="s">
        <v>1418</v>
      </c>
    </row>
    <row r="5441" customFormat="false" ht="15" hidden="false" customHeight="false" outlineLevel="1" collapsed="false">
      <c r="A5441" s="7" t="s">
        <v>761</v>
      </c>
      <c r="B5441" s="8" t="s">
        <v>11</v>
      </c>
      <c r="C5441" s="61" t="n">
        <f aca="false">C5437+C5438+C5439+C5440</f>
        <v>-717233.715873288</v>
      </c>
      <c r="D5441" s="61" t="n">
        <f aca="false">D5437+D5438+D5439+D5440</f>
        <v>-942634.385085617</v>
      </c>
      <c r="E5441" s="61" t="n">
        <f aca="false">E5437+E5438+E5439+E5440</f>
        <v>-978853.23077911</v>
      </c>
      <c r="F5441" s="61" t="n">
        <f aca="false">F5437+F5438+F5439+F5440</f>
        <v>-1095259.02301513</v>
      </c>
      <c r="G5441" s="61" t="n">
        <f aca="false">G5437+G5438+G5439+G5440</f>
        <v>-1102630.90161813</v>
      </c>
      <c r="H5441" s="2" t="s">
        <v>1419</v>
      </c>
    </row>
    <row r="5442" customFormat="false" ht="15" hidden="false" customHeight="false" outlineLevel="1" collapsed="false">
      <c r="A5442" s="7" t="s">
        <v>762</v>
      </c>
      <c r="B5442" s="8" t="s">
        <v>11</v>
      </c>
      <c r="C5442" s="61" t="n">
        <f aca="false">C5429</f>
        <v>0</v>
      </c>
      <c r="D5442" s="61" t="n">
        <f aca="false">D5429-C5429</f>
        <v>205764.256849315</v>
      </c>
      <c r="E5442" s="61" t="n">
        <f aca="false">E5429-D5429</f>
        <v>149130.924657534</v>
      </c>
      <c r="F5442" s="61" t="n">
        <f aca="false">F5429-E5429</f>
        <v>246665.029109589</v>
      </c>
      <c r="G5442" s="61" t="n">
        <f aca="false">G5429-F5429</f>
        <v>314833.672089041</v>
      </c>
      <c r="H5442" s="2" t="s">
        <v>1420</v>
      </c>
    </row>
    <row r="5443" customFormat="false" ht="15" hidden="false" customHeight="false" outlineLevel="1" collapsed="false">
      <c r="A5443" s="7" t="s">
        <v>763</v>
      </c>
      <c r="B5443" s="8" t="s">
        <v>11</v>
      </c>
      <c r="C5443" s="61" t="n">
        <f aca="false">-C5431</f>
        <v>-0</v>
      </c>
      <c r="D5443" s="61" t="n">
        <f aca="false">-(D5431-C5431)</f>
        <v>-41152.851369863</v>
      </c>
      <c r="E5443" s="61" t="n">
        <f aca="false">-(E5431-D5431)</f>
        <v>-29826.1849315068</v>
      </c>
      <c r="F5443" s="61" t="n">
        <f aca="false">-(F5431-E5431)</f>
        <v>-49333.0058219177</v>
      </c>
      <c r="G5443" s="61" t="n">
        <f aca="false">-(G5431-F5431)</f>
        <v>-62966.7344178082</v>
      </c>
      <c r="H5443" s="2" t="s">
        <v>1421</v>
      </c>
    </row>
    <row r="5444" customFormat="false" ht="15" hidden="false" customHeight="false" outlineLevel="1" collapsed="false">
      <c r="A5444" s="7" t="s">
        <v>764</v>
      </c>
      <c r="B5444" s="8" t="s">
        <v>11</v>
      </c>
      <c r="C5444" s="61" t="n">
        <f aca="false">-C5434</f>
        <v>-0</v>
      </c>
      <c r="D5444" s="61" t="n">
        <f aca="false">-(D5434-C5434)</f>
        <v>-10288.2128424658</v>
      </c>
      <c r="E5444" s="61" t="n">
        <f aca="false">-(E5434-D5434)</f>
        <v>-7456.54623287672</v>
      </c>
      <c r="F5444" s="61" t="n">
        <f aca="false">-(F5434-E5434)</f>
        <v>-12333.2514554794</v>
      </c>
      <c r="G5444" s="61" t="n">
        <f aca="false">-(G5434-F5434)</f>
        <v>-15741.6836044521</v>
      </c>
      <c r="H5444" s="2" t="s">
        <v>1422</v>
      </c>
    </row>
    <row r="5445" customFormat="false" ht="15" hidden="false" customHeight="false" outlineLevel="1" collapsed="false">
      <c r="A5445" s="7" t="s">
        <v>765</v>
      </c>
      <c r="B5445" s="8" t="s">
        <v>11</v>
      </c>
      <c r="C5445" s="61" t="n">
        <f aca="false">-(C5433-Pressupostos!$C$108)</f>
        <v>37298.7463013699</v>
      </c>
      <c r="D5445" s="61" t="n">
        <f aca="false">-(D5433-C5433)</f>
        <v>12701.2536986301</v>
      </c>
      <c r="E5445" s="61" t="n">
        <f aca="false">-(E5433-D5433)</f>
        <v>-0</v>
      </c>
      <c r="F5445" s="61" t="n">
        <f aca="false">-(F5433-E5433)</f>
        <v>-0</v>
      </c>
      <c r="G5445" s="61" t="n">
        <f aca="false">-(G5433-F5433)</f>
        <v>-0</v>
      </c>
      <c r="H5445" s="2" t="s">
        <v>1423</v>
      </c>
    </row>
    <row r="5446" customFormat="false" ht="15" hidden="false" customHeight="false" outlineLevel="1" collapsed="false">
      <c r="A5446" s="56" t="s">
        <v>766</v>
      </c>
      <c r="B5446" s="57" t="s">
        <v>11</v>
      </c>
      <c r="C5446" s="62" t="n">
        <f aca="false">C5441+C5442+C5443+C5444+C5445</f>
        <v>-679934.969571918</v>
      </c>
      <c r="D5446" s="62" t="n">
        <f aca="false">D5441+D5442+D5443+D5444+D5445</f>
        <v>-775609.93875</v>
      </c>
      <c r="E5446" s="62" t="n">
        <f aca="false">E5441+E5442+E5443+E5444+E5445</f>
        <v>-867005.03728596</v>
      </c>
      <c r="F5446" s="62" t="n">
        <f aca="false">F5441+F5442+F5443+F5444+F5445</f>
        <v>-910260.251182937</v>
      </c>
      <c r="G5446" s="62" t="n">
        <f aca="false">G5441+G5442+G5443+G5444+G5445</f>
        <v>-866505.647551349</v>
      </c>
      <c r="H5446" s="2" t="s">
        <v>1424</v>
      </c>
    </row>
    <row r="5447" customFormat="false" ht="15" hidden="false" customHeight="false" outlineLevel="1" collapsed="false">
      <c r="A5447" s="56" t="s">
        <v>767</v>
      </c>
      <c r="B5447" s="57" t="s">
        <v>11</v>
      </c>
      <c r="C5447" s="62" t="n">
        <f aca="false">C5446</f>
        <v>-679934.969571918</v>
      </c>
      <c r="D5447" s="62" t="n">
        <f aca="false">C5447+D5446</f>
        <v>-1455544.90832192</v>
      </c>
      <c r="E5447" s="62" t="n">
        <f aca="false">D5447+E5446</f>
        <v>-2322549.94560788</v>
      </c>
      <c r="F5447" s="62" t="n">
        <f aca="false">E5447+F5446</f>
        <v>-3232810.19679081</v>
      </c>
      <c r="G5447" s="62" t="n">
        <f aca="false">F5447+G5446</f>
        <v>-4099315.84434216</v>
      </c>
      <c r="H5447" s="2" t="s">
        <v>1425</v>
      </c>
    </row>
    <row r="5448" customFormat="false" ht="15" hidden="false" customHeight="false" outlineLevel="1" collapsed="false">
      <c r="A5448" s="8" t="s">
        <v>768</v>
      </c>
      <c r="B5448" s="8" t="s">
        <v>11</v>
      </c>
      <c r="C5448" s="70" t="n">
        <f aca="false">ROUND(C5403-C5387-C5418-(MAX(C5432,Pressupostos!$C$108)-Pressupostos!$C$108)-(C5434)-C5446,6)</f>
        <v>0</v>
      </c>
      <c r="D5448" s="70" t="n">
        <f aca="false">ROUND(D5403-D5387-D5418-(MAX(D5432,Pressupostos!$C$108)-MAX(C5432,Pressupostos!$C$108))-(D5434-C5434)-D5446,6)</f>
        <v>0</v>
      </c>
      <c r="E5448" s="70" t="n">
        <f aca="false">ROUND(E5403-E5387-E5418-(MAX(E5432,Pressupostos!$C$108)-MAX(D5432,Pressupostos!$C$108))-(E5434-D5434)-E5446,6)</f>
        <v>0</v>
      </c>
      <c r="F5448" s="70" t="n">
        <f aca="false">ROUND(F5403-F5387-F5418-(MAX(F5432,Pressupostos!$C$108)-MAX(E5432,Pressupostos!$C$108))-(F5434-E5434)-F5446,6)</f>
        <v>0</v>
      </c>
      <c r="G5448" s="70" t="n">
        <f aca="false">ROUND(G5403-G5387-G5418-(MAX(G5432,Pressupostos!$C$108)-MAX(F5432,Pressupostos!$C$108))-(G5434-F5434)-G5446,6)</f>
        <v>0</v>
      </c>
      <c r="H5448" s="2" t="s">
        <v>1426</v>
      </c>
    </row>
    <row r="5449" customFormat="false" ht="15" hidden="false" customHeight="false" outlineLevel="0" collapsed="false">
      <c r="A5449" s="3" t="s">
        <v>1427</v>
      </c>
      <c r="B5449" s="4"/>
      <c r="C5449" s="4"/>
      <c r="D5449" s="4"/>
      <c r="E5449" s="4"/>
      <c r="F5449" s="4"/>
      <c r="G5449" s="4"/>
      <c r="H5449" s="4"/>
    </row>
    <row r="5450" customFormat="false" ht="15" hidden="false" customHeight="false" outlineLevel="1" collapsed="false">
      <c r="A5450" s="7" t="s">
        <v>770</v>
      </c>
      <c r="B5450" s="8" t="s">
        <v>11</v>
      </c>
      <c r="C5450" s="61" t="n">
        <f aca="false">0</f>
        <v>0</v>
      </c>
      <c r="D5450" s="61" t="n">
        <f aca="false">C5455</f>
        <v>275065.030428082</v>
      </c>
      <c r="E5450" s="61" t="n">
        <f aca="false">D5455</f>
        <v>150000</v>
      </c>
      <c r="F5450" s="61" t="n">
        <f aca="false">E5455</f>
        <v>150000</v>
      </c>
      <c r="G5450" s="61" t="n">
        <f aca="false">F5455</f>
        <v>150000</v>
      </c>
      <c r="H5450" s="2" t="s">
        <v>1428</v>
      </c>
    </row>
    <row r="5451" customFormat="false" ht="15" hidden="false" customHeight="false" outlineLevel="1" collapsed="false">
      <c r="A5451" s="7" t="s">
        <v>771</v>
      </c>
      <c r="B5451" s="8" t="s">
        <v>11</v>
      </c>
      <c r="C5451" s="61" t="n">
        <f aca="false">-(Pressupostos!$C$159+Pressupostos!$C$160+Pressupostos!$C$161+Pressupostos!$C$162+Pressupostos!$C$163+Pressupostos!$C$108)</f>
        <v>-145000</v>
      </c>
      <c r="D5451" s="61" t="n">
        <f aca="false">0</f>
        <v>0</v>
      </c>
      <c r="E5451" s="61" t="n">
        <f aca="false">0</f>
        <v>0</v>
      </c>
      <c r="F5451" s="61" t="n">
        <f aca="false">0</f>
        <v>0</v>
      </c>
      <c r="G5451" s="61" t="n">
        <f aca="false">0</f>
        <v>0</v>
      </c>
      <c r="H5451" s="2" t="s">
        <v>1429</v>
      </c>
    </row>
    <row r="5452" customFormat="false" ht="15" hidden="false" customHeight="false" outlineLevel="1" collapsed="false">
      <c r="A5452" s="7" t="s">
        <v>772</v>
      </c>
      <c r="B5452" s="8" t="s">
        <v>11</v>
      </c>
      <c r="C5452" s="53" t="n">
        <f aca="false">Pressupostos!$F$32</f>
        <v>1100000</v>
      </c>
      <c r="D5452" s="61" t="n">
        <f aca="false">0</f>
        <v>0</v>
      </c>
      <c r="E5452" s="61" t="n">
        <f aca="false">0</f>
        <v>0</v>
      </c>
      <c r="F5452" s="61" t="n">
        <f aca="false">0</f>
        <v>0</v>
      </c>
      <c r="G5452" s="61" t="n">
        <f aca="false">0</f>
        <v>0</v>
      </c>
      <c r="H5452" s="2" t="s">
        <v>1430</v>
      </c>
    </row>
    <row r="5453" customFormat="false" ht="15" hidden="false" customHeight="false" outlineLevel="1" collapsed="false">
      <c r="A5453" s="7" t="s">
        <v>773</v>
      </c>
      <c r="B5453" s="8" t="s">
        <v>11</v>
      </c>
      <c r="C5453" s="61" t="n">
        <f aca="false">C5450+C5451+C5452+C5446</f>
        <v>275065.030428082</v>
      </c>
      <c r="D5453" s="61" t="n">
        <f aca="false">D5450+D5451+D5452+D5446</f>
        <v>-500544.908321918</v>
      </c>
      <c r="E5453" s="61" t="n">
        <f aca="false">E5450+E5451+E5452+E5446</f>
        <v>-717005.03728596</v>
      </c>
      <c r="F5453" s="61" t="n">
        <f aca="false">F5450+F5451+F5452+F5446</f>
        <v>-760260.251182937</v>
      </c>
      <c r="G5453" s="61" t="n">
        <f aca="false">G5450+G5451+G5452+G5446</f>
        <v>-716505.647551349</v>
      </c>
      <c r="H5453" s="2" t="s">
        <v>1431</v>
      </c>
    </row>
    <row r="5454" customFormat="false" ht="15" hidden="false" customHeight="false" outlineLevel="1" collapsed="false">
      <c r="A5454" s="56" t="s">
        <v>774</v>
      </c>
      <c r="B5454" s="57" t="s">
        <v>11</v>
      </c>
      <c r="C5454" s="62" t="n">
        <f aca="false">MAX(0,Pressupostos!$C$170-C5453)</f>
        <v>0</v>
      </c>
      <c r="D5454" s="62" t="n">
        <f aca="false">MAX(0,Pressupostos!$C$170-D5453)</f>
        <v>650544.908321918</v>
      </c>
      <c r="E5454" s="62" t="n">
        <f aca="false">MAX(0,Pressupostos!$C$170-E5453)</f>
        <v>867005.03728596</v>
      </c>
      <c r="F5454" s="62" t="n">
        <f aca="false">MAX(0,Pressupostos!$C$170-F5453)</f>
        <v>910260.251182937</v>
      </c>
      <c r="G5454" s="62" t="n">
        <f aca="false">MAX(0,Pressupostos!$C$170-G5453)</f>
        <v>866505.647551349</v>
      </c>
      <c r="H5454" s="2" t="s">
        <v>1432</v>
      </c>
    </row>
    <row r="5455" customFormat="false" ht="15" hidden="false" customHeight="false" outlineLevel="1" collapsed="false">
      <c r="A5455" s="56" t="s">
        <v>775</v>
      </c>
      <c r="B5455" s="57" t="s">
        <v>11</v>
      </c>
      <c r="C5455" s="62" t="n">
        <f aca="false">C5453+C5454</f>
        <v>275065.030428082</v>
      </c>
      <c r="D5455" s="62" t="n">
        <f aca="false">D5453+D5454</f>
        <v>150000</v>
      </c>
      <c r="E5455" s="62" t="n">
        <f aca="false">E5453+E5454</f>
        <v>150000</v>
      </c>
      <c r="F5455" s="62" t="n">
        <f aca="false">F5453+F5454</f>
        <v>150000</v>
      </c>
      <c r="G5455" s="62" t="n">
        <f aca="false">G5453+G5454</f>
        <v>150000</v>
      </c>
      <c r="H5455" s="2" t="s">
        <v>1433</v>
      </c>
    </row>
    <row r="5456" customFormat="false" ht="15" hidden="false" customHeight="false" outlineLevel="1" collapsed="false">
      <c r="A5456" s="7" t="s">
        <v>776</v>
      </c>
      <c r="B5456" s="8" t="s">
        <v>11</v>
      </c>
      <c r="C5456" s="61" t="n">
        <f aca="false">C5431+C5434+C5433</f>
        <v>12701.2536986301</v>
      </c>
      <c r="D5456" s="61" t="n">
        <f aca="false">D5431+D5434+D5433</f>
        <v>51441.0642123288</v>
      </c>
      <c r="E5456" s="61" t="n">
        <f aca="false">E5431+E5434+E5433</f>
        <v>88723.7953767123</v>
      </c>
      <c r="F5456" s="61" t="n">
        <f aca="false">F5431+F5434+F5433</f>
        <v>150390.05265411</v>
      </c>
      <c r="G5456" s="61" t="n">
        <f aca="false">G5431+G5434+G5433</f>
        <v>229098.47067637</v>
      </c>
      <c r="H5456" s="2" t="s">
        <v>1434</v>
      </c>
    </row>
    <row r="5457" customFormat="false" ht="15" hidden="false" customHeight="false" outlineLevel="1" collapsed="false">
      <c r="A5457" s="7" t="s">
        <v>777</v>
      </c>
      <c r="B5457" s="8" t="s">
        <v>11</v>
      </c>
      <c r="C5457" s="61" t="n">
        <f aca="false">C5455+C5456</f>
        <v>287766.284126712</v>
      </c>
      <c r="D5457" s="61" t="n">
        <f aca="false">D5455+D5456</f>
        <v>201441.064212329</v>
      </c>
      <c r="E5457" s="61" t="n">
        <f aca="false">E5455+E5456</f>
        <v>238723.795376712</v>
      </c>
      <c r="F5457" s="61" t="n">
        <f aca="false">F5455+F5456</f>
        <v>300390.05265411</v>
      </c>
      <c r="G5457" s="61" t="n">
        <f aca="false">G5455+G5456</f>
        <v>379098.47067637</v>
      </c>
      <c r="H5457" s="2" t="s">
        <v>1435</v>
      </c>
    </row>
    <row r="5458" customFormat="false" ht="15" hidden="false" customHeight="false" outlineLevel="1" collapsed="false">
      <c r="A5458" s="7" t="s">
        <v>778</v>
      </c>
      <c r="B5458" s="8" t="s">
        <v>11</v>
      </c>
      <c r="C5458" s="61" t="n">
        <f aca="false">C5452+C5454</f>
        <v>1100000</v>
      </c>
      <c r="D5458" s="61" t="n">
        <f aca="false">C5458+D5452+D5454</f>
        <v>1750544.90832192</v>
      </c>
      <c r="E5458" s="61" t="n">
        <f aca="false">D5458+E5452+E5454</f>
        <v>2617549.94560788</v>
      </c>
      <c r="F5458" s="61" t="n">
        <f aca="false">E5458+F5452+F5454</f>
        <v>3527810.19679081</v>
      </c>
      <c r="G5458" s="61" t="n">
        <f aca="false">F5458+G5452+G5454</f>
        <v>4394315.84434216</v>
      </c>
      <c r="H5458" s="2" t="s">
        <v>1436</v>
      </c>
    </row>
    <row r="5459" customFormat="false" ht="15" hidden="false" customHeight="false" outlineLevel="0" collapsed="false">
      <c r="A5459" s="3" t="s">
        <v>1437</v>
      </c>
      <c r="B5459" s="4"/>
      <c r="C5459" s="4"/>
      <c r="D5459" s="4"/>
      <c r="E5459" s="4"/>
      <c r="F5459" s="4"/>
      <c r="G5459" s="4"/>
      <c r="H5459" s="4"/>
    </row>
    <row r="5460" customFormat="false" ht="15" hidden="false" customHeight="false" outlineLevel="1" collapsed="false">
      <c r="A5460" s="7" t="s">
        <v>782</v>
      </c>
      <c r="B5460" s="8" t="s">
        <v>11</v>
      </c>
      <c r="C5460" s="72" t="n">
        <f aca="false">Pressupostos!$C$159+Pressupostos!$C$160+Pressupostos!$C$161+Pressupostos!$C$162+Pressupostos!$C$163</f>
        <v>95000</v>
      </c>
      <c r="H5460" s="2" t="s">
        <v>1438</v>
      </c>
    </row>
    <row r="5461" customFormat="false" ht="15" hidden="false" customHeight="false" outlineLevel="1" collapsed="false">
      <c r="A5461" s="7" t="s">
        <v>783</v>
      </c>
      <c r="B5461" s="8" t="s">
        <v>11</v>
      </c>
      <c r="C5461" s="73" t="n">
        <f aca="false">Pressupostos!$C$108</f>
        <v>50000</v>
      </c>
      <c r="H5461" s="2" t="s">
        <v>1439</v>
      </c>
    </row>
    <row r="5462" customFormat="false" ht="15" hidden="false" customHeight="false" outlineLevel="1" collapsed="false">
      <c r="A5462" s="7" t="s">
        <v>322</v>
      </c>
      <c r="B5462" s="8" t="s">
        <v>11</v>
      </c>
      <c r="C5462" s="73" t="n">
        <f aca="false">Pressupostos!$C$170</f>
        <v>150000</v>
      </c>
      <c r="H5462" s="2" t="s">
        <v>1440</v>
      </c>
    </row>
    <row r="5463" customFormat="false" ht="15" hidden="false" customHeight="false" outlineLevel="1" collapsed="false">
      <c r="A5463" s="7" t="s">
        <v>784</v>
      </c>
      <c r="B5463" s="8" t="s">
        <v>11</v>
      </c>
      <c r="C5463" s="72" t="n">
        <f aca="false">MAX(0,-MIN($C$5447:$G$5447))</f>
        <v>4099315.84434216</v>
      </c>
      <c r="H5463" s="2" t="s">
        <v>1441</v>
      </c>
    </row>
    <row r="5464" customFormat="false" ht="15" hidden="false" customHeight="false" outlineLevel="1" collapsed="false">
      <c r="A5464" s="56" t="s">
        <v>785</v>
      </c>
      <c r="B5464" s="57" t="s">
        <v>11</v>
      </c>
      <c r="C5464" s="74" t="n">
        <f aca="false">C5460+C5461+C5462+C5463</f>
        <v>4394315.84434216</v>
      </c>
      <c r="H5464" s="2" t="s">
        <v>1442</v>
      </c>
    </row>
    <row r="5465" customFormat="false" ht="15" hidden="false" customHeight="false" outlineLevel="1" collapsed="false">
      <c r="A5465" s="7" t="s">
        <v>786</v>
      </c>
      <c r="B5465" s="8" t="s">
        <v>20</v>
      </c>
      <c r="C5465" s="75" t="n">
        <f aca="false">INDEX($C$5192:$G$5192,1,MATCH(MIN($C$5447:$G$5447),$C$5447:$G$5447,0))</f>
        <v>2031</v>
      </c>
      <c r="H5465" s="2" t="s">
        <v>1443</v>
      </c>
    </row>
    <row r="5466" customFormat="false" ht="15" hidden="false" customHeight="false" outlineLevel="1" collapsed="false">
      <c r="A5466" s="7" t="s">
        <v>787</v>
      </c>
      <c r="B5466" s="8"/>
      <c r="C5466" s="76" t="str">
        <f aca="false">IF(G5446&lt;0,"sim","não")</f>
        <v>sim</v>
      </c>
      <c r="H5466" s="2" t="s">
        <v>1444</v>
      </c>
    </row>
    <row r="5467" customFormat="false" ht="15" hidden="false" customHeight="false" outlineLevel="1" collapsed="false">
      <c r="A5467" s="7" t="s">
        <v>788</v>
      </c>
      <c r="B5467" s="8" t="s">
        <v>11</v>
      </c>
      <c r="C5467" s="72" t="n">
        <f aca="false">G5458</f>
        <v>4394315.84434216</v>
      </c>
      <c r="H5467" s="2" t="s">
        <v>1445</v>
      </c>
    </row>
    <row r="5468" customFormat="false" ht="15" hidden="false" customHeight="false" outlineLevel="0" collapsed="false">
      <c r="A5468" s="3" t="s">
        <v>1446</v>
      </c>
      <c r="B5468" s="4"/>
      <c r="C5468" s="4"/>
      <c r="D5468" s="4"/>
      <c r="E5468" s="4"/>
      <c r="F5468" s="4"/>
      <c r="G5468" s="4"/>
      <c r="H5468" s="4"/>
    </row>
    <row r="5469" customFormat="false" ht="15" hidden="false" customHeight="false" outlineLevel="1" collapsed="false">
      <c r="A5469" s="7" t="s">
        <v>790</v>
      </c>
      <c r="B5469" s="8" t="s">
        <v>11</v>
      </c>
      <c r="C5469" s="72" t="n">
        <f aca="false">C5460+C5461</f>
        <v>145000</v>
      </c>
      <c r="H5469" s="2" t="s">
        <v>1447</v>
      </c>
    </row>
    <row r="5470" customFormat="false" ht="15" hidden="false" customHeight="false" outlineLevel="1" collapsed="false">
      <c r="A5470" s="7" t="s">
        <v>791</v>
      </c>
      <c r="B5470" s="8" t="s">
        <v>11</v>
      </c>
      <c r="C5470" s="72" t="n">
        <f aca="false">-SUMPRODUCT(($C$5192:$G$5192&lt;=C5465)*$C$5403:$G$5403)</f>
        <v>3609124.44815209</v>
      </c>
      <c r="H5470" s="2" t="s">
        <v>1448</v>
      </c>
    </row>
    <row r="5471" customFormat="false" ht="15" hidden="false" customHeight="false" outlineLevel="1" collapsed="false">
      <c r="A5471" s="7" t="s">
        <v>424</v>
      </c>
      <c r="B5471" s="8" t="s">
        <v>11</v>
      </c>
      <c r="C5471" s="72" t="n">
        <f aca="false">SUMPRODUCT(($C$5192:$G$5192&lt;=C5465)*$C$5387:$G$5387)</f>
        <v>250000</v>
      </c>
      <c r="H5471" s="2" t="s">
        <v>1449</v>
      </c>
    </row>
    <row r="5472" customFormat="false" ht="15" hidden="false" customHeight="false" outlineLevel="1" collapsed="false">
      <c r="A5472" s="7" t="s">
        <v>792</v>
      </c>
      <c r="B5472" s="8" t="s">
        <v>11</v>
      </c>
      <c r="C5472" s="72" t="n">
        <f aca="false">SUMPRODUCT(($C$5192:$G$5192&lt;=C5465)*$C$5418:$G$5418)</f>
        <v>0</v>
      </c>
      <c r="H5472" s="2" t="s">
        <v>1450</v>
      </c>
    </row>
    <row r="5473" customFormat="false" ht="15" hidden="false" customHeight="false" outlineLevel="1" collapsed="false">
      <c r="A5473" s="7" t="s">
        <v>793</v>
      </c>
      <c r="B5473" s="8" t="s">
        <v>11</v>
      </c>
      <c r="C5473" s="72" t="n">
        <f aca="false">C5463-C5470-C5471-C5472</f>
        <v>240191.396190068</v>
      </c>
      <c r="H5473" s="2" t="s">
        <v>1451</v>
      </c>
    </row>
    <row r="5474" customFormat="false" ht="15" hidden="false" customHeight="false" outlineLevel="1" collapsed="false">
      <c r="A5474" s="7" t="s">
        <v>322</v>
      </c>
      <c r="B5474" s="8" t="s">
        <v>11</v>
      </c>
      <c r="C5474" s="72" t="n">
        <f aca="false">C5462</f>
        <v>150000</v>
      </c>
      <c r="H5474" s="2" t="s">
        <v>1452</v>
      </c>
    </row>
    <row r="5475" customFormat="false" ht="15" hidden="false" customHeight="false" outlineLevel="1" collapsed="false">
      <c r="A5475" s="56" t="s">
        <v>794</v>
      </c>
      <c r="B5475" s="57" t="s">
        <v>11</v>
      </c>
      <c r="C5475" s="74" t="n">
        <f aca="false">C5469+C5470+C5471+C5472+C5473+C5474</f>
        <v>4394315.84434216</v>
      </c>
      <c r="H5475" s="2" t="s">
        <v>1453</v>
      </c>
    </row>
    <row r="5476" customFormat="false" ht="15" hidden="false" customHeight="false" outlineLevel="0" collapsed="false">
      <c r="A5476" s="3" t="s">
        <v>1454</v>
      </c>
      <c r="B5476" s="4"/>
      <c r="C5476" s="4"/>
      <c r="D5476" s="4"/>
      <c r="E5476" s="4"/>
      <c r="F5476" s="4"/>
      <c r="G5476" s="4"/>
      <c r="H5476" s="4"/>
    </row>
    <row r="5477" customFormat="false" ht="15" hidden="false" customHeight="false" outlineLevel="1" collapsed="false">
      <c r="A5477" s="7" t="s">
        <v>772</v>
      </c>
      <c r="B5477" s="8" t="s">
        <v>11</v>
      </c>
      <c r="C5477" s="73" t="n">
        <f aca="false">Pressupostos!$F$32</f>
        <v>1100000</v>
      </c>
      <c r="H5477" s="2" t="s">
        <v>1455</v>
      </c>
    </row>
    <row r="5478" customFormat="false" ht="15" hidden="false" customHeight="false" outlineLevel="1" collapsed="false">
      <c r="A5478" s="7" t="s">
        <v>796</v>
      </c>
      <c r="B5478" s="8" t="s">
        <v>11</v>
      </c>
      <c r="C5478" s="72" t="n">
        <f aca="false">C5460+Pressupostos!$C$108+Pressupostos!$C$130/12*((C5362-C5350-C5351+(C5350+C5351)/Pressupostos!$C$128*Pressupostos!$C$129)*(1+Pressupostos!$C$124+Pressupostos!$C$125)+C5348*Pressupostos!$C$126+C5381)+C5387+MAX(0,Pressupostos!$C$183*1000*(C5213+C5216)+Pressupostos!$C$184*1000*(C5236+C5239)-Pressupostos!$C$108)</f>
        <v>652596.666666667</v>
      </c>
      <c r="H5478" s="2" t="s">
        <v>1456</v>
      </c>
    </row>
    <row r="5479" customFormat="false" ht="15" hidden="false" customHeight="false" outlineLevel="1" collapsed="false">
      <c r="A5479" s="7" t="s">
        <v>798</v>
      </c>
      <c r="B5479" s="8" t="s">
        <v>11</v>
      </c>
      <c r="C5479" s="72" t="n">
        <f aca="false">C5460+Pressupostos!$C$108-C5446</f>
        <v>824934.969571918</v>
      </c>
      <c r="H5479" s="2" t="s">
        <v>1457</v>
      </c>
    </row>
    <row r="5480" customFormat="false" ht="15" hidden="false" customHeight="false" outlineLevel="1" collapsed="false">
      <c r="A5480" s="7" t="s">
        <v>799</v>
      </c>
      <c r="B5480" s="8" t="s">
        <v>11</v>
      </c>
      <c r="C5480" s="61" t="n">
        <f aca="false">Pressupostos!$F$32-C5460-Pressupostos!$C$108+C5447</f>
        <v>275065.030428082</v>
      </c>
      <c r="D5480" s="61" t="n">
        <f aca="false">Pressupostos!$F$32-C5460-Pressupostos!$C$108+D5447</f>
        <v>-500544.908321918</v>
      </c>
      <c r="E5480" s="61" t="n">
        <f aca="false">Pressupostos!$F$32-C5460-Pressupostos!$C$108+E5447</f>
        <v>-1367549.94560788</v>
      </c>
      <c r="F5480" s="61" t="n">
        <f aca="false">Pressupostos!$F$32-C5460-Pressupostos!$C$108+F5447</f>
        <v>-2277810.19679081</v>
      </c>
      <c r="G5480" s="61" t="n">
        <f aca="false">Pressupostos!$F$32-C5460-Pressupostos!$C$108+G5447</f>
        <v>-3144315.84434216</v>
      </c>
      <c r="H5480" s="2" t="s">
        <v>1458</v>
      </c>
    </row>
    <row r="5481" customFormat="false" ht="15" hidden="false" customHeight="false" outlineLevel="1" collapsed="false">
      <c r="A5481" s="7" t="s">
        <v>800</v>
      </c>
      <c r="B5481" s="8" t="s">
        <v>18</v>
      </c>
      <c r="C5481" s="77" t="str">
        <f aca="false">IF(AND(Pressupostos!$F$32-C5460-Pressupostos!$C$108&gt;0,C5480&lt;=0),12*(Pressupostos!$F$32-C5460-Pressupostos!$C$108)/(Pressupostos!$F$32-C5460-Pressupostos!$C$108-C5480),"")</f>
        <v/>
      </c>
      <c r="D5481" s="77" t="n">
        <f aca="false">IF(AND(C5480&gt;0,D5480&lt;=0),12+12*C5480/(C5480-D5480),"")</f>
        <v>16.2557221100811</v>
      </c>
      <c r="E5481" s="77" t="str">
        <f aca="false">IF(AND(D5480&gt;0,E5480&lt;=0),24+12*D5480/(D5480-E5480),"")</f>
        <v/>
      </c>
      <c r="F5481" s="77" t="str">
        <f aca="false">IF(AND(E5480&gt;0,F5480&lt;=0),36+12*E5480/(E5480-F5480),"")</f>
        <v/>
      </c>
      <c r="G5481" s="77" t="str">
        <f aca="false">IF(AND(F5480&gt;0,G5480&lt;=0),48+12*F5480/(F5480-G5480),"")</f>
        <v/>
      </c>
      <c r="H5481" s="2" t="s">
        <v>1459</v>
      </c>
    </row>
    <row r="5482" customFormat="false" ht="15" hidden="false" customHeight="false" outlineLevel="1" collapsed="false">
      <c r="A5482" s="56" t="s">
        <v>801</v>
      </c>
      <c r="B5482" s="57" t="s">
        <v>274</v>
      </c>
      <c r="C5482" s="78" t="n">
        <f aca="false">IF(COUNT($C$5481:$G$5481)=0,"&gt; 60",MIN($C$5481:$G$5481))</f>
        <v>16.2557221100811</v>
      </c>
      <c r="H5482" s="2" t="s">
        <v>1460</v>
      </c>
    </row>
    <row r="5483" customFormat="false" ht="15" hidden="false" customHeight="false" outlineLevel="0" collapsed="false">
      <c r="A5483" s="3" t="s">
        <v>1461</v>
      </c>
      <c r="B5483" s="4"/>
      <c r="C5483" s="4"/>
      <c r="D5483" s="4"/>
      <c r="E5483" s="4"/>
      <c r="F5483" s="4"/>
      <c r="G5483" s="4"/>
      <c r="H5483" s="4"/>
    </row>
    <row r="5484" customFormat="false" ht="15" hidden="false" customHeight="false" outlineLevel="1" collapsed="false">
      <c r="A5484" s="7" t="s">
        <v>803</v>
      </c>
      <c r="B5484" s="8" t="s">
        <v>18</v>
      </c>
      <c r="C5484" s="77" t="str">
        <f aca="false">IF(C5403&gt;=0,1,"")</f>
        <v/>
      </c>
      <c r="D5484" s="77" t="str">
        <f aca="false">IF(AND(C5403&lt;0,D5403&gt;=0),6.5+12*(-C5403)/(D5403-C5403),"")</f>
        <v/>
      </c>
      <c r="E5484" s="77" t="str">
        <f aca="false">IF(AND(D5403&lt;0,E5403&gt;=0),18.5+12*(-D5403)/(E5403-D5403),"")</f>
        <v/>
      </c>
      <c r="F5484" s="77" t="str">
        <f aca="false">IF(AND(E5403&lt;0,F5403&gt;=0),30.5+12*(-E5403)/(F5403-E5403),"")</f>
        <v/>
      </c>
      <c r="G5484" s="77" t="str">
        <f aca="false">IF(AND(F5403&lt;0,G5403&gt;=0),42.5+12*(-F5403)/(G5403-F5403),"")</f>
        <v/>
      </c>
      <c r="H5484" s="2" t="s">
        <v>1462</v>
      </c>
    </row>
    <row r="5485" customFormat="false" ht="15" hidden="false" customHeight="false" outlineLevel="1" collapsed="false">
      <c r="A5485" s="7" t="s">
        <v>804</v>
      </c>
      <c r="B5485" s="8" t="s">
        <v>18</v>
      </c>
      <c r="C5485" s="79" t="str">
        <f aca="false">IF(COUNT($C$5484:$G$5484)=0,"não atinge até 2031",ROUNDUP(MIN($C$5484:$G$5484),0))</f>
        <v>não atinge até 2031</v>
      </c>
      <c r="H5485" s="2" t="s">
        <v>1463</v>
      </c>
    </row>
    <row r="5486" customFormat="false" ht="15" hidden="false" customHeight="false" outlineLevel="1" collapsed="false">
      <c r="A5486" s="56" t="s">
        <v>805</v>
      </c>
      <c r="B5486" s="57" t="s">
        <v>806</v>
      </c>
      <c r="C5486" s="80" t="str">
        <f aca="false">IF(ISNUMBER(C5485),DATE(2027,C5485,1),"não atinge até 2031")</f>
        <v>não atinge até 2031</v>
      </c>
      <c r="H5486" s="2" t="s">
        <v>1464</v>
      </c>
    </row>
    <row r="5487" customFormat="false" ht="15" hidden="false" customHeight="false" outlineLevel="1" collapsed="false">
      <c r="A5487" s="7" t="s">
        <v>807</v>
      </c>
      <c r="B5487" s="8" t="s">
        <v>20</v>
      </c>
      <c r="C5487" s="81" t="str">
        <f aca="false">IF(C5403&gt;=0,C5192,"")</f>
        <v/>
      </c>
      <c r="D5487" s="81" t="str">
        <f aca="false">IF(D5403&gt;=0,D5192,"")</f>
        <v/>
      </c>
      <c r="E5487" s="81" t="str">
        <f aca="false">IF(E5403&gt;=0,E5192,"")</f>
        <v/>
      </c>
      <c r="F5487" s="81" t="str">
        <f aca="false">IF(F5403&gt;=0,F5192,"")</f>
        <v/>
      </c>
      <c r="G5487" s="81" t="str">
        <f aca="false">IF(G5403&gt;=0,G5192,"")</f>
        <v/>
      </c>
      <c r="H5487" s="2" t="s">
        <v>1465</v>
      </c>
    </row>
    <row r="5488" customFormat="false" ht="15" hidden="false" customHeight="false" outlineLevel="1" collapsed="false">
      <c r="A5488" s="7" t="s">
        <v>808</v>
      </c>
      <c r="B5488" s="8" t="s">
        <v>20</v>
      </c>
      <c r="C5488" s="75" t="str">
        <f aca="false">IF(COUNT($C$5487:$G$5487)=0,"não atinge até 2031",MIN($C$5487:$G$5487))</f>
        <v>não atinge até 2031</v>
      </c>
      <c r="H5488" s="2" t="s">
        <v>1466</v>
      </c>
    </row>
    <row r="5489" customFormat="false" ht="15" hidden="false" customHeight="false" outlineLevel="1" collapsed="false">
      <c r="A5489" s="7" t="s">
        <v>809</v>
      </c>
      <c r="B5489" s="8" t="s">
        <v>20</v>
      </c>
      <c r="C5489" s="81" t="str">
        <f aca="false">IF(C5421&gt;=0,C5192,"")</f>
        <v/>
      </c>
      <c r="D5489" s="81" t="str">
        <f aca="false">IF(D5421&gt;=0,D5192,"")</f>
        <v/>
      </c>
      <c r="E5489" s="81" t="str">
        <f aca="false">IF(E5421&gt;=0,E5192,"")</f>
        <v/>
      </c>
      <c r="F5489" s="81" t="str">
        <f aca="false">IF(F5421&gt;=0,F5192,"")</f>
        <v/>
      </c>
      <c r="G5489" s="81" t="str">
        <f aca="false">IF(G5421&gt;=0,G5192,"")</f>
        <v/>
      </c>
      <c r="H5489" s="2" t="s">
        <v>1467</v>
      </c>
    </row>
    <row r="5490" customFormat="false" ht="15" hidden="false" customHeight="false" outlineLevel="1" collapsed="false">
      <c r="A5490" s="7" t="s">
        <v>810</v>
      </c>
      <c r="B5490" s="8" t="s">
        <v>20</v>
      </c>
      <c r="C5490" s="75" t="str">
        <f aca="false">IF(COUNT($C$5489:$G$5489)=0,"não atinge até 2031",MIN($C$5489:$G$5489))</f>
        <v>não atinge até 2031</v>
      </c>
      <c r="H5490" s="2" t="s">
        <v>1468</v>
      </c>
    </row>
    <row r="5491" customFormat="false" ht="15" hidden="false" customHeight="false" outlineLevel="1" collapsed="false">
      <c r="A5491" s="7" t="s">
        <v>811</v>
      </c>
      <c r="B5491" s="8" t="s">
        <v>20</v>
      </c>
      <c r="C5491" s="81" t="str">
        <f aca="false">IF(C5446&gt;=0,C5192,"")</f>
        <v/>
      </c>
      <c r="D5491" s="81" t="str">
        <f aca="false">IF(D5446&gt;=0,D5192,"")</f>
        <v/>
      </c>
      <c r="E5491" s="81" t="str">
        <f aca="false">IF(E5446&gt;=0,E5192,"")</f>
        <v/>
      </c>
      <c r="F5491" s="81" t="str">
        <f aca="false">IF(F5446&gt;=0,F5192,"")</f>
        <v/>
      </c>
      <c r="G5491" s="81" t="str">
        <f aca="false">IF(G5446&gt;=0,G5192,"")</f>
        <v/>
      </c>
      <c r="H5491" s="2" t="s">
        <v>1469</v>
      </c>
    </row>
    <row r="5492" customFormat="false" ht="15" hidden="false" customHeight="false" outlineLevel="1" collapsed="false">
      <c r="A5492" s="7" t="s">
        <v>19</v>
      </c>
      <c r="B5492" s="8" t="s">
        <v>20</v>
      </c>
      <c r="C5492" s="75" t="str">
        <f aca="false">IF(COUNT($C$5491:$G$5491)=0,"não atinge até 2031",MIN($C$5491:$G$5491))</f>
        <v>não atinge até 2031</v>
      </c>
      <c r="H5492" s="2" t="s">
        <v>1470</v>
      </c>
    </row>
    <row r="5493" customFormat="false" ht="15" hidden="false" customHeight="false" outlineLevel="0" collapsed="false">
      <c r="A5493" s="3" t="s">
        <v>1471</v>
      </c>
      <c r="B5493" s="4"/>
      <c r="C5493" s="4"/>
      <c r="D5493" s="4"/>
      <c r="E5493" s="4"/>
      <c r="F5493" s="4"/>
      <c r="G5493" s="4"/>
      <c r="H5493" s="4"/>
    </row>
    <row r="5494" customFormat="false" ht="15" hidden="false" customHeight="false" outlineLevel="1" collapsed="false">
      <c r="A5494" s="7" t="s">
        <v>813</v>
      </c>
      <c r="B5494" s="8" t="s">
        <v>11</v>
      </c>
      <c r="C5494" s="61" t="n">
        <f aca="false">C5429</f>
        <v>0</v>
      </c>
      <c r="D5494" s="61" t="n">
        <f aca="false">D5429</f>
        <v>205764.256849315</v>
      </c>
      <c r="E5494" s="61" t="n">
        <f aca="false">E5429</f>
        <v>354895.181506849</v>
      </c>
      <c r="F5494" s="61" t="n">
        <f aca="false">F5429</f>
        <v>601560.210616438</v>
      </c>
      <c r="G5494" s="61" t="n">
        <f aca="false">G5429</f>
        <v>916393.882705479</v>
      </c>
      <c r="H5494" s="2" t="s">
        <v>1472</v>
      </c>
    </row>
    <row r="5495" customFormat="false" ht="15" hidden="false" customHeight="false" outlineLevel="1" collapsed="false">
      <c r="A5495" s="7" t="s">
        <v>509</v>
      </c>
      <c r="B5495" s="8" t="s">
        <v>76</v>
      </c>
      <c r="C5495" s="82" t="n">
        <f aca="false">Pressupostos!$C$290</f>
        <v>0.08</v>
      </c>
      <c r="D5495" s="82" t="n">
        <f aca="false">Pressupostos!$D$290</f>
        <v>0.08</v>
      </c>
      <c r="E5495" s="82" t="n">
        <f aca="false">Pressupostos!$E$290</f>
        <v>0.075</v>
      </c>
      <c r="F5495" s="82" t="n">
        <f aca="false">Pressupostos!$F$290</f>
        <v>0.07</v>
      </c>
      <c r="G5495" s="82" t="n">
        <f aca="false">Pressupostos!$G$290</f>
        <v>0.07</v>
      </c>
      <c r="H5495" s="2" t="s">
        <v>1473</v>
      </c>
    </row>
    <row r="5496" customFormat="false" ht="15" hidden="false" customHeight="false" outlineLevel="1" collapsed="false">
      <c r="A5496" s="7" t="s">
        <v>814</v>
      </c>
      <c r="B5496" s="8" t="s">
        <v>76</v>
      </c>
      <c r="C5496" s="60" t="n">
        <f aca="false">Pressupostos!$C$290*(1-Pressupostos!$C$111)</f>
        <v>0.0576</v>
      </c>
      <c r="D5496" s="60" t="n">
        <f aca="false">Pressupostos!$D$290*(1-Pressupostos!$C$111)</f>
        <v>0.0576</v>
      </c>
      <c r="E5496" s="60" t="n">
        <f aca="false">Pressupostos!$E$290*(1-Pressupostos!$C$111)</f>
        <v>0.054</v>
      </c>
      <c r="F5496" s="60" t="n">
        <f aca="false">Pressupostos!$F$290*(1-Pressupostos!$C$111)</f>
        <v>0.0504</v>
      </c>
      <c r="G5496" s="60" t="n">
        <f aca="false">Pressupostos!$G$290*(1-Pressupostos!$C$111)</f>
        <v>0.0504</v>
      </c>
      <c r="H5496" s="2" t="s">
        <v>1474</v>
      </c>
    </row>
    <row r="5497" customFormat="false" ht="15" hidden="false" customHeight="false" outlineLevel="1" collapsed="false">
      <c r="A5497" s="7" t="s">
        <v>815</v>
      </c>
      <c r="B5497" s="8" t="s">
        <v>11</v>
      </c>
      <c r="C5497" s="61" t="n">
        <f aca="false">C5333</f>
        <v>0</v>
      </c>
      <c r="D5497" s="61" t="n">
        <f aca="false">D5333</f>
        <v>15066.9246575342</v>
      </c>
      <c r="E5497" s="61" t="n">
        <f aca="false">E5333</f>
        <v>23858.5193707192</v>
      </c>
      <c r="F5497" s="61" t="n">
        <f aca="false">F5333</f>
        <v>37750.3362585616</v>
      </c>
      <c r="G5497" s="61" t="n">
        <f aca="false">G5333</f>
        <v>57582.0269691781</v>
      </c>
      <c r="H5497" s="2" t="s">
        <v>1475</v>
      </c>
    </row>
    <row r="5498" customFormat="false" ht="15" hidden="false" customHeight="false" outlineLevel="1" collapsed="false">
      <c r="A5498" s="7" t="s">
        <v>816</v>
      </c>
      <c r="B5498" s="8" t="s">
        <v>76</v>
      </c>
      <c r="C5498" s="59" t="n">
        <f aca="false">IF(C5429&gt;0,(C5432+C5434)/C5429,0)</f>
        <v>0</v>
      </c>
      <c r="D5498" s="59" t="n">
        <f aca="false">IF(D5429&gt;0,(D5432+D5434)/D5429,0)</f>
        <v>0.316666666666667</v>
      </c>
      <c r="E5498" s="59" t="n">
        <f aca="false">IF(E5429&gt;0,(E5432+E5434)/E5429,0)</f>
        <v>0.316666666666667</v>
      </c>
      <c r="F5498" s="59" t="n">
        <f aca="false">IF(F5429&gt;0,(F5432+F5434)/F5429,0)</f>
        <v>0.316666666666667</v>
      </c>
      <c r="G5498" s="59" t="n">
        <f aca="false">IF(G5429&gt;0,(G5432+G5434)/G5429,0)</f>
        <v>0.316666666666667</v>
      </c>
      <c r="H5498" s="2" t="s">
        <v>1476</v>
      </c>
    </row>
    <row r="5499" customFormat="false" ht="15" hidden="false" customHeight="false" outlineLevel="1" collapsed="false">
      <c r="A5499" s="7" t="s">
        <v>817</v>
      </c>
      <c r="B5499" s="8" t="s">
        <v>123</v>
      </c>
      <c r="C5499" s="61" t="n">
        <f aca="false">C5435</f>
        <v>0</v>
      </c>
      <c r="D5499" s="61" t="n">
        <f aca="false">D5435</f>
        <v>4.1152851369863</v>
      </c>
      <c r="E5499" s="61" t="n">
        <f aca="false">E5435</f>
        <v>7.09790363013699</v>
      </c>
      <c r="F5499" s="61" t="n">
        <f aca="false">F5435</f>
        <v>12.0312042123288</v>
      </c>
      <c r="G5499" s="61" t="n">
        <f aca="false">G5435</f>
        <v>18.3278776541096</v>
      </c>
      <c r="H5499" s="2" t="s">
        <v>1477</v>
      </c>
    </row>
    <row r="5500" customFormat="false" ht="15" hidden="false" customHeight="false" outlineLevel="1" collapsed="false">
      <c r="A5500" s="7" t="s">
        <v>818</v>
      </c>
      <c r="B5500" s="8" t="s">
        <v>11</v>
      </c>
      <c r="C5500" s="61" t="n">
        <f aca="false">C5333+C5379</f>
        <v>65000</v>
      </c>
      <c r="D5500" s="61" t="n">
        <f aca="false">D5333+D5379</f>
        <v>90066.9246575342</v>
      </c>
      <c r="E5500" s="61" t="n">
        <f aca="false">E5333+E5379</f>
        <v>103858.519370719</v>
      </c>
      <c r="F5500" s="61" t="n">
        <f aca="false">F5333+F5379</f>
        <v>122750.336258562</v>
      </c>
      <c r="G5500" s="61" t="n">
        <f aca="false">G5333+G5379</f>
        <v>147582.026969178</v>
      </c>
      <c r="H5500" s="2" t="s">
        <v>1478</v>
      </c>
    </row>
    <row r="5501" customFormat="false" ht="15" hidden="false" customHeight="false" outlineLevel="1" collapsed="false">
      <c r="A5501" s="7" t="s">
        <v>819</v>
      </c>
      <c r="B5501" s="8" t="s">
        <v>76</v>
      </c>
      <c r="C5501" s="59" t="str">
        <f aca="false">IF(C5429&gt;0,C5500/C5429,"")</f>
        <v/>
      </c>
      <c r="D5501" s="59" t="n">
        <f aca="false">IF(D5429&gt;0,D5500/D5429,"")</f>
        <v>0.437718999580631</v>
      </c>
      <c r="E5501" s="59" t="n">
        <f aca="false">IF(E5429&gt;0,E5500/E5429,"")</f>
        <v>0.292645617023444</v>
      </c>
      <c r="F5501" s="59" t="n">
        <f aca="false">IF(F5429&gt;0,F5500/F5429,"")</f>
        <v>0.20405328359862</v>
      </c>
      <c r="G5501" s="59" t="n">
        <f aca="false">IF(G5429&gt;0,G5500/G5429,"")</f>
        <v>0.161046499495905</v>
      </c>
      <c r="H5501" s="2" t="s">
        <v>1479</v>
      </c>
    </row>
    <row r="5502" customFormat="false" ht="15" hidden="false" customHeight="false" outlineLevel="0" collapsed="false">
      <c r="A5502" s="3" t="s">
        <v>1480</v>
      </c>
      <c r="B5502" s="4"/>
      <c r="C5502" s="4"/>
      <c r="D5502" s="4"/>
      <c r="E5502" s="4"/>
      <c r="F5502" s="4"/>
      <c r="G5502" s="4"/>
      <c r="H5502" s="4"/>
    </row>
    <row r="5503" customFormat="false" ht="15" hidden="false" customHeight="false" outlineLevel="1" collapsed="false">
      <c r="A5503" s="7" t="s">
        <v>821</v>
      </c>
      <c r="B5503" s="8" t="s">
        <v>11</v>
      </c>
      <c r="C5503" s="61" t="n">
        <f aca="false">MAX(0,-C5403)</f>
        <v>590934.969571918</v>
      </c>
      <c r="D5503" s="61" t="n">
        <f aca="false">MAX(0,-D5403)</f>
        <v>714451.257414384</v>
      </c>
      <c r="E5503" s="61" t="n">
        <f aca="false">MAX(0,-E5403)</f>
        <v>775780.24447774</v>
      </c>
      <c r="F5503" s="61" t="n">
        <f aca="false">MAX(0,-F5403)</f>
        <v>795149.658631567</v>
      </c>
      <c r="G5503" s="61" t="n">
        <f aca="false">MAX(0,-G5403)</f>
        <v>732808.318056486</v>
      </c>
      <c r="H5503" s="2" t="s">
        <v>1481</v>
      </c>
    </row>
    <row r="5504" customFormat="false" ht="15" hidden="false" customHeight="false" outlineLevel="1" collapsed="false">
      <c r="A5504" s="2" t="s">
        <v>822</v>
      </c>
      <c r="B5504" s="8"/>
      <c r="C5504" s="61" t="n">
        <f aca="false">IF(AND(C5192&gt;=Pressupostos!$C$120,Pressupostos!$C$118*(C5286+C5287)+Pressupostos!$C$119*C5288&gt;Pressupostos!$C$302),1,0)</f>
        <v>0</v>
      </c>
      <c r="D5504" s="61" t="n">
        <f aca="false">IF(AND(D5192&gt;=Pressupostos!$C$120,Pressupostos!$C$118*(D5286+D5287)+Pressupostos!$C$119*D5288&gt;Pressupostos!$D$302),1,0)</f>
        <v>1</v>
      </c>
      <c r="E5504" s="61" t="n">
        <f aca="false">IF(AND(E5192&gt;=Pressupostos!$C$120,Pressupostos!$C$118*(E5286+E5287)+Pressupostos!$C$119*E5288&gt;Pressupostos!$E$302),1,0)</f>
        <v>1</v>
      </c>
      <c r="F5504" s="61" t="n">
        <f aca="false">IF(AND(F5192&gt;=Pressupostos!$C$120,Pressupostos!$C$118*(F5286+F5287)+Pressupostos!$C$119*F5288&gt;Pressupostos!$F$302),1,0)</f>
        <v>1</v>
      </c>
      <c r="G5504" s="61" t="n">
        <f aca="false">IF(AND(G5192&gt;=Pressupostos!$C$120,Pressupostos!$C$118*(G5286+G5287)+Pressupostos!$C$119*G5288&gt;Pressupostos!$G$302),1,0)</f>
        <v>1</v>
      </c>
      <c r="H5504" s="2" t="s">
        <v>1482</v>
      </c>
    </row>
    <row r="5505" customFormat="false" ht="15" hidden="false" customHeight="false" outlineLevel="1" collapsed="false">
      <c r="A5505" s="7" t="s">
        <v>823</v>
      </c>
      <c r="B5505" s="8" t="s">
        <v>64</v>
      </c>
      <c r="C5505" s="63" t="n">
        <f aca="false">IF(C5196&gt;0,C5503/(C5196*1000*(1-Pressupostos!$F$22)*(1-Pressupostos!$F$25-C5504*Pressupostos!$C$118)),"n/a")</f>
        <v>16.2833271675443</v>
      </c>
      <c r="D5505" s="63" t="n">
        <f aca="false">IF(D5196&gt;0,D5503/(D5196*1000*(1-Pressupostos!$F$22)*(1-Pressupostos!$F$25-D5504*Pressupostos!$C$118)),"n/a")</f>
        <v>2.83151385719075</v>
      </c>
      <c r="E5505" s="63" t="n">
        <f aca="false">IF(E5196&gt;0,E5503/(E5196*1000*(1-Pressupostos!$F$22)*(1-Pressupostos!$F$25-E5504*Pressupostos!$C$118)),"n/a")</f>
        <v>1.55658295953271</v>
      </c>
      <c r="F5505" s="63" t="n">
        <f aca="false">IF(F5196&gt;0,F5503/(F5196*1000*(1-Pressupostos!$F$22)*(1-Pressupostos!$F$25-F5504*Pressupostos!$C$118)),"n/a")</f>
        <v>0.966978557220392</v>
      </c>
      <c r="G5505" s="63" t="n">
        <f aca="false">IF(G5196&gt;0,G5503/(G5196*1000*(1-Pressupostos!$F$22)*(1-Pressupostos!$F$25-G5504*Pressupostos!$C$118)),"n/a")</f>
        <v>0.588965791712366</v>
      </c>
      <c r="H5505" s="2" t="s">
        <v>1483</v>
      </c>
    </row>
    <row r="5506" customFormat="false" ht="15" hidden="false" customHeight="false" outlineLevel="1" collapsed="false">
      <c r="A5506" s="7" t="s">
        <v>824</v>
      </c>
      <c r="B5506" s="8" t="s">
        <v>64</v>
      </c>
      <c r="C5506" s="63" t="n">
        <f aca="false">IF(C5195&gt;0,Pressupostos!$F$15+C5503/(C5195*1000*(1-Pressupostos!$F$16)*(1-Pressupostos!$F$18-C5504*Pressupostos!$C$118)),"n/a")</f>
        <v>121.079748637376</v>
      </c>
      <c r="D5506" s="63" t="n">
        <f aca="false">IF(D5195&gt;0,Pressupostos!$F$15+D5503/(D5195*1000*(1-Pressupostos!$F$16)*(1-Pressupostos!$F$18-D5504*Pressupostos!$C$118)),"n/a")</f>
        <v>43.2521841157417</v>
      </c>
      <c r="E5506" s="63" t="n">
        <f aca="false">IF(E5195&gt;0,Pressupostos!$F$15+E5503/(E5195*1000*(1-Pressupostos!$F$16)*(1-Pressupostos!$F$18-E5504*Pressupostos!$C$118)),"n/a")</f>
        <v>21.168726453027</v>
      </c>
      <c r="F5506" s="63" t="n">
        <f aca="false">IF(F5195&gt;0,Pressupostos!$F$15+F5503/(F5195*1000*(1-Pressupostos!$F$16)*(1-Pressupostos!$F$18-F5504*Pressupostos!$C$118)),"n/a")</f>
        <v>14.884259425532</v>
      </c>
      <c r="G5506" s="63" t="n">
        <f aca="false">IF(G5195&gt;0,Pressupostos!$F$15+G5503/(G5195*1000*(1-Pressupostos!$F$16)*(1-Pressupostos!$F$18-G5504*Pressupostos!$C$118)),"n/a")</f>
        <v>11.7314008693711</v>
      </c>
      <c r="H5506" s="2" t="s">
        <v>1484</v>
      </c>
    </row>
    <row r="5507" customFormat="false" ht="15" hidden="false" customHeight="false" outlineLevel="1" collapsed="false">
      <c r="A5507" s="7" t="s">
        <v>825</v>
      </c>
      <c r="B5507" s="8" t="s">
        <v>64</v>
      </c>
      <c r="C5507" s="63" t="n">
        <f aca="false">IF(Pressupostos!$F$33=1,C5278-C5504*Pressupostos!$C$119*C5261,C5284)</f>
        <v>0.00725</v>
      </c>
      <c r="D5507" s="63" t="n">
        <f aca="false">IF(Pressupostos!$F$33=1,D5278-D5504*Pressupostos!$C$119*D5261,D5284)</f>
        <v>0.00725</v>
      </c>
      <c r="E5507" s="63" t="n">
        <f aca="false">IF(Pressupostos!$F$33=1,E5278-E5504*Pressupostos!$C$119*E5261,E5284)</f>
        <v>0.00725</v>
      </c>
      <c r="F5507" s="63" t="n">
        <f aca="false">IF(Pressupostos!$F$33=1,F5278-F5504*Pressupostos!$C$119*F5261,F5284)</f>
        <v>0.00725</v>
      </c>
      <c r="G5507" s="63" t="n">
        <f aca="false">IF(Pressupostos!$F$33=1,G5278-G5504*Pressupostos!$C$119*G5261,G5284)</f>
        <v>0.00725</v>
      </c>
      <c r="H5507" s="2" t="s">
        <v>1485</v>
      </c>
    </row>
    <row r="5508" customFormat="false" ht="15" hidden="false" customHeight="false" outlineLevel="1" collapsed="false">
      <c r="A5508" s="7" t="s">
        <v>826</v>
      </c>
      <c r="B5508" s="8" t="s">
        <v>120</v>
      </c>
      <c r="C5508" s="55" t="n">
        <f aca="false">IF(C5507&gt;0,C5197+C5503/(C5507*1000),"n/a")</f>
        <v>81508.2716650922</v>
      </c>
      <c r="D5508" s="55" t="n">
        <f aca="false">IF(D5507&gt;0,D5197+D5503/(D5507*1000),"n/a")</f>
        <v>98895.0010226737</v>
      </c>
      <c r="E5508" s="55" t="n">
        <f aca="false">IF(E5507&gt;0,E5197+E5503/(E5507*1000),"n/a")</f>
        <v>108054.171652102</v>
      </c>
      <c r="F5508" s="55" t="n">
        <f aca="false">IF(F5507&gt;0,F5197+F5503/(F5507*1000),"n/a")</f>
        <v>111425.814983664</v>
      </c>
      <c r="G5508" s="55" t="n">
        <f aca="false">IF(G5507&gt;0,G5197+G5503/(G5507*1000),"n/a")</f>
        <v>103527.009387102</v>
      </c>
      <c r="H5508" s="2" t="s">
        <v>1486</v>
      </c>
    </row>
    <row r="5509" customFormat="false" ht="15" hidden="false" customHeight="false" outlineLevel="1" collapsed="false">
      <c r="A5509" s="7" t="s">
        <v>827</v>
      </c>
      <c r="B5509" s="8" t="s">
        <v>76</v>
      </c>
      <c r="C5509" s="59" t="n">
        <f aca="false">C5503/(C5365+C5378+C5379)</f>
        <v>0.982152892842265</v>
      </c>
      <c r="D5509" s="59" t="n">
        <f aca="false">D5503/(D5365+D5378+D5379)</f>
        <v>0.927547595690555</v>
      </c>
      <c r="E5509" s="59" t="n">
        <f aca="false">E5503/(E5365+E5378+E5379)</f>
        <v>0.841493922543451</v>
      </c>
      <c r="F5509" s="59" t="n">
        <f aca="false">F5503/(F5365+F5378+F5379)</f>
        <v>0.741939735731479</v>
      </c>
      <c r="G5509" s="59" t="n">
        <f aca="false">G5503/(G5365+G5378+G5379)</f>
        <v>0.62308542647198</v>
      </c>
      <c r="H5509" s="2" t="s">
        <v>1487</v>
      </c>
    </row>
    <row r="5510" customFormat="false" ht="15" hidden="false" customHeight="false" outlineLevel="1" collapsed="false">
      <c r="A5510" s="2" t="s">
        <v>828</v>
      </c>
      <c r="B5510" s="8" t="s">
        <v>76</v>
      </c>
      <c r="C5510" s="60" t="n">
        <f aca="false">Pressupostos!$C$101*Pressupostos!$C$102+Pressupostos!$C$103-Pressupostos!$F$30*Pressupostos!$C$104*Pressupostos!$C$102/(Pressupostos!$C$105*Pressupostos!$C$106)</f>
        <v>0.02</v>
      </c>
      <c r="D5510" s="60" t="n">
        <f aca="false">Pressupostos!$C$101*Pressupostos!$C$102+Pressupostos!$C$103-Pressupostos!$F$30*Pressupostos!$C$104*Pressupostos!$C$102/(Pressupostos!$C$105*Pressupostos!$C$106)</f>
        <v>0.02</v>
      </c>
      <c r="E5510" s="60" t="n">
        <f aca="false">Pressupostos!$C$101*Pressupostos!$C$102+Pressupostos!$C$103-Pressupostos!$F$30*Pressupostos!$C$104*Pressupostos!$C$102/(Pressupostos!$C$105*Pressupostos!$C$106)</f>
        <v>0.02</v>
      </c>
      <c r="F5510" s="60" t="n">
        <f aca="false">Pressupostos!$C$101*Pressupostos!$C$102+Pressupostos!$C$103-Pressupostos!$F$30*Pressupostos!$C$104*Pressupostos!$C$102/(Pressupostos!$C$105*Pressupostos!$C$106)</f>
        <v>0.02</v>
      </c>
      <c r="G5510" s="60" t="n">
        <f aca="false">Pressupostos!$C$101*Pressupostos!$C$102+Pressupostos!$C$103-Pressupostos!$F$30*Pressupostos!$C$104*Pressupostos!$C$102/(Pressupostos!$C$105*Pressupostos!$C$106)</f>
        <v>0.02</v>
      </c>
      <c r="H5510" s="2" t="s">
        <v>1488</v>
      </c>
    </row>
    <row r="5511" customFormat="false" ht="15" hidden="false" customHeight="false" outlineLevel="1" collapsed="false">
      <c r="A5511" s="7" t="s">
        <v>829</v>
      </c>
      <c r="B5511" s="8" t="s">
        <v>11</v>
      </c>
      <c r="C5511" s="61" t="n">
        <f aca="false">IF(C5510&gt;0,C5210+C5503/C5510,"n/a")</f>
        <v>29546748.4785959</v>
      </c>
      <c r="D5511" s="61" t="n">
        <f aca="false">IF(D5510&gt;0,D5210+D5503/D5510,"n/a")</f>
        <v>36222562.8707192</v>
      </c>
      <c r="E5511" s="61" t="n">
        <f aca="false">IF(E5510&gt;0,E5210+E5503/E5510,"n/a")</f>
        <v>40289012.223887</v>
      </c>
      <c r="F5511" s="61" t="n">
        <f aca="false">IF(F5510&gt;0,F5210+F5503/F5510,"n/a")</f>
        <v>42757482.9315783</v>
      </c>
      <c r="G5511" s="61" t="n">
        <f aca="false">IF(G5510&gt;0,G5210+G5503/G5510,"n/a")</f>
        <v>41640415.9028243</v>
      </c>
      <c r="H5511" s="2" t="s">
        <v>1489</v>
      </c>
    </row>
    <row r="5514" customFormat="false" ht="15" hidden="false" customHeight="false" outlineLevel="0" collapsed="false">
      <c r="A5514" s="111" t="s">
        <v>1506</v>
      </c>
      <c r="B5514" s="112"/>
      <c r="C5514" s="112"/>
      <c r="D5514" s="112"/>
      <c r="E5514" s="112"/>
      <c r="F5514" s="112"/>
      <c r="G5514" s="112"/>
      <c r="H5514" s="112"/>
    </row>
    <row r="5515" customFormat="false" ht="15" hidden="false" customHeight="false" outlineLevel="0" collapsed="false">
      <c r="A5515" s="3" t="s">
        <v>1170</v>
      </c>
      <c r="B5515" s="4"/>
      <c r="C5515" s="4"/>
      <c r="D5515" s="4"/>
      <c r="E5515" s="4"/>
      <c r="F5515" s="4"/>
      <c r="G5515" s="4"/>
      <c r="H5515" s="4"/>
    </row>
    <row r="5516" customFormat="false" ht="15" hidden="false" customHeight="false" outlineLevel="1" collapsed="false">
      <c r="A5516" s="7" t="s">
        <v>588</v>
      </c>
      <c r="B5516" s="8"/>
      <c r="C5516" s="52" t="n">
        <v>2027</v>
      </c>
      <c r="D5516" s="52" t="n">
        <v>2028</v>
      </c>
      <c r="E5516" s="52" t="n">
        <v>2029</v>
      </c>
      <c r="F5516" s="52" t="n">
        <v>2030</v>
      </c>
      <c r="G5516" s="52" t="n">
        <v>2031</v>
      </c>
      <c r="H5516" s="2" t="s">
        <v>20</v>
      </c>
    </row>
    <row r="5517" customFormat="false" ht="15" hidden="false" customHeight="false" outlineLevel="0" collapsed="false">
      <c r="A5517" s="3" t="s">
        <v>1171</v>
      </c>
      <c r="B5517" s="4"/>
      <c r="C5517" s="4"/>
      <c r="D5517" s="4"/>
      <c r="E5517" s="4"/>
      <c r="F5517" s="4"/>
      <c r="G5517" s="4"/>
      <c r="H5517" s="4"/>
    </row>
    <row r="5518" customFormat="false" ht="15" hidden="false" customHeight="false" outlineLevel="1" collapsed="false">
      <c r="A5518" s="7" t="s">
        <v>387</v>
      </c>
      <c r="B5518" s="8" t="s">
        <v>123</v>
      </c>
      <c r="C5518" s="61" t="n">
        <f aca="false">(Pressupostos!$C$215*(1+Pressupostos!$C$195))</f>
        <v>52</v>
      </c>
      <c r="D5518" s="61" t="n">
        <f aca="false">(Pressupostos!$D$215*(1+Pressupostos!$C$195))</f>
        <v>195</v>
      </c>
      <c r="E5518" s="61" t="n">
        <f aca="false">(Pressupostos!$E$215*(1+Pressupostos!$C$195))</f>
        <v>520</v>
      </c>
      <c r="F5518" s="61" t="n">
        <f aca="false">(Pressupostos!$F$215*(1+Pressupostos!$C$195))</f>
        <v>910</v>
      </c>
      <c r="G5518" s="61" t="n">
        <f aca="false">(Pressupostos!$G$215*(1+Pressupostos!$C$195))</f>
        <v>1300</v>
      </c>
      <c r="H5518" s="2" t="s">
        <v>1172</v>
      </c>
    </row>
    <row r="5519" customFormat="false" ht="15" hidden="false" customHeight="false" outlineLevel="1" collapsed="false">
      <c r="A5519" s="7" t="s">
        <v>590</v>
      </c>
      <c r="B5519" s="8" t="s">
        <v>120</v>
      </c>
      <c r="C5519" s="55" t="n">
        <f aca="false">(Pressupostos!$C$221*(1+Pressupostos!$C$195))</f>
        <v>10.66</v>
      </c>
      <c r="D5519" s="55" t="n">
        <f aca="false">(Pressupostos!$D$221*(1+Pressupostos!$C$195))</f>
        <v>39.975</v>
      </c>
      <c r="E5519" s="55" t="n">
        <f aca="false">(Pressupostos!$E$221*(1+Pressupostos!$C$195))</f>
        <v>106.6</v>
      </c>
      <c r="F5519" s="55" t="n">
        <f aca="false">(Pressupostos!$F$221*(1+Pressupostos!$C$195))</f>
        <v>186.55</v>
      </c>
      <c r="G5519" s="55" t="n">
        <f aca="false">(Pressupostos!$G$221*(1+Pressupostos!$C$195))</f>
        <v>266.5</v>
      </c>
      <c r="H5519" s="2" t="s">
        <v>1173</v>
      </c>
    </row>
    <row r="5520" customFormat="false" ht="15" hidden="false" customHeight="false" outlineLevel="1" collapsed="false">
      <c r="A5520" s="7" t="s">
        <v>591</v>
      </c>
      <c r="B5520" s="8" t="s">
        <v>120</v>
      </c>
      <c r="C5520" s="55" t="n">
        <f aca="false">(Pressupostos!$C$227*(1+Pressupostos!$C$195))</f>
        <v>67.6</v>
      </c>
      <c r="D5520" s="55" t="n">
        <f aca="false">(Pressupostos!$D$227*(1+Pressupostos!$C$195))</f>
        <v>471.9</v>
      </c>
      <c r="E5520" s="55" t="n">
        <f aca="false">(Pressupostos!$E$227*(1+Pressupostos!$C$195))</f>
        <v>932.1</v>
      </c>
      <c r="F5520" s="55" t="n">
        <f aca="false">(Pressupostos!$F$227*(1+Pressupostos!$C$195))</f>
        <v>1537.9</v>
      </c>
      <c r="G5520" s="55" t="n">
        <f aca="false">(Pressupostos!$G$227*(1+Pressupostos!$C$195))</f>
        <v>2327</v>
      </c>
      <c r="H5520" s="2" t="s">
        <v>1174</v>
      </c>
    </row>
    <row r="5521" customFormat="false" ht="15" hidden="false" customHeight="false" outlineLevel="1" collapsed="false">
      <c r="A5521" s="7" t="s">
        <v>398</v>
      </c>
      <c r="B5521" s="8" t="s">
        <v>120</v>
      </c>
      <c r="C5521" s="55" t="n">
        <f aca="false">(Pressupostos!$C$233*(1+Pressupostos!$C$195))</f>
        <v>0</v>
      </c>
      <c r="D5521" s="55" t="n">
        <f aca="false">(Pressupostos!$D$233*(1+Pressupostos!$C$195))</f>
        <v>650</v>
      </c>
      <c r="E5521" s="55" t="n">
        <f aca="false">(Pressupostos!$E$233*(1+Pressupostos!$C$195))</f>
        <v>1950</v>
      </c>
      <c r="F5521" s="55" t="n">
        <f aca="false">(Pressupostos!$F$233*(1+Pressupostos!$C$195))</f>
        <v>3250</v>
      </c>
      <c r="G5521" s="55" t="n">
        <f aca="false">(Pressupostos!$G$233*(1+Pressupostos!$C$195))</f>
        <v>4550</v>
      </c>
      <c r="H5521" s="2" t="s">
        <v>1175</v>
      </c>
    </row>
    <row r="5522" customFormat="false" ht="15" hidden="false" customHeight="false" outlineLevel="1" collapsed="false">
      <c r="A5522" s="7" t="s">
        <v>592</v>
      </c>
      <c r="B5522" s="8" t="s">
        <v>120</v>
      </c>
      <c r="C5522" s="55" t="n">
        <f aca="false">C5521*Pressupostos!$F$33</f>
        <v>0</v>
      </c>
      <c r="D5522" s="55" t="n">
        <f aca="false">D5521*Pressupostos!$F$33</f>
        <v>0</v>
      </c>
      <c r="E5522" s="55" t="n">
        <f aca="false">E5521*Pressupostos!$F$33</f>
        <v>0</v>
      </c>
      <c r="F5522" s="55" t="n">
        <f aca="false">F5521*Pressupostos!$F$33</f>
        <v>0</v>
      </c>
      <c r="G5522" s="55" t="n">
        <f aca="false">G5521*Pressupostos!$F$33</f>
        <v>0</v>
      </c>
      <c r="H5522" s="2" t="s">
        <v>1176</v>
      </c>
    </row>
    <row r="5523" customFormat="false" ht="15" hidden="false" customHeight="false" outlineLevel="1" collapsed="false">
      <c r="A5523" s="7" t="s">
        <v>593</v>
      </c>
      <c r="B5523" s="8" t="s">
        <v>120</v>
      </c>
      <c r="C5523" s="55" t="n">
        <f aca="false">C5521-C5522</f>
        <v>0</v>
      </c>
      <c r="D5523" s="55" t="n">
        <f aca="false">D5521-D5522</f>
        <v>650</v>
      </c>
      <c r="E5523" s="55" t="n">
        <f aca="false">E5521-E5522</f>
        <v>1950</v>
      </c>
      <c r="F5523" s="55" t="n">
        <f aca="false">F5521-F5522</f>
        <v>3250</v>
      </c>
      <c r="G5523" s="55" t="n">
        <f aca="false">G5521-G5522</f>
        <v>4550</v>
      </c>
      <c r="H5523" s="2" t="s">
        <v>1177</v>
      </c>
    </row>
    <row r="5524" customFormat="false" ht="15" hidden="false" customHeight="false" outlineLevel="1" collapsed="false">
      <c r="A5524" s="56" t="s">
        <v>594</v>
      </c>
      <c r="B5524" s="57" t="s">
        <v>120</v>
      </c>
      <c r="C5524" s="58" t="n">
        <f aca="false">C5519+C5520+C5521</f>
        <v>78.26</v>
      </c>
      <c r="D5524" s="58" t="n">
        <f aca="false">D5519+D5520+D5521</f>
        <v>1161.875</v>
      </c>
      <c r="E5524" s="58" t="n">
        <f aca="false">E5519+E5520+E5521</f>
        <v>2988.7</v>
      </c>
      <c r="F5524" s="58" t="n">
        <f aca="false">F5519+F5520+F5521</f>
        <v>4974.45</v>
      </c>
      <c r="G5524" s="58" t="n">
        <f aca="false">G5519+G5520+G5521</f>
        <v>7143.5</v>
      </c>
      <c r="H5524" s="2" t="s">
        <v>1178</v>
      </c>
    </row>
    <row r="5525" customFormat="false" ht="15" hidden="false" customHeight="false" outlineLevel="1" collapsed="false">
      <c r="A5525" s="7" t="s">
        <v>595</v>
      </c>
      <c r="B5525" s="8" t="s">
        <v>76</v>
      </c>
      <c r="C5525" s="59" t="n">
        <f aca="false">IF(C5524&gt;0,C5519/C5524,0)</f>
        <v>0.136212624584718</v>
      </c>
      <c r="D5525" s="59" t="n">
        <f aca="false">IF(D5524&gt;0,D5519/D5524,0)</f>
        <v>0.0344055944055944</v>
      </c>
      <c r="E5525" s="59" t="n">
        <f aca="false">IF(E5524&gt;0,E5519/E5524,0)</f>
        <v>0.035667681600696</v>
      </c>
      <c r="F5525" s="59" t="n">
        <f aca="false">IF(F5524&gt;0,F5519/F5524,0)</f>
        <v>0.0375016333464001</v>
      </c>
      <c r="G5525" s="59" t="n">
        <f aca="false">IF(G5524&gt;0,G5519/G5524,0)</f>
        <v>0.0373066424021838</v>
      </c>
      <c r="H5525" s="2" t="s">
        <v>1179</v>
      </c>
    </row>
    <row r="5526" customFormat="false" ht="15" hidden="false" customHeight="false" outlineLevel="1" collapsed="false">
      <c r="A5526" s="7" t="s">
        <v>596</v>
      </c>
      <c r="B5526" s="8" t="s">
        <v>76</v>
      </c>
      <c r="C5526" s="60" t="n">
        <f aca="false">C5524/(Pressupostos!$C$76*1000)</f>
        <v>0.000461710914454277</v>
      </c>
      <c r="D5526" s="60" t="n">
        <f aca="false">D5524/(Pressupostos!$C$76*1000)</f>
        <v>0.0068547197640118</v>
      </c>
      <c r="E5526" s="60" t="n">
        <f aca="false">E5524/(Pressupostos!$C$76*1000)</f>
        <v>0.0176324483775811</v>
      </c>
      <c r="F5526" s="60" t="n">
        <f aca="false">F5524/(Pressupostos!$C$76*1000)</f>
        <v>0.0293477876106195</v>
      </c>
      <c r="G5526" s="60" t="n">
        <f aca="false">G5524/(Pressupostos!$C$76*1000)</f>
        <v>0.0421445427728614</v>
      </c>
      <c r="H5526" s="2" t="s">
        <v>1180</v>
      </c>
    </row>
    <row r="5527" customFormat="false" ht="15" hidden="false" customHeight="false" outlineLevel="1" collapsed="false">
      <c r="A5527" s="7" t="s">
        <v>597</v>
      </c>
      <c r="B5527" s="8" t="s">
        <v>123</v>
      </c>
      <c r="C5527" s="55" t="n">
        <f aca="false">C5519/Pressupostos!$C$40+C5520/Pressupostos!$C$47+C5521/Pressupostos!$C$59</f>
        <v>2.78633333333333</v>
      </c>
      <c r="D5527" s="55" t="n">
        <f aca="false">D5519/Pressupostos!$C$40+D5520/Pressupostos!$C$47+D5521/Pressupostos!$C$59</f>
        <v>24.22875</v>
      </c>
      <c r="E5527" s="55" t="n">
        <f aca="false">E5519/Pressupostos!$C$40+E5520/Pressupostos!$C$47+E5521/Pressupostos!$C$59</f>
        <v>55.9</v>
      </c>
      <c r="F5527" s="55" t="n">
        <f aca="false">F5519/Pressupostos!$C$40+F5520/Pressupostos!$C$47+F5521/Pressupostos!$C$59</f>
        <v>93.0908333333333</v>
      </c>
      <c r="G5527" s="55" t="n">
        <f aca="false">G5519/Pressupostos!$C$40+G5520/Pressupostos!$C$47+G5521/Pressupostos!$C$59</f>
        <v>136.391666666667</v>
      </c>
      <c r="H5527" s="2" t="s">
        <v>1181</v>
      </c>
    </row>
    <row r="5528" customFormat="false" ht="15" hidden="false" customHeight="false" outlineLevel="0" collapsed="false">
      <c r="A5528" s="3" t="s">
        <v>1182</v>
      </c>
      <c r="B5528" s="4"/>
      <c r="C5528" s="4"/>
      <c r="D5528" s="4"/>
      <c r="E5528" s="4"/>
      <c r="F5528" s="4"/>
      <c r="G5528" s="4"/>
      <c r="H5528" s="4"/>
    </row>
    <row r="5529" customFormat="false" ht="15" hidden="false" customHeight="false" outlineLevel="1" collapsed="false">
      <c r="A5529" s="7" t="s">
        <v>599</v>
      </c>
      <c r="B5529" s="8" t="s">
        <v>202</v>
      </c>
      <c r="C5529" s="61" t="n">
        <f aca="false">(Pressupostos!$C$259*(1+Pressupostos!$C$195))</f>
        <v>46.8</v>
      </c>
      <c r="D5529" s="61" t="n">
        <f aca="false">(Pressupostos!$D$259*(1+Pressupostos!$C$195))</f>
        <v>175.5</v>
      </c>
      <c r="E5529" s="61" t="n">
        <f aca="false">(Pressupostos!$E$259*(1+Pressupostos!$C$195))</f>
        <v>468</v>
      </c>
      <c r="F5529" s="61" t="n">
        <f aca="false">(Pressupostos!$F$259*(1+Pressupostos!$C$195))</f>
        <v>819</v>
      </c>
      <c r="G5529" s="61" t="n">
        <f aca="false">(Pressupostos!$G$259*(1+Pressupostos!$C$195))</f>
        <v>1170</v>
      </c>
      <c r="H5529" s="2" t="s">
        <v>1183</v>
      </c>
    </row>
    <row r="5530" customFormat="false" ht="15" hidden="false" customHeight="false" outlineLevel="1" collapsed="false">
      <c r="A5530" s="7" t="s">
        <v>599</v>
      </c>
      <c r="B5530" s="8" t="s">
        <v>189</v>
      </c>
      <c r="C5530" s="61" t="n">
        <f aca="false">C5529*Pressupostos!$C$78</f>
        <v>35100</v>
      </c>
      <c r="D5530" s="61" t="n">
        <f aca="false">D5529*Pressupostos!$C$78</f>
        <v>131625</v>
      </c>
      <c r="E5530" s="61" t="n">
        <f aca="false">E5529*Pressupostos!$C$78</f>
        <v>351000</v>
      </c>
      <c r="F5530" s="61" t="n">
        <f aca="false">F5529*Pressupostos!$C$78</f>
        <v>614250</v>
      </c>
      <c r="G5530" s="61" t="n">
        <f aca="false">G5529*Pressupostos!$C$78</f>
        <v>877500</v>
      </c>
      <c r="H5530" s="2" t="s">
        <v>1184</v>
      </c>
    </row>
    <row r="5531" customFormat="false" ht="15" hidden="false" customHeight="false" outlineLevel="0" collapsed="false">
      <c r="A5531" s="3" t="s">
        <v>1185</v>
      </c>
      <c r="B5531" s="4"/>
      <c r="C5531" s="4"/>
      <c r="D5531" s="4"/>
      <c r="E5531" s="4"/>
      <c r="F5531" s="4"/>
      <c r="G5531" s="4"/>
      <c r="H5531" s="4"/>
    </row>
    <row r="5532" customFormat="false" ht="15" hidden="false" customHeight="false" outlineLevel="1" collapsed="false">
      <c r="A5532" s="7" t="s">
        <v>601</v>
      </c>
      <c r="B5532" s="8" t="s">
        <v>120</v>
      </c>
      <c r="C5532" s="55" t="n">
        <f aca="false">IF(C5516&lt;Pressupostos!$F$28,0,(Pressupostos!$C$265*(1+Pressupostos!$C$195)))</f>
        <v>0</v>
      </c>
      <c r="D5532" s="55" t="n">
        <f aca="false">IF(D5516&lt;Pressupostos!$F$28,0,(Pressupostos!$D$265*(1+Pressupostos!$C$195)))</f>
        <v>0</v>
      </c>
      <c r="E5532" s="55" t="n">
        <f aca="false">IF(E5516&lt;Pressupostos!$F$28,0,(Pressupostos!$E$265*(1+Pressupostos!$C$195)))</f>
        <v>0</v>
      </c>
      <c r="F5532" s="55" t="n">
        <f aca="false">IF(F5516&lt;Pressupostos!$F$28,0,(Pressupostos!$F$265*(1+Pressupostos!$C$195)))</f>
        <v>26</v>
      </c>
      <c r="G5532" s="55" t="n">
        <f aca="false">IF(G5516&lt;Pressupostos!$F$28,0,(Pressupostos!$G$265*(1+Pressupostos!$C$195)))</f>
        <v>65</v>
      </c>
      <c r="H5532" s="2" t="s">
        <v>1186</v>
      </c>
    </row>
    <row r="5533" customFormat="false" ht="15" hidden="false" customHeight="false" outlineLevel="0" collapsed="false">
      <c r="A5533" s="3" t="s">
        <v>1187</v>
      </c>
      <c r="B5533" s="4"/>
      <c r="C5533" s="4"/>
      <c r="D5533" s="4"/>
      <c r="E5533" s="4"/>
      <c r="F5533" s="4"/>
      <c r="G5533" s="4"/>
      <c r="H5533" s="4"/>
    </row>
    <row r="5534" customFormat="false" ht="15" hidden="false" customHeight="false" outlineLevel="1" collapsed="false">
      <c r="A5534" s="7" t="s">
        <v>603</v>
      </c>
      <c r="B5534" s="8" t="s">
        <v>11</v>
      </c>
      <c r="C5534" s="53" t="n">
        <f aca="false">Pressupostos!$C$271</f>
        <v>0</v>
      </c>
      <c r="D5534" s="53" t="n">
        <f aca="false">Pressupostos!$D$271</f>
        <v>500000</v>
      </c>
      <c r="E5534" s="53" t="n">
        <f aca="false">Pressupostos!$E$271</f>
        <v>1500000</v>
      </c>
      <c r="F5534" s="53" t="n">
        <f aca="false">Pressupostos!$F$271</f>
        <v>3000000</v>
      </c>
      <c r="G5534" s="53" t="n">
        <f aca="false">Pressupostos!$G$271</f>
        <v>5000000</v>
      </c>
      <c r="H5534" s="2" t="s">
        <v>1188</v>
      </c>
    </row>
    <row r="5535" customFormat="false" ht="15" hidden="false" customHeight="false" outlineLevel="1" collapsed="false">
      <c r="A5535" s="7" t="s">
        <v>604</v>
      </c>
      <c r="B5535" s="8" t="s">
        <v>120</v>
      </c>
      <c r="C5535" s="55" t="n">
        <f aca="false">C5534/(Pressupostos!$C$105*Pressupostos!$C$106)*Pressupostos!$C$102/1000</f>
        <v>0</v>
      </c>
      <c r="D5535" s="55" t="n">
        <f aca="false">D5534/(Pressupostos!$C$105*Pressupostos!$C$106)*Pressupostos!$C$102/1000</f>
        <v>457.142857142857</v>
      </c>
      <c r="E5535" s="55" t="n">
        <f aca="false">E5534/(Pressupostos!$C$105*Pressupostos!$C$106)*Pressupostos!$C$102/1000</f>
        <v>1371.42857142857</v>
      </c>
      <c r="F5535" s="55" t="n">
        <f aca="false">F5534/(Pressupostos!$C$105*Pressupostos!$C$106)*Pressupostos!$C$102/1000</f>
        <v>2742.85714285714</v>
      </c>
      <c r="G5535" s="55" t="n">
        <f aca="false">G5534/(Pressupostos!$C$105*Pressupostos!$C$106)*Pressupostos!$C$102/1000</f>
        <v>4571.42857142857</v>
      </c>
      <c r="H5535" s="2" t="s">
        <v>1189</v>
      </c>
    </row>
    <row r="5536" customFormat="false" ht="15" hidden="false" customHeight="false" outlineLevel="0" collapsed="false">
      <c r="A5536" s="3" t="s">
        <v>1190</v>
      </c>
      <c r="B5536" s="4"/>
      <c r="C5536" s="4"/>
      <c r="D5536" s="4"/>
      <c r="E5536" s="4"/>
      <c r="F5536" s="4"/>
      <c r="G5536" s="4"/>
      <c r="H5536" s="4"/>
    </row>
    <row r="5537" customFormat="false" ht="15" hidden="false" customHeight="false" outlineLevel="1" collapsed="false">
      <c r="A5537" s="7" t="s">
        <v>669</v>
      </c>
      <c r="B5537" s="8" t="s">
        <v>64</v>
      </c>
      <c r="C5537" s="63" t="n">
        <f aca="false">Pressupostos!$F$10+Pressupostos!$F$11</f>
        <v>3.65</v>
      </c>
      <c r="D5537" s="63" t="n">
        <f aca="false">Pressupostos!$F$10+Pressupostos!$F$11</f>
        <v>3.65</v>
      </c>
      <c r="E5537" s="63" t="n">
        <f aca="false">Pressupostos!$F$10+Pressupostos!$F$11</f>
        <v>3.65</v>
      </c>
      <c r="F5537" s="63" t="n">
        <f aca="false">Pressupostos!$F$10+Pressupostos!$F$11</f>
        <v>3.65</v>
      </c>
      <c r="G5537" s="63" t="n">
        <f aca="false">Pressupostos!$F$10+Pressupostos!$F$11</f>
        <v>3.65</v>
      </c>
      <c r="H5537" s="2" t="s">
        <v>1191</v>
      </c>
    </row>
    <row r="5538" customFormat="false" ht="15" hidden="false" customHeight="false" outlineLevel="1" collapsed="false">
      <c r="A5538" s="7" t="s">
        <v>670</v>
      </c>
      <c r="B5538" s="8" t="s">
        <v>64</v>
      </c>
      <c r="C5538" s="67" t="n">
        <f aca="false">Pressupostos!$F$15</f>
        <v>6</v>
      </c>
      <c r="D5538" s="67" t="n">
        <f aca="false">Pressupostos!$F$15</f>
        <v>6</v>
      </c>
      <c r="E5538" s="67" t="n">
        <f aca="false">Pressupostos!$F$15</f>
        <v>6</v>
      </c>
      <c r="F5538" s="67" t="n">
        <f aca="false">Pressupostos!$F$15</f>
        <v>6</v>
      </c>
      <c r="G5538" s="67" t="n">
        <f aca="false">Pressupostos!$F$15</f>
        <v>6</v>
      </c>
      <c r="H5538" s="2" t="s">
        <v>1192</v>
      </c>
    </row>
    <row r="5539" customFormat="false" ht="15" hidden="false" customHeight="false" outlineLevel="1" collapsed="false">
      <c r="A5539" s="56" t="s">
        <v>671</v>
      </c>
      <c r="B5539" s="57" t="s">
        <v>64</v>
      </c>
      <c r="C5539" s="68" t="n">
        <f aca="false">C5538*(1-Pressupostos!$F$16)</f>
        <v>5.4</v>
      </c>
      <c r="D5539" s="68" t="n">
        <f aca="false">D5538*(1-Pressupostos!$F$16)</f>
        <v>5.4</v>
      </c>
      <c r="E5539" s="68" t="n">
        <f aca="false">E5538*(1-Pressupostos!$F$16)</f>
        <v>5.4</v>
      </c>
      <c r="F5539" s="68" t="n">
        <f aca="false">F5538*(1-Pressupostos!$F$16)</f>
        <v>5.4</v>
      </c>
      <c r="G5539" s="68" t="n">
        <f aca="false">G5538*(1-Pressupostos!$F$16)</f>
        <v>5.4</v>
      </c>
      <c r="H5539" s="2" t="s">
        <v>1193</v>
      </c>
    </row>
    <row r="5540" customFormat="false" ht="15" hidden="false" customHeight="false" outlineLevel="1" collapsed="false">
      <c r="A5540" s="7" t="s">
        <v>144</v>
      </c>
      <c r="B5540" s="8" t="s">
        <v>64</v>
      </c>
      <c r="C5540" s="67" t="n">
        <f aca="false">Pressupostos!$C$38</f>
        <v>0.55</v>
      </c>
      <c r="D5540" s="67" t="n">
        <f aca="false">Pressupostos!$C$38</f>
        <v>0.55</v>
      </c>
      <c r="E5540" s="67" t="n">
        <f aca="false">Pressupostos!$C$38</f>
        <v>0.55</v>
      </c>
      <c r="F5540" s="67" t="n">
        <f aca="false">Pressupostos!$C$38</f>
        <v>0.55</v>
      </c>
      <c r="G5540" s="67" t="n">
        <f aca="false">Pressupostos!$C$38</f>
        <v>0.55</v>
      </c>
      <c r="H5540" s="2" t="s">
        <v>1194</v>
      </c>
    </row>
    <row r="5541" customFormat="false" ht="15" hidden="false" customHeight="false" outlineLevel="1" collapsed="false">
      <c r="A5541" s="7" t="s">
        <v>215</v>
      </c>
      <c r="B5541" s="8" t="s">
        <v>64</v>
      </c>
      <c r="C5541" s="67" t="n">
        <f aca="false">Pressupostos!$C$240</f>
        <v>0.3</v>
      </c>
      <c r="D5541" s="67" t="n">
        <f aca="false">Pressupostos!$D$240</f>
        <v>0.3</v>
      </c>
      <c r="E5541" s="67" t="n">
        <f aca="false">Pressupostos!$E$240</f>
        <v>0.28</v>
      </c>
      <c r="F5541" s="67" t="n">
        <f aca="false">Pressupostos!$F$240</f>
        <v>0.27</v>
      </c>
      <c r="G5541" s="67" t="n">
        <f aca="false">Pressupostos!$G$240</f>
        <v>0.27</v>
      </c>
      <c r="H5541" s="2" t="s">
        <v>1195</v>
      </c>
    </row>
    <row r="5542" customFormat="false" ht="15" hidden="false" customHeight="false" outlineLevel="1" collapsed="false">
      <c r="A5542" s="7" t="s">
        <v>117</v>
      </c>
      <c r="B5542" s="8" t="s">
        <v>64</v>
      </c>
      <c r="C5542" s="67" t="n">
        <f aca="false">Pressupostos!$C$39</f>
        <v>0.06</v>
      </c>
      <c r="D5542" s="67" t="n">
        <f aca="false">Pressupostos!$C$39</f>
        <v>0.06</v>
      </c>
      <c r="E5542" s="67" t="n">
        <f aca="false">Pressupostos!$C$39</f>
        <v>0.06</v>
      </c>
      <c r="F5542" s="67" t="n">
        <f aca="false">Pressupostos!$C$39</f>
        <v>0.06</v>
      </c>
      <c r="G5542" s="67" t="n">
        <f aca="false">Pressupostos!$C$39</f>
        <v>0.06</v>
      </c>
      <c r="H5542" s="2" t="s">
        <v>1196</v>
      </c>
    </row>
    <row r="5543" customFormat="false" ht="15" hidden="false" customHeight="false" outlineLevel="1" collapsed="false">
      <c r="A5543" s="7" t="s">
        <v>91</v>
      </c>
      <c r="B5543" s="8" t="s">
        <v>79</v>
      </c>
      <c r="C5543" s="69" t="n">
        <f aca="false">Pressupostos!$C$246</f>
        <v>180</v>
      </c>
      <c r="D5543" s="69" t="n">
        <f aca="false">Pressupostos!$D$246</f>
        <v>180</v>
      </c>
      <c r="E5543" s="69" t="n">
        <f aca="false">Pressupostos!$E$246</f>
        <v>45</v>
      </c>
      <c r="F5543" s="69" t="n">
        <f aca="false">Pressupostos!$F$246</f>
        <v>45</v>
      </c>
      <c r="G5543" s="69" t="n">
        <f aca="false">Pressupostos!$G$246</f>
        <v>45</v>
      </c>
      <c r="H5543" s="2" t="s">
        <v>1197</v>
      </c>
    </row>
    <row r="5544" customFormat="false" ht="15" hidden="false" customHeight="false" outlineLevel="1" collapsed="false">
      <c r="A5544" s="7" t="s">
        <v>78</v>
      </c>
      <c r="B5544" s="8" t="s">
        <v>79</v>
      </c>
      <c r="C5544" s="69" t="n">
        <f aca="false">Pressupostos!$F$17</f>
        <v>35</v>
      </c>
      <c r="D5544" s="69" t="n">
        <f aca="false">Pressupostos!$F$17</f>
        <v>35</v>
      </c>
      <c r="E5544" s="69" t="n">
        <f aca="false">Pressupostos!$F$17</f>
        <v>35</v>
      </c>
      <c r="F5544" s="69" t="n">
        <f aca="false">Pressupostos!$F$17</f>
        <v>35</v>
      </c>
      <c r="G5544" s="69" t="n">
        <f aca="false">Pressupostos!$F$17</f>
        <v>35</v>
      </c>
      <c r="H5544" s="2" t="s">
        <v>1198</v>
      </c>
    </row>
    <row r="5545" customFormat="false" ht="15" hidden="false" customHeight="false" outlineLevel="1" collapsed="false">
      <c r="A5545" s="7" t="s">
        <v>490</v>
      </c>
      <c r="B5545" s="8" t="s">
        <v>64</v>
      </c>
      <c r="C5545" s="63" t="n">
        <f aca="false">Pressupostos!$C$66*C5543/30/1000</f>
        <v>0.024</v>
      </c>
      <c r="D5545" s="63" t="n">
        <f aca="false">Pressupostos!$C$66*D5543/30/1000</f>
        <v>0.024</v>
      </c>
      <c r="E5545" s="63" t="n">
        <f aca="false">Pressupostos!$C$66*E5543/30/1000</f>
        <v>0.006</v>
      </c>
      <c r="F5545" s="63" t="n">
        <f aca="false">Pressupostos!$C$66*F5543/30/1000</f>
        <v>0.006</v>
      </c>
      <c r="G5545" s="63" t="n">
        <f aca="false">Pressupostos!$C$66*G5543/30/1000</f>
        <v>0.006</v>
      </c>
      <c r="H5545" s="2" t="s">
        <v>1199</v>
      </c>
    </row>
    <row r="5546" customFormat="false" ht="15" hidden="false" customHeight="false" outlineLevel="1" collapsed="false">
      <c r="A5546" s="7" t="s">
        <v>165</v>
      </c>
      <c r="B5546" s="8" t="s">
        <v>64</v>
      </c>
      <c r="C5546" s="63" t="n">
        <f aca="false">C5537*Pressupostos!$C$67*C5543/365</f>
        <v>0.0036</v>
      </c>
      <c r="D5546" s="63" t="n">
        <f aca="false">D5537*Pressupostos!$C$67*D5543/365</f>
        <v>0.0036</v>
      </c>
      <c r="E5546" s="63" t="n">
        <f aca="false">E5537*Pressupostos!$C$67*E5543/365</f>
        <v>0.0009</v>
      </c>
      <c r="F5546" s="63" t="n">
        <f aca="false">F5537*Pressupostos!$C$67*F5543/365</f>
        <v>0.0009</v>
      </c>
      <c r="G5546" s="63" t="n">
        <f aca="false">G5537*Pressupostos!$C$67*G5543/365</f>
        <v>0.0009</v>
      </c>
      <c r="H5546" s="2" t="s">
        <v>1200</v>
      </c>
    </row>
    <row r="5547" customFormat="false" ht="15" hidden="false" customHeight="false" outlineLevel="1" collapsed="false">
      <c r="A5547" s="7" t="s">
        <v>672</v>
      </c>
      <c r="B5547" s="8" t="s">
        <v>64</v>
      </c>
      <c r="C5547" s="63" t="n">
        <f aca="false">Pressupostos!$C$41*Pressupostos!$C$68/(Pressupostos!$C$40*1000)</f>
        <v>0.03</v>
      </c>
      <c r="D5547" s="63" t="n">
        <f aca="false">Pressupostos!$C$41*Pressupostos!$C$68/(Pressupostos!$C$40*1000)</f>
        <v>0.03</v>
      </c>
      <c r="E5547" s="63" t="n">
        <f aca="false">Pressupostos!$C$41*Pressupostos!$C$68/(Pressupostos!$C$40*1000)</f>
        <v>0.03</v>
      </c>
      <c r="F5547" s="63" t="n">
        <f aca="false">Pressupostos!$C$41*Pressupostos!$C$68/(Pressupostos!$C$40*1000)</f>
        <v>0.03</v>
      </c>
      <c r="G5547" s="63" t="n">
        <f aca="false">Pressupostos!$C$41*Pressupostos!$C$68/(Pressupostos!$C$40*1000)</f>
        <v>0.03</v>
      </c>
      <c r="H5547" s="2" t="s">
        <v>1201</v>
      </c>
    </row>
    <row r="5548" customFormat="false" ht="15" hidden="false" customHeight="false" outlineLevel="1" collapsed="false">
      <c r="A5548" s="7" t="s">
        <v>492</v>
      </c>
      <c r="B5548" s="8" t="s">
        <v>64</v>
      </c>
      <c r="C5548" s="63" t="n">
        <f aca="false">Pressupostos!$C$69*C5537</f>
        <v>0.01825</v>
      </c>
      <c r="D5548" s="63" t="n">
        <f aca="false">Pressupostos!$C$69*D5537</f>
        <v>0.01825</v>
      </c>
      <c r="E5548" s="63" t="n">
        <f aca="false">Pressupostos!$C$69*E5537</f>
        <v>0.01825</v>
      </c>
      <c r="F5548" s="63" t="n">
        <f aca="false">Pressupostos!$C$69*F5537</f>
        <v>0.01825</v>
      </c>
      <c r="G5548" s="63" t="n">
        <f aca="false">Pressupostos!$C$69*G5537</f>
        <v>0.01825</v>
      </c>
      <c r="H5548" s="2" t="s">
        <v>1202</v>
      </c>
    </row>
    <row r="5549" customFormat="false" ht="15" hidden="false" customHeight="false" outlineLevel="1" collapsed="false">
      <c r="A5549" s="7" t="s">
        <v>493</v>
      </c>
      <c r="B5549" s="8" t="s">
        <v>64</v>
      </c>
      <c r="C5549" s="63" t="n">
        <f aca="false">Pressupostos!$C$70*Pressupostos!$C$71*C5543/90</f>
        <v>0.018</v>
      </c>
      <c r="D5549" s="63" t="n">
        <f aca="false">Pressupostos!$C$70*Pressupostos!$C$71*D5543/90</f>
        <v>0.018</v>
      </c>
      <c r="E5549" s="63" t="n">
        <f aca="false">Pressupostos!$C$70*Pressupostos!$C$71*E5543/90</f>
        <v>0.0045</v>
      </c>
      <c r="F5549" s="63" t="n">
        <f aca="false">Pressupostos!$C$70*Pressupostos!$C$71*F5543/90</f>
        <v>0.0045</v>
      </c>
      <c r="G5549" s="63" t="n">
        <f aca="false">Pressupostos!$C$70*Pressupostos!$C$71*G5543/90</f>
        <v>0.0045</v>
      </c>
      <c r="H5549" s="2" t="s">
        <v>1203</v>
      </c>
    </row>
    <row r="5550" customFormat="false" ht="15" hidden="false" customHeight="false" outlineLevel="1" collapsed="false">
      <c r="A5550" s="7" t="s">
        <v>673</v>
      </c>
      <c r="B5550" s="8" t="s">
        <v>64</v>
      </c>
      <c r="C5550" s="63" t="n">
        <f aca="false">Pressupostos!$C$42/(Pressupostos!$C$40*1000)</f>
        <v>0.1</v>
      </c>
      <c r="D5550" s="63" t="n">
        <f aca="false">Pressupostos!$C$42/(Pressupostos!$C$40*1000)</f>
        <v>0.1</v>
      </c>
      <c r="E5550" s="63" t="n">
        <f aca="false">Pressupostos!$C$42/(Pressupostos!$C$40*1000)</f>
        <v>0.1</v>
      </c>
      <c r="F5550" s="63" t="n">
        <f aca="false">Pressupostos!$C$42/(Pressupostos!$C$40*1000)</f>
        <v>0.1</v>
      </c>
      <c r="G5550" s="63" t="n">
        <f aca="false">Pressupostos!$C$42/(Pressupostos!$C$40*1000)</f>
        <v>0.1</v>
      </c>
      <c r="H5550" s="2" t="s">
        <v>1204</v>
      </c>
    </row>
    <row r="5551" customFormat="false" ht="15" hidden="false" customHeight="false" outlineLevel="1" collapsed="false">
      <c r="A5551" s="7" t="s">
        <v>139</v>
      </c>
      <c r="B5551" s="8" t="s">
        <v>64</v>
      </c>
      <c r="C5551" s="67" t="n">
        <f aca="false">Pressupostos!$C$43</f>
        <v>0.01</v>
      </c>
      <c r="D5551" s="67" t="n">
        <f aca="false">Pressupostos!$C$43</f>
        <v>0.01</v>
      </c>
      <c r="E5551" s="67" t="n">
        <f aca="false">Pressupostos!$C$43</f>
        <v>0.01</v>
      </c>
      <c r="F5551" s="67" t="n">
        <f aca="false">Pressupostos!$C$43</f>
        <v>0.01</v>
      </c>
      <c r="G5551" s="67" t="n">
        <f aca="false">Pressupostos!$C$43</f>
        <v>0.01</v>
      </c>
      <c r="H5551" s="2" t="s">
        <v>1205</v>
      </c>
    </row>
    <row r="5552" customFormat="false" ht="15" hidden="false" customHeight="false" outlineLevel="1" collapsed="false">
      <c r="A5552" s="7" t="s">
        <v>81</v>
      </c>
      <c r="B5552" s="8" t="s">
        <v>64</v>
      </c>
      <c r="C5552" s="63" t="n">
        <f aca="false">Pressupostos!$F$18*C5539</f>
        <v>0.0324</v>
      </c>
      <c r="D5552" s="63" t="n">
        <f aca="false">Pressupostos!$F$18*D5539</f>
        <v>0.0324</v>
      </c>
      <c r="E5552" s="63" t="n">
        <f aca="false">Pressupostos!$F$18*E5539</f>
        <v>0.0324</v>
      </c>
      <c r="F5552" s="63" t="n">
        <f aca="false">Pressupostos!$F$18*F5539</f>
        <v>0.0324</v>
      </c>
      <c r="G5552" s="63" t="n">
        <f aca="false">Pressupostos!$F$18*G5539</f>
        <v>0.0324</v>
      </c>
      <c r="H5552" s="2" t="s">
        <v>1206</v>
      </c>
    </row>
    <row r="5553" customFormat="false" ht="15" hidden="false" customHeight="false" outlineLevel="1" collapsed="false">
      <c r="A5553" s="7" t="s">
        <v>674</v>
      </c>
      <c r="B5553" s="8" t="s">
        <v>64</v>
      </c>
      <c r="C5553" s="63" t="n">
        <f aca="false">Pressupostos!$C$73*C5539</f>
        <v>0</v>
      </c>
      <c r="D5553" s="63" t="n">
        <f aca="false">Pressupostos!$C$73*D5539</f>
        <v>0</v>
      </c>
      <c r="E5553" s="63" t="n">
        <f aca="false">Pressupostos!$C$73*E5539</f>
        <v>0</v>
      </c>
      <c r="F5553" s="63" t="n">
        <f aca="false">Pressupostos!$C$73*F5539</f>
        <v>0</v>
      </c>
      <c r="G5553" s="63" t="n">
        <f aca="false">Pressupostos!$C$73*G5539</f>
        <v>0</v>
      </c>
      <c r="H5553" s="2" t="s">
        <v>1207</v>
      </c>
    </row>
    <row r="5554" customFormat="false" ht="15" hidden="false" customHeight="false" outlineLevel="1" collapsed="false">
      <c r="A5554" s="7" t="s">
        <v>675</v>
      </c>
      <c r="B5554" s="8" t="s">
        <v>64</v>
      </c>
      <c r="C5554" s="63" t="n">
        <f aca="false">Pressupostos!$C$290*(C5537+C5540)*(C5543+C5544-Pressupostos!$C$72)/365*Pressupostos!$C$284/Pressupostos!$F$31</f>
        <v>0</v>
      </c>
      <c r="D5554" s="63" t="n">
        <f aca="false">Pressupostos!$D$290*(D5537+D5540)*(D5543+D5544-Pressupostos!$C$72)/365*Pressupostos!$D$284/Pressupostos!$F$31</f>
        <v>0.159657534246575</v>
      </c>
      <c r="E5554" s="63" t="n">
        <f aca="false">Pressupostos!$E$290*(E5537+E5540)*(E5543+E5544-Pressupostos!$C$72)/365*Pressupostos!$E$284/Pressupostos!$F$31</f>
        <v>0.0404537671232877</v>
      </c>
      <c r="F5554" s="63" t="n">
        <f aca="false">Pressupostos!$F$290*(F5537+F5540)*(F5543+F5544-Pressupostos!$C$72)/365*Pressupostos!$F$284/Pressupostos!$F$31</f>
        <v>0.0377568493150685</v>
      </c>
      <c r="G5554" s="63" t="n">
        <f aca="false">Pressupostos!$G$290*(G5537+G5540)*(G5543+G5544-Pressupostos!$C$72)/365*Pressupostos!$G$284/Pressupostos!$F$31</f>
        <v>0.0377568493150685</v>
      </c>
      <c r="H5554" s="2" t="s">
        <v>1208</v>
      </c>
    </row>
    <row r="5555" customFormat="false" ht="15" hidden="false" customHeight="false" outlineLevel="1" collapsed="false">
      <c r="A5555" s="7" t="s">
        <v>676</v>
      </c>
      <c r="B5555" s="8" t="s">
        <v>64</v>
      </c>
      <c r="C5555" s="63" t="n">
        <f aca="false">C5537+C5540+C5541+C5542+C5545+C5546+C5547+C5548+C5549+C5550+C5551+C5552+C5553+C5554</f>
        <v>4.79625</v>
      </c>
      <c r="D5555" s="63" t="n">
        <f aca="false">D5537+D5540+D5541+D5542+D5545+D5546+D5547+D5548+D5549+D5550+D5551+D5552+D5553+D5554</f>
        <v>4.95590753424657</v>
      </c>
      <c r="E5555" s="63" t="n">
        <f aca="false">E5537+E5540+E5541+E5542+E5545+E5546+E5547+E5548+E5549+E5550+E5551+E5552+E5553+E5554</f>
        <v>4.78250376712329</v>
      </c>
      <c r="F5555" s="63" t="n">
        <f aca="false">F5537+F5540+F5541+F5542+F5545+F5546+F5547+F5548+F5549+F5550+F5551+F5552+F5553+F5554</f>
        <v>4.76980684931507</v>
      </c>
      <c r="G5555" s="63" t="n">
        <f aca="false">G5537+G5540+G5541+G5542+G5545+G5546+G5547+G5548+G5549+G5550+G5551+G5552+G5553+G5554</f>
        <v>4.76980684931507</v>
      </c>
      <c r="H5555" s="2" t="s">
        <v>1209</v>
      </c>
    </row>
    <row r="5556" customFormat="false" ht="15" hidden="false" customHeight="false" outlineLevel="1" collapsed="false">
      <c r="A5556" s="56" t="s">
        <v>677</v>
      </c>
      <c r="B5556" s="57" t="s">
        <v>64</v>
      </c>
      <c r="C5556" s="68" t="n">
        <f aca="false">C5539-C5555</f>
        <v>0.603750000000002</v>
      </c>
      <c r="D5556" s="68" t="n">
        <f aca="false">D5539-D5555</f>
        <v>0.444092465753426</v>
      </c>
      <c r="E5556" s="68" t="n">
        <f aca="false">E5539-E5555</f>
        <v>0.617496232876713</v>
      </c>
      <c r="F5556" s="68" t="n">
        <f aca="false">F5539-F5555</f>
        <v>0.630193150684931</v>
      </c>
      <c r="G5556" s="68" t="n">
        <f aca="false">G5539-G5555</f>
        <v>0.630193150684931</v>
      </c>
      <c r="H5556" s="2" t="s">
        <v>1210</v>
      </c>
    </row>
    <row r="5557" customFormat="false" ht="15" hidden="false" customHeight="false" outlineLevel="1" collapsed="false">
      <c r="A5557" s="7" t="s">
        <v>678</v>
      </c>
      <c r="B5557" s="8" t="s">
        <v>76</v>
      </c>
      <c r="C5557" s="59" t="n">
        <f aca="false">IF(C5539&gt;0,C5556/C5539,0)</f>
        <v>0.111805555555556</v>
      </c>
      <c r="D5557" s="59" t="n">
        <f aca="false">IF(D5539&gt;0,D5556/D5539,0)</f>
        <v>0.0822393455098938</v>
      </c>
      <c r="E5557" s="59" t="n">
        <f aca="false">IF(E5539&gt;0,E5556/E5539,0)</f>
        <v>0.114351154236428</v>
      </c>
      <c r="F5557" s="59" t="n">
        <f aca="false">IF(F5539&gt;0,F5556/F5539,0)</f>
        <v>0.116702435312024</v>
      </c>
      <c r="G5557" s="59" t="n">
        <f aca="false">IF(G5539&gt;0,G5556/G5539,0)</f>
        <v>0.116702435312024</v>
      </c>
      <c r="H5557" s="2" t="s">
        <v>1211</v>
      </c>
    </row>
    <row r="5558" customFormat="false" ht="15" hidden="false" customHeight="false" outlineLevel="1" collapsed="false">
      <c r="A5558" s="7" t="s">
        <v>679</v>
      </c>
      <c r="B5558" s="8" t="s">
        <v>64</v>
      </c>
      <c r="C5558" s="63" t="n">
        <f aca="false">(C5537+C5540)*(C5543-Pressupostos!$C$72)/365+C5539*C5544/365</f>
        <v>2.24383561643836</v>
      </c>
      <c r="D5558" s="63" t="n">
        <f aca="false">(D5537+D5540)*(D5543-Pressupostos!$C$72)/365+D5539*D5544/365</f>
        <v>2.24383561643836</v>
      </c>
      <c r="E5558" s="63" t="n">
        <f aca="false">(E5537+E5540)*(E5543-Pressupostos!$C$72)/365+E5539*E5544/365</f>
        <v>0.69041095890411</v>
      </c>
      <c r="F5558" s="63" t="n">
        <f aca="false">(F5537+F5540)*(F5543-Pressupostos!$C$72)/365+F5539*F5544/365</f>
        <v>0.69041095890411</v>
      </c>
      <c r="G5558" s="63" t="n">
        <f aca="false">(G5537+G5540)*(G5543-Pressupostos!$C$72)/365+G5539*G5544/365</f>
        <v>0.69041095890411</v>
      </c>
      <c r="H5558" s="2" t="s">
        <v>1212</v>
      </c>
    </row>
    <row r="5559" customFormat="false" ht="15" hidden="false" customHeight="false" outlineLevel="0" collapsed="false">
      <c r="A5559" s="3" t="s">
        <v>1213</v>
      </c>
      <c r="B5559" s="4"/>
      <c r="C5559" s="4"/>
      <c r="D5559" s="4"/>
      <c r="E5559" s="4"/>
      <c r="F5559" s="4"/>
      <c r="G5559" s="4"/>
      <c r="H5559" s="4"/>
    </row>
    <row r="5560" customFormat="false" ht="15" hidden="false" customHeight="false" outlineLevel="1" collapsed="false">
      <c r="A5560" s="7" t="s">
        <v>669</v>
      </c>
      <c r="B5560" s="8" t="s">
        <v>64</v>
      </c>
      <c r="C5560" s="63" t="n">
        <f aca="false">Pressupostos!$F$10+Pressupostos!$F$12</f>
        <v>3.6</v>
      </c>
      <c r="D5560" s="63" t="n">
        <f aca="false">Pressupostos!$F$10+Pressupostos!$F$12</f>
        <v>3.6</v>
      </c>
      <c r="E5560" s="63" t="n">
        <f aca="false">Pressupostos!$F$10+Pressupostos!$F$12</f>
        <v>3.6</v>
      </c>
      <c r="F5560" s="63" t="n">
        <f aca="false">Pressupostos!$F$10+Pressupostos!$F$12</f>
        <v>3.6</v>
      </c>
      <c r="G5560" s="63" t="n">
        <f aca="false">Pressupostos!$F$10+Pressupostos!$F$12</f>
        <v>3.6</v>
      </c>
      <c r="H5560" s="2" t="s">
        <v>1214</v>
      </c>
    </row>
    <row r="5561" customFormat="false" ht="15" hidden="false" customHeight="false" outlineLevel="1" collapsed="false">
      <c r="A5561" s="7" t="s">
        <v>670</v>
      </c>
      <c r="B5561" s="8" t="s">
        <v>64</v>
      </c>
      <c r="C5561" s="63" t="n">
        <f aca="false">Pressupostos!$F$20+Pressupostos!$F$21</f>
        <v>4.45</v>
      </c>
      <c r="D5561" s="63" t="n">
        <f aca="false">Pressupostos!$F$20+Pressupostos!$F$21</f>
        <v>4.45</v>
      </c>
      <c r="E5561" s="63" t="n">
        <f aca="false">Pressupostos!$F$20+Pressupostos!$F$21</f>
        <v>4.45</v>
      </c>
      <c r="F5561" s="63" t="n">
        <f aca="false">Pressupostos!$F$20+Pressupostos!$F$21</f>
        <v>4.45</v>
      </c>
      <c r="G5561" s="63" t="n">
        <f aca="false">Pressupostos!$F$20+Pressupostos!$F$21</f>
        <v>4.45</v>
      </c>
      <c r="H5561" s="2" t="s">
        <v>1215</v>
      </c>
    </row>
    <row r="5562" customFormat="false" ht="15" hidden="false" customHeight="false" outlineLevel="1" collapsed="false">
      <c r="A5562" s="56" t="s">
        <v>671</v>
      </c>
      <c r="B5562" s="57" t="s">
        <v>64</v>
      </c>
      <c r="C5562" s="68" t="n">
        <f aca="false">C5561*(1-Pressupostos!$F$22)</f>
        <v>4.45</v>
      </c>
      <c r="D5562" s="68" t="n">
        <f aca="false">D5561*(1-Pressupostos!$F$22)</f>
        <v>4.45</v>
      </c>
      <c r="E5562" s="68" t="n">
        <f aca="false">E5561*(1-Pressupostos!$F$22)</f>
        <v>4.45</v>
      </c>
      <c r="F5562" s="68" t="n">
        <f aca="false">F5561*(1-Pressupostos!$F$22)</f>
        <v>4.45</v>
      </c>
      <c r="G5562" s="68" t="n">
        <f aca="false">G5561*(1-Pressupostos!$F$22)</f>
        <v>4.45</v>
      </c>
      <c r="H5562" s="2" t="s">
        <v>1216</v>
      </c>
    </row>
    <row r="5563" customFormat="false" ht="15" hidden="false" customHeight="false" outlineLevel="1" collapsed="false">
      <c r="A5563" s="7" t="s">
        <v>144</v>
      </c>
      <c r="B5563" s="8" t="s">
        <v>64</v>
      </c>
      <c r="C5563" s="67" t="n">
        <f aca="false">Pressupostos!$C$45</f>
        <v>0.45</v>
      </c>
      <c r="D5563" s="67" t="n">
        <f aca="false">Pressupostos!$C$45</f>
        <v>0.45</v>
      </c>
      <c r="E5563" s="67" t="n">
        <f aca="false">Pressupostos!$C$45</f>
        <v>0.45</v>
      </c>
      <c r="F5563" s="67" t="n">
        <f aca="false">Pressupostos!$C$45</f>
        <v>0.45</v>
      </c>
      <c r="G5563" s="67" t="n">
        <f aca="false">Pressupostos!$C$45</f>
        <v>0.45</v>
      </c>
      <c r="H5563" s="2" t="s">
        <v>1217</v>
      </c>
    </row>
    <row r="5564" customFormat="false" ht="15" hidden="false" customHeight="false" outlineLevel="1" collapsed="false">
      <c r="A5564" s="7" t="s">
        <v>215</v>
      </c>
      <c r="B5564" s="8" t="s">
        <v>64</v>
      </c>
      <c r="C5564" s="67" t="n">
        <f aca="false">Pressupostos!$C$252</f>
        <v>0.1</v>
      </c>
      <c r="D5564" s="67" t="n">
        <f aca="false">Pressupostos!$D$252</f>
        <v>0.1</v>
      </c>
      <c r="E5564" s="67" t="n">
        <f aca="false">Pressupostos!$E$252</f>
        <v>0.09</v>
      </c>
      <c r="F5564" s="67" t="n">
        <f aca="false">Pressupostos!$F$252</f>
        <v>0.09</v>
      </c>
      <c r="G5564" s="67" t="n">
        <f aca="false">Pressupostos!$G$252</f>
        <v>0.09</v>
      </c>
      <c r="H5564" s="2" t="s">
        <v>1218</v>
      </c>
    </row>
    <row r="5565" customFormat="false" ht="15" hidden="false" customHeight="false" outlineLevel="1" collapsed="false">
      <c r="A5565" s="7" t="s">
        <v>117</v>
      </c>
      <c r="B5565" s="8" t="s">
        <v>64</v>
      </c>
      <c r="C5565" s="67" t="n">
        <f aca="false">Pressupostos!$C$46</f>
        <v>0</v>
      </c>
      <c r="D5565" s="67" t="n">
        <f aca="false">Pressupostos!$C$46</f>
        <v>0</v>
      </c>
      <c r="E5565" s="67" t="n">
        <f aca="false">Pressupostos!$C$46</f>
        <v>0</v>
      </c>
      <c r="F5565" s="67" t="n">
        <f aca="false">Pressupostos!$C$46</f>
        <v>0</v>
      </c>
      <c r="G5565" s="67" t="n">
        <f aca="false">Pressupostos!$C$46</f>
        <v>0</v>
      </c>
      <c r="H5565" s="2" t="s">
        <v>1219</v>
      </c>
    </row>
    <row r="5566" customFormat="false" ht="15" hidden="false" customHeight="false" outlineLevel="1" collapsed="false">
      <c r="A5566" s="7" t="s">
        <v>91</v>
      </c>
      <c r="B5566" s="8" t="s">
        <v>79</v>
      </c>
      <c r="C5566" s="69" t="n">
        <f aca="false">Pressupostos!$F$23</f>
        <v>30</v>
      </c>
      <c r="D5566" s="69" t="n">
        <f aca="false">Pressupostos!$F$23</f>
        <v>30</v>
      </c>
      <c r="E5566" s="69" t="n">
        <f aca="false">Pressupostos!$F$23</f>
        <v>30</v>
      </c>
      <c r="F5566" s="69" t="n">
        <f aca="false">Pressupostos!$F$23</f>
        <v>30</v>
      </c>
      <c r="G5566" s="69" t="n">
        <f aca="false">Pressupostos!$F$23</f>
        <v>30</v>
      </c>
      <c r="H5566" s="2" t="s">
        <v>1220</v>
      </c>
    </row>
    <row r="5567" customFormat="false" ht="15" hidden="false" customHeight="false" outlineLevel="1" collapsed="false">
      <c r="A5567" s="7" t="s">
        <v>78</v>
      </c>
      <c r="B5567" s="8" t="s">
        <v>79</v>
      </c>
      <c r="C5567" s="69" t="n">
        <f aca="false">Pressupostos!$F$24</f>
        <v>55</v>
      </c>
      <c r="D5567" s="69" t="n">
        <f aca="false">Pressupostos!$F$24</f>
        <v>55</v>
      </c>
      <c r="E5567" s="69" t="n">
        <f aca="false">Pressupostos!$F$24</f>
        <v>55</v>
      </c>
      <c r="F5567" s="69" t="n">
        <f aca="false">Pressupostos!$F$24</f>
        <v>55</v>
      </c>
      <c r="G5567" s="69" t="n">
        <f aca="false">Pressupostos!$F$24</f>
        <v>55</v>
      </c>
      <c r="H5567" s="2" t="s">
        <v>1221</v>
      </c>
    </row>
    <row r="5568" customFormat="false" ht="15" hidden="false" customHeight="false" outlineLevel="1" collapsed="false">
      <c r="A5568" s="7" t="s">
        <v>490</v>
      </c>
      <c r="B5568" s="8" t="s">
        <v>64</v>
      </c>
      <c r="C5568" s="63" t="n">
        <f aca="false">Pressupostos!$C$66*C5566/30/1000</f>
        <v>0.004</v>
      </c>
      <c r="D5568" s="63" t="n">
        <f aca="false">Pressupostos!$C$66*D5566/30/1000</f>
        <v>0.004</v>
      </c>
      <c r="E5568" s="63" t="n">
        <f aca="false">Pressupostos!$C$66*E5566/30/1000</f>
        <v>0.004</v>
      </c>
      <c r="F5568" s="63" t="n">
        <f aca="false">Pressupostos!$C$66*F5566/30/1000</f>
        <v>0.004</v>
      </c>
      <c r="G5568" s="63" t="n">
        <f aca="false">Pressupostos!$C$66*G5566/30/1000</f>
        <v>0.004</v>
      </c>
      <c r="H5568" s="2" t="s">
        <v>1222</v>
      </c>
    </row>
    <row r="5569" customFormat="false" ht="15" hidden="false" customHeight="false" outlineLevel="1" collapsed="false">
      <c r="A5569" s="7" t="s">
        <v>165</v>
      </c>
      <c r="B5569" s="8" t="s">
        <v>64</v>
      </c>
      <c r="C5569" s="63" t="n">
        <f aca="false">C5560*Pressupostos!$C$67*C5566/365</f>
        <v>0.000591780821917808</v>
      </c>
      <c r="D5569" s="63" t="n">
        <f aca="false">D5560*Pressupostos!$C$67*D5566/365</f>
        <v>0.000591780821917808</v>
      </c>
      <c r="E5569" s="63" t="n">
        <f aca="false">E5560*Pressupostos!$C$67*E5566/365</f>
        <v>0.000591780821917808</v>
      </c>
      <c r="F5569" s="63" t="n">
        <f aca="false">F5560*Pressupostos!$C$67*F5566/365</f>
        <v>0.000591780821917808</v>
      </c>
      <c r="G5569" s="63" t="n">
        <f aca="false">G5560*Pressupostos!$C$67*G5566/365</f>
        <v>0.000591780821917808</v>
      </c>
      <c r="H5569" s="2" t="s">
        <v>1223</v>
      </c>
    </row>
    <row r="5570" customFormat="false" ht="15" hidden="false" customHeight="false" outlineLevel="1" collapsed="false">
      <c r="A5570" s="7" t="s">
        <v>672</v>
      </c>
      <c r="B5570" s="8" t="s">
        <v>64</v>
      </c>
      <c r="C5570" s="63" t="n">
        <f aca="false">Pressupostos!$C$48*Pressupostos!$C$68/(Pressupostos!$C$47*1000)</f>
        <v>0.02</v>
      </c>
      <c r="D5570" s="63" t="n">
        <f aca="false">Pressupostos!$C$48*Pressupostos!$C$68/(Pressupostos!$C$47*1000)</f>
        <v>0.02</v>
      </c>
      <c r="E5570" s="63" t="n">
        <f aca="false">Pressupostos!$C$48*Pressupostos!$C$68/(Pressupostos!$C$47*1000)</f>
        <v>0.02</v>
      </c>
      <c r="F5570" s="63" t="n">
        <f aca="false">Pressupostos!$C$48*Pressupostos!$C$68/(Pressupostos!$C$47*1000)</f>
        <v>0.02</v>
      </c>
      <c r="G5570" s="63" t="n">
        <f aca="false">Pressupostos!$C$48*Pressupostos!$C$68/(Pressupostos!$C$47*1000)</f>
        <v>0.02</v>
      </c>
      <c r="H5570" s="2" t="s">
        <v>1224</v>
      </c>
    </row>
    <row r="5571" customFormat="false" ht="15" hidden="false" customHeight="false" outlineLevel="1" collapsed="false">
      <c r="A5571" s="7" t="s">
        <v>492</v>
      </c>
      <c r="B5571" s="8" t="s">
        <v>64</v>
      </c>
      <c r="C5571" s="63" t="n">
        <f aca="false">Pressupostos!$C$69*C5560</f>
        <v>0.018</v>
      </c>
      <c r="D5571" s="63" t="n">
        <f aca="false">Pressupostos!$C$69*D5560</f>
        <v>0.018</v>
      </c>
      <c r="E5571" s="63" t="n">
        <f aca="false">Pressupostos!$C$69*E5560</f>
        <v>0.018</v>
      </c>
      <c r="F5571" s="63" t="n">
        <f aca="false">Pressupostos!$C$69*F5560</f>
        <v>0.018</v>
      </c>
      <c r="G5571" s="63" t="n">
        <f aca="false">Pressupostos!$C$69*G5560</f>
        <v>0.018</v>
      </c>
      <c r="H5571" s="2" t="s">
        <v>1225</v>
      </c>
    </row>
    <row r="5572" customFormat="false" ht="15" hidden="false" customHeight="false" outlineLevel="1" collapsed="false">
      <c r="A5572" s="7" t="s">
        <v>493</v>
      </c>
      <c r="B5572" s="8" t="s">
        <v>64</v>
      </c>
      <c r="C5572" s="63" t="n">
        <f aca="false">Pressupostos!$C$70*Pressupostos!$C$71*C5566/90</f>
        <v>0.003</v>
      </c>
      <c r="D5572" s="63" t="n">
        <f aca="false">Pressupostos!$C$70*Pressupostos!$C$71*D5566/90</f>
        <v>0.003</v>
      </c>
      <c r="E5572" s="63" t="n">
        <f aca="false">Pressupostos!$C$70*Pressupostos!$C$71*E5566/90</f>
        <v>0.003</v>
      </c>
      <c r="F5572" s="63" t="n">
        <f aca="false">Pressupostos!$C$70*Pressupostos!$C$71*F5566/90</f>
        <v>0.003</v>
      </c>
      <c r="G5572" s="63" t="n">
        <f aca="false">Pressupostos!$C$70*Pressupostos!$C$71*G5566/90</f>
        <v>0.003</v>
      </c>
      <c r="H5572" s="2" t="s">
        <v>1226</v>
      </c>
    </row>
    <row r="5573" customFormat="false" ht="15" hidden="false" customHeight="false" outlineLevel="1" collapsed="false">
      <c r="A5573" s="7" t="s">
        <v>673</v>
      </c>
      <c r="B5573" s="8" t="s">
        <v>64</v>
      </c>
      <c r="C5573" s="63" t="n">
        <f aca="false">Pressupostos!$C$49/(Pressupostos!$C$47*1000)</f>
        <v>0.04</v>
      </c>
      <c r="D5573" s="63" t="n">
        <f aca="false">Pressupostos!$C$49/(Pressupostos!$C$47*1000)</f>
        <v>0.04</v>
      </c>
      <c r="E5573" s="63" t="n">
        <f aca="false">Pressupostos!$C$49/(Pressupostos!$C$47*1000)</f>
        <v>0.04</v>
      </c>
      <c r="F5573" s="63" t="n">
        <f aca="false">Pressupostos!$C$49/(Pressupostos!$C$47*1000)</f>
        <v>0.04</v>
      </c>
      <c r="G5573" s="63" t="n">
        <f aca="false">Pressupostos!$C$49/(Pressupostos!$C$47*1000)</f>
        <v>0.04</v>
      </c>
      <c r="H5573" s="2" t="s">
        <v>1227</v>
      </c>
    </row>
    <row r="5574" customFormat="false" ht="15" hidden="false" customHeight="false" outlineLevel="1" collapsed="false">
      <c r="A5574" s="7" t="s">
        <v>139</v>
      </c>
      <c r="B5574" s="8" t="s">
        <v>64</v>
      </c>
      <c r="C5574" s="67" t="n">
        <f aca="false">Pressupostos!$C$50</f>
        <v>0.005</v>
      </c>
      <c r="D5574" s="67" t="n">
        <f aca="false">Pressupostos!$C$50</f>
        <v>0.005</v>
      </c>
      <c r="E5574" s="67" t="n">
        <f aca="false">Pressupostos!$C$50</f>
        <v>0.005</v>
      </c>
      <c r="F5574" s="67" t="n">
        <f aca="false">Pressupostos!$C$50</f>
        <v>0.005</v>
      </c>
      <c r="G5574" s="67" t="n">
        <f aca="false">Pressupostos!$C$50</f>
        <v>0.005</v>
      </c>
      <c r="H5574" s="2" t="s">
        <v>1228</v>
      </c>
    </row>
    <row r="5575" customFormat="false" ht="15" hidden="false" customHeight="false" outlineLevel="1" collapsed="false">
      <c r="A5575" s="7" t="s">
        <v>81</v>
      </c>
      <c r="B5575" s="8" t="s">
        <v>64</v>
      </c>
      <c r="C5575" s="63" t="n">
        <f aca="false">Pressupostos!$F$25*C5562</f>
        <v>0.01335</v>
      </c>
      <c r="D5575" s="63" t="n">
        <f aca="false">Pressupostos!$F$25*D5562</f>
        <v>0.01335</v>
      </c>
      <c r="E5575" s="63" t="n">
        <f aca="false">Pressupostos!$F$25*E5562</f>
        <v>0.01335</v>
      </c>
      <c r="F5575" s="63" t="n">
        <f aca="false">Pressupostos!$F$25*F5562</f>
        <v>0.01335</v>
      </c>
      <c r="G5575" s="63" t="n">
        <f aca="false">Pressupostos!$F$25*G5562</f>
        <v>0.01335</v>
      </c>
      <c r="H5575" s="2" t="s">
        <v>1229</v>
      </c>
    </row>
    <row r="5576" customFormat="false" ht="15" hidden="false" customHeight="false" outlineLevel="1" collapsed="false">
      <c r="A5576" s="7" t="s">
        <v>674</v>
      </c>
      <c r="B5576" s="8" t="s">
        <v>64</v>
      </c>
      <c r="C5576" s="63" t="n">
        <f aca="false">Pressupostos!$C$73*C5562</f>
        <v>0</v>
      </c>
      <c r="D5576" s="63" t="n">
        <f aca="false">Pressupostos!$C$73*D5562</f>
        <v>0</v>
      </c>
      <c r="E5576" s="63" t="n">
        <f aca="false">Pressupostos!$C$73*E5562</f>
        <v>0</v>
      </c>
      <c r="F5576" s="63" t="n">
        <f aca="false">Pressupostos!$C$73*F5562</f>
        <v>0</v>
      </c>
      <c r="G5576" s="63" t="n">
        <f aca="false">Pressupostos!$C$73*G5562</f>
        <v>0</v>
      </c>
      <c r="H5576" s="2" t="s">
        <v>1230</v>
      </c>
    </row>
    <row r="5577" customFormat="false" ht="15" hidden="false" customHeight="false" outlineLevel="1" collapsed="false">
      <c r="A5577" s="7" t="s">
        <v>675</v>
      </c>
      <c r="B5577" s="8" t="s">
        <v>64</v>
      </c>
      <c r="C5577" s="63" t="n">
        <f aca="false">Pressupostos!$C$290*(C5560+C5563)*(C5566+C5567-Pressupostos!$C$72)/365*Pressupostos!$C$284/Pressupostos!$F$31</f>
        <v>0</v>
      </c>
      <c r="D5577" s="63" t="n">
        <f aca="false">Pressupostos!$D$290*(D5560+D5563)*(D5566+D5567-Pressupostos!$C$72)/365*Pressupostos!$D$284/Pressupostos!$F$31</f>
        <v>0.0457705479452055</v>
      </c>
      <c r="E5577" s="63" t="n">
        <f aca="false">Pressupostos!$E$290*(E5560+E5563)*(E5566+E5567-Pressupostos!$C$72)/365*Pressupostos!$E$284/Pressupostos!$F$31</f>
        <v>0.0429098886986301</v>
      </c>
      <c r="F5577" s="63" t="n">
        <f aca="false">Pressupostos!$F$290*(F5560+F5563)*(F5566+F5567-Pressupostos!$C$72)/365*Pressupostos!$F$284/Pressupostos!$F$31</f>
        <v>0.0400492294520548</v>
      </c>
      <c r="G5577" s="63" t="n">
        <f aca="false">Pressupostos!$G$290*(G5560+G5563)*(G5566+G5567-Pressupostos!$C$72)/365*Pressupostos!$G$284/Pressupostos!$F$31</f>
        <v>0.0400492294520548</v>
      </c>
      <c r="H5577" s="2" t="s">
        <v>1231</v>
      </c>
    </row>
    <row r="5578" customFormat="false" ht="15" hidden="false" customHeight="false" outlineLevel="1" collapsed="false">
      <c r="A5578" s="7" t="s">
        <v>676</v>
      </c>
      <c r="B5578" s="8" t="s">
        <v>64</v>
      </c>
      <c r="C5578" s="63" t="n">
        <f aca="false">C5560+C5563+C5564+C5565+C5568+C5569+C5570+C5571+C5572+C5573+C5574+C5575+C5576+C5577</f>
        <v>4.25394178082192</v>
      </c>
      <c r="D5578" s="63" t="n">
        <f aca="false">D5560+D5563+D5564+D5565+D5568+D5569+D5570+D5571+D5572+D5573+D5574+D5575+D5576+D5577</f>
        <v>4.29971232876712</v>
      </c>
      <c r="E5578" s="63" t="n">
        <f aca="false">E5560+E5563+E5564+E5565+E5568+E5569+E5570+E5571+E5572+E5573+E5574+E5575+E5576+E5577</f>
        <v>4.28685166952055</v>
      </c>
      <c r="F5578" s="63" t="n">
        <f aca="false">F5560+F5563+F5564+F5565+F5568+F5569+F5570+F5571+F5572+F5573+F5574+F5575+F5576+F5577</f>
        <v>4.28399101027397</v>
      </c>
      <c r="G5578" s="63" t="n">
        <f aca="false">G5560+G5563+G5564+G5565+G5568+G5569+G5570+G5571+G5572+G5573+G5574+G5575+G5576+G5577</f>
        <v>4.28399101027397</v>
      </c>
      <c r="H5578" s="2" t="s">
        <v>1232</v>
      </c>
    </row>
    <row r="5579" customFormat="false" ht="15" hidden="false" customHeight="false" outlineLevel="1" collapsed="false">
      <c r="A5579" s="56" t="s">
        <v>677</v>
      </c>
      <c r="B5579" s="57" t="s">
        <v>64</v>
      </c>
      <c r="C5579" s="68" t="n">
        <f aca="false">C5562-C5578</f>
        <v>0.196058219178083</v>
      </c>
      <c r="D5579" s="68" t="n">
        <f aca="false">D5562-D5578</f>
        <v>0.150287671232877</v>
      </c>
      <c r="E5579" s="68" t="n">
        <f aca="false">E5562-E5578</f>
        <v>0.163148330479452</v>
      </c>
      <c r="F5579" s="68" t="n">
        <f aca="false">F5562-F5578</f>
        <v>0.166008989726028</v>
      </c>
      <c r="G5579" s="68" t="n">
        <f aca="false">G5562-G5578</f>
        <v>0.166008989726028</v>
      </c>
      <c r="H5579" s="2" t="s">
        <v>1233</v>
      </c>
    </row>
    <row r="5580" customFormat="false" ht="15" hidden="false" customHeight="false" outlineLevel="1" collapsed="false">
      <c r="A5580" s="7" t="s">
        <v>678</v>
      </c>
      <c r="B5580" s="8" t="s">
        <v>76</v>
      </c>
      <c r="C5580" s="59" t="n">
        <f aca="false">IF(C5562&gt;0,C5579/C5562,0)</f>
        <v>0.0440580267815916</v>
      </c>
      <c r="D5580" s="59" t="n">
        <f aca="false">IF(D5562&gt;0,D5579/D5562,0)</f>
        <v>0.0337725103894105</v>
      </c>
      <c r="E5580" s="59" t="n">
        <f aca="false">IF(E5562&gt;0,E5579/E5562,0)</f>
        <v>0.0366625461751578</v>
      </c>
      <c r="F5580" s="59" t="n">
        <f aca="false">IF(F5562&gt;0,F5579/F5562,0)</f>
        <v>0.0373053909496692</v>
      </c>
      <c r="G5580" s="59" t="n">
        <f aca="false">IF(G5562&gt;0,G5579/G5562,0)</f>
        <v>0.0373053909496692</v>
      </c>
      <c r="H5580" s="2" t="s">
        <v>1234</v>
      </c>
    </row>
    <row r="5581" customFormat="false" ht="15" hidden="false" customHeight="false" outlineLevel="1" collapsed="false">
      <c r="A5581" s="7" t="s">
        <v>679</v>
      </c>
      <c r="B5581" s="8" t="s">
        <v>64</v>
      </c>
      <c r="C5581" s="63" t="n">
        <f aca="false">(C5560+C5563)*(C5566-Pressupostos!$C$72)/365+C5562*C5567/365</f>
        <v>0.670547945205479</v>
      </c>
      <c r="D5581" s="63" t="n">
        <f aca="false">(D5560+D5563)*(D5566-Pressupostos!$C$72)/365+D5562*D5567/365</f>
        <v>0.670547945205479</v>
      </c>
      <c r="E5581" s="63" t="n">
        <f aca="false">(E5560+E5563)*(E5566-Pressupostos!$C$72)/365+E5562*E5567/365</f>
        <v>0.670547945205479</v>
      </c>
      <c r="F5581" s="63" t="n">
        <f aca="false">(F5560+F5563)*(F5566-Pressupostos!$C$72)/365+F5562*F5567/365</f>
        <v>0.670547945205479</v>
      </c>
      <c r="G5581" s="63" t="n">
        <f aca="false">(G5560+G5563)*(G5566-Pressupostos!$C$72)/365+G5562*G5567/365</f>
        <v>0.670547945205479</v>
      </c>
      <c r="H5581" s="2" t="s">
        <v>1235</v>
      </c>
    </row>
    <row r="5582" customFormat="false" ht="15" hidden="false" customHeight="false" outlineLevel="0" collapsed="false">
      <c r="A5582" s="3" t="s">
        <v>1236</v>
      </c>
      <c r="B5582" s="4"/>
      <c r="C5582" s="4"/>
      <c r="D5582" s="4"/>
      <c r="E5582" s="4"/>
      <c r="F5582" s="4"/>
      <c r="G5582" s="4"/>
      <c r="H5582" s="4"/>
    </row>
    <row r="5583" customFormat="false" ht="15" hidden="false" customHeight="false" outlineLevel="1" collapsed="false">
      <c r="A5583" s="7" t="s">
        <v>669</v>
      </c>
      <c r="B5583" s="8" t="s">
        <v>64</v>
      </c>
      <c r="C5583" s="63" t="n">
        <f aca="false">Pressupostos!$F$10+Pressupostos!$F$13</f>
        <v>3.5</v>
      </c>
      <c r="D5583" s="63" t="n">
        <f aca="false">Pressupostos!$F$10+Pressupostos!$F$13</f>
        <v>3.5</v>
      </c>
      <c r="E5583" s="63" t="n">
        <f aca="false">Pressupostos!$F$10+Pressupostos!$F$13</f>
        <v>3.5</v>
      </c>
      <c r="F5583" s="63" t="n">
        <f aca="false">Pressupostos!$F$10+Pressupostos!$F$13</f>
        <v>3.5</v>
      </c>
      <c r="G5583" s="63" t="n">
        <f aca="false">Pressupostos!$F$10+Pressupostos!$F$13</f>
        <v>3.5</v>
      </c>
      <c r="H5583" s="2" t="s">
        <v>1237</v>
      </c>
    </row>
    <row r="5584" customFormat="false" ht="15" hidden="false" customHeight="false" outlineLevel="1" collapsed="false">
      <c r="A5584" s="7" t="s">
        <v>670</v>
      </c>
      <c r="B5584" s="8" t="s">
        <v>64</v>
      </c>
      <c r="C5584" s="63" t="n">
        <f aca="false">Pressupostos!$F$10+Pressupostos!$C$52</f>
        <v>3.65</v>
      </c>
      <c r="D5584" s="63" t="n">
        <f aca="false">Pressupostos!$F$10+Pressupostos!$C$52</f>
        <v>3.65</v>
      </c>
      <c r="E5584" s="63" t="n">
        <f aca="false">Pressupostos!$F$10+Pressupostos!$C$52</f>
        <v>3.65</v>
      </c>
      <c r="F5584" s="63" t="n">
        <f aca="false">Pressupostos!$F$10+Pressupostos!$C$52</f>
        <v>3.65</v>
      </c>
      <c r="G5584" s="63" t="n">
        <f aca="false">Pressupostos!$F$10+Pressupostos!$C$52</f>
        <v>3.65</v>
      </c>
      <c r="H5584" s="2" t="s">
        <v>1238</v>
      </c>
    </row>
    <row r="5585" customFormat="false" ht="15" hidden="false" customHeight="false" outlineLevel="1" collapsed="false">
      <c r="A5585" s="56" t="s">
        <v>671</v>
      </c>
      <c r="B5585" s="57" t="s">
        <v>64</v>
      </c>
      <c r="C5585" s="68" t="n">
        <f aca="false">C5584*(1-Pressupostos!$C$53)</f>
        <v>3.65</v>
      </c>
      <c r="D5585" s="68" t="n">
        <f aca="false">D5584*(1-Pressupostos!$C$53)</f>
        <v>3.65</v>
      </c>
      <c r="E5585" s="68" t="n">
        <f aca="false">E5584*(1-Pressupostos!$C$53)</f>
        <v>3.65</v>
      </c>
      <c r="F5585" s="68" t="n">
        <f aca="false">F5584*(1-Pressupostos!$C$53)</f>
        <v>3.65</v>
      </c>
      <c r="G5585" s="68" t="n">
        <f aca="false">G5584*(1-Pressupostos!$C$53)</f>
        <v>3.65</v>
      </c>
      <c r="H5585" s="2" t="s">
        <v>1239</v>
      </c>
    </row>
    <row r="5586" customFormat="false" ht="15" hidden="false" customHeight="false" outlineLevel="1" collapsed="false">
      <c r="A5586" s="7" t="s">
        <v>144</v>
      </c>
      <c r="B5586" s="8" t="s">
        <v>64</v>
      </c>
      <c r="C5586" s="67" t="n">
        <f aca="false">Pressupostos!$C$54</f>
        <v>0</v>
      </c>
      <c r="D5586" s="67" t="n">
        <f aca="false">Pressupostos!$C$54</f>
        <v>0</v>
      </c>
      <c r="E5586" s="67" t="n">
        <f aca="false">Pressupostos!$C$54</f>
        <v>0</v>
      </c>
      <c r="F5586" s="67" t="n">
        <f aca="false">Pressupostos!$C$54</f>
        <v>0</v>
      </c>
      <c r="G5586" s="67" t="n">
        <f aca="false">Pressupostos!$C$54</f>
        <v>0</v>
      </c>
      <c r="H5586" s="2" t="s">
        <v>1240</v>
      </c>
    </row>
    <row r="5587" customFormat="false" ht="15" hidden="false" customHeight="false" outlineLevel="1" collapsed="false">
      <c r="A5587" s="7" t="s">
        <v>215</v>
      </c>
      <c r="B5587" s="8" t="s">
        <v>64</v>
      </c>
      <c r="C5587" s="67" t="n">
        <f aca="false">Pressupostos!$C$55</f>
        <v>0.04</v>
      </c>
      <c r="D5587" s="67" t="n">
        <f aca="false">Pressupostos!$C$55</f>
        <v>0.04</v>
      </c>
      <c r="E5587" s="67" t="n">
        <f aca="false">Pressupostos!$C$55</f>
        <v>0.04</v>
      </c>
      <c r="F5587" s="67" t="n">
        <f aca="false">Pressupostos!$C$55</f>
        <v>0.04</v>
      </c>
      <c r="G5587" s="67" t="n">
        <f aca="false">Pressupostos!$C$55</f>
        <v>0.04</v>
      </c>
      <c r="H5587" s="2" t="s">
        <v>1241</v>
      </c>
    </row>
    <row r="5588" customFormat="false" ht="15" hidden="false" customHeight="false" outlineLevel="1" collapsed="false">
      <c r="A5588" s="7" t="s">
        <v>117</v>
      </c>
      <c r="B5588" s="8" t="s">
        <v>64</v>
      </c>
      <c r="C5588" s="67" t="n">
        <f aca="false">Pressupostos!$C$56</f>
        <v>0</v>
      </c>
      <c r="D5588" s="67" t="n">
        <f aca="false">Pressupostos!$C$56</f>
        <v>0</v>
      </c>
      <c r="E5588" s="67" t="n">
        <f aca="false">Pressupostos!$C$56</f>
        <v>0</v>
      </c>
      <c r="F5588" s="67" t="n">
        <f aca="false">Pressupostos!$C$56</f>
        <v>0</v>
      </c>
      <c r="G5588" s="67" t="n">
        <f aca="false">Pressupostos!$C$56</f>
        <v>0</v>
      </c>
      <c r="H5588" s="2" t="s">
        <v>1242</v>
      </c>
    </row>
    <row r="5589" customFormat="false" ht="15" hidden="false" customHeight="false" outlineLevel="1" collapsed="false">
      <c r="A5589" s="7" t="s">
        <v>91</v>
      </c>
      <c r="B5589" s="8" t="s">
        <v>79</v>
      </c>
      <c r="C5589" s="69" t="n">
        <f aca="false">Pressupostos!$C$57</f>
        <v>15</v>
      </c>
      <c r="D5589" s="69" t="n">
        <f aca="false">Pressupostos!$C$57</f>
        <v>15</v>
      </c>
      <c r="E5589" s="69" t="n">
        <f aca="false">Pressupostos!$C$57</f>
        <v>15</v>
      </c>
      <c r="F5589" s="69" t="n">
        <f aca="false">Pressupostos!$C$57</f>
        <v>15</v>
      </c>
      <c r="G5589" s="69" t="n">
        <f aca="false">Pressupostos!$C$57</f>
        <v>15</v>
      </c>
      <c r="H5589" s="2" t="s">
        <v>1243</v>
      </c>
    </row>
    <row r="5590" customFormat="false" ht="15" hidden="false" customHeight="false" outlineLevel="1" collapsed="false">
      <c r="A5590" s="7" t="s">
        <v>78</v>
      </c>
      <c r="B5590" s="8" t="s">
        <v>79</v>
      </c>
      <c r="C5590" s="69" t="n">
        <f aca="false">Pressupostos!$C$58</f>
        <v>45</v>
      </c>
      <c r="D5590" s="69" t="n">
        <f aca="false">Pressupostos!$C$58</f>
        <v>45</v>
      </c>
      <c r="E5590" s="69" t="n">
        <f aca="false">Pressupostos!$C$58</f>
        <v>45</v>
      </c>
      <c r="F5590" s="69" t="n">
        <f aca="false">Pressupostos!$C$58</f>
        <v>45</v>
      </c>
      <c r="G5590" s="69" t="n">
        <f aca="false">Pressupostos!$C$58</f>
        <v>45</v>
      </c>
      <c r="H5590" s="2" t="s">
        <v>1244</v>
      </c>
    </row>
    <row r="5591" customFormat="false" ht="15" hidden="false" customHeight="false" outlineLevel="1" collapsed="false">
      <c r="A5591" s="7" t="s">
        <v>490</v>
      </c>
      <c r="B5591" s="8" t="s">
        <v>64</v>
      </c>
      <c r="C5591" s="63" t="n">
        <f aca="false">Pressupostos!$C$66*C5589/30/1000</f>
        <v>0.002</v>
      </c>
      <c r="D5591" s="63" t="n">
        <f aca="false">Pressupostos!$C$66*D5589/30/1000</f>
        <v>0.002</v>
      </c>
      <c r="E5591" s="63" t="n">
        <f aca="false">Pressupostos!$C$66*E5589/30/1000</f>
        <v>0.002</v>
      </c>
      <c r="F5591" s="63" t="n">
        <f aca="false">Pressupostos!$C$66*F5589/30/1000</f>
        <v>0.002</v>
      </c>
      <c r="G5591" s="63" t="n">
        <f aca="false">Pressupostos!$C$66*G5589/30/1000</f>
        <v>0.002</v>
      </c>
      <c r="H5591" s="2" t="s">
        <v>1245</v>
      </c>
    </row>
    <row r="5592" customFormat="false" ht="15" hidden="false" customHeight="false" outlineLevel="1" collapsed="false">
      <c r="A5592" s="7" t="s">
        <v>165</v>
      </c>
      <c r="B5592" s="8" t="s">
        <v>64</v>
      </c>
      <c r="C5592" s="63" t="n">
        <f aca="false">C5583*Pressupostos!$C$67*C5589/365</f>
        <v>0.000287671232876712</v>
      </c>
      <c r="D5592" s="63" t="n">
        <f aca="false">D5583*Pressupostos!$C$67*D5589/365</f>
        <v>0.000287671232876712</v>
      </c>
      <c r="E5592" s="63" t="n">
        <f aca="false">E5583*Pressupostos!$C$67*E5589/365</f>
        <v>0.000287671232876712</v>
      </c>
      <c r="F5592" s="63" t="n">
        <f aca="false">F5583*Pressupostos!$C$67*F5589/365</f>
        <v>0.000287671232876712</v>
      </c>
      <c r="G5592" s="63" t="n">
        <f aca="false">G5583*Pressupostos!$C$67*G5589/365</f>
        <v>0.000287671232876712</v>
      </c>
      <c r="H5592" s="2" t="s">
        <v>1246</v>
      </c>
    </row>
    <row r="5593" customFormat="false" ht="15" hidden="false" customHeight="false" outlineLevel="1" collapsed="false">
      <c r="A5593" s="7" t="s">
        <v>672</v>
      </c>
      <c r="B5593" s="8" t="s">
        <v>64</v>
      </c>
      <c r="C5593" s="63" t="n">
        <f aca="false">Pressupostos!$C$60*Pressupostos!$C$68/(Pressupostos!$C$59*1000)</f>
        <v>0.006</v>
      </c>
      <c r="D5593" s="63" t="n">
        <f aca="false">Pressupostos!$C$60*Pressupostos!$C$68/(Pressupostos!$C$59*1000)</f>
        <v>0.006</v>
      </c>
      <c r="E5593" s="63" t="n">
        <f aca="false">Pressupostos!$C$60*Pressupostos!$C$68/(Pressupostos!$C$59*1000)</f>
        <v>0.006</v>
      </c>
      <c r="F5593" s="63" t="n">
        <f aca="false">Pressupostos!$C$60*Pressupostos!$C$68/(Pressupostos!$C$59*1000)</f>
        <v>0.006</v>
      </c>
      <c r="G5593" s="63" t="n">
        <f aca="false">Pressupostos!$C$60*Pressupostos!$C$68/(Pressupostos!$C$59*1000)</f>
        <v>0.006</v>
      </c>
      <c r="H5593" s="2" t="s">
        <v>1247</v>
      </c>
    </row>
    <row r="5594" customFormat="false" ht="15" hidden="false" customHeight="false" outlineLevel="1" collapsed="false">
      <c r="A5594" s="7" t="s">
        <v>492</v>
      </c>
      <c r="B5594" s="8" t="s">
        <v>64</v>
      </c>
      <c r="C5594" s="63" t="n">
        <f aca="false">Pressupostos!$C$69*C5583</f>
        <v>0.0175</v>
      </c>
      <c r="D5594" s="63" t="n">
        <f aca="false">Pressupostos!$C$69*D5583</f>
        <v>0.0175</v>
      </c>
      <c r="E5594" s="63" t="n">
        <f aca="false">Pressupostos!$C$69*E5583</f>
        <v>0.0175</v>
      </c>
      <c r="F5594" s="63" t="n">
        <f aca="false">Pressupostos!$C$69*F5583</f>
        <v>0.0175</v>
      </c>
      <c r="G5594" s="63" t="n">
        <f aca="false">Pressupostos!$C$69*G5583</f>
        <v>0.0175</v>
      </c>
      <c r="H5594" s="2" t="s">
        <v>1248</v>
      </c>
    </row>
    <row r="5595" customFormat="false" ht="15" hidden="false" customHeight="false" outlineLevel="1" collapsed="false">
      <c r="A5595" s="7" t="s">
        <v>493</v>
      </c>
      <c r="B5595" s="8" t="s">
        <v>64</v>
      </c>
      <c r="C5595" s="63" t="n">
        <f aca="false">Pressupostos!$C$70*Pressupostos!$C$71*C5589/90</f>
        <v>0.0015</v>
      </c>
      <c r="D5595" s="63" t="n">
        <f aca="false">Pressupostos!$C$70*Pressupostos!$C$71*D5589/90</f>
        <v>0.0015</v>
      </c>
      <c r="E5595" s="63" t="n">
        <f aca="false">Pressupostos!$C$70*Pressupostos!$C$71*E5589/90</f>
        <v>0.0015</v>
      </c>
      <c r="F5595" s="63" t="n">
        <f aca="false">Pressupostos!$C$70*Pressupostos!$C$71*F5589/90</f>
        <v>0.0015</v>
      </c>
      <c r="G5595" s="63" t="n">
        <f aca="false">Pressupostos!$C$70*Pressupostos!$C$71*G5589/90</f>
        <v>0.0015</v>
      </c>
      <c r="H5595" s="2" t="s">
        <v>1249</v>
      </c>
    </row>
    <row r="5596" customFormat="false" ht="15" hidden="false" customHeight="false" outlineLevel="1" collapsed="false">
      <c r="A5596" s="7" t="s">
        <v>673</v>
      </c>
      <c r="B5596" s="8" t="s">
        <v>64</v>
      </c>
      <c r="C5596" s="63" t="n">
        <f aca="false">Pressupostos!$C$61/(Pressupostos!$C$59*1000)</f>
        <v>0.012</v>
      </c>
      <c r="D5596" s="63" t="n">
        <f aca="false">Pressupostos!$C$61/(Pressupostos!$C$59*1000)</f>
        <v>0.012</v>
      </c>
      <c r="E5596" s="63" t="n">
        <f aca="false">Pressupostos!$C$61/(Pressupostos!$C$59*1000)</f>
        <v>0.012</v>
      </c>
      <c r="F5596" s="63" t="n">
        <f aca="false">Pressupostos!$C$61/(Pressupostos!$C$59*1000)</f>
        <v>0.012</v>
      </c>
      <c r="G5596" s="63" t="n">
        <f aca="false">Pressupostos!$C$61/(Pressupostos!$C$59*1000)</f>
        <v>0.012</v>
      </c>
      <c r="H5596" s="2" t="s">
        <v>1250</v>
      </c>
    </row>
    <row r="5597" customFormat="false" ht="15" hidden="false" customHeight="false" outlineLevel="1" collapsed="false">
      <c r="A5597" s="7" t="s">
        <v>139</v>
      </c>
      <c r="B5597" s="8" t="s">
        <v>64</v>
      </c>
      <c r="C5597" s="67" t="n">
        <f aca="false">Pressupostos!$C$62</f>
        <v>0.001</v>
      </c>
      <c r="D5597" s="67" t="n">
        <f aca="false">Pressupostos!$C$62</f>
        <v>0.001</v>
      </c>
      <c r="E5597" s="67" t="n">
        <f aca="false">Pressupostos!$C$62</f>
        <v>0.001</v>
      </c>
      <c r="F5597" s="67" t="n">
        <f aca="false">Pressupostos!$C$62</f>
        <v>0.001</v>
      </c>
      <c r="G5597" s="67" t="n">
        <f aca="false">Pressupostos!$C$62</f>
        <v>0.001</v>
      </c>
      <c r="H5597" s="2" t="s">
        <v>1251</v>
      </c>
    </row>
    <row r="5598" customFormat="false" ht="15" hidden="false" customHeight="false" outlineLevel="1" collapsed="false">
      <c r="A5598" s="7" t="s">
        <v>81</v>
      </c>
      <c r="B5598" s="8" t="s">
        <v>64</v>
      </c>
      <c r="C5598" s="63" t="n">
        <f aca="false">Pressupostos!$C$63*C5585</f>
        <v>0.01095</v>
      </c>
      <c r="D5598" s="63" t="n">
        <f aca="false">Pressupostos!$C$63*D5585</f>
        <v>0.01095</v>
      </c>
      <c r="E5598" s="63" t="n">
        <f aca="false">Pressupostos!$C$63*E5585</f>
        <v>0.01095</v>
      </c>
      <c r="F5598" s="63" t="n">
        <f aca="false">Pressupostos!$C$63*F5585</f>
        <v>0.01095</v>
      </c>
      <c r="G5598" s="63" t="n">
        <f aca="false">Pressupostos!$C$63*G5585</f>
        <v>0.01095</v>
      </c>
      <c r="H5598" s="2" t="s">
        <v>1252</v>
      </c>
    </row>
    <row r="5599" customFormat="false" ht="15" hidden="false" customHeight="false" outlineLevel="1" collapsed="false">
      <c r="A5599" s="7" t="s">
        <v>674</v>
      </c>
      <c r="B5599" s="8" t="s">
        <v>64</v>
      </c>
      <c r="C5599" s="63" t="n">
        <f aca="false">Pressupostos!$C$73*C5585</f>
        <v>0</v>
      </c>
      <c r="D5599" s="63" t="n">
        <f aca="false">Pressupostos!$C$73*D5585</f>
        <v>0</v>
      </c>
      <c r="E5599" s="63" t="n">
        <f aca="false">Pressupostos!$C$73*E5585</f>
        <v>0</v>
      </c>
      <c r="F5599" s="63" t="n">
        <f aca="false">Pressupostos!$C$73*F5585</f>
        <v>0</v>
      </c>
      <c r="G5599" s="63" t="n">
        <f aca="false">Pressupostos!$C$73*G5585</f>
        <v>0</v>
      </c>
      <c r="H5599" s="2" t="s">
        <v>1253</v>
      </c>
    </row>
    <row r="5600" customFormat="false" ht="15" hidden="false" customHeight="false" outlineLevel="1" collapsed="false">
      <c r="A5600" s="7" t="s">
        <v>675</v>
      </c>
      <c r="B5600" s="8" t="s">
        <v>64</v>
      </c>
      <c r="C5600" s="63" t="n">
        <f aca="false">Pressupostos!$C$290*(C5583+C5586)*(C5589+C5590-Pressupostos!$C$72)/365*Pressupostos!$C$284/Pressupostos!$F$31</f>
        <v>0</v>
      </c>
      <c r="D5600" s="63" t="n">
        <f aca="false">Pressupostos!$D$290*(D5583+D5586)*(D5589+D5590-Pressupostos!$C$72)/365*Pressupostos!$D$284/Pressupostos!$F$31</f>
        <v>0.0215753424657534</v>
      </c>
      <c r="E5600" s="63" t="n">
        <f aca="false">Pressupostos!$E$290*(E5583+E5586)*(E5589+E5590-Pressupostos!$C$72)/365*Pressupostos!$E$284/Pressupostos!$F$31</f>
        <v>0.0202268835616438</v>
      </c>
      <c r="F5600" s="63" t="n">
        <f aca="false">Pressupostos!$F$290*(F5583+F5586)*(F5589+F5590-Pressupostos!$C$72)/365*Pressupostos!$F$284/Pressupostos!$F$31</f>
        <v>0.0188784246575342</v>
      </c>
      <c r="G5600" s="63" t="n">
        <f aca="false">Pressupostos!$G$290*(G5583+G5586)*(G5589+G5590-Pressupostos!$C$72)/365*Pressupostos!$G$284/Pressupostos!$F$31</f>
        <v>0.0188784246575342</v>
      </c>
      <c r="H5600" s="2" t="s">
        <v>1254</v>
      </c>
    </row>
    <row r="5601" customFormat="false" ht="15" hidden="false" customHeight="false" outlineLevel="1" collapsed="false">
      <c r="A5601" s="7" t="s">
        <v>676</v>
      </c>
      <c r="B5601" s="8" t="s">
        <v>64</v>
      </c>
      <c r="C5601" s="63" t="n">
        <f aca="false">C5583+C5586+C5587+C5588+C5591+C5592+C5593+C5594+C5595+C5596+C5597+C5598+C5599+C5600</f>
        <v>3.59123767123288</v>
      </c>
      <c r="D5601" s="63" t="n">
        <f aca="false">D5583+D5586+D5587+D5588+D5591+D5592+D5593+D5594+D5595+D5596+D5597+D5598+D5599+D5600</f>
        <v>3.61281301369863</v>
      </c>
      <c r="E5601" s="63" t="n">
        <f aca="false">E5583+E5586+E5587+E5588+E5591+E5592+E5593+E5594+E5595+E5596+E5597+E5598+E5599+E5600</f>
        <v>3.61146455479452</v>
      </c>
      <c r="F5601" s="63" t="n">
        <f aca="false">F5583+F5586+F5587+F5588+F5591+F5592+F5593+F5594+F5595+F5596+F5597+F5598+F5599+F5600</f>
        <v>3.61011609589041</v>
      </c>
      <c r="G5601" s="63" t="n">
        <f aca="false">G5583+G5586+G5587+G5588+G5591+G5592+G5593+G5594+G5595+G5596+G5597+G5598+G5599+G5600</f>
        <v>3.61011609589041</v>
      </c>
      <c r="H5601" s="2" t="s">
        <v>1255</v>
      </c>
    </row>
    <row r="5602" customFormat="false" ht="15" hidden="false" customHeight="false" outlineLevel="1" collapsed="false">
      <c r="A5602" s="56" t="s">
        <v>677</v>
      </c>
      <c r="B5602" s="57" t="s">
        <v>64</v>
      </c>
      <c r="C5602" s="68" t="n">
        <f aca="false">C5585-C5601</f>
        <v>0.058762328767124</v>
      </c>
      <c r="D5602" s="68" t="n">
        <f aca="false">D5585-D5601</f>
        <v>0.0371869863013705</v>
      </c>
      <c r="E5602" s="68" t="n">
        <f aca="false">E5585-E5601</f>
        <v>0.03853544520548</v>
      </c>
      <c r="F5602" s="68" t="n">
        <f aca="false">F5585-F5601</f>
        <v>0.0398839041095895</v>
      </c>
      <c r="G5602" s="68" t="n">
        <f aca="false">G5585-G5601</f>
        <v>0.0398839041095895</v>
      </c>
      <c r="H5602" s="2" t="s">
        <v>1256</v>
      </c>
    </row>
    <row r="5603" customFormat="false" ht="15" hidden="false" customHeight="false" outlineLevel="1" collapsed="false">
      <c r="A5603" s="7" t="s">
        <v>678</v>
      </c>
      <c r="B5603" s="8" t="s">
        <v>76</v>
      </c>
      <c r="C5603" s="59" t="n">
        <f aca="false">IF(C5585&gt;0,C5602/C5585,0)</f>
        <v>0.0160992681553764</v>
      </c>
      <c r="D5603" s="59" t="n">
        <f aca="false">IF(D5585&gt;0,D5602/D5585,0)</f>
        <v>0.010188215425033</v>
      </c>
      <c r="E5603" s="59" t="n">
        <f aca="false">IF(E5585&gt;0,E5602/E5585,0)</f>
        <v>0.0105576562206795</v>
      </c>
      <c r="F5603" s="59" t="n">
        <f aca="false">IF(F5585&gt;0,F5602/F5585,0)</f>
        <v>0.0109270970163259</v>
      </c>
      <c r="G5603" s="59" t="n">
        <f aca="false">IF(G5585&gt;0,G5602/G5585,0)</f>
        <v>0.0109270970163259</v>
      </c>
      <c r="H5603" s="2" t="s">
        <v>1257</v>
      </c>
    </row>
    <row r="5604" customFormat="false" ht="15" hidden="false" customHeight="false" outlineLevel="1" collapsed="false">
      <c r="A5604" s="7" t="s">
        <v>679</v>
      </c>
      <c r="B5604" s="8" t="s">
        <v>64</v>
      </c>
      <c r="C5604" s="63" t="n">
        <f aca="false">(C5583+C5586)*(C5589-Pressupostos!$C$72)/365+C5585*C5590/365</f>
        <v>0.306164383561644</v>
      </c>
      <c r="D5604" s="63" t="n">
        <f aca="false">(D5583+D5586)*(D5589-Pressupostos!$C$72)/365+D5585*D5590/365</f>
        <v>0.306164383561644</v>
      </c>
      <c r="E5604" s="63" t="n">
        <f aca="false">(E5583+E5586)*(E5589-Pressupostos!$C$72)/365+E5585*E5590/365</f>
        <v>0.306164383561644</v>
      </c>
      <c r="F5604" s="63" t="n">
        <f aca="false">(F5583+F5586)*(F5589-Pressupostos!$C$72)/365+F5585*F5590/365</f>
        <v>0.306164383561644</v>
      </c>
      <c r="G5604" s="63" t="n">
        <f aca="false">(G5583+G5586)*(G5589-Pressupostos!$C$72)/365+G5585*G5590/365</f>
        <v>0.306164383561644</v>
      </c>
      <c r="H5604" s="2" t="s">
        <v>1258</v>
      </c>
    </row>
    <row r="5605" customFormat="false" ht="15" hidden="false" customHeight="false" outlineLevel="0" collapsed="false">
      <c r="A5605" s="3" t="s">
        <v>1259</v>
      </c>
      <c r="B5605" s="4"/>
      <c r="C5605" s="4"/>
      <c r="D5605" s="4"/>
      <c r="E5605" s="4"/>
      <c r="F5605" s="4"/>
      <c r="G5605" s="4"/>
      <c r="H5605" s="4"/>
    </row>
    <row r="5606" customFormat="false" ht="15" hidden="false" customHeight="false" outlineLevel="1" collapsed="false">
      <c r="A5606" s="7" t="s">
        <v>683</v>
      </c>
      <c r="B5606" s="8" t="s">
        <v>64</v>
      </c>
      <c r="C5606" s="63" t="n">
        <f aca="false">Pressupostos!$C$64*Pressupostos!$F$10</f>
        <v>0.02625</v>
      </c>
      <c r="D5606" s="63" t="n">
        <f aca="false">Pressupostos!$C$64*Pressupostos!$F$10</f>
        <v>0.02625</v>
      </c>
      <c r="E5606" s="63" t="n">
        <f aca="false">Pressupostos!$C$64*Pressupostos!$F$10</f>
        <v>0.02625</v>
      </c>
      <c r="F5606" s="63" t="n">
        <f aca="false">Pressupostos!$C$64*Pressupostos!$F$10</f>
        <v>0.02625</v>
      </c>
      <c r="G5606" s="63" t="n">
        <f aca="false">Pressupostos!$C$64*Pressupostos!$F$10</f>
        <v>0.02625</v>
      </c>
      <c r="H5606" s="2" t="s">
        <v>1260</v>
      </c>
    </row>
    <row r="5607" customFormat="false" ht="15" hidden="false" customHeight="false" outlineLevel="1" collapsed="false">
      <c r="A5607" s="7" t="s">
        <v>684</v>
      </c>
      <c r="B5607" s="8" t="s">
        <v>64</v>
      </c>
      <c r="C5607" s="63" t="n">
        <f aca="false">C5596+C5593+C5597</f>
        <v>0.019</v>
      </c>
      <c r="D5607" s="63" t="n">
        <f aca="false">D5596+D5593+D5597</f>
        <v>0.019</v>
      </c>
      <c r="E5607" s="63" t="n">
        <f aca="false">E5596+E5593+E5597</f>
        <v>0.019</v>
      </c>
      <c r="F5607" s="63" t="n">
        <f aca="false">F5596+F5593+F5597</f>
        <v>0.019</v>
      </c>
      <c r="G5607" s="63" t="n">
        <f aca="false">G5596+G5593+G5597</f>
        <v>0.019</v>
      </c>
      <c r="H5607" s="2" t="s">
        <v>1261</v>
      </c>
    </row>
    <row r="5608" customFormat="false" ht="15" hidden="false" customHeight="false" outlineLevel="1" collapsed="false">
      <c r="A5608" s="56" t="s">
        <v>561</v>
      </c>
      <c r="B5608" s="57" t="s">
        <v>64</v>
      </c>
      <c r="C5608" s="68" t="n">
        <f aca="false">C5606-C5607</f>
        <v>0.00725</v>
      </c>
      <c r="D5608" s="68" t="n">
        <f aca="false">D5606-D5607</f>
        <v>0.00725</v>
      </c>
      <c r="E5608" s="68" t="n">
        <f aca="false">E5606-E5607</f>
        <v>0.00725</v>
      </c>
      <c r="F5608" s="68" t="n">
        <f aca="false">F5606-F5607</f>
        <v>0.00725</v>
      </c>
      <c r="G5608" s="68" t="n">
        <f aca="false">G5606-G5607</f>
        <v>0.00725</v>
      </c>
      <c r="H5608" s="2" t="s">
        <v>1262</v>
      </c>
    </row>
    <row r="5609" customFormat="false" ht="15" hidden="false" customHeight="false" outlineLevel="0" collapsed="false">
      <c r="A5609" s="3" t="s">
        <v>1263</v>
      </c>
      <c r="B5609" s="4"/>
      <c r="C5609" s="4"/>
      <c r="D5609" s="4"/>
      <c r="E5609" s="4"/>
      <c r="F5609" s="4"/>
      <c r="G5609" s="4"/>
      <c r="H5609" s="4"/>
    </row>
    <row r="5610" customFormat="false" ht="15" hidden="false" customHeight="false" outlineLevel="1" collapsed="false">
      <c r="A5610" s="7" t="s">
        <v>608</v>
      </c>
      <c r="B5610" s="8" t="s">
        <v>11</v>
      </c>
      <c r="C5610" s="61" t="n">
        <f aca="false">C5519*1000*C5539</f>
        <v>57564</v>
      </c>
      <c r="D5610" s="61" t="n">
        <f aca="false">D5519*1000*D5539</f>
        <v>215865</v>
      </c>
      <c r="E5610" s="61" t="n">
        <f aca="false">E5519*1000*E5539</f>
        <v>575640</v>
      </c>
      <c r="F5610" s="61" t="n">
        <f aca="false">F5519*1000*F5539</f>
        <v>1007370</v>
      </c>
      <c r="G5610" s="61" t="n">
        <f aca="false">G5519*1000*G5539</f>
        <v>1439100</v>
      </c>
      <c r="H5610" s="2" t="s">
        <v>1264</v>
      </c>
    </row>
    <row r="5611" customFormat="false" ht="15" hidden="false" customHeight="false" outlineLevel="1" collapsed="false">
      <c r="A5611" s="7" t="s">
        <v>609</v>
      </c>
      <c r="B5611" s="8" t="s">
        <v>11</v>
      </c>
      <c r="C5611" s="61" t="n">
        <f aca="false">C5520*1000*C5562</f>
        <v>300820</v>
      </c>
      <c r="D5611" s="61" t="n">
        <f aca="false">D5520*1000*D5562</f>
        <v>2099955</v>
      </c>
      <c r="E5611" s="61" t="n">
        <f aca="false">E5520*1000*E5562</f>
        <v>4147845</v>
      </c>
      <c r="F5611" s="61" t="n">
        <f aca="false">F5520*1000*F5562</f>
        <v>6843655</v>
      </c>
      <c r="G5611" s="61" t="n">
        <f aca="false">G5520*1000*G5562</f>
        <v>10355150</v>
      </c>
      <c r="H5611" s="2" t="s">
        <v>1265</v>
      </c>
    </row>
    <row r="5612" customFormat="false" ht="15" hidden="false" customHeight="false" outlineLevel="1" collapsed="false">
      <c r="A5612" s="7" t="s">
        <v>610</v>
      </c>
      <c r="B5612" s="8" t="s">
        <v>11</v>
      </c>
      <c r="C5612" s="61" t="n">
        <f aca="false">C5522*1000*C5585</f>
        <v>0</v>
      </c>
      <c r="D5612" s="61" t="n">
        <f aca="false">D5522*1000*D5585</f>
        <v>0</v>
      </c>
      <c r="E5612" s="61" t="n">
        <f aca="false">E5522*1000*E5585</f>
        <v>0</v>
      </c>
      <c r="F5612" s="61" t="n">
        <f aca="false">F5522*1000*F5585</f>
        <v>0</v>
      </c>
      <c r="G5612" s="61" t="n">
        <f aca="false">G5522*1000*G5585</f>
        <v>0</v>
      </c>
      <c r="H5612" s="2" t="s">
        <v>1266</v>
      </c>
    </row>
    <row r="5613" customFormat="false" ht="15" hidden="false" customHeight="false" outlineLevel="1" collapsed="false">
      <c r="A5613" s="7" t="s">
        <v>611</v>
      </c>
      <c r="B5613" s="8" t="s">
        <v>11</v>
      </c>
      <c r="C5613" s="61" t="n">
        <f aca="false">C5610+C5611+C5612</f>
        <v>358384</v>
      </c>
      <c r="D5613" s="61" t="n">
        <f aca="false">D5610+D5611+D5612</f>
        <v>2315820</v>
      </c>
      <c r="E5613" s="61" t="n">
        <f aca="false">E5610+E5611+E5612</f>
        <v>4723485</v>
      </c>
      <c r="F5613" s="61" t="n">
        <f aca="false">F5610+F5611+F5612</f>
        <v>7851025</v>
      </c>
      <c r="G5613" s="61" t="n">
        <f aca="false">G5610+G5611+G5612</f>
        <v>11794250</v>
      </c>
      <c r="H5613" s="2" t="s">
        <v>1267</v>
      </c>
    </row>
    <row r="5614" customFormat="false" ht="15" hidden="false" customHeight="false" outlineLevel="1" collapsed="false">
      <c r="A5614" s="7" t="s">
        <v>612</v>
      </c>
      <c r="B5614" s="8" t="s">
        <v>11</v>
      </c>
      <c r="C5614" s="61" t="n">
        <f aca="false">C5532*1000*Pressupostos!$C$93</f>
        <v>0</v>
      </c>
      <c r="D5614" s="61" t="n">
        <f aca="false">D5532*1000*Pressupostos!$C$93</f>
        <v>0</v>
      </c>
      <c r="E5614" s="61" t="n">
        <f aca="false">E5532*1000*Pressupostos!$C$93</f>
        <v>0</v>
      </c>
      <c r="F5614" s="61" t="n">
        <f aca="false">F5532*1000*Pressupostos!$C$93</f>
        <v>204100</v>
      </c>
      <c r="G5614" s="61" t="n">
        <f aca="false">G5532*1000*Pressupostos!$C$93</f>
        <v>510250</v>
      </c>
      <c r="H5614" s="2" t="s">
        <v>1268</v>
      </c>
    </row>
    <row r="5615" customFormat="false" ht="15" hidden="false" customHeight="false" outlineLevel="1" collapsed="false">
      <c r="A5615" s="2" t="s">
        <v>613</v>
      </c>
      <c r="B5615" s="8" t="s">
        <v>11</v>
      </c>
      <c r="C5615" s="61" t="n">
        <f aca="false">C5530*Pressupostos!$C$80*(1-Pressupostos!$C$81)</f>
        <v>12636</v>
      </c>
      <c r="D5615" s="61" t="n">
        <f aca="false">D5530*Pressupostos!$C$80*(1-Pressupostos!$C$81)</f>
        <v>47385</v>
      </c>
      <c r="E5615" s="61" t="n">
        <f aca="false">E5530*Pressupostos!$C$80*(1-Pressupostos!$C$81)</f>
        <v>126360</v>
      </c>
      <c r="F5615" s="61" t="n">
        <f aca="false">F5530*Pressupostos!$C$80*(1-Pressupostos!$C$81)</f>
        <v>221130</v>
      </c>
      <c r="G5615" s="61" t="n">
        <f aca="false">G5530*Pressupostos!$C$80*(1-Pressupostos!$C$81)</f>
        <v>315900</v>
      </c>
      <c r="H5615" s="2" t="s">
        <v>1269</v>
      </c>
    </row>
    <row r="5616" customFormat="false" ht="15" hidden="false" customHeight="false" outlineLevel="1" collapsed="false">
      <c r="A5616" s="7" t="s">
        <v>614</v>
      </c>
      <c r="B5616" s="8" t="s">
        <v>11</v>
      </c>
      <c r="C5616" s="61" t="n">
        <f aca="false">C5615*Pressupostos!$F$27</f>
        <v>252.72</v>
      </c>
      <c r="D5616" s="61" t="n">
        <f aca="false">D5615*Pressupostos!$F$27</f>
        <v>947.7</v>
      </c>
      <c r="E5616" s="61" t="n">
        <f aca="false">E5615*Pressupostos!$F$27</f>
        <v>2527.2</v>
      </c>
      <c r="F5616" s="61" t="n">
        <f aca="false">F5615*Pressupostos!$F$27</f>
        <v>4422.6</v>
      </c>
      <c r="G5616" s="61" t="n">
        <f aca="false">G5615*Pressupostos!$F$27</f>
        <v>6318</v>
      </c>
      <c r="H5616" s="2" t="s">
        <v>1270</v>
      </c>
    </row>
    <row r="5617" customFormat="false" ht="15" hidden="false" customHeight="false" outlineLevel="1" collapsed="false">
      <c r="A5617" s="7" t="s">
        <v>615</v>
      </c>
      <c r="B5617" s="8" t="s">
        <v>11</v>
      </c>
      <c r="C5617" s="61" t="n">
        <f aca="false">C5523*1000*C5606</f>
        <v>0</v>
      </c>
      <c r="D5617" s="61" t="n">
        <f aca="false">D5523*1000*D5606</f>
        <v>17062.5</v>
      </c>
      <c r="E5617" s="61" t="n">
        <f aca="false">E5523*1000*E5606</f>
        <v>51187.5</v>
      </c>
      <c r="F5617" s="61" t="n">
        <f aca="false">F5523*1000*F5606</f>
        <v>85312.5</v>
      </c>
      <c r="G5617" s="61" t="n">
        <f aca="false">G5523*1000*G5606</f>
        <v>119437.5</v>
      </c>
      <c r="H5617" s="2" t="s">
        <v>1271</v>
      </c>
    </row>
    <row r="5618" customFormat="false" ht="15" hidden="false" customHeight="false" outlineLevel="1" collapsed="false">
      <c r="A5618" s="7" t="s">
        <v>616</v>
      </c>
      <c r="B5618" s="8" t="s">
        <v>11</v>
      </c>
      <c r="C5618" s="61" t="n">
        <f aca="false">C5534*(Pressupostos!$C$101*Pressupostos!$C$102+Pressupostos!$C$103)</f>
        <v>0</v>
      </c>
      <c r="D5618" s="61" t="n">
        <f aca="false">D5534*(Pressupostos!$C$101*Pressupostos!$C$102+Pressupostos!$C$103)</f>
        <v>10000</v>
      </c>
      <c r="E5618" s="61" t="n">
        <f aca="false">E5534*(Pressupostos!$C$101*Pressupostos!$C$102+Pressupostos!$C$103)</f>
        <v>30000</v>
      </c>
      <c r="F5618" s="61" t="n">
        <f aca="false">F5534*(Pressupostos!$C$101*Pressupostos!$C$102+Pressupostos!$C$103)</f>
        <v>60000</v>
      </c>
      <c r="G5618" s="61" t="n">
        <f aca="false">G5534*(Pressupostos!$C$101*Pressupostos!$C$102+Pressupostos!$C$103)</f>
        <v>100000</v>
      </c>
      <c r="H5618" s="2" t="s">
        <v>1272</v>
      </c>
    </row>
    <row r="5619" customFormat="false" ht="15" hidden="false" customHeight="false" outlineLevel="1" collapsed="false">
      <c r="A5619" s="7" t="s">
        <v>617</v>
      </c>
      <c r="B5619" s="8" t="s">
        <v>11</v>
      </c>
      <c r="C5619" s="53" t="n">
        <f aca="false">Pressupostos!$C$277</f>
        <v>0</v>
      </c>
      <c r="D5619" s="53" t="n">
        <f aca="false">Pressupostos!$D$277</f>
        <v>0</v>
      </c>
      <c r="E5619" s="53" t="n">
        <f aca="false">Pressupostos!$E$277</f>
        <v>0</v>
      </c>
      <c r="F5619" s="53" t="n">
        <f aca="false">Pressupostos!$F$277</f>
        <v>10000</v>
      </c>
      <c r="G5619" s="53" t="n">
        <f aca="false">Pressupostos!$G$277</f>
        <v>30000</v>
      </c>
      <c r="H5619" s="2" t="s">
        <v>1273</v>
      </c>
    </row>
    <row r="5620" customFormat="false" ht="15" hidden="false" customHeight="false" outlineLevel="1" collapsed="false">
      <c r="A5620" s="56" t="s">
        <v>618</v>
      </c>
      <c r="B5620" s="57" t="s">
        <v>11</v>
      </c>
      <c r="C5620" s="62" t="n">
        <f aca="false">C5613+C5614+C5616+C5617+C5618+C5619</f>
        <v>358636.72</v>
      </c>
      <c r="D5620" s="62" t="n">
        <f aca="false">D5613+D5614+D5616+D5617+D5618+D5619</f>
        <v>2343830.2</v>
      </c>
      <c r="E5620" s="62" t="n">
        <f aca="false">E5613+E5614+E5616+E5617+E5618+E5619</f>
        <v>4807199.7</v>
      </c>
      <c r="F5620" s="62" t="n">
        <f aca="false">F5613+F5614+F5616+F5617+F5618+F5619</f>
        <v>8214860.1</v>
      </c>
      <c r="G5620" s="62" t="n">
        <f aca="false">G5613+G5614+G5616+G5617+G5618+G5619</f>
        <v>12560255.5</v>
      </c>
      <c r="H5620" s="2" t="s">
        <v>1274</v>
      </c>
    </row>
    <row r="5621" customFormat="false" ht="15" hidden="false" customHeight="false" outlineLevel="0" collapsed="false">
      <c r="A5621" s="3" t="s">
        <v>1275</v>
      </c>
      <c r="B5621" s="4"/>
      <c r="C5621" s="4"/>
      <c r="D5621" s="4"/>
      <c r="E5621" s="4"/>
      <c r="F5621" s="4"/>
      <c r="G5621" s="4"/>
      <c r="H5621" s="4"/>
    </row>
    <row r="5622" customFormat="false" ht="15" hidden="false" customHeight="false" outlineLevel="1" collapsed="false">
      <c r="A5622" s="2" t="s">
        <v>620</v>
      </c>
      <c r="B5622" s="8" t="s">
        <v>11</v>
      </c>
      <c r="C5622" s="61" t="n">
        <f aca="false">C5523*1000*Pressupostos!$F$10</f>
        <v>0</v>
      </c>
      <c r="D5622" s="61" t="n">
        <f aca="false">D5523*1000*Pressupostos!$F$10</f>
        <v>2275000</v>
      </c>
      <c r="E5622" s="61" t="n">
        <f aca="false">E5523*1000*Pressupostos!$F$10</f>
        <v>6825000</v>
      </c>
      <c r="F5622" s="61" t="n">
        <f aca="false">F5523*1000*Pressupostos!$F$10</f>
        <v>11375000</v>
      </c>
      <c r="G5622" s="61" t="n">
        <f aca="false">G5523*1000*Pressupostos!$F$10</f>
        <v>15925000</v>
      </c>
      <c r="H5622" s="2" t="s">
        <v>1276</v>
      </c>
    </row>
    <row r="5623" customFormat="false" ht="15" hidden="false" customHeight="false" outlineLevel="1" collapsed="false">
      <c r="A5623" s="56" t="s">
        <v>621</v>
      </c>
      <c r="B5623" s="57" t="s">
        <v>11</v>
      </c>
      <c r="C5623" s="62" t="n">
        <f aca="false">C5613+C5614+C5615+C5622</f>
        <v>371020</v>
      </c>
      <c r="D5623" s="62" t="n">
        <f aca="false">D5613+D5614+D5615+D5622</f>
        <v>4638205</v>
      </c>
      <c r="E5623" s="62" t="n">
        <f aca="false">E5613+E5614+E5615+E5622</f>
        <v>11674845</v>
      </c>
      <c r="F5623" s="62" t="n">
        <f aca="false">F5613+F5614+F5615+F5622</f>
        <v>19651255</v>
      </c>
      <c r="G5623" s="62" t="n">
        <f aca="false">G5613+G5614+G5615+G5622</f>
        <v>28545400</v>
      </c>
      <c r="H5623" s="2" t="s">
        <v>1277</v>
      </c>
    </row>
    <row r="5624" customFormat="false" ht="15" hidden="false" customHeight="false" outlineLevel="1" collapsed="false">
      <c r="A5624" s="7" t="s">
        <v>622</v>
      </c>
      <c r="B5624" s="8" t="s">
        <v>11</v>
      </c>
      <c r="C5624" s="61" t="n">
        <f aca="false">C5623-C5622-C5612</f>
        <v>371020</v>
      </c>
      <c r="D5624" s="61" t="n">
        <f aca="false">D5623-D5622-D5612</f>
        <v>2363205</v>
      </c>
      <c r="E5624" s="61" t="n">
        <f aca="false">E5623-E5622-E5612</f>
        <v>4849845</v>
      </c>
      <c r="F5624" s="61" t="n">
        <f aca="false">F5623-F5622-F5612</f>
        <v>8276255</v>
      </c>
      <c r="G5624" s="61" t="n">
        <f aca="false">G5623-G5622-G5612</f>
        <v>12620400</v>
      </c>
      <c r="H5624" s="2" t="s">
        <v>1278</v>
      </c>
    </row>
    <row r="5625" customFormat="false" ht="15" hidden="false" customHeight="false" outlineLevel="1" collapsed="false">
      <c r="A5625" s="7" t="s">
        <v>623</v>
      </c>
      <c r="B5625" s="8" t="s">
        <v>11</v>
      </c>
      <c r="C5625" s="61" t="n">
        <f aca="false">C5519*1000*(C5537+C5540)+C5520*1000*(C5560+C5563)+C5522*1000*(C5583+C5586)+C5532*1000*Pressupostos!$C$92</f>
        <v>318552</v>
      </c>
      <c r="D5625" s="61" t="n">
        <f aca="false">D5519*1000*(D5537+D5540)+D5520*1000*(D5560+D5563)+D5522*1000*(D5583+D5586)+D5532*1000*Pressupostos!$C$92</f>
        <v>2079090</v>
      </c>
      <c r="E5625" s="61" t="n">
        <f aca="false">E5519*1000*(E5537+E5540)+E5520*1000*(E5560+E5563)+E5522*1000*(E5583+E5586)+E5532*1000*Pressupostos!$C$92</f>
        <v>4222725</v>
      </c>
      <c r="F5625" s="61" t="n">
        <f aca="false">F5519*1000*(F5537+F5540)+F5520*1000*(F5560+F5563)+F5522*1000*(F5583+F5586)+F5532*1000*Pressupostos!$C$92</f>
        <v>7194005</v>
      </c>
      <c r="G5625" s="61" t="n">
        <f aca="false">G5519*1000*(G5537+G5540)+G5520*1000*(G5560+G5563)+G5522*1000*(G5583+G5586)+G5532*1000*Pressupostos!$C$92</f>
        <v>10998650</v>
      </c>
      <c r="H5625" s="2" t="s">
        <v>1279</v>
      </c>
    </row>
    <row r="5626" customFormat="false" ht="15" hidden="false" customHeight="false" outlineLevel="1" collapsed="false">
      <c r="A5626" s="7" t="s">
        <v>624</v>
      </c>
      <c r="B5626" s="8" t="s">
        <v>11</v>
      </c>
      <c r="C5626" s="61" t="n">
        <f aca="false">C5625*Pressupostos!$C$284</f>
        <v>0</v>
      </c>
      <c r="D5626" s="61" t="n">
        <f aca="false">D5625*Pressupostos!$D$284</f>
        <v>1559317.5</v>
      </c>
      <c r="E5626" s="61" t="n">
        <f aca="false">E5625*Pressupostos!$E$284</f>
        <v>3167043.75</v>
      </c>
      <c r="F5626" s="61" t="n">
        <f aca="false">F5625*Pressupostos!$F$284</f>
        <v>5395503.75</v>
      </c>
      <c r="G5626" s="61" t="n">
        <f aca="false">G5625*Pressupostos!$G$284</f>
        <v>8248987.5</v>
      </c>
      <c r="H5626" s="2" t="s">
        <v>1280</v>
      </c>
    </row>
    <row r="5627" customFormat="false" ht="15" hidden="false" customHeight="false" outlineLevel="0" collapsed="false">
      <c r="A5627" s="3" t="s">
        <v>1281</v>
      </c>
      <c r="B5627" s="4"/>
      <c r="C5627" s="4"/>
      <c r="D5627" s="4"/>
      <c r="E5627" s="4"/>
      <c r="F5627" s="4"/>
      <c r="G5627" s="4"/>
      <c r="H5627" s="4"/>
    </row>
    <row r="5628" customFormat="false" ht="15" hidden="false" customHeight="false" outlineLevel="1" collapsed="false">
      <c r="A5628" s="7" t="s">
        <v>626</v>
      </c>
      <c r="B5628" s="8" t="s">
        <v>11</v>
      </c>
      <c r="C5628" s="61" t="n">
        <f aca="false">C5519*1000*C5556</f>
        <v>6435.97500000002</v>
      </c>
      <c r="D5628" s="61" t="n">
        <f aca="false">D5519*1000*D5556</f>
        <v>17752.5963184932</v>
      </c>
      <c r="E5628" s="61" t="n">
        <f aca="false">E5519*1000*E5556</f>
        <v>65825.0984246576</v>
      </c>
      <c r="F5628" s="61" t="n">
        <f aca="false">F5519*1000*F5556</f>
        <v>117562.532260274</v>
      </c>
      <c r="G5628" s="61" t="n">
        <f aca="false">G5519*1000*G5556</f>
        <v>167946.474657534</v>
      </c>
      <c r="H5628" s="2" t="s">
        <v>1282</v>
      </c>
    </row>
    <row r="5629" customFormat="false" ht="15" hidden="false" customHeight="false" outlineLevel="1" collapsed="false">
      <c r="A5629" s="7" t="s">
        <v>627</v>
      </c>
      <c r="B5629" s="8" t="s">
        <v>11</v>
      </c>
      <c r="C5629" s="61" t="n">
        <f aca="false">C5520*1000*C5579</f>
        <v>13253.5356164384</v>
      </c>
      <c r="D5629" s="61" t="n">
        <f aca="false">D5520*1000*D5579</f>
        <v>70920.7520547946</v>
      </c>
      <c r="E5629" s="61" t="n">
        <f aca="false">E5520*1000*E5579</f>
        <v>152070.558839898</v>
      </c>
      <c r="F5629" s="61" t="n">
        <f aca="false">F5520*1000*F5579</f>
        <v>255305.225299658</v>
      </c>
      <c r="G5629" s="61" t="n">
        <f aca="false">G5520*1000*G5579</f>
        <v>386302.919092467</v>
      </c>
      <c r="H5629" s="2" t="s">
        <v>1283</v>
      </c>
    </row>
    <row r="5630" customFormat="false" ht="15" hidden="false" customHeight="false" outlineLevel="1" collapsed="false">
      <c r="A5630" s="7" t="s">
        <v>628</v>
      </c>
      <c r="B5630" s="8" t="s">
        <v>11</v>
      </c>
      <c r="C5630" s="61" t="n">
        <f aca="false">C5522*1000*C5602+C5523*1000*C5608</f>
        <v>0</v>
      </c>
      <c r="D5630" s="61" t="n">
        <f aca="false">D5522*1000*D5602+D5523*1000*D5608</f>
        <v>4712.5</v>
      </c>
      <c r="E5630" s="61" t="n">
        <f aca="false">E5522*1000*E5602+E5523*1000*E5608</f>
        <v>14137.5</v>
      </c>
      <c r="F5630" s="61" t="n">
        <f aca="false">F5522*1000*F5602+F5523*1000*F5608</f>
        <v>23562.5</v>
      </c>
      <c r="G5630" s="61" t="n">
        <f aca="false">G5522*1000*G5602+G5523*1000*G5608</f>
        <v>32987.5</v>
      </c>
      <c r="H5630" s="2" t="s">
        <v>1284</v>
      </c>
    </row>
    <row r="5631" customFormat="false" ht="15" hidden="false" customHeight="false" outlineLevel="1" collapsed="false">
      <c r="A5631" s="7" t="s">
        <v>629</v>
      </c>
      <c r="B5631" s="8" t="s">
        <v>11</v>
      </c>
      <c r="C5631" s="61" t="n">
        <f aca="false">C5628+C5629+C5630</f>
        <v>19689.5106164384</v>
      </c>
      <c r="D5631" s="61" t="n">
        <f aca="false">D5628+D5629+D5630</f>
        <v>93385.8483732878</v>
      </c>
      <c r="E5631" s="61" t="n">
        <f aca="false">E5628+E5629+E5630</f>
        <v>232033.157264555</v>
      </c>
      <c r="F5631" s="61" t="n">
        <f aca="false">F5628+F5629+F5630</f>
        <v>396430.257559932</v>
      </c>
      <c r="G5631" s="61" t="n">
        <f aca="false">G5628+G5629+G5630</f>
        <v>587236.893750001</v>
      </c>
      <c r="H5631" s="2" t="s">
        <v>1285</v>
      </c>
    </row>
    <row r="5632" customFormat="false" ht="15" hidden="false" customHeight="false" outlineLevel="1" collapsed="false">
      <c r="A5632" s="7" t="s">
        <v>630</v>
      </c>
      <c r="B5632" s="8" t="s">
        <v>64</v>
      </c>
      <c r="C5632" s="63" t="n">
        <f aca="false">IF(C5524&gt;0,C5631/(C5524*1000),0)</f>
        <v>0.251590986665454</v>
      </c>
      <c r="D5632" s="63" t="n">
        <f aca="false">IF(D5524&gt;0,D5631/(D5524*1000),0)</f>
        <v>0.0803751250119745</v>
      </c>
      <c r="E5632" s="63" t="n">
        <f aca="false">IF(E5524&gt;0,E5631/(E5524*1000),0)</f>
        <v>0.0776368177684462</v>
      </c>
      <c r="F5632" s="63" t="n">
        <f aca="false">IF(F5524&gt;0,F5631/(F5524*1000),0)</f>
        <v>0.0796932841942189</v>
      </c>
      <c r="G5632" s="63" t="n">
        <f aca="false">IF(G5524&gt;0,G5631/(G5524*1000),0)</f>
        <v>0.0822057666060056</v>
      </c>
      <c r="H5632" s="2" t="s">
        <v>1286</v>
      </c>
    </row>
    <row r="5633" customFormat="false" ht="15" hidden="false" customHeight="false" outlineLevel="1" collapsed="false">
      <c r="A5633" s="7" t="s">
        <v>631</v>
      </c>
      <c r="B5633" s="8" t="s">
        <v>76</v>
      </c>
      <c r="C5633" s="59" t="n">
        <f aca="false">IF(C5613&gt;0,C5631/C5613,0)</f>
        <v>0.0549397032692263</v>
      </c>
      <c r="D5633" s="59" t="n">
        <f aca="false">IF(D5613&gt;0,D5631/D5613,0)</f>
        <v>0.0403251756929674</v>
      </c>
      <c r="E5633" s="59" t="n">
        <f aca="false">IF(E5613&gt;0,E5631/E5613,0)</f>
        <v>0.0491232971555017</v>
      </c>
      <c r="F5633" s="59" t="n">
        <f aca="false">IF(F5613&gt;0,F5631/F5613,0)</f>
        <v>0.0504940765772536</v>
      </c>
      <c r="G5633" s="59" t="n">
        <f aca="false">IF(G5613&gt;0,G5631/G5613,0)</f>
        <v>0.0497901005786719</v>
      </c>
      <c r="H5633" s="2" t="s">
        <v>1287</v>
      </c>
    </row>
    <row r="5634" customFormat="false" ht="15" hidden="false" customHeight="false" outlineLevel="1" collapsed="false">
      <c r="A5634" s="2" t="s">
        <v>632</v>
      </c>
      <c r="B5634" s="8" t="s">
        <v>64</v>
      </c>
      <c r="C5634" s="63" t="n">
        <f aca="false">Pressupostos!$C$290*Pressupostos!$C$92*(Pressupostos!$C$95+Pressupostos!$C$96-Pressupostos!$C$97)/365*Pressupostos!$C$284/Pressupostos!$F$31</f>
        <v>0</v>
      </c>
      <c r="D5634" s="63" t="n">
        <f aca="false">Pressupostos!$D$290*Pressupostos!$C$92*(Pressupostos!$C$95+Pressupostos!$C$96-Pressupostos!$C$97)/365*Pressupostos!$D$284/Pressupostos!$F$31</f>
        <v>0.0647260273972603</v>
      </c>
      <c r="E5634" s="63" t="n">
        <f aca="false">Pressupostos!$E$290*Pressupostos!$C$92*(Pressupostos!$C$95+Pressupostos!$C$96-Pressupostos!$C$97)/365*Pressupostos!$E$284/Pressupostos!$F$31</f>
        <v>0.0606806506849315</v>
      </c>
      <c r="F5634" s="63" t="n">
        <f aca="false">Pressupostos!$F$290*Pressupostos!$C$92*(Pressupostos!$C$95+Pressupostos!$C$96-Pressupostos!$C$97)/365*Pressupostos!$F$284/Pressupostos!$F$31</f>
        <v>0.0566352739726028</v>
      </c>
      <c r="G5634" s="63" t="n">
        <f aca="false">Pressupostos!$G$290*Pressupostos!$C$92*(Pressupostos!$C$95+Pressupostos!$C$96-Pressupostos!$C$97)/365*Pressupostos!$G$284/Pressupostos!$F$31</f>
        <v>0.0566352739726028</v>
      </c>
      <c r="H5634" s="2" t="s">
        <v>1288</v>
      </c>
    </row>
    <row r="5635" customFormat="false" ht="15" hidden="false" customHeight="false" outlineLevel="1" collapsed="false">
      <c r="A5635" s="7" t="s">
        <v>600</v>
      </c>
      <c r="B5635" s="8" t="s">
        <v>11</v>
      </c>
      <c r="C5635" s="61" t="n">
        <f aca="false">C5532*1000*(Pressupostos!$C$93-Pressupostos!$C$92-Pressupostos!$C$94-C5634-Pressupostos!$C$98*Pressupostos!$C$93-Pressupostos!$C$99-Pressupostos!$F$29*Pressupostos!$C$92)</f>
        <v>0</v>
      </c>
      <c r="D5635" s="61" t="n">
        <f aca="false">D5532*1000*(Pressupostos!$C$93-Pressupostos!$C$92-Pressupostos!$C$94-D5634-Pressupostos!$C$98*Pressupostos!$C$93-Pressupostos!$C$99-Pressupostos!$F$29*Pressupostos!$C$92)</f>
        <v>0</v>
      </c>
      <c r="E5635" s="61" t="n">
        <f aca="false">E5532*1000*(Pressupostos!$C$93-Pressupostos!$C$92-Pressupostos!$C$94-E5634-Pressupostos!$C$98*Pressupostos!$C$93-Pressupostos!$C$99-Pressupostos!$F$29*Pressupostos!$C$92)</f>
        <v>0</v>
      </c>
      <c r="F5635" s="61" t="n">
        <f aca="false">F5532*1000*(Pressupostos!$C$93-Pressupostos!$C$92-Pressupostos!$C$94-F5634-Pressupostos!$C$98*Pressupostos!$C$93-Pressupostos!$C$99-Pressupostos!$F$29*Pressupostos!$C$92)</f>
        <v>14176.8828767123</v>
      </c>
      <c r="G5635" s="61" t="n">
        <f aca="false">G5532*1000*(Pressupostos!$C$93-Pressupostos!$C$92-Pressupostos!$C$94-G5634-Pressupostos!$C$98*Pressupostos!$C$93-Pressupostos!$C$99-Pressupostos!$F$29*Pressupostos!$C$92)</f>
        <v>35442.2071917808</v>
      </c>
      <c r="H5635" s="2" t="s">
        <v>1289</v>
      </c>
    </row>
    <row r="5636" customFormat="false" ht="15" hidden="false" customHeight="false" outlineLevel="1" collapsed="false">
      <c r="A5636" s="7" t="s">
        <v>633</v>
      </c>
      <c r="B5636" s="8" t="s">
        <v>11</v>
      </c>
      <c r="C5636" s="61" t="n">
        <f aca="false">C5616</f>
        <v>252.72</v>
      </c>
      <c r="D5636" s="61" t="n">
        <f aca="false">D5616</f>
        <v>947.7</v>
      </c>
      <c r="E5636" s="61" t="n">
        <f aca="false">E5616</f>
        <v>2527.2</v>
      </c>
      <c r="F5636" s="61" t="n">
        <f aca="false">F5616</f>
        <v>4422.6</v>
      </c>
      <c r="G5636" s="61" t="n">
        <f aca="false">G5616</f>
        <v>6318</v>
      </c>
      <c r="H5636" s="2" t="s">
        <v>1290</v>
      </c>
    </row>
    <row r="5637" customFormat="false" ht="15" hidden="false" customHeight="false" outlineLevel="1" collapsed="false">
      <c r="A5637" s="7" t="s">
        <v>634</v>
      </c>
      <c r="B5637" s="8" t="s">
        <v>11</v>
      </c>
      <c r="C5637" s="61" t="n">
        <f aca="false">C5618-C5652</f>
        <v>0</v>
      </c>
      <c r="D5637" s="61" t="n">
        <f aca="false">D5618-D5652</f>
        <v>10000</v>
      </c>
      <c r="E5637" s="61" t="n">
        <f aca="false">E5618-E5652</f>
        <v>30000</v>
      </c>
      <c r="F5637" s="61" t="n">
        <f aca="false">F5618-F5652</f>
        <v>60000</v>
      </c>
      <c r="G5637" s="61" t="n">
        <f aca="false">G5618-G5652</f>
        <v>100000</v>
      </c>
      <c r="H5637" s="2" t="s">
        <v>1291</v>
      </c>
    </row>
    <row r="5638" customFormat="false" ht="15" hidden="false" customHeight="false" outlineLevel="1" collapsed="false">
      <c r="A5638" s="7" t="s">
        <v>617</v>
      </c>
      <c r="B5638" s="8" t="s">
        <v>11</v>
      </c>
      <c r="C5638" s="61" t="n">
        <f aca="false">C5619</f>
        <v>0</v>
      </c>
      <c r="D5638" s="61" t="n">
        <f aca="false">D5619</f>
        <v>0</v>
      </c>
      <c r="E5638" s="61" t="n">
        <f aca="false">E5619</f>
        <v>0</v>
      </c>
      <c r="F5638" s="61" t="n">
        <f aca="false">F5619</f>
        <v>10000</v>
      </c>
      <c r="G5638" s="61" t="n">
        <f aca="false">G5619</f>
        <v>30000</v>
      </c>
      <c r="H5638" s="2" t="s">
        <v>1292</v>
      </c>
    </row>
    <row r="5639" customFormat="false" ht="15" hidden="false" customHeight="false" outlineLevel="1" collapsed="false">
      <c r="A5639" s="56" t="s">
        <v>635</v>
      </c>
      <c r="B5639" s="57" t="s">
        <v>11</v>
      </c>
      <c r="C5639" s="62" t="n">
        <f aca="false">C5631+C5635+C5636+C5637+C5638</f>
        <v>19942.2306164384</v>
      </c>
      <c r="D5639" s="62" t="n">
        <f aca="false">D5631+D5635+D5636+D5637+D5638</f>
        <v>104333.548373288</v>
      </c>
      <c r="E5639" s="62" t="n">
        <f aca="false">E5631+E5635+E5636+E5637+E5638</f>
        <v>264560.357264555</v>
      </c>
      <c r="F5639" s="62" t="n">
        <f aca="false">F5631+F5635+F5636+F5637+F5638</f>
        <v>485029.740436645</v>
      </c>
      <c r="G5639" s="62" t="n">
        <f aca="false">G5631+G5635+G5636+G5637+G5638</f>
        <v>758997.100941782</v>
      </c>
      <c r="H5639" s="2" t="s">
        <v>1293</v>
      </c>
    </row>
    <row r="5640" customFormat="false" ht="15" hidden="false" customHeight="false" outlineLevel="0" collapsed="false">
      <c r="A5640" s="3" t="s">
        <v>1294</v>
      </c>
      <c r="B5640" s="4"/>
      <c r="C5640" s="4"/>
      <c r="D5640" s="4"/>
      <c r="E5640" s="4"/>
      <c r="F5640" s="4"/>
      <c r="G5640" s="4"/>
      <c r="H5640" s="4"/>
    </row>
    <row r="5641" customFormat="false" ht="15" hidden="false" customHeight="false" outlineLevel="1" collapsed="false">
      <c r="A5641" s="7" t="s">
        <v>686</v>
      </c>
      <c r="B5641" s="8" t="s">
        <v>11</v>
      </c>
      <c r="C5641" s="61" t="n">
        <f aca="false">C5519*1000*(C5537+C5540)+C5520*1000*(C5560+C5563)+C5522*1000*(C5583+C5586)</f>
        <v>318552</v>
      </c>
      <c r="D5641" s="61" t="n">
        <f aca="false">D5519*1000*(D5537+D5540)+D5520*1000*(D5560+D5563)+D5522*1000*(D5583+D5586)</f>
        <v>2079090</v>
      </c>
      <c r="E5641" s="61" t="n">
        <f aca="false">E5519*1000*(E5537+E5540)+E5520*1000*(E5560+E5563)+E5522*1000*(E5583+E5586)</f>
        <v>4222725</v>
      </c>
      <c r="F5641" s="61" t="n">
        <f aca="false">F5519*1000*(F5537+F5540)+F5520*1000*(F5560+F5563)+F5522*1000*(F5583+F5586)</f>
        <v>7012005</v>
      </c>
      <c r="G5641" s="61" t="n">
        <f aca="false">G5519*1000*(G5537+G5540)+G5520*1000*(G5560+G5563)+G5522*1000*(G5583+G5586)</f>
        <v>10543650</v>
      </c>
      <c r="H5641" s="2" t="s">
        <v>1295</v>
      </c>
    </row>
    <row r="5642" customFormat="false" ht="15" hidden="false" customHeight="false" outlineLevel="1" collapsed="false">
      <c r="A5642" s="7" t="s">
        <v>687</v>
      </c>
      <c r="B5642" s="8" t="s">
        <v>11</v>
      </c>
      <c r="C5642" s="61" t="n">
        <f aca="false">C5532*1000*Pressupostos!$C$92</f>
        <v>0</v>
      </c>
      <c r="D5642" s="61" t="n">
        <f aca="false">D5532*1000*Pressupostos!$C$92</f>
        <v>0</v>
      </c>
      <c r="E5642" s="61" t="n">
        <f aca="false">E5532*1000*Pressupostos!$C$92</f>
        <v>0</v>
      </c>
      <c r="F5642" s="61" t="n">
        <f aca="false">F5532*1000*Pressupostos!$C$92</f>
        <v>182000</v>
      </c>
      <c r="G5642" s="61" t="n">
        <f aca="false">G5532*1000*Pressupostos!$C$92</f>
        <v>455000</v>
      </c>
      <c r="H5642" s="2" t="s">
        <v>1296</v>
      </c>
    </row>
    <row r="5643" customFormat="false" ht="15" hidden="false" customHeight="false" outlineLevel="1" collapsed="false">
      <c r="A5643" s="7" t="s">
        <v>688</v>
      </c>
      <c r="B5643" s="8" t="s">
        <v>11</v>
      </c>
      <c r="C5643" s="61" t="n">
        <f aca="false">C5641+C5642</f>
        <v>318552</v>
      </c>
      <c r="D5643" s="61" t="n">
        <f aca="false">D5641+D5642</f>
        <v>2079090</v>
      </c>
      <c r="E5643" s="61" t="n">
        <f aca="false">E5641+E5642</f>
        <v>4222725</v>
      </c>
      <c r="F5643" s="61" t="n">
        <f aca="false">F5641+F5642</f>
        <v>7194005</v>
      </c>
      <c r="G5643" s="61" t="n">
        <f aca="false">G5641+G5642</f>
        <v>10998650</v>
      </c>
      <c r="H5643" s="2" t="s">
        <v>1297</v>
      </c>
    </row>
    <row r="5644" customFormat="false" ht="15" hidden="false" customHeight="false" outlineLevel="1" collapsed="false">
      <c r="A5644" s="7" t="s">
        <v>215</v>
      </c>
      <c r="B5644" s="8" t="s">
        <v>11</v>
      </c>
      <c r="C5644" s="61" t="n">
        <f aca="false">C5519*1000*(C5541)+C5520*1000*(C5564)+C5522*1000*(C5587)+C5532*1000*Pressupostos!$C$94</f>
        <v>9958</v>
      </c>
      <c r="D5644" s="61" t="n">
        <f aca="false">D5519*1000*(D5541)+D5520*1000*(D5564)+D5522*1000*(D5587)+D5532*1000*Pressupostos!$C$94</f>
        <v>59182.5</v>
      </c>
      <c r="E5644" s="61" t="n">
        <f aca="false">E5519*1000*(E5541)+E5520*1000*(E5564)+E5522*1000*(E5587)+E5532*1000*Pressupostos!$C$94</f>
        <v>113737</v>
      </c>
      <c r="F5644" s="61" t="n">
        <f aca="false">F5519*1000*(F5541)+F5520*1000*(F5564)+F5522*1000*(F5587)+F5532*1000*Pressupostos!$C$94</f>
        <v>192679.5</v>
      </c>
      <c r="G5644" s="61" t="n">
        <f aca="false">G5519*1000*(G5541)+G5520*1000*(G5564)+G5522*1000*(G5587)+G5532*1000*Pressupostos!$C$94</f>
        <v>291135</v>
      </c>
      <c r="H5644" s="2" t="s">
        <v>1298</v>
      </c>
    </row>
    <row r="5645" customFormat="false" ht="15" hidden="false" customHeight="false" outlineLevel="1" collapsed="false">
      <c r="A5645" s="7" t="s">
        <v>117</v>
      </c>
      <c r="B5645" s="8" t="s">
        <v>11</v>
      </c>
      <c r="C5645" s="61" t="n">
        <f aca="false">C5519*1000*(C5542)+C5520*1000*(C5565)+C5522*1000*(C5588)</f>
        <v>639.6</v>
      </c>
      <c r="D5645" s="61" t="n">
        <f aca="false">D5519*1000*(D5542)+D5520*1000*(D5565)+D5522*1000*(D5588)</f>
        <v>2398.5</v>
      </c>
      <c r="E5645" s="61" t="n">
        <f aca="false">E5519*1000*(E5542)+E5520*1000*(E5565)+E5522*1000*(E5588)</f>
        <v>6396</v>
      </c>
      <c r="F5645" s="61" t="n">
        <f aca="false">F5519*1000*(F5542)+F5520*1000*(F5565)+F5522*1000*(F5588)</f>
        <v>11193</v>
      </c>
      <c r="G5645" s="61" t="n">
        <f aca="false">G5519*1000*(G5542)+G5520*1000*(G5565)+G5522*1000*(G5588)</f>
        <v>15990</v>
      </c>
      <c r="H5645" s="2" t="s">
        <v>1299</v>
      </c>
    </row>
    <row r="5646" customFormat="false" ht="15" hidden="false" customHeight="false" outlineLevel="1" collapsed="false">
      <c r="A5646" s="7" t="s">
        <v>689</v>
      </c>
      <c r="B5646" s="8" t="s">
        <v>11</v>
      </c>
      <c r="C5646" s="61" t="n">
        <f aca="false">C5519*1000*(C5545+C5546)+C5520*1000*(C5568+C5569)+C5522*1000*(C5591+C5592)</f>
        <v>604.620383561644</v>
      </c>
      <c r="D5646" s="61" t="n">
        <f aca="false">D5519*1000*(D5545+D5546)+D5520*1000*(D5568+D5569)+D5522*1000*(D5591+D5592)</f>
        <v>3270.17136986301</v>
      </c>
      <c r="E5646" s="61" t="n">
        <f aca="false">E5519*1000*(E5545+E5546)+E5520*1000*(E5568+E5569)+E5522*1000*(E5591+E5592)</f>
        <v>5015.53890410959</v>
      </c>
      <c r="F5646" s="61" t="n">
        <f aca="false">F5519*1000*(F5545+F5546)+F5520*1000*(F5568+F5569)+F5522*1000*(F5591+F5592)</f>
        <v>8348.8947260274</v>
      </c>
      <c r="G5646" s="61" t="n">
        <f aca="false">G5519*1000*(G5545+G5546)+G5520*1000*(G5568+G5569)+G5522*1000*(G5591+G5592)</f>
        <v>12523.9239726027</v>
      </c>
      <c r="H5646" s="2" t="s">
        <v>1300</v>
      </c>
    </row>
    <row r="5647" customFormat="false" ht="15" hidden="false" customHeight="false" outlineLevel="1" collapsed="false">
      <c r="A5647" s="7" t="s">
        <v>690</v>
      </c>
      <c r="B5647" s="8" t="s">
        <v>11</v>
      </c>
      <c r="C5647" s="61" t="n">
        <f aca="false">C5519*1000*(C5547+C5548+C5549)+C5520*1000*(C5570+C5571+C5572)+C5522*1000*(C5593+C5594+C5595)</f>
        <v>3477.825</v>
      </c>
      <c r="D5647" s="61" t="n">
        <f aca="false">D5519*1000*(D5547+D5548+D5549)+D5520*1000*(D5570+D5571+D5572)+D5522*1000*(D5593+D5594+D5595)</f>
        <v>21996.24375</v>
      </c>
      <c r="E5647" s="61" t="n">
        <f aca="false">E5519*1000*(E5547+E5548+E5549)+E5520*1000*(E5570+E5571+E5572)+E5522*1000*(E5593+E5594+E5595)</f>
        <v>43839.25</v>
      </c>
      <c r="F5647" s="61" t="n">
        <f aca="false">F5519*1000*(F5547+F5548+F5549)+F5520*1000*(F5570+F5571+F5572)+F5522*1000*(F5593+F5594+F5595)</f>
        <v>72894.4125</v>
      </c>
      <c r="G5647" s="61" t="n">
        <f aca="false">G5519*1000*(G5547+G5548+G5549)+G5520*1000*(G5570+G5571+G5572)+G5522*1000*(G5593+G5594+G5595)</f>
        <v>109464.875</v>
      </c>
      <c r="H5647" s="2" t="s">
        <v>1301</v>
      </c>
    </row>
    <row r="5648" customFormat="false" ht="15" hidden="false" customHeight="false" outlineLevel="1" collapsed="false">
      <c r="A5648" s="7" t="s">
        <v>673</v>
      </c>
      <c r="B5648" s="8" t="s">
        <v>11</v>
      </c>
      <c r="C5648" s="61" t="n">
        <f aca="false">C5519*1000*(C5550)+C5520*1000*(C5573)+C5522*1000*(C5596)</f>
        <v>3770</v>
      </c>
      <c r="D5648" s="61" t="n">
        <f aca="false">D5519*1000*(D5550)+D5520*1000*(D5573)+D5522*1000*(D5596)</f>
        <v>22873.5</v>
      </c>
      <c r="E5648" s="61" t="n">
        <f aca="false">E5519*1000*(E5550)+E5520*1000*(E5573)+E5522*1000*(E5596)</f>
        <v>47944</v>
      </c>
      <c r="F5648" s="61" t="n">
        <f aca="false">F5519*1000*(F5550)+F5520*1000*(F5573)+F5522*1000*(F5596)</f>
        <v>80171</v>
      </c>
      <c r="G5648" s="61" t="n">
        <f aca="false">G5519*1000*(G5550)+G5520*1000*(G5573)+G5522*1000*(G5596)</f>
        <v>119730</v>
      </c>
      <c r="H5648" s="2" t="s">
        <v>1302</v>
      </c>
    </row>
    <row r="5649" customFormat="false" ht="15" hidden="false" customHeight="false" outlineLevel="1" collapsed="false">
      <c r="A5649" s="7" t="s">
        <v>691</v>
      </c>
      <c r="B5649" s="8" t="s">
        <v>11</v>
      </c>
      <c r="C5649" s="61" t="n">
        <f aca="false">C5519*1000*(C5551)+C5520*1000*(C5574)+C5522*1000*(C5597)+C5532*1000*Pressupostos!$C$99</f>
        <v>444.6</v>
      </c>
      <c r="D5649" s="61" t="n">
        <f aca="false">D5519*1000*(D5551)+D5520*1000*(D5574)+D5522*1000*(D5597)+D5532*1000*Pressupostos!$C$99</f>
        <v>2759.25</v>
      </c>
      <c r="E5649" s="61" t="n">
        <f aca="false">E5519*1000*(E5551)+E5520*1000*(E5574)+E5522*1000*(E5597)+E5532*1000*Pressupostos!$C$99</f>
        <v>5726.5</v>
      </c>
      <c r="F5649" s="61" t="n">
        <f aca="false">F5519*1000*(F5551)+F5520*1000*(F5574)+F5522*1000*(F5597)+F5532*1000*Pressupostos!$C$99</f>
        <v>10335</v>
      </c>
      <c r="G5649" s="61" t="n">
        <f aca="false">G5519*1000*(G5551)+G5520*1000*(G5574)+G5522*1000*(G5597)+G5532*1000*Pressupostos!$C$99</f>
        <v>16250</v>
      </c>
      <c r="H5649" s="2" t="s">
        <v>1303</v>
      </c>
    </row>
    <row r="5650" customFormat="false" ht="15" hidden="false" customHeight="false" outlineLevel="1" collapsed="false">
      <c r="A5650" s="7" t="s">
        <v>81</v>
      </c>
      <c r="B5650" s="8" t="s">
        <v>11</v>
      </c>
      <c r="C5650" s="61" t="n">
        <f aca="false">C5519*1000*(C5552)+C5520*1000*(C5575)+C5522*1000*(C5598)+C5532*1000*Pressupostos!$C$98*Pressupostos!$C$93</f>
        <v>1247.844</v>
      </c>
      <c r="D5650" s="61" t="n">
        <f aca="false">D5519*1000*(D5552)+D5520*1000*(D5575)+D5522*1000*(D5598)+D5532*1000*Pressupostos!$C$98*Pressupostos!$C$93</f>
        <v>7595.055</v>
      </c>
      <c r="E5650" s="61" t="n">
        <f aca="false">E5519*1000*(E5552)+E5520*1000*(E5575)+E5522*1000*(E5598)+E5532*1000*Pressupostos!$C$98*Pressupostos!$C$93</f>
        <v>15897.375</v>
      </c>
      <c r="F5650" s="61" t="n">
        <f aca="false">F5519*1000*(F5552)+F5520*1000*(F5575)+F5522*1000*(F5598)+F5532*1000*Pressupostos!$C$98*Pressupostos!$C$93</f>
        <v>27799.785</v>
      </c>
      <c r="G5650" s="61" t="n">
        <f aca="false">G5519*1000*(G5552)+G5520*1000*(G5575)+G5522*1000*(G5598)+G5532*1000*Pressupostos!$C$98*Pressupostos!$C$93</f>
        <v>42761.55</v>
      </c>
      <c r="H5650" s="2" t="s">
        <v>1304</v>
      </c>
    </row>
    <row r="5651" customFormat="false" ht="15" hidden="false" customHeight="false" outlineLevel="1" collapsed="false">
      <c r="A5651" s="7" t="s">
        <v>692</v>
      </c>
      <c r="B5651" s="8" t="s">
        <v>11</v>
      </c>
      <c r="C5651" s="61" t="n">
        <f aca="false">C5519*1000*(C5553)+C5520*1000*(C5576)+C5522*1000*(C5599)+C5532*1000*Pressupostos!$F$29*Pressupostos!$C$92</f>
        <v>0</v>
      </c>
      <c r="D5651" s="61" t="n">
        <f aca="false">D5519*1000*(D5553)+D5520*1000*(D5576)+D5522*1000*(D5599)+D5532*1000*Pressupostos!$F$29*Pressupostos!$C$92</f>
        <v>0</v>
      </c>
      <c r="E5651" s="61" t="n">
        <f aca="false">E5519*1000*(E5553)+E5520*1000*(E5576)+E5522*1000*(E5599)+E5532*1000*Pressupostos!$F$29*Pressupostos!$C$92</f>
        <v>0</v>
      </c>
      <c r="F5651" s="61" t="n">
        <f aca="false">F5519*1000*(F5553)+F5520*1000*(F5576)+F5522*1000*(F5599)+F5532*1000*Pressupostos!$F$29*Pressupostos!$C$92</f>
        <v>546</v>
      </c>
      <c r="G5651" s="61" t="n">
        <f aca="false">G5519*1000*(G5553)+G5520*1000*(G5576)+G5522*1000*(G5599)+G5532*1000*Pressupostos!$F$29*Pressupostos!$C$92</f>
        <v>1365</v>
      </c>
      <c r="H5651" s="2" t="s">
        <v>1305</v>
      </c>
    </row>
    <row r="5652" customFormat="false" ht="15" hidden="false" customHeight="false" outlineLevel="1" collapsed="false">
      <c r="A5652" s="7" t="s">
        <v>693</v>
      </c>
      <c r="B5652" s="8" t="s">
        <v>11</v>
      </c>
      <c r="C5652" s="61" t="n">
        <f aca="false">C5535*1000*Pressupostos!$C$104*Pressupostos!$F$30</f>
        <v>0</v>
      </c>
      <c r="D5652" s="61" t="n">
        <f aca="false">D5535*1000*Pressupostos!$C$104*Pressupostos!$F$30</f>
        <v>0</v>
      </c>
      <c r="E5652" s="61" t="n">
        <f aca="false">E5535*1000*Pressupostos!$C$104*Pressupostos!$F$30</f>
        <v>0</v>
      </c>
      <c r="F5652" s="61" t="n">
        <f aca="false">F5535*1000*Pressupostos!$C$104*Pressupostos!$F$30</f>
        <v>0</v>
      </c>
      <c r="G5652" s="61" t="n">
        <f aca="false">G5535*1000*Pressupostos!$C$104*Pressupostos!$F$30</f>
        <v>0</v>
      </c>
      <c r="H5652" s="2" t="s">
        <v>1306</v>
      </c>
    </row>
    <row r="5653" customFormat="false" ht="15" hidden="false" customHeight="false" outlineLevel="1" collapsed="false">
      <c r="A5653" s="7" t="s">
        <v>694</v>
      </c>
      <c r="B5653" s="8" t="s">
        <v>11</v>
      </c>
      <c r="C5653" s="61" t="n">
        <f aca="false">C5523*1000*C5607</f>
        <v>0</v>
      </c>
      <c r="D5653" s="61" t="n">
        <f aca="false">D5523*1000*D5607</f>
        <v>12350</v>
      </c>
      <c r="E5653" s="61" t="n">
        <f aca="false">E5523*1000*E5607</f>
        <v>37050</v>
      </c>
      <c r="F5653" s="61" t="n">
        <f aca="false">F5523*1000*F5607</f>
        <v>61750</v>
      </c>
      <c r="G5653" s="61" t="n">
        <f aca="false">G5523*1000*G5607</f>
        <v>86450</v>
      </c>
      <c r="H5653" s="2" t="s">
        <v>1307</v>
      </c>
    </row>
    <row r="5654" customFormat="false" ht="15" hidden="false" customHeight="false" outlineLevel="1" collapsed="false">
      <c r="A5654" s="7" t="s">
        <v>695</v>
      </c>
      <c r="B5654" s="8" t="s">
        <v>11</v>
      </c>
      <c r="C5654" s="61" t="n">
        <f aca="false">C5644+C5645+C5646+C5647+C5648+C5649+C5650+C5651+C5652+C5653</f>
        <v>20142.4893835616</v>
      </c>
      <c r="D5654" s="61" t="n">
        <f aca="false">D5644+D5645+D5646+D5647+D5648+D5649+D5650+D5651+D5652+D5653</f>
        <v>132425.220119863</v>
      </c>
      <c r="E5654" s="61" t="n">
        <f aca="false">E5644+E5645+E5646+E5647+E5648+E5649+E5650+E5651+E5652+E5653</f>
        <v>275605.66390411</v>
      </c>
      <c r="F5654" s="61" t="n">
        <f aca="false">F5644+F5645+F5646+F5647+F5648+F5649+F5650+F5651+F5652+F5653</f>
        <v>465717.592226027</v>
      </c>
      <c r="G5654" s="61" t="n">
        <f aca="false">G5644+G5645+G5646+G5647+G5648+G5649+G5650+G5651+G5652+G5653</f>
        <v>695670.348972603</v>
      </c>
      <c r="H5654" s="2" t="s">
        <v>1308</v>
      </c>
    </row>
    <row r="5655" customFormat="false" ht="15" hidden="false" customHeight="false" outlineLevel="1" collapsed="false">
      <c r="A5655" s="7" t="s">
        <v>696</v>
      </c>
      <c r="B5655" s="8" t="s">
        <v>11</v>
      </c>
      <c r="C5655" s="61" t="n">
        <f aca="false">C5519*1000*(C5554)+C5520*1000*(C5577)+C5522*1000*(C5600)</f>
        <v>0</v>
      </c>
      <c r="D5655" s="61" t="n">
        <f aca="false">D5519*1000*(D5554)+D5520*1000*(D5577)+D5522*1000*(D5600)</f>
        <v>27981.4315068493</v>
      </c>
      <c r="E5655" s="61" t="n">
        <f aca="false">E5519*1000*(E5554)+E5520*1000*(E5577)+E5522*1000*(E5600)</f>
        <v>44308.6788313356</v>
      </c>
      <c r="F5655" s="61" t="n">
        <f aca="false">F5519*1000*(F5554)+F5520*1000*(F5577)+F5522*1000*(F5600)</f>
        <v>68635.2502140411</v>
      </c>
      <c r="G5655" s="61" t="n">
        <f aca="false">G5519*1000*(G5554)+G5520*1000*(G5577)+G5522*1000*(G5600)</f>
        <v>103256.757277397</v>
      </c>
      <c r="H5655" s="2" t="s">
        <v>1309</v>
      </c>
    </row>
    <row r="5656" customFormat="false" ht="15" hidden="false" customHeight="false" outlineLevel="1" collapsed="false">
      <c r="A5656" s="7" t="s">
        <v>697</v>
      </c>
      <c r="B5656" s="8" t="s">
        <v>11</v>
      </c>
      <c r="C5656" s="61" t="n">
        <f aca="false">C5532*1000*C5634</f>
        <v>0</v>
      </c>
      <c r="D5656" s="61" t="n">
        <f aca="false">D5532*1000*D5634</f>
        <v>0</v>
      </c>
      <c r="E5656" s="61" t="n">
        <f aca="false">E5532*1000*E5634</f>
        <v>0</v>
      </c>
      <c r="F5656" s="61" t="n">
        <f aca="false">F5532*1000*F5634</f>
        <v>1472.51712328767</v>
      </c>
      <c r="G5656" s="61" t="n">
        <f aca="false">G5532*1000*G5634</f>
        <v>3681.29280821918</v>
      </c>
      <c r="H5656" s="2" t="s">
        <v>1310</v>
      </c>
    </row>
    <row r="5657" customFormat="false" ht="15" hidden="false" customHeight="false" outlineLevel="1" collapsed="false">
      <c r="A5657" s="7" t="s">
        <v>698</v>
      </c>
      <c r="B5657" s="8" t="s">
        <v>11</v>
      </c>
      <c r="C5657" s="61" t="n">
        <f aca="false">C5655+C5656</f>
        <v>0</v>
      </c>
      <c r="D5657" s="61" t="n">
        <f aca="false">D5655+D5656</f>
        <v>27981.4315068493</v>
      </c>
      <c r="E5657" s="61" t="n">
        <f aca="false">E5655+E5656</f>
        <v>44308.6788313356</v>
      </c>
      <c r="F5657" s="61" t="n">
        <f aca="false">F5655+F5656</f>
        <v>70107.7673373288</v>
      </c>
      <c r="G5657" s="61" t="n">
        <f aca="false">G5655+G5656</f>
        <v>106938.050085616</v>
      </c>
      <c r="H5657" s="2" t="s">
        <v>1311</v>
      </c>
    </row>
    <row r="5658" customFormat="false" ht="15" hidden="false" customHeight="false" outlineLevel="1" collapsed="false">
      <c r="A5658" s="8" t="s">
        <v>699</v>
      </c>
      <c r="B5658" s="8" t="s">
        <v>11</v>
      </c>
      <c r="C5658" s="70" t="n">
        <f aca="false">ROUND(C5620-C5643-C5654-C5657-C5639,6)</f>
        <v>-0</v>
      </c>
      <c r="D5658" s="70" t="n">
        <f aca="false">ROUND(D5620-D5643-D5654-D5657-D5639,6)</f>
        <v>0</v>
      </c>
      <c r="E5658" s="70" t="n">
        <f aca="false">ROUND(E5620-E5643-E5654-E5657-E5639,6)</f>
        <v>0</v>
      </c>
      <c r="F5658" s="70" t="n">
        <f aca="false">ROUND(F5620-F5643-F5654-F5657-F5639,6)</f>
        <v>-0</v>
      </c>
      <c r="G5658" s="70" t="n">
        <f aca="false">ROUND(G5620-G5643-G5654-G5657-G5639,6)</f>
        <v>-0</v>
      </c>
      <c r="H5658" s="2" t="s">
        <v>1312</v>
      </c>
    </row>
    <row r="5659" customFormat="false" ht="15" hidden="false" customHeight="false" outlineLevel="0" collapsed="false">
      <c r="A5659" s="3" t="s">
        <v>1313</v>
      </c>
      <c r="B5659" s="4"/>
      <c r="C5659" s="4"/>
      <c r="D5659" s="4"/>
      <c r="E5659" s="4"/>
      <c r="F5659" s="4"/>
      <c r="G5659" s="4"/>
      <c r="H5659" s="4"/>
    </row>
    <row r="5660" customFormat="false" ht="15" hidden="false" customHeight="false" outlineLevel="1" collapsed="false">
      <c r="A5660" s="7" t="s">
        <v>638</v>
      </c>
      <c r="B5660" s="8" t="s">
        <v>432</v>
      </c>
      <c r="C5660" s="64" t="n">
        <f aca="false">Pressupostos!$C$334</f>
        <v>1</v>
      </c>
      <c r="D5660" s="64" t="n">
        <f aca="false">Pressupostos!$D$334</f>
        <v>1</v>
      </c>
      <c r="E5660" s="64" t="n">
        <f aca="false">Pressupostos!$E$334</f>
        <v>1</v>
      </c>
      <c r="F5660" s="64" t="n">
        <f aca="false">Pressupostos!$F$334</f>
        <v>1</v>
      </c>
      <c r="G5660" s="64" t="n">
        <f aca="false">Pressupostos!$G$334</f>
        <v>1</v>
      </c>
      <c r="H5660" s="2" t="s">
        <v>1314</v>
      </c>
    </row>
    <row r="5661" customFormat="false" ht="15" hidden="false" customHeight="false" outlineLevel="1" collapsed="false">
      <c r="A5661" s="7" t="s">
        <v>639</v>
      </c>
      <c r="B5661" s="8" t="s">
        <v>432</v>
      </c>
      <c r="C5661" s="64" t="n">
        <f aca="false">Pressupostos!$C$340</f>
        <v>1</v>
      </c>
      <c r="D5661" s="64" t="n">
        <f aca="false">Pressupostos!$D$340</f>
        <v>1</v>
      </c>
      <c r="E5661" s="64" t="n">
        <f aca="false">Pressupostos!$E$340</f>
        <v>1</v>
      </c>
      <c r="F5661" s="64" t="n">
        <f aca="false">Pressupostos!$F$340</f>
        <v>1</v>
      </c>
      <c r="G5661" s="64" t="n">
        <f aca="false">Pressupostos!$G$340</f>
        <v>1</v>
      </c>
      <c r="H5661" s="2" t="s">
        <v>1315</v>
      </c>
    </row>
    <row r="5662" customFormat="false" ht="15" hidden="false" customHeight="false" outlineLevel="1" collapsed="false">
      <c r="A5662" s="7" t="s">
        <v>640</v>
      </c>
      <c r="B5662" s="8" t="s">
        <v>432</v>
      </c>
      <c r="C5662" s="64" t="n">
        <f aca="false">Pressupostos!$C$346</f>
        <v>0</v>
      </c>
      <c r="D5662" s="64" t="n">
        <f aca="false">Pressupostos!$D$346</f>
        <v>1</v>
      </c>
      <c r="E5662" s="64" t="n">
        <f aca="false">Pressupostos!$E$346</f>
        <v>1</v>
      </c>
      <c r="F5662" s="64" t="n">
        <f aca="false">Pressupostos!$F$346</f>
        <v>1</v>
      </c>
      <c r="G5662" s="64" t="n">
        <f aca="false">Pressupostos!$G$346</f>
        <v>1</v>
      </c>
      <c r="H5662" s="2" t="s">
        <v>1316</v>
      </c>
    </row>
    <row r="5663" customFormat="false" ht="15" hidden="false" customHeight="false" outlineLevel="1" collapsed="false">
      <c r="A5663" s="7" t="s">
        <v>641</v>
      </c>
      <c r="B5663" s="8" t="s">
        <v>432</v>
      </c>
      <c r="C5663" s="64" t="n">
        <f aca="false">Pressupostos!$C$352</f>
        <v>0.5</v>
      </c>
      <c r="D5663" s="64" t="n">
        <f aca="false">Pressupostos!$D$352</f>
        <v>1</v>
      </c>
      <c r="E5663" s="64" t="n">
        <f aca="false">Pressupostos!$E$352</f>
        <v>1</v>
      </c>
      <c r="F5663" s="64" t="n">
        <f aca="false">Pressupostos!$F$352</f>
        <v>1</v>
      </c>
      <c r="G5663" s="64" t="n">
        <f aca="false">Pressupostos!$G$352</f>
        <v>1</v>
      </c>
      <c r="H5663" s="2" t="s">
        <v>1317</v>
      </c>
    </row>
    <row r="5664" customFormat="false" ht="15" hidden="false" customHeight="false" outlineLevel="1" collapsed="false">
      <c r="A5664" s="7" t="s">
        <v>642</v>
      </c>
      <c r="B5664" s="8" t="s">
        <v>432</v>
      </c>
      <c r="C5664" s="64" t="n">
        <f aca="false">Pressupostos!$C$358</f>
        <v>0.5</v>
      </c>
      <c r="D5664" s="64" t="n">
        <f aca="false">Pressupostos!$D$358</f>
        <v>0.5</v>
      </c>
      <c r="E5664" s="64" t="n">
        <f aca="false">Pressupostos!$E$358</f>
        <v>0.5</v>
      </c>
      <c r="F5664" s="64" t="n">
        <f aca="false">Pressupostos!$F$358</f>
        <v>1</v>
      </c>
      <c r="G5664" s="64" t="n">
        <f aca="false">Pressupostos!$G$358</f>
        <v>1</v>
      </c>
      <c r="H5664" s="2" t="s">
        <v>1318</v>
      </c>
    </row>
    <row r="5665" customFormat="false" ht="15" hidden="false" customHeight="false" outlineLevel="1" collapsed="false">
      <c r="A5665" s="7" t="s">
        <v>643</v>
      </c>
      <c r="B5665" s="8" t="s">
        <v>432</v>
      </c>
      <c r="C5665" s="64" t="n">
        <f aca="false">Pressupostos!$C$364</f>
        <v>1</v>
      </c>
      <c r="D5665" s="64" t="n">
        <f aca="false">Pressupostos!$D$364</f>
        <v>1</v>
      </c>
      <c r="E5665" s="64" t="n">
        <f aca="false">Pressupostos!$E$364</f>
        <v>1</v>
      </c>
      <c r="F5665" s="64" t="n">
        <f aca="false">Pressupostos!$F$364</f>
        <v>1</v>
      </c>
      <c r="G5665" s="64" t="n">
        <f aca="false">Pressupostos!$G$364</f>
        <v>1</v>
      </c>
      <c r="H5665" s="2" t="s">
        <v>1319</v>
      </c>
    </row>
    <row r="5666" customFormat="false" ht="15" hidden="false" customHeight="false" outlineLevel="1" collapsed="false">
      <c r="A5666" s="7" t="s">
        <v>644</v>
      </c>
      <c r="B5666" s="8" t="s">
        <v>432</v>
      </c>
      <c r="C5666" s="64" t="n">
        <f aca="false">Pressupostos!$C$370</f>
        <v>0.5</v>
      </c>
      <c r="D5666" s="64" t="n">
        <f aca="false">Pressupostos!$D$370</f>
        <v>1</v>
      </c>
      <c r="E5666" s="64" t="n">
        <f aca="false">Pressupostos!$E$370</f>
        <v>1</v>
      </c>
      <c r="F5666" s="64" t="n">
        <f aca="false">Pressupostos!$F$370</f>
        <v>1</v>
      </c>
      <c r="G5666" s="64" t="n">
        <f aca="false">Pressupostos!$G$370</f>
        <v>1</v>
      </c>
      <c r="H5666" s="2" t="s">
        <v>1320</v>
      </c>
    </row>
    <row r="5667" customFormat="false" ht="15" hidden="false" customHeight="false" outlineLevel="1" collapsed="false">
      <c r="A5667" s="7" t="s">
        <v>645</v>
      </c>
      <c r="B5667" s="8" t="s">
        <v>432</v>
      </c>
      <c r="C5667" s="64" t="n">
        <f aca="false">Pressupostos!$C$376</f>
        <v>1</v>
      </c>
      <c r="D5667" s="64" t="n">
        <f aca="false">Pressupostos!$D$376</f>
        <v>1</v>
      </c>
      <c r="E5667" s="64" t="n">
        <f aca="false">Pressupostos!$E$376</f>
        <v>1</v>
      </c>
      <c r="F5667" s="64" t="n">
        <f aca="false">Pressupostos!$F$376</f>
        <v>2</v>
      </c>
      <c r="G5667" s="64" t="n">
        <f aca="false">Pressupostos!$G$376</f>
        <v>3</v>
      </c>
      <c r="H5667" s="2" t="s">
        <v>1321</v>
      </c>
    </row>
    <row r="5668" customFormat="false" ht="15" hidden="false" customHeight="false" outlineLevel="1" collapsed="false">
      <c r="A5668" s="7" t="s">
        <v>646</v>
      </c>
      <c r="B5668" s="8" t="s">
        <v>432</v>
      </c>
      <c r="C5668" s="64" t="n">
        <f aca="false">Pressupostos!$C$382</f>
        <v>0</v>
      </c>
      <c r="D5668" s="64" t="n">
        <f aca="false">Pressupostos!$D$382</f>
        <v>0</v>
      </c>
      <c r="E5668" s="64" t="n">
        <f aca="false">Pressupostos!$E$382</f>
        <v>0</v>
      </c>
      <c r="F5668" s="64" t="n">
        <f aca="false">Pressupostos!$F$382</f>
        <v>0</v>
      </c>
      <c r="G5668" s="64" t="n">
        <f aca="false">Pressupostos!$G$382</f>
        <v>0</v>
      </c>
      <c r="H5668" s="2" t="s">
        <v>1322</v>
      </c>
    </row>
    <row r="5669" customFormat="false" ht="15" hidden="false" customHeight="false" outlineLevel="1" collapsed="false">
      <c r="A5669" s="7" t="s">
        <v>647</v>
      </c>
      <c r="B5669" s="8" t="s">
        <v>432</v>
      </c>
      <c r="C5669" s="64" t="n">
        <f aca="false">Pressupostos!$C$388</f>
        <v>0</v>
      </c>
      <c r="D5669" s="64" t="n">
        <f aca="false">Pressupostos!$D$388</f>
        <v>0</v>
      </c>
      <c r="E5669" s="64" t="n">
        <f aca="false">Pressupostos!$E$388</f>
        <v>0</v>
      </c>
      <c r="F5669" s="64" t="n">
        <f aca="false">Pressupostos!$F$388</f>
        <v>0</v>
      </c>
      <c r="G5669" s="64" t="n">
        <f aca="false">Pressupostos!$G$388</f>
        <v>0</v>
      </c>
      <c r="H5669" s="2" t="s">
        <v>1323</v>
      </c>
    </row>
    <row r="5670" customFormat="false" ht="15" hidden="false" customHeight="false" outlineLevel="1" collapsed="false">
      <c r="A5670" s="7" t="s">
        <v>648</v>
      </c>
      <c r="B5670" s="8" t="s">
        <v>432</v>
      </c>
      <c r="C5670" s="64" t="n">
        <f aca="false">Pressupostos!$C$394</f>
        <v>0</v>
      </c>
      <c r="D5670" s="64" t="n">
        <f aca="false">Pressupostos!$D$394</f>
        <v>0</v>
      </c>
      <c r="E5670" s="64" t="n">
        <f aca="false">Pressupostos!$E$394</f>
        <v>0</v>
      </c>
      <c r="F5670" s="64" t="n">
        <f aca="false">Pressupostos!$F$394</f>
        <v>1</v>
      </c>
      <c r="G5670" s="64" t="n">
        <f aca="false">Pressupostos!$G$394</f>
        <v>1</v>
      </c>
      <c r="H5670" s="2" t="s">
        <v>1324</v>
      </c>
    </row>
    <row r="5671" customFormat="false" ht="15" hidden="false" customHeight="false" outlineLevel="1" collapsed="false">
      <c r="A5671" s="7" t="s">
        <v>649</v>
      </c>
      <c r="B5671" s="8" t="s">
        <v>432</v>
      </c>
      <c r="C5671" s="64" t="n">
        <f aca="false">Pressupostos!$C$400</f>
        <v>0</v>
      </c>
      <c r="D5671" s="64" t="n">
        <f aca="false">Pressupostos!$D$400</f>
        <v>0</v>
      </c>
      <c r="E5671" s="64" t="n">
        <f aca="false">Pressupostos!$E$400</f>
        <v>1</v>
      </c>
      <c r="F5671" s="64" t="n">
        <f aca="false">Pressupostos!$F$400</f>
        <v>1</v>
      </c>
      <c r="G5671" s="64" t="n">
        <f aca="false">Pressupostos!$G$400</f>
        <v>1</v>
      </c>
      <c r="H5671" s="2" t="s">
        <v>1325</v>
      </c>
    </row>
    <row r="5672" customFormat="false" ht="15" hidden="false" customHeight="false" outlineLevel="1" collapsed="false">
      <c r="A5672" s="56" t="s">
        <v>650</v>
      </c>
      <c r="B5672" s="57" t="s">
        <v>432</v>
      </c>
      <c r="C5672" s="65" t="n">
        <f aca="false">C5660+C5661+C5662+C5663+C5664+C5665+C5666+C5667+C5668+C5669+C5670+C5671</f>
        <v>5.5</v>
      </c>
      <c r="D5672" s="65" t="n">
        <f aca="false">D5660+D5661+D5662+D5663+D5664+D5665+D5666+D5667+D5668+D5669+D5670+D5671</f>
        <v>7.5</v>
      </c>
      <c r="E5672" s="65" t="n">
        <f aca="false">E5660+E5661+E5662+E5663+E5664+E5665+E5666+E5667+E5668+E5669+E5670+E5671</f>
        <v>8.5</v>
      </c>
      <c r="F5672" s="65" t="n">
        <f aca="false">F5660+F5661+F5662+F5663+F5664+F5665+F5666+F5667+F5668+F5669+F5670+F5671</f>
        <v>11</v>
      </c>
      <c r="G5672" s="65" t="n">
        <f aca="false">G5660+G5661+G5662+G5663+G5664+G5665+G5666+G5667+G5668+G5669+G5670+G5671</f>
        <v>12</v>
      </c>
      <c r="H5672" s="2" t="s">
        <v>1326</v>
      </c>
    </row>
    <row r="5673" customFormat="false" ht="15" hidden="false" customHeight="false" outlineLevel="0" collapsed="false">
      <c r="A5673" s="3" t="s">
        <v>1327</v>
      </c>
      <c r="B5673" s="4"/>
      <c r="C5673" s="4"/>
      <c r="D5673" s="4"/>
      <c r="E5673" s="4"/>
      <c r="F5673" s="4"/>
      <c r="G5673" s="4"/>
      <c r="H5673" s="4"/>
    </row>
    <row r="5674" customFormat="false" ht="15" hidden="false" customHeight="false" outlineLevel="1" collapsed="false">
      <c r="A5674" s="7" t="s">
        <v>638</v>
      </c>
      <c r="B5674" s="8" t="s">
        <v>11</v>
      </c>
      <c r="C5674" s="61" t="n">
        <f aca="false">C5660*Pressupostos!$C$131*(1+Pressupostos!$C$127)^0*(1+Pressupostos!$C$132)*Pressupostos!$C$128</f>
        <v>43998</v>
      </c>
      <c r="D5674" s="61" t="n">
        <f aca="false">D5660*Pressupostos!$C$131*(1+Pressupostos!$C$127)^1*(1+Pressupostos!$C$132)</f>
        <v>61800</v>
      </c>
      <c r="E5674" s="61" t="n">
        <f aca="false">E5660*Pressupostos!$C$131*(1+Pressupostos!$C$127)^2*(1+Pressupostos!$C$132)</f>
        <v>63654</v>
      </c>
      <c r="F5674" s="61" t="n">
        <f aca="false">F5660*Pressupostos!$C$131*(1+Pressupostos!$C$127)^3*(1+Pressupostos!$C$132)</f>
        <v>65563.62</v>
      </c>
      <c r="G5674" s="61" t="n">
        <f aca="false">G5660*Pressupostos!$C$131*(1+Pressupostos!$C$127)^4*(1+Pressupostos!$C$132)</f>
        <v>67530.5286</v>
      </c>
      <c r="H5674" s="2" t="s">
        <v>1328</v>
      </c>
    </row>
    <row r="5675" customFormat="false" ht="15" hidden="false" customHeight="false" outlineLevel="1" collapsed="false">
      <c r="A5675" s="7" t="s">
        <v>639</v>
      </c>
      <c r="B5675" s="8" t="s">
        <v>11</v>
      </c>
      <c r="C5675" s="61" t="n">
        <f aca="false">C5661*Pressupostos!$C$133*(1+Pressupostos!$C$127)^0*(1+Pressupostos!$C$134)*Pressupostos!$C$128</f>
        <v>47664.5</v>
      </c>
      <c r="D5675" s="61" t="n">
        <f aca="false">D5661*Pressupostos!$C$133*(1+Pressupostos!$C$127)^1*(1+Pressupostos!$C$134)</f>
        <v>66950</v>
      </c>
      <c r="E5675" s="61" t="n">
        <f aca="false">E5661*Pressupostos!$C$133*(1+Pressupostos!$C$127)^2*(1+Pressupostos!$C$134)</f>
        <v>68958.5</v>
      </c>
      <c r="F5675" s="61" t="n">
        <f aca="false">F5661*Pressupostos!$C$133*(1+Pressupostos!$C$127)^3*(1+Pressupostos!$C$134)</f>
        <v>71027.255</v>
      </c>
      <c r="G5675" s="61" t="n">
        <f aca="false">G5661*Pressupostos!$C$133*(1+Pressupostos!$C$127)^4*(1+Pressupostos!$C$134)</f>
        <v>73158.07265</v>
      </c>
      <c r="H5675" s="2" t="s">
        <v>1329</v>
      </c>
    </row>
    <row r="5676" customFormat="false" ht="15" hidden="false" customHeight="false" outlineLevel="1" collapsed="false">
      <c r="A5676" s="7" t="s">
        <v>640</v>
      </c>
      <c r="B5676" s="8" t="s">
        <v>11</v>
      </c>
      <c r="C5676" s="61" t="n">
        <f aca="false">C5662*Pressupostos!$C$135*(1+Pressupostos!$C$127)^0*(1+Pressupostos!$C$136)</f>
        <v>0</v>
      </c>
      <c r="D5676" s="61" t="n">
        <f aca="false">D5662*Pressupostos!$C$135*(1+Pressupostos!$C$127)^1*(1+Pressupostos!$C$136)</f>
        <v>46350</v>
      </c>
      <c r="E5676" s="61" t="n">
        <f aca="false">E5662*Pressupostos!$C$135*(1+Pressupostos!$C$127)^2*(1+Pressupostos!$C$136)</f>
        <v>47740.5</v>
      </c>
      <c r="F5676" s="61" t="n">
        <f aca="false">F5662*Pressupostos!$C$135*(1+Pressupostos!$C$127)^3*(1+Pressupostos!$C$136)</f>
        <v>49172.715</v>
      </c>
      <c r="G5676" s="61" t="n">
        <f aca="false">G5662*Pressupostos!$C$135*(1+Pressupostos!$C$127)^4*(1+Pressupostos!$C$136)</f>
        <v>50647.89645</v>
      </c>
      <c r="H5676" s="2" t="s">
        <v>1330</v>
      </c>
    </row>
    <row r="5677" customFormat="false" ht="15" hidden="false" customHeight="false" outlineLevel="1" collapsed="false">
      <c r="A5677" s="7" t="s">
        <v>641</v>
      </c>
      <c r="B5677" s="8" t="s">
        <v>11</v>
      </c>
      <c r="C5677" s="61" t="n">
        <f aca="false">C5663*Pressupostos!$C$137*(1+Pressupostos!$C$127)^0*(1+Pressupostos!$C$138)</f>
        <v>30000</v>
      </c>
      <c r="D5677" s="61" t="n">
        <f aca="false">D5663*Pressupostos!$C$137*(1+Pressupostos!$C$127)^1*(1+Pressupostos!$C$138)</f>
        <v>61800</v>
      </c>
      <c r="E5677" s="61" t="n">
        <f aca="false">E5663*Pressupostos!$C$137*(1+Pressupostos!$C$127)^2*(1+Pressupostos!$C$138)</f>
        <v>63654</v>
      </c>
      <c r="F5677" s="61" t="n">
        <f aca="false">F5663*Pressupostos!$C$137*(1+Pressupostos!$C$127)^3*(1+Pressupostos!$C$138)</f>
        <v>65563.62</v>
      </c>
      <c r="G5677" s="61" t="n">
        <f aca="false">G5663*Pressupostos!$C$137*(1+Pressupostos!$C$127)^4*(1+Pressupostos!$C$138)</f>
        <v>67530.5286</v>
      </c>
      <c r="H5677" s="2" t="s">
        <v>1331</v>
      </c>
    </row>
    <row r="5678" customFormat="false" ht="15" hidden="false" customHeight="false" outlineLevel="1" collapsed="false">
      <c r="A5678" s="7" t="s">
        <v>642</v>
      </c>
      <c r="B5678" s="8" t="s">
        <v>11</v>
      </c>
      <c r="C5678" s="61" t="n">
        <f aca="false">C5664*Pressupostos!$C$139*(1+Pressupostos!$C$127)^0*(1+Pressupostos!$C$140)</f>
        <v>22500</v>
      </c>
      <c r="D5678" s="61" t="n">
        <f aca="false">D5664*Pressupostos!$C$139*(1+Pressupostos!$C$127)^1*(1+Pressupostos!$C$140)</f>
        <v>23175</v>
      </c>
      <c r="E5678" s="61" t="n">
        <f aca="false">E5664*Pressupostos!$C$139*(1+Pressupostos!$C$127)^2*(1+Pressupostos!$C$140)</f>
        <v>23870.25</v>
      </c>
      <c r="F5678" s="61" t="n">
        <f aca="false">F5664*Pressupostos!$C$139*(1+Pressupostos!$C$127)^3*(1+Pressupostos!$C$140)</f>
        <v>49172.715</v>
      </c>
      <c r="G5678" s="61" t="n">
        <f aca="false">G5664*Pressupostos!$C$139*(1+Pressupostos!$C$127)^4*(1+Pressupostos!$C$140)</f>
        <v>50647.89645</v>
      </c>
      <c r="H5678" s="2" t="s">
        <v>1332</v>
      </c>
    </row>
    <row r="5679" customFormat="false" ht="15" hidden="false" customHeight="false" outlineLevel="1" collapsed="false">
      <c r="A5679" s="7" t="s">
        <v>643</v>
      </c>
      <c r="B5679" s="8" t="s">
        <v>11</v>
      </c>
      <c r="C5679" s="61" t="n">
        <f aca="false">C5665*Pressupostos!$C$141*(1+Pressupostos!$C$127)^0*(1+Pressupostos!$C$142)</f>
        <v>38000</v>
      </c>
      <c r="D5679" s="61" t="n">
        <f aca="false">D5665*Pressupostos!$C$141*(1+Pressupostos!$C$127)^1*(1+Pressupostos!$C$142)</f>
        <v>39140</v>
      </c>
      <c r="E5679" s="61" t="n">
        <f aca="false">E5665*Pressupostos!$C$141*(1+Pressupostos!$C$127)^2*(1+Pressupostos!$C$142)</f>
        <v>40314.2</v>
      </c>
      <c r="F5679" s="61" t="n">
        <f aca="false">F5665*Pressupostos!$C$141*(1+Pressupostos!$C$127)^3*(1+Pressupostos!$C$142)</f>
        <v>41523.626</v>
      </c>
      <c r="G5679" s="61" t="n">
        <f aca="false">G5665*Pressupostos!$C$141*(1+Pressupostos!$C$127)^4*(1+Pressupostos!$C$142)</f>
        <v>42769.33478</v>
      </c>
      <c r="H5679" s="2" t="s">
        <v>1333</v>
      </c>
    </row>
    <row r="5680" customFormat="false" ht="15" hidden="false" customHeight="false" outlineLevel="1" collapsed="false">
      <c r="A5680" s="7" t="s">
        <v>644</v>
      </c>
      <c r="B5680" s="8" t="s">
        <v>11</v>
      </c>
      <c r="C5680" s="61" t="n">
        <f aca="false">C5666*Pressupostos!$C$143*(1+Pressupostos!$C$127)^0*(1+Pressupostos!$C$144)</f>
        <v>16000</v>
      </c>
      <c r="D5680" s="61" t="n">
        <f aca="false">D5666*Pressupostos!$C$143*(1+Pressupostos!$C$127)^1*(1+Pressupostos!$C$144)</f>
        <v>32960</v>
      </c>
      <c r="E5680" s="61" t="n">
        <f aca="false">E5666*Pressupostos!$C$143*(1+Pressupostos!$C$127)^2*(1+Pressupostos!$C$144)</f>
        <v>33948.8</v>
      </c>
      <c r="F5680" s="61" t="n">
        <f aca="false">F5666*Pressupostos!$C$143*(1+Pressupostos!$C$127)^3*(1+Pressupostos!$C$144)</f>
        <v>34967.264</v>
      </c>
      <c r="G5680" s="61" t="n">
        <f aca="false">G5666*Pressupostos!$C$143*(1+Pressupostos!$C$127)^4*(1+Pressupostos!$C$144)</f>
        <v>36016.28192</v>
      </c>
      <c r="H5680" s="2" t="s">
        <v>1334</v>
      </c>
    </row>
    <row r="5681" customFormat="false" ht="15" hidden="false" customHeight="false" outlineLevel="1" collapsed="false">
      <c r="A5681" s="7" t="s">
        <v>645</v>
      </c>
      <c r="B5681" s="8" t="s">
        <v>11</v>
      </c>
      <c r="C5681" s="61" t="n">
        <f aca="false">C5667*Pressupostos!$C$145*(1+Pressupostos!$C$127)^0*(1+Pressupostos!$C$146)</f>
        <v>34500</v>
      </c>
      <c r="D5681" s="61" t="n">
        <f aca="false">D5667*Pressupostos!$C$145*(1+Pressupostos!$C$127)^1*(1+Pressupostos!$C$146)</f>
        <v>35535</v>
      </c>
      <c r="E5681" s="61" t="n">
        <f aca="false">E5667*Pressupostos!$C$145*(1+Pressupostos!$C$127)^2*(1+Pressupostos!$C$146)</f>
        <v>36601.05</v>
      </c>
      <c r="F5681" s="61" t="n">
        <f aca="false">F5667*Pressupostos!$C$145*(1+Pressupostos!$C$127)^3*(1+Pressupostos!$C$146)</f>
        <v>75398.163</v>
      </c>
      <c r="G5681" s="61" t="n">
        <f aca="false">G5667*Pressupostos!$C$145*(1+Pressupostos!$C$127)^4*(1+Pressupostos!$C$146)</f>
        <v>116490.161835</v>
      </c>
      <c r="H5681" s="2" t="s">
        <v>1335</v>
      </c>
    </row>
    <row r="5682" customFormat="false" ht="15" hidden="false" customHeight="false" outlineLevel="1" collapsed="false">
      <c r="A5682" s="7" t="s">
        <v>646</v>
      </c>
      <c r="B5682" s="8" t="s">
        <v>11</v>
      </c>
      <c r="C5682" s="61" t="n">
        <f aca="false">C5668*Pressupostos!$C$147*(1+Pressupostos!$C$127)^0*(1+Pressupostos!$C$148)</f>
        <v>0</v>
      </c>
      <c r="D5682" s="61" t="n">
        <f aca="false">D5668*Pressupostos!$C$147*(1+Pressupostos!$C$127)^1*(1+Pressupostos!$C$148)</f>
        <v>0</v>
      </c>
      <c r="E5682" s="61" t="n">
        <f aca="false">E5668*Pressupostos!$C$147*(1+Pressupostos!$C$127)^2*(1+Pressupostos!$C$148)</f>
        <v>0</v>
      </c>
      <c r="F5682" s="61" t="n">
        <f aca="false">F5668*Pressupostos!$C$147*(1+Pressupostos!$C$127)^3*(1+Pressupostos!$C$148)</f>
        <v>0</v>
      </c>
      <c r="G5682" s="61" t="n">
        <f aca="false">G5668*Pressupostos!$C$147*(1+Pressupostos!$C$127)^4*(1+Pressupostos!$C$148)</f>
        <v>0</v>
      </c>
      <c r="H5682" s="2" t="s">
        <v>1336</v>
      </c>
    </row>
    <row r="5683" customFormat="false" ht="15" hidden="false" customHeight="false" outlineLevel="1" collapsed="false">
      <c r="A5683" s="7" t="s">
        <v>647</v>
      </c>
      <c r="B5683" s="8" t="s">
        <v>11</v>
      </c>
      <c r="C5683" s="61" t="n">
        <f aca="false">C5669*Pressupostos!$C$149*(1+Pressupostos!$C$127)^0*(1+Pressupostos!$C$150)</f>
        <v>0</v>
      </c>
      <c r="D5683" s="61" t="n">
        <f aca="false">D5669*Pressupostos!$C$149*(1+Pressupostos!$C$127)^1*(1+Pressupostos!$C$150)</f>
        <v>0</v>
      </c>
      <c r="E5683" s="61" t="n">
        <f aca="false">E5669*Pressupostos!$C$149*(1+Pressupostos!$C$127)^2*(1+Pressupostos!$C$150)</f>
        <v>0</v>
      </c>
      <c r="F5683" s="61" t="n">
        <f aca="false">F5669*Pressupostos!$C$149*(1+Pressupostos!$C$127)^3*(1+Pressupostos!$C$150)</f>
        <v>0</v>
      </c>
      <c r="G5683" s="61" t="n">
        <f aca="false">G5669*Pressupostos!$C$149*(1+Pressupostos!$C$127)^4*(1+Pressupostos!$C$150)</f>
        <v>0</v>
      </c>
      <c r="H5683" s="2" t="s">
        <v>1337</v>
      </c>
    </row>
    <row r="5684" customFormat="false" ht="15" hidden="false" customHeight="false" outlineLevel="1" collapsed="false">
      <c r="A5684" s="7" t="s">
        <v>648</v>
      </c>
      <c r="B5684" s="8" t="s">
        <v>11</v>
      </c>
      <c r="C5684" s="61" t="n">
        <f aca="false">C5670*Pressupostos!$C$151*(1+Pressupostos!$C$127)^0*(1+Pressupostos!$C$152)</f>
        <v>0</v>
      </c>
      <c r="D5684" s="61" t="n">
        <f aca="false">D5670*Pressupostos!$C$151*(1+Pressupostos!$C$127)^1*(1+Pressupostos!$C$152)</f>
        <v>0</v>
      </c>
      <c r="E5684" s="61" t="n">
        <f aca="false">E5670*Pressupostos!$C$151*(1+Pressupostos!$C$127)^2*(1+Pressupostos!$C$152)</f>
        <v>0</v>
      </c>
      <c r="F5684" s="61" t="n">
        <f aca="false">F5670*Pressupostos!$C$151*(1+Pressupostos!$C$127)^3*(1+Pressupostos!$C$152)</f>
        <v>26225.448</v>
      </c>
      <c r="G5684" s="61" t="n">
        <f aca="false">G5670*Pressupostos!$C$151*(1+Pressupostos!$C$127)^4*(1+Pressupostos!$C$152)</f>
        <v>27012.21144</v>
      </c>
      <c r="H5684" s="2" t="s">
        <v>1338</v>
      </c>
    </row>
    <row r="5685" customFormat="false" ht="15" hidden="false" customHeight="false" outlineLevel="1" collapsed="false">
      <c r="A5685" s="7" t="s">
        <v>649</v>
      </c>
      <c r="B5685" s="8" t="s">
        <v>11</v>
      </c>
      <c r="C5685" s="61" t="n">
        <f aca="false">C5671*Pressupostos!$C$153*(1+Pressupostos!$C$127)^0*(1+Pressupostos!$C$154)</f>
        <v>0</v>
      </c>
      <c r="D5685" s="61" t="n">
        <f aca="false">D5671*Pressupostos!$C$153*(1+Pressupostos!$C$127)^1*(1+Pressupostos!$C$154)</f>
        <v>0</v>
      </c>
      <c r="E5685" s="61" t="n">
        <f aca="false">E5671*Pressupostos!$C$153*(1+Pressupostos!$C$127)^2*(1+Pressupostos!$C$154)</f>
        <v>54901.575</v>
      </c>
      <c r="F5685" s="61" t="n">
        <f aca="false">F5671*Pressupostos!$C$153*(1+Pressupostos!$C$127)^3*(1+Pressupostos!$C$154)</f>
        <v>56548.62225</v>
      </c>
      <c r="G5685" s="61" t="n">
        <f aca="false">G5671*Pressupostos!$C$153*(1+Pressupostos!$C$127)^4*(1+Pressupostos!$C$154)</f>
        <v>58245.0809175</v>
      </c>
      <c r="H5685" s="2" t="s">
        <v>1339</v>
      </c>
    </row>
    <row r="5686" customFormat="false" ht="15" hidden="false" customHeight="false" outlineLevel="1" collapsed="false">
      <c r="A5686" s="7" t="s">
        <v>652</v>
      </c>
      <c r="B5686" s="8" t="s">
        <v>11</v>
      </c>
      <c r="C5686" s="61" t="n">
        <f aca="false">C5674+C5675+C5676+C5677+C5678+C5679+C5680+C5681+C5682+C5683+C5684+C5685</f>
        <v>232662.5</v>
      </c>
      <c r="D5686" s="61" t="n">
        <f aca="false">D5674+D5675+D5676+D5677+D5678+D5679+D5680+D5681+D5682+D5683+D5684+D5685</f>
        <v>367710</v>
      </c>
      <c r="E5686" s="61" t="n">
        <f aca="false">E5674+E5675+E5676+E5677+E5678+E5679+E5680+E5681+E5682+E5683+E5684+E5685</f>
        <v>433642.875</v>
      </c>
      <c r="F5686" s="61" t="n">
        <f aca="false">F5674+F5675+F5676+F5677+F5678+F5679+F5680+F5681+F5682+F5683+F5684+F5685</f>
        <v>535163.04825</v>
      </c>
      <c r="G5686" s="61" t="n">
        <f aca="false">G5674+G5675+G5676+G5677+G5678+G5679+G5680+G5681+G5682+G5683+G5684+G5685</f>
        <v>590047.9936425</v>
      </c>
      <c r="H5686" s="2" t="s">
        <v>1340</v>
      </c>
    </row>
    <row r="5687" customFormat="false" ht="15" hidden="false" customHeight="false" outlineLevel="1" collapsed="false">
      <c r="A5687" s="7" t="s">
        <v>653</v>
      </c>
      <c r="B5687" s="8" t="s">
        <v>11</v>
      </c>
      <c r="C5687" s="61" t="n">
        <f aca="false">C5686*(Pressupostos!$C$124+Pressupostos!$C$125)</f>
        <v>59910.59375</v>
      </c>
      <c r="D5687" s="61" t="n">
        <f aca="false">D5686*(Pressupostos!$C$124+Pressupostos!$C$125)</f>
        <v>94685.325</v>
      </c>
      <c r="E5687" s="61" t="n">
        <f aca="false">E5686*(Pressupostos!$C$124+Pressupostos!$C$125)</f>
        <v>111663.0403125</v>
      </c>
      <c r="F5687" s="61" t="n">
        <f aca="false">F5686*(Pressupostos!$C$124+Pressupostos!$C$125)</f>
        <v>137804.484924375</v>
      </c>
      <c r="G5687" s="61" t="n">
        <f aca="false">G5686*(Pressupostos!$C$124+Pressupostos!$C$125)</f>
        <v>151937.358362944</v>
      </c>
      <c r="H5687" s="2" t="s">
        <v>1341</v>
      </c>
    </row>
    <row r="5688" customFormat="false" ht="15" hidden="false" customHeight="false" outlineLevel="1" collapsed="false">
      <c r="A5688" s="7" t="s">
        <v>654</v>
      </c>
      <c r="B5688" s="8" t="s">
        <v>11</v>
      </c>
      <c r="C5688" s="61" t="n">
        <f aca="false">C5672*Pressupostos!$C$126*(1+Pressupostos!$C$127)^0</f>
        <v>11000</v>
      </c>
      <c r="D5688" s="61" t="n">
        <f aca="false">D5672*Pressupostos!$C$126*(1+Pressupostos!$C$127)^1</f>
        <v>15450</v>
      </c>
      <c r="E5688" s="61" t="n">
        <f aca="false">E5672*Pressupostos!$C$126*(1+Pressupostos!$C$127)^2</f>
        <v>18035.3</v>
      </c>
      <c r="F5688" s="61" t="n">
        <f aca="false">F5672*Pressupostos!$C$126*(1+Pressupostos!$C$127)^3</f>
        <v>24039.994</v>
      </c>
      <c r="G5688" s="61" t="n">
        <f aca="false">G5672*Pressupostos!$C$126*(1+Pressupostos!$C$127)^4</f>
        <v>27012.21144</v>
      </c>
      <c r="H5688" s="2" t="s">
        <v>1342</v>
      </c>
    </row>
    <row r="5689" customFormat="false" ht="15" hidden="false" customHeight="false" outlineLevel="1" collapsed="false">
      <c r="A5689" s="56" t="s">
        <v>655</v>
      </c>
      <c r="B5689" s="57" t="s">
        <v>11</v>
      </c>
      <c r="C5689" s="62" t="n">
        <f aca="false">C5686+C5687+C5688</f>
        <v>303573.09375</v>
      </c>
      <c r="D5689" s="62" t="n">
        <f aca="false">D5686+D5687+D5688</f>
        <v>477845.325</v>
      </c>
      <c r="E5689" s="62" t="n">
        <f aca="false">E5686+E5687+E5688</f>
        <v>563341.2153125</v>
      </c>
      <c r="F5689" s="62" t="n">
        <f aca="false">F5686+F5687+F5688</f>
        <v>697007.527174375</v>
      </c>
      <c r="G5689" s="62" t="n">
        <f aca="false">G5686+G5687+G5688</f>
        <v>768997.563445444</v>
      </c>
      <c r="H5689" s="2" t="s">
        <v>1343</v>
      </c>
    </row>
    <row r="5690" customFormat="false" ht="15" hidden="false" customHeight="false" outlineLevel="1" collapsed="false">
      <c r="A5690" s="2" t="s">
        <v>656</v>
      </c>
      <c r="B5690" s="8" t="s">
        <v>11</v>
      </c>
      <c r="C5690" s="61" t="n">
        <f aca="false">IF(C5672&gt;0,C5689/C5672,0)</f>
        <v>55195.1079545455</v>
      </c>
      <c r="D5690" s="61" t="n">
        <f aca="false">IF(D5672&gt;0,D5689/D5672,0)</f>
        <v>63712.71</v>
      </c>
      <c r="E5690" s="61" t="n">
        <f aca="false">IF(E5672&gt;0,E5689/E5672,0)</f>
        <v>66275.4370955882</v>
      </c>
      <c r="F5690" s="61" t="n">
        <f aca="false">IF(F5672&gt;0,F5689/F5672,0)</f>
        <v>63364.3206522159</v>
      </c>
      <c r="G5690" s="61" t="n">
        <f aca="false">IF(G5672&gt;0,G5689/G5672,0)</f>
        <v>64083.1302871203</v>
      </c>
      <c r="H5690" s="2" t="s">
        <v>1344</v>
      </c>
    </row>
    <row r="5691" customFormat="false" ht="15" hidden="false" customHeight="false" outlineLevel="0" collapsed="false">
      <c r="A5691" s="3" t="s">
        <v>1345</v>
      </c>
      <c r="B5691" s="4"/>
      <c r="C5691" s="4"/>
      <c r="D5691" s="4"/>
      <c r="E5691" s="4"/>
      <c r="F5691" s="4"/>
      <c r="G5691" s="4"/>
      <c r="H5691" s="4"/>
    </row>
    <row r="5692" customFormat="false" ht="15" hidden="false" customHeight="false" outlineLevel="1" collapsed="false">
      <c r="A5692" s="7" t="s">
        <v>449</v>
      </c>
      <c r="B5692" s="8" t="s">
        <v>11</v>
      </c>
      <c r="C5692" s="61" t="n">
        <f aca="false">Pressupostos!$C$407*(1+Pressupostos!$C$156)*(1+Pressupostos!$C$157)^0</f>
        <v>94500</v>
      </c>
      <c r="D5692" s="61" t="n">
        <f aca="false">Pressupostos!$D$407*(1+Pressupostos!$C$156)*(1+Pressupostos!$C$157)^1</f>
        <v>53550</v>
      </c>
      <c r="E5692" s="61" t="n">
        <f aca="false">Pressupostos!$E$407*(1+Pressupostos!$C$156)*(1+Pressupostos!$C$157)^2</f>
        <v>49158.9</v>
      </c>
      <c r="F5692" s="61" t="n">
        <f aca="false">Pressupostos!$F$407*(1+Pressupostos!$C$156)*(1+Pressupostos!$C$157)^3</f>
        <v>50142.078</v>
      </c>
      <c r="G5692" s="61" t="n">
        <f aca="false">Pressupostos!$G$407*(1+Pressupostos!$C$156)*(1+Pressupostos!$C$157)^4</f>
        <v>51144.91956</v>
      </c>
      <c r="H5692" s="2" t="s">
        <v>1346</v>
      </c>
    </row>
    <row r="5693" customFormat="false" ht="15" hidden="false" customHeight="false" outlineLevel="1" collapsed="false">
      <c r="A5693" s="7" t="s">
        <v>451</v>
      </c>
      <c r="B5693" s="8" t="s">
        <v>11</v>
      </c>
      <c r="C5693" s="61" t="n">
        <f aca="false">Pressupostos!$C$413*(1+Pressupostos!$C$156)*(1+Pressupostos!$C$157)^0</f>
        <v>10500</v>
      </c>
      <c r="D5693" s="61" t="n">
        <f aca="false">Pressupostos!$D$413*(1+Pressupostos!$C$156)*(1+Pressupostos!$C$157)^1</f>
        <v>10710</v>
      </c>
      <c r="E5693" s="61" t="n">
        <f aca="false">Pressupostos!$E$413*(1+Pressupostos!$C$156)*(1+Pressupostos!$C$157)^2</f>
        <v>10924.2</v>
      </c>
      <c r="F5693" s="61" t="n">
        <f aca="false">Pressupostos!$F$413*(1+Pressupostos!$C$156)*(1+Pressupostos!$C$157)^3</f>
        <v>11142.684</v>
      </c>
      <c r="G5693" s="61" t="n">
        <f aca="false">Pressupostos!$G$413*(1+Pressupostos!$C$156)*(1+Pressupostos!$C$157)^4</f>
        <v>11365.53768</v>
      </c>
      <c r="H5693" s="2" t="s">
        <v>1347</v>
      </c>
    </row>
    <row r="5694" customFormat="false" ht="15" hidden="false" customHeight="false" outlineLevel="1" collapsed="false">
      <c r="A5694" s="7" t="s">
        <v>452</v>
      </c>
      <c r="B5694" s="8" t="s">
        <v>11</v>
      </c>
      <c r="C5694" s="61" t="n">
        <f aca="false">Pressupostos!$C$419*(1+Pressupostos!$C$156)*(1+Pressupostos!$C$157)^0</f>
        <v>12600</v>
      </c>
      <c r="D5694" s="61" t="n">
        <f aca="false">Pressupostos!$D$419*(1+Pressupostos!$C$156)*(1+Pressupostos!$C$157)^1</f>
        <v>12852</v>
      </c>
      <c r="E5694" s="61" t="n">
        <f aca="false">Pressupostos!$E$419*(1+Pressupostos!$C$156)*(1+Pressupostos!$C$157)^2</f>
        <v>13109.04</v>
      </c>
      <c r="F5694" s="61" t="n">
        <f aca="false">Pressupostos!$F$419*(1+Pressupostos!$C$156)*(1+Pressupostos!$C$157)^3</f>
        <v>13371.2208</v>
      </c>
      <c r="G5694" s="61" t="n">
        <f aca="false">Pressupostos!$G$419*(1+Pressupostos!$C$156)*(1+Pressupostos!$C$157)^4</f>
        <v>13638.645216</v>
      </c>
      <c r="H5694" s="2" t="s">
        <v>1348</v>
      </c>
    </row>
    <row r="5695" customFormat="false" ht="15" hidden="false" customHeight="false" outlineLevel="1" collapsed="false">
      <c r="A5695" s="7" t="s">
        <v>454</v>
      </c>
      <c r="B5695" s="8" t="s">
        <v>11</v>
      </c>
      <c r="C5695" s="61" t="n">
        <f aca="false">Pressupostos!$C$425*(1+Pressupostos!$C$156)*(1+Pressupostos!$C$157)^0</f>
        <v>31500</v>
      </c>
      <c r="D5695" s="61" t="n">
        <f aca="false">Pressupostos!$D$425*(1+Pressupostos!$C$156)*(1+Pressupostos!$C$157)^1</f>
        <v>37485</v>
      </c>
      <c r="E5695" s="61" t="n">
        <f aca="false">Pressupostos!$E$425*(1+Pressupostos!$C$156)*(1+Pressupostos!$C$157)^2</f>
        <v>49158.9</v>
      </c>
      <c r="F5695" s="61" t="n">
        <f aca="false">Pressupostos!$F$425*(1+Pressupostos!$C$156)*(1+Pressupostos!$C$157)^3</f>
        <v>55713.42</v>
      </c>
      <c r="G5695" s="61" t="n">
        <f aca="false">Pressupostos!$G$425*(1+Pressupostos!$C$156)*(1+Pressupostos!$C$157)^4</f>
        <v>62510.45724</v>
      </c>
      <c r="H5695" s="2" t="s">
        <v>1349</v>
      </c>
    </row>
    <row r="5696" customFormat="false" ht="15" hidden="false" customHeight="false" outlineLevel="1" collapsed="false">
      <c r="A5696" s="7" t="s">
        <v>456</v>
      </c>
      <c r="B5696" s="8" t="s">
        <v>11</v>
      </c>
      <c r="C5696" s="61" t="n">
        <f aca="false">Pressupostos!$C$431*(1+Pressupostos!$C$156)*(1+Pressupostos!$C$157)^0</f>
        <v>15750</v>
      </c>
      <c r="D5696" s="61" t="n">
        <f aca="false">Pressupostos!$D$431*(1+Pressupostos!$C$156)*(1+Pressupostos!$C$157)^1</f>
        <v>16065</v>
      </c>
      <c r="E5696" s="61" t="n">
        <f aca="false">Pressupostos!$E$431*(1+Pressupostos!$C$156)*(1+Pressupostos!$C$157)^2</f>
        <v>38234.7</v>
      </c>
      <c r="F5696" s="61" t="n">
        <f aca="false">Pressupostos!$F$431*(1+Pressupostos!$C$156)*(1+Pressupostos!$C$157)^3</f>
        <v>22285.368</v>
      </c>
      <c r="G5696" s="61" t="n">
        <f aca="false">Pressupostos!$G$431*(1+Pressupostos!$C$156)*(1+Pressupostos!$C$157)^4</f>
        <v>22731.07536</v>
      </c>
      <c r="H5696" s="2" t="s">
        <v>1350</v>
      </c>
    </row>
    <row r="5697" customFormat="false" ht="15" hidden="false" customHeight="false" outlineLevel="1" collapsed="false">
      <c r="A5697" s="7" t="s">
        <v>458</v>
      </c>
      <c r="B5697" s="8" t="s">
        <v>11</v>
      </c>
      <c r="C5697" s="61" t="n">
        <f aca="false">Pressupostos!$C$437*(1+Pressupostos!$C$156)*(1+Pressupostos!$C$157)^0</f>
        <v>10500</v>
      </c>
      <c r="D5697" s="61" t="n">
        <f aca="false">Pressupostos!$D$437*(1+Pressupostos!$C$156)*(1+Pressupostos!$C$157)^1</f>
        <v>12852</v>
      </c>
      <c r="E5697" s="61" t="n">
        <f aca="false">Pressupostos!$E$437*(1+Pressupostos!$C$156)*(1+Pressupostos!$C$157)^2</f>
        <v>16386.3</v>
      </c>
      <c r="F5697" s="61" t="n">
        <f aca="false">Pressupostos!$F$437*(1+Pressupostos!$C$156)*(1+Pressupostos!$C$157)^3</f>
        <v>20056.8312</v>
      </c>
      <c r="G5697" s="61" t="n">
        <f aca="false">Pressupostos!$G$437*(1+Pressupostos!$C$156)*(1+Pressupostos!$C$157)^4</f>
        <v>22731.07536</v>
      </c>
      <c r="H5697" s="2" t="s">
        <v>1351</v>
      </c>
    </row>
    <row r="5698" customFormat="false" ht="15" hidden="false" customHeight="false" outlineLevel="1" collapsed="false">
      <c r="A5698" s="7" t="s">
        <v>459</v>
      </c>
      <c r="B5698" s="8" t="s">
        <v>11</v>
      </c>
      <c r="C5698" s="61" t="n">
        <f aca="false">Pressupostos!$C$443*(1+Pressupostos!$C$156)*(1+Pressupostos!$C$157)^0</f>
        <v>31500</v>
      </c>
      <c r="D5698" s="61" t="n">
        <f aca="false">Pressupostos!$D$443*(1+Pressupostos!$C$156)*(1+Pressupostos!$C$157)^1</f>
        <v>37485</v>
      </c>
      <c r="E5698" s="61" t="n">
        <f aca="false">Pressupostos!$E$443*(1+Pressupostos!$C$156)*(1+Pressupostos!$C$157)^2</f>
        <v>49158.9</v>
      </c>
      <c r="F5698" s="61" t="n">
        <f aca="false">Pressupostos!$F$443*(1+Pressupostos!$C$156)*(1+Pressupostos!$C$157)^3</f>
        <v>55713.42</v>
      </c>
      <c r="G5698" s="61" t="n">
        <f aca="false">Pressupostos!$G$443*(1+Pressupostos!$C$156)*(1+Pressupostos!$C$157)^4</f>
        <v>62510.45724</v>
      </c>
      <c r="H5698" s="2" t="s">
        <v>1352</v>
      </c>
    </row>
    <row r="5699" customFormat="false" ht="15" hidden="false" customHeight="false" outlineLevel="1" collapsed="false">
      <c r="A5699" s="7" t="s">
        <v>461</v>
      </c>
      <c r="B5699" s="8" t="s">
        <v>11</v>
      </c>
      <c r="C5699" s="61" t="n">
        <f aca="false">Pressupostos!$C$449*(1+Pressupostos!$C$156)*(1+Pressupostos!$C$157)^0</f>
        <v>6300</v>
      </c>
      <c r="D5699" s="61" t="n">
        <f aca="false">Pressupostos!$D$449*(1+Pressupostos!$C$156)*(1+Pressupostos!$C$157)^1</f>
        <v>8568</v>
      </c>
      <c r="E5699" s="61" t="n">
        <f aca="false">Pressupostos!$E$449*(1+Pressupostos!$C$156)*(1+Pressupostos!$C$157)^2</f>
        <v>13109.04</v>
      </c>
      <c r="F5699" s="61" t="n">
        <f aca="false">Pressupostos!$F$449*(1+Pressupostos!$C$156)*(1+Pressupostos!$C$157)^3</f>
        <v>16714.026</v>
      </c>
      <c r="G5699" s="61" t="n">
        <f aca="false">Pressupostos!$G$449*(1+Pressupostos!$C$156)*(1+Pressupostos!$C$157)^4</f>
        <v>20457.967824</v>
      </c>
      <c r="H5699" s="2" t="s">
        <v>1353</v>
      </c>
    </row>
    <row r="5700" customFormat="false" ht="15" hidden="false" customHeight="false" outlineLevel="1" collapsed="false">
      <c r="A5700" s="7" t="s">
        <v>463</v>
      </c>
      <c r="B5700" s="8" t="s">
        <v>11</v>
      </c>
      <c r="C5700" s="61" t="n">
        <f aca="false">Pressupostos!$C$455*(1+Pressupostos!$C$156)*(1+Pressupostos!$C$157)^0</f>
        <v>15750</v>
      </c>
      <c r="D5700" s="61" t="n">
        <f aca="false">Pressupostos!$D$455*(1+Pressupostos!$C$156)*(1+Pressupostos!$C$157)^1</f>
        <v>21420</v>
      </c>
      <c r="E5700" s="61" t="n">
        <f aca="false">Pressupostos!$E$455*(1+Pressupostos!$C$156)*(1+Pressupostos!$C$157)^2</f>
        <v>30587.76</v>
      </c>
      <c r="F5700" s="61" t="n">
        <f aca="false">Pressupostos!$F$455*(1+Pressupostos!$C$156)*(1+Pressupostos!$C$157)^3</f>
        <v>35656.5888</v>
      </c>
      <c r="G5700" s="61" t="n">
        <f aca="false">Pressupostos!$G$455*(1+Pressupostos!$C$156)*(1+Pressupostos!$C$157)^4</f>
        <v>40915.935648</v>
      </c>
      <c r="H5700" s="2" t="s">
        <v>1354</v>
      </c>
    </row>
    <row r="5701" customFormat="false" ht="15" hidden="false" customHeight="false" outlineLevel="1" collapsed="false">
      <c r="A5701" s="7" t="s">
        <v>464</v>
      </c>
      <c r="B5701" s="8" t="s">
        <v>11</v>
      </c>
      <c r="C5701" s="61" t="n">
        <f aca="false">Pressupostos!$C$461*(1+Pressupostos!$C$156)*(1+Pressupostos!$C$157)^0</f>
        <v>4200</v>
      </c>
      <c r="D5701" s="61" t="n">
        <f aca="false">Pressupostos!$D$461*(1+Pressupostos!$C$156)*(1+Pressupostos!$C$157)^1</f>
        <v>6426</v>
      </c>
      <c r="E5701" s="61" t="n">
        <f aca="false">Pressupostos!$E$461*(1+Pressupostos!$C$156)*(1+Pressupostos!$C$157)^2</f>
        <v>8739.36</v>
      </c>
      <c r="F5701" s="61" t="n">
        <f aca="false">Pressupostos!$F$461*(1+Pressupostos!$C$156)*(1+Pressupostos!$C$157)^3</f>
        <v>8914.1472</v>
      </c>
      <c r="G5701" s="61" t="n">
        <f aca="false">Pressupostos!$G$461*(1+Pressupostos!$C$156)*(1+Pressupostos!$C$157)^4</f>
        <v>9092.430144</v>
      </c>
      <c r="H5701" s="2" t="s">
        <v>1355</v>
      </c>
    </row>
    <row r="5702" customFormat="false" ht="15" hidden="false" customHeight="false" outlineLevel="1" collapsed="false">
      <c r="A5702" s="7" t="s">
        <v>701</v>
      </c>
      <c r="B5702" s="8" t="s">
        <v>11</v>
      </c>
      <c r="C5702" s="61" t="n">
        <f aca="false">C5692+C5693+C5694+C5695+C5696+C5697+C5698+C5699+C5700+C5701</f>
        <v>233100</v>
      </c>
      <c r="D5702" s="61" t="n">
        <f aca="false">D5692+D5693+D5694+D5695+D5696+D5697+D5698+D5699+D5700+D5701</f>
        <v>217413</v>
      </c>
      <c r="E5702" s="61" t="n">
        <f aca="false">E5692+E5693+E5694+E5695+E5696+E5697+E5698+E5699+E5700+E5701</f>
        <v>278567.1</v>
      </c>
      <c r="F5702" s="61" t="n">
        <f aca="false">F5692+F5693+F5694+F5695+F5696+F5697+F5698+F5699+F5700+F5701</f>
        <v>289709.784</v>
      </c>
      <c r="G5702" s="61" t="n">
        <f aca="false">G5692+G5693+G5694+G5695+G5696+G5697+G5698+G5699+G5700+G5701</f>
        <v>317098.501272</v>
      </c>
      <c r="H5702" s="2" t="s">
        <v>1356</v>
      </c>
    </row>
    <row r="5703" customFormat="false" ht="15" hidden="false" customHeight="false" outlineLevel="1" collapsed="false">
      <c r="A5703" s="7" t="s">
        <v>702</v>
      </c>
      <c r="B5703" s="8" t="s">
        <v>11</v>
      </c>
      <c r="C5703" s="61" t="n">
        <f aca="false">Pressupostos!$C$114+Pressupostos!$C$115+Pressupostos!$C$116*Pressupostos!$C$296+Pressupostos!$C$466+Pressupostos!$C$308</f>
        <v>65000</v>
      </c>
      <c r="D5703" s="61" t="n">
        <f aca="false">Pressupostos!$C$115+Pressupostos!$C$116*Pressupostos!$D$296+Pressupostos!$D$466+Pressupostos!$D$308</f>
        <v>75000</v>
      </c>
      <c r="E5703" s="61" t="n">
        <f aca="false">Pressupostos!$C$115+Pressupostos!$C$116*Pressupostos!$E$296+Pressupostos!$E$466+Pressupostos!$E$308</f>
        <v>80000</v>
      </c>
      <c r="F5703" s="61" t="n">
        <f aca="false">Pressupostos!$C$115+Pressupostos!$C$116*Pressupostos!$F$296+Pressupostos!$F$466+Pressupostos!$F$308</f>
        <v>85000</v>
      </c>
      <c r="G5703" s="61" t="n">
        <f aca="false">Pressupostos!$C$115+Pressupostos!$C$116*Pressupostos!$G$296+Pressupostos!$G$466+Pressupostos!$G$308</f>
        <v>90000</v>
      </c>
      <c r="H5703" s="2" t="s">
        <v>1357</v>
      </c>
    </row>
    <row r="5704" customFormat="false" ht="15" hidden="false" customHeight="false" outlineLevel="1" collapsed="false">
      <c r="A5704" s="7" t="s">
        <v>703</v>
      </c>
      <c r="B5704" s="8" t="s">
        <v>11</v>
      </c>
      <c r="C5704" s="61" t="n">
        <f aca="false">IF(C5516&lt;Pressupostos!$C$120,0,MAX(Pressupostos!$C$302,Pressupostos!$C$118*(C5610+C5611)+Pressupostos!$C$119*C5612))</f>
        <v>0</v>
      </c>
      <c r="D5704" s="61" t="n">
        <f aca="false">IF(D5516&lt;Pressupostos!$C$120,0,MAX(Pressupostos!$D$302,Pressupostos!$C$118*(D5610+D5611)+Pressupostos!$C$119*D5612))</f>
        <v>9263.28</v>
      </c>
      <c r="E5704" s="61" t="n">
        <f aca="false">IF(E5516&lt;Pressupostos!$C$120,0,MAX(Pressupostos!$E$302,Pressupostos!$C$118*(E5610+E5611)+Pressupostos!$C$119*E5612))</f>
        <v>18893.94</v>
      </c>
      <c r="F5704" s="61" t="n">
        <f aca="false">IF(F5516&lt;Pressupostos!$C$120,0,MAX(Pressupostos!$F$302,Pressupostos!$C$118*(F5610+F5611)+Pressupostos!$C$119*F5612))</f>
        <v>31404.1</v>
      </c>
      <c r="G5704" s="61" t="n">
        <f aca="false">IF(G5516&lt;Pressupostos!$C$120,0,MAX(Pressupostos!$G$302,Pressupostos!$C$118*(G5610+G5611)+Pressupostos!$C$119*G5612))</f>
        <v>47177</v>
      </c>
      <c r="H5704" s="2" t="s">
        <v>1358</v>
      </c>
    </row>
    <row r="5705" customFormat="false" ht="15" hidden="false" customHeight="false" outlineLevel="1" collapsed="false">
      <c r="A5705" s="56" t="s">
        <v>704</v>
      </c>
      <c r="B5705" s="57" t="s">
        <v>11</v>
      </c>
      <c r="C5705" s="62" t="n">
        <f aca="false">C5702+C5703+C5704</f>
        <v>298100</v>
      </c>
      <c r="D5705" s="62" t="n">
        <f aca="false">D5702+D5703+D5704</f>
        <v>301676.28</v>
      </c>
      <c r="E5705" s="62" t="n">
        <f aca="false">E5702+E5703+E5704</f>
        <v>377461.04</v>
      </c>
      <c r="F5705" s="62" t="n">
        <f aca="false">F5702+F5703+F5704</f>
        <v>406113.884</v>
      </c>
      <c r="G5705" s="62" t="n">
        <f aca="false">G5702+G5703+G5704</f>
        <v>454275.501272</v>
      </c>
      <c r="H5705" s="2" t="s">
        <v>1359</v>
      </c>
    </row>
    <row r="5706" customFormat="false" ht="15" hidden="false" customHeight="false" outlineLevel="0" collapsed="false">
      <c r="A5706" s="3" t="s">
        <v>1360</v>
      </c>
      <c r="B5706" s="4"/>
      <c r="C5706" s="4"/>
      <c r="D5706" s="4"/>
      <c r="E5706" s="4"/>
      <c r="F5706" s="4"/>
      <c r="G5706" s="4"/>
      <c r="H5706" s="4"/>
    </row>
    <row r="5707" customFormat="false" ht="15" hidden="false" customHeight="false" outlineLevel="1" collapsed="false">
      <c r="A5707" s="7" t="s">
        <v>706</v>
      </c>
      <c r="B5707" s="8" t="s">
        <v>11</v>
      </c>
      <c r="C5707" s="61" t="n">
        <f aca="false">Pressupostos!$C$165*Pressupostos!$C$315</f>
        <v>18000</v>
      </c>
      <c r="D5707" s="61" t="n">
        <f aca="false">Pressupostos!$C$165*Pressupostos!$D$315</f>
        <v>12000</v>
      </c>
      <c r="E5707" s="61" t="n">
        <f aca="false">Pressupostos!$C$165*Pressupostos!$E$315</f>
        <v>12000</v>
      </c>
      <c r="F5707" s="61" t="n">
        <f aca="false">Pressupostos!$C$165*Pressupostos!$F$315</f>
        <v>12000</v>
      </c>
      <c r="G5707" s="61" t="n">
        <f aca="false">Pressupostos!$C$165*Pressupostos!$G$315</f>
        <v>12000</v>
      </c>
      <c r="H5707" s="2" t="s">
        <v>1361</v>
      </c>
    </row>
    <row r="5708" customFormat="false" ht="15" hidden="false" customHeight="false" outlineLevel="1" collapsed="false">
      <c r="A5708" s="7" t="s">
        <v>707</v>
      </c>
      <c r="B5708" s="8" t="s">
        <v>11</v>
      </c>
      <c r="C5708" s="53" t="n">
        <f aca="false">Pressupostos!$C$321</f>
        <v>60000</v>
      </c>
      <c r="D5708" s="53" t="n">
        <f aca="false">Pressupostos!$D$321</f>
        <v>15000</v>
      </c>
      <c r="E5708" s="53" t="n">
        <f aca="false">Pressupostos!$E$321</f>
        <v>15000</v>
      </c>
      <c r="F5708" s="53" t="n">
        <f aca="false">Pressupostos!$F$321</f>
        <v>10000</v>
      </c>
      <c r="G5708" s="53" t="n">
        <f aca="false">Pressupostos!$G$321</f>
        <v>10000</v>
      </c>
      <c r="H5708" s="2" t="s">
        <v>1362</v>
      </c>
    </row>
    <row r="5709" customFormat="false" ht="15" hidden="false" customHeight="false" outlineLevel="1" collapsed="false">
      <c r="A5709" s="7" t="s">
        <v>708</v>
      </c>
      <c r="B5709" s="8" t="s">
        <v>11</v>
      </c>
      <c r="C5709" s="53" t="n">
        <f aca="false">Pressupostos!$C$327</f>
        <v>0</v>
      </c>
      <c r="D5709" s="53" t="n">
        <f aca="false">Pressupostos!$D$327</f>
        <v>15000</v>
      </c>
      <c r="E5709" s="53" t="n">
        <f aca="false">Pressupostos!$E$327</f>
        <v>15000</v>
      </c>
      <c r="F5709" s="53" t="n">
        <f aca="false">Pressupostos!$F$327</f>
        <v>10000</v>
      </c>
      <c r="G5709" s="53" t="n">
        <f aca="false">Pressupostos!$G$327</f>
        <v>10000</v>
      </c>
      <c r="H5709" s="2" t="s">
        <v>1363</v>
      </c>
    </row>
    <row r="5710" customFormat="false" ht="15" hidden="false" customHeight="false" outlineLevel="1" collapsed="false">
      <c r="A5710" s="7" t="s">
        <v>709</v>
      </c>
      <c r="B5710" s="8" t="s">
        <v>11</v>
      </c>
      <c r="C5710" s="61" t="n">
        <f aca="false">Pressupostos!$C$166*MAX(0,C5672)</f>
        <v>11000</v>
      </c>
      <c r="D5710" s="61" t="n">
        <f aca="false">Pressupostos!$C$166*MAX(0,D5672-C5672)</f>
        <v>4000</v>
      </c>
      <c r="E5710" s="61" t="n">
        <f aca="false">Pressupostos!$C$166*MAX(0,E5672-D5672)</f>
        <v>2000</v>
      </c>
      <c r="F5710" s="61" t="n">
        <f aca="false">Pressupostos!$C$166*MAX(0,F5672-E5672)</f>
        <v>5000</v>
      </c>
      <c r="G5710" s="61" t="n">
        <f aca="false">Pressupostos!$C$166*MAX(0,G5672-F5672)</f>
        <v>2000</v>
      </c>
      <c r="H5710" s="2" t="s">
        <v>1364</v>
      </c>
    </row>
    <row r="5711" customFormat="false" ht="15" hidden="false" customHeight="false" outlineLevel="1" collapsed="false">
      <c r="A5711" s="7" t="s">
        <v>424</v>
      </c>
      <c r="B5711" s="8" t="s">
        <v>11</v>
      </c>
      <c r="C5711" s="61" t="n">
        <f aca="false">C5707+C5708+C5709+C5710</f>
        <v>89000</v>
      </c>
      <c r="D5711" s="61" t="n">
        <f aca="false">D5707+D5708+D5709+D5710</f>
        <v>46000</v>
      </c>
      <c r="E5711" s="61" t="n">
        <f aca="false">E5707+E5708+E5709+E5710</f>
        <v>44000</v>
      </c>
      <c r="F5711" s="61" t="n">
        <f aca="false">F5707+F5708+F5709+F5710</f>
        <v>37000</v>
      </c>
      <c r="G5711" s="61" t="n">
        <f aca="false">G5707+G5708+G5709+G5710</f>
        <v>34000</v>
      </c>
      <c r="H5711" s="2" t="s">
        <v>1365</v>
      </c>
    </row>
    <row r="5712" customFormat="false" ht="15" hidden="false" customHeight="false" outlineLevel="1" collapsed="false">
      <c r="A5712" s="7" t="s">
        <v>710</v>
      </c>
      <c r="B5712" s="8" t="s">
        <v>11</v>
      </c>
      <c r="C5712" s="61" t="n">
        <f aca="false">(C5708*((0)&lt;Pressupostos!$C$167))/Pressupostos!$C$167</f>
        <v>20000</v>
      </c>
      <c r="D5712" s="61" t="n">
        <f aca="false">(C5708*((1)&lt;Pressupostos!$C$167)+D5708*((0)&lt;Pressupostos!$C$167))/Pressupostos!$C$167</f>
        <v>25000</v>
      </c>
      <c r="E5712" s="61" t="n">
        <f aca="false">(C5708*((2)&lt;Pressupostos!$C$167)+D5708*((1)&lt;Pressupostos!$C$167)+E5708*((0)&lt;Pressupostos!$C$167))/Pressupostos!$C$167</f>
        <v>30000</v>
      </c>
      <c r="F5712" s="61" t="n">
        <f aca="false">(C5708*((3)&lt;Pressupostos!$C$167)+D5708*((2)&lt;Pressupostos!$C$167)+E5708*((1)&lt;Pressupostos!$C$167)+F5708*((0)&lt;Pressupostos!$C$167))/Pressupostos!$C$167</f>
        <v>13333.3333333333</v>
      </c>
      <c r="G5712" s="61" t="n">
        <f aca="false">(C5708*((4)&lt;Pressupostos!$C$167)+D5708*((3)&lt;Pressupostos!$C$167)+E5708*((2)&lt;Pressupostos!$C$167)+F5708*((1)&lt;Pressupostos!$C$167)+G5708*((0)&lt;Pressupostos!$C$167))/Pressupostos!$C$167</f>
        <v>11666.6666666667</v>
      </c>
      <c r="H5712" s="2" t="s">
        <v>1366</v>
      </c>
    </row>
    <row r="5713" customFormat="false" ht="15" hidden="false" customHeight="false" outlineLevel="1" collapsed="false">
      <c r="A5713" s="7" t="s">
        <v>711</v>
      </c>
      <c r="B5713" s="8" t="s">
        <v>11</v>
      </c>
      <c r="C5713" s="61" t="n">
        <f aca="false">(C5709*((0)&lt;Pressupostos!$C$167))/Pressupostos!$C$167</f>
        <v>0</v>
      </c>
      <c r="D5713" s="61" t="n">
        <f aca="false">(C5709*((1)&lt;Pressupostos!$C$167)+D5709*((0)&lt;Pressupostos!$C$167))/Pressupostos!$C$167</f>
        <v>5000</v>
      </c>
      <c r="E5713" s="61" t="n">
        <f aca="false">(C5709*((2)&lt;Pressupostos!$C$167)+D5709*((1)&lt;Pressupostos!$C$167)+E5709*((0)&lt;Pressupostos!$C$167))/Pressupostos!$C$167</f>
        <v>10000</v>
      </c>
      <c r="F5713" s="61" t="n">
        <f aca="false">(C5709*((3)&lt;Pressupostos!$C$167)+D5709*((2)&lt;Pressupostos!$C$167)+E5709*((1)&lt;Pressupostos!$C$167)+F5709*((0)&lt;Pressupostos!$C$167))/Pressupostos!$C$167</f>
        <v>13333.3333333333</v>
      </c>
      <c r="G5713" s="61" t="n">
        <f aca="false">(C5709*((4)&lt;Pressupostos!$C$167)+D5709*((3)&lt;Pressupostos!$C$167)+E5709*((2)&lt;Pressupostos!$C$167)+F5709*((1)&lt;Pressupostos!$C$167)+G5709*((0)&lt;Pressupostos!$C$167))/Pressupostos!$C$167</f>
        <v>11666.6666666667</v>
      </c>
      <c r="H5713" s="2" t="s">
        <v>1367</v>
      </c>
    </row>
    <row r="5714" customFormat="false" ht="15" hidden="false" customHeight="false" outlineLevel="1" collapsed="false">
      <c r="A5714" s="7" t="s">
        <v>712</v>
      </c>
      <c r="B5714" s="8" t="s">
        <v>11</v>
      </c>
      <c r="C5714" s="61" t="n">
        <f aca="false">(C5707*((0)&lt;Pressupostos!$C$169))/Pressupostos!$C$169</f>
        <v>3600</v>
      </c>
      <c r="D5714" s="61" t="n">
        <f aca="false">(C5707*((1)&lt;Pressupostos!$C$169)+D5707*((0)&lt;Pressupostos!$C$169))/Pressupostos!$C$169</f>
        <v>6000</v>
      </c>
      <c r="E5714" s="61" t="n">
        <f aca="false">(C5707*((2)&lt;Pressupostos!$C$169)+D5707*((1)&lt;Pressupostos!$C$169)+E5707*((0)&lt;Pressupostos!$C$169))/Pressupostos!$C$169</f>
        <v>8400</v>
      </c>
      <c r="F5714" s="61" t="n">
        <f aca="false">(C5707*((3)&lt;Pressupostos!$C$169)+D5707*((2)&lt;Pressupostos!$C$169)+E5707*((1)&lt;Pressupostos!$C$169)+F5707*((0)&lt;Pressupostos!$C$169))/Pressupostos!$C$169</f>
        <v>10800</v>
      </c>
      <c r="G5714" s="61" t="n">
        <f aca="false">(C5707*((4)&lt;Pressupostos!$C$169)+D5707*((3)&lt;Pressupostos!$C$169)+E5707*((2)&lt;Pressupostos!$C$169)+F5707*((1)&lt;Pressupostos!$C$169)+G5707*((0)&lt;Pressupostos!$C$169))/Pressupostos!$C$169</f>
        <v>13200</v>
      </c>
      <c r="H5714" s="2" t="s">
        <v>1368</v>
      </c>
    </row>
    <row r="5715" customFormat="false" ht="15" hidden="false" customHeight="false" outlineLevel="1" collapsed="false">
      <c r="A5715" s="7" t="s">
        <v>713</v>
      </c>
      <c r="B5715" s="8" t="s">
        <v>11</v>
      </c>
      <c r="C5715" s="61" t="n">
        <f aca="false">(C5710*((0)&lt;Pressupostos!$C$168))/Pressupostos!$C$168</f>
        <v>2750</v>
      </c>
      <c r="D5715" s="61" t="n">
        <f aca="false">(C5710*((1)&lt;Pressupostos!$C$168)+D5710*((0)&lt;Pressupostos!$C$168))/Pressupostos!$C$168</f>
        <v>3750</v>
      </c>
      <c r="E5715" s="61" t="n">
        <f aca="false">(C5710*((2)&lt;Pressupostos!$C$168)+D5710*((1)&lt;Pressupostos!$C$168)+E5710*((0)&lt;Pressupostos!$C$168))/Pressupostos!$C$168</f>
        <v>4250</v>
      </c>
      <c r="F5715" s="61" t="n">
        <f aca="false">(C5710*((3)&lt;Pressupostos!$C$168)+D5710*((2)&lt;Pressupostos!$C$168)+E5710*((1)&lt;Pressupostos!$C$168)+F5710*((0)&lt;Pressupostos!$C$168))/Pressupostos!$C$168</f>
        <v>5500</v>
      </c>
      <c r="G5715" s="61" t="n">
        <f aca="false">(C5710*((4)&lt;Pressupostos!$C$168)+D5710*((3)&lt;Pressupostos!$C$168)+E5710*((2)&lt;Pressupostos!$C$168)+F5710*((1)&lt;Pressupostos!$C$168)+G5710*((0)&lt;Pressupostos!$C$168))/Pressupostos!$C$168</f>
        <v>3250</v>
      </c>
      <c r="H5715" s="2" t="s">
        <v>1369</v>
      </c>
    </row>
    <row r="5716" customFormat="false" ht="15" hidden="false" customHeight="false" outlineLevel="1" collapsed="false">
      <c r="A5716" s="7" t="s">
        <v>714</v>
      </c>
      <c r="B5716" s="8" t="s">
        <v>11</v>
      </c>
      <c r="C5716" s="61" t="n">
        <f aca="false">C5712+C5713+C5714+C5715</f>
        <v>26350</v>
      </c>
      <c r="D5716" s="61" t="n">
        <f aca="false">D5712+D5713+D5714+D5715</f>
        <v>39750</v>
      </c>
      <c r="E5716" s="61" t="n">
        <f aca="false">E5712+E5713+E5714+E5715</f>
        <v>52650</v>
      </c>
      <c r="F5716" s="61" t="n">
        <f aca="false">F5712+F5713+F5714+F5715</f>
        <v>42966.6666666667</v>
      </c>
      <c r="G5716" s="61" t="n">
        <f aca="false">G5712+G5713+G5714+G5715</f>
        <v>39783.3333333333</v>
      </c>
      <c r="H5716" s="2" t="s">
        <v>1370</v>
      </c>
    </row>
    <row r="5717" customFormat="false" ht="15" hidden="false" customHeight="false" outlineLevel="0" collapsed="false">
      <c r="A5717" s="3" t="s">
        <v>1371</v>
      </c>
      <c r="B5717" s="4"/>
      <c r="C5717" s="4"/>
      <c r="D5717" s="4"/>
      <c r="E5717" s="4"/>
      <c r="F5717" s="4"/>
      <c r="G5717" s="4"/>
      <c r="H5717" s="4"/>
    </row>
    <row r="5718" customFormat="false" ht="15" hidden="false" customHeight="false" outlineLevel="1" collapsed="false">
      <c r="A5718" s="56" t="s">
        <v>718</v>
      </c>
      <c r="B5718" s="57" t="s">
        <v>11</v>
      </c>
      <c r="C5718" s="62" t="n">
        <f aca="false">C5620</f>
        <v>358636.72</v>
      </c>
      <c r="D5718" s="62" t="n">
        <f aca="false">D5620</f>
        <v>2343830.2</v>
      </c>
      <c r="E5718" s="62" t="n">
        <f aca="false">E5620</f>
        <v>4807199.7</v>
      </c>
      <c r="F5718" s="62" t="n">
        <f aca="false">F5620</f>
        <v>8214860.1</v>
      </c>
      <c r="G5718" s="62" t="n">
        <f aca="false">G5620</f>
        <v>12560255.5</v>
      </c>
      <c r="H5718" s="2" t="s">
        <v>1372</v>
      </c>
    </row>
    <row r="5719" customFormat="false" ht="15" hidden="false" customHeight="false" outlineLevel="1" collapsed="false">
      <c r="A5719" s="7" t="s">
        <v>688</v>
      </c>
      <c r="B5719" s="8" t="s">
        <v>11</v>
      </c>
      <c r="C5719" s="61" t="n">
        <f aca="false">-C5643</f>
        <v>-318552</v>
      </c>
      <c r="D5719" s="61" t="n">
        <f aca="false">-D5643</f>
        <v>-2079090</v>
      </c>
      <c r="E5719" s="61" t="n">
        <f aca="false">-E5643</f>
        <v>-4222725</v>
      </c>
      <c r="F5719" s="61" t="n">
        <f aca="false">-F5643</f>
        <v>-7194005</v>
      </c>
      <c r="G5719" s="61" t="n">
        <f aca="false">-G5643</f>
        <v>-10998650</v>
      </c>
      <c r="H5719" s="2" t="s">
        <v>1373</v>
      </c>
    </row>
    <row r="5720" customFormat="false" ht="15" hidden="false" customHeight="false" outlineLevel="1" collapsed="false">
      <c r="A5720" s="56" t="s">
        <v>719</v>
      </c>
      <c r="B5720" s="57" t="s">
        <v>11</v>
      </c>
      <c r="C5720" s="62" t="n">
        <f aca="false">C5718+C5719</f>
        <v>40084.7199999999</v>
      </c>
      <c r="D5720" s="62" t="n">
        <f aca="false">D5718+D5719</f>
        <v>264740.2</v>
      </c>
      <c r="E5720" s="62" t="n">
        <f aca="false">E5718+E5719</f>
        <v>584474.7</v>
      </c>
      <c r="F5720" s="62" t="n">
        <f aca="false">F5718+F5719</f>
        <v>1020855.1</v>
      </c>
      <c r="G5720" s="62" t="n">
        <f aca="false">G5718+G5719</f>
        <v>1561605.5</v>
      </c>
      <c r="H5720" s="2" t="s">
        <v>1374</v>
      </c>
    </row>
    <row r="5721" customFormat="false" ht="15" hidden="false" customHeight="false" outlineLevel="1" collapsed="false">
      <c r="A5721" s="2" t="s">
        <v>720</v>
      </c>
      <c r="B5721" s="8" t="s">
        <v>76</v>
      </c>
      <c r="C5721" s="59" t="n">
        <f aca="false">IF(C5718&gt;0,C5720/C5718,0)</f>
        <v>0.111769703894236</v>
      </c>
      <c r="D5721" s="59" t="n">
        <f aca="false">IF(D5718&gt;0,D5720/D5718,0)</f>
        <v>0.112951953601417</v>
      </c>
      <c r="E5721" s="59" t="n">
        <f aca="false">IF(E5718&gt;0,E5720/E5718,0)</f>
        <v>0.121583195305991</v>
      </c>
      <c r="F5721" s="59" t="n">
        <f aca="false">IF(F5718&gt;0,F5720/F5718,0)</f>
        <v>0.124269322614514</v>
      </c>
      <c r="G5721" s="59" t="n">
        <f aca="false">IF(G5718&gt;0,G5720/G5718,0)</f>
        <v>0.124329118941888</v>
      </c>
      <c r="H5721" s="2" t="s">
        <v>1375</v>
      </c>
    </row>
    <row r="5722" customFormat="false" ht="15" hidden="false" customHeight="false" outlineLevel="1" collapsed="false">
      <c r="A5722" s="7" t="s">
        <v>721</v>
      </c>
      <c r="B5722" s="8" t="s">
        <v>11</v>
      </c>
      <c r="C5722" s="61" t="n">
        <f aca="false">-C5654</f>
        <v>-20142.4893835616</v>
      </c>
      <c r="D5722" s="61" t="n">
        <f aca="false">-D5654</f>
        <v>-132425.220119863</v>
      </c>
      <c r="E5722" s="61" t="n">
        <f aca="false">-E5654</f>
        <v>-275605.66390411</v>
      </c>
      <c r="F5722" s="61" t="n">
        <f aca="false">-F5654</f>
        <v>-465717.592226027</v>
      </c>
      <c r="G5722" s="61" t="n">
        <f aca="false">-G5654</f>
        <v>-695670.348972603</v>
      </c>
      <c r="H5722" s="2" t="s">
        <v>1376</v>
      </c>
    </row>
    <row r="5723" customFormat="false" ht="15" hidden="false" customHeight="false" outlineLevel="1" collapsed="false">
      <c r="A5723" s="7" t="s">
        <v>698</v>
      </c>
      <c r="B5723" s="8" t="s">
        <v>11</v>
      </c>
      <c r="C5723" s="61" t="n">
        <f aca="false">-C5657</f>
        <v>-0</v>
      </c>
      <c r="D5723" s="61" t="n">
        <f aca="false">-D5657</f>
        <v>-27981.4315068493</v>
      </c>
      <c r="E5723" s="61" t="n">
        <f aca="false">-E5657</f>
        <v>-44308.6788313356</v>
      </c>
      <c r="F5723" s="61" t="n">
        <f aca="false">-F5657</f>
        <v>-70107.7673373288</v>
      </c>
      <c r="G5723" s="61" t="n">
        <f aca="false">-G5657</f>
        <v>-106938.050085616</v>
      </c>
      <c r="H5723" s="2" t="s">
        <v>1377</v>
      </c>
    </row>
    <row r="5724" customFormat="false" ht="15" hidden="false" customHeight="false" outlineLevel="1" collapsed="false">
      <c r="A5724" s="56" t="s">
        <v>677</v>
      </c>
      <c r="B5724" s="57" t="s">
        <v>11</v>
      </c>
      <c r="C5724" s="62" t="n">
        <f aca="false">C5720+C5722+C5723</f>
        <v>19942.2306164383</v>
      </c>
      <c r="D5724" s="62" t="n">
        <f aca="false">D5720+D5722+D5723</f>
        <v>104333.548373288</v>
      </c>
      <c r="E5724" s="62" t="n">
        <f aca="false">E5720+E5722+E5723</f>
        <v>264560.357264555</v>
      </c>
      <c r="F5724" s="62" t="n">
        <f aca="false">F5720+F5722+F5723</f>
        <v>485029.740436643</v>
      </c>
      <c r="G5724" s="62" t="n">
        <f aca="false">G5720+G5722+G5723</f>
        <v>758997.100941779</v>
      </c>
      <c r="H5724" s="2" t="s">
        <v>1378</v>
      </c>
    </row>
    <row r="5725" customFormat="false" ht="15" hidden="false" customHeight="false" outlineLevel="1" collapsed="false">
      <c r="A5725" s="7" t="s">
        <v>261</v>
      </c>
      <c r="B5725" s="8" t="s">
        <v>11</v>
      </c>
      <c r="C5725" s="61" t="n">
        <f aca="false">-C5689</f>
        <v>-303573.09375</v>
      </c>
      <c r="D5725" s="61" t="n">
        <f aca="false">-D5689</f>
        <v>-477845.325</v>
      </c>
      <c r="E5725" s="61" t="n">
        <f aca="false">-E5689</f>
        <v>-563341.2153125</v>
      </c>
      <c r="F5725" s="61" t="n">
        <f aca="false">-F5689</f>
        <v>-697007.527174375</v>
      </c>
      <c r="G5725" s="61" t="n">
        <f aca="false">-G5689</f>
        <v>-768997.563445444</v>
      </c>
      <c r="H5725" s="2" t="s">
        <v>1379</v>
      </c>
    </row>
    <row r="5726" customFormat="false" ht="15" hidden="false" customHeight="false" outlineLevel="1" collapsed="false">
      <c r="A5726" s="7" t="s">
        <v>722</v>
      </c>
      <c r="B5726" s="8" t="s">
        <v>11</v>
      </c>
      <c r="C5726" s="61" t="n">
        <f aca="false">-C5705</f>
        <v>-298100</v>
      </c>
      <c r="D5726" s="61" t="n">
        <f aca="false">-D5705</f>
        <v>-301676.28</v>
      </c>
      <c r="E5726" s="61" t="n">
        <f aca="false">-E5705</f>
        <v>-377461.04</v>
      </c>
      <c r="F5726" s="61" t="n">
        <f aca="false">-F5705</f>
        <v>-406113.884</v>
      </c>
      <c r="G5726" s="61" t="n">
        <f aca="false">-G5705</f>
        <v>-454275.501272</v>
      </c>
      <c r="H5726" s="2" t="s">
        <v>1380</v>
      </c>
    </row>
    <row r="5727" customFormat="false" ht="15" hidden="false" customHeight="false" outlineLevel="1" collapsed="false">
      <c r="A5727" s="56" t="s">
        <v>723</v>
      </c>
      <c r="B5727" s="57" t="s">
        <v>11</v>
      </c>
      <c r="C5727" s="62" t="n">
        <f aca="false">C5724+C5725+C5726</f>
        <v>-581730.863133562</v>
      </c>
      <c r="D5727" s="62" t="n">
        <f aca="false">D5724+D5725+D5726</f>
        <v>-675188.056626712</v>
      </c>
      <c r="E5727" s="62" t="n">
        <f aca="false">E5724+E5725+E5726</f>
        <v>-676241.898047945</v>
      </c>
      <c r="F5727" s="62" t="n">
        <f aca="false">F5724+F5725+F5726</f>
        <v>-618091.670737732</v>
      </c>
      <c r="G5727" s="62" t="n">
        <f aca="false">G5724+G5725+G5726</f>
        <v>-464275.963775665</v>
      </c>
      <c r="H5727" s="2" t="s">
        <v>1381</v>
      </c>
    </row>
    <row r="5728" customFormat="false" ht="15" hidden="false" customHeight="false" outlineLevel="1" collapsed="false">
      <c r="A5728" s="2" t="s">
        <v>725</v>
      </c>
      <c r="B5728" s="8" t="s">
        <v>76</v>
      </c>
      <c r="C5728" s="59" t="n">
        <f aca="false">IF(C5718&gt;0,C5727/C5718,0)</f>
        <v>-1.62206163142905</v>
      </c>
      <c r="D5728" s="59" t="n">
        <f aca="false">IF(D5718&gt;0,D5727/D5718,0)</f>
        <v>-0.28807038010975</v>
      </c>
      <c r="E5728" s="59" t="n">
        <f aca="false">IF(E5718&gt;0,E5727/E5718,0)</f>
        <v>-0.140672728459345</v>
      </c>
      <c r="F5728" s="59" t="n">
        <f aca="false">IF(F5718&gt;0,F5727/F5718,0)</f>
        <v>-0.0752406813035967</v>
      </c>
      <c r="G5728" s="59" t="n">
        <f aca="false">IF(G5718&gt;0,G5727/G5718,0)</f>
        <v>-0.0369638948646916</v>
      </c>
      <c r="H5728" s="2" t="s">
        <v>1382</v>
      </c>
    </row>
    <row r="5729" customFormat="false" ht="15" hidden="false" customHeight="false" outlineLevel="1" collapsed="false">
      <c r="A5729" s="2" t="s">
        <v>726</v>
      </c>
      <c r="B5729" s="8" t="s">
        <v>11</v>
      </c>
      <c r="C5729" s="61" t="n">
        <f aca="false">C5727+C5657</f>
        <v>-581730.863133562</v>
      </c>
      <c r="D5729" s="61" t="n">
        <f aca="false">D5727+D5657</f>
        <v>-647206.625119863</v>
      </c>
      <c r="E5729" s="61" t="n">
        <f aca="false">E5727+E5657</f>
        <v>-631933.219216609</v>
      </c>
      <c r="F5729" s="61" t="n">
        <f aca="false">F5727+F5657</f>
        <v>-547983.903400404</v>
      </c>
      <c r="G5729" s="61" t="n">
        <f aca="false">G5727+G5657</f>
        <v>-357337.913690048</v>
      </c>
      <c r="H5729" s="2" t="s">
        <v>1383</v>
      </c>
    </row>
    <row r="5730" customFormat="false" ht="15" hidden="false" customHeight="false" outlineLevel="1" collapsed="false">
      <c r="A5730" s="7" t="s">
        <v>714</v>
      </c>
      <c r="B5730" s="8" t="s">
        <v>11</v>
      </c>
      <c r="C5730" s="61" t="n">
        <f aca="false">-C5716</f>
        <v>-26350</v>
      </c>
      <c r="D5730" s="61" t="n">
        <f aca="false">-D5716</f>
        <v>-39750</v>
      </c>
      <c r="E5730" s="61" t="n">
        <f aca="false">-E5716</f>
        <v>-52650</v>
      </c>
      <c r="F5730" s="61" t="n">
        <f aca="false">-F5716</f>
        <v>-42966.6666666667</v>
      </c>
      <c r="G5730" s="61" t="n">
        <f aca="false">-G5716</f>
        <v>-39783.3333333333</v>
      </c>
      <c r="H5730" s="2" t="s">
        <v>1384</v>
      </c>
    </row>
    <row r="5731" customFormat="false" ht="15" hidden="false" customHeight="false" outlineLevel="1" collapsed="false">
      <c r="A5731" s="56" t="s">
        <v>727</v>
      </c>
      <c r="B5731" s="57" t="s">
        <v>11</v>
      </c>
      <c r="C5731" s="62" t="n">
        <f aca="false">C5727+C5730</f>
        <v>-608080.863133562</v>
      </c>
      <c r="D5731" s="62" t="n">
        <f aca="false">D5727+D5730</f>
        <v>-714938.056626712</v>
      </c>
      <c r="E5731" s="62" t="n">
        <f aca="false">E5727+E5730</f>
        <v>-728891.898047945</v>
      </c>
      <c r="F5731" s="62" t="n">
        <f aca="false">F5727+F5730</f>
        <v>-661058.337404399</v>
      </c>
      <c r="G5731" s="62" t="n">
        <f aca="false">G5727+G5730</f>
        <v>-504059.297108998</v>
      </c>
      <c r="H5731" s="2" t="s">
        <v>1385</v>
      </c>
    </row>
    <row r="5732" customFormat="false" ht="15" hidden="false" customHeight="false" outlineLevel="0" collapsed="false">
      <c r="A5732" s="3" t="s">
        <v>1386</v>
      </c>
      <c r="B5732" s="4"/>
      <c r="C5732" s="4"/>
      <c r="D5732" s="4"/>
      <c r="E5732" s="4"/>
      <c r="F5732" s="4"/>
      <c r="G5732" s="4"/>
      <c r="H5732" s="4"/>
    </row>
    <row r="5733" customFormat="false" ht="15" hidden="false" customHeight="false" outlineLevel="1" collapsed="false">
      <c r="A5733" s="7" t="s">
        <v>729</v>
      </c>
      <c r="B5733" s="8" t="s">
        <v>11</v>
      </c>
      <c r="C5733" s="61" t="n">
        <f aca="false">C5731</f>
        <v>-608080.863133562</v>
      </c>
      <c r="D5733" s="61" t="n">
        <f aca="false">D5731</f>
        <v>-714938.056626712</v>
      </c>
      <c r="E5733" s="61" t="n">
        <f aca="false">E5731</f>
        <v>-728891.898047945</v>
      </c>
      <c r="F5733" s="61" t="n">
        <f aca="false">F5731</f>
        <v>-661058.337404399</v>
      </c>
      <c r="G5733" s="61" t="n">
        <f aca="false">G5731</f>
        <v>-504059.297108998</v>
      </c>
      <c r="H5733" s="2" t="s">
        <v>1387</v>
      </c>
    </row>
    <row r="5734" customFormat="false" ht="15" hidden="false" customHeight="false" outlineLevel="1" collapsed="false">
      <c r="A5734" s="7" t="s">
        <v>730</v>
      </c>
      <c r="B5734" s="8" t="s">
        <v>11</v>
      </c>
      <c r="C5734" s="61" t="n">
        <f aca="false">0</f>
        <v>0</v>
      </c>
      <c r="D5734" s="61" t="n">
        <f aca="false">C5737</f>
        <v>608080.863133562</v>
      </c>
      <c r="E5734" s="61" t="n">
        <f aca="false">D5737</f>
        <v>1323018.91976027</v>
      </c>
      <c r="F5734" s="61" t="n">
        <f aca="false">E5737</f>
        <v>2051910.81780822</v>
      </c>
      <c r="G5734" s="61" t="n">
        <f aca="false">F5737</f>
        <v>2712969.15521262</v>
      </c>
      <c r="H5734" s="2" t="s">
        <v>1388</v>
      </c>
    </row>
    <row r="5735" customFormat="false" ht="15" hidden="false" customHeight="false" outlineLevel="1" collapsed="false">
      <c r="A5735" s="7" t="s">
        <v>731</v>
      </c>
      <c r="B5735" s="8" t="s">
        <v>11</v>
      </c>
      <c r="C5735" s="61" t="n">
        <f aca="false">MAX(0,-C5733)</f>
        <v>608080.863133562</v>
      </c>
      <c r="D5735" s="61" t="n">
        <f aca="false">MAX(0,-D5733)</f>
        <v>714938.056626712</v>
      </c>
      <c r="E5735" s="61" t="n">
        <f aca="false">MAX(0,-E5733)</f>
        <v>728891.898047945</v>
      </c>
      <c r="F5735" s="61" t="n">
        <f aca="false">MAX(0,-F5733)</f>
        <v>661058.337404399</v>
      </c>
      <c r="G5735" s="61" t="n">
        <f aca="false">MAX(0,-G5733)</f>
        <v>504059.297108998</v>
      </c>
      <c r="H5735" s="2" t="s">
        <v>1389</v>
      </c>
    </row>
    <row r="5736" customFormat="false" ht="15" hidden="false" customHeight="false" outlineLevel="1" collapsed="false">
      <c r="A5736" s="7" t="s">
        <v>732</v>
      </c>
      <c r="B5736" s="8" t="s">
        <v>11</v>
      </c>
      <c r="C5736" s="61" t="n">
        <f aca="false">MIN(C5734,Pressupostos!$C$181*MAX(0,C5733))</f>
        <v>0</v>
      </c>
      <c r="D5736" s="61" t="n">
        <f aca="false">MIN(D5734,Pressupostos!$C$181*MAX(0,D5733))</f>
        <v>0</v>
      </c>
      <c r="E5736" s="61" t="n">
        <f aca="false">MIN(E5734,Pressupostos!$C$181*MAX(0,E5733))</f>
        <v>0</v>
      </c>
      <c r="F5736" s="61" t="n">
        <f aca="false">MIN(F5734,Pressupostos!$C$181*MAX(0,F5733))</f>
        <v>0</v>
      </c>
      <c r="G5736" s="61" t="n">
        <f aca="false">MIN(G5734,Pressupostos!$C$181*MAX(0,G5733))</f>
        <v>0</v>
      </c>
      <c r="H5736" s="2" t="s">
        <v>1390</v>
      </c>
    </row>
    <row r="5737" customFormat="false" ht="15" hidden="false" customHeight="false" outlineLevel="1" collapsed="false">
      <c r="A5737" s="7" t="s">
        <v>733</v>
      </c>
      <c r="B5737" s="8" t="s">
        <v>11</v>
      </c>
      <c r="C5737" s="61" t="n">
        <f aca="false">C5734+C5735-C5736</f>
        <v>608080.863133562</v>
      </c>
      <c r="D5737" s="61" t="n">
        <f aca="false">D5734+D5735-D5736</f>
        <v>1323018.91976027</v>
      </c>
      <c r="E5737" s="61" t="n">
        <f aca="false">E5734+E5735-E5736</f>
        <v>2051910.81780822</v>
      </c>
      <c r="F5737" s="61" t="n">
        <f aca="false">F5734+F5735-F5736</f>
        <v>2712969.15521262</v>
      </c>
      <c r="G5737" s="61" t="n">
        <f aca="false">G5734+G5735-G5736</f>
        <v>3217028.45232162</v>
      </c>
      <c r="H5737" s="2" t="s">
        <v>1391</v>
      </c>
    </row>
    <row r="5738" customFormat="false" ht="15" hidden="false" customHeight="false" outlineLevel="1" collapsed="false">
      <c r="A5738" s="7" t="s">
        <v>734</v>
      </c>
      <c r="B5738" s="8" t="s">
        <v>11</v>
      </c>
      <c r="C5738" s="61" t="n">
        <f aca="false">MAX(0,C5733)-C5736</f>
        <v>0</v>
      </c>
      <c r="D5738" s="61" t="n">
        <f aca="false">MAX(0,D5733)-D5736</f>
        <v>0</v>
      </c>
      <c r="E5738" s="61" t="n">
        <f aca="false">MAX(0,E5733)-E5736</f>
        <v>0</v>
      </c>
      <c r="F5738" s="61" t="n">
        <f aca="false">MAX(0,F5733)-F5736</f>
        <v>0</v>
      </c>
      <c r="G5738" s="61" t="n">
        <f aca="false">MAX(0,G5733)-G5736</f>
        <v>0</v>
      </c>
      <c r="H5738" s="2" t="s">
        <v>1392</v>
      </c>
    </row>
    <row r="5739" customFormat="false" ht="15" hidden="false" customHeight="false" outlineLevel="1" collapsed="false">
      <c r="A5739" s="7" t="s">
        <v>735</v>
      </c>
      <c r="B5739" s="8" t="s">
        <v>11</v>
      </c>
      <c r="C5739" s="61" t="n">
        <f aca="false">Pressupostos!$C$172*MIN(C5738,Pressupostos!$C$173)+Pressupostos!$C$467*MAX(0,C5738-Pressupostos!$C$173)</f>
        <v>0</v>
      </c>
      <c r="D5739" s="61" t="n">
        <f aca="false">Pressupostos!$C$172*MIN(D5738,Pressupostos!$C$173)+Pressupostos!$D$467*MAX(0,D5738-Pressupostos!$C$173)</f>
        <v>0</v>
      </c>
      <c r="E5739" s="61" t="n">
        <f aca="false">Pressupostos!$C$172*MIN(E5738,Pressupostos!$C$173)+Pressupostos!$E$467*MAX(0,E5738-Pressupostos!$C$173)</f>
        <v>0</v>
      </c>
      <c r="F5739" s="61" t="n">
        <f aca="false">Pressupostos!$C$172*MIN(F5738,Pressupostos!$C$173)+Pressupostos!$F$467*MAX(0,F5738-Pressupostos!$C$173)</f>
        <v>0</v>
      </c>
      <c r="G5739" s="61" t="n">
        <f aca="false">Pressupostos!$C$172*MIN(G5738,Pressupostos!$C$173)+Pressupostos!$G$467*MAX(0,G5738-Pressupostos!$C$173)</f>
        <v>0</v>
      </c>
      <c r="H5739" s="2" t="s">
        <v>1393</v>
      </c>
    </row>
    <row r="5740" customFormat="false" ht="15" hidden="false" customHeight="false" outlineLevel="1" collapsed="false">
      <c r="A5740" s="7" t="s">
        <v>736</v>
      </c>
      <c r="B5740" s="8" t="s">
        <v>11</v>
      </c>
      <c r="C5740" s="61" t="n">
        <f aca="false">Pressupostos!$C$174*MAX(0,C5733)</f>
        <v>0</v>
      </c>
      <c r="D5740" s="61" t="n">
        <f aca="false">Pressupostos!$C$174*MAX(0,D5733)</f>
        <v>0</v>
      </c>
      <c r="E5740" s="61" t="n">
        <f aca="false">Pressupostos!$C$174*MAX(0,E5733)</f>
        <v>0</v>
      </c>
      <c r="F5740" s="61" t="n">
        <f aca="false">Pressupostos!$C$174*MAX(0,F5733)</f>
        <v>0</v>
      </c>
      <c r="G5740" s="61" t="n">
        <f aca="false">Pressupostos!$C$174*MAX(0,G5733)</f>
        <v>0</v>
      </c>
      <c r="H5740" s="2" t="s">
        <v>1394</v>
      </c>
    </row>
    <row r="5741" customFormat="false" ht="15" hidden="false" customHeight="false" outlineLevel="1" collapsed="false">
      <c r="A5741" s="7" t="s">
        <v>737</v>
      </c>
      <c r="B5741" s="8" t="s">
        <v>11</v>
      </c>
      <c r="C5741" s="61" t="n">
        <f aca="false">Pressupostos!$C$176*MAX(0,MIN(C5733,Pressupostos!$C$177)-Pressupostos!$C$175)+Pressupostos!$C$178*MAX(0,MIN(C5733,Pressupostos!$C$179)-Pressupostos!$C$177)+Pressupostos!$C$180*MAX(0,C5733-Pressupostos!$C$179)</f>
        <v>0</v>
      </c>
      <c r="D5741" s="61" t="n">
        <f aca="false">Pressupostos!$C$176*MAX(0,MIN(D5733,Pressupostos!$C$177)-Pressupostos!$C$175)+Pressupostos!$C$178*MAX(0,MIN(D5733,Pressupostos!$C$179)-Pressupostos!$C$177)+Pressupostos!$C$180*MAX(0,D5733-Pressupostos!$C$179)</f>
        <v>0</v>
      </c>
      <c r="E5741" s="61" t="n">
        <f aca="false">Pressupostos!$C$176*MAX(0,MIN(E5733,Pressupostos!$C$177)-Pressupostos!$C$175)+Pressupostos!$C$178*MAX(0,MIN(E5733,Pressupostos!$C$179)-Pressupostos!$C$177)+Pressupostos!$C$180*MAX(0,E5733-Pressupostos!$C$179)</f>
        <v>0</v>
      </c>
      <c r="F5741" s="61" t="n">
        <f aca="false">Pressupostos!$C$176*MAX(0,MIN(F5733,Pressupostos!$C$177)-Pressupostos!$C$175)+Pressupostos!$C$178*MAX(0,MIN(F5733,Pressupostos!$C$179)-Pressupostos!$C$177)+Pressupostos!$C$180*MAX(0,F5733-Pressupostos!$C$179)</f>
        <v>0</v>
      </c>
      <c r="G5741" s="61" t="n">
        <f aca="false">Pressupostos!$C$176*MAX(0,MIN(G5733,Pressupostos!$C$177)-Pressupostos!$C$175)+Pressupostos!$C$178*MAX(0,MIN(G5733,Pressupostos!$C$179)-Pressupostos!$C$177)+Pressupostos!$C$180*MAX(0,G5733-Pressupostos!$C$179)</f>
        <v>0</v>
      </c>
      <c r="H5741" s="2" t="s">
        <v>1395</v>
      </c>
    </row>
    <row r="5742" customFormat="false" ht="15" hidden="false" customHeight="false" outlineLevel="1" collapsed="false">
      <c r="A5742" s="7" t="s">
        <v>738</v>
      </c>
      <c r="B5742" s="8" t="s">
        <v>11</v>
      </c>
      <c r="C5742" s="61" t="n">
        <f aca="false">C5739+C5740+C5741</f>
        <v>0</v>
      </c>
      <c r="D5742" s="61" t="n">
        <f aca="false">D5739+D5740+D5741</f>
        <v>0</v>
      </c>
      <c r="E5742" s="61" t="n">
        <f aca="false">E5739+E5740+E5741</f>
        <v>0</v>
      </c>
      <c r="F5742" s="61" t="n">
        <f aca="false">F5739+F5740+F5741</f>
        <v>0</v>
      </c>
      <c r="G5742" s="61" t="n">
        <f aca="false">G5739+G5740+G5741</f>
        <v>0</v>
      </c>
      <c r="H5742" s="2" t="s">
        <v>1396</v>
      </c>
    </row>
    <row r="5743" customFormat="false" ht="15" hidden="false" customHeight="false" outlineLevel="0" collapsed="false">
      <c r="A5743" s="3" t="s">
        <v>1397</v>
      </c>
      <c r="B5743" s="4"/>
      <c r="C5743" s="4"/>
      <c r="D5743" s="4"/>
      <c r="E5743" s="4"/>
      <c r="F5743" s="4"/>
      <c r="G5743" s="4"/>
      <c r="H5743" s="4"/>
    </row>
    <row r="5744" customFormat="false" ht="15" hidden="false" customHeight="false" outlineLevel="1" collapsed="false">
      <c r="A5744" s="7" t="s">
        <v>738</v>
      </c>
      <c r="B5744" s="8" t="s">
        <v>11</v>
      </c>
      <c r="C5744" s="61" t="n">
        <f aca="false">-C5742</f>
        <v>-0</v>
      </c>
      <c r="D5744" s="61" t="n">
        <f aca="false">-D5742</f>
        <v>-0</v>
      </c>
      <c r="E5744" s="61" t="n">
        <f aca="false">-E5742</f>
        <v>-0</v>
      </c>
      <c r="F5744" s="61" t="n">
        <f aca="false">-F5742</f>
        <v>-0</v>
      </c>
      <c r="G5744" s="61" t="n">
        <f aca="false">-G5742</f>
        <v>-0</v>
      </c>
      <c r="H5744" s="2" t="s">
        <v>1398</v>
      </c>
    </row>
    <row r="5745" customFormat="false" ht="15" hidden="false" customHeight="false" outlineLevel="1" collapsed="false">
      <c r="A5745" s="56" t="s">
        <v>740</v>
      </c>
      <c r="B5745" s="57" t="s">
        <v>11</v>
      </c>
      <c r="C5745" s="62" t="n">
        <f aca="false">C5731+C5744</f>
        <v>-608080.863133562</v>
      </c>
      <c r="D5745" s="62" t="n">
        <f aca="false">D5731+D5744</f>
        <v>-714938.056626712</v>
      </c>
      <c r="E5745" s="62" t="n">
        <f aca="false">E5731+E5744</f>
        <v>-728891.898047945</v>
      </c>
      <c r="F5745" s="62" t="n">
        <f aca="false">F5731+F5744</f>
        <v>-661058.337404399</v>
      </c>
      <c r="G5745" s="62" t="n">
        <f aca="false">G5731+G5744</f>
        <v>-504059.297108998</v>
      </c>
      <c r="H5745" s="2" t="s">
        <v>1399</v>
      </c>
    </row>
    <row r="5746" customFormat="false" ht="15" hidden="false" customHeight="false" outlineLevel="0" collapsed="false">
      <c r="A5746" s="3" t="s">
        <v>1400</v>
      </c>
      <c r="B5746" s="4"/>
      <c r="C5746" s="4"/>
      <c r="D5746" s="4"/>
      <c r="E5746" s="4"/>
      <c r="F5746" s="4"/>
      <c r="G5746" s="4"/>
      <c r="H5746" s="4"/>
    </row>
    <row r="5747" customFormat="false" ht="15" hidden="false" customHeight="false" outlineLevel="1" collapsed="false">
      <c r="A5747" s="7" t="s">
        <v>744</v>
      </c>
      <c r="B5747" s="8" t="s">
        <v>11</v>
      </c>
      <c r="C5747" s="61" t="n">
        <f aca="false">C5519*1000*((C5537+C5540)*C5543/365)+C5520*1000*((C5560+C5563)*C5566/365)+C5522*1000*((C5583+C5586)*C5589/365)</f>
        <v>44581.8082191781</v>
      </c>
      <c r="D5747" s="61" t="n">
        <f aca="false">D5519*1000*((D5537+D5540)*D5543/365)+D5520*1000*((D5560+D5563)*D5566/365)+D5522*1000*((D5583+D5586)*D5589/365)</f>
        <v>239882.054794521</v>
      </c>
      <c r="E5747" s="61" t="n">
        <f aca="false">E5519*1000*((E5537+E5540)*E5543/365)+E5520*1000*((E5560+E5563)*E5566/365)+E5522*1000*((E5583+E5586)*E5589/365)</f>
        <v>365472.739726027</v>
      </c>
      <c r="F5747" s="61" t="n">
        <f aca="false">F5519*1000*((F5537+F5540)*F5543/365)+F5520*1000*((F5560+F5563)*F5566/365)+F5522*1000*((F5583+F5586)*F5589/365)</f>
        <v>608528.219178082</v>
      </c>
      <c r="G5747" s="61" t="n">
        <f aca="false">G5519*1000*((G5537+G5540)*G5543/365)+G5520*1000*((G5560+G5563)*G5566/365)+G5522*1000*((G5583+G5586)*G5589/365)</f>
        <v>912600</v>
      </c>
      <c r="H5747" s="2" t="s">
        <v>1401</v>
      </c>
    </row>
    <row r="5748" customFormat="false" ht="15" hidden="false" customHeight="false" outlineLevel="1" collapsed="false">
      <c r="A5748" s="7" t="s">
        <v>745</v>
      </c>
      <c r="B5748" s="8" t="s">
        <v>11</v>
      </c>
      <c r="C5748" s="61" t="n">
        <f aca="false">C5747+C5532*1000*Pressupostos!$C$92*Pressupostos!$C$95/365</f>
        <v>44581.8082191781</v>
      </c>
      <c r="D5748" s="61" t="n">
        <f aca="false">D5747+D5532*1000*Pressupostos!$C$92*Pressupostos!$C$95/365</f>
        <v>239882.054794521</v>
      </c>
      <c r="E5748" s="61" t="n">
        <f aca="false">E5747+E5532*1000*Pressupostos!$C$92*Pressupostos!$C$95/365</f>
        <v>365472.739726027</v>
      </c>
      <c r="F5748" s="61" t="n">
        <f aca="false">F5747+F5532*1000*Pressupostos!$C$92*Pressupostos!$C$95/365</f>
        <v>630966.575342466</v>
      </c>
      <c r="G5748" s="61" t="n">
        <f aca="false">G5747+G5532*1000*Pressupostos!$C$92*Pressupostos!$C$95/365</f>
        <v>968695.890410959</v>
      </c>
      <c r="H5748" s="2" t="s">
        <v>1402</v>
      </c>
    </row>
    <row r="5749" customFormat="false" ht="15" hidden="false" customHeight="false" outlineLevel="1" collapsed="false">
      <c r="A5749" s="7" t="s">
        <v>746</v>
      </c>
      <c r="B5749" s="8" t="s">
        <v>11</v>
      </c>
      <c r="C5749" s="61" t="n">
        <f aca="false">C5519*1000*(C5539*C5544/365)+C5520*1000*(C5562*C5567/365)+C5522*1000*(C5585*C5590/365)+C5614*Pressupostos!$C$96/365+(C5616+C5617)*Pressupostos!$C$82/365</f>
        <v>50869.6482191781</v>
      </c>
      <c r="D5749" s="61" t="n">
        <f aca="false">D5519*1000*(D5539*D5544/365)+D5520*1000*(D5562*D5567/365)+D5522*1000*(D5585*D5590/365)+D5614*Pressupostos!$C$96/365+(D5616+D5617)*Pressupostos!$C$82/365</f>
        <v>338611.249315069</v>
      </c>
      <c r="E5749" s="61" t="n">
        <f aca="false">E5519*1000*(E5539*E5544/365)+E5520*1000*(E5562*E5567/365)+E5522*1000*(E5585*E5590/365)+E5614*Pressupostos!$C$96/365+(E5616+E5617)*Pressupostos!$C$82/365</f>
        <v>684631.002739726</v>
      </c>
      <c r="F5749" s="61" t="n">
        <f aca="false">F5519*1000*(F5539*F5544/365)+F5520*1000*(F5562*F5567/365)+F5522*1000*(F5585*F5590/365)+F5614*Pressupostos!$C$96/365+(F5616+F5617)*Pressupostos!$C$82/365</f>
        <v>1151983.63835616</v>
      </c>
      <c r="G5749" s="61" t="n">
        <f aca="false">G5519*1000*(G5539*G5544/365)+G5520*1000*(G5562*G5567/365)+G5522*1000*(G5585*G5590/365)+G5614*Pressupostos!$C$96/365+(G5616+G5617)*Pressupostos!$C$82/365</f>
        <v>1750635.38356164</v>
      </c>
      <c r="H5749" s="2" t="s">
        <v>1403</v>
      </c>
    </row>
    <row r="5750" customFormat="false" ht="15" hidden="false" customHeight="false" outlineLevel="1" collapsed="false">
      <c r="A5750" s="7" t="s">
        <v>747</v>
      </c>
      <c r="B5750" s="8" t="s">
        <v>11</v>
      </c>
      <c r="C5750" s="61" t="n">
        <f aca="false">C5519*1000*((C5537+C5540)*Pressupostos!$C$72/365)+C5520*1000*((C5560+C5563)*Pressupostos!$C$72/365)+C5522*1000*((C5583+C5586)*Pressupostos!$C$72/365)+C5532*1000*Pressupostos!$C$92*Pressupostos!$C$97/365</f>
        <v>26182.3561643836</v>
      </c>
      <c r="D5750" s="61" t="n">
        <f aca="false">D5519*1000*((D5537+D5540)*Pressupostos!$C$72/365)+D5520*1000*((D5560+D5563)*Pressupostos!$C$72/365)+D5522*1000*((D5583+D5586)*Pressupostos!$C$72/365)+D5532*1000*Pressupostos!$C$92*Pressupostos!$C$97/365</f>
        <v>170884.109589041</v>
      </c>
      <c r="E5750" s="61" t="n">
        <f aca="false">E5519*1000*((E5537+E5540)*Pressupostos!$C$72/365)+E5520*1000*((E5560+E5563)*Pressupostos!$C$72/365)+E5522*1000*((E5583+E5586)*Pressupostos!$C$72/365)+E5532*1000*Pressupostos!$C$92*Pressupostos!$C$97/365</f>
        <v>347073.287671233</v>
      </c>
      <c r="F5750" s="61" t="n">
        <f aca="false">F5519*1000*((F5537+F5540)*Pressupostos!$C$72/365)+F5520*1000*((F5560+F5563)*Pressupostos!$C$72/365)+F5522*1000*((F5583+F5586)*Pressupostos!$C$72/365)+F5532*1000*Pressupostos!$C$92*Pressupostos!$C$97/365</f>
        <v>591288.082191781</v>
      </c>
      <c r="G5750" s="61" t="n">
        <f aca="false">G5519*1000*((G5537+G5540)*Pressupostos!$C$72/365)+G5520*1000*((G5560+G5563)*Pressupostos!$C$72/365)+G5522*1000*((G5583+G5586)*Pressupostos!$C$72/365)+G5532*1000*Pressupostos!$C$92*Pressupostos!$C$97/365</f>
        <v>903998.630136986</v>
      </c>
      <c r="H5750" s="2" t="s">
        <v>1404</v>
      </c>
    </row>
    <row r="5751" customFormat="false" ht="15" hidden="false" customHeight="false" outlineLevel="1" collapsed="false">
      <c r="A5751" s="56" t="s">
        <v>748</v>
      </c>
      <c r="B5751" s="57" t="s">
        <v>11</v>
      </c>
      <c r="C5751" s="62" t="n">
        <f aca="false">C5748+C5749-C5750</f>
        <v>69269.1002739726</v>
      </c>
      <c r="D5751" s="62" t="n">
        <f aca="false">D5748+D5749-D5750</f>
        <v>407609.194520548</v>
      </c>
      <c r="E5751" s="62" t="n">
        <f aca="false">E5748+E5749-E5750</f>
        <v>703030.454794521</v>
      </c>
      <c r="F5751" s="62" t="n">
        <f aca="false">F5748+F5749-F5750</f>
        <v>1191662.13150685</v>
      </c>
      <c r="G5751" s="62" t="n">
        <f aca="false">G5748+G5749-G5750</f>
        <v>1815332.64383562</v>
      </c>
      <c r="H5751" s="2" t="s">
        <v>1405</v>
      </c>
    </row>
    <row r="5752" customFormat="false" ht="15" hidden="false" customHeight="false" outlineLevel="0" collapsed="false">
      <c r="A5752" s="3" t="s">
        <v>1406</v>
      </c>
      <c r="B5752" s="4"/>
      <c r="C5752" s="4"/>
      <c r="D5752" s="4"/>
      <c r="E5752" s="4"/>
      <c r="F5752" s="4"/>
      <c r="G5752" s="4"/>
      <c r="H5752" s="4"/>
    </row>
    <row r="5753" customFormat="false" ht="15" hidden="false" customHeight="false" outlineLevel="1" collapsed="false">
      <c r="A5753" s="56" t="s">
        <v>750</v>
      </c>
      <c r="B5753" s="57" t="s">
        <v>11</v>
      </c>
      <c r="C5753" s="62" t="n">
        <f aca="false">Pressupostos!$C$284*C5751/Pressupostos!$F$31</f>
        <v>0</v>
      </c>
      <c r="D5753" s="62" t="n">
        <f aca="false">Pressupostos!$D$284*D5751/Pressupostos!$F$31</f>
        <v>382133.619863014</v>
      </c>
      <c r="E5753" s="62" t="n">
        <f aca="false">Pressupostos!$E$284*E5751/Pressupostos!$F$31</f>
        <v>659091.051369863</v>
      </c>
      <c r="F5753" s="62" t="n">
        <f aca="false">Pressupostos!$F$284*F5751/Pressupostos!$F$31</f>
        <v>1117183.24828767</v>
      </c>
      <c r="G5753" s="62" t="n">
        <f aca="false">Pressupostos!$G$284*G5751/Pressupostos!$F$31</f>
        <v>1701874.35359589</v>
      </c>
      <c r="H5753" s="2" t="s">
        <v>1407</v>
      </c>
    </row>
    <row r="5754" customFormat="false" ht="15" hidden="false" customHeight="false" outlineLevel="1" collapsed="false">
      <c r="A5754" s="7" t="s">
        <v>751</v>
      </c>
      <c r="B5754" s="8" t="s">
        <v>11</v>
      </c>
      <c r="C5754" s="61" t="n">
        <f aca="false">Pressupostos!$C$284*C5751</f>
        <v>0</v>
      </c>
      <c r="D5754" s="61" t="n">
        <f aca="false">Pressupostos!$D$284*D5751</f>
        <v>305706.895890411</v>
      </c>
      <c r="E5754" s="61" t="n">
        <f aca="false">Pressupostos!$E$284*E5751</f>
        <v>527272.84109589</v>
      </c>
      <c r="F5754" s="61" t="n">
        <f aca="false">Pressupostos!$F$284*F5751</f>
        <v>893746.598630137</v>
      </c>
      <c r="G5754" s="61" t="n">
        <f aca="false">Pressupostos!$G$284*G5751</f>
        <v>1361499.48287671</v>
      </c>
      <c r="H5754" s="2" t="s">
        <v>1408</v>
      </c>
    </row>
    <row r="5755" customFormat="false" ht="15" hidden="false" customHeight="false" outlineLevel="1" collapsed="false">
      <c r="A5755" s="7" t="s">
        <v>752</v>
      </c>
      <c r="B5755" s="8" t="s">
        <v>11</v>
      </c>
      <c r="C5755" s="61" t="n">
        <f aca="false">C5753-C5754</f>
        <v>0</v>
      </c>
      <c r="D5755" s="61" t="n">
        <f aca="false">D5753-D5754</f>
        <v>76426.7239726027</v>
      </c>
      <c r="E5755" s="61" t="n">
        <f aca="false">E5753-E5754</f>
        <v>131818.210273973</v>
      </c>
      <c r="F5755" s="61" t="n">
        <f aca="false">F5753-F5754</f>
        <v>223436.649657534</v>
      </c>
      <c r="G5755" s="61" t="n">
        <f aca="false">G5753-G5754</f>
        <v>340374.870719178</v>
      </c>
      <c r="H5755" s="2" t="s">
        <v>1409</v>
      </c>
    </row>
    <row r="5756" customFormat="false" ht="15" hidden="false" customHeight="false" outlineLevel="1" collapsed="false">
      <c r="A5756" s="7" t="s">
        <v>753</v>
      </c>
      <c r="B5756" s="8" t="s">
        <v>11</v>
      </c>
      <c r="C5756" s="61" t="n">
        <f aca="false">C5751-C5754</f>
        <v>69269.1002739726</v>
      </c>
      <c r="D5756" s="61" t="n">
        <f aca="false">D5751-D5754</f>
        <v>101902.298630137</v>
      </c>
      <c r="E5756" s="61" t="n">
        <f aca="false">E5751-E5754</f>
        <v>175757.61369863</v>
      </c>
      <c r="F5756" s="61" t="n">
        <f aca="false">F5751-F5754</f>
        <v>297915.532876712</v>
      </c>
      <c r="G5756" s="61" t="n">
        <f aca="false">G5751-G5754</f>
        <v>453833.160958904</v>
      </c>
      <c r="H5756" s="2" t="s">
        <v>1410</v>
      </c>
    </row>
    <row r="5757" customFormat="false" ht="15" hidden="false" customHeight="false" outlineLevel="1" collapsed="false">
      <c r="A5757" s="7" t="s">
        <v>754</v>
      </c>
      <c r="B5757" s="8" t="s">
        <v>11</v>
      </c>
      <c r="C5757" s="61" t="n">
        <f aca="false">MAX(0,Pressupostos!$C$108-C5756)</f>
        <v>0</v>
      </c>
      <c r="D5757" s="61" t="n">
        <f aca="false">MAX(0,Pressupostos!$C$108-D5756)</f>
        <v>0</v>
      </c>
      <c r="E5757" s="61" t="n">
        <f aca="false">MAX(0,Pressupostos!$C$108-E5756)</f>
        <v>0</v>
      </c>
      <c r="F5757" s="61" t="n">
        <f aca="false">MAX(0,Pressupostos!$C$108-F5756)</f>
        <v>0</v>
      </c>
      <c r="G5757" s="61" t="n">
        <f aca="false">MAX(0,Pressupostos!$C$108-G5756)</f>
        <v>0</v>
      </c>
      <c r="H5757" s="2" t="s">
        <v>1411</v>
      </c>
    </row>
    <row r="5758" customFormat="false" ht="15" hidden="false" customHeight="false" outlineLevel="1" collapsed="false">
      <c r="A5758" s="7" t="s">
        <v>755</v>
      </c>
      <c r="B5758" s="8" t="s">
        <v>11</v>
      </c>
      <c r="C5758" s="61" t="n">
        <f aca="false">Pressupostos!$C$109*C5753</f>
        <v>0</v>
      </c>
      <c r="D5758" s="61" t="n">
        <f aca="false">Pressupostos!$C$109*D5753</f>
        <v>19106.6809931507</v>
      </c>
      <c r="E5758" s="61" t="n">
        <f aca="false">Pressupostos!$C$109*E5753</f>
        <v>32954.5525684932</v>
      </c>
      <c r="F5758" s="61" t="n">
        <f aca="false">Pressupostos!$C$109*F5753</f>
        <v>55859.1624143835</v>
      </c>
      <c r="G5758" s="61" t="n">
        <f aca="false">Pressupostos!$C$109*G5753</f>
        <v>85093.7176797945</v>
      </c>
      <c r="H5758" s="2" t="s">
        <v>1412</v>
      </c>
    </row>
    <row r="5759" customFormat="false" ht="15" hidden="false" customHeight="false" outlineLevel="1" collapsed="false">
      <c r="A5759" s="2" t="s">
        <v>756</v>
      </c>
      <c r="B5759" s="8" t="s">
        <v>123</v>
      </c>
      <c r="C5759" s="61" t="n">
        <f aca="false">C5753/Pressupostos!$C$112</f>
        <v>0</v>
      </c>
      <c r="D5759" s="61" t="n">
        <f aca="false">D5753/Pressupostos!$C$112</f>
        <v>7.64267239726027</v>
      </c>
      <c r="E5759" s="61" t="n">
        <f aca="false">E5753/Pressupostos!$C$112</f>
        <v>13.1818210273973</v>
      </c>
      <c r="F5759" s="61" t="n">
        <f aca="false">F5753/Pressupostos!$C$112</f>
        <v>22.3436649657534</v>
      </c>
      <c r="G5759" s="61" t="n">
        <f aca="false">G5753/Pressupostos!$C$112</f>
        <v>34.0374870719178</v>
      </c>
      <c r="H5759" s="2" t="s">
        <v>1413</v>
      </c>
    </row>
    <row r="5760" customFormat="false" ht="15" hidden="false" customHeight="false" outlineLevel="0" collapsed="false">
      <c r="A5760" s="3" t="s">
        <v>1414</v>
      </c>
      <c r="B5760" s="4"/>
      <c r="C5760" s="4"/>
      <c r="D5760" s="4"/>
      <c r="E5760" s="4"/>
      <c r="F5760" s="4"/>
      <c r="G5760" s="4"/>
      <c r="H5760" s="4"/>
    </row>
    <row r="5761" customFormat="false" ht="15" hidden="false" customHeight="false" outlineLevel="1" collapsed="false">
      <c r="A5761" s="7" t="s">
        <v>758</v>
      </c>
      <c r="B5761" s="8" t="s">
        <v>11</v>
      </c>
      <c r="C5761" s="61" t="n">
        <f aca="false">C5727</f>
        <v>-581730.863133562</v>
      </c>
      <c r="D5761" s="61" t="n">
        <f aca="false">D5727</f>
        <v>-675188.056626712</v>
      </c>
      <c r="E5761" s="61" t="n">
        <f aca="false">E5727</f>
        <v>-676241.898047945</v>
      </c>
      <c r="F5761" s="61" t="n">
        <f aca="false">F5727</f>
        <v>-618091.670737732</v>
      </c>
      <c r="G5761" s="61" t="n">
        <f aca="false">G5727</f>
        <v>-464275.963775665</v>
      </c>
      <c r="H5761" s="2" t="s">
        <v>1415</v>
      </c>
    </row>
    <row r="5762" customFormat="false" ht="15" hidden="false" customHeight="false" outlineLevel="1" collapsed="false">
      <c r="A5762" s="7" t="s">
        <v>759</v>
      </c>
      <c r="B5762" s="8" t="s">
        <v>11</v>
      </c>
      <c r="C5762" s="61" t="n">
        <f aca="false">-C5742</f>
        <v>-0</v>
      </c>
      <c r="D5762" s="61" t="n">
        <f aca="false">-D5742</f>
        <v>-0</v>
      </c>
      <c r="E5762" s="61" t="n">
        <f aca="false">-E5742</f>
        <v>-0</v>
      </c>
      <c r="F5762" s="61" t="n">
        <f aca="false">-F5742</f>
        <v>-0</v>
      </c>
      <c r="G5762" s="61" t="n">
        <f aca="false">-G5742</f>
        <v>-0</v>
      </c>
      <c r="H5762" s="2" t="s">
        <v>1416</v>
      </c>
    </row>
    <row r="5763" customFormat="false" ht="15" hidden="false" customHeight="false" outlineLevel="1" collapsed="false">
      <c r="A5763" s="7" t="s">
        <v>760</v>
      </c>
      <c r="B5763" s="8" t="s">
        <v>11</v>
      </c>
      <c r="C5763" s="61" t="n">
        <f aca="false">-C5751</f>
        <v>-69269.1002739726</v>
      </c>
      <c r="D5763" s="61" t="n">
        <f aca="false">-(D5751-C5751)</f>
        <v>-338340.094246575</v>
      </c>
      <c r="E5763" s="61" t="n">
        <f aca="false">-(E5751-D5751)</f>
        <v>-295421.260273973</v>
      </c>
      <c r="F5763" s="61" t="n">
        <f aca="false">-(F5751-E5751)</f>
        <v>-488631.676712328</v>
      </c>
      <c r="G5763" s="61" t="n">
        <f aca="false">-(G5751-F5751)</f>
        <v>-623670.512328768</v>
      </c>
      <c r="H5763" s="2" t="s">
        <v>1417</v>
      </c>
    </row>
    <row r="5764" customFormat="false" ht="15" hidden="false" customHeight="false" outlineLevel="1" collapsed="false">
      <c r="A5764" s="7" t="s">
        <v>424</v>
      </c>
      <c r="B5764" s="8" t="s">
        <v>11</v>
      </c>
      <c r="C5764" s="61" t="n">
        <f aca="false">-C5711</f>
        <v>-89000</v>
      </c>
      <c r="D5764" s="61" t="n">
        <f aca="false">-D5711</f>
        <v>-46000</v>
      </c>
      <c r="E5764" s="61" t="n">
        <f aca="false">-E5711</f>
        <v>-44000</v>
      </c>
      <c r="F5764" s="61" t="n">
        <f aca="false">-F5711</f>
        <v>-37000</v>
      </c>
      <c r="G5764" s="61" t="n">
        <f aca="false">-G5711</f>
        <v>-34000</v>
      </c>
      <c r="H5764" s="2" t="s">
        <v>1418</v>
      </c>
    </row>
    <row r="5765" customFormat="false" ht="15" hidden="false" customHeight="false" outlineLevel="1" collapsed="false">
      <c r="A5765" s="7" t="s">
        <v>761</v>
      </c>
      <c r="B5765" s="8" t="s">
        <v>11</v>
      </c>
      <c r="C5765" s="61" t="n">
        <f aca="false">C5761+C5762+C5763+C5764</f>
        <v>-739999.963407534</v>
      </c>
      <c r="D5765" s="61" t="n">
        <f aca="false">D5761+D5762+D5763+D5764</f>
        <v>-1059528.15087329</v>
      </c>
      <c r="E5765" s="61" t="n">
        <f aca="false">E5761+E5762+E5763+E5764</f>
        <v>-1015663.15832192</v>
      </c>
      <c r="F5765" s="61" t="n">
        <f aca="false">F5761+F5762+F5763+F5764</f>
        <v>-1143723.34745006</v>
      </c>
      <c r="G5765" s="61" t="n">
        <f aca="false">G5761+G5762+G5763+G5764</f>
        <v>-1121946.47610443</v>
      </c>
      <c r="H5765" s="2" t="s">
        <v>1419</v>
      </c>
    </row>
    <row r="5766" customFormat="false" ht="15" hidden="false" customHeight="false" outlineLevel="1" collapsed="false">
      <c r="A5766" s="7" t="s">
        <v>762</v>
      </c>
      <c r="B5766" s="8" t="s">
        <v>11</v>
      </c>
      <c r="C5766" s="61" t="n">
        <f aca="false">C5753</f>
        <v>0</v>
      </c>
      <c r="D5766" s="61" t="n">
        <f aca="false">D5753-C5753</f>
        <v>382133.619863014</v>
      </c>
      <c r="E5766" s="61" t="n">
        <f aca="false">E5753-D5753</f>
        <v>276957.431506849</v>
      </c>
      <c r="F5766" s="61" t="n">
        <f aca="false">F5753-E5753</f>
        <v>458092.196917808</v>
      </c>
      <c r="G5766" s="61" t="n">
        <f aca="false">G5753-F5753</f>
        <v>584691.10530822</v>
      </c>
      <c r="H5766" s="2" t="s">
        <v>1420</v>
      </c>
    </row>
    <row r="5767" customFormat="false" ht="15" hidden="false" customHeight="false" outlineLevel="1" collapsed="false">
      <c r="A5767" s="7" t="s">
        <v>763</v>
      </c>
      <c r="B5767" s="8" t="s">
        <v>11</v>
      </c>
      <c r="C5767" s="61" t="n">
        <f aca="false">-C5755</f>
        <v>-0</v>
      </c>
      <c r="D5767" s="61" t="n">
        <f aca="false">-(D5755-C5755)</f>
        <v>-76426.7239726027</v>
      </c>
      <c r="E5767" s="61" t="n">
        <f aca="false">-(E5755-D5755)</f>
        <v>-55391.4863013699</v>
      </c>
      <c r="F5767" s="61" t="n">
        <f aca="false">-(F5755-E5755)</f>
        <v>-91618.4393835614</v>
      </c>
      <c r="G5767" s="61" t="n">
        <f aca="false">-(G5755-F5755)</f>
        <v>-116938.221061644</v>
      </c>
      <c r="H5767" s="2" t="s">
        <v>1421</v>
      </c>
    </row>
    <row r="5768" customFormat="false" ht="15" hidden="false" customHeight="false" outlineLevel="1" collapsed="false">
      <c r="A5768" s="7" t="s">
        <v>764</v>
      </c>
      <c r="B5768" s="8" t="s">
        <v>11</v>
      </c>
      <c r="C5768" s="61" t="n">
        <f aca="false">-C5758</f>
        <v>-0</v>
      </c>
      <c r="D5768" s="61" t="n">
        <f aca="false">-(D5758-C5758)</f>
        <v>-19106.6809931507</v>
      </c>
      <c r="E5768" s="61" t="n">
        <f aca="false">-(E5758-D5758)</f>
        <v>-13847.8715753425</v>
      </c>
      <c r="F5768" s="61" t="n">
        <f aca="false">-(F5758-E5758)</f>
        <v>-22904.6098458904</v>
      </c>
      <c r="G5768" s="61" t="n">
        <f aca="false">-(G5758-F5758)</f>
        <v>-29234.555265411</v>
      </c>
      <c r="H5768" s="2" t="s">
        <v>1422</v>
      </c>
    </row>
    <row r="5769" customFormat="false" ht="15" hidden="false" customHeight="false" outlineLevel="1" collapsed="false">
      <c r="A5769" s="7" t="s">
        <v>765</v>
      </c>
      <c r="B5769" s="8" t="s">
        <v>11</v>
      </c>
      <c r="C5769" s="61" t="n">
        <f aca="false">-(C5757-Pressupostos!$C$108)</f>
        <v>50000</v>
      </c>
      <c r="D5769" s="61" t="n">
        <f aca="false">-(D5757-C5757)</f>
        <v>-0</v>
      </c>
      <c r="E5769" s="61" t="n">
        <f aca="false">-(E5757-D5757)</f>
        <v>-0</v>
      </c>
      <c r="F5769" s="61" t="n">
        <f aca="false">-(F5757-E5757)</f>
        <v>-0</v>
      </c>
      <c r="G5769" s="61" t="n">
        <f aca="false">-(G5757-F5757)</f>
        <v>-0</v>
      </c>
      <c r="H5769" s="2" t="s">
        <v>1423</v>
      </c>
    </row>
    <row r="5770" customFormat="false" ht="15" hidden="false" customHeight="false" outlineLevel="1" collapsed="false">
      <c r="A5770" s="56" t="s">
        <v>766</v>
      </c>
      <c r="B5770" s="57" t="s">
        <v>11</v>
      </c>
      <c r="C5770" s="62" t="n">
        <f aca="false">C5765+C5766+C5767+C5768+C5769</f>
        <v>-689999.963407534</v>
      </c>
      <c r="D5770" s="62" t="n">
        <f aca="false">D5765+D5766+D5767+D5768+D5769</f>
        <v>-772927.935976028</v>
      </c>
      <c r="E5770" s="62" t="n">
        <f aca="false">E5765+E5766+E5767+E5768+E5769</f>
        <v>-807945.084691781</v>
      </c>
      <c r="F5770" s="62" t="n">
        <f aca="false">F5765+F5766+F5767+F5768+F5769</f>
        <v>-800154.199761705</v>
      </c>
      <c r="G5770" s="62" t="n">
        <f aca="false">G5765+G5766+G5767+G5768+G5769</f>
        <v>-683428.147123268</v>
      </c>
      <c r="H5770" s="2" t="s">
        <v>1424</v>
      </c>
    </row>
    <row r="5771" customFormat="false" ht="15" hidden="false" customHeight="false" outlineLevel="1" collapsed="false">
      <c r="A5771" s="56" t="s">
        <v>767</v>
      </c>
      <c r="B5771" s="57" t="s">
        <v>11</v>
      </c>
      <c r="C5771" s="62" t="n">
        <f aca="false">C5770</f>
        <v>-689999.963407534</v>
      </c>
      <c r="D5771" s="62" t="n">
        <f aca="false">C5771+D5770</f>
        <v>-1462927.89938356</v>
      </c>
      <c r="E5771" s="62" t="n">
        <f aca="false">D5771+E5770</f>
        <v>-2270872.98407534</v>
      </c>
      <c r="F5771" s="62" t="n">
        <f aca="false">E5771+F5770</f>
        <v>-3071027.18383705</v>
      </c>
      <c r="G5771" s="62" t="n">
        <f aca="false">F5771+G5770</f>
        <v>-3754455.33096031</v>
      </c>
      <c r="H5771" s="2" t="s">
        <v>1425</v>
      </c>
    </row>
    <row r="5772" customFormat="false" ht="15" hidden="false" customHeight="false" outlineLevel="1" collapsed="false">
      <c r="A5772" s="8" t="s">
        <v>768</v>
      </c>
      <c r="B5772" s="8" t="s">
        <v>11</v>
      </c>
      <c r="C5772" s="70" t="n">
        <f aca="false">ROUND(C5727-C5711-C5742-(MAX(C5756,Pressupostos!$C$108)-Pressupostos!$C$108)-(C5758)-C5770,6)</f>
        <v>0</v>
      </c>
      <c r="D5772" s="70" t="n">
        <f aca="false">ROUND(D5727-D5711-D5742-(MAX(D5756,Pressupostos!$C$108)-MAX(C5756,Pressupostos!$C$108))-(D5758-C5758)-D5770,6)</f>
        <v>0</v>
      </c>
      <c r="E5772" s="70" t="n">
        <f aca="false">ROUND(E5727-E5711-E5742-(MAX(E5756,Pressupostos!$C$108)-MAX(D5756,Pressupostos!$C$108))-(E5758-D5758)-E5770,6)</f>
        <v>0</v>
      </c>
      <c r="F5772" s="70" t="n">
        <f aca="false">ROUND(F5727-F5711-F5742-(MAX(F5756,Pressupostos!$C$108)-MAX(E5756,Pressupostos!$C$108))-(F5758-E5758)-F5770,6)</f>
        <v>0</v>
      </c>
      <c r="G5772" s="70" t="n">
        <f aca="false">ROUND(G5727-G5711-G5742-(MAX(G5756,Pressupostos!$C$108)-MAX(F5756,Pressupostos!$C$108))-(G5758-F5758)-G5770,6)</f>
        <v>0</v>
      </c>
      <c r="H5772" s="2" t="s">
        <v>1426</v>
      </c>
    </row>
    <row r="5773" customFormat="false" ht="15" hidden="false" customHeight="false" outlineLevel="0" collapsed="false">
      <c r="A5773" s="3" t="s">
        <v>1427</v>
      </c>
      <c r="B5773" s="4"/>
      <c r="C5773" s="4"/>
      <c r="D5773" s="4"/>
      <c r="E5773" s="4"/>
      <c r="F5773" s="4"/>
      <c r="G5773" s="4"/>
      <c r="H5773" s="4"/>
    </row>
    <row r="5774" customFormat="false" ht="15" hidden="false" customHeight="false" outlineLevel="1" collapsed="false">
      <c r="A5774" s="7" t="s">
        <v>770</v>
      </c>
      <c r="B5774" s="8" t="s">
        <v>11</v>
      </c>
      <c r="C5774" s="61" t="n">
        <f aca="false">0</f>
        <v>0</v>
      </c>
      <c r="D5774" s="61" t="n">
        <f aca="false">C5779</f>
        <v>265000.036592466</v>
      </c>
      <c r="E5774" s="61" t="n">
        <f aca="false">D5779</f>
        <v>150000</v>
      </c>
      <c r="F5774" s="61" t="n">
        <f aca="false">E5779</f>
        <v>150000</v>
      </c>
      <c r="G5774" s="61" t="n">
        <f aca="false">F5779</f>
        <v>150000</v>
      </c>
      <c r="H5774" s="2" t="s">
        <v>1428</v>
      </c>
    </row>
    <row r="5775" customFormat="false" ht="15" hidden="false" customHeight="false" outlineLevel="1" collapsed="false">
      <c r="A5775" s="7" t="s">
        <v>771</v>
      </c>
      <c r="B5775" s="8" t="s">
        <v>11</v>
      </c>
      <c r="C5775" s="61" t="n">
        <f aca="false">-(Pressupostos!$C$159+Pressupostos!$C$160+Pressupostos!$C$161+Pressupostos!$C$162+Pressupostos!$C$163+Pressupostos!$C$108)</f>
        <v>-145000</v>
      </c>
      <c r="D5775" s="61" t="n">
        <f aca="false">0</f>
        <v>0</v>
      </c>
      <c r="E5775" s="61" t="n">
        <f aca="false">0</f>
        <v>0</v>
      </c>
      <c r="F5775" s="61" t="n">
        <f aca="false">0</f>
        <v>0</v>
      </c>
      <c r="G5775" s="61" t="n">
        <f aca="false">0</f>
        <v>0</v>
      </c>
      <c r="H5775" s="2" t="s">
        <v>1429</v>
      </c>
    </row>
    <row r="5776" customFormat="false" ht="15" hidden="false" customHeight="false" outlineLevel="1" collapsed="false">
      <c r="A5776" s="7" t="s">
        <v>772</v>
      </c>
      <c r="B5776" s="8" t="s">
        <v>11</v>
      </c>
      <c r="C5776" s="53" t="n">
        <f aca="false">Pressupostos!$F$32</f>
        <v>1100000</v>
      </c>
      <c r="D5776" s="61" t="n">
        <f aca="false">0</f>
        <v>0</v>
      </c>
      <c r="E5776" s="61" t="n">
        <f aca="false">0</f>
        <v>0</v>
      </c>
      <c r="F5776" s="61" t="n">
        <f aca="false">0</f>
        <v>0</v>
      </c>
      <c r="G5776" s="61" t="n">
        <f aca="false">0</f>
        <v>0</v>
      </c>
      <c r="H5776" s="2" t="s">
        <v>1430</v>
      </c>
    </row>
    <row r="5777" customFormat="false" ht="15" hidden="false" customHeight="false" outlineLevel="1" collapsed="false">
      <c r="A5777" s="7" t="s">
        <v>773</v>
      </c>
      <c r="B5777" s="8" t="s">
        <v>11</v>
      </c>
      <c r="C5777" s="61" t="n">
        <f aca="false">C5774+C5775+C5776+C5770</f>
        <v>265000.036592466</v>
      </c>
      <c r="D5777" s="61" t="n">
        <f aca="false">D5774+D5775+D5776+D5770</f>
        <v>-507927.899383562</v>
      </c>
      <c r="E5777" s="61" t="n">
        <f aca="false">E5774+E5775+E5776+E5770</f>
        <v>-657945.084691781</v>
      </c>
      <c r="F5777" s="61" t="n">
        <f aca="false">F5774+F5775+F5776+F5770</f>
        <v>-650154.199761705</v>
      </c>
      <c r="G5777" s="61" t="n">
        <f aca="false">G5774+G5775+G5776+G5770</f>
        <v>-533428.147123268</v>
      </c>
      <c r="H5777" s="2" t="s">
        <v>1431</v>
      </c>
    </row>
    <row r="5778" customFormat="false" ht="15" hidden="false" customHeight="false" outlineLevel="1" collapsed="false">
      <c r="A5778" s="56" t="s">
        <v>774</v>
      </c>
      <c r="B5778" s="57" t="s">
        <v>11</v>
      </c>
      <c r="C5778" s="62" t="n">
        <f aca="false">MAX(0,Pressupostos!$C$170-C5777)</f>
        <v>0</v>
      </c>
      <c r="D5778" s="62" t="n">
        <f aca="false">MAX(0,Pressupostos!$C$170-D5777)</f>
        <v>657927.899383562</v>
      </c>
      <c r="E5778" s="62" t="n">
        <f aca="false">MAX(0,Pressupostos!$C$170-E5777)</f>
        <v>807945.084691781</v>
      </c>
      <c r="F5778" s="62" t="n">
        <f aca="false">MAX(0,Pressupostos!$C$170-F5777)</f>
        <v>800154.199761705</v>
      </c>
      <c r="G5778" s="62" t="n">
        <f aca="false">MAX(0,Pressupostos!$C$170-G5777)</f>
        <v>683428.147123268</v>
      </c>
      <c r="H5778" s="2" t="s">
        <v>1432</v>
      </c>
    </row>
    <row r="5779" customFormat="false" ht="15" hidden="false" customHeight="false" outlineLevel="1" collapsed="false">
      <c r="A5779" s="56" t="s">
        <v>775</v>
      </c>
      <c r="B5779" s="57" t="s">
        <v>11</v>
      </c>
      <c r="C5779" s="62" t="n">
        <f aca="false">C5777+C5778</f>
        <v>265000.036592466</v>
      </c>
      <c r="D5779" s="62" t="n">
        <f aca="false">D5777+D5778</f>
        <v>150000</v>
      </c>
      <c r="E5779" s="62" t="n">
        <f aca="false">E5777+E5778</f>
        <v>150000</v>
      </c>
      <c r="F5779" s="62" t="n">
        <f aca="false">F5777+F5778</f>
        <v>150000</v>
      </c>
      <c r="G5779" s="62" t="n">
        <f aca="false">G5777+G5778</f>
        <v>150000</v>
      </c>
      <c r="H5779" s="2" t="s">
        <v>1433</v>
      </c>
    </row>
    <row r="5780" customFormat="false" ht="15" hidden="false" customHeight="false" outlineLevel="1" collapsed="false">
      <c r="A5780" s="7" t="s">
        <v>776</v>
      </c>
      <c r="B5780" s="8" t="s">
        <v>11</v>
      </c>
      <c r="C5780" s="61" t="n">
        <f aca="false">C5755+C5758+C5757</f>
        <v>0</v>
      </c>
      <c r="D5780" s="61" t="n">
        <f aca="false">D5755+D5758+D5757</f>
        <v>95533.4049657534</v>
      </c>
      <c r="E5780" s="61" t="n">
        <f aca="false">E5755+E5758+E5757</f>
        <v>164772.762842466</v>
      </c>
      <c r="F5780" s="61" t="n">
        <f aca="false">F5755+F5758+F5757</f>
        <v>279295.812071918</v>
      </c>
      <c r="G5780" s="61" t="n">
        <f aca="false">G5755+G5758+G5757</f>
        <v>425468.588398972</v>
      </c>
      <c r="H5780" s="2" t="s">
        <v>1434</v>
      </c>
    </row>
    <row r="5781" customFormat="false" ht="15" hidden="false" customHeight="false" outlineLevel="1" collapsed="false">
      <c r="A5781" s="7" t="s">
        <v>777</v>
      </c>
      <c r="B5781" s="8" t="s">
        <v>11</v>
      </c>
      <c r="C5781" s="61" t="n">
        <f aca="false">C5779+C5780</f>
        <v>265000.036592466</v>
      </c>
      <c r="D5781" s="61" t="n">
        <f aca="false">D5779+D5780</f>
        <v>245533.404965753</v>
      </c>
      <c r="E5781" s="61" t="n">
        <f aca="false">E5779+E5780</f>
        <v>314772.762842466</v>
      </c>
      <c r="F5781" s="61" t="n">
        <f aca="false">F5779+F5780</f>
        <v>429295.812071918</v>
      </c>
      <c r="G5781" s="61" t="n">
        <f aca="false">G5779+G5780</f>
        <v>575468.588398972</v>
      </c>
      <c r="H5781" s="2" t="s">
        <v>1435</v>
      </c>
    </row>
    <row r="5782" customFormat="false" ht="15" hidden="false" customHeight="false" outlineLevel="1" collapsed="false">
      <c r="A5782" s="7" t="s">
        <v>778</v>
      </c>
      <c r="B5782" s="8" t="s">
        <v>11</v>
      </c>
      <c r="C5782" s="61" t="n">
        <f aca="false">C5776+C5778</f>
        <v>1100000</v>
      </c>
      <c r="D5782" s="61" t="n">
        <f aca="false">C5782+D5776+D5778</f>
        <v>1757927.89938356</v>
      </c>
      <c r="E5782" s="61" t="n">
        <f aca="false">D5782+E5776+E5778</f>
        <v>2565872.98407534</v>
      </c>
      <c r="F5782" s="61" t="n">
        <f aca="false">E5782+F5776+F5778</f>
        <v>3366027.18383705</v>
      </c>
      <c r="G5782" s="61" t="n">
        <f aca="false">F5782+G5776+G5778</f>
        <v>4049455.33096031</v>
      </c>
      <c r="H5782" s="2" t="s">
        <v>1436</v>
      </c>
    </row>
    <row r="5783" customFormat="false" ht="15" hidden="false" customHeight="false" outlineLevel="0" collapsed="false">
      <c r="A5783" s="3" t="s">
        <v>1437</v>
      </c>
      <c r="B5783" s="4"/>
      <c r="C5783" s="4"/>
      <c r="D5783" s="4"/>
      <c r="E5783" s="4"/>
      <c r="F5783" s="4"/>
      <c r="G5783" s="4"/>
      <c r="H5783" s="4"/>
    </row>
    <row r="5784" customFormat="false" ht="15" hidden="false" customHeight="false" outlineLevel="1" collapsed="false">
      <c r="A5784" s="7" t="s">
        <v>782</v>
      </c>
      <c r="B5784" s="8" t="s">
        <v>11</v>
      </c>
      <c r="C5784" s="72" t="n">
        <f aca="false">Pressupostos!$C$159+Pressupostos!$C$160+Pressupostos!$C$161+Pressupostos!$C$162+Pressupostos!$C$163</f>
        <v>95000</v>
      </c>
      <c r="H5784" s="2" t="s">
        <v>1438</v>
      </c>
    </row>
    <row r="5785" customFormat="false" ht="15" hidden="false" customHeight="false" outlineLevel="1" collapsed="false">
      <c r="A5785" s="7" t="s">
        <v>783</v>
      </c>
      <c r="B5785" s="8" t="s">
        <v>11</v>
      </c>
      <c r="C5785" s="73" t="n">
        <f aca="false">Pressupostos!$C$108</f>
        <v>50000</v>
      </c>
      <c r="H5785" s="2" t="s">
        <v>1439</v>
      </c>
    </row>
    <row r="5786" customFormat="false" ht="15" hidden="false" customHeight="false" outlineLevel="1" collapsed="false">
      <c r="A5786" s="7" t="s">
        <v>322</v>
      </c>
      <c r="B5786" s="8" t="s">
        <v>11</v>
      </c>
      <c r="C5786" s="73" t="n">
        <f aca="false">Pressupostos!$C$170</f>
        <v>150000</v>
      </c>
      <c r="H5786" s="2" t="s">
        <v>1440</v>
      </c>
    </row>
    <row r="5787" customFormat="false" ht="15" hidden="false" customHeight="false" outlineLevel="1" collapsed="false">
      <c r="A5787" s="7" t="s">
        <v>784</v>
      </c>
      <c r="B5787" s="8" t="s">
        <v>11</v>
      </c>
      <c r="C5787" s="72" t="n">
        <f aca="false">MAX(0,-MIN($C$5771:$G$5771))</f>
        <v>3754455.33096031</v>
      </c>
      <c r="H5787" s="2" t="s">
        <v>1441</v>
      </c>
    </row>
    <row r="5788" customFormat="false" ht="15" hidden="false" customHeight="false" outlineLevel="1" collapsed="false">
      <c r="A5788" s="56" t="s">
        <v>785</v>
      </c>
      <c r="B5788" s="57" t="s">
        <v>11</v>
      </c>
      <c r="C5788" s="74" t="n">
        <f aca="false">C5784+C5785+C5786+C5787</f>
        <v>4049455.33096031</v>
      </c>
      <c r="H5788" s="2" t="s">
        <v>1442</v>
      </c>
    </row>
    <row r="5789" customFormat="false" ht="15" hidden="false" customHeight="false" outlineLevel="1" collapsed="false">
      <c r="A5789" s="7" t="s">
        <v>786</v>
      </c>
      <c r="B5789" s="8" t="s">
        <v>20</v>
      </c>
      <c r="C5789" s="75" t="n">
        <f aca="false">INDEX($C$5516:$G$5516,1,MATCH(MIN($C$5771:$G$5771),$C$5771:$G$5771,0))</f>
        <v>2031</v>
      </c>
      <c r="H5789" s="2" t="s">
        <v>1443</v>
      </c>
    </row>
    <row r="5790" customFormat="false" ht="15" hidden="false" customHeight="false" outlineLevel="1" collapsed="false">
      <c r="A5790" s="7" t="s">
        <v>787</v>
      </c>
      <c r="B5790" s="8"/>
      <c r="C5790" s="76" t="str">
        <f aca="false">IF(G5770&lt;0,"sim","não")</f>
        <v>sim</v>
      </c>
      <c r="H5790" s="2" t="s">
        <v>1444</v>
      </c>
    </row>
    <row r="5791" customFormat="false" ht="15" hidden="false" customHeight="false" outlineLevel="1" collapsed="false">
      <c r="A5791" s="7" t="s">
        <v>788</v>
      </c>
      <c r="B5791" s="8" t="s">
        <v>11</v>
      </c>
      <c r="C5791" s="72" t="n">
        <f aca="false">G5782</f>
        <v>4049455.33096031</v>
      </c>
      <c r="H5791" s="2" t="s">
        <v>1445</v>
      </c>
    </row>
    <row r="5792" customFormat="false" ht="15" hidden="false" customHeight="false" outlineLevel="0" collapsed="false">
      <c r="A5792" s="3" t="s">
        <v>1446</v>
      </c>
      <c r="B5792" s="4"/>
      <c r="C5792" s="4"/>
      <c r="D5792" s="4"/>
      <c r="E5792" s="4"/>
      <c r="F5792" s="4"/>
      <c r="G5792" s="4"/>
      <c r="H5792" s="4"/>
    </row>
    <row r="5793" customFormat="false" ht="15" hidden="false" customHeight="false" outlineLevel="1" collapsed="false">
      <c r="A5793" s="7" t="s">
        <v>790</v>
      </c>
      <c r="B5793" s="8" t="s">
        <v>11</v>
      </c>
      <c r="C5793" s="72" t="n">
        <f aca="false">C5784+C5785</f>
        <v>145000</v>
      </c>
      <c r="H5793" s="2" t="s">
        <v>1447</v>
      </c>
    </row>
    <row r="5794" customFormat="false" ht="15" hidden="false" customHeight="false" outlineLevel="1" collapsed="false">
      <c r="A5794" s="7" t="s">
        <v>791</v>
      </c>
      <c r="B5794" s="8" t="s">
        <v>11</v>
      </c>
      <c r="C5794" s="72" t="n">
        <f aca="false">-SUMPRODUCT(($C$5516:$G$5516&lt;=C5789)*$C$5727:$G$5727)</f>
        <v>3015528.45232162</v>
      </c>
      <c r="H5794" s="2" t="s">
        <v>1448</v>
      </c>
    </row>
    <row r="5795" customFormat="false" ht="15" hidden="false" customHeight="false" outlineLevel="1" collapsed="false">
      <c r="A5795" s="7" t="s">
        <v>424</v>
      </c>
      <c r="B5795" s="8" t="s">
        <v>11</v>
      </c>
      <c r="C5795" s="72" t="n">
        <f aca="false">SUMPRODUCT(($C$5516:$G$5516&lt;=C5789)*$C$5711:$G$5711)</f>
        <v>250000</v>
      </c>
      <c r="H5795" s="2" t="s">
        <v>1449</v>
      </c>
    </row>
    <row r="5796" customFormat="false" ht="15" hidden="false" customHeight="false" outlineLevel="1" collapsed="false">
      <c r="A5796" s="7" t="s">
        <v>792</v>
      </c>
      <c r="B5796" s="8" t="s">
        <v>11</v>
      </c>
      <c r="C5796" s="72" t="n">
        <f aca="false">SUMPRODUCT(($C$5516:$G$5516&lt;=C5789)*$C$5742:$G$5742)</f>
        <v>0</v>
      </c>
      <c r="H5796" s="2" t="s">
        <v>1450</v>
      </c>
    </row>
    <row r="5797" customFormat="false" ht="15" hidden="false" customHeight="false" outlineLevel="1" collapsed="false">
      <c r="A5797" s="7" t="s">
        <v>793</v>
      </c>
      <c r="B5797" s="8" t="s">
        <v>11</v>
      </c>
      <c r="C5797" s="72" t="n">
        <f aca="false">C5787-C5794-C5795-C5796</f>
        <v>488926.878638698</v>
      </c>
      <c r="H5797" s="2" t="s">
        <v>1451</v>
      </c>
    </row>
    <row r="5798" customFormat="false" ht="15" hidden="false" customHeight="false" outlineLevel="1" collapsed="false">
      <c r="A5798" s="7" t="s">
        <v>322</v>
      </c>
      <c r="B5798" s="8" t="s">
        <v>11</v>
      </c>
      <c r="C5798" s="72" t="n">
        <f aca="false">C5786</f>
        <v>150000</v>
      </c>
      <c r="H5798" s="2" t="s">
        <v>1452</v>
      </c>
    </row>
    <row r="5799" customFormat="false" ht="15" hidden="false" customHeight="false" outlineLevel="1" collapsed="false">
      <c r="A5799" s="56" t="s">
        <v>794</v>
      </c>
      <c r="B5799" s="57" t="s">
        <v>11</v>
      </c>
      <c r="C5799" s="74" t="n">
        <f aca="false">C5793+C5794+C5795+C5796+C5797+C5798</f>
        <v>4049455.33096031</v>
      </c>
      <c r="H5799" s="2" t="s">
        <v>1453</v>
      </c>
    </row>
    <row r="5800" customFormat="false" ht="15" hidden="false" customHeight="false" outlineLevel="0" collapsed="false">
      <c r="A5800" s="3" t="s">
        <v>1454</v>
      </c>
      <c r="B5800" s="4"/>
      <c r="C5800" s="4"/>
      <c r="D5800" s="4"/>
      <c r="E5800" s="4"/>
      <c r="F5800" s="4"/>
      <c r="G5800" s="4"/>
      <c r="H5800" s="4"/>
    </row>
    <row r="5801" customFormat="false" ht="15" hidden="false" customHeight="false" outlineLevel="1" collapsed="false">
      <c r="A5801" s="7" t="s">
        <v>772</v>
      </c>
      <c r="B5801" s="8" t="s">
        <v>11</v>
      </c>
      <c r="C5801" s="73" t="n">
        <f aca="false">Pressupostos!$F$32</f>
        <v>1100000</v>
      </c>
      <c r="H5801" s="2" t="s">
        <v>1455</v>
      </c>
    </row>
    <row r="5802" customFormat="false" ht="15" hidden="false" customHeight="false" outlineLevel="1" collapsed="false">
      <c r="A5802" s="7" t="s">
        <v>796</v>
      </c>
      <c r="B5802" s="8" t="s">
        <v>11</v>
      </c>
      <c r="C5802" s="72" t="n">
        <f aca="false">C5784+Pressupostos!$C$108+Pressupostos!$C$130/12*((C5686-C5674-C5675+(C5674+C5675)/Pressupostos!$C$128*Pressupostos!$C$129)*(1+Pressupostos!$C$124+Pressupostos!$C$125)+C5672*Pressupostos!$C$126+C5705)+C5711+MAX(0,Pressupostos!$C$183*1000*(C5537+C5540)+Pressupostos!$C$184*1000*(C5560+C5563)-Pressupostos!$C$108)</f>
        <v>652596.666666667</v>
      </c>
      <c r="H5802" s="2" t="s">
        <v>1456</v>
      </c>
    </row>
    <row r="5803" customFormat="false" ht="15" hidden="false" customHeight="false" outlineLevel="1" collapsed="false">
      <c r="A5803" s="7" t="s">
        <v>798</v>
      </c>
      <c r="B5803" s="8" t="s">
        <v>11</v>
      </c>
      <c r="C5803" s="72" t="n">
        <f aca="false">C5784+Pressupostos!$C$108-C5770</f>
        <v>834999.963407534</v>
      </c>
      <c r="H5803" s="2" t="s">
        <v>1457</v>
      </c>
    </row>
    <row r="5804" customFormat="false" ht="15" hidden="false" customHeight="false" outlineLevel="1" collapsed="false">
      <c r="A5804" s="7" t="s">
        <v>799</v>
      </c>
      <c r="B5804" s="8" t="s">
        <v>11</v>
      </c>
      <c r="C5804" s="61" t="n">
        <f aca="false">Pressupostos!$F$32-C5784-Pressupostos!$C$108+C5771</f>
        <v>265000.036592466</v>
      </c>
      <c r="D5804" s="61" t="n">
        <f aca="false">Pressupostos!$F$32-C5784-Pressupostos!$C$108+D5771</f>
        <v>-507927.899383562</v>
      </c>
      <c r="E5804" s="61" t="n">
        <f aca="false">Pressupostos!$F$32-C5784-Pressupostos!$C$108+E5771</f>
        <v>-1315872.98407534</v>
      </c>
      <c r="F5804" s="61" t="n">
        <f aca="false">Pressupostos!$F$32-C5784-Pressupostos!$C$108+F5771</f>
        <v>-2116027.18383705</v>
      </c>
      <c r="G5804" s="61" t="n">
        <f aca="false">Pressupostos!$F$32-C5784-Pressupostos!$C$108+G5771</f>
        <v>-2799455.33096031</v>
      </c>
      <c r="H5804" s="2" t="s">
        <v>1458</v>
      </c>
    </row>
    <row r="5805" customFormat="false" ht="15" hidden="false" customHeight="false" outlineLevel="1" collapsed="false">
      <c r="A5805" s="7" t="s">
        <v>800</v>
      </c>
      <c r="B5805" s="8" t="s">
        <v>18</v>
      </c>
      <c r="C5805" s="77" t="str">
        <f aca="false">IF(AND(Pressupostos!$F$32-C5784-Pressupostos!$C$108&gt;0,C5804&lt;=0),12*(Pressupostos!$F$32-C5784-Pressupostos!$C$108)/(Pressupostos!$F$32-C5784-Pressupostos!$C$108-C5804),"")</f>
        <v/>
      </c>
      <c r="D5805" s="77" t="n">
        <f aca="false">IF(AND(C5804&gt;0,D5804&lt;=0),12+12*C5804/(C5804-D5804),"")</f>
        <v>16.1142262960052</v>
      </c>
      <c r="E5805" s="77" t="str">
        <f aca="false">IF(AND(D5804&gt;0,E5804&lt;=0),24+12*D5804/(D5804-E5804),"")</f>
        <v/>
      </c>
      <c r="F5805" s="77" t="str">
        <f aca="false">IF(AND(E5804&gt;0,F5804&lt;=0),36+12*E5804/(E5804-F5804),"")</f>
        <v/>
      </c>
      <c r="G5805" s="77" t="str">
        <f aca="false">IF(AND(F5804&gt;0,G5804&lt;=0),48+12*F5804/(F5804-G5804),"")</f>
        <v/>
      </c>
      <c r="H5805" s="2" t="s">
        <v>1459</v>
      </c>
    </row>
    <row r="5806" customFormat="false" ht="15" hidden="false" customHeight="false" outlineLevel="1" collapsed="false">
      <c r="A5806" s="56" t="s">
        <v>801</v>
      </c>
      <c r="B5806" s="57" t="s">
        <v>274</v>
      </c>
      <c r="C5806" s="78" t="n">
        <f aca="false">IF(COUNT($C$5805:$G$5805)=0,"&gt; 60",MIN($C$5805:$G$5805))</f>
        <v>16.1142262960052</v>
      </c>
      <c r="H5806" s="2" t="s">
        <v>1460</v>
      </c>
    </row>
    <row r="5807" customFormat="false" ht="15" hidden="false" customHeight="false" outlineLevel="0" collapsed="false">
      <c r="A5807" s="3" t="s">
        <v>1461</v>
      </c>
      <c r="B5807" s="4"/>
      <c r="C5807" s="4"/>
      <c r="D5807" s="4"/>
      <c r="E5807" s="4"/>
      <c r="F5807" s="4"/>
      <c r="G5807" s="4"/>
      <c r="H5807" s="4"/>
    </row>
    <row r="5808" customFormat="false" ht="15" hidden="false" customHeight="false" outlineLevel="1" collapsed="false">
      <c r="A5808" s="7" t="s">
        <v>803</v>
      </c>
      <c r="B5808" s="8" t="s">
        <v>18</v>
      </c>
      <c r="C5808" s="77" t="str">
        <f aca="false">IF(C5727&gt;=0,1,"")</f>
        <v/>
      </c>
      <c r="D5808" s="77" t="str">
        <f aca="false">IF(AND(C5727&lt;0,D5727&gt;=0),6.5+12*(-C5727)/(D5727-C5727),"")</f>
        <v/>
      </c>
      <c r="E5808" s="77" t="str">
        <f aca="false">IF(AND(D5727&lt;0,E5727&gt;=0),18.5+12*(-D5727)/(E5727-D5727),"")</f>
        <v/>
      </c>
      <c r="F5808" s="77" t="str">
        <f aca="false">IF(AND(E5727&lt;0,F5727&gt;=0),30.5+12*(-E5727)/(F5727-E5727),"")</f>
        <v/>
      </c>
      <c r="G5808" s="77" t="str">
        <f aca="false">IF(AND(F5727&lt;0,G5727&gt;=0),42.5+12*(-F5727)/(G5727-F5727),"")</f>
        <v/>
      </c>
      <c r="H5808" s="2" t="s">
        <v>1462</v>
      </c>
    </row>
    <row r="5809" customFormat="false" ht="15" hidden="false" customHeight="false" outlineLevel="1" collapsed="false">
      <c r="A5809" s="7" t="s">
        <v>804</v>
      </c>
      <c r="B5809" s="8" t="s">
        <v>18</v>
      </c>
      <c r="C5809" s="79" t="str">
        <f aca="false">IF(COUNT($C$5808:$G$5808)=0,"não atinge até 2031",ROUNDUP(MIN($C$5808:$G$5808),0))</f>
        <v>não atinge até 2031</v>
      </c>
      <c r="H5809" s="2" t="s">
        <v>1463</v>
      </c>
    </row>
    <row r="5810" customFormat="false" ht="15" hidden="false" customHeight="false" outlineLevel="1" collapsed="false">
      <c r="A5810" s="56" t="s">
        <v>805</v>
      </c>
      <c r="B5810" s="57" t="s">
        <v>806</v>
      </c>
      <c r="C5810" s="80" t="str">
        <f aca="false">IF(ISNUMBER(C5809),DATE(2027,C5809,1),"não atinge até 2031")</f>
        <v>não atinge até 2031</v>
      </c>
      <c r="H5810" s="2" t="s">
        <v>1464</v>
      </c>
    </row>
    <row r="5811" customFormat="false" ht="15" hidden="false" customHeight="false" outlineLevel="1" collapsed="false">
      <c r="A5811" s="7" t="s">
        <v>807</v>
      </c>
      <c r="B5811" s="8" t="s">
        <v>20</v>
      </c>
      <c r="C5811" s="81" t="str">
        <f aca="false">IF(C5727&gt;=0,C5516,"")</f>
        <v/>
      </c>
      <c r="D5811" s="81" t="str">
        <f aca="false">IF(D5727&gt;=0,D5516,"")</f>
        <v/>
      </c>
      <c r="E5811" s="81" t="str">
        <f aca="false">IF(E5727&gt;=0,E5516,"")</f>
        <v/>
      </c>
      <c r="F5811" s="81" t="str">
        <f aca="false">IF(F5727&gt;=0,F5516,"")</f>
        <v/>
      </c>
      <c r="G5811" s="81" t="str">
        <f aca="false">IF(G5727&gt;=0,G5516,"")</f>
        <v/>
      </c>
      <c r="H5811" s="2" t="s">
        <v>1465</v>
      </c>
    </row>
    <row r="5812" customFormat="false" ht="15" hidden="false" customHeight="false" outlineLevel="1" collapsed="false">
      <c r="A5812" s="7" t="s">
        <v>808</v>
      </c>
      <c r="B5812" s="8" t="s">
        <v>20</v>
      </c>
      <c r="C5812" s="75" t="str">
        <f aca="false">IF(COUNT($C$5811:$G$5811)=0,"não atinge até 2031",MIN($C$5811:$G$5811))</f>
        <v>não atinge até 2031</v>
      </c>
      <c r="H5812" s="2" t="s">
        <v>1466</v>
      </c>
    </row>
    <row r="5813" customFormat="false" ht="15" hidden="false" customHeight="false" outlineLevel="1" collapsed="false">
      <c r="A5813" s="7" t="s">
        <v>809</v>
      </c>
      <c r="B5813" s="8" t="s">
        <v>20</v>
      </c>
      <c r="C5813" s="81" t="str">
        <f aca="false">IF(C5745&gt;=0,C5516,"")</f>
        <v/>
      </c>
      <c r="D5813" s="81" t="str">
        <f aca="false">IF(D5745&gt;=0,D5516,"")</f>
        <v/>
      </c>
      <c r="E5813" s="81" t="str">
        <f aca="false">IF(E5745&gt;=0,E5516,"")</f>
        <v/>
      </c>
      <c r="F5813" s="81" t="str">
        <f aca="false">IF(F5745&gt;=0,F5516,"")</f>
        <v/>
      </c>
      <c r="G5813" s="81" t="str">
        <f aca="false">IF(G5745&gt;=0,G5516,"")</f>
        <v/>
      </c>
      <c r="H5813" s="2" t="s">
        <v>1467</v>
      </c>
    </row>
    <row r="5814" customFormat="false" ht="15" hidden="false" customHeight="false" outlineLevel="1" collapsed="false">
      <c r="A5814" s="7" t="s">
        <v>810</v>
      </c>
      <c r="B5814" s="8" t="s">
        <v>20</v>
      </c>
      <c r="C5814" s="75" t="str">
        <f aca="false">IF(COUNT($C$5813:$G$5813)=0,"não atinge até 2031",MIN($C$5813:$G$5813))</f>
        <v>não atinge até 2031</v>
      </c>
      <c r="H5814" s="2" t="s">
        <v>1468</v>
      </c>
    </row>
    <row r="5815" customFormat="false" ht="15" hidden="false" customHeight="false" outlineLevel="1" collapsed="false">
      <c r="A5815" s="7" t="s">
        <v>811</v>
      </c>
      <c r="B5815" s="8" t="s">
        <v>20</v>
      </c>
      <c r="C5815" s="81" t="str">
        <f aca="false">IF(C5770&gt;=0,C5516,"")</f>
        <v/>
      </c>
      <c r="D5815" s="81" t="str">
        <f aca="false">IF(D5770&gt;=0,D5516,"")</f>
        <v/>
      </c>
      <c r="E5815" s="81" t="str">
        <f aca="false">IF(E5770&gt;=0,E5516,"")</f>
        <v/>
      </c>
      <c r="F5815" s="81" t="str">
        <f aca="false">IF(F5770&gt;=0,F5516,"")</f>
        <v/>
      </c>
      <c r="G5815" s="81" t="str">
        <f aca="false">IF(G5770&gt;=0,G5516,"")</f>
        <v/>
      </c>
      <c r="H5815" s="2" t="s">
        <v>1469</v>
      </c>
    </row>
    <row r="5816" customFormat="false" ht="15" hidden="false" customHeight="false" outlineLevel="1" collapsed="false">
      <c r="A5816" s="7" t="s">
        <v>19</v>
      </c>
      <c r="B5816" s="8" t="s">
        <v>20</v>
      </c>
      <c r="C5816" s="75" t="str">
        <f aca="false">IF(COUNT($C$5815:$G$5815)=0,"não atinge até 2031",MIN($C$5815:$G$5815))</f>
        <v>não atinge até 2031</v>
      </c>
      <c r="H5816" s="2" t="s">
        <v>1470</v>
      </c>
    </row>
    <row r="5817" customFormat="false" ht="15" hidden="false" customHeight="false" outlineLevel="0" collapsed="false">
      <c r="A5817" s="3" t="s">
        <v>1471</v>
      </c>
      <c r="B5817" s="4"/>
      <c r="C5817" s="4"/>
      <c r="D5817" s="4"/>
      <c r="E5817" s="4"/>
      <c r="F5817" s="4"/>
      <c r="G5817" s="4"/>
      <c r="H5817" s="4"/>
    </row>
    <row r="5818" customFormat="false" ht="15" hidden="false" customHeight="false" outlineLevel="1" collapsed="false">
      <c r="A5818" s="7" t="s">
        <v>813</v>
      </c>
      <c r="B5818" s="8" t="s">
        <v>11</v>
      </c>
      <c r="C5818" s="61" t="n">
        <f aca="false">C5753</f>
        <v>0</v>
      </c>
      <c r="D5818" s="61" t="n">
        <f aca="false">D5753</f>
        <v>382133.619863014</v>
      </c>
      <c r="E5818" s="61" t="n">
        <f aca="false">E5753</f>
        <v>659091.051369863</v>
      </c>
      <c r="F5818" s="61" t="n">
        <f aca="false">F5753</f>
        <v>1117183.24828767</v>
      </c>
      <c r="G5818" s="61" t="n">
        <f aca="false">G5753</f>
        <v>1701874.35359589</v>
      </c>
      <c r="H5818" s="2" t="s">
        <v>1472</v>
      </c>
    </row>
    <row r="5819" customFormat="false" ht="15" hidden="false" customHeight="false" outlineLevel="1" collapsed="false">
      <c r="A5819" s="7" t="s">
        <v>509</v>
      </c>
      <c r="B5819" s="8" t="s">
        <v>76</v>
      </c>
      <c r="C5819" s="82" t="n">
        <f aca="false">Pressupostos!$C$290</f>
        <v>0.08</v>
      </c>
      <c r="D5819" s="82" t="n">
        <f aca="false">Pressupostos!$D$290</f>
        <v>0.08</v>
      </c>
      <c r="E5819" s="82" t="n">
        <f aca="false">Pressupostos!$E$290</f>
        <v>0.075</v>
      </c>
      <c r="F5819" s="82" t="n">
        <f aca="false">Pressupostos!$F$290</f>
        <v>0.07</v>
      </c>
      <c r="G5819" s="82" t="n">
        <f aca="false">Pressupostos!$G$290</f>
        <v>0.07</v>
      </c>
      <c r="H5819" s="2" t="s">
        <v>1473</v>
      </c>
    </row>
    <row r="5820" customFormat="false" ht="15" hidden="false" customHeight="false" outlineLevel="1" collapsed="false">
      <c r="A5820" s="7" t="s">
        <v>814</v>
      </c>
      <c r="B5820" s="8" t="s">
        <v>76</v>
      </c>
      <c r="C5820" s="60" t="n">
        <f aca="false">Pressupostos!$C$290*(1-Pressupostos!$C$111)</f>
        <v>0.0576</v>
      </c>
      <c r="D5820" s="60" t="n">
        <f aca="false">Pressupostos!$D$290*(1-Pressupostos!$C$111)</f>
        <v>0.0576</v>
      </c>
      <c r="E5820" s="60" t="n">
        <f aca="false">Pressupostos!$E$290*(1-Pressupostos!$C$111)</f>
        <v>0.054</v>
      </c>
      <c r="F5820" s="60" t="n">
        <f aca="false">Pressupostos!$F$290*(1-Pressupostos!$C$111)</f>
        <v>0.0504</v>
      </c>
      <c r="G5820" s="60" t="n">
        <f aca="false">Pressupostos!$G$290*(1-Pressupostos!$C$111)</f>
        <v>0.0504</v>
      </c>
      <c r="H5820" s="2" t="s">
        <v>1474</v>
      </c>
    </row>
    <row r="5821" customFormat="false" ht="15" hidden="false" customHeight="false" outlineLevel="1" collapsed="false">
      <c r="A5821" s="7" t="s">
        <v>815</v>
      </c>
      <c r="B5821" s="8" t="s">
        <v>11</v>
      </c>
      <c r="C5821" s="61" t="n">
        <f aca="false">C5657</f>
        <v>0</v>
      </c>
      <c r="D5821" s="61" t="n">
        <f aca="false">D5657</f>
        <v>27981.4315068493</v>
      </c>
      <c r="E5821" s="61" t="n">
        <f aca="false">E5657</f>
        <v>44308.6788313356</v>
      </c>
      <c r="F5821" s="61" t="n">
        <f aca="false">F5657</f>
        <v>70107.7673373288</v>
      </c>
      <c r="G5821" s="61" t="n">
        <f aca="false">G5657</f>
        <v>106938.050085616</v>
      </c>
      <c r="H5821" s="2" t="s">
        <v>1475</v>
      </c>
    </row>
    <row r="5822" customFormat="false" ht="15" hidden="false" customHeight="false" outlineLevel="1" collapsed="false">
      <c r="A5822" s="7" t="s">
        <v>816</v>
      </c>
      <c r="B5822" s="8" t="s">
        <v>76</v>
      </c>
      <c r="C5822" s="59" t="n">
        <f aca="false">IF(C5753&gt;0,(C5756+C5758)/C5753,0)</f>
        <v>0</v>
      </c>
      <c r="D5822" s="59" t="n">
        <f aca="false">IF(D5753&gt;0,(D5756+D5758)/D5753,0)</f>
        <v>0.316666666666667</v>
      </c>
      <c r="E5822" s="59" t="n">
        <f aca="false">IF(E5753&gt;0,(E5756+E5758)/E5753,0)</f>
        <v>0.316666666666667</v>
      </c>
      <c r="F5822" s="59" t="n">
        <f aca="false">IF(F5753&gt;0,(F5756+F5758)/F5753,0)</f>
        <v>0.316666666666667</v>
      </c>
      <c r="G5822" s="59" t="n">
        <f aca="false">IF(G5753&gt;0,(G5756+G5758)/G5753,0)</f>
        <v>0.316666666666667</v>
      </c>
      <c r="H5822" s="2" t="s">
        <v>1476</v>
      </c>
    </row>
    <row r="5823" customFormat="false" ht="15" hidden="false" customHeight="false" outlineLevel="1" collapsed="false">
      <c r="A5823" s="7" t="s">
        <v>817</v>
      </c>
      <c r="B5823" s="8" t="s">
        <v>123</v>
      </c>
      <c r="C5823" s="61" t="n">
        <f aca="false">C5759</f>
        <v>0</v>
      </c>
      <c r="D5823" s="61" t="n">
        <f aca="false">D5759</f>
        <v>7.64267239726027</v>
      </c>
      <c r="E5823" s="61" t="n">
        <f aca="false">E5759</f>
        <v>13.1818210273973</v>
      </c>
      <c r="F5823" s="61" t="n">
        <f aca="false">F5759</f>
        <v>22.3436649657534</v>
      </c>
      <c r="G5823" s="61" t="n">
        <f aca="false">G5759</f>
        <v>34.0374870719178</v>
      </c>
      <c r="H5823" s="2" t="s">
        <v>1477</v>
      </c>
    </row>
    <row r="5824" customFormat="false" ht="15" hidden="false" customHeight="false" outlineLevel="1" collapsed="false">
      <c r="A5824" s="7" t="s">
        <v>818</v>
      </c>
      <c r="B5824" s="8" t="s">
        <v>11</v>
      </c>
      <c r="C5824" s="61" t="n">
        <f aca="false">C5657+C5703</f>
        <v>65000</v>
      </c>
      <c r="D5824" s="61" t="n">
        <f aca="false">D5657+D5703</f>
        <v>102981.431506849</v>
      </c>
      <c r="E5824" s="61" t="n">
        <f aca="false">E5657+E5703</f>
        <v>124308.678831336</v>
      </c>
      <c r="F5824" s="61" t="n">
        <f aca="false">F5657+F5703</f>
        <v>155107.767337329</v>
      </c>
      <c r="G5824" s="61" t="n">
        <f aca="false">G5657+G5703</f>
        <v>196938.050085616</v>
      </c>
      <c r="H5824" s="2" t="s">
        <v>1478</v>
      </c>
    </row>
    <row r="5825" customFormat="false" ht="15" hidden="false" customHeight="false" outlineLevel="1" collapsed="false">
      <c r="A5825" s="7" t="s">
        <v>819</v>
      </c>
      <c r="B5825" s="8" t="s">
        <v>76</v>
      </c>
      <c r="C5825" s="59" t="str">
        <f aca="false">IF(C5753&gt;0,C5824/C5753,"")</f>
        <v/>
      </c>
      <c r="D5825" s="59" t="n">
        <f aca="false">IF(D5753&gt;0,D5824/D5753,"")</f>
        <v>0.269490634045143</v>
      </c>
      <c r="E5825" s="59" t="n">
        <f aca="false">IF(E5753&gt;0,E5824/E5753,"")</f>
        <v>0.188606230615589</v>
      </c>
      <c r="F5825" s="59" t="n">
        <f aca="false">IF(F5753&gt;0,F5824/F5753,"")</f>
        <v>0.138838250193122</v>
      </c>
      <c r="G5825" s="59" t="n">
        <f aca="false">IF(G5753&gt;0,G5824/G5753,"")</f>
        <v>0.115718325309683</v>
      </c>
      <c r="H5825" s="2" t="s">
        <v>1479</v>
      </c>
    </row>
    <row r="5826" customFormat="false" ht="15" hidden="false" customHeight="false" outlineLevel="0" collapsed="false">
      <c r="A5826" s="3" t="s">
        <v>1480</v>
      </c>
      <c r="B5826" s="4"/>
      <c r="C5826" s="4"/>
      <c r="D5826" s="4"/>
      <c r="E5826" s="4"/>
      <c r="F5826" s="4"/>
      <c r="G5826" s="4"/>
      <c r="H5826" s="4"/>
    </row>
    <row r="5827" customFormat="false" ht="15" hidden="false" customHeight="false" outlineLevel="1" collapsed="false">
      <c r="A5827" s="7" t="s">
        <v>821</v>
      </c>
      <c r="B5827" s="8" t="s">
        <v>11</v>
      </c>
      <c r="C5827" s="61" t="n">
        <f aca="false">MAX(0,-C5727)</f>
        <v>581730.863133562</v>
      </c>
      <c r="D5827" s="61" t="n">
        <f aca="false">MAX(0,-D5727)</f>
        <v>675188.056626712</v>
      </c>
      <c r="E5827" s="61" t="n">
        <f aca="false">MAX(0,-E5727)</f>
        <v>676241.898047945</v>
      </c>
      <c r="F5827" s="61" t="n">
        <f aca="false">MAX(0,-F5727)</f>
        <v>618091.670737732</v>
      </c>
      <c r="G5827" s="61" t="n">
        <f aca="false">MAX(0,-G5727)</f>
        <v>464275.963775665</v>
      </c>
      <c r="H5827" s="2" t="s">
        <v>1481</v>
      </c>
    </row>
    <row r="5828" customFormat="false" ht="15" hidden="false" customHeight="false" outlineLevel="1" collapsed="false">
      <c r="A5828" s="2" t="s">
        <v>822</v>
      </c>
      <c r="B5828" s="8"/>
      <c r="C5828" s="61" t="n">
        <f aca="false">IF(AND(C5516&gt;=Pressupostos!$C$120,Pressupostos!$C$118*(C5610+C5611)+Pressupostos!$C$119*C5612&gt;Pressupostos!$C$302),1,0)</f>
        <v>0</v>
      </c>
      <c r="D5828" s="61" t="n">
        <f aca="false">IF(AND(D5516&gt;=Pressupostos!$C$120,Pressupostos!$C$118*(D5610+D5611)+Pressupostos!$C$119*D5612&gt;Pressupostos!$D$302),1,0)</f>
        <v>1</v>
      </c>
      <c r="E5828" s="61" t="n">
        <f aca="false">IF(AND(E5516&gt;=Pressupostos!$C$120,Pressupostos!$C$118*(E5610+E5611)+Pressupostos!$C$119*E5612&gt;Pressupostos!$E$302),1,0)</f>
        <v>1</v>
      </c>
      <c r="F5828" s="61" t="n">
        <f aca="false">IF(AND(F5516&gt;=Pressupostos!$C$120,Pressupostos!$C$118*(F5610+F5611)+Pressupostos!$C$119*F5612&gt;Pressupostos!$F$302),1,0)</f>
        <v>1</v>
      </c>
      <c r="G5828" s="61" t="n">
        <f aca="false">IF(AND(G5516&gt;=Pressupostos!$C$120,Pressupostos!$C$118*(G5610+G5611)+Pressupostos!$C$119*G5612&gt;Pressupostos!$G$302),1,0)</f>
        <v>1</v>
      </c>
      <c r="H5828" s="2" t="s">
        <v>1482</v>
      </c>
    </row>
    <row r="5829" customFormat="false" ht="15" hidden="false" customHeight="false" outlineLevel="1" collapsed="false">
      <c r="A5829" s="7" t="s">
        <v>823</v>
      </c>
      <c r="B5829" s="8" t="s">
        <v>64</v>
      </c>
      <c r="C5829" s="63" t="n">
        <f aca="false">IF(C5520&gt;0,C5827/(C5520*1000*(1-Pressupostos!$F$22)*(1-Pressupostos!$F$25-C5828*Pressupostos!$C$118)),"n/a")</f>
        <v>8.63138028187464</v>
      </c>
      <c r="D5829" s="63" t="n">
        <f aca="false">IF(D5520&gt;0,D5827/(D5520*1000*(1-Pressupostos!$F$22)*(1-Pressupostos!$F$25-D5828*Pressupostos!$C$118)),"n/a")</f>
        <v>1.44087241038341</v>
      </c>
      <c r="E5829" s="63" t="n">
        <f aca="false">IF(E5520&gt;0,E5827/(E5520*1000*(1-Pressupostos!$F$22)*(1-Pressupostos!$F$25-E5828*Pressupostos!$C$118)),"n/a")</f>
        <v>0.730617917362256</v>
      </c>
      <c r="F5829" s="63" t="n">
        <f aca="false">IF(F5520&gt;0,F5827/(F5520*1000*(1-Pressupostos!$F$22)*(1-Pressupostos!$F$25-F5828*Pressupostos!$C$118)),"n/a")</f>
        <v>0.404739457978221</v>
      </c>
      <c r="G5829" s="63" t="n">
        <f aca="false">IF(G5520&gt;0,G5827/(G5520*1000*(1-Pressupostos!$F$22)*(1-Pressupostos!$F$25-G5828*Pressupostos!$C$118)),"n/a")</f>
        <v>0.200923423039776</v>
      </c>
      <c r="H5829" s="2" t="s">
        <v>1483</v>
      </c>
    </row>
    <row r="5830" customFormat="false" ht="15" hidden="false" customHeight="false" outlineLevel="1" collapsed="false">
      <c r="A5830" s="7" t="s">
        <v>824</v>
      </c>
      <c r="B5830" s="8" t="s">
        <v>64</v>
      </c>
      <c r="C5830" s="63" t="n">
        <f aca="false">IF(C5519&gt;0,Pressupostos!$F$15+C5827/(C5519*1000*(1-Pressupostos!$F$16)*(1-Pressupostos!$F$18-C5828*Pressupostos!$C$118)),"n/a")</f>
        <v>67.0008668997057</v>
      </c>
      <c r="D5830" s="63" t="n">
        <f aca="false">IF(D5519&gt;0,Pressupostos!$F$15+D5827/(D5519*1000*(1-Pressupostos!$F$16)*(1-Pressupostos!$F$18-D5828*Pressupostos!$C$118)),"n/a")</f>
        <v>24.9565183241409</v>
      </c>
      <c r="E5830" s="63" t="n">
        <f aca="false">IF(E5519&gt;0,Pressupostos!$F$15+E5827/(E5519*1000*(1-Pressupostos!$F$16)*(1-Pressupostos!$F$18-E5828*Pressupostos!$C$118)),"n/a")</f>
        <v>13.1197897049286</v>
      </c>
      <c r="F5830" s="63" t="n">
        <f aca="false">IF(F5519&gt;0,Pressupostos!$F$15+F5827/(F5519*1000*(1-Pressupostos!$F$16)*(1-Pressupostos!$F$18-F5828*Pressupostos!$C$118)),"n/a")</f>
        <v>9.71860401409932</v>
      </c>
      <c r="G5830" s="63" t="n">
        <f aca="false">IF(G5519&gt;0,Pressupostos!$F$15+G5827/(G5519*1000*(1-Pressupostos!$F$16)*(1-Pressupostos!$F$18-G5828*Pressupostos!$C$118)),"n/a")</f>
        <v>7.95524544496735</v>
      </c>
      <c r="H5830" s="2" t="s">
        <v>1484</v>
      </c>
    </row>
    <row r="5831" customFormat="false" ht="15" hidden="false" customHeight="false" outlineLevel="1" collapsed="false">
      <c r="A5831" s="7" t="s">
        <v>825</v>
      </c>
      <c r="B5831" s="8" t="s">
        <v>64</v>
      </c>
      <c r="C5831" s="63" t="n">
        <f aca="false">IF(Pressupostos!$F$33=1,C5602-C5828*Pressupostos!$C$119*C5585,C5608)</f>
        <v>0.00725</v>
      </c>
      <c r="D5831" s="63" t="n">
        <f aca="false">IF(Pressupostos!$F$33=1,D5602-D5828*Pressupostos!$C$119*D5585,D5608)</f>
        <v>0.00725</v>
      </c>
      <c r="E5831" s="63" t="n">
        <f aca="false">IF(Pressupostos!$F$33=1,E5602-E5828*Pressupostos!$C$119*E5585,E5608)</f>
        <v>0.00725</v>
      </c>
      <c r="F5831" s="63" t="n">
        <f aca="false">IF(Pressupostos!$F$33=1,F5602-F5828*Pressupostos!$C$119*F5585,F5608)</f>
        <v>0.00725</v>
      </c>
      <c r="G5831" s="63" t="n">
        <f aca="false">IF(Pressupostos!$F$33=1,G5602-G5828*Pressupostos!$C$119*G5585,G5608)</f>
        <v>0.00725</v>
      </c>
      <c r="H5831" s="2" t="s">
        <v>1485</v>
      </c>
    </row>
    <row r="5832" customFormat="false" ht="15" hidden="false" customHeight="false" outlineLevel="1" collapsed="false">
      <c r="A5832" s="7" t="s">
        <v>826</v>
      </c>
      <c r="B5832" s="8" t="s">
        <v>120</v>
      </c>
      <c r="C5832" s="55" t="n">
        <f aca="false">IF(C5831&gt;0,C5521+C5827/(C5831*1000),"n/a")</f>
        <v>80238.7397425603</v>
      </c>
      <c r="D5832" s="55" t="n">
        <f aca="false">IF(D5831&gt;0,D5521+D5827/(D5831*1000),"n/a")</f>
        <v>93779.3871209259</v>
      </c>
      <c r="E5832" s="55" t="n">
        <f aca="false">IF(E5831&gt;0,E5521+E5827/(E5831*1000),"n/a")</f>
        <v>95224.7445583373</v>
      </c>
      <c r="F5832" s="55" t="n">
        <f aca="false">IF(F5831&gt;0,F5521+F5827/(F5831*1000),"n/a")</f>
        <v>88504.0235500321</v>
      </c>
      <c r="G5832" s="55" t="n">
        <f aca="false">IF(G5831&gt;0,G5521+G5827/(G5831*1000),"n/a")</f>
        <v>68588.0639690572</v>
      </c>
      <c r="H5832" s="2" t="s">
        <v>1486</v>
      </c>
    </row>
    <row r="5833" customFormat="false" ht="15" hidden="false" customHeight="false" outlineLevel="1" collapsed="false">
      <c r="A5833" s="7" t="s">
        <v>827</v>
      </c>
      <c r="B5833" s="8" t="s">
        <v>76</v>
      </c>
      <c r="C5833" s="59" t="n">
        <f aca="false">C5827/(C5689+C5702+C5703)</f>
        <v>0.96685537242135</v>
      </c>
      <c r="D5833" s="59" t="n">
        <f aca="false">D5827/(D5689+D5702+D5703)</f>
        <v>0.876573526974489</v>
      </c>
      <c r="E5833" s="59" t="n">
        <f aca="false">E5827/(E5689+E5702+E5703)</f>
        <v>0.733524024912086</v>
      </c>
      <c r="F5833" s="59" t="n">
        <f aca="false">F5827/(F5689+F5702+F5703)</f>
        <v>0.576730136103181</v>
      </c>
      <c r="G5833" s="59" t="n">
        <f aca="false">G5827/(G5689+G5702+G5703)</f>
        <v>0.394760239153769</v>
      </c>
      <c r="H5833" s="2" t="s">
        <v>1487</v>
      </c>
    </row>
    <row r="5834" customFormat="false" ht="15" hidden="false" customHeight="false" outlineLevel="1" collapsed="false">
      <c r="A5834" s="2" t="s">
        <v>828</v>
      </c>
      <c r="B5834" s="8" t="s">
        <v>76</v>
      </c>
      <c r="C5834" s="60" t="n">
        <f aca="false">Pressupostos!$C$101*Pressupostos!$C$102+Pressupostos!$C$103-Pressupostos!$F$30*Pressupostos!$C$104*Pressupostos!$C$102/(Pressupostos!$C$105*Pressupostos!$C$106)</f>
        <v>0.02</v>
      </c>
      <c r="D5834" s="60" t="n">
        <f aca="false">Pressupostos!$C$101*Pressupostos!$C$102+Pressupostos!$C$103-Pressupostos!$F$30*Pressupostos!$C$104*Pressupostos!$C$102/(Pressupostos!$C$105*Pressupostos!$C$106)</f>
        <v>0.02</v>
      </c>
      <c r="E5834" s="60" t="n">
        <f aca="false">Pressupostos!$C$101*Pressupostos!$C$102+Pressupostos!$C$103-Pressupostos!$F$30*Pressupostos!$C$104*Pressupostos!$C$102/(Pressupostos!$C$105*Pressupostos!$C$106)</f>
        <v>0.02</v>
      </c>
      <c r="F5834" s="60" t="n">
        <f aca="false">Pressupostos!$C$101*Pressupostos!$C$102+Pressupostos!$C$103-Pressupostos!$F$30*Pressupostos!$C$104*Pressupostos!$C$102/(Pressupostos!$C$105*Pressupostos!$C$106)</f>
        <v>0.02</v>
      </c>
      <c r="G5834" s="60" t="n">
        <f aca="false">Pressupostos!$C$101*Pressupostos!$C$102+Pressupostos!$C$103-Pressupostos!$F$30*Pressupostos!$C$104*Pressupostos!$C$102/(Pressupostos!$C$105*Pressupostos!$C$106)</f>
        <v>0.02</v>
      </c>
      <c r="H5834" s="2" t="s">
        <v>1488</v>
      </c>
    </row>
    <row r="5835" customFormat="false" ht="15" hidden="false" customHeight="false" outlineLevel="1" collapsed="false">
      <c r="A5835" s="7" t="s">
        <v>829</v>
      </c>
      <c r="B5835" s="8" t="s">
        <v>11</v>
      </c>
      <c r="C5835" s="61" t="n">
        <f aca="false">IF(C5834&gt;0,C5534+C5827/C5834,"n/a")</f>
        <v>29086543.1566781</v>
      </c>
      <c r="D5835" s="61" t="n">
        <f aca="false">IF(D5834&gt;0,D5534+D5827/D5834,"n/a")</f>
        <v>34259402.8313356</v>
      </c>
      <c r="E5835" s="61" t="n">
        <f aca="false">IF(E5834&gt;0,E5534+E5827/E5834,"n/a")</f>
        <v>35312094.9023973</v>
      </c>
      <c r="F5835" s="61" t="n">
        <f aca="false">IF(F5834&gt;0,F5534+F5827/F5834,"n/a")</f>
        <v>33904583.5368866</v>
      </c>
      <c r="G5835" s="61" t="n">
        <f aca="false">IF(G5834&gt;0,G5534+G5827/G5834,"n/a")</f>
        <v>28213798.1887832</v>
      </c>
      <c r="H5835" s="2" t="s">
        <v>1489</v>
      </c>
    </row>
    <row r="5838" customFormat="false" ht="15" hidden="false" customHeight="false" outlineLevel="0" collapsed="false">
      <c r="A5838" s="111" t="s">
        <v>1507</v>
      </c>
      <c r="B5838" s="112"/>
      <c r="C5838" s="112"/>
      <c r="D5838" s="112"/>
      <c r="E5838" s="112"/>
      <c r="F5838" s="112"/>
      <c r="G5838" s="112"/>
      <c r="H5838" s="112"/>
    </row>
    <row r="5839" customFormat="false" ht="15" hidden="false" customHeight="false" outlineLevel="0" collapsed="false">
      <c r="A5839" s="3" t="s">
        <v>1170</v>
      </c>
      <c r="B5839" s="4"/>
      <c r="C5839" s="4"/>
      <c r="D5839" s="4"/>
      <c r="E5839" s="4"/>
      <c r="F5839" s="4"/>
      <c r="G5839" s="4"/>
      <c r="H5839" s="4"/>
    </row>
    <row r="5840" customFormat="false" ht="15" hidden="false" customHeight="false" outlineLevel="1" collapsed="false">
      <c r="A5840" s="7" t="s">
        <v>588</v>
      </c>
      <c r="B5840" s="8"/>
      <c r="C5840" s="52" t="n">
        <v>2027</v>
      </c>
      <c r="D5840" s="52" t="n">
        <v>2028</v>
      </c>
      <c r="E5840" s="52" t="n">
        <v>2029</v>
      </c>
      <c r="F5840" s="52" t="n">
        <v>2030</v>
      </c>
      <c r="G5840" s="52" t="n">
        <v>2031</v>
      </c>
      <c r="H5840" s="2" t="s">
        <v>20</v>
      </c>
    </row>
    <row r="5841" customFormat="false" ht="15" hidden="false" customHeight="false" outlineLevel="0" collapsed="false">
      <c r="A5841" s="3" t="s">
        <v>1171</v>
      </c>
      <c r="B5841" s="4"/>
      <c r="C5841" s="4"/>
      <c r="D5841" s="4"/>
      <c r="E5841" s="4"/>
      <c r="F5841" s="4"/>
      <c r="G5841" s="4"/>
      <c r="H5841" s="4"/>
    </row>
    <row r="5842" customFormat="false" ht="15" hidden="false" customHeight="false" outlineLevel="1" collapsed="false">
      <c r="A5842" s="7" t="s">
        <v>387</v>
      </c>
      <c r="B5842" s="8" t="s">
        <v>123</v>
      </c>
      <c r="C5842" s="53" t="n">
        <f aca="false">Pressupostos!$C$215</f>
        <v>40</v>
      </c>
      <c r="D5842" s="53" t="n">
        <f aca="false">Pressupostos!$D$215</f>
        <v>150</v>
      </c>
      <c r="E5842" s="53" t="n">
        <f aca="false">Pressupostos!$E$215</f>
        <v>400</v>
      </c>
      <c r="F5842" s="53" t="n">
        <f aca="false">Pressupostos!$F$215</f>
        <v>700</v>
      </c>
      <c r="G5842" s="53" t="n">
        <f aca="false">Pressupostos!$G$215</f>
        <v>1000</v>
      </c>
      <c r="H5842" s="2" t="s">
        <v>1172</v>
      </c>
    </row>
    <row r="5843" customFormat="false" ht="15" hidden="false" customHeight="false" outlineLevel="1" collapsed="false">
      <c r="A5843" s="7" t="s">
        <v>590</v>
      </c>
      <c r="B5843" s="8" t="s">
        <v>120</v>
      </c>
      <c r="C5843" s="54" t="n">
        <f aca="false">Pressupostos!$C$221</f>
        <v>8.2</v>
      </c>
      <c r="D5843" s="54" t="n">
        <f aca="false">Pressupostos!$D$221</f>
        <v>30.75</v>
      </c>
      <c r="E5843" s="54" t="n">
        <f aca="false">Pressupostos!$E$221</f>
        <v>82</v>
      </c>
      <c r="F5843" s="54" t="n">
        <f aca="false">Pressupostos!$F$221</f>
        <v>143.5</v>
      </c>
      <c r="G5843" s="54" t="n">
        <f aca="false">Pressupostos!$G$221</f>
        <v>205</v>
      </c>
      <c r="H5843" s="2" t="s">
        <v>1173</v>
      </c>
    </row>
    <row r="5844" customFormat="false" ht="15" hidden="false" customHeight="false" outlineLevel="1" collapsed="false">
      <c r="A5844" s="7" t="s">
        <v>591</v>
      </c>
      <c r="B5844" s="8" t="s">
        <v>120</v>
      </c>
      <c r="C5844" s="54" t="n">
        <f aca="false">Pressupostos!$C$227</f>
        <v>52</v>
      </c>
      <c r="D5844" s="54" t="n">
        <f aca="false">Pressupostos!$D$227</f>
        <v>363</v>
      </c>
      <c r="E5844" s="54" t="n">
        <f aca="false">Pressupostos!$E$227</f>
        <v>717</v>
      </c>
      <c r="F5844" s="54" t="n">
        <f aca="false">Pressupostos!$F$227</f>
        <v>1183</v>
      </c>
      <c r="G5844" s="54" t="n">
        <f aca="false">Pressupostos!$G$227</f>
        <v>1790</v>
      </c>
      <c r="H5844" s="2" t="s">
        <v>1174</v>
      </c>
    </row>
    <row r="5845" customFormat="false" ht="15" hidden="false" customHeight="false" outlineLevel="1" collapsed="false">
      <c r="A5845" s="7" t="s">
        <v>398</v>
      </c>
      <c r="B5845" s="8" t="s">
        <v>120</v>
      </c>
      <c r="C5845" s="54" t="n">
        <f aca="false">Pressupostos!$C$233</f>
        <v>0</v>
      </c>
      <c r="D5845" s="54" t="n">
        <f aca="false">Pressupostos!$D$233</f>
        <v>500</v>
      </c>
      <c r="E5845" s="54" t="n">
        <f aca="false">Pressupostos!$E$233</f>
        <v>1500</v>
      </c>
      <c r="F5845" s="54" t="n">
        <f aca="false">Pressupostos!$F$233</f>
        <v>2500</v>
      </c>
      <c r="G5845" s="54" t="n">
        <f aca="false">Pressupostos!$G$233</f>
        <v>3500</v>
      </c>
      <c r="H5845" s="2" t="s">
        <v>1175</v>
      </c>
    </row>
    <row r="5846" customFormat="false" ht="15" hidden="false" customHeight="false" outlineLevel="1" collapsed="false">
      <c r="A5846" s="7" t="s">
        <v>592</v>
      </c>
      <c r="B5846" s="8" t="s">
        <v>120</v>
      </c>
      <c r="C5846" s="55" t="n">
        <f aca="false">C5845*Pressupostos!$F$33</f>
        <v>0</v>
      </c>
      <c r="D5846" s="55" t="n">
        <f aca="false">D5845*Pressupostos!$F$33</f>
        <v>0</v>
      </c>
      <c r="E5846" s="55" t="n">
        <f aca="false">E5845*Pressupostos!$F$33</f>
        <v>0</v>
      </c>
      <c r="F5846" s="55" t="n">
        <f aca="false">F5845*Pressupostos!$F$33</f>
        <v>0</v>
      </c>
      <c r="G5846" s="55" t="n">
        <f aca="false">G5845*Pressupostos!$F$33</f>
        <v>0</v>
      </c>
      <c r="H5846" s="2" t="s">
        <v>1176</v>
      </c>
    </row>
    <row r="5847" customFormat="false" ht="15" hidden="false" customHeight="false" outlineLevel="1" collapsed="false">
      <c r="A5847" s="7" t="s">
        <v>593</v>
      </c>
      <c r="B5847" s="8" t="s">
        <v>120</v>
      </c>
      <c r="C5847" s="55" t="n">
        <f aca="false">C5845-C5846</f>
        <v>0</v>
      </c>
      <c r="D5847" s="55" t="n">
        <f aca="false">D5845-D5846</f>
        <v>500</v>
      </c>
      <c r="E5847" s="55" t="n">
        <f aca="false">E5845-E5846</f>
        <v>1500</v>
      </c>
      <c r="F5847" s="55" t="n">
        <f aca="false">F5845-F5846</f>
        <v>2500</v>
      </c>
      <c r="G5847" s="55" t="n">
        <f aca="false">G5845-G5846</f>
        <v>3500</v>
      </c>
      <c r="H5847" s="2" t="s">
        <v>1177</v>
      </c>
    </row>
    <row r="5848" customFormat="false" ht="15" hidden="false" customHeight="false" outlineLevel="1" collapsed="false">
      <c r="A5848" s="56" t="s">
        <v>594</v>
      </c>
      <c r="B5848" s="57" t="s">
        <v>120</v>
      </c>
      <c r="C5848" s="58" t="n">
        <f aca="false">C5843+C5844+C5845</f>
        <v>60.2</v>
      </c>
      <c r="D5848" s="58" t="n">
        <f aca="false">D5843+D5844+D5845</f>
        <v>893.75</v>
      </c>
      <c r="E5848" s="58" t="n">
        <f aca="false">E5843+E5844+E5845</f>
        <v>2299</v>
      </c>
      <c r="F5848" s="58" t="n">
        <f aca="false">F5843+F5844+F5845</f>
        <v>3826.5</v>
      </c>
      <c r="G5848" s="58" t="n">
        <f aca="false">G5843+G5844+G5845</f>
        <v>5495</v>
      </c>
      <c r="H5848" s="2" t="s">
        <v>1178</v>
      </c>
    </row>
    <row r="5849" customFormat="false" ht="15" hidden="false" customHeight="false" outlineLevel="1" collapsed="false">
      <c r="A5849" s="7" t="s">
        <v>595</v>
      </c>
      <c r="B5849" s="8" t="s">
        <v>76</v>
      </c>
      <c r="C5849" s="59" t="n">
        <f aca="false">IF(C5848&gt;0,C5843/C5848,0)</f>
        <v>0.136212624584718</v>
      </c>
      <c r="D5849" s="59" t="n">
        <f aca="false">IF(D5848&gt;0,D5843/D5848,0)</f>
        <v>0.0344055944055944</v>
      </c>
      <c r="E5849" s="59" t="n">
        <f aca="false">IF(E5848&gt;0,E5843/E5848,0)</f>
        <v>0.035667681600696</v>
      </c>
      <c r="F5849" s="59" t="n">
        <f aca="false">IF(F5848&gt;0,F5843/F5848,0)</f>
        <v>0.0375016333464001</v>
      </c>
      <c r="G5849" s="59" t="n">
        <f aca="false">IF(G5848&gt;0,G5843/G5848,0)</f>
        <v>0.0373066424021838</v>
      </c>
      <c r="H5849" s="2" t="s">
        <v>1179</v>
      </c>
    </row>
    <row r="5850" customFormat="false" ht="15" hidden="false" customHeight="false" outlineLevel="1" collapsed="false">
      <c r="A5850" s="7" t="s">
        <v>596</v>
      </c>
      <c r="B5850" s="8" t="s">
        <v>76</v>
      </c>
      <c r="C5850" s="60" t="n">
        <f aca="false">C5848/(Pressupostos!$C$76*1000)</f>
        <v>0.000355162241887906</v>
      </c>
      <c r="D5850" s="60" t="n">
        <f aca="false">D5848/(Pressupostos!$C$76*1000)</f>
        <v>0.00527286135693215</v>
      </c>
      <c r="E5850" s="60" t="n">
        <f aca="false">E5848/(Pressupostos!$C$76*1000)</f>
        <v>0.0135634218289086</v>
      </c>
      <c r="F5850" s="60" t="n">
        <f aca="false">F5848/(Pressupostos!$C$76*1000)</f>
        <v>0.0225752212389381</v>
      </c>
      <c r="G5850" s="60" t="n">
        <f aca="false">G5848/(Pressupostos!$C$76*1000)</f>
        <v>0.0324188790560472</v>
      </c>
      <c r="H5850" s="2" t="s">
        <v>1180</v>
      </c>
    </row>
    <row r="5851" customFormat="false" ht="15" hidden="false" customHeight="false" outlineLevel="1" collapsed="false">
      <c r="A5851" s="7" t="s">
        <v>597</v>
      </c>
      <c r="B5851" s="8" t="s">
        <v>123</v>
      </c>
      <c r="C5851" s="55" t="n">
        <f aca="false">C5843/Pressupostos!$C$40+C5844/Pressupostos!$C$47+C5845/Pressupostos!$C$59</f>
        <v>2.14333333333333</v>
      </c>
      <c r="D5851" s="55" t="n">
        <f aca="false">D5843/Pressupostos!$C$40+D5844/Pressupostos!$C$47+D5845/Pressupostos!$C$59</f>
        <v>18.6375</v>
      </c>
      <c r="E5851" s="55" t="n">
        <f aca="false">E5843/Pressupostos!$C$40+E5844/Pressupostos!$C$47+E5845/Pressupostos!$C$59</f>
        <v>43</v>
      </c>
      <c r="F5851" s="55" t="n">
        <f aca="false">F5843/Pressupostos!$C$40+F5844/Pressupostos!$C$47+F5845/Pressupostos!$C$59</f>
        <v>71.6083333333333</v>
      </c>
      <c r="G5851" s="55" t="n">
        <f aca="false">G5843/Pressupostos!$C$40+G5844/Pressupostos!$C$47+G5845/Pressupostos!$C$59</f>
        <v>104.916666666667</v>
      </c>
      <c r="H5851" s="2" t="s">
        <v>1181</v>
      </c>
    </row>
    <row r="5852" customFormat="false" ht="15" hidden="false" customHeight="false" outlineLevel="0" collapsed="false">
      <c r="A5852" s="3" t="s">
        <v>1182</v>
      </c>
      <c r="B5852" s="4"/>
      <c r="C5852" s="4"/>
      <c r="D5852" s="4"/>
      <c r="E5852" s="4"/>
      <c r="F5852" s="4"/>
      <c r="G5852" s="4"/>
      <c r="H5852" s="4"/>
    </row>
    <row r="5853" customFormat="false" ht="15" hidden="false" customHeight="false" outlineLevel="1" collapsed="false">
      <c r="A5853" s="7" t="s">
        <v>599</v>
      </c>
      <c r="B5853" s="8" t="s">
        <v>202</v>
      </c>
      <c r="C5853" s="53" t="n">
        <f aca="false">Pressupostos!$C$259</f>
        <v>36</v>
      </c>
      <c r="D5853" s="53" t="n">
        <f aca="false">Pressupostos!$D$259</f>
        <v>135</v>
      </c>
      <c r="E5853" s="53" t="n">
        <f aca="false">Pressupostos!$E$259</f>
        <v>360</v>
      </c>
      <c r="F5853" s="53" t="n">
        <f aca="false">Pressupostos!$F$259</f>
        <v>630</v>
      </c>
      <c r="G5853" s="53" t="n">
        <f aca="false">Pressupostos!$G$259</f>
        <v>900</v>
      </c>
      <c r="H5853" s="2" t="s">
        <v>1183</v>
      </c>
    </row>
    <row r="5854" customFormat="false" ht="15" hidden="false" customHeight="false" outlineLevel="1" collapsed="false">
      <c r="A5854" s="7" t="s">
        <v>599</v>
      </c>
      <c r="B5854" s="8" t="s">
        <v>189</v>
      </c>
      <c r="C5854" s="61" t="n">
        <f aca="false">C5853*Pressupostos!$C$78</f>
        <v>27000</v>
      </c>
      <c r="D5854" s="61" t="n">
        <f aca="false">D5853*Pressupostos!$C$78</f>
        <v>101250</v>
      </c>
      <c r="E5854" s="61" t="n">
        <f aca="false">E5853*Pressupostos!$C$78</f>
        <v>270000</v>
      </c>
      <c r="F5854" s="61" t="n">
        <f aca="false">F5853*Pressupostos!$C$78</f>
        <v>472500</v>
      </c>
      <c r="G5854" s="61" t="n">
        <f aca="false">G5853*Pressupostos!$C$78</f>
        <v>675000</v>
      </c>
      <c r="H5854" s="2" t="s">
        <v>1184</v>
      </c>
    </row>
    <row r="5855" customFormat="false" ht="15" hidden="false" customHeight="false" outlineLevel="0" collapsed="false">
      <c r="A5855" s="3" t="s">
        <v>1185</v>
      </c>
      <c r="B5855" s="4"/>
      <c r="C5855" s="4"/>
      <c r="D5855" s="4"/>
      <c r="E5855" s="4"/>
      <c r="F5855" s="4"/>
      <c r="G5855" s="4"/>
      <c r="H5855" s="4"/>
    </row>
    <row r="5856" customFormat="false" ht="15" hidden="false" customHeight="false" outlineLevel="1" collapsed="false">
      <c r="A5856" s="7" t="s">
        <v>601</v>
      </c>
      <c r="B5856" s="8" t="s">
        <v>120</v>
      </c>
      <c r="C5856" s="55" t="n">
        <f aca="false">IF(C5840&lt;Pressupostos!$F$28,0,Pressupostos!$C$265)</f>
        <v>0</v>
      </c>
      <c r="D5856" s="55" t="n">
        <f aca="false">IF(D5840&lt;Pressupostos!$F$28,0,Pressupostos!$D$265)</f>
        <v>0</v>
      </c>
      <c r="E5856" s="55" t="n">
        <f aca="false">IF(E5840&lt;Pressupostos!$F$28,0,Pressupostos!$E$265)</f>
        <v>0</v>
      </c>
      <c r="F5856" s="55" t="n">
        <f aca="false">IF(F5840&lt;Pressupostos!$F$28,0,Pressupostos!$F$265)</f>
        <v>20</v>
      </c>
      <c r="G5856" s="55" t="n">
        <f aca="false">IF(G5840&lt;Pressupostos!$F$28,0,Pressupostos!$G$265)</f>
        <v>50</v>
      </c>
      <c r="H5856" s="2" t="s">
        <v>1186</v>
      </c>
    </row>
    <row r="5857" customFormat="false" ht="15" hidden="false" customHeight="false" outlineLevel="0" collapsed="false">
      <c r="A5857" s="3" t="s">
        <v>1187</v>
      </c>
      <c r="B5857" s="4"/>
      <c r="C5857" s="4"/>
      <c r="D5857" s="4"/>
      <c r="E5857" s="4"/>
      <c r="F5857" s="4"/>
      <c r="G5857" s="4"/>
      <c r="H5857" s="4"/>
    </row>
    <row r="5858" customFormat="false" ht="15" hidden="false" customHeight="false" outlineLevel="1" collapsed="false">
      <c r="A5858" s="7" t="s">
        <v>603</v>
      </c>
      <c r="B5858" s="8" t="s">
        <v>11</v>
      </c>
      <c r="C5858" s="53" t="n">
        <f aca="false">Pressupostos!$C$271</f>
        <v>0</v>
      </c>
      <c r="D5858" s="53" t="n">
        <f aca="false">Pressupostos!$D$271</f>
        <v>500000</v>
      </c>
      <c r="E5858" s="53" t="n">
        <f aca="false">Pressupostos!$E$271</f>
        <v>1500000</v>
      </c>
      <c r="F5858" s="53" t="n">
        <f aca="false">Pressupostos!$F$271</f>
        <v>3000000</v>
      </c>
      <c r="G5858" s="53" t="n">
        <f aca="false">Pressupostos!$G$271</f>
        <v>5000000</v>
      </c>
      <c r="H5858" s="2" t="s">
        <v>1188</v>
      </c>
    </row>
    <row r="5859" customFormat="false" ht="15" hidden="false" customHeight="false" outlineLevel="1" collapsed="false">
      <c r="A5859" s="7" t="s">
        <v>604</v>
      </c>
      <c r="B5859" s="8" t="s">
        <v>120</v>
      </c>
      <c r="C5859" s="55" t="n">
        <f aca="false">C5858/(Pressupostos!$C$105*Pressupostos!$C$106)*Pressupostos!$C$102/1000</f>
        <v>0</v>
      </c>
      <c r="D5859" s="55" t="n">
        <f aca="false">D5858/(Pressupostos!$C$105*Pressupostos!$C$106)*Pressupostos!$C$102/1000</f>
        <v>457.142857142857</v>
      </c>
      <c r="E5859" s="55" t="n">
        <f aca="false">E5858/(Pressupostos!$C$105*Pressupostos!$C$106)*Pressupostos!$C$102/1000</f>
        <v>1371.42857142857</v>
      </c>
      <c r="F5859" s="55" t="n">
        <f aca="false">F5858/(Pressupostos!$C$105*Pressupostos!$C$106)*Pressupostos!$C$102/1000</f>
        <v>2742.85714285714</v>
      </c>
      <c r="G5859" s="55" t="n">
        <f aca="false">G5858/(Pressupostos!$C$105*Pressupostos!$C$106)*Pressupostos!$C$102/1000</f>
        <v>4571.42857142857</v>
      </c>
      <c r="H5859" s="2" t="s">
        <v>1189</v>
      </c>
    </row>
    <row r="5860" customFormat="false" ht="15" hidden="false" customHeight="false" outlineLevel="0" collapsed="false">
      <c r="A5860" s="3" t="s">
        <v>1190</v>
      </c>
      <c r="B5860" s="4"/>
      <c r="C5860" s="4"/>
      <c r="D5860" s="4"/>
      <c r="E5860" s="4"/>
      <c r="F5860" s="4"/>
      <c r="G5860" s="4"/>
      <c r="H5860" s="4"/>
    </row>
    <row r="5861" customFormat="false" ht="15" hidden="false" customHeight="false" outlineLevel="1" collapsed="false">
      <c r="A5861" s="7" t="s">
        <v>669</v>
      </c>
      <c r="B5861" s="8" t="s">
        <v>64</v>
      </c>
      <c r="C5861" s="63" t="n">
        <f aca="false">(Pressupostos!$F$10*(1+Pressupostos!$C$197))+Pressupostos!$F$11</f>
        <v>2.6</v>
      </c>
      <c r="D5861" s="63" t="n">
        <f aca="false">(Pressupostos!$F$10*(1+Pressupostos!$C$197))+Pressupostos!$F$11</f>
        <v>2.6</v>
      </c>
      <c r="E5861" s="63" t="n">
        <f aca="false">(Pressupostos!$F$10*(1+Pressupostos!$C$197))+Pressupostos!$F$11</f>
        <v>2.6</v>
      </c>
      <c r="F5861" s="63" t="n">
        <f aca="false">(Pressupostos!$F$10*(1+Pressupostos!$C$197))+Pressupostos!$F$11</f>
        <v>2.6</v>
      </c>
      <c r="G5861" s="63" t="n">
        <f aca="false">(Pressupostos!$F$10*(1+Pressupostos!$C$197))+Pressupostos!$F$11</f>
        <v>2.6</v>
      </c>
      <c r="H5861" s="2" t="s">
        <v>1191</v>
      </c>
    </row>
    <row r="5862" customFormat="false" ht="15" hidden="false" customHeight="false" outlineLevel="1" collapsed="false">
      <c r="A5862" s="7" t="s">
        <v>670</v>
      </c>
      <c r="B5862" s="8" t="s">
        <v>64</v>
      </c>
      <c r="C5862" s="63" t="n">
        <f aca="false">(Pressupostos!$F$15*(1+Pressupostos!$C$197))</f>
        <v>4.2</v>
      </c>
      <c r="D5862" s="63" t="n">
        <f aca="false">(Pressupostos!$F$15*(1+Pressupostos!$C$197))</f>
        <v>4.2</v>
      </c>
      <c r="E5862" s="63" t="n">
        <f aca="false">(Pressupostos!$F$15*(1+Pressupostos!$C$197))</f>
        <v>4.2</v>
      </c>
      <c r="F5862" s="63" t="n">
        <f aca="false">(Pressupostos!$F$15*(1+Pressupostos!$C$197))</f>
        <v>4.2</v>
      </c>
      <c r="G5862" s="63" t="n">
        <f aca="false">(Pressupostos!$F$15*(1+Pressupostos!$C$197))</f>
        <v>4.2</v>
      </c>
      <c r="H5862" s="2" t="s">
        <v>1192</v>
      </c>
    </row>
    <row r="5863" customFormat="false" ht="15" hidden="false" customHeight="false" outlineLevel="1" collapsed="false">
      <c r="A5863" s="56" t="s">
        <v>671</v>
      </c>
      <c r="B5863" s="57" t="s">
        <v>64</v>
      </c>
      <c r="C5863" s="68" t="n">
        <f aca="false">C5862*(1-Pressupostos!$F$16)</f>
        <v>3.78</v>
      </c>
      <c r="D5863" s="68" t="n">
        <f aca="false">D5862*(1-Pressupostos!$F$16)</f>
        <v>3.78</v>
      </c>
      <c r="E5863" s="68" t="n">
        <f aca="false">E5862*(1-Pressupostos!$F$16)</f>
        <v>3.78</v>
      </c>
      <c r="F5863" s="68" t="n">
        <f aca="false">F5862*(1-Pressupostos!$F$16)</f>
        <v>3.78</v>
      </c>
      <c r="G5863" s="68" t="n">
        <f aca="false">G5862*(1-Pressupostos!$F$16)</f>
        <v>3.78</v>
      </c>
      <c r="H5863" s="2" t="s">
        <v>1193</v>
      </c>
    </row>
    <row r="5864" customFormat="false" ht="15" hidden="false" customHeight="false" outlineLevel="1" collapsed="false">
      <c r="A5864" s="7" t="s">
        <v>144</v>
      </c>
      <c r="B5864" s="8" t="s">
        <v>64</v>
      </c>
      <c r="C5864" s="67" t="n">
        <f aca="false">Pressupostos!$C$38</f>
        <v>0.55</v>
      </c>
      <c r="D5864" s="67" t="n">
        <f aca="false">Pressupostos!$C$38</f>
        <v>0.55</v>
      </c>
      <c r="E5864" s="67" t="n">
        <f aca="false">Pressupostos!$C$38</f>
        <v>0.55</v>
      </c>
      <c r="F5864" s="67" t="n">
        <f aca="false">Pressupostos!$C$38</f>
        <v>0.55</v>
      </c>
      <c r="G5864" s="67" t="n">
        <f aca="false">Pressupostos!$C$38</f>
        <v>0.55</v>
      </c>
      <c r="H5864" s="2" t="s">
        <v>1194</v>
      </c>
    </row>
    <row r="5865" customFormat="false" ht="15" hidden="false" customHeight="false" outlineLevel="1" collapsed="false">
      <c r="A5865" s="7" t="s">
        <v>215</v>
      </c>
      <c r="B5865" s="8" t="s">
        <v>64</v>
      </c>
      <c r="C5865" s="67" t="n">
        <f aca="false">Pressupostos!$C$240</f>
        <v>0.3</v>
      </c>
      <c r="D5865" s="67" t="n">
        <f aca="false">Pressupostos!$D$240</f>
        <v>0.3</v>
      </c>
      <c r="E5865" s="67" t="n">
        <f aca="false">Pressupostos!$E$240</f>
        <v>0.28</v>
      </c>
      <c r="F5865" s="67" t="n">
        <f aca="false">Pressupostos!$F$240</f>
        <v>0.27</v>
      </c>
      <c r="G5865" s="67" t="n">
        <f aca="false">Pressupostos!$G$240</f>
        <v>0.27</v>
      </c>
      <c r="H5865" s="2" t="s">
        <v>1195</v>
      </c>
    </row>
    <row r="5866" customFormat="false" ht="15" hidden="false" customHeight="false" outlineLevel="1" collapsed="false">
      <c r="A5866" s="7" t="s">
        <v>117</v>
      </c>
      <c r="B5866" s="8" t="s">
        <v>64</v>
      </c>
      <c r="C5866" s="67" t="n">
        <f aca="false">Pressupostos!$C$39</f>
        <v>0.06</v>
      </c>
      <c r="D5866" s="67" t="n">
        <f aca="false">Pressupostos!$C$39</f>
        <v>0.06</v>
      </c>
      <c r="E5866" s="67" t="n">
        <f aca="false">Pressupostos!$C$39</f>
        <v>0.06</v>
      </c>
      <c r="F5866" s="67" t="n">
        <f aca="false">Pressupostos!$C$39</f>
        <v>0.06</v>
      </c>
      <c r="G5866" s="67" t="n">
        <f aca="false">Pressupostos!$C$39</f>
        <v>0.06</v>
      </c>
      <c r="H5866" s="2" t="s">
        <v>1196</v>
      </c>
    </row>
    <row r="5867" customFormat="false" ht="15" hidden="false" customHeight="false" outlineLevel="1" collapsed="false">
      <c r="A5867" s="7" t="s">
        <v>91</v>
      </c>
      <c r="B5867" s="8" t="s">
        <v>79</v>
      </c>
      <c r="C5867" s="69" t="n">
        <f aca="false">Pressupostos!$C$246</f>
        <v>180</v>
      </c>
      <c r="D5867" s="69" t="n">
        <f aca="false">Pressupostos!$D$246</f>
        <v>180</v>
      </c>
      <c r="E5867" s="69" t="n">
        <f aca="false">Pressupostos!$E$246</f>
        <v>45</v>
      </c>
      <c r="F5867" s="69" t="n">
        <f aca="false">Pressupostos!$F$246</f>
        <v>45</v>
      </c>
      <c r="G5867" s="69" t="n">
        <f aca="false">Pressupostos!$G$246</f>
        <v>45</v>
      </c>
      <c r="H5867" s="2" t="s">
        <v>1197</v>
      </c>
    </row>
    <row r="5868" customFormat="false" ht="15" hidden="false" customHeight="false" outlineLevel="1" collapsed="false">
      <c r="A5868" s="7" t="s">
        <v>78</v>
      </c>
      <c r="B5868" s="8" t="s">
        <v>79</v>
      </c>
      <c r="C5868" s="69" t="n">
        <f aca="false">Pressupostos!$F$17</f>
        <v>35</v>
      </c>
      <c r="D5868" s="69" t="n">
        <f aca="false">Pressupostos!$F$17</f>
        <v>35</v>
      </c>
      <c r="E5868" s="69" t="n">
        <f aca="false">Pressupostos!$F$17</f>
        <v>35</v>
      </c>
      <c r="F5868" s="69" t="n">
        <f aca="false">Pressupostos!$F$17</f>
        <v>35</v>
      </c>
      <c r="G5868" s="69" t="n">
        <f aca="false">Pressupostos!$F$17</f>
        <v>35</v>
      </c>
      <c r="H5868" s="2" t="s">
        <v>1198</v>
      </c>
    </row>
    <row r="5869" customFormat="false" ht="15" hidden="false" customHeight="false" outlineLevel="1" collapsed="false">
      <c r="A5869" s="7" t="s">
        <v>490</v>
      </c>
      <c r="B5869" s="8" t="s">
        <v>64</v>
      </c>
      <c r="C5869" s="63" t="n">
        <f aca="false">Pressupostos!$C$66*C5867/30/1000</f>
        <v>0.024</v>
      </c>
      <c r="D5869" s="63" t="n">
        <f aca="false">Pressupostos!$C$66*D5867/30/1000</f>
        <v>0.024</v>
      </c>
      <c r="E5869" s="63" t="n">
        <f aca="false">Pressupostos!$C$66*E5867/30/1000</f>
        <v>0.006</v>
      </c>
      <c r="F5869" s="63" t="n">
        <f aca="false">Pressupostos!$C$66*F5867/30/1000</f>
        <v>0.006</v>
      </c>
      <c r="G5869" s="63" t="n">
        <f aca="false">Pressupostos!$C$66*G5867/30/1000</f>
        <v>0.006</v>
      </c>
      <c r="H5869" s="2" t="s">
        <v>1199</v>
      </c>
    </row>
    <row r="5870" customFormat="false" ht="15" hidden="false" customHeight="false" outlineLevel="1" collapsed="false">
      <c r="A5870" s="7" t="s">
        <v>165</v>
      </c>
      <c r="B5870" s="8" t="s">
        <v>64</v>
      </c>
      <c r="C5870" s="63" t="n">
        <f aca="false">C5861*Pressupostos!$C$67*C5867/365</f>
        <v>0.00256438356164384</v>
      </c>
      <c r="D5870" s="63" t="n">
        <f aca="false">D5861*Pressupostos!$C$67*D5867/365</f>
        <v>0.00256438356164384</v>
      </c>
      <c r="E5870" s="63" t="n">
        <f aca="false">E5861*Pressupostos!$C$67*E5867/365</f>
        <v>0.000641095890410959</v>
      </c>
      <c r="F5870" s="63" t="n">
        <f aca="false">F5861*Pressupostos!$C$67*F5867/365</f>
        <v>0.000641095890410959</v>
      </c>
      <c r="G5870" s="63" t="n">
        <f aca="false">G5861*Pressupostos!$C$67*G5867/365</f>
        <v>0.000641095890410959</v>
      </c>
      <c r="H5870" s="2" t="s">
        <v>1200</v>
      </c>
    </row>
    <row r="5871" customFormat="false" ht="15" hidden="false" customHeight="false" outlineLevel="1" collapsed="false">
      <c r="A5871" s="7" t="s">
        <v>672</v>
      </c>
      <c r="B5871" s="8" t="s">
        <v>64</v>
      </c>
      <c r="C5871" s="63" t="n">
        <f aca="false">Pressupostos!$C$41*Pressupostos!$C$68/(Pressupostos!$C$40*1000)</f>
        <v>0.03</v>
      </c>
      <c r="D5871" s="63" t="n">
        <f aca="false">Pressupostos!$C$41*Pressupostos!$C$68/(Pressupostos!$C$40*1000)</f>
        <v>0.03</v>
      </c>
      <c r="E5871" s="63" t="n">
        <f aca="false">Pressupostos!$C$41*Pressupostos!$C$68/(Pressupostos!$C$40*1000)</f>
        <v>0.03</v>
      </c>
      <c r="F5871" s="63" t="n">
        <f aca="false">Pressupostos!$C$41*Pressupostos!$C$68/(Pressupostos!$C$40*1000)</f>
        <v>0.03</v>
      </c>
      <c r="G5871" s="63" t="n">
        <f aca="false">Pressupostos!$C$41*Pressupostos!$C$68/(Pressupostos!$C$40*1000)</f>
        <v>0.03</v>
      </c>
      <c r="H5871" s="2" t="s">
        <v>1201</v>
      </c>
    </row>
    <row r="5872" customFormat="false" ht="15" hidden="false" customHeight="false" outlineLevel="1" collapsed="false">
      <c r="A5872" s="7" t="s">
        <v>492</v>
      </c>
      <c r="B5872" s="8" t="s">
        <v>64</v>
      </c>
      <c r="C5872" s="63" t="n">
        <f aca="false">Pressupostos!$C$69*C5861</f>
        <v>0.013</v>
      </c>
      <c r="D5872" s="63" t="n">
        <f aca="false">Pressupostos!$C$69*D5861</f>
        <v>0.013</v>
      </c>
      <c r="E5872" s="63" t="n">
        <f aca="false">Pressupostos!$C$69*E5861</f>
        <v>0.013</v>
      </c>
      <c r="F5872" s="63" t="n">
        <f aca="false">Pressupostos!$C$69*F5861</f>
        <v>0.013</v>
      </c>
      <c r="G5872" s="63" t="n">
        <f aca="false">Pressupostos!$C$69*G5861</f>
        <v>0.013</v>
      </c>
      <c r="H5872" s="2" t="s">
        <v>1202</v>
      </c>
    </row>
    <row r="5873" customFormat="false" ht="15" hidden="false" customHeight="false" outlineLevel="1" collapsed="false">
      <c r="A5873" s="7" t="s">
        <v>493</v>
      </c>
      <c r="B5873" s="8" t="s">
        <v>64</v>
      </c>
      <c r="C5873" s="63" t="n">
        <f aca="false">Pressupostos!$C$70*Pressupostos!$C$71*C5867/90</f>
        <v>0.018</v>
      </c>
      <c r="D5873" s="63" t="n">
        <f aca="false">Pressupostos!$C$70*Pressupostos!$C$71*D5867/90</f>
        <v>0.018</v>
      </c>
      <c r="E5873" s="63" t="n">
        <f aca="false">Pressupostos!$C$70*Pressupostos!$C$71*E5867/90</f>
        <v>0.0045</v>
      </c>
      <c r="F5873" s="63" t="n">
        <f aca="false">Pressupostos!$C$70*Pressupostos!$C$71*F5867/90</f>
        <v>0.0045</v>
      </c>
      <c r="G5873" s="63" t="n">
        <f aca="false">Pressupostos!$C$70*Pressupostos!$C$71*G5867/90</f>
        <v>0.0045</v>
      </c>
      <c r="H5873" s="2" t="s">
        <v>1203</v>
      </c>
    </row>
    <row r="5874" customFormat="false" ht="15" hidden="false" customHeight="false" outlineLevel="1" collapsed="false">
      <c r="A5874" s="7" t="s">
        <v>673</v>
      </c>
      <c r="B5874" s="8" t="s">
        <v>64</v>
      </c>
      <c r="C5874" s="63" t="n">
        <f aca="false">Pressupostos!$C$42/(Pressupostos!$C$40*1000)</f>
        <v>0.1</v>
      </c>
      <c r="D5874" s="63" t="n">
        <f aca="false">Pressupostos!$C$42/(Pressupostos!$C$40*1000)</f>
        <v>0.1</v>
      </c>
      <c r="E5874" s="63" t="n">
        <f aca="false">Pressupostos!$C$42/(Pressupostos!$C$40*1000)</f>
        <v>0.1</v>
      </c>
      <c r="F5874" s="63" t="n">
        <f aca="false">Pressupostos!$C$42/(Pressupostos!$C$40*1000)</f>
        <v>0.1</v>
      </c>
      <c r="G5874" s="63" t="n">
        <f aca="false">Pressupostos!$C$42/(Pressupostos!$C$40*1000)</f>
        <v>0.1</v>
      </c>
      <c r="H5874" s="2" t="s">
        <v>1204</v>
      </c>
    </row>
    <row r="5875" customFormat="false" ht="15" hidden="false" customHeight="false" outlineLevel="1" collapsed="false">
      <c r="A5875" s="7" t="s">
        <v>139</v>
      </c>
      <c r="B5875" s="8" t="s">
        <v>64</v>
      </c>
      <c r="C5875" s="67" t="n">
        <f aca="false">Pressupostos!$C$43</f>
        <v>0.01</v>
      </c>
      <c r="D5875" s="67" t="n">
        <f aca="false">Pressupostos!$C$43</f>
        <v>0.01</v>
      </c>
      <c r="E5875" s="67" t="n">
        <f aca="false">Pressupostos!$C$43</f>
        <v>0.01</v>
      </c>
      <c r="F5875" s="67" t="n">
        <f aca="false">Pressupostos!$C$43</f>
        <v>0.01</v>
      </c>
      <c r="G5875" s="67" t="n">
        <f aca="false">Pressupostos!$C$43</f>
        <v>0.01</v>
      </c>
      <c r="H5875" s="2" t="s">
        <v>1205</v>
      </c>
    </row>
    <row r="5876" customFormat="false" ht="15" hidden="false" customHeight="false" outlineLevel="1" collapsed="false">
      <c r="A5876" s="7" t="s">
        <v>81</v>
      </c>
      <c r="B5876" s="8" t="s">
        <v>64</v>
      </c>
      <c r="C5876" s="63" t="n">
        <f aca="false">Pressupostos!$F$18*C5863</f>
        <v>0.02268</v>
      </c>
      <c r="D5876" s="63" t="n">
        <f aca="false">Pressupostos!$F$18*D5863</f>
        <v>0.02268</v>
      </c>
      <c r="E5876" s="63" t="n">
        <f aca="false">Pressupostos!$F$18*E5863</f>
        <v>0.02268</v>
      </c>
      <c r="F5876" s="63" t="n">
        <f aca="false">Pressupostos!$F$18*F5863</f>
        <v>0.02268</v>
      </c>
      <c r="G5876" s="63" t="n">
        <f aca="false">Pressupostos!$F$18*G5863</f>
        <v>0.02268</v>
      </c>
      <c r="H5876" s="2" t="s">
        <v>1206</v>
      </c>
    </row>
    <row r="5877" customFormat="false" ht="15" hidden="false" customHeight="false" outlineLevel="1" collapsed="false">
      <c r="A5877" s="7" t="s">
        <v>674</v>
      </c>
      <c r="B5877" s="8" t="s">
        <v>64</v>
      </c>
      <c r="C5877" s="63" t="n">
        <f aca="false">Pressupostos!$C$73*C5863</f>
        <v>0</v>
      </c>
      <c r="D5877" s="63" t="n">
        <f aca="false">Pressupostos!$C$73*D5863</f>
        <v>0</v>
      </c>
      <c r="E5877" s="63" t="n">
        <f aca="false">Pressupostos!$C$73*E5863</f>
        <v>0</v>
      </c>
      <c r="F5877" s="63" t="n">
        <f aca="false">Pressupostos!$C$73*F5863</f>
        <v>0</v>
      </c>
      <c r="G5877" s="63" t="n">
        <f aca="false">Pressupostos!$C$73*G5863</f>
        <v>0</v>
      </c>
      <c r="H5877" s="2" t="s">
        <v>1207</v>
      </c>
    </row>
    <row r="5878" customFormat="false" ht="15" hidden="false" customHeight="false" outlineLevel="1" collapsed="false">
      <c r="A5878" s="7" t="s">
        <v>675</v>
      </c>
      <c r="B5878" s="8" t="s">
        <v>64</v>
      </c>
      <c r="C5878" s="63" t="n">
        <f aca="false">Pressupostos!$C$290*(C5861+C5864)*(C5867+C5868-Pressupostos!$C$72)/365*Pressupostos!$C$284/Pressupostos!$F$31</f>
        <v>0</v>
      </c>
      <c r="D5878" s="63" t="n">
        <f aca="false">Pressupostos!$D$290*(D5861+D5864)*(D5867+D5868-Pressupostos!$C$72)/365*Pressupostos!$D$284/Pressupostos!$F$31</f>
        <v>0.119743150684931</v>
      </c>
      <c r="E5878" s="63" t="n">
        <f aca="false">Pressupostos!$E$290*(E5861+E5864)*(E5867+E5868-Pressupostos!$C$72)/365*Pressupostos!$E$284/Pressupostos!$F$31</f>
        <v>0.0303403253424657</v>
      </c>
      <c r="F5878" s="63" t="n">
        <f aca="false">Pressupostos!$F$290*(F5861+F5864)*(F5867+F5868-Pressupostos!$C$72)/365*Pressupostos!$F$284/Pressupostos!$F$31</f>
        <v>0.0283176369863014</v>
      </c>
      <c r="G5878" s="63" t="n">
        <f aca="false">Pressupostos!$G$290*(G5861+G5864)*(G5867+G5868-Pressupostos!$C$72)/365*Pressupostos!$G$284/Pressupostos!$F$31</f>
        <v>0.0283176369863014</v>
      </c>
      <c r="H5878" s="2" t="s">
        <v>1208</v>
      </c>
    </row>
    <row r="5879" customFormat="false" ht="15" hidden="false" customHeight="false" outlineLevel="1" collapsed="false">
      <c r="A5879" s="7" t="s">
        <v>676</v>
      </c>
      <c r="B5879" s="8" t="s">
        <v>64</v>
      </c>
      <c r="C5879" s="63" t="n">
        <f aca="false">C5861+C5864+C5865+C5866+C5869+C5870+C5871+C5872+C5873+C5874+C5875+C5876+C5877+C5878</f>
        <v>3.73024438356164</v>
      </c>
      <c r="D5879" s="63" t="n">
        <f aca="false">D5861+D5864+D5865+D5866+D5869+D5870+D5871+D5872+D5873+D5874+D5875+D5876+D5877+D5878</f>
        <v>3.84998753424657</v>
      </c>
      <c r="E5879" s="63" t="n">
        <f aca="false">E5861+E5864+E5865+E5866+E5869+E5870+E5871+E5872+E5873+E5874+E5875+E5876+E5877+E5878</f>
        <v>3.70716142123288</v>
      </c>
      <c r="F5879" s="63" t="n">
        <f aca="false">F5861+F5864+F5865+F5866+F5869+F5870+F5871+F5872+F5873+F5874+F5875+F5876+F5877+F5878</f>
        <v>3.69513873287671</v>
      </c>
      <c r="G5879" s="63" t="n">
        <f aca="false">G5861+G5864+G5865+G5866+G5869+G5870+G5871+G5872+G5873+G5874+G5875+G5876+G5877+G5878</f>
        <v>3.69513873287671</v>
      </c>
      <c r="H5879" s="2" t="s">
        <v>1209</v>
      </c>
    </row>
    <row r="5880" customFormat="false" ht="15" hidden="false" customHeight="false" outlineLevel="1" collapsed="false">
      <c r="A5880" s="56" t="s">
        <v>677</v>
      </c>
      <c r="B5880" s="57" t="s">
        <v>64</v>
      </c>
      <c r="C5880" s="68" t="n">
        <f aca="false">C5863-C5879</f>
        <v>0.049755616438357</v>
      </c>
      <c r="D5880" s="68" t="n">
        <f aca="false">D5863-D5879</f>
        <v>-0.0699875342465743</v>
      </c>
      <c r="E5880" s="68" t="n">
        <f aca="false">E5863-E5879</f>
        <v>0.0728385787671235</v>
      </c>
      <c r="F5880" s="68" t="n">
        <f aca="false">F5863-F5879</f>
        <v>0.084861267123288</v>
      </c>
      <c r="G5880" s="68" t="n">
        <f aca="false">G5863-G5879</f>
        <v>0.084861267123288</v>
      </c>
      <c r="H5880" s="2" t="s">
        <v>1210</v>
      </c>
    </row>
    <row r="5881" customFormat="false" ht="15" hidden="false" customHeight="false" outlineLevel="1" collapsed="false">
      <c r="A5881" s="7" t="s">
        <v>678</v>
      </c>
      <c r="B5881" s="8" t="s">
        <v>76</v>
      </c>
      <c r="C5881" s="59" t="n">
        <f aca="false">IF(C5863&gt;0,C5880/C5863,0)</f>
        <v>0.0131628614916288</v>
      </c>
      <c r="D5881" s="59" t="n">
        <f aca="false">IF(D5863&gt;0,D5880/D5863,0)</f>
        <v>-0.0185152207001519</v>
      </c>
      <c r="E5881" s="59" t="n">
        <f aca="false">IF(E5863&gt;0,E5880/E5863,0)</f>
        <v>0.0192694652823078</v>
      </c>
      <c r="F5881" s="59" t="n">
        <f aca="false">IF(F5863&gt;0,F5880/F5863,0)</f>
        <v>0.0224500706675365</v>
      </c>
      <c r="G5881" s="59" t="n">
        <f aca="false">IF(G5863&gt;0,G5880/G5863,0)</f>
        <v>0.0224500706675365</v>
      </c>
      <c r="H5881" s="2" t="s">
        <v>1211</v>
      </c>
    </row>
    <row r="5882" customFormat="false" ht="15" hidden="false" customHeight="false" outlineLevel="1" collapsed="false">
      <c r="A5882" s="7" t="s">
        <v>679</v>
      </c>
      <c r="B5882" s="8" t="s">
        <v>64</v>
      </c>
      <c r="C5882" s="63" t="n">
        <f aca="false">(C5861+C5864)*(C5867-Pressupostos!$C$72)/365+C5863*C5868/365</f>
        <v>1.65698630136986</v>
      </c>
      <c r="D5882" s="63" t="n">
        <f aca="false">(D5861+D5864)*(D5867-Pressupostos!$C$72)/365+D5863*D5868/365</f>
        <v>1.65698630136986</v>
      </c>
      <c r="E5882" s="63" t="n">
        <f aca="false">(E5861+E5864)*(E5867-Pressupostos!$C$72)/365+E5863*E5868/365</f>
        <v>0.491917808219178</v>
      </c>
      <c r="F5882" s="63" t="n">
        <f aca="false">(F5861+F5864)*(F5867-Pressupostos!$C$72)/365+F5863*F5868/365</f>
        <v>0.491917808219178</v>
      </c>
      <c r="G5882" s="63" t="n">
        <f aca="false">(G5861+G5864)*(G5867-Pressupostos!$C$72)/365+G5863*G5868/365</f>
        <v>0.491917808219178</v>
      </c>
      <c r="H5882" s="2" t="s">
        <v>1212</v>
      </c>
    </row>
    <row r="5883" customFormat="false" ht="15" hidden="false" customHeight="false" outlineLevel="0" collapsed="false">
      <c r="A5883" s="3" t="s">
        <v>1213</v>
      </c>
      <c r="B5883" s="4"/>
      <c r="C5883" s="4"/>
      <c r="D5883" s="4"/>
      <c r="E5883" s="4"/>
      <c r="F5883" s="4"/>
      <c r="G5883" s="4"/>
      <c r="H5883" s="4"/>
    </row>
    <row r="5884" customFormat="false" ht="15" hidden="false" customHeight="false" outlineLevel="1" collapsed="false">
      <c r="A5884" s="7" t="s">
        <v>669</v>
      </c>
      <c r="B5884" s="8" t="s">
        <v>64</v>
      </c>
      <c r="C5884" s="63" t="n">
        <f aca="false">(Pressupostos!$F$10*(1+Pressupostos!$C$197))+Pressupostos!$F$12</f>
        <v>2.55</v>
      </c>
      <c r="D5884" s="63" t="n">
        <f aca="false">(Pressupostos!$F$10*(1+Pressupostos!$C$197))+Pressupostos!$F$12</f>
        <v>2.55</v>
      </c>
      <c r="E5884" s="63" t="n">
        <f aca="false">(Pressupostos!$F$10*(1+Pressupostos!$C$197))+Pressupostos!$F$12</f>
        <v>2.55</v>
      </c>
      <c r="F5884" s="63" t="n">
        <f aca="false">(Pressupostos!$F$10*(1+Pressupostos!$C$197))+Pressupostos!$F$12</f>
        <v>2.55</v>
      </c>
      <c r="G5884" s="63" t="n">
        <f aca="false">(Pressupostos!$F$10*(1+Pressupostos!$C$197))+Pressupostos!$F$12</f>
        <v>2.55</v>
      </c>
      <c r="H5884" s="2" t="s">
        <v>1214</v>
      </c>
    </row>
    <row r="5885" customFormat="false" ht="15" hidden="false" customHeight="false" outlineLevel="1" collapsed="false">
      <c r="A5885" s="7" t="s">
        <v>670</v>
      </c>
      <c r="B5885" s="8" t="s">
        <v>64</v>
      </c>
      <c r="C5885" s="63" t="n">
        <f aca="false">(Pressupostos!$F$20*(1+Pressupostos!$C$197))+Pressupostos!$F$21</f>
        <v>3.145</v>
      </c>
      <c r="D5885" s="63" t="n">
        <f aca="false">(Pressupostos!$F$20*(1+Pressupostos!$C$197))+Pressupostos!$F$21</f>
        <v>3.145</v>
      </c>
      <c r="E5885" s="63" t="n">
        <f aca="false">(Pressupostos!$F$20*(1+Pressupostos!$C$197))+Pressupostos!$F$21</f>
        <v>3.145</v>
      </c>
      <c r="F5885" s="63" t="n">
        <f aca="false">(Pressupostos!$F$20*(1+Pressupostos!$C$197))+Pressupostos!$F$21</f>
        <v>3.145</v>
      </c>
      <c r="G5885" s="63" t="n">
        <f aca="false">(Pressupostos!$F$20*(1+Pressupostos!$C$197))+Pressupostos!$F$21</f>
        <v>3.145</v>
      </c>
      <c r="H5885" s="2" t="s">
        <v>1215</v>
      </c>
    </row>
    <row r="5886" customFormat="false" ht="15" hidden="false" customHeight="false" outlineLevel="1" collapsed="false">
      <c r="A5886" s="56" t="s">
        <v>671</v>
      </c>
      <c r="B5886" s="57" t="s">
        <v>64</v>
      </c>
      <c r="C5886" s="68" t="n">
        <f aca="false">C5885*(1-Pressupostos!$F$22)</f>
        <v>3.145</v>
      </c>
      <c r="D5886" s="68" t="n">
        <f aca="false">D5885*(1-Pressupostos!$F$22)</f>
        <v>3.145</v>
      </c>
      <c r="E5886" s="68" t="n">
        <f aca="false">E5885*(1-Pressupostos!$F$22)</f>
        <v>3.145</v>
      </c>
      <c r="F5886" s="68" t="n">
        <f aca="false">F5885*(1-Pressupostos!$F$22)</f>
        <v>3.145</v>
      </c>
      <c r="G5886" s="68" t="n">
        <f aca="false">G5885*(1-Pressupostos!$F$22)</f>
        <v>3.145</v>
      </c>
      <c r="H5886" s="2" t="s">
        <v>1216</v>
      </c>
    </row>
    <row r="5887" customFormat="false" ht="15" hidden="false" customHeight="false" outlineLevel="1" collapsed="false">
      <c r="A5887" s="7" t="s">
        <v>144</v>
      </c>
      <c r="B5887" s="8" t="s">
        <v>64</v>
      </c>
      <c r="C5887" s="67" t="n">
        <f aca="false">Pressupostos!$C$45</f>
        <v>0.45</v>
      </c>
      <c r="D5887" s="67" t="n">
        <f aca="false">Pressupostos!$C$45</f>
        <v>0.45</v>
      </c>
      <c r="E5887" s="67" t="n">
        <f aca="false">Pressupostos!$C$45</f>
        <v>0.45</v>
      </c>
      <c r="F5887" s="67" t="n">
        <f aca="false">Pressupostos!$C$45</f>
        <v>0.45</v>
      </c>
      <c r="G5887" s="67" t="n">
        <f aca="false">Pressupostos!$C$45</f>
        <v>0.45</v>
      </c>
      <c r="H5887" s="2" t="s">
        <v>1217</v>
      </c>
    </row>
    <row r="5888" customFormat="false" ht="15" hidden="false" customHeight="false" outlineLevel="1" collapsed="false">
      <c r="A5888" s="7" t="s">
        <v>215</v>
      </c>
      <c r="B5888" s="8" t="s">
        <v>64</v>
      </c>
      <c r="C5888" s="67" t="n">
        <f aca="false">Pressupostos!$C$252</f>
        <v>0.1</v>
      </c>
      <c r="D5888" s="67" t="n">
        <f aca="false">Pressupostos!$D$252</f>
        <v>0.1</v>
      </c>
      <c r="E5888" s="67" t="n">
        <f aca="false">Pressupostos!$E$252</f>
        <v>0.09</v>
      </c>
      <c r="F5888" s="67" t="n">
        <f aca="false">Pressupostos!$F$252</f>
        <v>0.09</v>
      </c>
      <c r="G5888" s="67" t="n">
        <f aca="false">Pressupostos!$G$252</f>
        <v>0.09</v>
      </c>
      <c r="H5888" s="2" t="s">
        <v>1218</v>
      </c>
    </row>
    <row r="5889" customFormat="false" ht="15" hidden="false" customHeight="false" outlineLevel="1" collapsed="false">
      <c r="A5889" s="7" t="s">
        <v>117</v>
      </c>
      <c r="B5889" s="8" t="s">
        <v>64</v>
      </c>
      <c r="C5889" s="67" t="n">
        <f aca="false">Pressupostos!$C$46</f>
        <v>0</v>
      </c>
      <c r="D5889" s="67" t="n">
        <f aca="false">Pressupostos!$C$46</f>
        <v>0</v>
      </c>
      <c r="E5889" s="67" t="n">
        <f aca="false">Pressupostos!$C$46</f>
        <v>0</v>
      </c>
      <c r="F5889" s="67" t="n">
        <f aca="false">Pressupostos!$C$46</f>
        <v>0</v>
      </c>
      <c r="G5889" s="67" t="n">
        <f aca="false">Pressupostos!$C$46</f>
        <v>0</v>
      </c>
      <c r="H5889" s="2" t="s">
        <v>1219</v>
      </c>
    </row>
    <row r="5890" customFormat="false" ht="15" hidden="false" customHeight="false" outlineLevel="1" collapsed="false">
      <c r="A5890" s="7" t="s">
        <v>91</v>
      </c>
      <c r="B5890" s="8" t="s">
        <v>79</v>
      </c>
      <c r="C5890" s="69" t="n">
        <f aca="false">Pressupostos!$F$23</f>
        <v>30</v>
      </c>
      <c r="D5890" s="69" t="n">
        <f aca="false">Pressupostos!$F$23</f>
        <v>30</v>
      </c>
      <c r="E5890" s="69" t="n">
        <f aca="false">Pressupostos!$F$23</f>
        <v>30</v>
      </c>
      <c r="F5890" s="69" t="n">
        <f aca="false">Pressupostos!$F$23</f>
        <v>30</v>
      </c>
      <c r="G5890" s="69" t="n">
        <f aca="false">Pressupostos!$F$23</f>
        <v>30</v>
      </c>
      <c r="H5890" s="2" t="s">
        <v>1220</v>
      </c>
    </row>
    <row r="5891" customFormat="false" ht="15" hidden="false" customHeight="false" outlineLevel="1" collapsed="false">
      <c r="A5891" s="7" t="s">
        <v>78</v>
      </c>
      <c r="B5891" s="8" t="s">
        <v>79</v>
      </c>
      <c r="C5891" s="69" t="n">
        <f aca="false">Pressupostos!$F$24</f>
        <v>55</v>
      </c>
      <c r="D5891" s="69" t="n">
        <f aca="false">Pressupostos!$F$24</f>
        <v>55</v>
      </c>
      <c r="E5891" s="69" t="n">
        <f aca="false">Pressupostos!$F$24</f>
        <v>55</v>
      </c>
      <c r="F5891" s="69" t="n">
        <f aca="false">Pressupostos!$F$24</f>
        <v>55</v>
      </c>
      <c r="G5891" s="69" t="n">
        <f aca="false">Pressupostos!$F$24</f>
        <v>55</v>
      </c>
      <c r="H5891" s="2" t="s">
        <v>1221</v>
      </c>
    </row>
    <row r="5892" customFormat="false" ht="15" hidden="false" customHeight="false" outlineLevel="1" collapsed="false">
      <c r="A5892" s="7" t="s">
        <v>490</v>
      </c>
      <c r="B5892" s="8" t="s">
        <v>64</v>
      </c>
      <c r="C5892" s="63" t="n">
        <f aca="false">Pressupostos!$C$66*C5890/30/1000</f>
        <v>0.004</v>
      </c>
      <c r="D5892" s="63" t="n">
        <f aca="false">Pressupostos!$C$66*D5890/30/1000</f>
        <v>0.004</v>
      </c>
      <c r="E5892" s="63" t="n">
        <f aca="false">Pressupostos!$C$66*E5890/30/1000</f>
        <v>0.004</v>
      </c>
      <c r="F5892" s="63" t="n">
        <f aca="false">Pressupostos!$C$66*F5890/30/1000</f>
        <v>0.004</v>
      </c>
      <c r="G5892" s="63" t="n">
        <f aca="false">Pressupostos!$C$66*G5890/30/1000</f>
        <v>0.004</v>
      </c>
      <c r="H5892" s="2" t="s">
        <v>1222</v>
      </c>
    </row>
    <row r="5893" customFormat="false" ht="15" hidden="false" customHeight="false" outlineLevel="1" collapsed="false">
      <c r="A5893" s="7" t="s">
        <v>165</v>
      </c>
      <c r="B5893" s="8" t="s">
        <v>64</v>
      </c>
      <c r="C5893" s="63" t="n">
        <f aca="false">C5884*Pressupostos!$C$67*C5890/365</f>
        <v>0.000419178082191781</v>
      </c>
      <c r="D5893" s="63" t="n">
        <f aca="false">D5884*Pressupostos!$C$67*D5890/365</f>
        <v>0.000419178082191781</v>
      </c>
      <c r="E5893" s="63" t="n">
        <f aca="false">E5884*Pressupostos!$C$67*E5890/365</f>
        <v>0.000419178082191781</v>
      </c>
      <c r="F5893" s="63" t="n">
        <f aca="false">F5884*Pressupostos!$C$67*F5890/365</f>
        <v>0.000419178082191781</v>
      </c>
      <c r="G5893" s="63" t="n">
        <f aca="false">G5884*Pressupostos!$C$67*G5890/365</f>
        <v>0.000419178082191781</v>
      </c>
      <c r="H5893" s="2" t="s">
        <v>1223</v>
      </c>
    </row>
    <row r="5894" customFormat="false" ht="15" hidden="false" customHeight="false" outlineLevel="1" collapsed="false">
      <c r="A5894" s="7" t="s">
        <v>672</v>
      </c>
      <c r="B5894" s="8" t="s">
        <v>64</v>
      </c>
      <c r="C5894" s="63" t="n">
        <f aca="false">Pressupostos!$C$48*Pressupostos!$C$68/(Pressupostos!$C$47*1000)</f>
        <v>0.02</v>
      </c>
      <c r="D5894" s="63" t="n">
        <f aca="false">Pressupostos!$C$48*Pressupostos!$C$68/(Pressupostos!$C$47*1000)</f>
        <v>0.02</v>
      </c>
      <c r="E5894" s="63" t="n">
        <f aca="false">Pressupostos!$C$48*Pressupostos!$C$68/(Pressupostos!$C$47*1000)</f>
        <v>0.02</v>
      </c>
      <c r="F5894" s="63" t="n">
        <f aca="false">Pressupostos!$C$48*Pressupostos!$C$68/(Pressupostos!$C$47*1000)</f>
        <v>0.02</v>
      </c>
      <c r="G5894" s="63" t="n">
        <f aca="false">Pressupostos!$C$48*Pressupostos!$C$68/(Pressupostos!$C$47*1000)</f>
        <v>0.02</v>
      </c>
      <c r="H5894" s="2" t="s">
        <v>1224</v>
      </c>
    </row>
    <row r="5895" customFormat="false" ht="15" hidden="false" customHeight="false" outlineLevel="1" collapsed="false">
      <c r="A5895" s="7" t="s">
        <v>492</v>
      </c>
      <c r="B5895" s="8" t="s">
        <v>64</v>
      </c>
      <c r="C5895" s="63" t="n">
        <f aca="false">Pressupostos!$C$69*C5884</f>
        <v>0.01275</v>
      </c>
      <c r="D5895" s="63" t="n">
        <f aca="false">Pressupostos!$C$69*D5884</f>
        <v>0.01275</v>
      </c>
      <c r="E5895" s="63" t="n">
        <f aca="false">Pressupostos!$C$69*E5884</f>
        <v>0.01275</v>
      </c>
      <c r="F5895" s="63" t="n">
        <f aca="false">Pressupostos!$C$69*F5884</f>
        <v>0.01275</v>
      </c>
      <c r="G5895" s="63" t="n">
        <f aca="false">Pressupostos!$C$69*G5884</f>
        <v>0.01275</v>
      </c>
      <c r="H5895" s="2" t="s">
        <v>1225</v>
      </c>
    </row>
    <row r="5896" customFormat="false" ht="15" hidden="false" customHeight="false" outlineLevel="1" collapsed="false">
      <c r="A5896" s="7" t="s">
        <v>493</v>
      </c>
      <c r="B5896" s="8" t="s">
        <v>64</v>
      </c>
      <c r="C5896" s="63" t="n">
        <f aca="false">Pressupostos!$C$70*Pressupostos!$C$71*C5890/90</f>
        <v>0.003</v>
      </c>
      <c r="D5896" s="63" t="n">
        <f aca="false">Pressupostos!$C$70*Pressupostos!$C$71*D5890/90</f>
        <v>0.003</v>
      </c>
      <c r="E5896" s="63" t="n">
        <f aca="false">Pressupostos!$C$70*Pressupostos!$C$71*E5890/90</f>
        <v>0.003</v>
      </c>
      <c r="F5896" s="63" t="n">
        <f aca="false">Pressupostos!$C$70*Pressupostos!$C$71*F5890/90</f>
        <v>0.003</v>
      </c>
      <c r="G5896" s="63" t="n">
        <f aca="false">Pressupostos!$C$70*Pressupostos!$C$71*G5890/90</f>
        <v>0.003</v>
      </c>
      <c r="H5896" s="2" t="s">
        <v>1226</v>
      </c>
    </row>
    <row r="5897" customFormat="false" ht="15" hidden="false" customHeight="false" outlineLevel="1" collapsed="false">
      <c r="A5897" s="7" t="s">
        <v>673</v>
      </c>
      <c r="B5897" s="8" t="s">
        <v>64</v>
      </c>
      <c r="C5897" s="63" t="n">
        <f aca="false">Pressupostos!$C$49/(Pressupostos!$C$47*1000)</f>
        <v>0.04</v>
      </c>
      <c r="D5897" s="63" t="n">
        <f aca="false">Pressupostos!$C$49/(Pressupostos!$C$47*1000)</f>
        <v>0.04</v>
      </c>
      <c r="E5897" s="63" t="n">
        <f aca="false">Pressupostos!$C$49/(Pressupostos!$C$47*1000)</f>
        <v>0.04</v>
      </c>
      <c r="F5897" s="63" t="n">
        <f aca="false">Pressupostos!$C$49/(Pressupostos!$C$47*1000)</f>
        <v>0.04</v>
      </c>
      <c r="G5897" s="63" t="n">
        <f aca="false">Pressupostos!$C$49/(Pressupostos!$C$47*1000)</f>
        <v>0.04</v>
      </c>
      <c r="H5897" s="2" t="s">
        <v>1227</v>
      </c>
    </row>
    <row r="5898" customFormat="false" ht="15" hidden="false" customHeight="false" outlineLevel="1" collapsed="false">
      <c r="A5898" s="7" t="s">
        <v>139</v>
      </c>
      <c r="B5898" s="8" t="s">
        <v>64</v>
      </c>
      <c r="C5898" s="67" t="n">
        <f aca="false">Pressupostos!$C$50</f>
        <v>0.005</v>
      </c>
      <c r="D5898" s="67" t="n">
        <f aca="false">Pressupostos!$C$50</f>
        <v>0.005</v>
      </c>
      <c r="E5898" s="67" t="n">
        <f aca="false">Pressupostos!$C$50</f>
        <v>0.005</v>
      </c>
      <c r="F5898" s="67" t="n">
        <f aca="false">Pressupostos!$C$50</f>
        <v>0.005</v>
      </c>
      <c r="G5898" s="67" t="n">
        <f aca="false">Pressupostos!$C$50</f>
        <v>0.005</v>
      </c>
      <c r="H5898" s="2" t="s">
        <v>1228</v>
      </c>
    </row>
    <row r="5899" customFormat="false" ht="15" hidden="false" customHeight="false" outlineLevel="1" collapsed="false">
      <c r="A5899" s="7" t="s">
        <v>81</v>
      </c>
      <c r="B5899" s="8" t="s">
        <v>64</v>
      </c>
      <c r="C5899" s="63" t="n">
        <f aca="false">Pressupostos!$F$25*C5886</f>
        <v>0.009435</v>
      </c>
      <c r="D5899" s="63" t="n">
        <f aca="false">Pressupostos!$F$25*D5886</f>
        <v>0.009435</v>
      </c>
      <c r="E5899" s="63" t="n">
        <f aca="false">Pressupostos!$F$25*E5886</f>
        <v>0.009435</v>
      </c>
      <c r="F5899" s="63" t="n">
        <f aca="false">Pressupostos!$F$25*F5886</f>
        <v>0.009435</v>
      </c>
      <c r="G5899" s="63" t="n">
        <f aca="false">Pressupostos!$F$25*G5886</f>
        <v>0.009435</v>
      </c>
      <c r="H5899" s="2" t="s">
        <v>1229</v>
      </c>
    </row>
    <row r="5900" customFormat="false" ht="15" hidden="false" customHeight="false" outlineLevel="1" collapsed="false">
      <c r="A5900" s="7" t="s">
        <v>674</v>
      </c>
      <c r="B5900" s="8" t="s">
        <v>64</v>
      </c>
      <c r="C5900" s="63" t="n">
        <f aca="false">Pressupostos!$C$73*C5886</f>
        <v>0</v>
      </c>
      <c r="D5900" s="63" t="n">
        <f aca="false">Pressupostos!$C$73*D5886</f>
        <v>0</v>
      </c>
      <c r="E5900" s="63" t="n">
        <f aca="false">Pressupostos!$C$73*E5886</f>
        <v>0</v>
      </c>
      <c r="F5900" s="63" t="n">
        <f aca="false">Pressupostos!$C$73*F5886</f>
        <v>0</v>
      </c>
      <c r="G5900" s="63" t="n">
        <f aca="false">Pressupostos!$C$73*G5886</f>
        <v>0</v>
      </c>
      <c r="H5900" s="2" t="s">
        <v>1230</v>
      </c>
    </row>
    <row r="5901" customFormat="false" ht="15" hidden="false" customHeight="false" outlineLevel="1" collapsed="false">
      <c r="A5901" s="7" t="s">
        <v>675</v>
      </c>
      <c r="B5901" s="8" t="s">
        <v>64</v>
      </c>
      <c r="C5901" s="63" t="n">
        <f aca="false">Pressupostos!$C$290*(C5884+C5887)*(C5890+C5891-Pressupostos!$C$72)/365*Pressupostos!$C$284/Pressupostos!$F$31</f>
        <v>0</v>
      </c>
      <c r="D5901" s="63" t="n">
        <f aca="false">Pressupostos!$D$290*(D5884+D5887)*(D5890+D5891-Pressupostos!$C$72)/365*Pressupostos!$D$284/Pressupostos!$F$31</f>
        <v>0.0339041095890411</v>
      </c>
      <c r="E5901" s="63" t="n">
        <f aca="false">Pressupostos!$E$290*(E5884+E5887)*(E5890+E5891-Pressupostos!$C$72)/365*Pressupostos!$E$284/Pressupostos!$F$31</f>
        <v>0.031785102739726</v>
      </c>
      <c r="F5901" s="63" t="n">
        <f aca="false">Pressupostos!$F$290*(F5884+F5887)*(F5890+F5891-Pressupostos!$C$72)/365*Pressupostos!$F$284/Pressupostos!$F$31</f>
        <v>0.029666095890411</v>
      </c>
      <c r="G5901" s="63" t="n">
        <f aca="false">Pressupostos!$G$290*(G5884+G5887)*(G5890+G5891-Pressupostos!$C$72)/365*Pressupostos!$G$284/Pressupostos!$F$31</f>
        <v>0.029666095890411</v>
      </c>
      <c r="H5901" s="2" t="s">
        <v>1231</v>
      </c>
    </row>
    <row r="5902" customFormat="false" ht="15" hidden="false" customHeight="false" outlineLevel="1" collapsed="false">
      <c r="A5902" s="7" t="s">
        <v>676</v>
      </c>
      <c r="B5902" s="8" t="s">
        <v>64</v>
      </c>
      <c r="C5902" s="63" t="n">
        <f aca="false">C5884+C5887+C5888+C5889+C5892+C5893+C5894+C5895+C5896+C5897+C5898+C5899+C5900+C5901</f>
        <v>3.19460417808219</v>
      </c>
      <c r="D5902" s="63" t="n">
        <f aca="false">D5884+D5887+D5888+D5889+D5892+D5893+D5894+D5895+D5896+D5897+D5898+D5899+D5900+D5901</f>
        <v>3.22850828767123</v>
      </c>
      <c r="E5902" s="63" t="n">
        <f aca="false">E5884+E5887+E5888+E5889+E5892+E5893+E5894+E5895+E5896+E5897+E5898+E5899+E5900+E5901</f>
        <v>3.21638928082192</v>
      </c>
      <c r="F5902" s="63" t="n">
        <f aca="false">F5884+F5887+F5888+F5889+F5892+F5893+F5894+F5895+F5896+F5897+F5898+F5899+F5900+F5901</f>
        <v>3.2142702739726</v>
      </c>
      <c r="G5902" s="63" t="n">
        <f aca="false">G5884+G5887+G5888+G5889+G5892+G5893+G5894+G5895+G5896+G5897+G5898+G5899+G5900+G5901</f>
        <v>3.2142702739726</v>
      </c>
      <c r="H5902" s="2" t="s">
        <v>1232</v>
      </c>
    </row>
    <row r="5903" customFormat="false" ht="15" hidden="false" customHeight="false" outlineLevel="1" collapsed="false">
      <c r="A5903" s="56" t="s">
        <v>677</v>
      </c>
      <c r="B5903" s="57" t="s">
        <v>64</v>
      </c>
      <c r="C5903" s="68" t="n">
        <f aca="false">C5886-C5902</f>
        <v>-0.0496041780821921</v>
      </c>
      <c r="D5903" s="68" t="n">
        <f aca="false">D5886-D5902</f>
        <v>-0.0835082876712332</v>
      </c>
      <c r="E5903" s="68" t="n">
        <f aca="false">E5886-E5902</f>
        <v>-0.0713892808219181</v>
      </c>
      <c r="F5903" s="68" t="n">
        <f aca="false">F5886-F5902</f>
        <v>-0.0692702739726028</v>
      </c>
      <c r="G5903" s="68" t="n">
        <f aca="false">G5886-G5902</f>
        <v>-0.0692702739726028</v>
      </c>
      <c r="H5903" s="2" t="s">
        <v>1233</v>
      </c>
    </row>
    <row r="5904" customFormat="false" ht="15" hidden="false" customHeight="false" outlineLevel="1" collapsed="false">
      <c r="A5904" s="7" t="s">
        <v>678</v>
      </c>
      <c r="B5904" s="8" t="s">
        <v>76</v>
      </c>
      <c r="C5904" s="59" t="n">
        <f aca="false">IF(C5886&gt;0,C5903/C5886,0)</f>
        <v>-0.0157723936668337</v>
      </c>
      <c r="D5904" s="59" t="n">
        <f aca="false">IF(D5886&gt;0,D5903/D5886,0)</f>
        <v>-0.0265527146808373</v>
      </c>
      <c r="E5904" s="59" t="n">
        <f aca="false">IF(E5886&gt;0,E5903/E5886,0)</f>
        <v>-0.0226992943789883</v>
      </c>
      <c r="F5904" s="59" t="n">
        <f aca="false">IF(F5886&gt;0,F5903/F5886,0)</f>
        <v>-0.022025524315613</v>
      </c>
      <c r="G5904" s="59" t="n">
        <f aca="false">IF(G5886&gt;0,G5903/G5886,0)</f>
        <v>-0.022025524315613</v>
      </c>
      <c r="H5904" s="2" t="s">
        <v>1234</v>
      </c>
    </row>
    <row r="5905" customFormat="false" ht="15" hidden="false" customHeight="false" outlineLevel="1" collapsed="false">
      <c r="A5905" s="7" t="s">
        <v>679</v>
      </c>
      <c r="B5905" s="8" t="s">
        <v>64</v>
      </c>
      <c r="C5905" s="63" t="n">
        <f aca="false">(C5884+C5887)*(C5890-Pressupostos!$C$72)/365+C5886*C5891/365</f>
        <v>0.473904109589041</v>
      </c>
      <c r="D5905" s="63" t="n">
        <f aca="false">(D5884+D5887)*(D5890-Pressupostos!$C$72)/365+D5886*D5891/365</f>
        <v>0.473904109589041</v>
      </c>
      <c r="E5905" s="63" t="n">
        <f aca="false">(E5884+E5887)*(E5890-Pressupostos!$C$72)/365+E5886*E5891/365</f>
        <v>0.473904109589041</v>
      </c>
      <c r="F5905" s="63" t="n">
        <f aca="false">(F5884+F5887)*(F5890-Pressupostos!$C$72)/365+F5886*F5891/365</f>
        <v>0.473904109589041</v>
      </c>
      <c r="G5905" s="63" t="n">
        <f aca="false">(G5884+G5887)*(G5890-Pressupostos!$C$72)/365+G5886*G5891/365</f>
        <v>0.473904109589041</v>
      </c>
      <c r="H5905" s="2" t="s">
        <v>1235</v>
      </c>
    </row>
    <row r="5906" customFormat="false" ht="15" hidden="false" customHeight="false" outlineLevel="0" collapsed="false">
      <c r="A5906" s="3" t="s">
        <v>1236</v>
      </c>
      <c r="B5906" s="4"/>
      <c r="C5906" s="4"/>
      <c r="D5906" s="4"/>
      <c r="E5906" s="4"/>
      <c r="F5906" s="4"/>
      <c r="G5906" s="4"/>
      <c r="H5906" s="4"/>
    </row>
    <row r="5907" customFormat="false" ht="15" hidden="false" customHeight="false" outlineLevel="1" collapsed="false">
      <c r="A5907" s="7" t="s">
        <v>669</v>
      </c>
      <c r="B5907" s="8" t="s">
        <v>64</v>
      </c>
      <c r="C5907" s="63" t="n">
        <f aca="false">(Pressupostos!$F$10*(1+Pressupostos!$C$197))+Pressupostos!$F$13</f>
        <v>2.45</v>
      </c>
      <c r="D5907" s="63" t="n">
        <f aca="false">(Pressupostos!$F$10*(1+Pressupostos!$C$197))+Pressupostos!$F$13</f>
        <v>2.45</v>
      </c>
      <c r="E5907" s="63" t="n">
        <f aca="false">(Pressupostos!$F$10*(1+Pressupostos!$C$197))+Pressupostos!$F$13</f>
        <v>2.45</v>
      </c>
      <c r="F5907" s="63" t="n">
        <f aca="false">(Pressupostos!$F$10*(1+Pressupostos!$C$197))+Pressupostos!$F$13</f>
        <v>2.45</v>
      </c>
      <c r="G5907" s="63" t="n">
        <f aca="false">(Pressupostos!$F$10*(1+Pressupostos!$C$197))+Pressupostos!$F$13</f>
        <v>2.45</v>
      </c>
      <c r="H5907" s="2" t="s">
        <v>1237</v>
      </c>
    </row>
    <row r="5908" customFormat="false" ht="15" hidden="false" customHeight="false" outlineLevel="1" collapsed="false">
      <c r="A5908" s="7" t="s">
        <v>670</v>
      </c>
      <c r="B5908" s="8" t="s">
        <v>64</v>
      </c>
      <c r="C5908" s="63" t="n">
        <f aca="false">(Pressupostos!$F$10*(1+Pressupostos!$C$197))+Pressupostos!$C$52</f>
        <v>2.6</v>
      </c>
      <c r="D5908" s="63" t="n">
        <f aca="false">(Pressupostos!$F$10*(1+Pressupostos!$C$197))+Pressupostos!$C$52</f>
        <v>2.6</v>
      </c>
      <c r="E5908" s="63" t="n">
        <f aca="false">(Pressupostos!$F$10*(1+Pressupostos!$C$197))+Pressupostos!$C$52</f>
        <v>2.6</v>
      </c>
      <c r="F5908" s="63" t="n">
        <f aca="false">(Pressupostos!$F$10*(1+Pressupostos!$C$197))+Pressupostos!$C$52</f>
        <v>2.6</v>
      </c>
      <c r="G5908" s="63" t="n">
        <f aca="false">(Pressupostos!$F$10*(1+Pressupostos!$C$197))+Pressupostos!$C$52</f>
        <v>2.6</v>
      </c>
      <c r="H5908" s="2" t="s">
        <v>1238</v>
      </c>
    </row>
    <row r="5909" customFormat="false" ht="15" hidden="false" customHeight="false" outlineLevel="1" collapsed="false">
      <c r="A5909" s="56" t="s">
        <v>671</v>
      </c>
      <c r="B5909" s="57" t="s">
        <v>64</v>
      </c>
      <c r="C5909" s="68" t="n">
        <f aca="false">C5908*(1-Pressupostos!$C$53)</f>
        <v>2.6</v>
      </c>
      <c r="D5909" s="68" t="n">
        <f aca="false">D5908*(1-Pressupostos!$C$53)</f>
        <v>2.6</v>
      </c>
      <c r="E5909" s="68" t="n">
        <f aca="false">E5908*(1-Pressupostos!$C$53)</f>
        <v>2.6</v>
      </c>
      <c r="F5909" s="68" t="n">
        <f aca="false">F5908*(1-Pressupostos!$C$53)</f>
        <v>2.6</v>
      </c>
      <c r="G5909" s="68" t="n">
        <f aca="false">G5908*(1-Pressupostos!$C$53)</f>
        <v>2.6</v>
      </c>
      <c r="H5909" s="2" t="s">
        <v>1239</v>
      </c>
    </row>
    <row r="5910" customFormat="false" ht="15" hidden="false" customHeight="false" outlineLevel="1" collapsed="false">
      <c r="A5910" s="7" t="s">
        <v>144</v>
      </c>
      <c r="B5910" s="8" t="s">
        <v>64</v>
      </c>
      <c r="C5910" s="67" t="n">
        <f aca="false">Pressupostos!$C$54</f>
        <v>0</v>
      </c>
      <c r="D5910" s="67" t="n">
        <f aca="false">Pressupostos!$C$54</f>
        <v>0</v>
      </c>
      <c r="E5910" s="67" t="n">
        <f aca="false">Pressupostos!$C$54</f>
        <v>0</v>
      </c>
      <c r="F5910" s="67" t="n">
        <f aca="false">Pressupostos!$C$54</f>
        <v>0</v>
      </c>
      <c r="G5910" s="67" t="n">
        <f aca="false">Pressupostos!$C$54</f>
        <v>0</v>
      </c>
      <c r="H5910" s="2" t="s">
        <v>1240</v>
      </c>
    </row>
    <row r="5911" customFormat="false" ht="15" hidden="false" customHeight="false" outlineLevel="1" collapsed="false">
      <c r="A5911" s="7" t="s">
        <v>215</v>
      </c>
      <c r="B5911" s="8" t="s">
        <v>64</v>
      </c>
      <c r="C5911" s="67" t="n">
        <f aca="false">Pressupostos!$C$55</f>
        <v>0.04</v>
      </c>
      <c r="D5911" s="67" t="n">
        <f aca="false">Pressupostos!$C$55</f>
        <v>0.04</v>
      </c>
      <c r="E5911" s="67" t="n">
        <f aca="false">Pressupostos!$C$55</f>
        <v>0.04</v>
      </c>
      <c r="F5911" s="67" t="n">
        <f aca="false">Pressupostos!$C$55</f>
        <v>0.04</v>
      </c>
      <c r="G5911" s="67" t="n">
        <f aca="false">Pressupostos!$C$55</f>
        <v>0.04</v>
      </c>
      <c r="H5911" s="2" t="s">
        <v>1241</v>
      </c>
    </row>
    <row r="5912" customFormat="false" ht="15" hidden="false" customHeight="false" outlineLevel="1" collapsed="false">
      <c r="A5912" s="7" t="s">
        <v>117</v>
      </c>
      <c r="B5912" s="8" t="s">
        <v>64</v>
      </c>
      <c r="C5912" s="67" t="n">
        <f aca="false">Pressupostos!$C$56</f>
        <v>0</v>
      </c>
      <c r="D5912" s="67" t="n">
        <f aca="false">Pressupostos!$C$56</f>
        <v>0</v>
      </c>
      <c r="E5912" s="67" t="n">
        <f aca="false">Pressupostos!$C$56</f>
        <v>0</v>
      </c>
      <c r="F5912" s="67" t="n">
        <f aca="false">Pressupostos!$C$56</f>
        <v>0</v>
      </c>
      <c r="G5912" s="67" t="n">
        <f aca="false">Pressupostos!$C$56</f>
        <v>0</v>
      </c>
      <c r="H5912" s="2" t="s">
        <v>1242</v>
      </c>
    </row>
    <row r="5913" customFormat="false" ht="15" hidden="false" customHeight="false" outlineLevel="1" collapsed="false">
      <c r="A5913" s="7" t="s">
        <v>91</v>
      </c>
      <c r="B5913" s="8" t="s">
        <v>79</v>
      </c>
      <c r="C5913" s="69" t="n">
        <f aca="false">Pressupostos!$C$57</f>
        <v>15</v>
      </c>
      <c r="D5913" s="69" t="n">
        <f aca="false">Pressupostos!$C$57</f>
        <v>15</v>
      </c>
      <c r="E5913" s="69" t="n">
        <f aca="false">Pressupostos!$C$57</f>
        <v>15</v>
      </c>
      <c r="F5913" s="69" t="n">
        <f aca="false">Pressupostos!$C$57</f>
        <v>15</v>
      </c>
      <c r="G5913" s="69" t="n">
        <f aca="false">Pressupostos!$C$57</f>
        <v>15</v>
      </c>
      <c r="H5913" s="2" t="s">
        <v>1243</v>
      </c>
    </row>
    <row r="5914" customFormat="false" ht="15" hidden="false" customHeight="false" outlineLevel="1" collapsed="false">
      <c r="A5914" s="7" t="s">
        <v>78</v>
      </c>
      <c r="B5914" s="8" t="s">
        <v>79</v>
      </c>
      <c r="C5914" s="69" t="n">
        <f aca="false">Pressupostos!$C$58</f>
        <v>45</v>
      </c>
      <c r="D5914" s="69" t="n">
        <f aca="false">Pressupostos!$C$58</f>
        <v>45</v>
      </c>
      <c r="E5914" s="69" t="n">
        <f aca="false">Pressupostos!$C$58</f>
        <v>45</v>
      </c>
      <c r="F5914" s="69" t="n">
        <f aca="false">Pressupostos!$C$58</f>
        <v>45</v>
      </c>
      <c r="G5914" s="69" t="n">
        <f aca="false">Pressupostos!$C$58</f>
        <v>45</v>
      </c>
      <c r="H5914" s="2" t="s">
        <v>1244</v>
      </c>
    </row>
    <row r="5915" customFormat="false" ht="15" hidden="false" customHeight="false" outlineLevel="1" collapsed="false">
      <c r="A5915" s="7" t="s">
        <v>490</v>
      </c>
      <c r="B5915" s="8" t="s">
        <v>64</v>
      </c>
      <c r="C5915" s="63" t="n">
        <f aca="false">Pressupostos!$C$66*C5913/30/1000</f>
        <v>0.002</v>
      </c>
      <c r="D5915" s="63" t="n">
        <f aca="false">Pressupostos!$C$66*D5913/30/1000</f>
        <v>0.002</v>
      </c>
      <c r="E5915" s="63" t="n">
        <f aca="false">Pressupostos!$C$66*E5913/30/1000</f>
        <v>0.002</v>
      </c>
      <c r="F5915" s="63" t="n">
        <f aca="false">Pressupostos!$C$66*F5913/30/1000</f>
        <v>0.002</v>
      </c>
      <c r="G5915" s="63" t="n">
        <f aca="false">Pressupostos!$C$66*G5913/30/1000</f>
        <v>0.002</v>
      </c>
      <c r="H5915" s="2" t="s">
        <v>1245</v>
      </c>
    </row>
    <row r="5916" customFormat="false" ht="15" hidden="false" customHeight="false" outlineLevel="1" collapsed="false">
      <c r="A5916" s="7" t="s">
        <v>165</v>
      </c>
      <c r="B5916" s="8" t="s">
        <v>64</v>
      </c>
      <c r="C5916" s="63" t="n">
        <f aca="false">C5907*Pressupostos!$C$67*C5913/365</f>
        <v>0.000201369863013699</v>
      </c>
      <c r="D5916" s="63" t="n">
        <f aca="false">D5907*Pressupostos!$C$67*D5913/365</f>
        <v>0.000201369863013699</v>
      </c>
      <c r="E5916" s="63" t="n">
        <f aca="false">E5907*Pressupostos!$C$67*E5913/365</f>
        <v>0.000201369863013699</v>
      </c>
      <c r="F5916" s="63" t="n">
        <f aca="false">F5907*Pressupostos!$C$67*F5913/365</f>
        <v>0.000201369863013699</v>
      </c>
      <c r="G5916" s="63" t="n">
        <f aca="false">G5907*Pressupostos!$C$67*G5913/365</f>
        <v>0.000201369863013699</v>
      </c>
      <c r="H5916" s="2" t="s">
        <v>1246</v>
      </c>
    </row>
    <row r="5917" customFormat="false" ht="15" hidden="false" customHeight="false" outlineLevel="1" collapsed="false">
      <c r="A5917" s="7" t="s">
        <v>672</v>
      </c>
      <c r="B5917" s="8" t="s">
        <v>64</v>
      </c>
      <c r="C5917" s="63" t="n">
        <f aca="false">Pressupostos!$C$60*Pressupostos!$C$68/(Pressupostos!$C$59*1000)</f>
        <v>0.006</v>
      </c>
      <c r="D5917" s="63" t="n">
        <f aca="false">Pressupostos!$C$60*Pressupostos!$C$68/(Pressupostos!$C$59*1000)</f>
        <v>0.006</v>
      </c>
      <c r="E5917" s="63" t="n">
        <f aca="false">Pressupostos!$C$60*Pressupostos!$C$68/(Pressupostos!$C$59*1000)</f>
        <v>0.006</v>
      </c>
      <c r="F5917" s="63" t="n">
        <f aca="false">Pressupostos!$C$60*Pressupostos!$C$68/(Pressupostos!$C$59*1000)</f>
        <v>0.006</v>
      </c>
      <c r="G5917" s="63" t="n">
        <f aca="false">Pressupostos!$C$60*Pressupostos!$C$68/(Pressupostos!$C$59*1000)</f>
        <v>0.006</v>
      </c>
      <c r="H5917" s="2" t="s">
        <v>1247</v>
      </c>
    </row>
    <row r="5918" customFormat="false" ht="15" hidden="false" customHeight="false" outlineLevel="1" collapsed="false">
      <c r="A5918" s="7" t="s">
        <v>492</v>
      </c>
      <c r="B5918" s="8" t="s">
        <v>64</v>
      </c>
      <c r="C5918" s="63" t="n">
        <f aca="false">Pressupostos!$C$69*C5907</f>
        <v>0.01225</v>
      </c>
      <c r="D5918" s="63" t="n">
        <f aca="false">Pressupostos!$C$69*D5907</f>
        <v>0.01225</v>
      </c>
      <c r="E5918" s="63" t="n">
        <f aca="false">Pressupostos!$C$69*E5907</f>
        <v>0.01225</v>
      </c>
      <c r="F5918" s="63" t="n">
        <f aca="false">Pressupostos!$C$69*F5907</f>
        <v>0.01225</v>
      </c>
      <c r="G5918" s="63" t="n">
        <f aca="false">Pressupostos!$C$69*G5907</f>
        <v>0.01225</v>
      </c>
      <c r="H5918" s="2" t="s">
        <v>1248</v>
      </c>
    </row>
    <row r="5919" customFormat="false" ht="15" hidden="false" customHeight="false" outlineLevel="1" collapsed="false">
      <c r="A5919" s="7" t="s">
        <v>493</v>
      </c>
      <c r="B5919" s="8" t="s">
        <v>64</v>
      </c>
      <c r="C5919" s="63" t="n">
        <f aca="false">Pressupostos!$C$70*Pressupostos!$C$71*C5913/90</f>
        <v>0.0015</v>
      </c>
      <c r="D5919" s="63" t="n">
        <f aca="false">Pressupostos!$C$70*Pressupostos!$C$71*D5913/90</f>
        <v>0.0015</v>
      </c>
      <c r="E5919" s="63" t="n">
        <f aca="false">Pressupostos!$C$70*Pressupostos!$C$71*E5913/90</f>
        <v>0.0015</v>
      </c>
      <c r="F5919" s="63" t="n">
        <f aca="false">Pressupostos!$C$70*Pressupostos!$C$71*F5913/90</f>
        <v>0.0015</v>
      </c>
      <c r="G5919" s="63" t="n">
        <f aca="false">Pressupostos!$C$70*Pressupostos!$C$71*G5913/90</f>
        <v>0.0015</v>
      </c>
      <c r="H5919" s="2" t="s">
        <v>1249</v>
      </c>
    </row>
    <row r="5920" customFormat="false" ht="15" hidden="false" customHeight="false" outlineLevel="1" collapsed="false">
      <c r="A5920" s="7" t="s">
        <v>673</v>
      </c>
      <c r="B5920" s="8" t="s">
        <v>64</v>
      </c>
      <c r="C5920" s="63" t="n">
        <f aca="false">Pressupostos!$C$61/(Pressupostos!$C$59*1000)</f>
        <v>0.012</v>
      </c>
      <c r="D5920" s="63" t="n">
        <f aca="false">Pressupostos!$C$61/(Pressupostos!$C$59*1000)</f>
        <v>0.012</v>
      </c>
      <c r="E5920" s="63" t="n">
        <f aca="false">Pressupostos!$C$61/(Pressupostos!$C$59*1000)</f>
        <v>0.012</v>
      </c>
      <c r="F5920" s="63" t="n">
        <f aca="false">Pressupostos!$C$61/(Pressupostos!$C$59*1000)</f>
        <v>0.012</v>
      </c>
      <c r="G5920" s="63" t="n">
        <f aca="false">Pressupostos!$C$61/(Pressupostos!$C$59*1000)</f>
        <v>0.012</v>
      </c>
      <c r="H5920" s="2" t="s">
        <v>1250</v>
      </c>
    </row>
    <row r="5921" customFormat="false" ht="15" hidden="false" customHeight="false" outlineLevel="1" collapsed="false">
      <c r="A5921" s="7" t="s">
        <v>139</v>
      </c>
      <c r="B5921" s="8" t="s">
        <v>64</v>
      </c>
      <c r="C5921" s="67" t="n">
        <f aca="false">Pressupostos!$C$62</f>
        <v>0.001</v>
      </c>
      <c r="D5921" s="67" t="n">
        <f aca="false">Pressupostos!$C$62</f>
        <v>0.001</v>
      </c>
      <c r="E5921" s="67" t="n">
        <f aca="false">Pressupostos!$C$62</f>
        <v>0.001</v>
      </c>
      <c r="F5921" s="67" t="n">
        <f aca="false">Pressupostos!$C$62</f>
        <v>0.001</v>
      </c>
      <c r="G5921" s="67" t="n">
        <f aca="false">Pressupostos!$C$62</f>
        <v>0.001</v>
      </c>
      <c r="H5921" s="2" t="s">
        <v>1251</v>
      </c>
    </row>
    <row r="5922" customFormat="false" ht="15" hidden="false" customHeight="false" outlineLevel="1" collapsed="false">
      <c r="A5922" s="7" t="s">
        <v>81</v>
      </c>
      <c r="B5922" s="8" t="s">
        <v>64</v>
      </c>
      <c r="C5922" s="63" t="n">
        <f aca="false">Pressupostos!$C$63*C5909</f>
        <v>0.0078</v>
      </c>
      <c r="D5922" s="63" t="n">
        <f aca="false">Pressupostos!$C$63*D5909</f>
        <v>0.0078</v>
      </c>
      <c r="E5922" s="63" t="n">
        <f aca="false">Pressupostos!$C$63*E5909</f>
        <v>0.0078</v>
      </c>
      <c r="F5922" s="63" t="n">
        <f aca="false">Pressupostos!$C$63*F5909</f>
        <v>0.0078</v>
      </c>
      <c r="G5922" s="63" t="n">
        <f aca="false">Pressupostos!$C$63*G5909</f>
        <v>0.0078</v>
      </c>
      <c r="H5922" s="2" t="s">
        <v>1252</v>
      </c>
    </row>
    <row r="5923" customFormat="false" ht="15" hidden="false" customHeight="false" outlineLevel="1" collapsed="false">
      <c r="A5923" s="7" t="s">
        <v>674</v>
      </c>
      <c r="B5923" s="8" t="s">
        <v>64</v>
      </c>
      <c r="C5923" s="63" t="n">
        <f aca="false">Pressupostos!$C$73*C5909</f>
        <v>0</v>
      </c>
      <c r="D5923" s="63" t="n">
        <f aca="false">Pressupostos!$C$73*D5909</f>
        <v>0</v>
      </c>
      <c r="E5923" s="63" t="n">
        <f aca="false">Pressupostos!$C$73*E5909</f>
        <v>0</v>
      </c>
      <c r="F5923" s="63" t="n">
        <f aca="false">Pressupostos!$C$73*F5909</f>
        <v>0</v>
      </c>
      <c r="G5923" s="63" t="n">
        <f aca="false">Pressupostos!$C$73*G5909</f>
        <v>0</v>
      </c>
      <c r="H5923" s="2" t="s">
        <v>1253</v>
      </c>
    </row>
    <row r="5924" customFormat="false" ht="15" hidden="false" customHeight="false" outlineLevel="1" collapsed="false">
      <c r="A5924" s="7" t="s">
        <v>675</v>
      </c>
      <c r="B5924" s="8" t="s">
        <v>64</v>
      </c>
      <c r="C5924" s="63" t="n">
        <f aca="false">Pressupostos!$C$290*(C5907+C5910)*(C5913+C5914-Pressupostos!$C$72)/365*Pressupostos!$C$284/Pressupostos!$F$31</f>
        <v>0</v>
      </c>
      <c r="D5924" s="63" t="n">
        <f aca="false">Pressupostos!$D$290*(D5907+D5910)*(D5913+D5914-Pressupostos!$C$72)/365*Pressupostos!$D$284/Pressupostos!$F$31</f>
        <v>0.0151027397260274</v>
      </c>
      <c r="E5924" s="63" t="n">
        <f aca="false">Pressupostos!$E$290*(E5907+E5910)*(E5913+E5914-Pressupostos!$C$72)/365*Pressupostos!$E$284/Pressupostos!$F$31</f>
        <v>0.0141588184931507</v>
      </c>
      <c r="F5924" s="63" t="n">
        <f aca="false">Pressupostos!$F$290*(F5907+F5910)*(F5913+F5914-Pressupostos!$C$72)/365*Pressupostos!$F$284/Pressupostos!$F$31</f>
        <v>0.013214897260274</v>
      </c>
      <c r="G5924" s="63" t="n">
        <f aca="false">Pressupostos!$G$290*(G5907+G5910)*(G5913+G5914-Pressupostos!$C$72)/365*Pressupostos!$G$284/Pressupostos!$F$31</f>
        <v>0.013214897260274</v>
      </c>
      <c r="H5924" s="2" t="s">
        <v>1254</v>
      </c>
    </row>
    <row r="5925" customFormat="false" ht="15" hidden="false" customHeight="false" outlineLevel="1" collapsed="false">
      <c r="A5925" s="7" t="s">
        <v>676</v>
      </c>
      <c r="B5925" s="8" t="s">
        <v>64</v>
      </c>
      <c r="C5925" s="63" t="n">
        <f aca="false">C5907+C5910+C5911+C5912+C5915+C5916+C5917+C5918+C5919+C5920+C5921+C5922+C5923+C5924</f>
        <v>2.53275136986301</v>
      </c>
      <c r="D5925" s="63" t="n">
        <f aca="false">D5907+D5910+D5911+D5912+D5915+D5916+D5917+D5918+D5919+D5920+D5921+D5922+D5923+D5924</f>
        <v>2.54785410958904</v>
      </c>
      <c r="E5925" s="63" t="n">
        <f aca="false">E5907+E5910+E5911+E5912+E5915+E5916+E5917+E5918+E5919+E5920+E5921+E5922+E5923+E5924</f>
        <v>2.54691018835616</v>
      </c>
      <c r="F5925" s="63" t="n">
        <f aca="false">F5907+F5910+F5911+F5912+F5915+F5916+F5917+F5918+F5919+F5920+F5921+F5922+F5923+F5924</f>
        <v>2.54596626712329</v>
      </c>
      <c r="G5925" s="63" t="n">
        <f aca="false">G5907+G5910+G5911+G5912+G5915+G5916+G5917+G5918+G5919+G5920+G5921+G5922+G5923+G5924</f>
        <v>2.54596626712329</v>
      </c>
      <c r="H5925" s="2" t="s">
        <v>1255</v>
      </c>
    </row>
    <row r="5926" customFormat="false" ht="15" hidden="false" customHeight="false" outlineLevel="1" collapsed="false">
      <c r="A5926" s="56" t="s">
        <v>677</v>
      </c>
      <c r="B5926" s="57" t="s">
        <v>64</v>
      </c>
      <c r="C5926" s="68" t="n">
        <f aca="false">C5909-C5925</f>
        <v>0.0672486301369868</v>
      </c>
      <c r="D5926" s="68" t="n">
        <f aca="false">D5909-D5925</f>
        <v>0.0521458904109595</v>
      </c>
      <c r="E5926" s="68" t="n">
        <f aca="false">E5909-E5925</f>
        <v>0.0530898116438361</v>
      </c>
      <c r="F5926" s="68" t="n">
        <f aca="false">F5909-F5925</f>
        <v>0.0540337328767127</v>
      </c>
      <c r="G5926" s="68" t="n">
        <f aca="false">G5909-G5925</f>
        <v>0.0540337328767127</v>
      </c>
      <c r="H5926" s="2" t="s">
        <v>1256</v>
      </c>
    </row>
    <row r="5927" customFormat="false" ht="15" hidden="false" customHeight="false" outlineLevel="1" collapsed="false">
      <c r="A5927" s="7" t="s">
        <v>678</v>
      </c>
      <c r="B5927" s="8" t="s">
        <v>76</v>
      </c>
      <c r="C5927" s="59" t="n">
        <f aca="false">IF(C5909&gt;0,C5926/C5909,0)</f>
        <v>0.0258648577449949</v>
      </c>
      <c r="D5927" s="59" t="n">
        <f aca="false">IF(D5909&gt;0,D5926/D5909,0)</f>
        <v>0.0200561116965229</v>
      </c>
      <c r="E5927" s="59" t="n">
        <f aca="false">IF(E5909&gt;0,E5926/E5909,0)</f>
        <v>0.0204191583245523</v>
      </c>
      <c r="F5927" s="59" t="n">
        <f aca="false">IF(F5909&gt;0,F5926/F5909,0)</f>
        <v>0.0207822049525818</v>
      </c>
      <c r="G5927" s="59" t="n">
        <f aca="false">IF(G5909&gt;0,G5926/G5909,0)</f>
        <v>0.0207822049525818</v>
      </c>
      <c r="H5927" s="2" t="s">
        <v>1257</v>
      </c>
    </row>
    <row r="5928" customFormat="false" ht="15" hidden="false" customHeight="false" outlineLevel="1" collapsed="false">
      <c r="A5928" s="7" t="s">
        <v>679</v>
      </c>
      <c r="B5928" s="8" t="s">
        <v>64</v>
      </c>
      <c r="C5928" s="63" t="n">
        <f aca="false">(C5907+C5910)*(C5913-Pressupostos!$C$72)/365+C5909*C5914/365</f>
        <v>0.21986301369863</v>
      </c>
      <c r="D5928" s="63" t="n">
        <f aca="false">(D5907+D5910)*(D5913-Pressupostos!$C$72)/365+D5909*D5914/365</f>
        <v>0.21986301369863</v>
      </c>
      <c r="E5928" s="63" t="n">
        <f aca="false">(E5907+E5910)*(E5913-Pressupostos!$C$72)/365+E5909*E5914/365</f>
        <v>0.21986301369863</v>
      </c>
      <c r="F5928" s="63" t="n">
        <f aca="false">(F5907+F5910)*(F5913-Pressupostos!$C$72)/365+F5909*F5914/365</f>
        <v>0.21986301369863</v>
      </c>
      <c r="G5928" s="63" t="n">
        <f aca="false">(G5907+G5910)*(G5913-Pressupostos!$C$72)/365+G5909*G5914/365</f>
        <v>0.21986301369863</v>
      </c>
      <c r="H5928" s="2" t="s">
        <v>1258</v>
      </c>
    </row>
    <row r="5929" customFormat="false" ht="15" hidden="false" customHeight="false" outlineLevel="0" collapsed="false">
      <c r="A5929" s="3" t="s">
        <v>1259</v>
      </c>
      <c r="B5929" s="4"/>
      <c r="C5929" s="4"/>
      <c r="D5929" s="4"/>
      <c r="E5929" s="4"/>
      <c r="F5929" s="4"/>
      <c r="G5929" s="4"/>
      <c r="H5929" s="4"/>
    </row>
    <row r="5930" customFormat="false" ht="15" hidden="false" customHeight="false" outlineLevel="1" collapsed="false">
      <c r="A5930" s="7" t="s">
        <v>683</v>
      </c>
      <c r="B5930" s="8" t="s">
        <v>64</v>
      </c>
      <c r="C5930" s="63" t="n">
        <f aca="false">Pressupostos!$C$64*(Pressupostos!$F$10*(1+Pressupostos!$C$197))</f>
        <v>0.018375</v>
      </c>
      <c r="D5930" s="63" t="n">
        <f aca="false">Pressupostos!$C$64*(Pressupostos!$F$10*(1+Pressupostos!$C$197))</f>
        <v>0.018375</v>
      </c>
      <c r="E5930" s="63" t="n">
        <f aca="false">Pressupostos!$C$64*(Pressupostos!$F$10*(1+Pressupostos!$C$197))</f>
        <v>0.018375</v>
      </c>
      <c r="F5930" s="63" t="n">
        <f aca="false">Pressupostos!$C$64*(Pressupostos!$F$10*(1+Pressupostos!$C$197))</f>
        <v>0.018375</v>
      </c>
      <c r="G5930" s="63" t="n">
        <f aca="false">Pressupostos!$C$64*(Pressupostos!$F$10*(1+Pressupostos!$C$197))</f>
        <v>0.018375</v>
      </c>
      <c r="H5930" s="2" t="s">
        <v>1260</v>
      </c>
    </row>
    <row r="5931" customFormat="false" ht="15" hidden="false" customHeight="false" outlineLevel="1" collapsed="false">
      <c r="A5931" s="7" t="s">
        <v>684</v>
      </c>
      <c r="B5931" s="8" t="s">
        <v>64</v>
      </c>
      <c r="C5931" s="63" t="n">
        <f aca="false">C5920+C5917+C5921</f>
        <v>0.019</v>
      </c>
      <c r="D5931" s="63" t="n">
        <f aca="false">D5920+D5917+D5921</f>
        <v>0.019</v>
      </c>
      <c r="E5931" s="63" t="n">
        <f aca="false">E5920+E5917+E5921</f>
        <v>0.019</v>
      </c>
      <c r="F5931" s="63" t="n">
        <f aca="false">F5920+F5917+F5921</f>
        <v>0.019</v>
      </c>
      <c r="G5931" s="63" t="n">
        <f aca="false">G5920+G5917+G5921</f>
        <v>0.019</v>
      </c>
      <c r="H5931" s="2" t="s">
        <v>1261</v>
      </c>
    </row>
    <row r="5932" customFormat="false" ht="15" hidden="false" customHeight="false" outlineLevel="1" collapsed="false">
      <c r="A5932" s="56" t="s">
        <v>561</v>
      </c>
      <c r="B5932" s="57" t="s">
        <v>64</v>
      </c>
      <c r="C5932" s="68" t="n">
        <f aca="false">C5930-C5931</f>
        <v>-0.000625000000000004</v>
      </c>
      <c r="D5932" s="68" t="n">
        <f aca="false">D5930-D5931</f>
        <v>-0.000625000000000004</v>
      </c>
      <c r="E5932" s="68" t="n">
        <f aca="false">E5930-E5931</f>
        <v>-0.000625000000000004</v>
      </c>
      <c r="F5932" s="68" t="n">
        <f aca="false">F5930-F5931</f>
        <v>-0.000625000000000004</v>
      </c>
      <c r="G5932" s="68" t="n">
        <f aca="false">G5930-G5931</f>
        <v>-0.000625000000000004</v>
      </c>
      <c r="H5932" s="2" t="s">
        <v>1262</v>
      </c>
    </row>
    <row r="5933" customFormat="false" ht="15" hidden="false" customHeight="false" outlineLevel="0" collapsed="false">
      <c r="A5933" s="3" t="s">
        <v>1263</v>
      </c>
      <c r="B5933" s="4"/>
      <c r="C5933" s="4"/>
      <c r="D5933" s="4"/>
      <c r="E5933" s="4"/>
      <c r="F5933" s="4"/>
      <c r="G5933" s="4"/>
      <c r="H5933" s="4"/>
    </row>
    <row r="5934" customFormat="false" ht="15" hidden="false" customHeight="false" outlineLevel="1" collapsed="false">
      <c r="A5934" s="7" t="s">
        <v>608</v>
      </c>
      <c r="B5934" s="8" t="s">
        <v>11</v>
      </c>
      <c r="C5934" s="61" t="n">
        <f aca="false">C5843*1000*C5863</f>
        <v>30996</v>
      </c>
      <c r="D5934" s="61" t="n">
        <f aca="false">D5843*1000*D5863</f>
        <v>116235</v>
      </c>
      <c r="E5934" s="61" t="n">
        <f aca="false">E5843*1000*E5863</f>
        <v>309960</v>
      </c>
      <c r="F5934" s="61" t="n">
        <f aca="false">F5843*1000*F5863</f>
        <v>542430</v>
      </c>
      <c r="G5934" s="61" t="n">
        <f aca="false">G5843*1000*G5863</f>
        <v>774900</v>
      </c>
      <c r="H5934" s="2" t="s">
        <v>1264</v>
      </c>
    </row>
    <row r="5935" customFormat="false" ht="15" hidden="false" customHeight="false" outlineLevel="1" collapsed="false">
      <c r="A5935" s="7" t="s">
        <v>609</v>
      </c>
      <c r="B5935" s="8" t="s">
        <v>11</v>
      </c>
      <c r="C5935" s="61" t="n">
        <f aca="false">C5844*1000*C5886</f>
        <v>163540</v>
      </c>
      <c r="D5935" s="61" t="n">
        <f aca="false">D5844*1000*D5886</f>
        <v>1141635</v>
      </c>
      <c r="E5935" s="61" t="n">
        <f aca="false">E5844*1000*E5886</f>
        <v>2254965</v>
      </c>
      <c r="F5935" s="61" t="n">
        <f aca="false">F5844*1000*F5886</f>
        <v>3720535</v>
      </c>
      <c r="G5935" s="61" t="n">
        <f aca="false">G5844*1000*G5886</f>
        <v>5629550</v>
      </c>
      <c r="H5935" s="2" t="s">
        <v>1265</v>
      </c>
    </row>
    <row r="5936" customFormat="false" ht="15" hidden="false" customHeight="false" outlineLevel="1" collapsed="false">
      <c r="A5936" s="7" t="s">
        <v>610</v>
      </c>
      <c r="B5936" s="8" t="s">
        <v>11</v>
      </c>
      <c r="C5936" s="61" t="n">
        <f aca="false">C5846*1000*C5909</f>
        <v>0</v>
      </c>
      <c r="D5936" s="61" t="n">
        <f aca="false">D5846*1000*D5909</f>
        <v>0</v>
      </c>
      <c r="E5936" s="61" t="n">
        <f aca="false">E5846*1000*E5909</f>
        <v>0</v>
      </c>
      <c r="F5936" s="61" t="n">
        <f aca="false">F5846*1000*F5909</f>
        <v>0</v>
      </c>
      <c r="G5936" s="61" t="n">
        <f aca="false">G5846*1000*G5909</f>
        <v>0</v>
      </c>
      <c r="H5936" s="2" t="s">
        <v>1266</v>
      </c>
    </row>
    <row r="5937" customFormat="false" ht="15" hidden="false" customHeight="false" outlineLevel="1" collapsed="false">
      <c r="A5937" s="7" t="s">
        <v>611</v>
      </c>
      <c r="B5937" s="8" t="s">
        <v>11</v>
      </c>
      <c r="C5937" s="61" t="n">
        <f aca="false">C5934+C5935+C5936</f>
        <v>194536</v>
      </c>
      <c r="D5937" s="61" t="n">
        <f aca="false">D5934+D5935+D5936</f>
        <v>1257870</v>
      </c>
      <c r="E5937" s="61" t="n">
        <f aca="false">E5934+E5935+E5936</f>
        <v>2564925</v>
      </c>
      <c r="F5937" s="61" t="n">
        <f aca="false">F5934+F5935+F5936</f>
        <v>4262965</v>
      </c>
      <c r="G5937" s="61" t="n">
        <f aca="false">G5934+G5935+G5936</f>
        <v>6404450</v>
      </c>
      <c r="H5937" s="2" t="s">
        <v>1267</v>
      </c>
    </row>
    <row r="5938" customFormat="false" ht="15" hidden="false" customHeight="false" outlineLevel="1" collapsed="false">
      <c r="A5938" s="7" t="s">
        <v>612</v>
      </c>
      <c r="B5938" s="8" t="s">
        <v>11</v>
      </c>
      <c r="C5938" s="61" t="n">
        <f aca="false">C5856*1000*Pressupostos!$C$93</f>
        <v>0</v>
      </c>
      <c r="D5938" s="61" t="n">
        <f aca="false">D5856*1000*Pressupostos!$C$93</f>
        <v>0</v>
      </c>
      <c r="E5938" s="61" t="n">
        <f aca="false">E5856*1000*Pressupostos!$C$93</f>
        <v>0</v>
      </c>
      <c r="F5938" s="61" t="n">
        <f aca="false">F5856*1000*Pressupostos!$C$93</f>
        <v>157000</v>
      </c>
      <c r="G5938" s="61" t="n">
        <f aca="false">G5856*1000*Pressupostos!$C$93</f>
        <v>392500</v>
      </c>
      <c r="H5938" s="2" t="s">
        <v>1268</v>
      </c>
    </row>
    <row r="5939" customFormat="false" ht="15" hidden="false" customHeight="false" outlineLevel="1" collapsed="false">
      <c r="A5939" s="2" t="s">
        <v>613</v>
      </c>
      <c r="B5939" s="8" t="s">
        <v>11</v>
      </c>
      <c r="C5939" s="61" t="n">
        <f aca="false">C5854*Pressupostos!$C$80*(1-Pressupostos!$C$81)</f>
        <v>9720</v>
      </c>
      <c r="D5939" s="61" t="n">
        <f aca="false">D5854*Pressupostos!$C$80*(1-Pressupostos!$C$81)</f>
        <v>36450</v>
      </c>
      <c r="E5939" s="61" t="n">
        <f aca="false">E5854*Pressupostos!$C$80*(1-Pressupostos!$C$81)</f>
        <v>97200</v>
      </c>
      <c r="F5939" s="61" t="n">
        <f aca="false">F5854*Pressupostos!$C$80*(1-Pressupostos!$C$81)</f>
        <v>170100</v>
      </c>
      <c r="G5939" s="61" t="n">
        <f aca="false">G5854*Pressupostos!$C$80*(1-Pressupostos!$C$81)</f>
        <v>243000</v>
      </c>
      <c r="H5939" s="2" t="s">
        <v>1269</v>
      </c>
    </row>
    <row r="5940" customFormat="false" ht="15" hidden="false" customHeight="false" outlineLevel="1" collapsed="false">
      <c r="A5940" s="7" t="s">
        <v>614</v>
      </c>
      <c r="B5940" s="8" t="s">
        <v>11</v>
      </c>
      <c r="C5940" s="61" t="n">
        <f aca="false">C5939*Pressupostos!$F$27</f>
        <v>194.4</v>
      </c>
      <c r="D5940" s="61" t="n">
        <f aca="false">D5939*Pressupostos!$F$27</f>
        <v>729</v>
      </c>
      <c r="E5940" s="61" t="n">
        <f aca="false">E5939*Pressupostos!$F$27</f>
        <v>1944</v>
      </c>
      <c r="F5940" s="61" t="n">
        <f aca="false">F5939*Pressupostos!$F$27</f>
        <v>3402</v>
      </c>
      <c r="G5940" s="61" t="n">
        <f aca="false">G5939*Pressupostos!$F$27</f>
        <v>4860</v>
      </c>
      <c r="H5940" s="2" t="s">
        <v>1270</v>
      </c>
    </row>
    <row r="5941" customFormat="false" ht="15" hidden="false" customHeight="false" outlineLevel="1" collapsed="false">
      <c r="A5941" s="7" t="s">
        <v>615</v>
      </c>
      <c r="B5941" s="8" t="s">
        <v>11</v>
      </c>
      <c r="C5941" s="61" t="n">
        <f aca="false">C5847*1000*C5930</f>
        <v>0</v>
      </c>
      <c r="D5941" s="61" t="n">
        <f aca="false">D5847*1000*D5930</f>
        <v>9187.5</v>
      </c>
      <c r="E5941" s="61" t="n">
        <f aca="false">E5847*1000*E5930</f>
        <v>27562.5</v>
      </c>
      <c r="F5941" s="61" t="n">
        <f aca="false">F5847*1000*F5930</f>
        <v>45937.5</v>
      </c>
      <c r="G5941" s="61" t="n">
        <f aca="false">G5847*1000*G5930</f>
        <v>64312.5</v>
      </c>
      <c r="H5941" s="2" t="s">
        <v>1271</v>
      </c>
    </row>
    <row r="5942" customFormat="false" ht="15" hidden="false" customHeight="false" outlineLevel="1" collapsed="false">
      <c r="A5942" s="7" t="s">
        <v>616</v>
      </c>
      <c r="B5942" s="8" t="s">
        <v>11</v>
      </c>
      <c r="C5942" s="61" t="n">
        <f aca="false">C5858*(Pressupostos!$C$101*Pressupostos!$C$102+Pressupostos!$C$103)</f>
        <v>0</v>
      </c>
      <c r="D5942" s="61" t="n">
        <f aca="false">D5858*(Pressupostos!$C$101*Pressupostos!$C$102+Pressupostos!$C$103)</f>
        <v>10000</v>
      </c>
      <c r="E5942" s="61" t="n">
        <f aca="false">E5858*(Pressupostos!$C$101*Pressupostos!$C$102+Pressupostos!$C$103)</f>
        <v>30000</v>
      </c>
      <c r="F5942" s="61" t="n">
        <f aca="false">F5858*(Pressupostos!$C$101*Pressupostos!$C$102+Pressupostos!$C$103)</f>
        <v>60000</v>
      </c>
      <c r="G5942" s="61" t="n">
        <f aca="false">G5858*(Pressupostos!$C$101*Pressupostos!$C$102+Pressupostos!$C$103)</f>
        <v>100000</v>
      </c>
      <c r="H5942" s="2" t="s">
        <v>1272</v>
      </c>
    </row>
    <row r="5943" customFormat="false" ht="15" hidden="false" customHeight="false" outlineLevel="1" collapsed="false">
      <c r="A5943" s="7" t="s">
        <v>617</v>
      </c>
      <c r="B5943" s="8" t="s">
        <v>11</v>
      </c>
      <c r="C5943" s="53" t="n">
        <f aca="false">Pressupostos!$C$277</f>
        <v>0</v>
      </c>
      <c r="D5943" s="53" t="n">
        <f aca="false">Pressupostos!$D$277</f>
        <v>0</v>
      </c>
      <c r="E5943" s="53" t="n">
        <f aca="false">Pressupostos!$E$277</f>
        <v>0</v>
      </c>
      <c r="F5943" s="53" t="n">
        <f aca="false">Pressupostos!$F$277</f>
        <v>10000</v>
      </c>
      <c r="G5943" s="53" t="n">
        <f aca="false">Pressupostos!$G$277</f>
        <v>30000</v>
      </c>
      <c r="H5943" s="2" t="s">
        <v>1273</v>
      </c>
    </row>
    <row r="5944" customFormat="false" ht="15" hidden="false" customHeight="false" outlineLevel="1" collapsed="false">
      <c r="A5944" s="56" t="s">
        <v>618</v>
      </c>
      <c r="B5944" s="57" t="s">
        <v>11</v>
      </c>
      <c r="C5944" s="62" t="n">
        <f aca="false">C5937+C5938+C5940+C5941+C5942+C5943</f>
        <v>194730.4</v>
      </c>
      <c r="D5944" s="62" t="n">
        <f aca="false">D5937+D5938+D5940+D5941+D5942+D5943</f>
        <v>1277786.5</v>
      </c>
      <c r="E5944" s="62" t="n">
        <f aca="false">E5937+E5938+E5940+E5941+E5942+E5943</f>
        <v>2624431.5</v>
      </c>
      <c r="F5944" s="62" t="n">
        <f aca="false">F5937+F5938+F5940+F5941+F5942+F5943</f>
        <v>4539304.5</v>
      </c>
      <c r="G5944" s="62" t="n">
        <f aca="false">G5937+G5938+G5940+G5941+G5942+G5943</f>
        <v>6996122.5</v>
      </c>
      <c r="H5944" s="2" t="s">
        <v>1274</v>
      </c>
    </row>
    <row r="5945" customFormat="false" ht="15" hidden="false" customHeight="false" outlineLevel="0" collapsed="false">
      <c r="A5945" s="3" t="s">
        <v>1275</v>
      </c>
      <c r="B5945" s="4"/>
      <c r="C5945" s="4"/>
      <c r="D5945" s="4"/>
      <c r="E5945" s="4"/>
      <c r="F5945" s="4"/>
      <c r="G5945" s="4"/>
      <c r="H5945" s="4"/>
    </row>
    <row r="5946" customFormat="false" ht="15" hidden="false" customHeight="false" outlineLevel="1" collapsed="false">
      <c r="A5946" s="2" t="s">
        <v>620</v>
      </c>
      <c r="B5946" s="8" t="s">
        <v>11</v>
      </c>
      <c r="C5946" s="61" t="n">
        <f aca="false">C5847*1000*(Pressupostos!$F$10*(1+Pressupostos!$C$197))</f>
        <v>0</v>
      </c>
      <c r="D5946" s="61" t="n">
        <f aca="false">D5847*1000*(Pressupostos!$F$10*(1+Pressupostos!$C$197))</f>
        <v>1225000</v>
      </c>
      <c r="E5946" s="61" t="n">
        <f aca="false">E5847*1000*(Pressupostos!$F$10*(1+Pressupostos!$C$197))</f>
        <v>3675000</v>
      </c>
      <c r="F5946" s="61" t="n">
        <f aca="false">F5847*1000*(Pressupostos!$F$10*(1+Pressupostos!$C$197))</f>
        <v>6125000</v>
      </c>
      <c r="G5946" s="61" t="n">
        <f aca="false">G5847*1000*(Pressupostos!$F$10*(1+Pressupostos!$C$197))</f>
        <v>8575000</v>
      </c>
      <c r="H5946" s="2" t="s">
        <v>1276</v>
      </c>
    </row>
    <row r="5947" customFormat="false" ht="15" hidden="false" customHeight="false" outlineLevel="1" collapsed="false">
      <c r="A5947" s="56" t="s">
        <v>621</v>
      </c>
      <c r="B5947" s="57" t="s">
        <v>11</v>
      </c>
      <c r="C5947" s="62" t="n">
        <f aca="false">C5937+C5938+C5939+C5946</f>
        <v>204256</v>
      </c>
      <c r="D5947" s="62" t="n">
        <f aca="false">D5937+D5938+D5939+D5946</f>
        <v>2519320</v>
      </c>
      <c r="E5947" s="62" t="n">
        <f aca="false">E5937+E5938+E5939+E5946</f>
        <v>6337125</v>
      </c>
      <c r="F5947" s="62" t="n">
        <f aca="false">F5937+F5938+F5939+F5946</f>
        <v>10715065</v>
      </c>
      <c r="G5947" s="62" t="n">
        <f aca="false">G5937+G5938+G5939+G5946</f>
        <v>15614950</v>
      </c>
      <c r="H5947" s="2" t="s">
        <v>1277</v>
      </c>
    </row>
    <row r="5948" customFormat="false" ht="15" hidden="false" customHeight="false" outlineLevel="1" collapsed="false">
      <c r="A5948" s="7" t="s">
        <v>622</v>
      </c>
      <c r="B5948" s="8" t="s">
        <v>11</v>
      </c>
      <c r="C5948" s="61" t="n">
        <f aca="false">C5947-C5946-C5936</f>
        <v>204256</v>
      </c>
      <c r="D5948" s="61" t="n">
        <f aca="false">D5947-D5946-D5936</f>
        <v>1294320</v>
      </c>
      <c r="E5948" s="61" t="n">
        <f aca="false">E5947-E5946-E5936</f>
        <v>2662125</v>
      </c>
      <c r="F5948" s="61" t="n">
        <f aca="false">F5947-F5946-F5936</f>
        <v>4590065</v>
      </c>
      <c r="G5948" s="61" t="n">
        <f aca="false">G5947-G5946-G5936</f>
        <v>7039950</v>
      </c>
      <c r="H5948" s="2" t="s">
        <v>1278</v>
      </c>
    </row>
    <row r="5949" customFormat="false" ht="15" hidden="false" customHeight="false" outlineLevel="1" collapsed="false">
      <c r="A5949" s="7" t="s">
        <v>623</v>
      </c>
      <c r="B5949" s="8" t="s">
        <v>11</v>
      </c>
      <c r="C5949" s="61" t="n">
        <f aca="false">C5843*1000*(C5861+C5864)+C5844*1000*(C5884+C5887)+C5846*1000*(C5907+C5910)+C5856*1000*Pressupostos!$C$92</f>
        <v>181830</v>
      </c>
      <c r="D5949" s="61" t="n">
        <f aca="false">D5843*1000*(D5861+D5864)+D5844*1000*(D5884+D5887)+D5846*1000*(D5907+D5910)+D5856*1000*Pressupostos!$C$92</f>
        <v>1185862.5</v>
      </c>
      <c r="E5949" s="61" t="n">
        <f aca="false">E5843*1000*(E5861+E5864)+E5844*1000*(E5884+E5887)+E5846*1000*(E5907+E5910)+E5856*1000*Pressupostos!$C$92</f>
        <v>2409300</v>
      </c>
      <c r="F5949" s="61" t="n">
        <f aca="false">F5843*1000*(F5861+F5864)+F5844*1000*(F5884+F5887)+F5846*1000*(F5907+F5910)+F5856*1000*Pressupostos!$C$92</f>
        <v>4141025</v>
      </c>
      <c r="G5949" s="61" t="n">
        <f aca="false">G5843*1000*(G5861+G5864)+G5844*1000*(G5884+G5887)+G5846*1000*(G5907+G5910)+G5856*1000*Pressupostos!$C$92</f>
        <v>6365750</v>
      </c>
      <c r="H5949" s="2" t="s">
        <v>1279</v>
      </c>
    </row>
    <row r="5950" customFormat="false" ht="15" hidden="false" customHeight="false" outlineLevel="1" collapsed="false">
      <c r="A5950" s="7" t="s">
        <v>624</v>
      </c>
      <c r="B5950" s="8" t="s">
        <v>11</v>
      </c>
      <c r="C5950" s="61" t="n">
        <f aca="false">C5949*Pressupostos!$C$284</f>
        <v>0</v>
      </c>
      <c r="D5950" s="61" t="n">
        <f aca="false">D5949*Pressupostos!$D$284</f>
        <v>889396.875</v>
      </c>
      <c r="E5950" s="61" t="n">
        <f aca="false">E5949*Pressupostos!$E$284</f>
        <v>1806975</v>
      </c>
      <c r="F5950" s="61" t="n">
        <f aca="false">F5949*Pressupostos!$F$284</f>
        <v>3105768.75</v>
      </c>
      <c r="G5950" s="61" t="n">
        <f aca="false">G5949*Pressupostos!$G$284</f>
        <v>4774312.5</v>
      </c>
      <c r="H5950" s="2" t="s">
        <v>1280</v>
      </c>
    </row>
    <row r="5951" customFormat="false" ht="15" hidden="false" customHeight="false" outlineLevel="0" collapsed="false">
      <c r="A5951" s="3" t="s">
        <v>1281</v>
      </c>
      <c r="B5951" s="4"/>
      <c r="C5951" s="4"/>
      <c r="D5951" s="4"/>
      <c r="E5951" s="4"/>
      <c r="F5951" s="4"/>
      <c r="G5951" s="4"/>
      <c r="H5951" s="4"/>
    </row>
    <row r="5952" customFormat="false" ht="15" hidden="false" customHeight="false" outlineLevel="1" collapsed="false">
      <c r="A5952" s="7" t="s">
        <v>626</v>
      </c>
      <c r="B5952" s="8" t="s">
        <v>11</v>
      </c>
      <c r="C5952" s="61" t="n">
        <f aca="false">C5843*1000*C5880</f>
        <v>407.996054794528</v>
      </c>
      <c r="D5952" s="61" t="n">
        <f aca="false">D5843*1000*D5880</f>
        <v>-2152.11667808216</v>
      </c>
      <c r="E5952" s="61" t="n">
        <f aca="false">E5843*1000*E5880</f>
        <v>5972.76345890413</v>
      </c>
      <c r="F5952" s="61" t="n">
        <f aca="false">F5843*1000*F5880</f>
        <v>12177.5918321918</v>
      </c>
      <c r="G5952" s="61" t="n">
        <f aca="false">G5843*1000*G5880</f>
        <v>17396.559760274</v>
      </c>
      <c r="H5952" s="2" t="s">
        <v>1282</v>
      </c>
    </row>
    <row r="5953" customFormat="false" ht="15" hidden="false" customHeight="false" outlineLevel="1" collapsed="false">
      <c r="A5953" s="7" t="s">
        <v>627</v>
      </c>
      <c r="B5953" s="8" t="s">
        <v>11</v>
      </c>
      <c r="C5953" s="61" t="n">
        <f aca="false">C5844*1000*C5903</f>
        <v>-2579.41726027399</v>
      </c>
      <c r="D5953" s="61" t="n">
        <f aca="false">D5844*1000*D5903</f>
        <v>-30313.5084246576</v>
      </c>
      <c r="E5953" s="61" t="n">
        <f aca="false">E5844*1000*E5903</f>
        <v>-51186.1143493153</v>
      </c>
      <c r="F5953" s="61" t="n">
        <f aca="false">F5844*1000*F5903</f>
        <v>-81946.7341095891</v>
      </c>
      <c r="G5953" s="61" t="n">
        <f aca="false">G5844*1000*G5903</f>
        <v>-123993.790410959</v>
      </c>
      <c r="H5953" s="2" t="s">
        <v>1283</v>
      </c>
    </row>
    <row r="5954" customFormat="false" ht="15" hidden="false" customHeight="false" outlineLevel="1" collapsed="false">
      <c r="A5954" s="7" t="s">
        <v>628</v>
      </c>
      <c r="B5954" s="8" t="s">
        <v>11</v>
      </c>
      <c r="C5954" s="61" t="n">
        <f aca="false">C5846*1000*C5926+C5847*1000*C5932</f>
        <v>0</v>
      </c>
      <c r="D5954" s="61" t="n">
        <f aca="false">D5846*1000*D5926+D5847*1000*D5932</f>
        <v>-312.500000000002</v>
      </c>
      <c r="E5954" s="61" t="n">
        <f aca="false">E5846*1000*E5926+E5847*1000*E5932</f>
        <v>-937.500000000006</v>
      </c>
      <c r="F5954" s="61" t="n">
        <f aca="false">F5846*1000*F5926+F5847*1000*F5932</f>
        <v>-1562.50000000001</v>
      </c>
      <c r="G5954" s="61" t="n">
        <f aca="false">G5846*1000*G5926+G5847*1000*G5932</f>
        <v>-2187.50000000001</v>
      </c>
      <c r="H5954" s="2" t="s">
        <v>1284</v>
      </c>
    </row>
    <row r="5955" customFormat="false" ht="15" hidden="false" customHeight="false" outlineLevel="1" collapsed="false">
      <c r="A5955" s="7" t="s">
        <v>629</v>
      </c>
      <c r="B5955" s="8" t="s">
        <v>11</v>
      </c>
      <c r="C5955" s="61" t="n">
        <f aca="false">C5952+C5953+C5954</f>
        <v>-2171.42120547946</v>
      </c>
      <c r="D5955" s="61" t="n">
        <f aca="false">D5952+D5953+D5954</f>
        <v>-32778.1251027398</v>
      </c>
      <c r="E5955" s="61" t="n">
        <f aca="false">E5952+E5953+E5954</f>
        <v>-46150.8508904112</v>
      </c>
      <c r="F5955" s="61" t="n">
        <f aca="false">F5952+F5953+F5954</f>
        <v>-71331.6422773973</v>
      </c>
      <c r="G5955" s="61" t="n">
        <f aca="false">G5952+G5953+G5954</f>
        <v>-108784.730650685</v>
      </c>
      <c r="H5955" s="2" t="s">
        <v>1285</v>
      </c>
    </row>
    <row r="5956" customFormat="false" ht="15" hidden="false" customHeight="false" outlineLevel="1" collapsed="false">
      <c r="A5956" s="7" t="s">
        <v>630</v>
      </c>
      <c r="B5956" s="8" t="s">
        <v>64</v>
      </c>
      <c r="C5956" s="63" t="n">
        <f aca="false">IF(C5848&gt;0,C5955/(C5848*1000),0)</f>
        <v>-0.0360701196923499</v>
      </c>
      <c r="D5956" s="63" t="n">
        <f aca="false">IF(D5848&gt;0,D5955/(D5848*1000),0)</f>
        <v>-0.0366748252897788</v>
      </c>
      <c r="E5956" s="63" t="n">
        <f aca="false">IF(E5848&gt;0,E5955/(E5848*1000),0)</f>
        <v>-0.0200743153068339</v>
      </c>
      <c r="F5956" s="63" t="n">
        <f aca="false">IF(F5848&gt;0,F5955/(F5848*1000),0)</f>
        <v>-0.018641484980373</v>
      </c>
      <c r="G5956" s="63" t="n">
        <f aca="false">IF(G5848&gt;0,G5955/(G5848*1000),0)</f>
        <v>-0.0197970392448926</v>
      </c>
      <c r="H5956" s="2" t="s">
        <v>1286</v>
      </c>
    </row>
    <row r="5957" customFormat="false" ht="15" hidden="false" customHeight="false" outlineLevel="1" collapsed="false">
      <c r="A5957" s="7" t="s">
        <v>631</v>
      </c>
      <c r="B5957" s="8" t="s">
        <v>76</v>
      </c>
      <c r="C5957" s="59" t="n">
        <f aca="false">IF(C5937&gt;0,C5955/C5937,0)</f>
        <v>-0.0111620533242149</v>
      </c>
      <c r="D5957" s="59" t="n">
        <f aca="false">IF(D5937&gt;0,D5955/D5937,0)</f>
        <v>-0.0260584361680776</v>
      </c>
      <c r="E5957" s="59" t="n">
        <f aca="false">IF(E5937&gt;0,E5955/E5937,0)</f>
        <v>-0.0179930605730815</v>
      </c>
      <c r="F5957" s="59" t="n">
        <f aca="false">IF(F5937&gt;0,F5955/F5937,0)</f>
        <v>-0.01673287073138</v>
      </c>
      <c r="G5957" s="59" t="n">
        <f aca="false">IF(G5937&gt;0,G5955/G5937,0)</f>
        <v>-0.0169858037225187</v>
      </c>
      <c r="H5957" s="2" t="s">
        <v>1287</v>
      </c>
    </row>
    <row r="5958" customFormat="false" ht="15" hidden="false" customHeight="false" outlineLevel="1" collapsed="false">
      <c r="A5958" s="2" t="s">
        <v>632</v>
      </c>
      <c r="B5958" s="8" t="s">
        <v>64</v>
      </c>
      <c r="C5958" s="63" t="n">
        <f aca="false">Pressupostos!$C$290*Pressupostos!$C$92*(Pressupostos!$C$95+Pressupostos!$C$96-Pressupostos!$C$97)/365*Pressupostos!$C$284/Pressupostos!$F$31</f>
        <v>0</v>
      </c>
      <c r="D5958" s="63" t="n">
        <f aca="false">Pressupostos!$D$290*Pressupostos!$C$92*(Pressupostos!$C$95+Pressupostos!$C$96-Pressupostos!$C$97)/365*Pressupostos!$D$284/Pressupostos!$F$31</f>
        <v>0.0647260273972603</v>
      </c>
      <c r="E5958" s="63" t="n">
        <f aca="false">Pressupostos!$E$290*Pressupostos!$C$92*(Pressupostos!$C$95+Pressupostos!$C$96-Pressupostos!$C$97)/365*Pressupostos!$E$284/Pressupostos!$F$31</f>
        <v>0.0606806506849315</v>
      </c>
      <c r="F5958" s="63" t="n">
        <f aca="false">Pressupostos!$F$290*Pressupostos!$C$92*(Pressupostos!$C$95+Pressupostos!$C$96-Pressupostos!$C$97)/365*Pressupostos!$F$284/Pressupostos!$F$31</f>
        <v>0.0566352739726028</v>
      </c>
      <c r="G5958" s="63" t="n">
        <f aca="false">Pressupostos!$G$290*Pressupostos!$C$92*(Pressupostos!$C$95+Pressupostos!$C$96-Pressupostos!$C$97)/365*Pressupostos!$G$284/Pressupostos!$F$31</f>
        <v>0.0566352739726028</v>
      </c>
      <c r="H5958" s="2" t="s">
        <v>1288</v>
      </c>
    </row>
    <row r="5959" customFormat="false" ht="15" hidden="false" customHeight="false" outlineLevel="1" collapsed="false">
      <c r="A5959" s="7" t="s">
        <v>600</v>
      </c>
      <c r="B5959" s="8" t="s">
        <v>11</v>
      </c>
      <c r="C5959" s="61" t="n">
        <f aca="false">C5856*1000*(Pressupostos!$C$93-Pressupostos!$C$92-Pressupostos!$C$94-C5958-Pressupostos!$C$98*Pressupostos!$C$93-Pressupostos!$C$99-Pressupostos!$F$29*Pressupostos!$C$92)</f>
        <v>0</v>
      </c>
      <c r="D5959" s="61" t="n">
        <f aca="false">D5856*1000*(Pressupostos!$C$93-Pressupostos!$C$92-Pressupostos!$C$94-D5958-Pressupostos!$C$98*Pressupostos!$C$93-Pressupostos!$C$99-Pressupostos!$F$29*Pressupostos!$C$92)</f>
        <v>0</v>
      </c>
      <c r="E5959" s="61" t="n">
        <f aca="false">E5856*1000*(Pressupostos!$C$93-Pressupostos!$C$92-Pressupostos!$C$94-E5958-Pressupostos!$C$98*Pressupostos!$C$93-Pressupostos!$C$99-Pressupostos!$F$29*Pressupostos!$C$92)</f>
        <v>0</v>
      </c>
      <c r="F5959" s="61" t="n">
        <f aca="false">F5856*1000*(Pressupostos!$C$93-Pressupostos!$C$92-Pressupostos!$C$94-F5958-Pressupostos!$C$98*Pressupostos!$C$93-Pressupostos!$C$99-Pressupostos!$F$29*Pressupostos!$C$92)</f>
        <v>10905.2945205479</v>
      </c>
      <c r="G5959" s="61" t="n">
        <f aca="false">G5856*1000*(Pressupostos!$C$93-Pressupostos!$C$92-Pressupostos!$C$94-G5958-Pressupostos!$C$98*Pressupostos!$C$93-Pressupostos!$C$99-Pressupostos!$F$29*Pressupostos!$C$92)</f>
        <v>27263.2363013698</v>
      </c>
      <c r="H5959" s="2" t="s">
        <v>1289</v>
      </c>
    </row>
    <row r="5960" customFormat="false" ht="15" hidden="false" customHeight="false" outlineLevel="1" collapsed="false">
      <c r="A5960" s="7" t="s">
        <v>633</v>
      </c>
      <c r="B5960" s="8" t="s">
        <v>11</v>
      </c>
      <c r="C5960" s="61" t="n">
        <f aca="false">C5940</f>
        <v>194.4</v>
      </c>
      <c r="D5960" s="61" t="n">
        <f aca="false">D5940</f>
        <v>729</v>
      </c>
      <c r="E5960" s="61" t="n">
        <f aca="false">E5940</f>
        <v>1944</v>
      </c>
      <c r="F5960" s="61" t="n">
        <f aca="false">F5940</f>
        <v>3402</v>
      </c>
      <c r="G5960" s="61" t="n">
        <f aca="false">G5940</f>
        <v>4860</v>
      </c>
      <c r="H5960" s="2" t="s">
        <v>1290</v>
      </c>
    </row>
    <row r="5961" customFormat="false" ht="15" hidden="false" customHeight="false" outlineLevel="1" collapsed="false">
      <c r="A5961" s="7" t="s">
        <v>634</v>
      </c>
      <c r="B5961" s="8" t="s">
        <v>11</v>
      </c>
      <c r="C5961" s="61" t="n">
        <f aca="false">C5942-C5976</f>
        <v>0</v>
      </c>
      <c r="D5961" s="61" t="n">
        <f aca="false">D5942-D5976</f>
        <v>10000</v>
      </c>
      <c r="E5961" s="61" t="n">
        <f aca="false">E5942-E5976</f>
        <v>30000</v>
      </c>
      <c r="F5961" s="61" t="n">
        <f aca="false">F5942-F5976</f>
        <v>60000</v>
      </c>
      <c r="G5961" s="61" t="n">
        <f aca="false">G5942-G5976</f>
        <v>100000</v>
      </c>
      <c r="H5961" s="2" t="s">
        <v>1291</v>
      </c>
    </row>
    <row r="5962" customFormat="false" ht="15" hidden="false" customHeight="false" outlineLevel="1" collapsed="false">
      <c r="A5962" s="7" t="s">
        <v>617</v>
      </c>
      <c r="B5962" s="8" t="s">
        <v>11</v>
      </c>
      <c r="C5962" s="61" t="n">
        <f aca="false">C5943</f>
        <v>0</v>
      </c>
      <c r="D5962" s="61" t="n">
        <f aca="false">D5943</f>
        <v>0</v>
      </c>
      <c r="E5962" s="61" t="n">
        <f aca="false">E5943</f>
        <v>0</v>
      </c>
      <c r="F5962" s="61" t="n">
        <f aca="false">F5943</f>
        <v>10000</v>
      </c>
      <c r="G5962" s="61" t="n">
        <f aca="false">G5943</f>
        <v>30000</v>
      </c>
      <c r="H5962" s="2" t="s">
        <v>1292</v>
      </c>
    </row>
    <row r="5963" customFormat="false" ht="15" hidden="false" customHeight="false" outlineLevel="1" collapsed="false">
      <c r="A5963" s="56" t="s">
        <v>635</v>
      </c>
      <c r="B5963" s="57" t="s">
        <v>11</v>
      </c>
      <c r="C5963" s="62" t="n">
        <f aca="false">C5955+C5959+C5960+C5961+C5962</f>
        <v>-1977.02120547946</v>
      </c>
      <c r="D5963" s="62" t="n">
        <f aca="false">D5955+D5959+D5960+D5961+D5962</f>
        <v>-22049.1251027398</v>
      </c>
      <c r="E5963" s="62" t="n">
        <f aca="false">E5955+E5959+E5960+E5961+E5962</f>
        <v>-14206.8508904112</v>
      </c>
      <c r="F5963" s="62" t="n">
        <f aca="false">F5955+F5959+F5960+F5961+F5962</f>
        <v>12975.6522431507</v>
      </c>
      <c r="G5963" s="62" t="n">
        <f aca="false">G5955+G5959+G5960+G5961+G5962</f>
        <v>53338.5056506849</v>
      </c>
      <c r="H5963" s="2" t="s">
        <v>1293</v>
      </c>
    </row>
    <row r="5964" customFormat="false" ht="15" hidden="false" customHeight="false" outlineLevel="0" collapsed="false">
      <c r="A5964" s="3" t="s">
        <v>1294</v>
      </c>
      <c r="B5964" s="4"/>
      <c r="C5964" s="4"/>
      <c r="D5964" s="4"/>
      <c r="E5964" s="4"/>
      <c r="F5964" s="4"/>
      <c r="G5964" s="4"/>
      <c r="H5964" s="4"/>
    </row>
    <row r="5965" customFormat="false" ht="15" hidden="false" customHeight="false" outlineLevel="1" collapsed="false">
      <c r="A5965" s="7" t="s">
        <v>686</v>
      </c>
      <c r="B5965" s="8" t="s">
        <v>11</v>
      </c>
      <c r="C5965" s="61" t="n">
        <f aca="false">C5843*1000*(C5861+C5864)+C5844*1000*(C5884+C5887)+C5846*1000*(C5907+C5910)</f>
        <v>181830</v>
      </c>
      <c r="D5965" s="61" t="n">
        <f aca="false">D5843*1000*(D5861+D5864)+D5844*1000*(D5884+D5887)+D5846*1000*(D5907+D5910)</f>
        <v>1185862.5</v>
      </c>
      <c r="E5965" s="61" t="n">
        <f aca="false">E5843*1000*(E5861+E5864)+E5844*1000*(E5884+E5887)+E5846*1000*(E5907+E5910)</f>
        <v>2409300</v>
      </c>
      <c r="F5965" s="61" t="n">
        <f aca="false">F5843*1000*(F5861+F5864)+F5844*1000*(F5884+F5887)+F5846*1000*(F5907+F5910)</f>
        <v>4001025</v>
      </c>
      <c r="G5965" s="61" t="n">
        <f aca="false">G5843*1000*(G5861+G5864)+G5844*1000*(G5884+G5887)+G5846*1000*(G5907+G5910)</f>
        <v>6015750</v>
      </c>
      <c r="H5965" s="2" t="s">
        <v>1295</v>
      </c>
    </row>
    <row r="5966" customFormat="false" ht="15" hidden="false" customHeight="false" outlineLevel="1" collapsed="false">
      <c r="A5966" s="7" t="s">
        <v>687</v>
      </c>
      <c r="B5966" s="8" t="s">
        <v>11</v>
      </c>
      <c r="C5966" s="61" t="n">
        <f aca="false">C5856*1000*Pressupostos!$C$92</f>
        <v>0</v>
      </c>
      <c r="D5966" s="61" t="n">
        <f aca="false">D5856*1000*Pressupostos!$C$92</f>
        <v>0</v>
      </c>
      <c r="E5966" s="61" t="n">
        <f aca="false">E5856*1000*Pressupostos!$C$92</f>
        <v>0</v>
      </c>
      <c r="F5966" s="61" t="n">
        <f aca="false">F5856*1000*Pressupostos!$C$92</f>
        <v>140000</v>
      </c>
      <c r="G5966" s="61" t="n">
        <f aca="false">G5856*1000*Pressupostos!$C$92</f>
        <v>350000</v>
      </c>
      <c r="H5966" s="2" t="s">
        <v>1296</v>
      </c>
    </row>
    <row r="5967" customFormat="false" ht="15" hidden="false" customHeight="false" outlineLevel="1" collapsed="false">
      <c r="A5967" s="7" t="s">
        <v>688</v>
      </c>
      <c r="B5967" s="8" t="s">
        <v>11</v>
      </c>
      <c r="C5967" s="61" t="n">
        <f aca="false">C5965+C5966</f>
        <v>181830</v>
      </c>
      <c r="D5967" s="61" t="n">
        <f aca="false">D5965+D5966</f>
        <v>1185862.5</v>
      </c>
      <c r="E5967" s="61" t="n">
        <f aca="false">E5965+E5966</f>
        <v>2409300</v>
      </c>
      <c r="F5967" s="61" t="n">
        <f aca="false">F5965+F5966</f>
        <v>4141025</v>
      </c>
      <c r="G5967" s="61" t="n">
        <f aca="false">G5965+G5966</f>
        <v>6365750</v>
      </c>
      <c r="H5967" s="2" t="s">
        <v>1297</v>
      </c>
    </row>
    <row r="5968" customFormat="false" ht="15" hidden="false" customHeight="false" outlineLevel="1" collapsed="false">
      <c r="A5968" s="7" t="s">
        <v>215</v>
      </c>
      <c r="B5968" s="8" t="s">
        <v>11</v>
      </c>
      <c r="C5968" s="61" t="n">
        <f aca="false">C5843*1000*(C5865)+C5844*1000*(C5888)+C5846*1000*(C5911)+C5856*1000*Pressupostos!$C$94</f>
        <v>7660</v>
      </c>
      <c r="D5968" s="61" t="n">
        <f aca="false">D5843*1000*(D5865)+D5844*1000*(D5888)+D5846*1000*(D5911)+D5856*1000*Pressupostos!$C$94</f>
        <v>45525</v>
      </c>
      <c r="E5968" s="61" t="n">
        <f aca="false">E5843*1000*(E5865)+E5844*1000*(E5888)+E5846*1000*(E5911)+E5856*1000*Pressupostos!$C$94</f>
        <v>87490</v>
      </c>
      <c r="F5968" s="61" t="n">
        <f aca="false">F5843*1000*(F5865)+F5844*1000*(F5888)+F5846*1000*(F5911)+F5856*1000*Pressupostos!$C$94</f>
        <v>148215</v>
      </c>
      <c r="G5968" s="61" t="n">
        <f aca="false">G5843*1000*(G5865)+G5844*1000*(G5888)+G5846*1000*(G5911)+G5856*1000*Pressupostos!$C$94</f>
        <v>223950</v>
      </c>
      <c r="H5968" s="2" t="s">
        <v>1298</v>
      </c>
    </row>
    <row r="5969" customFormat="false" ht="15" hidden="false" customHeight="false" outlineLevel="1" collapsed="false">
      <c r="A5969" s="7" t="s">
        <v>117</v>
      </c>
      <c r="B5969" s="8" t="s">
        <v>11</v>
      </c>
      <c r="C5969" s="61" t="n">
        <f aca="false">C5843*1000*(C5866)+C5844*1000*(C5889)+C5846*1000*(C5912)</f>
        <v>492</v>
      </c>
      <c r="D5969" s="61" t="n">
        <f aca="false">D5843*1000*(D5866)+D5844*1000*(D5889)+D5846*1000*(D5912)</f>
        <v>1845</v>
      </c>
      <c r="E5969" s="61" t="n">
        <f aca="false">E5843*1000*(E5866)+E5844*1000*(E5889)+E5846*1000*(E5912)</f>
        <v>4920</v>
      </c>
      <c r="F5969" s="61" t="n">
        <f aca="false">F5843*1000*(F5866)+F5844*1000*(F5889)+F5846*1000*(F5912)</f>
        <v>8610</v>
      </c>
      <c r="G5969" s="61" t="n">
        <f aca="false">G5843*1000*(G5866)+G5844*1000*(G5889)+G5846*1000*(G5912)</f>
        <v>12300</v>
      </c>
      <c r="H5969" s="2" t="s">
        <v>1299</v>
      </c>
    </row>
    <row r="5970" customFormat="false" ht="15" hidden="false" customHeight="false" outlineLevel="1" collapsed="false">
      <c r="A5970" s="7" t="s">
        <v>689</v>
      </c>
      <c r="B5970" s="8" t="s">
        <v>11</v>
      </c>
      <c r="C5970" s="61" t="n">
        <f aca="false">C5843*1000*(C5869+C5870)+C5844*1000*(C5892+C5893)+C5846*1000*(C5915+C5916)</f>
        <v>447.625205479452</v>
      </c>
      <c r="D5970" s="61" t="n">
        <f aca="false">D5843*1000*(D5869+D5870)+D5844*1000*(D5892+D5893)+D5846*1000*(D5915+D5916)</f>
        <v>2421.01643835616</v>
      </c>
      <c r="E5970" s="61" t="n">
        <f aca="false">E5843*1000*(E5869+E5870)+E5844*1000*(E5892+E5893)+E5846*1000*(E5915+E5916)</f>
        <v>3713.12054794521</v>
      </c>
      <c r="F5970" s="61" t="n">
        <f aca="false">F5843*1000*(F5869+F5870)+F5844*1000*(F5892+F5893)+F5846*1000*(F5915+F5916)</f>
        <v>6180.88493150685</v>
      </c>
      <c r="G5970" s="61" t="n">
        <f aca="false">G5843*1000*(G5869+G5870)+G5844*1000*(G5892+G5893)+G5846*1000*(G5915+G5916)</f>
        <v>9271.75342465753</v>
      </c>
      <c r="H5970" s="2" t="s">
        <v>1300</v>
      </c>
    </row>
    <row r="5971" customFormat="false" ht="15" hidden="false" customHeight="false" outlineLevel="1" collapsed="false">
      <c r="A5971" s="7" t="s">
        <v>690</v>
      </c>
      <c r="B5971" s="8" t="s">
        <v>11</v>
      </c>
      <c r="C5971" s="61" t="n">
        <f aca="false">C5843*1000*(C5871+C5872+C5873)+C5844*1000*(C5894+C5895+C5896)+C5846*1000*(C5917+C5918+C5919)</f>
        <v>2359.2</v>
      </c>
      <c r="D5971" s="61" t="n">
        <f aca="false">D5843*1000*(D5871+D5872+D5873)+D5844*1000*(D5894+D5895+D5896)+D5846*1000*(D5917+D5918+D5919)</f>
        <v>14853</v>
      </c>
      <c r="E5971" s="61" t="n">
        <f aca="false">E5843*1000*(E5871+E5872+E5873)+E5844*1000*(E5894+E5895+E5896)+E5846*1000*(E5917+E5918+E5919)</f>
        <v>29527.75</v>
      </c>
      <c r="F5971" s="61" t="n">
        <f aca="false">F5843*1000*(F5871+F5872+F5873)+F5844*1000*(F5894+F5895+F5896)+F5846*1000*(F5917+F5918+F5919)</f>
        <v>49108.5</v>
      </c>
      <c r="G5971" s="61" t="n">
        <f aca="false">G5843*1000*(G5871+G5872+G5873)+G5844*1000*(G5894+G5895+G5896)+G5846*1000*(G5917+G5918+G5919)</f>
        <v>73730</v>
      </c>
      <c r="H5971" s="2" t="s">
        <v>1301</v>
      </c>
    </row>
    <row r="5972" customFormat="false" ht="15" hidden="false" customHeight="false" outlineLevel="1" collapsed="false">
      <c r="A5972" s="7" t="s">
        <v>673</v>
      </c>
      <c r="B5972" s="8" t="s">
        <v>11</v>
      </c>
      <c r="C5972" s="61" t="n">
        <f aca="false">C5843*1000*(C5874)+C5844*1000*(C5897)+C5846*1000*(C5920)</f>
        <v>2900</v>
      </c>
      <c r="D5972" s="61" t="n">
        <f aca="false">D5843*1000*(D5874)+D5844*1000*(D5897)+D5846*1000*(D5920)</f>
        <v>17595</v>
      </c>
      <c r="E5972" s="61" t="n">
        <f aca="false">E5843*1000*(E5874)+E5844*1000*(E5897)+E5846*1000*(E5920)</f>
        <v>36880</v>
      </c>
      <c r="F5972" s="61" t="n">
        <f aca="false">F5843*1000*(F5874)+F5844*1000*(F5897)+F5846*1000*(F5920)</f>
        <v>61670</v>
      </c>
      <c r="G5972" s="61" t="n">
        <f aca="false">G5843*1000*(G5874)+G5844*1000*(G5897)+G5846*1000*(G5920)</f>
        <v>92100</v>
      </c>
      <c r="H5972" s="2" t="s">
        <v>1302</v>
      </c>
    </row>
    <row r="5973" customFormat="false" ht="15" hidden="false" customHeight="false" outlineLevel="1" collapsed="false">
      <c r="A5973" s="7" t="s">
        <v>691</v>
      </c>
      <c r="B5973" s="8" t="s">
        <v>11</v>
      </c>
      <c r="C5973" s="61" t="n">
        <f aca="false">C5843*1000*(C5875)+C5844*1000*(C5898)+C5846*1000*(C5921)+C5856*1000*Pressupostos!$C$99</f>
        <v>342</v>
      </c>
      <c r="D5973" s="61" t="n">
        <f aca="false">D5843*1000*(D5875)+D5844*1000*(D5898)+D5846*1000*(D5921)+D5856*1000*Pressupostos!$C$99</f>
        <v>2122.5</v>
      </c>
      <c r="E5973" s="61" t="n">
        <f aca="false">E5843*1000*(E5875)+E5844*1000*(E5898)+E5846*1000*(E5921)+E5856*1000*Pressupostos!$C$99</f>
        <v>4405</v>
      </c>
      <c r="F5973" s="61" t="n">
        <f aca="false">F5843*1000*(F5875)+F5844*1000*(F5898)+F5846*1000*(F5921)+F5856*1000*Pressupostos!$C$99</f>
        <v>7950</v>
      </c>
      <c r="G5973" s="61" t="n">
        <f aca="false">G5843*1000*(G5875)+G5844*1000*(G5898)+G5846*1000*(G5921)+G5856*1000*Pressupostos!$C$99</f>
        <v>12500</v>
      </c>
      <c r="H5973" s="2" t="s">
        <v>1303</v>
      </c>
    </row>
    <row r="5974" customFormat="false" ht="15" hidden="false" customHeight="false" outlineLevel="1" collapsed="false">
      <c r="A5974" s="7" t="s">
        <v>81</v>
      </c>
      <c r="B5974" s="8" t="s">
        <v>11</v>
      </c>
      <c r="C5974" s="61" t="n">
        <f aca="false">C5843*1000*(C5876)+C5844*1000*(C5899)+C5846*1000*(C5922)+C5856*1000*Pressupostos!$C$98*Pressupostos!$C$93</f>
        <v>676.596</v>
      </c>
      <c r="D5974" s="61" t="n">
        <f aca="false">D5843*1000*(D5876)+D5844*1000*(D5899)+D5846*1000*(D5922)+D5856*1000*Pressupostos!$C$98*Pressupostos!$C$93</f>
        <v>4122.315</v>
      </c>
      <c r="E5974" s="61" t="n">
        <f aca="false">E5843*1000*(E5876)+E5844*1000*(E5899)+E5846*1000*(E5922)+E5856*1000*Pressupostos!$C$98*Pressupostos!$C$93</f>
        <v>8624.655</v>
      </c>
      <c r="F5974" s="61" t="n">
        <f aca="false">F5843*1000*(F5876)+F5844*1000*(F5899)+F5846*1000*(F5922)+F5856*1000*Pressupostos!$C$98*Pressupostos!$C$93</f>
        <v>15358.185</v>
      </c>
      <c r="G5974" s="61" t="n">
        <f aca="false">G5843*1000*(G5876)+G5844*1000*(G5899)+G5846*1000*(G5922)+G5856*1000*Pressupostos!$C$98*Pressupostos!$C$93</f>
        <v>23893.05</v>
      </c>
      <c r="H5974" s="2" t="s">
        <v>1304</v>
      </c>
    </row>
    <row r="5975" customFormat="false" ht="15" hidden="false" customHeight="false" outlineLevel="1" collapsed="false">
      <c r="A5975" s="7" t="s">
        <v>692</v>
      </c>
      <c r="B5975" s="8" t="s">
        <v>11</v>
      </c>
      <c r="C5975" s="61" t="n">
        <f aca="false">C5843*1000*(C5877)+C5844*1000*(C5900)+C5846*1000*(C5923)+C5856*1000*Pressupostos!$F$29*Pressupostos!$C$92</f>
        <v>0</v>
      </c>
      <c r="D5975" s="61" t="n">
        <f aca="false">D5843*1000*(D5877)+D5844*1000*(D5900)+D5846*1000*(D5923)+D5856*1000*Pressupostos!$F$29*Pressupostos!$C$92</f>
        <v>0</v>
      </c>
      <c r="E5975" s="61" t="n">
        <f aca="false">E5843*1000*(E5877)+E5844*1000*(E5900)+E5846*1000*(E5923)+E5856*1000*Pressupostos!$F$29*Pressupostos!$C$92</f>
        <v>0</v>
      </c>
      <c r="F5975" s="61" t="n">
        <f aca="false">F5843*1000*(F5877)+F5844*1000*(F5900)+F5846*1000*(F5923)+F5856*1000*Pressupostos!$F$29*Pressupostos!$C$92</f>
        <v>420</v>
      </c>
      <c r="G5975" s="61" t="n">
        <f aca="false">G5843*1000*(G5877)+G5844*1000*(G5900)+G5846*1000*(G5923)+G5856*1000*Pressupostos!$F$29*Pressupostos!$C$92</f>
        <v>1050</v>
      </c>
      <c r="H5975" s="2" t="s">
        <v>1305</v>
      </c>
    </row>
    <row r="5976" customFormat="false" ht="15" hidden="false" customHeight="false" outlineLevel="1" collapsed="false">
      <c r="A5976" s="7" t="s">
        <v>693</v>
      </c>
      <c r="B5976" s="8" t="s">
        <v>11</v>
      </c>
      <c r="C5976" s="61" t="n">
        <f aca="false">C5859*1000*Pressupostos!$C$104*Pressupostos!$F$30</f>
        <v>0</v>
      </c>
      <c r="D5976" s="61" t="n">
        <f aca="false">D5859*1000*Pressupostos!$C$104*Pressupostos!$F$30</f>
        <v>0</v>
      </c>
      <c r="E5976" s="61" t="n">
        <f aca="false">E5859*1000*Pressupostos!$C$104*Pressupostos!$F$30</f>
        <v>0</v>
      </c>
      <c r="F5976" s="61" t="n">
        <f aca="false">F5859*1000*Pressupostos!$C$104*Pressupostos!$F$30</f>
        <v>0</v>
      </c>
      <c r="G5976" s="61" t="n">
        <f aca="false">G5859*1000*Pressupostos!$C$104*Pressupostos!$F$30</f>
        <v>0</v>
      </c>
      <c r="H5976" s="2" t="s">
        <v>1306</v>
      </c>
    </row>
    <row r="5977" customFormat="false" ht="15" hidden="false" customHeight="false" outlineLevel="1" collapsed="false">
      <c r="A5977" s="7" t="s">
        <v>694</v>
      </c>
      <c r="B5977" s="8" t="s">
        <v>11</v>
      </c>
      <c r="C5977" s="61" t="n">
        <f aca="false">C5847*1000*C5931</f>
        <v>0</v>
      </c>
      <c r="D5977" s="61" t="n">
        <f aca="false">D5847*1000*D5931</f>
        <v>9500</v>
      </c>
      <c r="E5977" s="61" t="n">
        <f aca="false">E5847*1000*E5931</f>
        <v>28500</v>
      </c>
      <c r="F5977" s="61" t="n">
        <f aca="false">F5847*1000*F5931</f>
        <v>47500</v>
      </c>
      <c r="G5977" s="61" t="n">
        <f aca="false">G5847*1000*G5931</f>
        <v>66500</v>
      </c>
      <c r="H5977" s="2" t="s">
        <v>1307</v>
      </c>
    </row>
    <row r="5978" customFormat="false" ht="15" hidden="false" customHeight="false" outlineLevel="1" collapsed="false">
      <c r="A5978" s="7" t="s">
        <v>695</v>
      </c>
      <c r="B5978" s="8" t="s">
        <v>11</v>
      </c>
      <c r="C5978" s="61" t="n">
        <f aca="false">C5968+C5969+C5970+C5971+C5972+C5973+C5974+C5975+C5976+C5977</f>
        <v>14877.4212054795</v>
      </c>
      <c r="D5978" s="61" t="n">
        <f aca="false">D5968+D5969+D5970+D5971+D5972+D5973+D5974+D5975+D5976+D5977</f>
        <v>97983.8314383562</v>
      </c>
      <c r="E5978" s="61" t="n">
        <f aca="false">E5968+E5969+E5970+E5971+E5972+E5973+E5974+E5975+E5976+E5977</f>
        <v>204060.525547945</v>
      </c>
      <c r="F5978" s="61" t="n">
        <f aca="false">F5968+F5969+F5970+F5971+F5972+F5973+F5974+F5975+F5976+F5977</f>
        <v>345012.569931507</v>
      </c>
      <c r="G5978" s="61" t="n">
        <f aca="false">G5968+G5969+G5970+G5971+G5972+G5973+G5974+G5975+G5976+G5977</f>
        <v>515294.803424658</v>
      </c>
      <c r="H5978" s="2" t="s">
        <v>1308</v>
      </c>
    </row>
    <row r="5979" customFormat="false" ht="15" hidden="false" customHeight="false" outlineLevel="1" collapsed="false">
      <c r="A5979" s="7" t="s">
        <v>696</v>
      </c>
      <c r="B5979" s="8" t="s">
        <v>11</v>
      </c>
      <c r="C5979" s="61" t="n">
        <f aca="false">C5843*1000*(C5878)+C5844*1000*(C5901)+C5846*1000*(C5924)</f>
        <v>0</v>
      </c>
      <c r="D5979" s="61" t="n">
        <f aca="false">D5843*1000*(D5878)+D5844*1000*(D5901)+D5846*1000*(D5924)</f>
        <v>15989.2936643836</v>
      </c>
      <c r="E5979" s="61" t="n">
        <f aca="false">E5843*1000*(E5878)+E5844*1000*(E5901)+E5846*1000*(E5924)</f>
        <v>25277.8253424658</v>
      </c>
      <c r="F5979" s="61" t="n">
        <f aca="false">F5843*1000*(F5878)+F5844*1000*(F5901)+F5846*1000*(F5924)</f>
        <v>39158.5723458904</v>
      </c>
      <c r="G5979" s="61" t="n">
        <f aca="false">G5843*1000*(G5878)+G5844*1000*(G5901)+G5846*1000*(G5924)</f>
        <v>58907.4272260274</v>
      </c>
      <c r="H5979" s="2" t="s">
        <v>1309</v>
      </c>
    </row>
    <row r="5980" customFormat="false" ht="15" hidden="false" customHeight="false" outlineLevel="1" collapsed="false">
      <c r="A5980" s="7" t="s">
        <v>697</v>
      </c>
      <c r="B5980" s="8" t="s">
        <v>11</v>
      </c>
      <c r="C5980" s="61" t="n">
        <f aca="false">C5856*1000*C5958</f>
        <v>0</v>
      </c>
      <c r="D5980" s="61" t="n">
        <f aca="false">D5856*1000*D5958</f>
        <v>0</v>
      </c>
      <c r="E5980" s="61" t="n">
        <f aca="false">E5856*1000*E5958</f>
        <v>0</v>
      </c>
      <c r="F5980" s="61" t="n">
        <f aca="false">F5856*1000*F5958</f>
        <v>1132.70547945206</v>
      </c>
      <c r="G5980" s="61" t="n">
        <f aca="false">G5856*1000*G5958</f>
        <v>2831.76369863014</v>
      </c>
      <c r="H5980" s="2" t="s">
        <v>1310</v>
      </c>
    </row>
    <row r="5981" customFormat="false" ht="15" hidden="false" customHeight="false" outlineLevel="1" collapsed="false">
      <c r="A5981" s="7" t="s">
        <v>698</v>
      </c>
      <c r="B5981" s="8" t="s">
        <v>11</v>
      </c>
      <c r="C5981" s="61" t="n">
        <f aca="false">C5979+C5980</f>
        <v>0</v>
      </c>
      <c r="D5981" s="61" t="n">
        <f aca="false">D5979+D5980</f>
        <v>15989.2936643836</v>
      </c>
      <c r="E5981" s="61" t="n">
        <f aca="false">E5979+E5980</f>
        <v>25277.8253424658</v>
      </c>
      <c r="F5981" s="61" t="n">
        <f aca="false">F5979+F5980</f>
        <v>40291.2778253425</v>
      </c>
      <c r="G5981" s="61" t="n">
        <f aca="false">G5979+G5980</f>
        <v>61739.1909246575</v>
      </c>
      <c r="H5981" s="2" t="s">
        <v>1311</v>
      </c>
    </row>
    <row r="5982" customFormat="false" ht="15" hidden="false" customHeight="false" outlineLevel="1" collapsed="false">
      <c r="A5982" s="8" t="s">
        <v>699</v>
      </c>
      <c r="B5982" s="8" t="s">
        <v>11</v>
      </c>
      <c r="C5982" s="70" t="n">
        <f aca="false">ROUND(C5944-C5967-C5978-C5981-C5963,6)</f>
        <v>-0</v>
      </c>
      <c r="D5982" s="70" t="n">
        <f aca="false">ROUND(D5944-D5967-D5978-D5981-D5963,6)</f>
        <v>-0</v>
      </c>
      <c r="E5982" s="70" t="n">
        <f aca="false">ROUND(E5944-E5967-E5978-E5981-E5963,6)</f>
        <v>-0</v>
      </c>
      <c r="F5982" s="70" t="n">
        <f aca="false">ROUND(F5944-F5967-F5978-F5981-F5963,6)</f>
        <v>-0</v>
      </c>
      <c r="G5982" s="70" t="n">
        <f aca="false">ROUND(G5944-G5967-G5978-G5981-G5963,6)</f>
        <v>-0</v>
      </c>
      <c r="H5982" s="2" t="s">
        <v>1312</v>
      </c>
    </row>
    <row r="5983" customFormat="false" ht="15" hidden="false" customHeight="false" outlineLevel="0" collapsed="false">
      <c r="A5983" s="3" t="s">
        <v>1313</v>
      </c>
      <c r="B5983" s="4"/>
      <c r="C5983" s="4"/>
      <c r="D5983" s="4"/>
      <c r="E5983" s="4"/>
      <c r="F5983" s="4"/>
      <c r="G5983" s="4"/>
      <c r="H5983" s="4"/>
    </row>
    <row r="5984" customFormat="false" ht="15" hidden="false" customHeight="false" outlineLevel="1" collapsed="false">
      <c r="A5984" s="7" t="s">
        <v>638</v>
      </c>
      <c r="B5984" s="8" t="s">
        <v>432</v>
      </c>
      <c r="C5984" s="64" t="n">
        <f aca="false">Pressupostos!$C$334</f>
        <v>1</v>
      </c>
      <c r="D5984" s="64" t="n">
        <f aca="false">Pressupostos!$D$334</f>
        <v>1</v>
      </c>
      <c r="E5984" s="64" t="n">
        <f aca="false">Pressupostos!$E$334</f>
        <v>1</v>
      </c>
      <c r="F5984" s="64" t="n">
        <f aca="false">Pressupostos!$F$334</f>
        <v>1</v>
      </c>
      <c r="G5984" s="64" t="n">
        <f aca="false">Pressupostos!$G$334</f>
        <v>1</v>
      </c>
      <c r="H5984" s="2" t="s">
        <v>1314</v>
      </c>
    </row>
    <row r="5985" customFormat="false" ht="15" hidden="false" customHeight="false" outlineLevel="1" collapsed="false">
      <c r="A5985" s="7" t="s">
        <v>639</v>
      </c>
      <c r="B5985" s="8" t="s">
        <v>432</v>
      </c>
      <c r="C5985" s="64" t="n">
        <f aca="false">Pressupostos!$C$340</f>
        <v>1</v>
      </c>
      <c r="D5985" s="64" t="n">
        <f aca="false">Pressupostos!$D$340</f>
        <v>1</v>
      </c>
      <c r="E5985" s="64" t="n">
        <f aca="false">Pressupostos!$E$340</f>
        <v>1</v>
      </c>
      <c r="F5985" s="64" t="n">
        <f aca="false">Pressupostos!$F$340</f>
        <v>1</v>
      </c>
      <c r="G5985" s="64" t="n">
        <f aca="false">Pressupostos!$G$340</f>
        <v>1</v>
      </c>
      <c r="H5985" s="2" t="s">
        <v>1315</v>
      </c>
    </row>
    <row r="5986" customFormat="false" ht="15" hidden="false" customHeight="false" outlineLevel="1" collapsed="false">
      <c r="A5986" s="7" t="s">
        <v>640</v>
      </c>
      <c r="B5986" s="8" t="s">
        <v>432</v>
      </c>
      <c r="C5986" s="64" t="n">
        <f aca="false">Pressupostos!$C$346</f>
        <v>0</v>
      </c>
      <c r="D5986" s="64" t="n">
        <f aca="false">Pressupostos!$D$346</f>
        <v>1</v>
      </c>
      <c r="E5986" s="64" t="n">
        <f aca="false">Pressupostos!$E$346</f>
        <v>1</v>
      </c>
      <c r="F5986" s="64" t="n">
        <f aca="false">Pressupostos!$F$346</f>
        <v>1</v>
      </c>
      <c r="G5986" s="64" t="n">
        <f aca="false">Pressupostos!$G$346</f>
        <v>1</v>
      </c>
      <c r="H5986" s="2" t="s">
        <v>1316</v>
      </c>
    </row>
    <row r="5987" customFormat="false" ht="15" hidden="false" customHeight="false" outlineLevel="1" collapsed="false">
      <c r="A5987" s="7" t="s">
        <v>641</v>
      </c>
      <c r="B5987" s="8" t="s">
        <v>432</v>
      </c>
      <c r="C5987" s="64" t="n">
        <f aca="false">Pressupostos!$C$352</f>
        <v>0.5</v>
      </c>
      <c r="D5987" s="64" t="n">
        <f aca="false">Pressupostos!$D$352</f>
        <v>1</v>
      </c>
      <c r="E5987" s="64" t="n">
        <f aca="false">Pressupostos!$E$352</f>
        <v>1</v>
      </c>
      <c r="F5987" s="64" t="n">
        <f aca="false">Pressupostos!$F$352</f>
        <v>1</v>
      </c>
      <c r="G5987" s="64" t="n">
        <f aca="false">Pressupostos!$G$352</f>
        <v>1</v>
      </c>
      <c r="H5987" s="2" t="s">
        <v>1317</v>
      </c>
    </row>
    <row r="5988" customFormat="false" ht="15" hidden="false" customHeight="false" outlineLevel="1" collapsed="false">
      <c r="A5988" s="7" t="s">
        <v>642</v>
      </c>
      <c r="B5988" s="8" t="s">
        <v>432</v>
      </c>
      <c r="C5988" s="64" t="n">
        <f aca="false">Pressupostos!$C$358</f>
        <v>0.5</v>
      </c>
      <c r="D5988" s="64" t="n">
        <f aca="false">Pressupostos!$D$358</f>
        <v>0.5</v>
      </c>
      <c r="E5988" s="64" t="n">
        <f aca="false">Pressupostos!$E$358</f>
        <v>0.5</v>
      </c>
      <c r="F5988" s="64" t="n">
        <f aca="false">Pressupostos!$F$358</f>
        <v>1</v>
      </c>
      <c r="G5988" s="64" t="n">
        <f aca="false">Pressupostos!$G$358</f>
        <v>1</v>
      </c>
      <c r="H5988" s="2" t="s">
        <v>1318</v>
      </c>
    </row>
    <row r="5989" customFormat="false" ht="15" hidden="false" customHeight="false" outlineLevel="1" collapsed="false">
      <c r="A5989" s="7" t="s">
        <v>643</v>
      </c>
      <c r="B5989" s="8" t="s">
        <v>432</v>
      </c>
      <c r="C5989" s="64" t="n">
        <f aca="false">Pressupostos!$C$364</f>
        <v>1</v>
      </c>
      <c r="D5989" s="64" t="n">
        <f aca="false">Pressupostos!$D$364</f>
        <v>1</v>
      </c>
      <c r="E5989" s="64" t="n">
        <f aca="false">Pressupostos!$E$364</f>
        <v>1</v>
      </c>
      <c r="F5989" s="64" t="n">
        <f aca="false">Pressupostos!$F$364</f>
        <v>1</v>
      </c>
      <c r="G5989" s="64" t="n">
        <f aca="false">Pressupostos!$G$364</f>
        <v>1</v>
      </c>
      <c r="H5989" s="2" t="s">
        <v>1319</v>
      </c>
    </row>
    <row r="5990" customFormat="false" ht="15" hidden="false" customHeight="false" outlineLevel="1" collapsed="false">
      <c r="A5990" s="7" t="s">
        <v>644</v>
      </c>
      <c r="B5990" s="8" t="s">
        <v>432</v>
      </c>
      <c r="C5990" s="64" t="n">
        <f aca="false">Pressupostos!$C$370</f>
        <v>0.5</v>
      </c>
      <c r="D5990" s="64" t="n">
        <f aca="false">Pressupostos!$D$370</f>
        <v>1</v>
      </c>
      <c r="E5990" s="64" t="n">
        <f aca="false">Pressupostos!$E$370</f>
        <v>1</v>
      </c>
      <c r="F5990" s="64" t="n">
        <f aca="false">Pressupostos!$F$370</f>
        <v>1</v>
      </c>
      <c r="G5990" s="64" t="n">
        <f aca="false">Pressupostos!$G$370</f>
        <v>1</v>
      </c>
      <c r="H5990" s="2" t="s">
        <v>1320</v>
      </c>
    </row>
    <row r="5991" customFormat="false" ht="15" hidden="false" customHeight="false" outlineLevel="1" collapsed="false">
      <c r="A5991" s="7" t="s">
        <v>645</v>
      </c>
      <c r="B5991" s="8" t="s">
        <v>432</v>
      </c>
      <c r="C5991" s="64" t="n">
        <f aca="false">Pressupostos!$C$376</f>
        <v>1</v>
      </c>
      <c r="D5991" s="64" t="n">
        <f aca="false">Pressupostos!$D$376</f>
        <v>1</v>
      </c>
      <c r="E5991" s="64" t="n">
        <f aca="false">Pressupostos!$E$376</f>
        <v>1</v>
      </c>
      <c r="F5991" s="64" t="n">
        <f aca="false">Pressupostos!$F$376</f>
        <v>2</v>
      </c>
      <c r="G5991" s="64" t="n">
        <f aca="false">Pressupostos!$G$376</f>
        <v>3</v>
      </c>
      <c r="H5991" s="2" t="s">
        <v>1321</v>
      </c>
    </row>
    <row r="5992" customFormat="false" ht="15" hidden="false" customHeight="false" outlineLevel="1" collapsed="false">
      <c r="A5992" s="7" t="s">
        <v>646</v>
      </c>
      <c r="B5992" s="8" t="s">
        <v>432</v>
      </c>
      <c r="C5992" s="64" t="n">
        <f aca="false">Pressupostos!$C$382</f>
        <v>0</v>
      </c>
      <c r="D5992" s="64" t="n">
        <f aca="false">Pressupostos!$D$382</f>
        <v>0</v>
      </c>
      <c r="E5992" s="64" t="n">
        <f aca="false">Pressupostos!$E$382</f>
        <v>0</v>
      </c>
      <c r="F5992" s="64" t="n">
        <f aca="false">Pressupostos!$F$382</f>
        <v>0</v>
      </c>
      <c r="G5992" s="64" t="n">
        <f aca="false">Pressupostos!$G$382</f>
        <v>0</v>
      </c>
      <c r="H5992" s="2" t="s">
        <v>1322</v>
      </c>
    </row>
    <row r="5993" customFormat="false" ht="15" hidden="false" customHeight="false" outlineLevel="1" collapsed="false">
      <c r="A5993" s="7" t="s">
        <v>647</v>
      </c>
      <c r="B5993" s="8" t="s">
        <v>432</v>
      </c>
      <c r="C5993" s="64" t="n">
        <f aca="false">Pressupostos!$C$388</f>
        <v>0</v>
      </c>
      <c r="D5993" s="64" t="n">
        <f aca="false">Pressupostos!$D$388</f>
        <v>0</v>
      </c>
      <c r="E5993" s="64" t="n">
        <f aca="false">Pressupostos!$E$388</f>
        <v>0</v>
      </c>
      <c r="F5993" s="64" t="n">
        <f aca="false">Pressupostos!$F$388</f>
        <v>0</v>
      </c>
      <c r="G5993" s="64" t="n">
        <f aca="false">Pressupostos!$G$388</f>
        <v>0</v>
      </c>
      <c r="H5993" s="2" t="s">
        <v>1323</v>
      </c>
    </row>
    <row r="5994" customFormat="false" ht="15" hidden="false" customHeight="false" outlineLevel="1" collapsed="false">
      <c r="A5994" s="7" t="s">
        <v>648</v>
      </c>
      <c r="B5994" s="8" t="s">
        <v>432</v>
      </c>
      <c r="C5994" s="64" t="n">
        <f aca="false">Pressupostos!$C$394</f>
        <v>0</v>
      </c>
      <c r="D5994" s="64" t="n">
        <f aca="false">Pressupostos!$D$394</f>
        <v>0</v>
      </c>
      <c r="E5994" s="64" t="n">
        <f aca="false">Pressupostos!$E$394</f>
        <v>0</v>
      </c>
      <c r="F5994" s="64" t="n">
        <f aca="false">Pressupostos!$F$394</f>
        <v>1</v>
      </c>
      <c r="G5994" s="64" t="n">
        <f aca="false">Pressupostos!$G$394</f>
        <v>1</v>
      </c>
      <c r="H5994" s="2" t="s">
        <v>1324</v>
      </c>
    </row>
    <row r="5995" customFormat="false" ht="15" hidden="false" customHeight="false" outlineLevel="1" collapsed="false">
      <c r="A5995" s="7" t="s">
        <v>649</v>
      </c>
      <c r="B5995" s="8" t="s">
        <v>432</v>
      </c>
      <c r="C5995" s="64" t="n">
        <f aca="false">Pressupostos!$C$400</f>
        <v>0</v>
      </c>
      <c r="D5995" s="64" t="n">
        <f aca="false">Pressupostos!$D$400</f>
        <v>0</v>
      </c>
      <c r="E5995" s="64" t="n">
        <f aca="false">Pressupostos!$E$400</f>
        <v>1</v>
      </c>
      <c r="F5995" s="64" t="n">
        <f aca="false">Pressupostos!$F$400</f>
        <v>1</v>
      </c>
      <c r="G5995" s="64" t="n">
        <f aca="false">Pressupostos!$G$400</f>
        <v>1</v>
      </c>
      <c r="H5995" s="2" t="s">
        <v>1325</v>
      </c>
    </row>
    <row r="5996" customFormat="false" ht="15" hidden="false" customHeight="false" outlineLevel="1" collapsed="false">
      <c r="A5996" s="56" t="s">
        <v>650</v>
      </c>
      <c r="B5996" s="57" t="s">
        <v>432</v>
      </c>
      <c r="C5996" s="65" t="n">
        <f aca="false">C5984+C5985+C5986+C5987+C5988+C5989+C5990+C5991+C5992+C5993+C5994+C5995</f>
        <v>5.5</v>
      </c>
      <c r="D5996" s="65" t="n">
        <f aca="false">D5984+D5985+D5986+D5987+D5988+D5989+D5990+D5991+D5992+D5993+D5994+D5995</f>
        <v>7.5</v>
      </c>
      <c r="E5996" s="65" t="n">
        <f aca="false">E5984+E5985+E5986+E5987+E5988+E5989+E5990+E5991+E5992+E5993+E5994+E5995</f>
        <v>8.5</v>
      </c>
      <c r="F5996" s="65" t="n">
        <f aca="false">F5984+F5985+F5986+F5987+F5988+F5989+F5990+F5991+F5992+F5993+F5994+F5995</f>
        <v>11</v>
      </c>
      <c r="G5996" s="65" t="n">
        <f aca="false">G5984+G5985+G5986+G5987+G5988+G5989+G5990+G5991+G5992+G5993+G5994+G5995</f>
        <v>12</v>
      </c>
      <c r="H5996" s="2" t="s">
        <v>1326</v>
      </c>
    </row>
    <row r="5997" customFormat="false" ht="15" hidden="false" customHeight="false" outlineLevel="0" collapsed="false">
      <c r="A5997" s="3" t="s">
        <v>1327</v>
      </c>
      <c r="B5997" s="4"/>
      <c r="C5997" s="4"/>
      <c r="D5997" s="4"/>
      <c r="E5997" s="4"/>
      <c r="F5997" s="4"/>
      <c r="G5997" s="4"/>
      <c r="H5997" s="4"/>
    </row>
    <row r="5998" customFormat="false" ht="15" hidden="false" customHeight="false" outlineLevel="1" collapsed="false">
      <c r="A5998" s="7" t="s">
        <v>638</v>
      </c>
      <c r="B5998" s="8" t="s">
        <v>11</v>
      </c>
      <c r="C5998" s="61" t="n">
        <f aca="false">C5984*Pressupostos!$C$131*(1+Pressupostos!$C$127)^0*(1+Pressupostos!$C$132)*Pressupostos!$C$128</f>
        <v>43998</v>
      </c>
      <c r="D5998" s="61" t="n">
        <f aca="false">D5984*Pressupostos!$C$131*(1+Pressupostos!$C$127)^1*(1+Pressupostos!$C$132)</f>
        <v>61800</v>
      </c>
      <c r="E5998" s="61" t="n">
        <f aca="false">E5984*Pressupostos!$C$131*(1+Pressupostos!$C$127)^2*(1+Pressupostos!$C$132)</f>
        <v>63654</v>
      </c>
      <c r="F5998" s="61" t="n">
        <f aca="false">F5984*Pressupostos!$C$131*(1+Pressupostos!$C$127)^3*(1+Pressupostos!$C$132)</f>
        <v>65563.62</v>
      </c>
      <c r="G5998" s="61" t="n">
        <f aca="false">G5984*Pressupostos!$C$131*(1+Pressupostos!$C$127)^4*(1+Pressupostos!$C$132)</f>
        <v>67530.5286</v>
      </c>
      <c r="H5998" s="2" t="s">
        <v>1328</v>
      </c>
    </row>
    <row r="5999" customFormat="false" ht="15" hidden="false" customHeight="false" outlineLevel="1" collapsed="false">
      <c r="A5999" s="7" t="s">
        <v>639</v>
      </c>
      <c r="B5999" s="8" t="s">
        <v>11</v>
      </c>
      <c r="C5999" s="61" t="n">
        <f aca="false">C5985*Pressupostos!$C$133*(1+Pressupostos!$C$127)^0*(1+Pressupostos!$C$134)*Pressupostos!$C$128</f>
        <v>47664.5</v>
      </c>
      <c r="D5999" s="61" t="n">
        <f aca="false">D5985*Pressupostos!$C$133*(1+Pressupostos!$C$127)^1*(1+Pressupostos!$C$134)</f>
        <v>66950</v>
      </c>
      <c r="E5999" s="61" t="n">
        <f aca="false">E5985*Pressupostos!$C$133*(1+Pressupostos!$C$127)^2*(1+Pressupostos!$C$134)</f>
        <v>68958.5</v>
      </c>
      <c r="F5999" s="61" t="n">
        <f aca="false">F5985*Pressupostos!$C$133*(1+Pressupostos!$C$127)^3*(1+Pressupostos!$C$134)</f>
        <v>71027.255</v>
      </c>
      <c r="G5999" s="61" t="n">
        <f aca="false">G5985*Pressupostos!$C$133*(1+Pressupostos!$C$127)^4*(1+Pressupostos!$C$134)</f>
        <v>73158.07265</v>
      </c>
      <c r="H5999" s="2" t="s">
        <v>1329</v>
      </c>
    </row>
    <row r="6000" customFormat="false" ht="15" hidden="false" customHeight="false" outlineLevel="1" collapsed="false">
      <c r="A6000" s="7" t="s">
        <v>640</v>
      </c>
      <c r="B6000" s="8" t="s">
        <v>11</v>
      </c>
      <c r="C6000" s="61" t="n">
        <f aca="false">C5986*Pressupostos!$C$135*(1+Pressupostos!$C$127)^0*(1+Pressupostos!$C$136)</f>
        <v>0</v>
      </c>
      <c r="D6000" s="61" t="n">
        <f aca="false">D5986*Pressupostos!$C$135*(1+Pressupostos!$C$127)^1*(1+Pressupostos!$C$136)</f>
        <v>46350</v>
      </c>
      <c r="E6000" s="61" t="n">
        <f aca="false">E5986*Pressupostos!$C$135*(1+Pressupostos!$C$127)^2*(1+Pressupostos!$C$136)</f>
        <v>47740.5</v>
      </c>
      <c r="F6000" s="61" t="n">
        <f aca="false">F5986*Pressupostos!$C$135*(1+Pressupostos!$C$127)^3*(1+Pressupostos!$C$136)</f>
        <v>49172.715</v>
      </c>
      <c r="G6000" s="61" t="n">
        <f aca="false">G5986*Pressupostos!$C$135*(1+Pressupostos!$C$127)^4*(1+Pressupostos!$C$136)</f>
        <v>50647.89645</v>
      </c>
      <c r="H6000" s="2" t="s">
        <v>1330</v>
      </c>
    </row>
    <row r="6001" customFormat="false" ht="15" hidden="false" customHeight="false" outlineLevel="1" collapsed="false">
      <c r="A6001" s="7" t="s">
        <v>641</v>
      </c>
      <c r="B6001" s="8" t="s">
        <v>11</v>
      </c>
      <c r="C6001" s="61" t="n">
        <f aca="false">C5987*Pressupostos!$C$137*(1+Pressupostos!$C$127)^0*(1+Pressupostos!$C$138)</f>
        <v>30000</v>
      </c>
      <c r="D6001" s="61" t="n">
        <f aca="false">D5987*Pressupostos!$C$137*(1+Pressupostos!$C$127)^1*(1+Pressupostos!$C$138)</f>
        <v>61800</v>
      </c>
      <c r="E6001" s="61" t="n">
        <f aca="false">E5987*Pressupostos!$C$137*(1+Pressupostos!$C$127)^2*(1+Pressupostos!$C$138)</f>
        <v>63654</v>
      </c>
      <c r="F6001" s="61" t="n">
        <f aca="false">F5987*Pressupostos!$C$137*(1+Pressupostos!$C$127)^3*(1+Pressupostos!$C$138)</f>
        <v>65563.62</v>
      </c>
      <c r="G6001" s="61" t="n">
        <f aca="false">G5987*Pressupostos!$C$137*(1+Pressupostos!$C$127)^4*(1+Pressupostos!$C$138)</f>
        <v>67530.5286</v>
      </c>
      <c r="H6001" s="2" t="s">
        <v>1331</v>
      </c>
    </row>
    <row r="6002" customFormat="false" ht="15" hidden="false" customHeight="false" outlineLevel="1" collapsed="false">
      <c r="A6002" s="7" t="s">
        <v>642</v>
      </c>
      <c r="B6002" s="8" t="s">
        <v>11</v>
      </c>
      <c r="C6002" s="61" t="n">
        <f aca="false">C5988*Pressupostos!$C$139*(1+Pressupostos!$C$127)^0*(1+Pressupostos!$C$140)</f>
        <v>22500</v>
      </c>
      <c r="D6002" s="61" t="n">
        <f aca="false">D5988*Pressupostos!$C$139*(1+Pressupostos!$C$127)^1*(1+Pressupostos!$C$140)</f>
        <v>23175</v>
      </c>
      <c r="E6002" s="61" t="n">
        <f aca="false">E5988*Pressupostos!$C$139*(1+Pressupostos!$C$127)^2*(1+Pressupostos!$C$140)</f>
        <v>23870.25</v>
      </c>
      <c r="F6002" s="61" t="n">
        <f aca="false">F5988*Pressupostos!$C$139*(1+Pressupostos!$C$127)^3*(1+Pressupostos!$C$140)</f>
        <v>49172.715</v>
      </c>
      <c r="G6002" s="61" t="n">
        <f aca="false">G5988*Pressupostos!$C$139*(1+Pressupostos!$C$127)^4*(1+Pressupostos!$C$140)</f>
        <v>50647.89645</v>
      </c>
      <c r="H6002" s="2" t="s">
        <v>1332</v>
      </c>
    </row>
    <row r="6003" customFormat="false" ht="15" hidden="false" customHeight="false" outlineLevel="1" collapsed="false">
      <c r="A6003" s="7" t="s">
        <v>643</v>
      </c>
      <c r="B6003" s="8" t="s">
        <v>11</v>
      </c>
      <c r="C6003" s="61" t="n">
        <f aca="false">C5989*Pressupostos!$C$141*(1+Pressupostos!$C$127)^0*(1+Pressupostos!$C$142)</f>
        <v>38000</v>
      </c>
      <c r="D6003" s="61" t="n">
        <f aca="false">D5989*Pressupostos!$C$141*(1+Pressupostos!$C$127)^1*(1+Pressupostos!$C$142)</f>
        <v>39140</v>
      </c>
      <c r="E6003" s="61" t="n">
        <f aca="false">E5989*Pressupostos!$C$141*(1+Pressupostos!$C$127)^2*(1+Pressupostos!$C$142)</f>
        <v>40314.2</v>
      </c>
      <c r="F6003" s="61" t="n">
        <f aca="false">F5989*Pressupostos!$C$141*(1+Pressupostos!$C$127)^3*(1+Pressupostos!$C$142)</f>
        <v>41523.626</v>
      </c>
      <c r="G6003" s="61" t="n">
        <f aca="false">G5989*Pressupostos!$C$141*(1+Pressupostos!$C$127)^4*(1+Pressupostos!$C$142)</f>
        <v>42769.33478</v>
      </c>
      <c r="H6003" s="2" t="s">
        <v>1333</v>
      </c>
    </row>
    <row r="6004" customFormat="false" ht="15" hidden="false" customHeight="false" outlineLevel="1" collapsed="false">
      <c r="A6004" s="7" t="s">
        <v>644</v>
      </c>
      <c r="B6004" s="8" t="s">
        <v>11</v>
      </c>
      <c r="C6004" s="61" t="n">
        <f aca="false">C5990*Pressupostos!$C$143*(1+Pressupostos!$C$127)^0*(1+Pressupostos!$C$144)</f>
        <v>16000</v>
      </c>
      <c r="D6004" s="61" t="n">
        <f aca="false">D5990*Pressupostos!$C$143*(1+Pressupostos!$C$127)^1*(1+Pressupostos!$C$144)</f>
        <v>32960</v>
      </c>
      <c r="E6004" s="61" t="n">
        <f aca="false">E5990*Pressupostos!$C$143*(1+Pressupostos!$C$127)^2*(1+Pressupostos!$C$144)</f>
        <v>33948.8</v>
      </c>
      <c r="F6004" s="61" t="n">
        <f aca="false">F5990*Pressupostos!$C$143*(1+Pressupostos!$C$127)^3*(1+Pressupostos!$C$144)</f>
        <v>34967.264</v>
      </c>
      <c r="G6004" s="61" t="n">
        <f aca="false">G5990*Pressupostos!$C$143*(1+Pressupostos!$C$127)^4*(1+Pressupostos!$C$144)</f>
        <v>36016.28192</v>
      </c>
      <c r="H6004" s="2" t="s">
        <v>1334</v>
      </c>
    </row>
    <row r="6005" customFormat="false" ht="15" hidden="false" customHeight="false" outlineLevel="1" collapsed="false">
      <c r="A6005" s="7" t="s">
        <v>645</v>
      </c>
      <c r="B6005" s="8" t="s">
        <v>11</v>
      </c>
      <c r="C6005" s="61" t="n">
        <f aca="false">C5991*Pressupostos!$C$145*(1+Pressupostos!$C$127)^0*(1+Pressupostos!$C$146)</f>
        <v>34500</v>
      </c>
      <c r="D6005" s="61" t="n">
        <f aca="false">D5991*Pressupostos!$C$145*(1+Pressupostos!$C$127)^1*(1+Pressupostos!$C$146)</f>
        <v>35535</v>
      </c>
      <c r="E6005" s="61" t="n">
        <f aca="false">E5991*Pressupostos!$C$145*(1+Pressupostos!$C$127)^2*(1+Pressupostos!$C$146)</f>
        <v>36601.05</v>
      </c>
      <c r="F6005" s="61" t="n">
        <f aca="false">F5991*Pressupostos!$C$145*(1+Pressupostos!$C$127)^3*(1+Pressupostos!$C$146)</f>
        <v>75398.163</v>
      </c>
      <c r="G6005" s="61" t="n">
        <f aca="false">G5991*Pressupostos!$C$145*(1+Pressupostos!$C$127)^4*(1+Pressupostos!$C$146)</f>
        <v>116490.161835</v>
      </c>
      <c r="H6005" s="2" t="s">
        <v>1335</v>
      </c>
    </row>
    <row r="6006" customFormat="false" ht="15" hidden="false" customHeight="false" outlineLevel="1" collapsed="false">
      <c r="A6006" s="7" t="s">
        <v>646</v>
      </c>
      <c r="B6006" s="8" t="s">
        <v>11</v>
      </c>
      <c r="C6006" s="61" t="n">
        <f aca="false">C5992*Pressupostos!$C$147*(1+Pressupostos!$C$127)^0*(1+Pressupostos!$C$148)</f>
        <v>0</v>
      </c>
      <c r="D6006" s="61" t="n">
        <f aca="false">D5992*Pressupostos!$C$147*(1+Pressupostos!$C$127)^1*(1+Pressupostos!$C$148)</f>
        <v>0</v>
      </c>
      <c r="E6006" s="61" t="n">
        <f aca="false">E5992*Pressupostos!$C$147*(1+Pressupostos!$C$127)^2*(1+Pressupostos!$C$148)</f>
        <v>0</v>
      </c>
      <c r="F6006" s="61" t="n">
        <f aca="false">F5992*Pressupostos!$C$147*(1+Pressupostos!$C$127)^3*(1+Pressupostos!$C$148)</f>
        <v>0</v>
      </c>
      <c r="G6006" s="61" t="n">
        <f aca="false">G5992*Pressupostos!$C$147*(1+Pressupostos!$C$127)^4*(1+Pressupostos!$C$148)</f>
        <v>0</v>
      </c>
      <c r="H6006" s="2" t="s">
        <v>1336</v>
      </c>
    </row>
    <row r="6007" customFormat="false" ht="15" hidden="false" customHeight="false" outlineLevel="1" collapsed="false">
      <c r="A6007" s="7" t="s">
        <v>647</v>
      </c>
      <c r="B6007" s="8" t="s">
        <v>11</v>
      </c>
      <c r="C6007" s="61" t="n">
        <f aca="false">C5993*Pressupostos!$C$149*(1+Pressupostos!$C$127)^0*(1+Pressupostos!$C$150)</f>
        <v>0</v>
      </c>
      <c r="D6007" s="61" t="n">
        <f aca="false">D5993*Pressupostos!$C$149*(1+Pressupostos!$C$127)^1*(1+Pressupostos!$C$150)</f>
        <v>0</v>
      </c>
      <c r="E6007" s="61" t="n">
        <f aca="false">E5993*Pressupostos!$C$149*(1+Pressupostos!$C$127)^2*(1+Pressupostos!$C$150)</f>
        <v>0</v>
      </c>
      <c r="F6007" s="61" t="n">
        <f aca="false">F5993*Pressupostos!$C$149*(1+Pressupostos!$C$127)^3*(1+Pressupostos!$C$150)</f>
        <v>0</v>
      </c>
      <c r="G6007" s="61" t="n">
        <f aca="false">G5993*Pressupostos!$C$149*(1+Pressupostos!$C$127)^4*(1+Pressupostos!$C$150)</f>
        <v>0</v>
      </c>
      <c r="H6007" s="2" t="s">
        <v>1337</v>
      </c>
    </row>
    <row r="6008" customFormat="false" ht="15" hidden="false" customHeight="false" outlineLevel="1" collapsed="false">
      <c r="A6008" s="7" t="s">
        <v>648</v>
      </c>
      <c r="B6008" s="8" t="s">
        <v>11</v>
      </c>
      <c r="C6008" s="61" t="n">
        <f aca="false">C5994*Pressupostos!$C$151*(1+Pressupostos!$C$127)^0*(1+Pressupostos!$C$152)</f>
        <v>0</v>
      </c>
      <c r="D6008" s="61" t="n">
        <f aca="false">D5994*Pressupostos!$C$151*(1+Pressupostos!$C$127)^1*(1+Pressupostos!$C$152)</f>
        <v>0</v>
      </c>
      <c r="E6008" s="61" t="n">
        <f aca="false">E5994*Pressupostos!$C$151*(1+Pressupostos!$C$127)^2*(1+Pressupostos!$C$152)</f>
        <v>0</v>
      </c>
      <c r="F6008" s="61" t="n">
        <f aca="false">F5994*Pressupostos!$C$151*(1+Pressupostos!$C$127)^3*(1+Pressupostos!$C$152)</f>
        <v>26225.448</v>
      </c>
      <c r="G6008" s="61" t="n">
        <f aca="false">G5994*Pressupostos!$C$151*(1+Pressupostos!$C$127)^4*(1+Pressupostos!$C$152)</f>
        <v>27012.21144</v>
      </c>
      <c r="H6008" s="2" t="s">
        <v>1338</v>
      </c>
    </row>
    <row r="6009" customFormat="false" ht="15" hidden="false" customHeight="false" outlineLevel="1" collapsed="false">
      <c r="A6009" s="7" t="s">
        <v>649</v>
      </c>
      <c r="B6009" s="8" t="s">
        <v>11</v>
      </c>
      <c r="C6009" s="61" t="n">
        <f aca="false">C5995*Pressupostos!$C$153*(1+Pressupostos!$C$127)^0*(1+Pressupostos!$C$154)</f>
        <v>0</v>
      </c>
      <c r="D6009" s="61" t="n">
        <f aca="false">D5995*Pressupostos!$C$153*(1+Pressupostos!$C$127)^1*(1+Pressupostos!$C$154)</f>
        <v>0</v>
      </c>
      <c r="E6009" s="61" t="n">
        <f aca="false">E5995*Pressupostos!$C$153*(1+Pressupostos!$C$127)^2*(1+Pressupostos!$C$154)</f>
        <v>54901.575</v>
      </c>
      <c r="F6009" s="61" t="n">
        <f aca="false">F5995*Pressupostos!$C$153*(1+Pressupostos!$C$127)^3*(1+Pressupostos!$C$154)</f>
        <v>56548.62225</v>
      </c>
      <c r="G6009" s="61" t="n">
        <f aca="false">G5995*Pressupostos!$C$153*(1+Pressupostos!$C$127)^4*(1+Pressupostos!$C$154)</f>
        <v>58245.0809175</v>
      </c>
      <c r="H6009" s="2" t="s">
        <v>1339</v>
      </c>
    </row>
    <row r="6010" customFormat="false" ht="15" hidden="false" customHeight="false" outlineLevel="1" collapsed="false">
      <c r="A6010" s="7" t="s">
        <v>652</v>
      </c>
      <c r="B6010" s="8" t="s">
        <v>11</v>
      </c>
      <c r="C6010" s="61" t="n">
        <f aca="false">C5998+C5999+C6000+C6001+C6002+C6003+C6004+C6005+C6006+C6007+C6008+C6009</f>
        <v>232662.5</v>
      </c>
      <c r="D6010" s="61" t="n">
        <f aca="false">D5998+D5999+D6000+D6001+D6002+D6003+D6004+D6005+D6006+D6007+D6008+D6009</f>
        <v>367710</v>
      </c>
      <c r="E6010" s="61" t="n">
        <f aca="false">E5998+E5999+E6000+E6001+E6002+E6003+E6004+E6005+E6006+E6007+E6008+E6009</f>
        <v>433642.875</v>
      </c>
      <c r="F6010" s="61" t="n">
        <f aca="false">F5998+F5999+F6000+F6001+F6002+F6003+F6004+F6005+F6006+F6007+F6008+F6009</f>
        <v>535163.04825</v>
      </c>
      <c r="G6010" s="61" t="n">
        <f aca="false">G5998+G5999+G6000+G6001+G6002+G6003+G6004+G6005+G6006+G6007+G6008+G6009</f>
        <v>590047.9936425</v>
      </c>
      <c r="H6010" s="2" t="s">
        <v>1340</v>
      </c>
    </row>
    <row r="6011" customFormat="false" ht="15" hidden="false" customHeight="false" outlineLevel="1" collapsed="false">
      <c r="A6011" s="7" t="s">
        <v>653</v>
      </c>
      <c r="B6011" s="8" t="s">
        <v>11</v>
      </c>
      <c r="C6011" s="61" t="n">
        <f aca="false">C6010*(Pressupostos!$C$124+Pressupostos!$C$125)</f>
        <v>59910.59375</v>
      </c>
      <c r="D6011" s="61" t="n">
        <f aca="false">D6010*(Pressupostos!$C$124+Pressupostos!$C$125)</f>
        <v>94685.325</v>
      </c>
      <c r="E6011" s="61" t="n">
        <f aca="false">E6010*(Pressupostos!$C$124+Pressupostos!$C$125)</f>
        <v>111663.0403125</v>
      </c>
      <c r="F6011" s="61" t="n">
        <f aca="false">F6010*(Pressupostos!$C$124+Pressupostos!$C$125)</f>
        <v>137804.484924375</v>
      </c>
      <c r="G6011" s="61" t="n">
        <f aca="false">G6010*(Pressupostos!$C$124+Pressupostos!$C$125)</f>
        <v>151937.358362944</v>
      </c>
      <c r="H6011" s="2" t="s">
        <v>1341</v>
      </c>
    </row>
    <row r="6012" customFormat="false" ht="15" hidden="false" customHeight="false" outlineLevel="1" collapsed="false">
      <c r="A6012" s="7" t="s">
        <v>654</v>
      </c>
      <c r="B6012" s="8" t="s">
        <v>11</v>
      </c>
      <c r="C6012" s="61" t="n">
        <f aca="false">C5996*Pressupostos!$C$126*(1+Pressupostos!$C$127)^0</f>
        <v>11000</v>
      </c>
      <c r="D6012" s="61" t="n">
        <f aca="false">D5996*Pressupostos!$C$126*(1+Pressupostos!$C$127)^1</f>
        <v>15450</v>
      </c>
      <c r="E6012" s="61" t="n">
        <f aca="false">E5996*Pressupostos!$C$126*(1+Pressupostos!$C$127)^2</f>
        <v>18035.3</v>
      </c>
      <c r="F6012" s="61" t="n">
        <f aca="false">F5996*Pressupostos!$C$126*(1+Pressupostos!$C$127)^3</f>
        <v>24039.994</v>
      </c>
      <c r="G6012" s="61" t="n">
        <f aca="false">G5996*Pressupostos!$C$126*(1+Pressupostos!$C$127)^4</f>
        <v>27012.21144</v>
      </c>
      <c r="H6012" s="2" t="s">
        <v>1342</v>
      </c>
    </row>
    <row r="6013" customFormat="false" ht="15" hidden="false" customHeight="false" outlineLevel="1" collapsed="false">
      <c r="A6013" s="56" t="s">
        <v>655</v>
      </c>
      <c r="B6013" s="57" t="s">
        <v>11</v>
      </c>
      <c r="C6013" s="62" t="n">
        <f aca="false">C6010+C6011+C6012</f>
        <v>303573.09375</v>
      </c>
      <c r="D6013" s="62" t="n">
        <f aca="false">D6010+D6011+D6012</f>
        <v>477845.325</v>
      </c>
      <c r="E6013" s="62" t="n">
        <f aca="false">E6010+E6011+E6012</f>
        <v>563341.2153125</v>
      </c>
      <c r="F6013" s="62" t="n">
        <f aca="false">F6010+F6011+F6012</f>
        <v>697007.527174375</v>
      </c>
      <c r="G6013" s="62" t="n">
        <f aca="false">G6010+G6011+G6012</f>
        <v>768997.563445444</v>
      </c>
      <c r="H6013" s="2" t="s">
        <v>1343</v>
      </c>
    </row>
    <row r="6014" customFormat="false" ht="15" hidden="false" customHeight="false" outlineLevel="1" collapsed="false">
      <c r="A6014" s="2" t="s">
        <v>656</v>
      </c>
      <c r="B6014" s="8" t="s">
        <v>11</v>
      </c>
      <c r="C6014" s="61" t="n">
        <f aca="false">IF(C5996&gt;0,C6013/C5996,0)</f>
        <v>55195.1079545455</v>
      </c>
      <c r="D6014" s="61" t="n">
        <f aca="false">IF(D5996&gt;0,D6013/D5996,0)</f>
        <v>63712.71</v>
      </c>
      <c r="E6014" s="61" t="n">
        <f aca="false">IF(E5996&gt;0,E6013/E5996,0)</f>
        <v>66275.4370955882</v>
      </c>
      <c r="F6014" s="61" t="n">
        <f aca="false">IF(F5996&gt;0,F6013/F5996,0)</f>
        <v>63364.3206522159</v>
      </c>
      <c r="G6014" s="61" t="n">
        <f aca="false">IF(G5996&gt;0,G6013/G5996,0)</f>
        <v>64083.1302871203</v>
      </c>
      <c r="H6014" s="2" t="s">
        <v>1344</v>
      </c>
    </row>
    <row r="6015" customFormat="false" ht="15" hidden="false" customHeight="false" outlineLevel="0" collapsed="false">
      <c r="A6015" s="3" t="s">
        <v>1345</v>
      </c>
      <c r="B6015" s="4"/>
      <c r="C6015" s="4"/>
      <c r="D6015" s="4"/>
      <c r="E6015" s="4"/>
      <c r="F6015" s="4"/>
      <c r="G6015" s="4"/>
      <c r="H6015" s="4"/>
    </row>
    <row r="6016" customFormat="false" ht="15" hidden="false" customHeight="false" outlineLevel="1" collapsed="false">
      <c r="A6016" s="7" t="s">
        <v>449</v>
      </c>
      <c r="B6016" s="8" t="s">
        <v>11</v>
      </c>
      <c r="C6016" s="61" t="n">
        <f aca="false">Pressupostos!$C$407*(1+Pressupostos!$C$156)*(1+Pressupostos!$C$157)^0</f>
        <v>94500</v>
      </c>
      <c r="D6016" s="61" t="n">
        <f aca="false">Pressupostos!$D$407*(1+Pressupostos!$C$156)*(1+Pressupostos!$C$157)^1</f>
        <v>53550</v>
      </c>
      <c r="E6016" s="61" t="n">
        <f aca="false">Pressupostos!$E$407*(1+Pressupostos!$C$156)*(1+Pressupostos!$C$157)^2</f>
        <v>49158.9</v>
      </c>
      <c r="F6016" s="61" t="n">
        <f aca="false">Pressupostos!$F$407*(1+Pressupostos!$C$156)*(1+Pressupostos!$C$157)^3</f>
        <v>50142.078</v>
      </c>
      <c r="G6016" s="61" t="n">
        <f aca="false">Pressupostos!$G$407*(1+Pressupostos!$C$156)*(1+Pressupostos!$C$157)^4</f>
        <v>51144.91956</v>
      </c>
      <c r="H6016" s="2" t="s">
        <v>1346</v>
      </c>
    </row>
    <row r="6017" customFormat="false" ht="15" hidden="false" customHeight="false" outlineLevel="1" collapsed="false">
      <c r="A6017" s="7" t="s">
        <v>451</v>
      </c>
      <c r="B6017" s="8" t="s">
        <v>11</v>
      </c>
      <c r="C6017" s="61" t="n">
        <f aca="false">Pressupostos!$C$413*(1+Pressupostos!$C$156)*(1+Pressupostos!$C$157)^0</f>
        <v>10500</v>
      </c>
      <c r="D6017" s="61" t="n">
        <f aca="false">Pressupostos!$D$413*(1+Pressupostos!$C$156)*(1+Pressupostos!$C$157)^1</f>
        <v>10710</v>
      </c>
      <c r="E6017" s="61" t="n">
        <f aca="false">Pressupostos!$E$413*(1+Pressupostos!$C$156)*(1+Pressupostos!$C$157)^2</f>
        <v>10924.2</v>
      </c>
      <c r="F6017" s="61" t="n">
        <f aca="false">Pressupostos!$F$413*(1+Pressupostos!$C$156)*(1+Pressupostos!$C$157)^3</f>
        <v>11142.684</v>
      </c>
      <c r="G6017" s="61" t="n">
        <f aca="false">Pressupostos!$G$413*(1+Pressupostos!$C$156)*(1+Pressupostos!$C$157)^4</f>
        <v>11365.53768</v>
      </c>
      <c r="H6017" s="2" t="s">
        <v>1347</v>
      </c>
    </row>
    <row r="6018" customFormat="false" ht="15" hidden="false" customHeight="false" outlineLevel="1" collapsed="false">
      <c r="A6018" s="7" t="s">
        <v>452</v>
      </c>
      <c r="B6018" s="8" t="s">
        <v>11</v>
      </c>
      <c r="C6018" s="61" t="n">
        <f aca="false">Pressupostos!$C$419*(1+Pressupostos!$C$156)*(1+Pressupostos!$C$157)^0</f>
        <v>12600</v>
      </c>
      <c r="D6018" s="61" t="n">
        <f aca="false">Pressupostos!$D$419*(1+Pressupostos!$C$156)*(1+Pressupostos!$C$157)^1</f>
        <v>12852</v>
      </c>
      <c r="E6018" s="61" t="n">
        <f aca="false">Pressupostos!$E$419*(1+Pressupostos!$C$156)*(1+Pressupostos!$C$157)^2</f>
        <v>13109.04</v>
      </c>
      <c r="F6018" s="61" t="n">
        <f aca="false">Pressupostos!$F$419*(1+Pressupostos!$C$156)*(1+Pressupostos!$C$157)^3</f>
        <v>13371.2208</v>
      </c>
      <c r="G6018" s="61" t="n">
        <f aca="false">Pressupostos!$G$419*(1+Pressupostos!$C$156)*(1+Pressupostos!$C$157)^4</f>
        <v>13638.645216</v>
      </c>
      <c r="H6018" s="2" t="s">
        <v>1348</v>
      </c>
    </row>
    <row r="6019" customFormat="false" ht="15" hidden="false" customHeight="false" outlineLevel="1" collapsed="false">
      <c r="A6019" s="7" t="s">
        <v>454</v>
      </c>
      <c r="B6019" s="8" t="s">
        <v>11</v>
      </c>
      <c r="C6019" s="61" t="n">
        <f aca="false">Pressupostos!$C$425*(1+Pressupostos!$C$156)*(1+Pressupostos!$C$157)^0</f>
        <v>31500</v>
      </c>
      <c r="D6019" s="61" t="n">
        <f aca="false">Pressupostos!$D$425*(1+Pressupostos!$C$156)*(1+Pressupostos!$C$157)^1</f>
        <v>37485</v>
      </c>
      <c r="E6019" s="61" t="n">
        <f aca="false">Pressupostos!$E$425*(1+Pressupostos!$C$156)*(1+Pressupostos!$C$157)^2</f>
        <v>49158.9</v>
      </c>
      <c r="F6019" s="61" t="n">
        <f aca="false">Pressupostos!$F$425*(1+Pressupostos!$C$156)*(1+Pressupostos!$C$157)^3</f>
        <v>55713.42</v>
      </c>
      <c r="G6019" s="61" t="n">
        <f aca="false">Pressupostos!$G$425*(1+Pressupostos!$C$156)*(1+Pressupostos!$C$157)^4</f>
        <v>62510.45724</v>
      </c>
      <c r="H6019" s="2" t="s">
        <v>1349</v>
      </c>
    </row>
    <row r="6020" customFormat="false" ht="15" hidden="false" customHeight="false" outlineLevel="1" collapsed="false">
      <c r="A6020" s="7" t="s">
        <v>456</v>
      </c>
      <c r="B6020" s="8" t="s">
        <v>11</v>
      </c>
      <c r="C6020" s="61" t="n">
        <f aca="false">Pressupostos!$C$431*(1+Pressupostos!$C$156)*(1+Pressupostos!$C$157)^0</f>
        <v>15750</v>
      </c>
      <c r="D6020" s="61" t="n">
        <f aca="false">Pressupostos!$D$431*(1+Pressupostos!$C$156)*(1+Pressupostos!$C$157)^1</f>
        <v>16065</v>
      </c>
      <c r="E6020" s="61" t="n">
        <f aca="false">Pressupostos!$E$431*(1+Pressupostos!$C$156)*(1+Pressupostos!$C$157)^2</f>
        <v>38234.7</v>
      </c>
      <c r="F6020" s="61" t="n">
        <f aca="false">Pressupostos!$F$431*(1+Pressupostos!$C$156)*(1+Pressupostos!$C$157)^3</f>
        <v>22285.368</v>
      </c>
      <c r="G6020" s="61" t="n">
        <f aca="false">Pressupostos!$G$431*(1+Pressupostos!$C$156)*(1+Pressupostos!$C$157)^4</f>
        <v>22731.07536</v>
      </c>
      <c r="H6020" s="2" t="s">
        <v>1350</v>
      </c>
    </row>
    <row r="6021" customFormat="false" ht="15" hidden="false" customHeight="false" outlineLevel="1" collapsed="false">
      <c r="A6021" s="7" t="s">
        <v>458</v>
      </c>
      <c r="B6021" s="8" t="s">
        <v>11</v>
      </c>
      <c r="C6021" s="61" t="n">
        <f aca="false">Pressupostos!$C$437*(1+Pressupostos!$C$156)*(1+Pressupostos!$C$157)^0</f>
        <v>10500</v>
      </c>
      <c r="D6021" s="61" t="n">
        <f aca="false">Pressupostos!$D$437*(1+Pressupostos!$C$156)*(1+Pressupostos!$C$157)^1</f>
        <v>12852</v>
      </c>
      <c r="E6021" s="61" t="n">
        <f aca="false">Pressupostos!$E$437*(1+Pressupostos!$C$156)*(1+Pressupostos!$C$157)^2</f>
        <v>16386.3</v>
      </c>
      <c r="F6021" s="61" t="n">
        <f aca="false">Pressupostos!$F$437*(1+Pressupostos!$C$156)*(1+Pressupostos!$C$157)^3</f>
        <v>20056.8312</v>
      </c>
      <c r="G6021" s="61" t="n">
        <f aca="false">Pressupostos!$G$437*(1+Pressupostos!$C$156)*(1+Pressupostos!$C$157)^4</f>
        <v>22731.07536</v>
      </c>
      <c r="H6021" s="2" t="s">
        <v>1351</v>
      </c>
    </row>
    <row r="6022" customFormat="false" ht="15" hidden="false" customHeight="false" outlineLevel="1" collapsed="false">
      <c r="A6022" s="7" t="s">
        <v>459</v>
      </c>
      <c r="B6022" s="8" t="s">
        <v>11</v>
      </c>
      <c r="C6022" s="61" t="n">
        <f aca="false">Pressupostos!$C$443*(1+Pressupostos!$C$156)*(1+Pressupostos!$C$157)^0</f>
        <v>31500</v>
      </c>
      <c r="D6022" s="61" t="n">
        <f aca="false">Pressupostos!$D$443*(1+Pressupostos!$C$156)*(1+Pressupostos!$C$157)^1</f>
        <v>37485</v>
      </c>
      <c r="E6022" s="61" t="n">
        <f aca="false">Pressupostos!$E$443*(1+Pressupostos!$C$156)*(1+Pressupostos!$C$157)^2</f>
        <v>49158.9</v>
      </c>
      <c r="F6022" s="61" t="n">
        <f aca="false">Pressupostos!$F$443*(1+Pressupostos!$C$156)*(1+Pressupostos!$C$157)^3</f>
        <v>55713.42</v>
      </c>
      <c r="G6022" s="61" t="n">
        <f aca="false">Pressupostos!$G$443*(1+Pressupostos!$C$156)*(1+Pressupostos!$C$157)^4</f>
        <v>62510.45724</v>
      </c>
      <c r="H6022" s="2" t="s">
        <v>1352</v>
      </c>
    </row>
    <row r="6023" customFormat="false" ht="15" hidden="false" customHeight="false" outlineLevel="1" collapsed="false">
      <c r="A6023" s="7" t="s">
        <v>461</v>
      </c>
      <c r="B6023" s="8" t="s">
        <v>11</v>
      </c>
      <c r="C6023" s="61" t="n">
        <f aca="false">Pressupostos!$C$449*(1+Pressupostos!$C$156)*(1+Pressupostos!$C$157)^0</f>
        <v>6300</v>
      </c>
      <c r="D6023" s="61" t="n">
        <f aca="false">Pressupostos!$D$449*(1+Pressupostos!$C$156)*(1+Pressupostos!$C$157)^1</f>
        <v>8568</v>
      </c>
      <c r="E6023" s="61" t="n">
        <f aca="false">Pressupostos!$E$449*(1+Pressupostos!$C$156)*(1+Pressupostos!$C$157)^2</f>
        <v>13109.04</v>
      </c>
      <c r="F6023" s="61" t="n">
        <f aca="false">Pressupostos!$F$449*(1+Pressupostos!$C$156)*(1+Pressupostos!$C$157)^3</f>
        <v>16714.026</v>
      </c>
      <c r="G6023" s="61" t="n">
        <f aca="false">Pressupostos!$G$449*(1+Pressupostos!$C$156)*(1+Pressupostos!$C$157)^4</f>
        <v>20457.967824</v>
      </c>
      <c r="H6023" s="2" t="s">
        <v>1353</v>
      </c>
    </row>
    <row r="6024" customFormat="false" ht="15" hidden="false" customHeight="false" outlineLevel="1" collapsed="false">
      <c r="A6024" s="7" t="s">
        <v>463</v>
      </c>
      <c r="B6024" s="8" t="s">
        <v>11</v>
      </c>
      <c r="C6024" s="61" t="n">
        <f aca="false">Pressupostos!$C$455*(1+Pressupostos!$C$156)*(1+Pressupostos!$C$157)^0</f>
        <v>15750</v>
      </c>
      <c r="D6024" s="61" t="n">
        <f aca="false">Pressupostos!$D$455*(1+Pressupostos!$C$156)*(1+Pressupostos!$C$157)^1</f>
        <v>21420</v>
      </c>
      <c r="E6024" s="61" t="n">
        <f aca="false">Pressupostos!$E$455*(1+Pressupostos!$C$156)*(1+Pressupostos!$C$157)^2</f>
        <v>30587.76</v>
      </c>
      <c r="F6024" s="61" t="n">
        <f aca="false">Pressupostos!$F$455*(1+Pressupostos!$C$156)*(1+Pressupostos!$C$157)^3</f>
        <v>35656.5888</v>
      </c>
      <c r="G6024" s="61" t="n">
        <f aca="false">Pressupostos!$G$455*(1+Pressupostos!$C$156)*(1+Pressupostos!$C$157)^4</f>
        <v>40915.935648</v>
      </c>
      <c r="H6024" s="2" t="s">
        <v>1354</v>
      </c>
    </row>
    <row r="6025" customFormat="false" ht="15" hidden="false" customHeight="false" outlineLevel="1" collapsed="false">
      <c r="A6025" s="7" t="s">
        <v>464</v>
      </c>
      <c r="B6025" s="8" t="s">
        <v>11</v>
      </c>
      <c r="C6025" s="61" t="n">
        <f aca="false">Pressupostos!$C$461*(1+Pressupostos!$C$156)*(1+Pressupostos!$C$157)^0</f>
        <v>4200</v>
      </c>
      <c r="D6025" s="61" t="n">
        <f aca="false">Pressupostos!$D$461*(1+Pressupostos!$C$156)*(1+Pressupostos!$C$157)^1</f>
        <v>6426</v>
      </c>
      <c r="E6025" s="61" t="n">
        <f aca="false">Pressupostos!$E$461*(1+Pressupostos!$C$156)*(1+Pressupostos!$C$157)^2</f>
        <v>8739.36</v>
      </c>
      <c r="F6025" s="61" t="n">
        <f aca="false">Pressupostos!$F$461*(1+Pressupostos!$C$156)*(1+Pressupostos!$C$157)^3</f>
        <v>8914.1472</v>
      </c>
      <c r="G6025" s="61" t="n">
        <f aca="false">Pressupostos!$G$461*(1+Pressupostos!$C$156)*(1+Pressupostos!$C$157)^4</f>
        <v>9092.430144</v>
      </c>
      <c r="H6025" s="2" t="s">
        <v>1355</v>
      </c>
    </row>
    <row r="6026" customFormat="false" ht="15" hidden="false" customHeight="false" outlineLevel="1" collapsed="false">
      <c r="A6026" s="7" t="s">
        <v>701</v>
      </c>
      <c r="B6026" s="8" t="s">
        <v>11</v>
      </c>
      <c r="C6026" s="61" t="n">
        <f aca="false">C6016+C6017+C6018+C6019+C6020+C6021+C6022+C6023+C6024+C6025</f>
        <v>233100</v>
      </c>
      <c r="D6026" s="61" t="n">
        <f aca="false">D6016+D6017+D6018+D6019+D6020+D6021+D6022+D6023+D6024+D6025</f>
        <v>217413</v>
      </c>
      <c r="E6026" s="61" t="n">
        <f aca="false">E6016+E6017+E6018+E6019+E6020+E6021+E6022+E6023+E6024+E6025</f>
        <v>278567.1</v>
      </c>
      <c r="F6026" s="61" t="n">
        <f aca="false">F6016+F6017+F6018+F6019+F6020+F6021+F6022+F6023+F6024+F6025</f>
        <v>289709.784</v>
      </c>
      <c r="G6026" s="61" t="n">
        <f aca="false">G6016+G6017+G6018+G6019+G6020+G6021+G6022+G6023+G6024+G6025</f>
        <v>317098.501272</v>
      </c>
      <c r="H6026" s="2" t="s">
        <v>1356</v>
      </c>
    </row>
    <row r="6027" customFormat="false" ht="15" hidden="false" customHeight="false" outlineLevel="1" collapsed="false">
      <c r="A6027" s="7" t="s">
        <v>702</v>
      </c>
      <c r="B6027" s="8" t="s">
        <v>11</v>
      </c>
      <c r="C6027" s="61" t="n">
        <f aca="false">Pressupostos!$C$114+Pressupostos!$C$115+Pressupostos!$C$116*Pressupostos!$C$296+Pressupostos!$C$466+Pressupostos!$C$308</f>
        <v>65000</v>
      </c>
      <c r="D6027" s="61" t="n">
        <f aca="false">Pressupostos!$C$115+Pressupostos!$C$116*Pressupostos!$D$296+Pressupostos!$D$466+Pressupostos!$D$308</f>
        <v>75000</v>
      </c>
      <c r="E6027" s="61" t="n">
        <f aca="false">Pressupostos!$C$115+Pressupostos!$C$116*Pressupostos!$E$296+Pressupostos!$E$466+Pressupostos!$E$308</f>
        <v>80000</v>
      </c>
      <c r="F6027" s="61" t="n">
        <f aca="false">Pressupostos!$C$115+Pressupostos!$C$116*Pressupostos!$F$296+Pressupostos!$F$466+Pressupostos!$F$308</f>
        <v>85000</v>
      </c>
      <c r="G6027" s="61" t="n">
        <f aca="false">Pressupostos!$C$115+Pressupostos!$C$116*Pressupostos!$G$296+Pressupostos!$G$466+Pressupostos!$G$308</f>
        <v>90000</v>
      </c>
      <c r="H6027" s="2" t="s">
        <v>1357</v>
      </c>
    </row>
    <row r="6028" customFormat="false" ht="15" hidden="false" customHeight="false" outlineLevel="1" collapsed="false">
      <c r="A6028" s="7" t="s">
        <v>703</v>
      </c>
      <c r="B6028" s="8" t="s">
        <v>11</v>
      </c>
      <c r="C6028" s="61" t="n">
        <f aca="false">IF(C5840&lt;Pressupostos!$C$120,0,MAX(Pressupostos!$C$302,Pressupostos!$C$118*(C5934+C5935)+Pressupostos!$C$119*C5936))</f>
        <v>0</v>
      </c>
      <c r="D6028" s="61" t="n">
        <f aca="false">IF(D5840&lt;Pressupostos!$C$120,0,MAX(Pressupostos!$D$302,Pressupostos!$C$118*(D5934+D5935)+Pressupostos!$C$119*D5936))</f>
        <v>5031.48</v>
      </c>
      <c r="E6028" s="61" t="n">
        <f aca="false">IF(E5840&lt;Pressupostos!$C$120,0,MAX(Pressupostos!$E$302,Pressupostos!$C$118*(E5934+E5935)+Pressupostos!$C$119*E5936))</f>
        <v>10259.7</v>
      </c>
      <c r="F6028" s="61" t="n">
        <f aca="false">IF(F5840&lt;Pressupostos!$C$120,0,MAX(Pressupostos!$F$302,Pressupostos!$C$118*(F5934+F5935)+Pressupostos!$C$119*F5936))</f>
        <v>17051.86</v>
      </c>
      <c r="G6028" s="61" t="n">
        <f aca="false">IF(G5840&lt;Pressupostos!$C$120,0,MAX(Pressupostos!$G$302,Pressupostos!$C$118*(G5934+G5935)+Pressupostos!$C$119*G5936))</f>
        <v>25617.8</v>
      </c>
      <c r="H6028" s="2" t="s">
        <v>1358</v>
      </c>
    </row>
    <row r="6029" customFormat="false" ht="15" hidden="false" customHeight="false" outlineLevel="1" collapsed="false">
      <c r="A6029" s="56" t="s">
        <v>704</v>
      </c>
      <c r="B6029" s="57" t="s">
        <v>11</v>
      </c>
      <c r="C6029" s="62" t="n">
        <f aca="false">C6026+C6027+C6028</f>
        <v>298100</v>
      </c>
      <c r="D6029" s="62" t="n">
        <f aca="false">D6026+D6027+D6028</f>
        <v>297444.48</v>
      </c>
      <c r="E6029" s="62" t="n">
        <f aca="false">E6026+E6027+E6028</f>
        <v>368826.8</v>
      </c>
      <c r="F6029" s="62" t="n">
        <f aca="false">F6026+F6027+F6028</f>
        <v>391761.644</v>
      </c>
      <c r="G6029" s="62" t="n">
        <f aca="false">G6026+G6027+G6028</f>
        <v>432716.301272</v>
      </c>
      <c r="H6029" s="2" t="s">
        <v>1359</v>
      </c>
    </row>
    <row r="6030" customFormat="false" ht="15" hidden="false" customHeight="false" outlineLevel="0" collapsed="false">
      <c r="A6030" s="3" t="s">
        <v>1360</v>
      </c>
      <c r="B6030" s="4"/>
      <c r="C6030" s="4"/>
      <c r="D6030" s="4"/>
      <c r="E6030" s="4"/>
      <c r="F6030" s="4"/>
      <c r="G6030" s="4"/>
      <c r="H6030" s="4"/>
    </row>
    <row r="6031" customFormat="false" ht="15" hidden="false" customHeight="false" outlineLevel="1" collapsed="false">
      <c r="A6031" s="7" t="s">
        <v>706</v>
      </c>
      <c r="B6031" s="8" t="s">
        <v>11</v>
      </c>
      <c r="C6031" s="61" t="n">
        <f aca="false">Pressupostos!$C$165*Pressupostos!$C$315</f>
        <v>18000</v>
      </c>
      <c r="D6031" s="61" t="n">
        <f aca="false">Pressupostos!$C$165*Pressupostos!$D$315</f>
        <v>12000</v>
      </c>
      <c r="E6031" s="61" t="n">
        <f aca="false">Pressupostos!$C$165*Pressupostos!$E$315</f>
        <v>12000</v>
      </c>
      <c r="F6031" s="61" t="n">
        <f aca="false">Pressupostos!$C$165*Pressupostos!$F$315</f>
        <v>12000</v>
      </c>
      <c r="G6031" s="61" t="n">
        <f aca="false">Pressupostos!$C$165*Pressupostos!$G$315</f>
        <v>12000</v>
      </c>
      <c r="H6031" s="2" t="s">
        <v>1361</v>
      </c>
    </row>
    <row r="6032" customFormat="false" ht="15" hidden="false" customHeight="false" outlineLevel="1" collapsed="false">
      <c r="A6032" s="7" t="s">
        <v>707</v>
      </c>
      <c r="B6032" s="8" t="s">
        <v>11</v>
      </c>
      <c r="C6032" s="53" t="n">
        <f aca="false">Pressupostos!$C$321</f>
        <v>60000</v>
      </c>
      <c r="D6032" s="53" t="n">
        <f aca="false">Pressupostos!$D$321</f>
        <v>15000</v>
      </c>
      <c r="E6032" s="53" t="n">
        <f aca="false">Pressupostos!$E$321</f>
        <v>15000</v>
      </c>
      <c r="F6032" s="53" t="n">
        <f aca="false">Pressupostos!$F$321</f>
        <v>10000</v>
      </c>
      <c r="G6032" s="53" t="n">
        <f aca="false">Pressupostos!$G$321</f>
        <v>10000</v>
      </c>
      <c r="H6032" s="2" t="s">
        <v>1362</v>
      </c>
    </row>
    <row r="6033" customFormat="false" ht="15" hidden="false" customHeight="false" outlineLevel="1" collapsed="false">
      <c r="A6033" s="7" t="s">
        <v>708</v>
      </c>
      <c r="B6033" s="8" t="s">
        <v>11</v>
      </c>
      <c r="C6033" s="53" t="n">
        <f aca="false">Pressupostos!$C$327</f>
        <v>0</v>
      </c>
      <c r="D6033" s="53" t="n">
        <f aca="false">Pressupostos!$D$327</f>
        <v>15000</v>
      </c>
      <c r="E6033" s="53" t="n">
        <f aca="false">Pressupostos!$E$327</f>
        <v>15000</v>
      </c>
      <c r="F6033" s="53" t="n">
        <f aca="false">Pressupostos!$F$327</f>
        <v>10000</v>
      </c>
      <c r="G6033" s="53" t="n">
        <f aca="false">Pressupostos!$G$327</f>
        <v>10000</v>
      </c>
      <c r="H6033" s="2" t="s">
        <v>1363</v>
      </c>
    </row>
    <row r="6034" customFormat="false" ht="15" hidden="false" customHeight="false" outlineLevel="1" collapsed="false">
      <c r="A6034" s="7" t="s">
        <v>709</v>
      </c>
      <c r="B6034" s="8" t="s">
        <v>11</v>
      </c>
      <c r="C6034" s="61" t="n">
        <f aca="false">Pressupostos!$C$166*MAX(0,C5996)</f>
        <v>11000</v>
      </c>
      <c r="D6034" s="61" t="n">
        <f aca="false">Pressupostos!$C$166*MAX(0,D5996-C5996)</f>
        <v>4000</v>
      </c>
      <c r="E6034" s="61" t="n">
        <f aca="false">Pressupostos!$C$166*MAX(0,E5996-D5996)</f>
        <v>2000</v>
      </c>
      <c r="F6034" s="61" t="n">
        <f aca="false">Pressupostos!$C$166*MAX(0,F5996-E5996)</f>
        <v>5000</v>
      </c>
      <c r="G6034" s="61" t="n">
        <f aca="false">Pressupostos!$C$166*MAX(0,G5996-F5996)</f>
        <v>2000</v>
      </c>
      <c r="H6034" s="2" t="s">
        <v>1364</v>
      </c>
    </row>
    <row r="6035" customFormat="false" ht="15" hidden="false" customHeight="false" outlineLevel="1" collapsed="false">
      <c r="A6035" s="7" t="s">
        <v>424</v>
      </c>
      <c r="B6035" s="8" t="s">
        <v>11</v>
      </c>
      <c r="C6035" s="61" t="n">
        <f aca="false">C6031+C6032+C6033+C6034</f>
        <v>89000</v>
      </c>
      <c r="D6035" s="61" t="n">
        <f aca="false">D6031+D6032+D6033+D6034</f>
        <v>46000</v>
      </c>
      <c r="E6035" s="61" t="n">
        <f aca="false">E6031+E6032+E6033+E6034</f>
        <v>44000</v>
      </c>
      <c r="F6035" s="61" t="n">
        <f aca="false">F6031+F6032+F6033+F6034</f>
        <v>37000</v>
      </c>
      <c r="G6035" s="61" t="n">
        <f aca="false">G6031+G6032+G6033+G6034</f>
        <v>34000</v>
      </c>
      <c r="H6035" s="2" t="s">
        <v>1365</v>
      </c>
    </row>
    <row r="6036" customFormat="false" ht="15" hidden="false" customHeight="false" outlineLevel="1" collapsed="false">
      <c r="A6036" s="7" t="s">
        <v>710</v>
      </c>
      <c r="B6036" s="8" t="s">
        <v>11</v>
      </c>
      <c r="C6036" s="61" t="n">
        <f aca="false">(C6032*((0)&lt;Pressupostos!$C$167))/Pressupostos!$C$167</f>
        <v>20000</v>
      </c>
      <c r="D6036" s="61" t="n">
        <f aca="false">(C6032*((1)&lt;Pressupostos!$C$167)+D6032*((0)&lt;Pressupostos!$C$167))/Pressupostos!$C$167</f>
        <v>25000</v>
      </c>
      <c r="E6036" s="61" t="n">
        <f aca="false">(C6032*((2)&lt;Pressupostos!$C$167)+D6032*((1)&lt;Pressupostos!$C$167)+E6032*((0)&lt;Pressupostos!$C$167))/Pressupostos!$C$167</f>
        <v>30000</v>
      </c>
      <c r="F6036" s="61" t="n">
        <f aca="false">(C6032*((3)&lt;Pressupostos!$C$167)+D6032*((2)&lt;Pressupostos!$C$167)+E6032*((1)&lt;Pressupostos!$C$167)+F6032*((0)&lt;Pressupostos!$C$167))/Pressupostos!$C$167</f>
        <v>13333.3333333333</v>
      </c>
      <c r="G6036" s="61" t="n">
        <f aca="false">(C6032*((4)&lt;Pressupostos!$C$167)+D6032*((3)&lt;Pressupostos!$C$167)+E6032*((2)&lt;Pressupostos!$C$167)+F6032*((1)&lt;Pressupostos!$C$167)+G6032*((0)&lt;Pressupostos!$C$167))/Pressupostos!$C$167</f>
        <v>11666.6666666667</v>
      </c>
      <c r="H6036" s="2" t="s">
        <v>1366</v>
      </c>
    </row>
    <row r="6037" customFormat="false" ht="15" hidden="false" customHeight="false" outlineLevel="1" collapsed="false">
      <c r="A6037" s="7" t="s">
        <v>711</v>
      </c>
      <c r="B6037" s="8" t="s">
        <v>11</v>
      </c>
      <c r="C6037" s="61" t="n">
        <f aca="false">(C6033*((0)&lt;Pressupostos!$C$167))/Pressupostos!$C$167</f>
        <v>0</v>
      </c>
      <c r="D6037" s="61" t="n">
        <f aca="false">(C6033*((1)&lt;Pressupostos!$C$167)+D6033*((0)&lt;Pressupostos!$C$167))/Pressupostos!$C$167</f>
        <v>5000</v>
      </c>
      <c r="E6037" s="61" t="n">
        <f aca="false">(C6033*((2)&lt;Pressupostos!$C$167)+D6033*((1)&lt;Pressupostos!$C$167)+E6033*((0)&lt;Pressupostos!$C$167))/Pressupostos!$C$167</f>
        <v>10000</v>
      </c>
      <c r="F6037" s="61" t="n">
        <f aca="false">(C6033*((3)&lt;Pressupostos!$C$167)+D6033*((2)&lt;Pressupostos!$C$167)+E6033*((1)&lt;Pressupostos!$C$167)+F6033*((0)&lt;Pressupostos!$C$167))/Pressupostos!$C$167</f>
        <v>13333.3333333333</v>
      </c>
      <c r="G6037" s="61" t="n">
        <f aca="false">(C6033*((4)&lt;Pressupostos!$C$167)+D6033*((3)&lt;Pressupostos!$C$167)+E6033*((2)&lt;Pressupostos!$C$167)+F6033*((1)&lt;Pressupostos!$C$167)+G6033*((0)&lt;Pressupostos!$C$167))/Pressupostos!$C$167</f>
        <v>11666.6666666667</v>
      </c>
      <c r="H6037" s="2" t="s">
        <v>1367</v>
      </c>
    </row>
    <row r="6038" customFormat="false" ht="15" hidden="false" customHeight="false" outlineLevel="1" collapsed="false">
      <c r="A6038" s="7" t="s">
        <v>712</v>
      </c>
      <c r="B6038" s="8" t="s">
        <v>11</v>
      </c>
      <c r="C6038" s="61" t="n">
        <f aca="false">(C6031*((0)&lt;Pressupostos!$C$169))/Pressupostos!$C$169</f>
        <v>3600</v>
      </c>
      <c r="D6038" s="61" t="n">
        <f aca="false">(C6031*((1)&lt;Pressupostos!$C$169)+D6031*((0)&lt;Pressupostos!$C$169))/Pressupostos!$C$169</f>
        <v>6000</v>
      </c>
      <c r="E6038" s="61" t="n">
        <f aca="false">(C6031*((2)&lt;Pressupostos!$C$169)+D6031*((1)&lt;Pressupostos!$C$169)+E6031*((0)&lt;Pressupostos!$C$169))/Pressupostos!$C$169</f>
        <v>8400</v>
      </c>
      <c r="F6038" s="61" t="n">
        <f aca="false">(C6031*((3)&lt;Pressupostos!$C$169)+D6031*((2)&lt;Pressupostos!$C$169)+E6031*((1)&lt;Pressupostos!$C$169)+F6031*((0)&lt;Pressupostos!$C$169))/Pressupostos!$C$169</f>
        <v>10800</v>
      </c>
      <c r="G6038" s="61" t="n">
        <f aca="false">(C6031*((4)&lt;Pressupostos!$C$169)+D6031*((3)&lt;Pressupostos!$C$169)+E6031*((2)&lt;Pressupostos!$C$169)+F6031*((1)&lt;Pressupostos!$C$169)+G6031*((0)&lt;Pressupostos!$C$169))/Pressupostos!$C$169</f>
        <v>13200</v>
      </c>
      <c r="H6038" s="2" t="s">
        <v>1368</v>
      </c>
    </row>
    <row r="6039" customFormat="false" ht="15" hidden="false" customHeight="false" outlineLevel="1" collapsed="false">
      <c r="A6039" s="7" t="s">
        <v>713</v>
      </c>
      <c r="B6039" s="8" t="s">
        <v>11</v>
      </c>
      <c r="C6039" s="61" t="n">
        <f aca="false">(C6034*((0)&lt;Pressupostos!$C$168))/Pressupostos!$C$168</f>
        <v>2750</v>
      </c>
      <c r="D6039" s="61" t="n">
        <f aca="false">(C6034*((1)&lt;Pressupostos!$C$168)+D6034*((0)&lt;Pressupostos!$C$168))/Pressupostos!$C$168</f>
        <v>3750</v>
      </c>
      <c r="E6039" s="61" t="n">
        <f aca="false">(C6034*((2)&lt;Pressupostos!$C$168)+D6034*((1)&lt;Pressupostos!$C$168)+E6034*((0)&lt;Pressupostos!$C$168))/Pressupostos!$C$168</f>
        <v>4250</v>
      </c>
      <c r="F6039" s="61" t="n">
        <f aca="false">(C6034*((3)&lt;Pressupostos!$C$168)+D6034*((2)&lt;Pressupostos!$C$168)+E6034*((1)&lt;Pressupostos!$C$168)+F6034*((0)&lt;Pressupostos!$C$168))/Pressupostos!$C$168</f>
        <v>5500</v>
      </c>
      <c r="G6039" s="61" t="n">
        <f aca="false">(C6034*((4)&lt;Pressupostos!$C$168)+D6034*((3)&lt;Pressupostos!$C$168)+E6034*((2)&lt;Pressupostos!$C$168)+F6034*((1)&lt;Pressupostos!$C$168)+G6034*((0)&lt;Pressupostos!$C$168))/Pressupostos!$C$168</f>
        <v>3250</v>
      </c>
      <c r="H6039" s="2" t="s">
        <v>1369</v>
      </c>
    </row>
    <row r="6040" customFormat="false" ht="15" hidden="false" customHeight="false" outlineLevel="1" collapsed="false">
      <c r="A6040" s="7" t="s">
        <v>714</v>
      </c>
      <c r="B6040" s="8" t="s">
        <v>11</v>
      </c>
      <c r="C6040" s="61" t="n">
        <f aca="false">C6036+C6037+C6038+C6039</f>
        <v>26350</v>
      </c>
      <c r="D6040" s="61" t="n">
        <f aca="false">D6036+D6037+D6038+D6039</f>
        <v>39750</v>
      </c>
      <c r="E6040" s="61" t="n">
        <f aca="false">E6036+E6037+E6038+E6039</f>
        <v>52650</v>
      </c>
      <c r="F6040" s="61" t="n">
        <f aca="false">F6036+F6037+F6038+F6039</f>
        <v>42966.6666666667</v>
      </c>
      <c r="G6040" s="61" t="n">
        <f aca="false">G6036+G6037+G6038+G6039</f>
        <v>39783.3333333333</v>
      </c>
      <c r="H6040" s="2" t="s">
        <v>1370</v>
      </c>
    </row>
    <row r="6041" customFormat="false" ht="15" hidden="false" customHeight="false" outlineLevel="0" collapsed="false">
      <c r="A6041" s="3" t="s">
        <v>1371</v>
      </c>
      <c r="B6041" s="4"/>
      <c r="C6041" s="4"/>
      <c r="D6041" s="4"/>
      <c r="E6041" s="4"/>
      <c r="F6041" s="4"/>
      <c r="G6041" s="4"/>
      <c r="H6041" s="4"/>
    </row>
    <row r="6042" customFormat="false" ht="15" hidden="false" customHeight="false" outlineLevel="1" collapsed="false">
      <c r="A6042" s="56" t="s">
        <v>718</v>
      </c>
      <c r="B6042" s="57" t="s">
        <v>11</v>
      </c>
      <c r="C6042" s="62" t="n">
        <f aca="false">C5944</f>
        <v>194730.4</v>
      </c>
      <c r="D6042" s="62" t="n">
        <f aca="false">D5944</f>
        <v>1277786.5</v>
      </c>
      <c r="E6042" s="62" t="n">
        <f aca="false">E5944</f>
        <v>2624431.5</v>
      </c>
      <c r="F6042" s="62" t="n">
        <f aca="false">F5944</f>
        <v>4539304.5</v>
      </c>
      <c r="G6042" s="62" t="n">
        <f aca="false">G5944</f>
        <v>6996122.5</v>
      </c>
      <c r="H6042" s="2" t="s">
        <v>1372</v>
      </c>
    </row>
    <row r="6043" customFormat="false" ht="15" hidden="false" customHeight="false" outlineLevel="1" collapsed="false">
      <c r="A6043" s="7" t="s">
        <v>688</v>
      </c>
      <c r="B6043" s="8" t="s">
        <v>11</v>
      </c>
      <c r="C6043" s="61" t="n">
        <f aca="false">-C5967</f>
        <v>-181830</v>
      </c>
      <c r="D6043" s="61" t="n">
        <f aca="false">-D5967</f>
        <v>-1185862.5</v>
      </c>
      <c r="E6043" s="61" t="n">
        <f aca="false">-E5967</f>
        <v>-2409300</v>
      </c>
      <c r="F6043" s="61" t="n">
        <f aca="false">-F5967</f>
        <v>-4141025</v>
      </c>
      <c r="G6043" s="61" t="n">
        <f aca="false">-G5967</f>
        <v>-6365750</v>
      </c>
      <c r="H6043" s="2" t="s">
        <v>1373</v>
      </c>
    </row>
    <row r="6044" customFormat="false" ht="15" hidden="false" customHeight="false" outlineLevel="1" collapsed="false">
      <c r="A6044" s="56" t="s">
        <v>719</v>
      </c>
      <c r="B6044" s="57" t="s">
        <v>11</v>
      </c>
      <c r="C6044" s="62" t="n">
        <f aca="false">C6042+C6043</f>
        <v>12900.4</v>
      </c>
      <c r="D6044" s="62" t="n">
        <f aca="false">D6042+D6043</f>
        <v>91923.9999999998</v>
      </c>
      <c r="E6044" s="62" t="n">
        <f aca="false">E6042+E6043</f>
        <v>215131.5</v>
      </c>
      <c r="F6044" s="62" t="n">
        <f aca="false">F6042+F6043</f>
        <v>398279.499999999</v>
      </c>
      <c r="G6044" s="62" t="n">
        <f aca="false">G6042+G6043</f>
        <v>630372.499999999</v>
      </c>
      <c r="H6044" s="2" t="s">
        <v>1374</v>
      </c>
    </row>
    <row r="6045" customFormat="false" ht="15" hidden="false" customHeight="false" outlineLevel="1" collapsed="false">
      <c r="A6045" s="2" t="s">
        <v>720</v>
      </c>
      <c r="B6045" s="8" t="s">
        <v>76</v>
      </c>
      <c r="C6045" s="59" t="n">
        <f aca="false">IF(C6042&gt;0,C6044/C6042,0)</f>
        <v>0.0662474888358467</v>
      </c>
      <c r="D6045" s="59" t="n">
        <f aca="false">IF(D6042&gt;0,D6044/D6042,0)</f>
        <v>0.0719400306702253</v>
      </c>
      <c r="E6045" s="59" t="n">
        <f aca="false">IF(E6042&gt;0,E6044/E6042,0)</f>
        <v>0.0819726100681232</v>
      </c>
      <c r="F6045" s="59" t="n">
        <f aca="false">IF(F6042&gt;0,F6044/F6042,0)</f>
        <v>0.0877402033725649</v>
      </c>
      <c r="G6045" s="59" t="n">
        <f aca="false">IF(G6042&gt;0,G6044/G6042,0)</f>
        <v>0.0901031249810162</v>
      </c>
      <c r="H6045" s="2" t="s">
        <v>1375</v>
      </c>
    </row>
    <row r="6046" customFormat="false" ht="15" hidden="false" customHeight="false" outlineLevel="1" collapsed="false">
      <c r="A6046" s="7" t="s">
        <v>721</v>
      </c>
      <c r="B6046" s="8" t="s">
        <v>11</v>
      </c>
      <c r="C6046" s="61" t="n">
        <f aca="false">-C5978</f>
        <v>-14877.4212054795</v>
      </c>
      <c r="D6046" s="61" t="n">
        <f aca="false">-D5978</f>
        <v>-97983.8314383562</v>
      </c>
      <c r="E6046" s="61" t="n">
        <f aca="false">-E5978</f>
        <v>-204060.525547945</v>
      </c>
      <c r="F6046" s="61" t="n">
        <f aca="false">-F5978</f>
        <v>-345012.569931507</v>
      </c>
      <c r="G6046" s="61" t="n">
        <f aca="false">-G5978</f>
        <v>-515294.803424658</v>
      </c>
      <c r="H6046" s="2" t="s">
        <v>1376</v>
      </c>
    </row>
    <row r="6047" customFormat="false" ht="15" hidden="false" customHeight="false" outlineLevel="1" collapsed="false">
      <c r="A6047" s="7" t="s">
        <v>698</v>
      </c>
      <c r="B6047" s="8" t="s">
        <v>11</v>
      </c>
      <c r="C6047" s="61" t="n">
        <f aca="false">-C5981</f>
        <v>-0</v>
      </c>
      <c r="D6047" s="61" t="n">
        <f aca="false">-D5981</f>
        <v>-15989.2936643836</v>
      </c>
      <c r="E6047" s="61" t="n">
        <f aca="false">-E5981</f>
        <v>-25277.8253424658</v>
      </c>
      <c r="F6047" s="61" t="n">
        <f aca="false">-F5981</f>
        <v>-40291.2778253425</v>
      </c>
      <c r="G6047" s="61" t="n">
        <f aca="false">-G5981</f>
        <v>-61739.1909246575</v>
      </c>
      <c r="H6047" s="2" t="s">
        <v>1377</v>
      </c>
    </row>
    <row r="6048" customFormat="false" ht="15" hidden="false" customHeight="false" outlineLevel="1" collapsed="false">
      <c r="A6048" s="56" t="s">
        <v>677</v>
      </c>
      <c r="B6048" s="57" t="s">
        <v>11</v>
      </c>
      <c r="C6048" s="62" t="n">
        <f aca="false">C6044+C6046+C6047</f>
        <v>-1977.02120547949</v>
      </c>
      <c r="D6048" s="62" t="n">
        <f aca="false">D6044+D6046+D6047</f>
        <v>-22049.12510274</v>
      </c>
      <c r="E6048" s="62" t="n">
        <f aca="false">E6044+E6046+E6047</f>
        <v>-14206.8508904114</v>
      </c>
      <c r="F6048" s="62" t="n">
        <f aca="false">F6044+F6046+F6047</f>
        <v>12975.6522431498</v>
      </c>
      <c r="G6048" s="62" t="n">
        <f aca="false">G6044+G6046+G6047</f>
        <v>53338.505650684</v>
      </c>
      <c r="H6048" s="2" t="s">
        <v>1378</v>
      </c>
    </row>
    <row r="6049" customFormat="false" ht="15" hidden="false" customHeight="false" outlineLevel="1" collapsed="false">
      <c r="A6049" s="7" t="s">
        <v>261</v>
      </c>
      <c r="B6049" s="8" t="s">
        <v>11</v>
      </c>
      <c r="C6049" s="61" t="n">
        <f aca="false">-C6013</f>
        <v>-303573.09375</v>
      </c>
      <c r="D6049" s="61" t="n">
        <f aca="false">-D6013</f>
        <v>-477845.325</v>
      </c>
      <c r="E6049" s="61" t="n">
        <f aca="false">-E6013</f>
        <v>-563341.2153125</v>
      </c>
      <c r="F6049" s="61" t="n">
        <f aca="false">-F6013</f>
        <v>-697007.527174375</v>
      </c>
      <c r="G6049" s="61" t="n">
        <f aca="false">-G6013</f>
        <v>-768997.563445444</v>
      </c>
      <c r="H6049" s="2" t="s">
        <v>1379</v>
      </c>
    </row>
    <row r="6050" customFormat="false" ht="15" hidden="false" customHeight="false" outlineLevel="1" collapsed="false">
      <c r="A6050" s="7" t="s">
        <v>722</v>
      </c>
      <c r="B6050" s="8" t="s">
        <v>11</v>
      </c>
      <c r="C6050" s="61" t="n">
        <f aca="false">-C6029</f>
        <v>-298100</v>
      </c>
      <c r="D6050" s="61" t="n">
        <f aca="false">-D6029</f>
        <v>-297444.48</v>
      </c>
      <c r="E6050" s="61" t="n">
        <f aca="false">-E6029</f>
        <v>-368826.8</v>
      </c>
      <c r="F6050" s="61" t="n">
        <f aca="false">-F6029</f>
        <v>-391761.644</v>
      </c>
      <c r="G6050" s="61" t="n">
        <f aca="false">-G6029</f>
        <v>-432716.301272</v>
      </c>
      <c r="H6050" s="2" t="s">
        <v>1380</v>
      </c>
    </row>
    <row r="6051" customFormat="false" ht="15" hidden="false" customHeight="false" outlineLevel="1" collapsed="false">
      <c r="A6051" s="56" t="s">
        <v>723</v>
      </c>
      <c r="B6051" s="57" t="s">
        <v>11</v>
      </c>
      <c r="C6051" s="62" t="n">
        <f aca="false">C6048+C6049+C6050</f>
        <v>-603650.11495548</v>
      </c>
      <c r="D6051" s="62" t="n">
        <f aca="false">D6048+D6049+D6050</f>
        <v>-797338.93010274</v>
      </c>
      <c r="E6051" s="62" t="n">
        <f aca="false">E6048+E6049+E6050</f>
        <v>-946374.866202911</v>
      </c>
      <c r="F6051" s="62" t="n">
        <f aca="false">F6048+F6049+F6050</f>
        <v>-1075793.51893123</v>
      </c>
      <c r="G6051" s="62" t="n">
        <f aca="false">G6048+G6049+G6050</f>
        <v>-1148375.35906676</v>
      </c>
      <c r="H6051" s="2" t="s">
        <v>1381</v>
      </c>
    </row>
    <row r="6052" customFormat="false" ht="15" hidden="false" customHeight="false" outlineLevel="1" collapsed="false">
      <c r="A6052" s="2" t="s">
        <v>725</v>
      </c>
      <c r="B6052" s="8" t="s">
        <v>76</v>
      </c>
      <c r="C6052" s="59" t="n">
        <f aca="false">IF(C6042&gt;0,C6051/C6042,0)</f>
        <v>-3.09992746358802</v>
      </c>
      <c r="D6052" s="59" t="n">
        <f aca="false">IF(D6042&gt;0,D6051/D6042,0)</f>
        <v>-0.624000120601321</v>
      </c>
      <c r="E6052" s="59" t="n">
        <f aca="false">IF(E6042&gt;0,E6051/E6042,0)</f>
        <v>-0.360601854612289</v>
      </c>
      <c r="F6052" s="59" t="n">
        <f aca="false">IF(F6042&gt;0,F6051/F6042,0)</f>
        <v>-0.236995231082477</v>
      </c>
      <c r="G6052" s="59" t="n">
        <f aca="false">IF(G6042&gt;0,G6051/G6042,0)</f>
        <v>-0.164144547078294</v>
      </c>
      <c r="H6052" s="2" t="s">
        <v>1382</v>
      </c>
    </row>
    <row r="6053" customFormat="false" ht="15" hidden="false" customHeight="false" outlineLevel="1" collapsed="false">
      <c r="A6053" s="2" t="s">
        <v>726</v>
      </c>
      <c r="B6053" s="8" t="s">
        <v>11</v>
      </c>
      <c r="C6053" s="61" t="n">
        <f aca="false">C6051+C5981</f>
        <v>-603650.11495548</v>
      </c>
      <c r="D6053" s="61" t="n">
        <f aca="false">D6051+D5981</f>
        <v>-781349.636438356</v>
      </c>
      <c r="E6053" s="61" t="n">
        <f aca="false">E6051+E5981</f>
        <v>-921097.040860446</v>
      </c>
      <c r="F6053" s="61" t="n">
        <f aca="false">F6051+F5981</f>
        <v>-1035502.24110588</v>
      </c>
      <c r="G6053" s="61" t="n">
        <f aca="false">G6051+G5981</f>
        <v>-1086636.1681421</v>
      </c>
      <c r="H6053" s="2" t="s">
        <v>1383</v>
      </c>
    </row>
    <row r="6054" customFormat="false" ht="15" hidden="false" customHeight="false" outlineLevel="1" collapsed="false">
      <c r="A6054" s="7" t="s">
        <v>714</v>
      </c>
      <c r="B6054" s="8" t="s">
        <v>11</v>
      </c>
      <c r="C6054" s="61" t="n">
        <f aca="false">-C6040</f>
        <v>-26350</v>
      </c>
      <c r="D6054" s="61" t="n">
        <f aca="false">-D6040</f>
        <v>-39750</v>
      </c>
      <c r="E6054" s="61" t="n">
        <f aca="false">-E6040</f>
        <v>-52650</v>
      </c>
      <c r="F6054" s="61" t="n">
        <f aca="false">-F6040</f>
        <v>-42966.6666666667</v>
      </c>
      <c r="G6054" s="61" t="n">
        <f aca="false">-G6040</f>
        <v>-39783.3333333333</v>
      </c>
      <c r="H6054" s="2" t="s">
        <v>1384</v>
      </c>
    </row>
    <row r="6055" customFormat="false" ht="15" hidden="false" customHeight="false" outlineLevel="1" collapsed="false">
      <c r="A6055" s="56" t="s">
        <v>727</v>
      </c>
      <c r="B6055" s="57" t="s">
        <v>11</v>
      </c>
      <c r="C6055" s="62" t="n">
        <f aca="false">C6051+C6054</f>
        <v>-630000.11495548</v>
      </c>
      <c r="D6055" s="62" t="n">
        <f aca="false">D6051+D6054</f>
        <v>-837088.93010274</v>
      </c>
      <c r="E6055" s="62" t="n">
        <f aca="false">E6051+E6054</f>
        <v>-999024.866202911</v>
      </c>
      <c r="F6055" s="62" t="n">
        <f aca="false">F6051+F6054</f>
        <v>-1118760.18559789</v>
      </c>
      <c r="G6055" s="62" t="n">
        <f aca="false">G6051+G6054</f>
        <v>-1188158.69240009</v>
      </c>
      <c r="H6055" s="2" t="s">
        <v>1385</v>
      </c>
    </row>
    <row r="6056" customFormat="false" ht="15" hidden="false" customHeight="false" outlineLevel="0" collapsed="false">
      <c r="A6056" s="3" t="s">
        <v>1386</v>
      </c>
      <c r="B6056" s="4"/>
      <c r="C6056" s="4"/>
      <c r="D6056" s="4"/>
      <c r="E6056" s="4"/>
      <c r="F6056" s="4"/>
      <c r="G6056" s="4"/>
      <c r="H6056" s="4"/>
    </row>
    <row r="6057" customFormat="false" ht="15" hidden="false" customHeight="false" outlineLevel="1" collapsed="false">
      <c r="A6057" s="7" t="s">
        <v>729</v>
      </c>
      <c r="B6057" s="8" t="s">
        <v>11</v>
      </c>
      <c r="C6057" s="61" t="n">
        <f aca="false">C6055</f>
        <v>-630000.11495548</v>
      </c>
      <c r="D6057" s="61" t="n">
        <f aca="false">D6055</f>
        <v>-837088.93010274</v>
      </c>
      <c r="E6057" s="61" t="n">
        <f aca="false">E6055</f>
        <v>-999024.866202911</v>
      </c>
      <c r="F6057" s="61" t="n">
        <f aca="false">F6055</f>
        <v>-1118760.18559789</v>
      </c>
      <c r="G6057" s="61" t="n">
        <f aca="false">G6055</f>
        <v>-1188158.69240009</v>
      </c>
      <c r="H6057" s="2" t="s">
        <v>1387</v>
      </c>
    </row>
    <row r="6058" customFormat="false" ht="15" hidden="false" customHeight="false" outlineLevel="1" collapsed="false">
      <c r="A6058" s="7" t="s">
        <v>730</v>
      </c>
      <c r="B6058" s="8" t="s">
        <v>11</v>
      </c>
      <c r="C6058" s="61" t="n">
        <f aca="false">0</f>
        <v>0</v>
      </c>
      <c r="D6058" s="61" t="n">
        <f aca="false">C6061</f>
        <v>630000.11495548</v>
      </c>
      <c r="E6058" s="61" t="n">
        <f aca="false">D6061</f>
        <v>1467089.04505822</v>
      </c>
      <c r="F6058" s="61" t="n">
        <f aca="false">E6061</f>
        <v>2466113.91126113</v>
      </c>
      <c r="G6058" s="61" t="n">
        <f aca="false">F6061</f>
        <v>3584874.09685902</v>
      </c>
      <c r="H6058" s="2" t="s">
        <v>1388</v>
      </c>
    </row>
    <row r="6059" customFormat="false" ht="15" hidden="false" customHeight="false" outlineLevel="1" collapsed="false">
      <c r="A6059" s="7" t="s">
        <v>731</v>
      </c>
      <c r="B6059" s="8" t="s">
        <v>11</v>
      </c>
      <c r="C6059" s="61" t="n">
        <f aca="false">MAX(0,-C6057)</f>
        <v>630000.11495548</v>
      </c>
      <c r="D6059" s="61" t="n">
        <f aca="false">MAX(0,-D6057)</f>
        <v>837088.93010274</v>
      </c>
      <c r="E6059" s="61" t="n">
        <f aca="false">MAX(0,-E6057)</f>
        <v>999024.866202911</v>
      </c>
      <c r="F6059" s="61" t="n">
        <f aca="false">MAX(0,-F6057)</f>
        <v>1118760.18559789</v>
      </c>
      <c r="G6059" s="61" t="n">
        <f aca="false">MAX(0,-G6057)</f>
        <v>1188158.69240009</v>
      </c>
      <c r="H6059" s="2" t="s">
        <v>1389</v>
      </c>
    </row>
    <row r="6060" customFormat="false" ht="15" hidden="false" customHeight="false" outlineLevel="1" collapsed="false">
      <c r="A6060" s="7" t="s">
        <v>732</v>
      </c>
      <c r="B6060" s="8" t="s">
        <v>11</v>
      </c>
      <c r="C6060" s="61" t="n">
        <f aca="false">MIN(C6058,Pressupostos!$C$181*MAX(0,C6057))</f>
        <v>0</v>
      </c>
      <c r="D6060" s="61" t="n">
        <f aca="false">MIN(D6058,Pressupostos!$C$181*MAX(0,D6057))</f>
        <v>0</v>
      </c>
      <c r="E6060" s="61" t="n">
        <f aca="false">MIN(E6058,Pressupostos!$C$181*MAX(0,E6057))</f>
        <v>0</v>
      </c>
      <c r="F6060" s="61" t="n">
        <f aca="false">MIN(F6058,Pressupostos!$C$181*MAX(0,F6057))</f>
        <v>0</v>
      </c>
      <c r="G6060" s="61" t="n">
        <f aca="false">MIN(G6058,Pressupostos!$C$181*MAX(0,G6057))</f>
        <v>0</v>
      </c>
      <c r="H6060" s="2" t="s">
        <v>1390</v>
      </c>
    </row>
    <row r="6061" customFormat="false" ht="15" hidden="false" customHeight="false" outlineLevel="1" collapsed="false">
      <c r="A6061" s="7" t="s">
        <v>733</v>
      </c>
      <c r="B6061" s="8" t="s">
        <v>11</v>
      </c>
      <c r="C6061" s="61" t="n">
        <f aca="false">C6058+C6059-C6060</f>
        <v>630000.11495548</v>
      </c>
      <c r="D6061" s="61" t="n">
        <f aca="false">D6058+D6059-D6060</f>
        <v>1467089.04505822</v>
      </c>
      <c r="E6061" s="61" t="n">
        <f aca="false">E6058+E6059-E6060</f>
        <v>2466113.91126113</v>
      </c>
      <c r="F6061" s="61" t="n">
        <f aca="false">F6058+F6059-F6060</f>
        <v>3584874.09685902</v>
      </c>
      <c r="G6061" s="61" t="n">
        <f aca="false">G6058+G6059-G6060</f>
        <v>4773032.78925912</v>
      </c>
      <c r="H6061" s="2" t="s">
        <v>1391</v>
      </c>
    </row>
    <row r="6062" customFormat="false" ht="15" hidden="false" customHeight="false" outlineLevel="1" collapsed="false">
      <c r="A6062" s="7" t="s">
        <v>734</v>
      </c>
      <c r="B6062" s="8" t="s">
        <v>11</v>
      </c>
      <c r="C6062" s="61" t="n">
        <f aca="false">MAX(0,C6057)-C6060</f>
        <v>0</v>
      </c>
      <c r="D6062" s="61" t="n">
        <f aca="false">MAX(0,D6057)-D6060</f>
        <v>0</v>
      </c>
      <c r="E6062" s="61" t="n">
        <f aca="false">MAX(0,E6057)-E6060</f>
        <v>0</v>
      </c>
      <c r="F6062" s="61" t="n">
        <f aca="false">MAX(0,F6057)-F6060</f>
        <v>0</v>
      </c>
      <c r="G6062" s="61" t="n">
        <f aca="false">MAX(0,G6057)-G6060</f>
        <v>0</v>
      </c>
      <c r="H6062" s="2" t="s">
        <v>1392</v>
      </c>
    </row>
    <row r="6063" customFormat="false" ht="15" hidden="false" customHeight="false" outlineLevel="1" collapsed="false">
      <c r="A6063" s="7" t="s">
        <v>735</v>
      </c>
      <c r="B6063" s="8" t="s">
        <v>11</v>
      </c>
      <c r="C6063" s="61" t="n">
        <f aca="false">Pressupostos!$C$172*MIN(C6062,Pressupostos!$C$173)+Pressupostos!$C$467*MAX(0,C6062-Pressupostos!$C$173)</f>
        <v>0</v>
      </c>
      <c r="D6063" s="61" t="n">
        <f aca="false">Pressupostos!$C$172*MIN(D6062,Pressupostos!$C$173)+Pressupostos!$D$467*MAX(0,D6062-Pressupostos!$C$173)</f>
        <v>0</v>
      </c>
      <c r="E6063" s="61" t="n">
        <f aca="false">Pressupostos!$C$172*MIN(E6062,Pressupostos!$C$173)+Pressupostos!$E$467*MAX(0,E6062-Pressupostos!$C$173)</f>
        <v>0</v>
      </c>
      <c r="F6063" s="61" t="n">
        <f aca="false">Pressupostos!$C$172*MIN(F6062,Pressupostos!$C$173)+Pressupostos!$F$467*MAX(0,F6062-Pressupostos!$C$173)</f>
        <v>0</v>
      </c>
      <c r="G6063" s="61" t="n">
        <f aca="false">Pressupostos!$C$172*MIN(G6062,Pressupostos!$C$173)+Pressupostos!$G$467*MAX(0,G6062-Pressupostos!$C$173)</f>
        <v>0</v>
      </c>
      <c r="H6063" s="2" t="s">
        <v>1393</v>
      </c>
    </row>
    <row r="6064" customFormat="false" ht="15" hidden="false" customHeight="false" outlineLevel="1" collapsed="false">
      <c r="A6064" s="7" t="s">
        <v>736</v>
      </c>
      <c r="B6064" s="8" t="s">
        <v>11</v>
      </c>
      <c r="C6064" s="61" t="n">
        <f aca="false">Pressupostos!$C$174*MAX(0,C6057)</f>
        <v>0</v>
      </c>
      <c r="D6064" s="61" t="n">
        <f aca="false">Pressupostos!$C$174*MAX(0,D6057)</f>
        <v>0</v>
      </c>
      <c r="E6064" s="61" t="n">
        <f aca="false">Pressupostos!$C$174*MAX(0,E6057)</f>
        <v>0</v>
      </c>
      <c r="F6064" s="61" t="n">
        <f aca="false">Pressupostos!$C$174*MAX(0,F6057)</f>
        <v>0</v>
      </c>
      <c r="G6064" s="61" t="n">
        <f aca="false">Pressupostos!$C$174*MAX(0,G6057)</f>
        <v>0</v>
      </c>
      <c r="H6064" s="2" t="s">
        <v>1394</v>
      </c>
    </row>
    <row r="6065" customFormat="false" ht="15" hidden="false" customHeight="false" outlineLevel="1" collapsed="false">
      <c r="A6065" s="7" t="s">
        <v>737</v>
      </c>
      <c r="B6065" s="8" t="s">
        <v>11</v>
      </c>
      <c r="C6065" s="61" t="n">
        <f aca="false">Pressupostos!$C$176*MAX(0,MIN(C6057,Pressupostos!$C$177)-Pressupostos!$C$175)+Pressupostos!$C$178*MAX(0,MIN(C6057,Pressupostos!$C$179)-Pressupostos!$C$177)+Pressupostos!$C$180*MAX(0,C6057-Pressupostos!$C$179)</f>
        <v>0</v>
      </c>
      <c r="D6065" s="61" t="n">
        <f aca="false">Pressupostos!$C$176*MAX(0,MIN(D6057,Pressupostos!$C$177)-Pressupostos!$C$175)+Pressupostos!$C$178*MAX(0,MIN(D6057,Pressupostos!$C$179)-Pressupostos!$C$177)+Pressupostos!$C$180*MAX(0,D6057-Pressupostos!$C$179)</f>
        <v>0</v>
      </c>
      <c r="E6065" s="61" t="n">
        <f aca="false">Pressupostos!$C$176*MAX(0,MIN(E6057,Pressupostos!$C$177)-Pressupostos!$C$175)+Pressupostos!$C$178*MAX(0,MIN(E6057,Pressupostos!$C$179)-Pressupostos!$C$177)+Pressupostos!$C$180*MAX(0,E6057-Pressupostos!$C$179)</f>
        <v>0</v>
      </c>
      <c r="F6065" s="61" t="n">
        <f aca="false">Pressupostos!$C$176*MAX(0,MIN(F6057,Pressupostos!$C$177)-Pressupostos!$C$175)+Pressupostos!$C$178*MAX(0,MIN(F6057,Pressupostos!$C$179)-Pressupostos!$C$177)+Pressupostos!$C$180*MAX(0,F6057-Pressupostos!$C$179)</f>
        <v>0</v>
      </c>
      <c r="G6065" s="61" t="n">
        <f aca="false">Pressupostos!$C$176*MAX(0,MIN(G6057,Pressupostos!$C$177)-Pressupostos!$C$175)+Pressupostos!$C$178*MAX(0,MIN(G6057,Pressupostos!$C$179)-Pressupostos!$C$177)+Pressupostos!$C$180*MAX(0,G6057-Pressupostos!$C$179)</f>
        <v>0</v>
      </c>
      <c r="H6065" s="2" t="s">
        <v>1395</v>
      </c>
    </row>
    <row r="6066" customFormat="false" ht="15" hidden="false" customHeight="false" outlineLevel="1" collapsed="false">
      <c r="A6066" s="7" t="s">
        <v>738</v>
      </c>
      <c r="B6066" s="8" t="s">
        <v>11</v>
      </c>
      <c r="C6066" s="61" t="n">
        <f aca="false">C6063+C6064+C6065</f>
        <v>0</v>
      </c>
      <c r="D6066" s="61" t="n">
        <f aca="false">D6063+D6064+D6065</f>
        <v>0</v>
      </c>
      <c r="E6066" s="61" t="n">
        <f aca="false">E6063+E6064+E6065</f>
        <v>0</v>
      </c>
      <c r="F6066" s="61" t="n">
        <f aca="false">F6063+F6064+F6065</f>
        <v>0</v>
      </c>
      <c r="G6066" s="61" t="n">
        <f aca="false">G6063+G6064+G6065</f>
        <v>0</v>
      </c>
      <c r="H6066" s="2" t="s">
        <v>1396</v>
      </c>
    </row>
    <row r="6067" customFormat="false" ht="15" hidden="false" customHeight="false" outlineLevel="0" collapsed="false">
      <c r="A6067" s="3" t="s">
        <v>1397</v>
      </c>
      <c r="B6067" s="4"/>
      <c r="C6067" s="4"/>
      <c r="D6067" s="4"/>
      <c r="E6067" s="4"/>
      <c r="F6067" s="4"/>
      <c r="G6067" s="4"/>
      <c r="H6067" s="4"/>
    </row>
    <row r="6068" customFormat="false" ht="15" hidden="false" customHeight="false" outlineLevel="1" collapsed="false">
      <c r="A6068" s="7" t="s">
        <v>738</v>
      </c>
      <c r="B6068" s="8" t="s">
        <v>11</v>
      </c>
      <c r="C6068" s="61" t="n">
        <f aca="false">-C6066</f>
        <v>-0</v>
      </c>
      <c r="D6068" s="61" t="n">
        <f aca="false">-D6066</f>
        <v>-0</v>
      </c>
      <c r="E6068" s="61" t="n">
        <f aca="false">-E6066</f>
        <v>-0</v>
      </c>
      <c r="F6068" s="61" t="n">
        <f aca="false">-F6066</f>
        <v>-0</v>
      </c>
      <c r="G6068" s="61" t="n">
        <f aca="false">-G6066</f>
        <v>-0</v>
      </c>
      <c r="H6068" s="2" t="s">
        <v>1398</v>
      </c>
    </row>
    <row r="6069" customFormat="false" ht="15" hidden="false" customHeight="false" outlineLevel="1" collapsed="false">
      <c r="A6069" s="56" t="s">
        <v>740</v>
      </c>
      <c r="B6069" s="57" t="s">
        <v>11</v>
      </c>
      <c r="C6069" s="62" t="n">
        <f aca="false">C6055+C6068</f>
        <v>-630000.11495548</v>
      </c>
      <c r="D6069" s="62" t="n">
        <f aca="false">D6055+D6068</f>
        <v>-837088.93010274</v>
      </c>
      <c r="E6069" s="62" t="n">
        <f aca="false">E6055+E6068</f>
        <v>-999024.866202911</v>
      </c>
      <c r="F6069" s="62" t="n">
        <f aca="false">F6055+F6068</f>
        <v>-1118760.18559789</v>
      </c>
      <c r="G6069" s="62" t="n">
        <f aca="false">G6055+G6068</f>
        <v>-1188158.69240009</v>
      </c>
      <c r="H6069" s="2" t="s">
        <v>1399</v>
      </c>
    </row>
    <row r="6070" customFormat="false" ht="15" hidden="false" customHeight="false" outlineLevel="0" collapsed="false">
      <c r="A6070" s="3" t="s">
        <v>1400</v>
      </c>
      <c r="B6070" s="4"/>
      <c r="C6070" s="4"/>
      <c r="D6070" s="4"/>
      <c r="E6070" s="4"/>
      <c r="F6070" s="4"/>
      <c r="G6070" s="4"/>
      <c r="H6070" s="4"/>
    </row>
    <row r="6071" customFormat="false" ht="15" hidden="false" customHeight="false" outlineLevel="1" collapsed="false">
      <c r="A6071" s="7" t="s">
        <v>744</v>
      </c>
      <c r="B6071" s="8" t="s">
        <v>11</v>
      </c>
      <c r="C6071" s="61" t="n">
        <f aca="false">C5843*1000*((C5861+C5864)*C5867/365)+C5844*1000*((C5884+C5887)*C5890/365)+C5846*1000*((C5907+C5910)*C5913/365)</f>
        <v>25560</v>
      </c>
      <c r="D6071" s="61" t="n">
        <f aca="false">D5843*1000*((D5861+D5864)*D5867/365)+D5844*1000*((D5884+D5887)*D5890/365)+D5846*1000*((D5907+D5910)*D5913/365)</f>
        <v>137274.657534247</v>
      </c>
      <c r="E6071" s="61" t="n">
        <f aca="false">E5843*1000*((E5861+E5864)*E5867/365)+E5844*1000*((E5884+E5887)*E5890/365)+E5846*1000*((E5907+E5910)*E5913/365)</f>
        <v>208639.726027397</v>
      </c>
      <c r="F6071" s="61" t="n">
        <f aca="false">F5843*1000*((F5861+F5864)*F5867/365)+F5844*1000*((F5884+F5887)*F5890/365)+F5846*1000*((F5907+F5910)*F5913/365)</f>
        <v>347427.739726027</v>
      </c>
      <c r="G6071" s="61" t="n">
        <f aca="false">G5843*1000*((G5861+G5864)*G5867/365)+G5844*1000*((G5884+G5887)*G5890/365)+G5846*1000*((G5907+G5910)*G5913/365)</f>
        <v>520982.876712329</v>
      </c>
      <c r="H6071" s="2" t="s">
        <v>1401</v>
      </c>
    </row>
    <row r="6072" customFormat="false" ht="15" hidden="false" customHeight="false" outlineLevel="1" collapsed="false">
      <c r="A6072" s="7" t="s">
        <v>745</v>
      </c>
      <c r="B6072" s="8" t="s">
        <v>11</v>
      </c>
      <c r="C6072" s="61" t="n">
        <f aca="false">C6071+C5856*1000*Pressupostos!$C$92*Pressupostos!$C$95/365</f>
        <v>25560</v>
      </c>
      <c r="D6072" s="61" t="n">
        <f aca="false">D6071+D5856*1000*Pressupostos!$C$92*Pressupostos!$C$95/365</f>
        <v>137274.657534247</v>
      </c>
      <c r="E6072" s="61" t="n">
        <f aca="false">E6071+E5856*1000*Pressupostos!$C$92*Pressupostos!$C$95/365</f>
        <v>208639.726027397</v>
      </c>
      <c r="F6072" s="61" t="n">
        <f aca="false">F6071+F5856*1000*Pressupostos!$C$92*Pressupostos!$C$95/365</f>
        <v>364688.01369863</v>
      </c>
      <c r="G6072" s="61" t="n">
        <f aca="false">G6071+G5856*1000*Pressupostos!$C$92*Pressupostos!$C$95/365</f>
        <v>564133.561643836</v>
      </c>
      <c r="H6072" s="2" t="s">
        <v>1402</v>
      </c>
    </row>
    <row r="6073" customFormat="false" ht="15" hidden="false" customHeight="false" outlineLevel="1" collapsed="false">
      <c r="A6073" s="7" t="s">
        <v>746</v>
      </c>
      <c r="B6073" s="8" t="s">
        <v>11</v>
      </c>
      <c r="C6073" s="61" t="n">
        <f aca="false">C5843*1000*(C5863*C5868/365)+C5844*1000*(C5886*C5891/365)+C5846*1000*(C5909*C5914/365)+C5938*Pressupostos!$C$96/365+(C5940+C5941)*Pressupostos!$C$82/365</f>
        <v>27631.2109589041</v>
      </c>
      <c r="D6073" s="61" t="n">
        <f aca="false">D5843*1000*(D5863*D5868/365)+D5844*1000*(D5886*D5891/365)+D5846*1000*(D5909*D5914/365)+D5938*Pressupostos!$C$96/365+(D5940+D5941)*Pressupostos!$C$82/365</f>
        <v>183988.068493151</v>
      </c>
      <c r="E6073" s="61" t="n">
        <f aca="false">E5843*1000*(E5863*E5868/365)+E5844*1000*(E5886*E5891/365)+E5846*1000*(E5909*E5914/365)+E5938*Pressupostos!$C$96/365+(E5940+E5941)*Pressupostos!$C$82/365</f>
        <v>371936.630136986</v>
      </c>
      <c r="F6073" s="61" t="n">
        <f aca="false">F5843*1000*(F5863*F5868/365)+F5844*1000*(F5886*F5891/365)+F5846*1000*(F5909*F5914/365)+F5938*Pressupostos!$C$96/365+(F5940+F5941)*Pressupostos!$C$82/365</f>
        <v>629601.808219178</v>
      </c>
      <c r="G6073" s="61" t="n">
        <f aca="false">G5843*1000*(G5863*G5868/365)+G5844*1000*(G5886*G5891/365)+G5846*1000*(G5909*G5914/365)+G5938*Pressupostos!$C$96/365+(G5940+G5941)*Pressupostos!$C$82/365</f>
        <v>960539.520547945</v>
      </c>
      <c r="H6073" s="2" t="s">
        <v>1403</v>
      </c>
    </row>
    <row r="6074" customFormat="false" ht="15" hidden="false" customHeight="false" outlineLevel="1" collapsed="false">
      <c r="A6074" s="7" t="s">
        <v>747</v>
      </c>
      <c r="B6074" s="8" t="s">
        <v>11</v>
      </c>
      <c r="C6074" s="61" t="n">
        <f aca="false">C5843*1000*((C5861+C5864)*Pressupostos!$C$72/365)+C5844*1000*((C5884+C5887)*Pressupostos!$C$72/365)+C5846*1000*((C5907+C5910)*Pressupostos!$C$72/365)+C5856*1000*Pressupostos!$C$92*Pressupostos!$C$97/365</f>
        <v>14944.9315068493</v>
      </c>
      <c r="D6074" s="61" t="n">
        <f aca="false">D5843*1000*((D5861+D5864)*Pressupostos!$C$72/365)+D5844*1000*((D5884+D5887)*Pressupostos!$C$72/365)+D5846*1000*((D5907+D5910)*Pressupostos!$C$72/365)+D5856*1000*Pressupostos!$C$92*Pressupostos!$C$97/365</f>
        <v>97468.1506849315</v>
      </c>
      <c r="E6074" s="61" t="n">
        <f aca="false">E5843*1000*((E5861+E5864)*Pressupostos!$C$72/365)+E5844*1000*((E5884+E5887)*Pressupostos!$C$72/365)+E5846*1000*((E5907+E5910)*Pressupostos!$C$72/365)+E5856*1000*Pressupostos!$C$92*Pressupostos!$C$97/365</f>
        <v>198024.657534247</v>
      </c>
      <c r="F6074" s="61" t="n">
        <f aca="false">F5843*1000*((F5861+F5864)*Pressupostos!$C$72/365)+F5844*1000*((F5884+F5887)*Pressupostos!$C$72/365)+F5846*1000*((F5907+F5910)*Pressupostos!$C$72/365)+F5856*1000*Pressupostos!$C$92*Pressupostos!$C$97/365</f>
        <v>340358.219178082</v>
      </c>
      <c r="G6074" s="61" t="n">
        <f aca="false">G5843*1000*((G5861+G5864)*Pressupostos!$C$72/365)+G5844*1000*((G5884+G5887)*Pressupostos!$C$72/365)+G5846*1000*((G5907+G5910)*Pressupostos!$C$72/365)+G5856*1000*Pressupostos!$C$92*Pressupostos!$C$97/365</f>
        <v>523212.328767123</v>
      </c>
      <c r="H6074" s="2" t="s">
        <v>1404</v>
      </c>
    </row>
    <row r="6075" customFormat="false" ht="15" hidden="false" customHeight="false" outlineLevel="1" collapsed="false">
      <c r="A6075" s="56" t="s">
        <v>748</v>
      </c>
      <c r="B6075" s="57" t="s">
        <v>11</v>
      </c>
      <c r="C6075" s="62" t="n">
        <f aca="false">C6072+C6073-C6074</f>
        <v>38246.2794520548</v>
      </c>
      <c r="D6075" s="62" t="n">
        <f aca="false">D6072+D6073-D6074</f>
        <v>223794.575342466</v>
      </c>
      <c r="E6075" s="62" t="n">
        <f aca="false">E6072+E6073-E6074</f>
        <v>382551.698630137</v>
      </c>
      <c r="F6075" s="62" t="n">
        <f aca="false">F6072+F6073-F6074</f>
        <v>653931.602739726</v>
      </c>
      <c r="G6075" s="62" t="n">
        <f aca="false">G6072+G6073-G6074</f>
        <v>1001460.75342466</v>
      </c>
      <c r="H6075" s="2" t="s">
        <v>1405</v>
      </c>
    </row>
    <row r="6076" customFormat="false" ht="15" hidden="false" customHeight="false" outlineLevel="0" collapsed="false">
      <c r="A6076" s="3" t="s">
        <v>1406</v>
      </c>
      <c r="B6076" s="4"/>
      <c r="C6076" s="4"/>
      <c r="D6076" s="4"/>
      <c r="E6076" s="4"/>
      <c r="F6076" s="4"/>
      <c r="G6076" s="4"/>
      <c r="H6076" s="4"/>
    </row>
    <row r="6077" customFormat="false" ht="15" hidden="false" customHeight="false" outlineLevel="1" collapsed="false">
      <c r="A6077" s="56" t="s">
        <v>750</v>
      </c>
      <c r="B6077" s="57" t="s">
        <v>11</v>
      </c>
      <c r="C6077" s="62" t="n">
        <f aca="false">Pressupostos!$C$284*C6075/Pressupostos!$F$31</f>
        <v>0</v>
      </c>
      <c r="D6077" s="62" t="n">
        <f aca="false">Pressupostos!$D$284*D6075/Pressupostos!$F$31</f>
        <v>209807.414383562</v>
      </c>
      <c r="E6077" s="62" t="n">
        <f aca="false">Pressupostos!$E$284*E6075/Pressupostos!$F$31</f>
        <v>358642.217465753</v>
      </c>
      <c r="F6077" s="62" t="n">
        <f aca="false">Pressupostos!$F$284*F6075/Pressupostos!$F$31</f>
        <v>613060.877568493</v>
      </c>
      <c r="G6077" s="62" t="n">
        <f aca="false">Pressupostos!$G$284*G6075/Pressupostos!$F$31</f>
        <v>938869.456335616</v>
      </c>
      <c r="H6077" s="2" t="s">
        <v>1407</v>
      </c>
    </row>
    <row r="6078" customFormat="false" ht="15" hidden="false" customHeight="false" outlineLevel="1" collapsed="false">
      <c r="A6078" s="7" t="s">
        <v>751</v>
      </c>
      <c r="B6078" s="8" t="s">
        <v>11</v>
      </c>
      <c r="C6078" s="61" t="n">
        <f aca="false">Pressupostos!$C$284*C6075</f>
        <v>0</v>
      </c>
      <c r="D6078" s="61" t="n">
        <f aca="false">Pressupostos!$D$284*D6075</f>
        <v>167845.931506849</v>
      </c>
      <c r="E6078" s="61" t="n">
        <f aca="false">Pressupostos!$E$284*E6075</f>
        <v>286913.773972603</v>
      </c>
      <c r="F6078" s="61" t="n">
        <f aca="false">Pressupostos!$F$284*F6075</f>
        <v>490448.702054794</v>
      </c>
      <c r="G6078" s="61" t="n">
        <f aca="false">Pressupostos!$G$284*G6075</f>
        <v>751095.565068493</v>
      </c>
      <c r="H6078" s="2" t="s">
        <v>1408</v>
      </c>
    </row>
    <row r="6079" customFormat="false" ht="15" hidden="false" customHeight="false" outlineLevel="1" collapsed="false">
      <c r="A6079" s="7" t="s">
        <v>752</v>
      </c>
      <c r="B6079" s="8" t="s">
        <v>11</v>
      </c>
      <c r="C6079" s="61" t="n">
        <f aca="false">C6077-C6078</f>
        <v>0</v>
      </c>
      <c r="D6079" s="61" t="n">
        <f aca="false">D6077-D6078</f>
        <v>41961.4828767123</v>
      </c>
      <c r="E6079" s="61" t="n">
        <f aca="false">E6077-E6078</f>
        <v>71728.4434931506</v>
      </c>
      <c r="F6079" s="61" t="n">
        <f aca="false">F6077-F6078</f>
        <v>122612.175513698</v>
      </c>
      <c r="G6079" s="61" t="n">
        <f aca="false">G6077-G6078</f>
        <v>187773.891267123</v>
      </c>
      <c r="H6079" s="2" t="s">
        <v>1409</v>
      </c>
    </row>
    <row r="6080" customFormat="false" ht="15" hidden="false" customHeight="false" outlineLevel="1" collapsed="false">
      <c r="A6080" s="7" t="s">
        <v>753</v>
      </c>
      <c r="B6080" s="8" t="s">
        <v>11</v>
      </c>
      <c r="C6080" s="61" t="n">
        <f aca="false">C6075-C6078</f>
        <v>38246.2794520548</v>
      </c>
      <c r="D6080" s="61" t="n">
        <f aca="false">D6075-D6078</f>
        <v>55948.6438356164</v>
      </c>
      <c r="E6080" s="61" t="n">
        <f aca="false">E6075-E6078</f>
        <v>95637.9246575342</v>
      </c>
      <c r="F6080" s="61" t="n">
        <f aca="false">F6075-F6078</f>
        <v>163482.900684931</v>
      </c>
      <c r="G6080" s="61" t="n">
        <f aca="false">G6075-G6078</f>
        <v>250365.188356164</v>
      </c>
      <c r="H6080" s="2" t="s">
        <v>1410</v>
      </c>
    </row>
    <row r="6081" customFormat="false" ht="15" hidden="false" customHeight="false" outlineLevel="1" collapsed="false">
      <c r="A6081" s="7" t="s">
        <v>754</v>
      </c>
      <c r="B6081" s="8" t="s">
        <v>11</v>
      </c>
      <c r="C6081" s="61" t="n">
        <f aca="false">MAX(0,Pressupostos!$C$108-C6080)</f>
        <v>11753.7205479452</v>
      </c>
      <c r="D6081" s="61" t="n">
        <f aca="false">MAX(0,Pressupostos!$C$108-D6080)</f>
        <v>0</v>
      </c>
      <c r="E6081" s="61" t="n">
        <f aca="false">MAX(0,Pressupostos!$C$108-E6080)</f>
        <v>0</v>
      </c>
      <c r="F6081" s="61" t="n">
        <f aca="false">MAX(0,Pressupostos!$C$108-F6080)</f>
        <v>0</v>
      </c>
      <c r="G6081" s="61" t="n">
        <f aca="false">MAX(0,Pressupostos!$C$108-G6080)</f>
        <v>0</v>
      </c>
      <c r="H6081" s="2" t="s">
        <v>1411</v>
      </c>
    </row>
    <row r="6082" customFormat="false" ht="15" hidden="false" customHeight="false" outlineLevel="1" collapsed="false">
      <c r="A6082" s="7" t="s">
        <v>755</v>
      </c>
      <c r="B6082" s="8" t="s">
        <v>11</v>
      </c>
      <c r="C6082" s="61" t="n">
        <f aca="false">Pressupostos!$C$109*C6077</f>
        <v>0</v>
      </c>
      <c r="D6082" s="61" t="n">
        <f aca="false">Pressupostos!$C$109*D6077</f>
        <v>10490.3707191781</v>
      </c>
      <c r="E6082" s="61" t="n">
        <f aca="false">Pressupostos!$C$109*E6077</f>
        <v>17932.1108732877</v>
      </c>
      <c r="F6082" s="61" t="n">
        <f aca="false">Pressupostos!$C$109*F6077</f>
        <v>30653.0438784246</v>
      </c>
      <c r="G6082" s="61" t="n">
        <f aca="false">Pressupostos!$C$109*G6077</f>
        <v>46943.4728167808</v>
      </c>
      <c r="H6082" s="2" t="s">
        <v>1412</v>
      </c>
    </row>
    <row r="6083" customFormat="false" ht="15" hidden="false" customHeight="false" outlineLevel="1" collapsed="false">
      <c r="A6083" s="2" t="s">
        <v>756</v>
      </c>
      <c r="B6083" s="8" t="s">
        <v>123</v>
      </c>
      <c r="C6083" s="61" t="n">
        <f aca="false">C6077/Pressupostos!$C$112</f>
        <v>0</v>
      </c>
      <c r="D6083" s="61" t="n">
        <f aca="false">D6077/Pressupostos!$C$112</f>
        <v>4.19614828767123</v>
      </c>
      <c r="E6083" s="61" t="n">
        <f aca="false">E6077/Pressupostos!$C$112</f>
        <v>7.17284434931507</v>
      </c>
      <c r="F6083" s="61" t="n">
        <f aca="false">F6077/Pressupostos!$C$112</f>
        <v>12.2612175513699</v>
      </c>
      <c r="G6083" s="61" t="n">
        <f aca="false">G6077/Pressupostos!$C$112</f>
        <v>18.7773891267123</v>
      </c>
      <c r="H6083" s="2" t="s">
        <v>1413</v>
      </c>
    </row>
    <row r="6084" customFormat="false" ht="15" hidden="false" customHeight="false" outlineLevel="0" collapsed="false">
      <c r="A6084" s="3" t="s">
        <v>1414</v>
      </c>
      <c r="B6084" s="4"/>
      <c r="C6084" s="4"/>
      <c r="D6084" s="4"/>
      <c r="E6084" s="4"/>
      <c r="F6084" s="4"/>
      <c r="G6084" s="4"/>
      <c r="H6084" s="4"/>
    </row>
    <row r="6085" customFormat="false" ht="15" hidden="false" customHeight="false" outlineLevel="1" collapsed="false">
      <c r="A6085" s="7" t="s">
        <v>758</v>
      </c>
      <c r="B6085" s="8" t="s">
        <v>11</v>
      </c>
      <c r="C6085" s="61" t="n">
        <f aca="false">C6051</f>
        <v>-603650.11495548</v>
      </c>
      <c r="D6085" s="61" t="n">
        <f aca="false">D6051</f>
        <v>-797338.93010274</v>
      </c>
      <c r="E6085" s="61" t="n">
        <f aca="false">E6051</f>
        <v>-946374.866202911</v>
      </c>
      <c r="F6085" s="61" t="n">
        <f aca="false">F6051</f>
        <v>-1075793.51893123</v>
      </c>
      <c r="G6085" s="61" t="n">
        <f aca="false">G6051</f>
        <v>-1148375.35906676</v>
      </c>
      <c r="H6085" s="2" t="s">
        <v>1415</v>
      </c>
    </row>
    <row r="6086" customFormat="false" ht="15" hidden="false" customHeight="false" outlineLevel="1" collapsed="false">
      <c r="A6086" s="7" t="s">
        <v>759</v>
      </c>
      <c r="B6086" s="8" t="s">
        <v>11</v>
      </c>
      <c r="C6086" s="61" t="n">
        <f aca="false">-C6066</f>
        <v>-0</v>
      </c>
      <c r="D6086" s="61" t="n">
        <f aca="false">-D6066</f>
        <v>-0</v>
      </c>
      <c r="E6086" s="61" t="n">
        <f aca="false">-E6066</f>
        <v>-0</v>
      </c>
      <c r="F6086" s="61" t="n">
        <f aca="false">-F6066</f>
        <v>-0</v>
      </c>
      <c r="G6086" s="61" t="n">
        <f aca="false">-G6066</f>
        <v>-0</v>
      </c>
      <c r="H6086" s="2" t="s">
        <v>1416</v>
      </c>
    </row>
    <row r="6087" customFormat="false" ht="15" hidden="false" customHeight="false" outlineLevel="1" collapsed="false">
      <c r="A6087" s="7" t="s">
        <v>760</v>
      </c>
      <c r="B6087" s="8" t="s">
        <v>11</v>
      </c>
      <c r="C6087" s="61" t="n">
        <f aca="false">-C6075</f>
        <v>-38246.2794520548</v>
      </c>
      <c r="D6087" s="61" t="n">
        <f aca="false">-(D6075-C6075)</f>
        <v>-185548.295890411</v>
      </c>
      <c r="E6087" s="61" t="n">
        <f aca="false">-(E6075-D6075)</f>
        <v>-158757.123287671</v>
      </c>
      <c r="F6087" s="61" t="n">
        <f aca="false">-(F6075-E6075)</f>
        <v>-271379.904109589</v>
      </c>
      <c r="G6087" s="61" t="n">
        <f aca="false">-(G6075-F6075)</f>
        <v>-347529.150684932</v>
      </c>
      <c r="H6087" s="2" t="s">
        <v>1417</v>
      </c>
    </row>
    <row r="6088" customFormat="false" ht="15" hidden="false" customHeight="false" outlineLevel="1" collapsed="false">
      <c r="A6088" s="7" t="s">
        <v>424</v>
      </c>
      <c r="B6088" s="8" t="s">
        <v>11</v>
      </c>
      <c r="C6088" s="61" t="n">
        <f aca="false">-C6035</f>
        <v>-89000</v>
      </c>
      <c r="D6088" s="61" t="n">
        <f aca="false">-D6035</f>
        <v>-46000</v>
      </c>
      <c r="E6088" s="61" t="n">
        <f aca="false">-E6035</f>
        <v>-44000</v>
      </c>
      <c r="F6088" s="61" t="n">
        <f aca="false">-F6035</f>
        <v>-37000</v>
      </c>
      <c r="G6088" s="61" t="n">
        <f aca="false">-G6035</f>
        <v>-34000</v>
      </c>
      <c r="H6088" s="2" t="s">
        <v>1418</v>
      </c>
    </row>
    <row r="6089" customFormat="false" ht="15" hidden="false" customHeight="false" outlineLevel="1" collapsed="false">
      <c r="A6089" s="7" t="s">
        <v>761</v>
      </c>
      <c r="B6089" s="8" t="s">
        <v>11</v>
      </c>
      <c r="C6089" s="61" t="n">
        <f aca="false">C6085+C6086+C6087+C6088</f>
        <v>-730896.394407534</v>
      </c>
      <c r="D6089" s="61" t="n">
        <f aca="false">D6085+D6086+D6087+D6088</f>
        <v>-1028887.22599315</v>
      </c>
      <c r="E6089" s="61" t="n">
        <f aca="false">E6085+E6086+E6087+E6088</f>
        <v>-1149131.98949058</v>
      </c>
      <c r="F6089" s="61" t="n">
        <f aca="false">F6085+F6086+F6087+F6088</f>
        <v>-1384173.42304081</v>
      </c>
      <c r="G6089" s="61" t="n">
        <f aca="false">G6085+G6086+G6087+G6088</f>
        <v>-1529904.50975169</v>
      </c>
      <c r="H6089" s="2" t="s">
        <v>1419</v>
      </c>
    </row>
    <row r="6090" customFormat="false" ht="15" hidden="false" customHeight="false" outlineLevel="1" collapsed="false">
      <c r="A6090" s="7" t="s">
        <v>762</v>
      </c>
      <c r="B6090" s="8" t="s">
        <v>11</v>
      </c>
      <c r="C6090" s="61" t="n">
        <f aca="false">C6077</f>
        <v>0</v>
      </c>
      <c r="D6090" s="61" t="n">
        <f aca="false">D6077-C6077</f>
        <v>209807.414383562</v>
      </c>
      <c r="E6090" s="61" t="n">
        <f aca="false">E6077-D6077</f>
        <v>148834.803082192</v>
      </c>
      <c r="F6090" s="61" t="n">
        <f aca="false">F6077-E6077</f>
        <v>254418.660102739</v>
      </c>
      <c r="G6090" s="61" t="n">
        <f aca="false">G6077-F6077</f>
        <v>325808.578767123</v>
      </c>
      <c r="H6090" s="2" t="s">
        <v>1420</v>
      </c>
    </row>
    <row r="6091" customFormat="false" ht="15" hidden="false" customHeight="false" outlineLevel="1" collapsed="false">
      <c r="A6091" s="7" t="s">
        <v>763</v>
      </c>
      <c r="B6091" s="8" t="s">
        <v>11</v>
      </c>
      <c r="C6091" s="61" t="n">
        <f aca="false">-C6079</f>
        <v>-0</v>
      </c>
      <c r="D6091" s="61" t="n">
        <f aca="false">-(D6079-C6079)</f>
        <v>-41961.4828767123</v>
      </c>
      <c r="E6091" s="61" t="n">
        <f aca="false">-(E6079-D6079)</f>
        <v>-29766.9606164383</v>
      </c>
      <c r="F6091" s="61" t="n">
        <f aca="false">-(F6079-E6079)</f>
        <v>-50883.7320205478</v>
      </c>
      <c r="G6091" s="61" t="n">
        <f aca="false">-(G6079-F6079)</f>
        <v>-65161.7157534247</v>
      </c>
      <c r="H6091" s="2" t="s">
        <v>1421</v>
      </c>
    </row>
    <row r="6092" customFormat="false" ht="15" hidden="false" customHeight="false" outlineLevel="1" collapsed="false">
      <c r="A6092" s="7" t="s">
        <v>764</v>
      </c>
      <c r="B6092" s="8" t="s">
        <v>11</v>
      </c>
      <c r="C6092" s="61" t="n">
        <f aca="false">-C6082</f>
        <v>-0</v>
      </c>
      <c r="D6092" s="61" t="n">
        <f aca="false">-(D6082-C6082)</f>
        <v>-10490.3707191781</v>
      </c>
      <c r="E6092" s="61" t="n">
        <f aca="false">-(E6082-D6082)</f>
        <v>-7441.74015410959</v>
      </c>
      <c r="F6092" s="61" t="n">
        <f aca="false">-(F6082-E6082)</f>
        <v>-12720.933005137</v>
      </c>
      <c r="G6092" s="61" t="n">
        <f aca="false">-(G6082-F6082)</f>
        <v>-16290.4289383562</v>
      </c>
      <c r="H6092" s="2" t="s">
        <v>1422</v>
      </c>
    </row>
    <row r="6093" customFormat="false" ht="15" hidden="false" customHeight="false" outlineLevel="1" collapsed="false">
      <c r="A6093" s="7" t="s">
        <v>765</v>
      </c>
      <c r="B6093" s="8" t="s">
        <v>11</v>
      </c>
      <c r="C6093" s="61" t="n">
        <f aca="false">-(C6081-Pressupostos!$C$108)</f>
        <v>38246.2794520548</v>
      </c>
      <c r="D6093" s="61" t="n">
        <f aca="false">-(D6081-C6081)</f>
        <v>11753.7205479452</v>
      </c>
      <c r="E6093" s="61" t="n">
        <f aca="false">-(E6081-D6081)</f>
        <v>-0</v>
      </c>
      <c r="F6093" s="61" t="n">
        <f aca="false">-(F6081-E6081)</f>
        <v>-0</v>
      </c>
      <c r="G6093" s="61" t="n">
        <f aca="false">-(G6081-F6081)</f>
        <v>-0</v>
      </c>
      <c r="H6093" s="2" t="s">
        <v>1423</v>
      </c>
    </row>
    <row r="6094" customFormat="false" ht="15" hidden="false" customHeight="false" outlineLevel="1" collapsed="false">
      <c r="A6094" s="56" t="s">
        <v>766</v>
      </c>
      <c r="B6094" s="57" t="s">
        <v>11</v>
      </c>
      <c r="C6094" s="62" t="n">
        <f aca="false">C6089+C6090+C6091+C6092+C6093</f>
        <v>-692650.11495548</v>
      </c>
      <c r="D6094" s="62" t="n">
        <f aca="false">D6089+D6090+D6091+D6092+D6093</f>
        <v>-859777.944657535</v>
      </c>
      <c r="E6094" s="62" t="n">
        <f aca="false">E6089+E6090+E6091+E6092+E6093</f>
        <v>-1037505.88717894</v>
      </c>
      <c r="F6094" s="62" t="n">
        <f aca="false">F6089+F6090+F6091+F6092+F6093</f>
        <v>-1193359.42796376</v>
      </c>
      <c r="G6094" s="62" t="n">
        <f aca="false">G6089+G6090+G6091+G6092+G6093</f>
        <v>-1285548.07567635</v>
      </c>
      <c r="H6094" s="2" t="s">
        <v>1424</v>
      </c>
    </row>
    <row r="6095" customFormat="false" ht="15" hidden="false" customHeight="false" outlineLevel="1" collapsed="false">
      <c r="A6095" s="56" t="s">
        <v>767</v>
      </c>
      <c r="B6095" s="57" t="s">
        <v>11</v>
      </c>
      <c r="C6095" s="62" t="n">
        <f aca="false">C6094</f>
        <v>-692650.11495548</v>
      </c>
      <c r="D6095" s="62" t="n">
        <f aca="false">C6095+D6094</f>
        <v>-1552428.05961301</v>
      </c>
      <c r="E6095" s="62" t="n">
        <f aca="false">D6095+E6094</f>
        <v>-2589933.94679195</v>
      </c>
      <c r="F6095" s="62" t="n">
        <f aca="false">E6095+F6094</f>
        <v>-3783293.37475571</v>
      </c>
      <c r="G6095" s="62" t="n">
        <f aca="false">F6095+G6094</f>
        <v>-5068841.45043206</v>
      </c>
      <c r="H6095" s="2" t="s">
        <v>1425</v>
      </c>
    </row>
    <row r="6096" customFormat="false" ht="15" hidden="false" customHeight="false" outlineLevel="1" collapsed="false">
      <c r="A6096" s="8" t="s">
        <v>768</v>
      </c>
      <c r="B6096" s="8" t="s">
        <v>11</v>
      </c>
      <c r="C6096" s="70" t="n">
        <f aca="false">ROUND(C6051-C6035-C6066-(MAX(C6080,Pressupostos!$C$108)-Pressupostos!$C$108)-(C6082)-C6094,6)</f>
        <v>0</v>
      </c>
      <c r="D6096" s="70" t="n">
        <f aca="false">ROUND(D6051-D6035-D6066-(MAX(D6080,Pressupostos!$C$108)-MAX(C6080,Pressupostos!$C$108))-(D6082-C6082)-D6094,6)</f>
        <v>0</v>
      </c>
      <c r="E6096" s="70" t="n">
        <f aca="false">ROUND(E6051-E6035-E6066-(MAX(E6080,Pressupostos!$C$108)-MAX(D6080,Pressupostos!$C$108))-(E6082-D6082)-E6094,6)</f>
        <v>0</v>
      </c>
      <c r="F6096" s="70" t="n">
        <f aca="false">ROUND(F6051-F6035-F6066-(MAX(F6080,Pressupostos!$C$108)-MAX(E6080,Pressupostos!$C$108))-(F6082-E6082)-F6094,6)</f>
        <v>0</v>
      </c>
      <c r="G6096" s="70" t="n">
        <f aca="false">ROUND(G6051-G6035-G6066-(MAX(G6080,Pressupostos!$C$108)-MAX(F6080,Pressupostos!$C$108))-(G6082-F6082)-G6094,6)</f>
        <v>0</v>
      </c>
      <c r="H6096" s="2" t="s">
        <v>1426</v>
      </c>
    </row>
    <row r="6097" customFormat="false" ht="15" hidden="false" customHeight="false" outlineLevel="0" collapsed="false">
      <c r="A6097" s="3" t="s">
        <v>1427</v>
      </c>
      <c r="B6097" s="4"/>
      <c r="C6097" s="4"/>
      <c r="D6097" s="4"/>
      <c r="E6097" s="4"/>
      <c r="F6097" s="4"/>
      <c r="G6097" s="4"/>
      <c r="H6097" s="4"/>
    </row>
    <row r="6098" customFormat="false" ht="15" hidden="false" customHeight="false" outlineLevel="1" collapsed="false">
      <c r="A6098" s="7" t="s">
        <v>770</v>
      </c>
      <c r="B6098" s="8" t="s">
        <v>11</v>
      </c>
      <c r="C6098" s="61" t="n">
        <f aca="false">0</f>
        <v>0</v>
      </c>
      <c r="D6098" s="61" t="n">
        <f aca="false">C6103</f>
        <v>262349.885044521</v>
      </c>
      <c r="E6098" s="61" t="n">
        <f aca="false">D6103</f>
        <v>150000</v>
      </c>
      <c r="F6098" s="61" t="n">
        <f aca="false">E6103</f>
        <v>150000</v>
      </c>
      <c r="G6098" s="61" t="n">
        <f aca="false">F6103</f>
        <v>150000</v>
      </c>
      <c r="H6098" s="2" t="s">
        <v>1428</v>
      </c>
    </row>
    <row r="6099" customFormat="false" ht="15" hidden="false" customHeight="false" outlineLevel="1" collapsed="false">
      <c r="A6099" s="7" t="s">
        <v>771</v>
      </c>
      <c r="B6099" s="8" t="s">
        <v>11</v>
      </c>
      <c r="C6099" s="61" t="n">
        <f aca="false">-(Pressupostos!$C$159+Pressupostos!$C$160+Pressupostos!$C$161+Pressupostos!$C$162+Pressupostos!$C$163+Pressupostos!$C$108)</f>
        <v>-145000</v>
      </c>
      <c r="D6099" s="61" t="n">
        <f aca="false">0</f>
        <v>0</v>
      </c>
      <c r="E6099" s="61" t="n">
        <f aca="false">0</f>
        <v>0</v>
      </c>
      <c r="F6099" s="61" t="n">
        <f aca="false">0</f>
        <v>0</v>
      </c>
      <c r="G6099" s="61" t="n">
        <f aca="false">0</f>
        <v>0</v>
      </c>
      <c r="H6099" s="2" t="s">
        <v>1429</v>
      </c>
    </row>
    <row r="6100" customFormat="false" ht="15" hidden="false" customHeight="false" outlineLevel="1" collapsed="false">
      <c r="A6100" s="7" t="s">
        <v>772</v>
      </c>
      <c r="B6100" s="8" t="s">
        <v>11</v>
      </c>
      <c r="C6100" s="53" t="n">
        <f aca="false">Pressupostos!$F$32</f>
        <v>1100000</v>
      </c>
      <c r="D6100" s="61" t="n">
        <f aca="false">0</f>
        <v>0</v>
      </c>
      <c r="E6100" s="61" t="n">
        <f aca="false">0</f>
        <v>0</v>
      </c>
      <c r="F6100" s="61" t="n">
        <f aca="false">0</f>
        <v>0</v>
      </c>
      <c r="G6100" s="61" t="n">
        <f aca="false">0</f>
        <v>0</v>
      </c>
      <c r="H6100" s="2" t="s">
        <v>1430</v>
      </c>
    </row>
    <row r="6101" customFormat="false" ht="15" hidden="false" customHeight="false" outlineLevel="1" collapsed="false">
      <c r="A6101" s="7" t="s">
        <v>773</v>
      </c>
      <c r="B6101" s="8" t="s">
        <v>11</v>
      </c>
      <c r="C6101" s="61" t="n">
        <f aca="false">C6098+C6099+C6100+C6094</f>
        <v>262349.885044521</v>
      </c>
      <c r="D6101" s="61" t="n">
        <f aca="false">D6098+D6099+D6100+D6094</f>
        <v>-597428.059613014</v>
      </c>
      <c r="E6101" s="61" t="n">
        <f aca="false">E6098+E6099+E6100+E6094</f>
        <v>-887505.887178939</v>
      </c>
      <c r="F6101" s="61" t="n">
        <f aca="false">F6098+F6099+F6100+F6094</f>
        <v>-1043359.42796376</v>
      </c>
      <c r="G6101" s="61" t="n">
        <f aca="false">G6098+G6099+G6100+G6094</f>
        <v>-1135548.07567635</v>
      </c>
      <c r="H6101" s="2" t="s">
        <v>1431</v>
      </c>
    </row>
    <row r="6102" customFormat="false" ht="15" hidden="false" customHeight="false" outlineLevel="1" collapsed="false">
      <c r="A6102" s="56" t="s">
        <v>774</v>
      </c>
      <c r="B6102" s="57" t="s">
        <v>11</v>
      </c>
      <c r="C6102" s="62" t="n">
        <f aca="false">MAX(0,Pressupostos!$C$170-C6101)</f>
        <v>0</v>
      </c>
      <c r="D6102" s="62" t="n">
        <f aca="false">MAX(0,Pressupostos!$C$170-D6101)</f>
        <v>747428.059613014</v>
      </c>
      <c r="E6102" s="62" t="n">
        <f aca="false">MAX(0,Pressupostos!$C$170-E6101)</f>
        <v>1037505.88717894</v>
      </c>
      <c r="F6102" s="62" t="n">
        <f aca="false">MAX(0,Pressupostos!$C$170-F6101)</f>
        <v>1193359.42796376</v>
      </c>
      <c r="G6102" s="62" t="n">
        <f aca="false">MAX(0,Pressupostos!$C$170-G6101)</f>
        <v>1285548.07567635</v>
      </c>
      <c r="H6102" s="2" t="s">
        <v>1432</v>
      </c>
    </row>
    <row r="6103" customFormat="false" ht="15" hidden="false" customHeight="false" outlineLevel="1" collapsed="false">
      <c r="A6103" s="56" t="s">
        <v>775</v>
      </c>
      <c r="B6103" s="57" t="s">
        <v>11</v>
      </c>
      <c r="C6103" s="62" t="n">
        <f aca="false">C6101+C6102</f>
        <v>262349.885044521</v>
      </c>
      <c r="D6103" s="62" t="n">
        <f aca="false">D6101+D6102</f>
        <v>150000</v>
      </c>
      <c r="E6103" s="62" t="n">
        <f aca="false">E6101+E6102</f>
        <v>150000</v>
      </c>
      <c r="F6103" s="62" t="n">
        <f aca="false">F6101+F6102</f>
        <v>150000</v>
      </c>
      <c r="G6103" s="62" t="n">
        <f aca="false">G6101+G6102</f>
        <v>150000</v>
      </c>
      <c r="H6103" s="2" t="s">
        <v>1433</v>
      </c>
    </row>
    <row r="6104" customFormat="false" ht="15" hidden="false" customHeight="false" outlineLevel="1" collapsed="false">
      <c r="A6104" s="7" t="s">
        <v>776</v>
      </c>
      <c r="B6104" s="8" t="s">
        <v>11</v>
      </c>
      <c r="C6104" s="61" t="n">
        <f aca="false">C6079+C6082+C6081</f>
        <v>11753.7205479452</v>
      </c>
      <c r="D6104" s="61" t="n">
        <f aca="false">D6079+D6082+D6081</f>
        <v>52451.8535958904</v>
      </c>
      <c r="E6104" s="61" t="n">
        <f aca="false">E6079+E6082+E6081</f>
        <v>89660.5543664383</v>
      </c>
      <c r="F6104" s="61" t="n">
        <f aca="false">F6079+F6082+F6081</f>
        <v>153265.219392123</v>
      </c>
      <c r="G6104" s="61" t="n">
        <f aca="false">G6079+G6082+G6081</f>
        <v>234717.364083904</v>
      </c>
      <c r="H6104" s="2" t="s">
        <v>1434</v>
      </c>
    </row>
    <row r="6105" customFormat="false" ht="15" hidden="false" customHeight="false" outlineLevel="1" collapsed="false">
      <c r="A6105" s="7" t="s">
        <v>777</v>
      </c>
      <c r="B6105" s="8" t="s">
        <v>11</v>
      </c>
      <c r="C6105" s="61" t="n">
        <f aca="false">C6103+C6104</f>
        <v>274103.605592466</v>
      </c>
      <c r="D6105" s="61" t="n">
        <f aca="false">D6103+D6104</f>
        <v>202451.85359589</v>
      </c>
      <c r="E6105" s="61" t="n">
        <f aca="false">E6103+E6104</f>
        <v>239660.554366438</v>
      </c>
      <c r="F6105" s="61" t="n">
        <f aca="false">F6103+F6104</f>
        <v>303265.219392123</v>
      </c>
      <c r="G6105" s="61" t="n">
        <f aca="false">G6103+G6104</f>
        <v>384717.364083904</v>
      </c>
      <c r="H6105" s="2" t="s">
        <v>1435</v>
      </c>
    </row>
    <row r="6106" customFormat="false" ht="15" hidden="false" customHeight="false" outlineLevel="1" collapsed="false">
      <c r="A6106" s="7" t="s">
        <v>778</v>
      </c>
      <c r="B6106" s="8" t="s">
        <v>11</v>
      </c>
      <c r="C6106" s="61" t="n">
        <f aca="false">C6100+C6102</f>
        <v>1100000</v>
      </c>
      <c r="D6106" s="61" t="n">
        <f aca="false">C6106+D6100+D6102</f>
        <v>1847428.05961301</v>
      </c>
      <c r="E6106" s="61" t="n">
        <f aca="false">D6106+E6100+E6102</f>
        <v>2884933.94679195</v>
      </c>
      <c r="F6106" s="61" t="n">
        <f aca="false">E6106+F6100+F6102</f>
        <v>4078293.37475571</v>
      </c>
      <c r="G6106" s="61" t="n">
        <f aca="false">F6106+G6100+G6102</f>
        <v>5363841.45043206</v>
      </c>
      <c r="H6106" s="2" t="s">
        <v>1436</v>
      </c>
    </row>
    <row r="6107" customFormat="false" ht="15" hidden="false" customHeight="false" outlineLevel="0" collapsed="false">
      <c r="A6107" s="3" t="s">
        <v>1437</v>
      </c>
      <c r="B6107" s="4"/>
      <c r="C6107" s="4"/>
      <c r="D6107" s="4"/>
      <c r="E6107" s="4"/>
      <c r="F6107" s="4"/>
      <c r="G6107" s="4"/>
      <c r="H6107" s="4"/>
    </row>
    <row r="6108" customFormat="false" ht="15" hidden="false" customHeight="false" outlineLevel="1" collapsed="false">
      <c r="A6108" s="7" t="s">
        <v>782</v>
      </c>
      <c r="B6108" s="8" t="s">
        <v>11</v>
      </c>
      <c r="C6108" s="72" t="n">
        <f aca="false">Pressupostos!$C$159+Pressupostos!$C$160+Pressupostos!$C$161+Pressupostos!$C$162+Pressupostos!$C$163</f>
        <v>95000</v>
      </c>
      <c r="H6108" s="2" t="s">
        <v>1438</v>
      </c>
    </row>
    <row r="6109" customFormat="false" ht="15" hidden="false" customHeight="false" outlineLevel="1" collapsed="false">
      <c r="A6109" s="7" t="s">
        <v>783</v>
      </c>
      <c r="B6109" s="8" t="s">
        <v>11</v>
      </c>
      <c r="C6109" s="73" t="n">
        <f aca="false">Pressupostos!$C$108</f>
        <v>50000</v>
      </c>
      <c r="H6109" s="2" t="s">
        <v>1439</v>
      </c>
    </row>
    <row r="6110" customFormat="false" ht="15" hidden="false" customHeight="false" outlineLevel="1" collapsed="false">
      <c r="A6110" s="7" t="s">
        <v>322</v>
      </c>
      <c r="B6110" s="8" t="s">
        <v>11</v>
      </c>
      <c r="C6110" s="73" t="n">
        <f aca="false">Pressupostos!$C$170</f>
        <v>150000</v>
      </c>
      <c r="H6110" s="2" t="s">
        <v>1440</v>
      </c>
    </row>
    <row r="6111" customFormat="false" ht="15" hidden="false" customHeight="false" outlineLevel="1" collapsed="false">
      <c r="A6111" s="7" t="s">
        <v>784</v>
      </c>
      <c r="B6111" s="8" t="s">
        <v>11</v>
      </c>
      <c r="C6111" s="72" t="n">
        <f aca="false">MAX(0,-MIN($C$6095:$G$6095))</f>
        <v>5068841.45043206</v>
      </c>
      <c r="H6111" s="2" t="s">
        <v>1441</v>
      </c>
    </row>
    <row r="6112" customFormat="false" ht="15" hidden="false" customHeight="false" outlineLevel="1" collapsed="false">
      <c r="A6112" s="56" t="s">
        <v>785</v>
      </c>
      <c r="B6112" s="57" t="s">
        <v>11</v>
      </c>
      <c r="C6112" s="74" t="n">
        <f aca="false">C6108+C6109+C6110+C6111</f>
        <v>5363841.45043206</v>
      </c>
      <c r="H6112" s="2" t="s">
        <v>1442</v>
      </c>
    </row>
    <row r="6113" customFormat="false" ht="15" hidden="false" customHeight="false" outlineLevel="1" collapsed="false">
      <c r="A6113" s="7" t="s">
        <v>786</v>
      </c>
      <c r="B6113" s="8" t="s">
        <v>20</v>
      </c>
      <c r="C6113" s="75" t="n">
        <f aca="false">INDEX($C$5840:$G$5840,1,MATCH(MIN($C$6095:$G$6095),$C$6095:$G$6095,0))</f>
        <v>2031</v>
      </c>
      <c r="H6113" s="2" t="s">
        <v>1443</v>
      </c>
    </row>
    <row r="6114" customFormat="false" ht="15" hidden="false" customHeight="false" outlineLevel="1" collapsed="false">
      <c r="A6114" s="7" t="s">
        <v>787</v>
      </c>
      <c r="B6114" s="8"/>
      <c r="C6114" s="76" t="str">
        <f aca="false">IF(G6094&lt;0,"sim","não")</f>
        <v>sim</v>
      </c>
      <c r="H6114" s="2" t="s">
        <v>1444</v>
      </c>
    </row>
    <row r="6115" customFormat="false" ht="15" hidden="false" customHeight="false" outlineLevel="1" collapsed="false">
      <c r="A6115" s="7" t="s">
        <v>788</v>
      </c>
      <c r="B6115" s="8" t="s">
        <v>11</v>
      </c>
      <c r="C6115" s="72" t="n">
        <f aca="false">G6106</f>
        <v>5363841.45043206</v>
      </c>
      <c r="H6115" s="2" t="s">
        <v>1445</v>
      </c>
    </row>
    <row r="6116" customFormat="false" ht="15" hidden="false" customHeight="false" outlineLevel="0" collapsed="false">
      <c r="A6116" s="3" t="s">
        <v>1446</v>
      </c>
      <c r="B6116" s="4"/>
      <c r="C6116" s="4"/>
      <c r="D6116" s="4"/>
      <c r="E6116" s="4"/>
      <c r="F6116" s="4"/>
      <c r="G6116" s="4"/>
      <c r="H6116" s="4"/>
    </row>
    <row r="6117" customFormat="false" ht="15" hidden="false" customHeight="false" outlineLevel="1" collapsed="false">
      <c r="A6117" s="7" t="s">
        <v>790</v>
      </c>
      <c r="B6117" s="8" t="s">
        <v>11</v>
      </c>
      <c r="C6117" s="72" t="n">
        <f aca="false">C6108+C6109</f>
        <v>145000</v>
      </c>
      <c r="H6117" s="2" t="s">
        <v>1447</v>
      </c>
    </row>
    <row r="6118" customFormat="false" ht="15" hidden="false" customHeight="false" outlineLevel="1" collapsed="false">
      <c r="A6118" s="7" t="s">
        <v>791</v>
      </c>
      <c r="B6118" s="8" t="s">
        <v>11</v>
      </c>
      <c r="C6118" s="72" t="n">
        <f aca="false">-SUMPRODUCT(($C$5840:$G$5840&lt;=C6113)*$C$6051:$G$6051)</f>
        <v>4571532.78925912</v>
      </c>
      <c r="H6118" s="2" t="s">
        <v>1448</v>
      </c>
    </row>
    <row r="6119" customFormat="false" ht="15" hidden="false" customHeight="false" outlineLevel="1" collapsed="false">
      <c r="A6119" s="7" t="s">
        <v>424</v>
      </c>
      <c r="B6119" s="8" t="s">
        <v>11</v>
      </c>
      <c r="C6119" s="72" t="n">
        <f aca="false">SUMPRODUCT(($C$5840:$G$5840&lt;=C6113)*$C$6035:$G$6035)</f>
        <v>250000</v>
      </c>
      <c r="H6119" s="2" t="s">
        <v>1449</v>
      </c>
    </row>
    <row r="6120" customFormat="false" ht="15" hidden="false" customHeight="false" outlineLevel="1" collapsed="false">
      <c r="A6120" s="7" t="s">
        <v>792</v>
      </c>
      <c r="B6120" s="8" t="s">
        <v>11</v>
      </c>
      <c r="C6120" s="72" t="n">
        <f aca="false">SUMPRODUCT(($C$5840:$G$5840&lt;=C6113)*$C$6066:$G$6066)</f>
        <v>0</v>
      </c>
      <c r="H6120" s="2" t="s">
        <v>1450</v>
      </c>
    </row>
    <row r="6121" customFormat="false" ht="15" hidden="false" customHeight="false" outlineLevel="1" collapsed="false">
      <c r="A6121" s="7" t="s">
        <v>793</v>
      </c>
      <c r="B6121" s="8" t="s">
        <v>11</v>
      </c>
      <c r="C6121" s="72" t="n">
        <f aca="false">C6111-C6118-C6119-C6120</f>
        <v>247308.661172946</v>
      </c>
      <c r="H6121" s="2" t="s">
        <v>1451</v>
      </c>
    </row>
    <row r="6122" customFormat="false" ht="15" hidden="false" customHeight="false" outlineLevel="1" collapsed="false">
      <c r="A6122" s="7" t="s">
        <v>322</v>
      </c>
      <c r="B6122" s="8" t="s">
        <v>11</v>
      </c>
      <c r="C6122" s="72" t="n">
        <f aca="false">C6110</f>
        <v>150000</v>
      </c>
      <c r="H6122" s="2" t="s">
        <v>1452</v>
      </c>
    </row>
    <row r="6123" customFormat="false" ht="15" hidden="false" customHeight="false" outlineLevel="1" collapsed="false">
      <c r="A6123" s="56" t="s">
        <v>794</v>
      </c>
      <c r="B6123" s="57" t="s">
        <v>11</v>
      </c>
      <c r="C6123" s="74" t="n">
        <f aca="false">C6117+C6118+C6119+C6120+C6121+C6122</f>
        <v>5363841.45043206</v>
      </c>
      <c r="H6123" s="2" t="s">
        <v>1453</v>
      </c>
    </row>
    <row r="6124" customFormat="false" ht="15" hidden="false" customHeight="false" outlineLevel="0" collapsed="false">
      <c r="A6124" s="3" t="s">
        <v>1454</v>
      </c>
      <c r="B6124" s="4"/>
      <c r="C6124" s="4"/>
      <c r="D6124" s="4"/>
      <c r="E6124" s="4"/>
      <c r="F6124" s="4"/>
      <c r="G6124" s="4"/>
      <c r="H6124" s="4"/>
    </row>
    <row r="6125" customFormat="false" ht="15" hidden="false" customHeight="false" outlineLevel="1" collapsed="false">
      <c r="A6125" s="7" t="s">
        <v>772</v>
      </c>
      <c r="B6125" s="8" t="s">
        <v>11</v>
      </c>
      <c r="C6125" s="73" t="n">
        <f aca="false">Pressupostos!$F$32</f>
        <v>1100000</v>
      </c>
      <c r="H6125" s="2" t="s">
        <v>1455</v>
      </c>
    </row>
    <row r="6126" customFormat="false" ht="15" hidden="false" customHeight="false" outlineLevel="1" collapsed="false">
      <c r="A6126" s="7" t="s">
        <v>796</v>
      </c>
      <c r="B6126" s="8" t="s">
        <v>11</v>
      </c>
      <c r="C6126" s="72" t="n">
        <f aca="false">C6108+Pressupostos!$C$108+Pressupostos!$C$130/12*((C6010-C5998-C5999+(C5998+C5999)/Pressupostos!$C$128*Pressupostos!$C$129)*(1+Pressupostos!$C$124+Pressupostos!$C$125)+C5996*Pressupostos!$C$126+C6029)+C6035+MAX(0,Pressupostos!$C$183*1000*(C5861+C5864)+Pressupostos!$C$184*1000*(C5884+C5887)-Pressupostos!$C$108)</f>
        <v>631596.666666667</v>
      </c>
      <c r="H6126" s="2" t="s">
        <v>1456</v>
      </c>
    </row>
    <row r="6127" customFormat="false" ht="15" hidden="false" customHeight="false" outlineLevel="1" collapsed="false">
      <c r="A6127" s="7" t="s">
        <v>798</v>
      </c>
      <c r="B6127" s="8" t="s">
        <v>11</v>
      </c>
      <c r="C6127" s="72" t="n">
        <f aca="false">C6108+Pressupostos!$C$108-C6094</f>
        <v>837650.11495548</v>
      </c>
      <c r="H6127" s="2" t="s">
        <v>1457</v>
      </c>
    </row>
    <row r="6128" customFormat="false" ht="15" hidden="false" customHeight="false" outlineLevel="1" collapsed="false">
      <c r="A6128" s="7" t="s">
        <v>799</v>
      </c>
      <c r="B6128" s="8" t="s">
        <v>11</v>
      </c>
      <c r="C6128" s="61" t="n">
        <f aca="false">Pressupostos!$F$32-C6108-Pressupostos!$C$108+C6095</f>
        <v>262349.885044521</v>
      </c>
      <c r="D6128" s="61" t="n">
        <f aca="false">Pressupostos!$F$32-C6108-Pressupostos!$C$108+D6095</f>
        <v>-597428.059613014</v>
      </c>
      <c r="E6128" s="61" t="n">
        <f aca="false">Pressupostos!$F$32-C6108-Pressupostos!$C$108+E6095</f>
        <v>-1634933.94679195</v>
      </c>
      <c r="F6128" s="61" t="n">
        <f aca="false">Pressupostos!$F$32-C6108-Pressupostos!$C$108+F6095</f>
        <v>-2828293.37475571</v>
      </c>
      <c r="G6128" s="61" t="n">
        <f aca="false">Pressupostos!$F$32-C6108-Pressupostos!$C$108+G6095</f>
        <v>-4113841.45043206</v>
      </c>
      <c r="H6128" s="2" t="s">
        <v>1458</v>
      </c>
    </row>
    <row r="6129" customFormat="false" ht="15" hidden="false" customHeight="false" outlineLevel="1" collapsed="false">
      <c r="A6129" s="7" t="s">
        <v>800</v>
      </c>
      <c r="B6129" s="8" t="s">
        <v>18</v>
      </c>
      <c r="C6129" s="77" t="str">
        <f aca="false">IF(AND(Pressupostos!$F$32-C6108-Pressupostos!$C$108&gt;0,C6128&lt;=0),12*(Pressupostos!$F$32-C6108-Pressupostos!$C$108)/(Pressupostos!$F$32-C6108-Pressupostos!$C$108-C6128),"")</f>
        <v/>
      </c>
      <c r="D6129" s="77" t="n">
        <f aca="false">IF(AND(C6128&gt;0,D6128&lt;=0),12+12*C6128/(C6128-D6128),"")</f>
        <v>15.6616415204605</v>
      </c>
      <c r="E6129" s="77" t="str">
        <f aca="false">IF(AND(D6128&gt;0,E6128&lt;=0),24+12*D6128/(D6128-E6128),"")</f>
        <v/>
      </c>
      <c r="F6129" s="77" t="str">
        <f aca="false">IF(AND(E6128&gt;0,F6128&lt;=0),36+12*E6128/(E6128-F6128),"")</f>
        <v/>
      </c>
      <c r="G6129" s="77" t="str">
        <f aca="false">IF(AND(F6128&gt;0,G6128&lt;=0),48+12*F6128/(F6128-G6128),"")</f>
        <v/>
      </c>
      <c r="H6129" s="2" t="s">
        <v>1459</v>
      </c>
    </row>
    <row r="6130" customFormat="false" ht="15" hidden="false" customHeight="false" outlineLevel="1" collapsed="false">
      <c r="A6130" s="56" t="s">
        <v>801</v>
      </c>
      <c r="B6130" s="57" t="s">
        <v>274</v>
      </c>
      <c r="C6130" s="78" t="n">
        <f aca="false">IF(COUNT($C$6129:$G$6129)=0,"&gt; 60",MIN($C$6129:$G$6129))</f>
        <v>15.6616415204605</v>
      </c>
      <c r="H6130" s="2" t="s">
        <v>1460</v>
      </c>
    </row>
    <row r="6131" customFormat="false" ht="15" hidden="false" customHeight="false" outlineLevel="0" collapsed="false">
      <c r="A6131" s="3" t="s">
        <v>1461</v>
      </c>
      <c r="B6131" s="4"/>
      <c r="C6131" s="4"/>
      <c r="D6131" s="4"/>
      <c r="E6131" s="4"/>
      <c r="F6131" s="4"/>
      <c r="G6131" s="4"/>
      <c r="H6131" s="4"/>
    </row>
    <row r="6132" customFormat="false" ht="15" hidden="false" customHeight="false" outlineLevel="1" collapsed="false">
      <c r="A6132" s="7" t="s">
        <v>803</v>
      </c>
      <c r="B6132" s="8" t="s">
        <v>18</v>
      </c>
      <c r="C6132" s="77" t="str">
        <f aca="false">IF(C6051&gt;=0,1,"")</f>
        <v/>
      </c>
      <c r="D6132" s="77" t="str">
        <f aca="false">IF(AND(C6051&lt;0,D6051&gt;=0),6.5+12*(-C6051)/(D6051-C6051),"")</f>
        <v/>
      </c>
      <c r="E6132" s="77" t="str">
        <f aca="false">IF(AND(D6051&lt;0,E6051&gt;=0),18.5+12*(-D6051)/(E6051-D6051),"")</f>
        <v/>
      </c>
      <c r="F6132" s="77" t="str">
        <f aca="false">IF(AND(E6051&lt;0,F6051&gt;=0),30.5+12*(-E6051)/(F6051-E6051),"")</f>
        <v/>
      </c>
      <c r="G6132" s="77" t="str">
        <f aca="false">IF(AND(F6051&lt;0,G6051&gt;=0),42.5+12*(-F6051)/(G6051-F6051),"")</f>
        <v/>
      </c>
      <c r="H6132" s="2" t="s">
        <v>1462</v>
      </c>
    </row>
    <row r="6133" customFormat="false" ht="15" hidden="false" customHeight="false" outlineLevel="1" collapsed="false">
      <c r="A6133" s="7" t="s">
        <v>804</v>
      </c>
      <c r="B6133" s="8" t="s">
        <v>18</v>
      </c>
      <c r="C6133" s="79" t="str">
        <f aca="false">IF(COUNT($C$6132:$G$6132)=0,"não atinge até 2031",ROUNDUP(MIN($C$6132:$G$6132),0))</f>
        <v>não atinge até 2031</v>
      </c>
      <c r="H6133" s="2" t="s">
        <v>1463</v>
      </c>
    </row>
    <row r="6134" customFormat="false" ht="15" hidden="false" customHeight="false" outlineLevel="1" collapsed="false">
      <c r="A6134" s="56" t="s">
        <v>805</v>
      </c>
      <c r="B6134" s="57" t="s">
        <v>806</v>
      </c>
      <c r="C6134" s="80" t="str">
        <f aca="false">IF(ISNUMBER(C6133),DATE(2027,C6133,1),"não atinge até 2031")</f>
        <v>não atinge até 2031</v>
      </c>
      <c r="H6134" s="2" t="s">
        <v>1464</v>
      </c>
    </row>
    <row r="6135" customFormat="false" ht="15" hidden="false" customHeight="false" outlineLevel="1" collapsed="false">
      <c r="A6135" s="7" t="s">
        <v>807</v>
      </c>
      <c r="B6135" s="8" t="s">
        <v>20</v>
      </c>
      <c r="C6135" s="81" t="str">
        <f aca="false">IF(C6051&gt;=0,C5840,"")</f>
        <v/>
      </c>
      <c r="D6135" s="81" t="str">
        <f aca="false">IF(D6051&gt;=0,D5840,"")</f>
        <v/>
      </c>
      <c r="E6135" s="81" t="str">
        <f aca="false">IF(E6051&gt;=0,E5840,"")</f>
        <v/>
      </c>
      <c r="F6135" s="81" t="str">
        <f aca="false">IF(F6051&gt;=0,F5840,"")</f>
        <v/>
      </c>
      <c r="G6135" s="81" t="str">
        <f aca="false">IF(G6051&gt;=0,G5840,"")</f>
        <v/>
      </c>
      <c r="H6135" s="2" t="s">
        <v>1465</v>
      </c>
    </row>
    <row r="6136" customFormat="false" ht="15" hidden="false" customHeight="false" outlineLevel="1" collapsed="false">
      <c r="A6136" s="7" t="s">
        <v>808</v>
      </c>
      <c r="B6136" s="8" t="s">
        <v>20</v>
      </c>
      <c r="C6136" s="75" t="str">
        <f aca="false">IF(COUNT($C$6135:$G$6135)=0,"não atinge até 2031",MIN($C$6135:$G$6135))</f>
        <v>não atinge até 2031</v>
      </c>
      <c r="H6136" s="2" t="s">
        <v>1466</v>
      </c>
    </row>
    <row r="6137" customFormat="false" ht="15" hidden="false" customHeight="false" outlineLevel="1" collapsed="false">
      <c r="A6137" s="7" t="s">
        <v>809</v>
      </c>
      <c r="B6137" s="8" t="s">
        <v>20</v>
      </c>
      <c r="C6137" s="81" t="str">
        <f aca="false">IF(C6069&gt;=0,C5840,"")</f>
        <v/>
      </c>
      <c r="D6137" s="81" t="str">
        <f aca="false">IF(D6069&gt;=0,D5840,"")</f>
        <v/>
      </c>
      <c r="E6137" s="81" t="str">
        <f aca="false">IF(E6069&gt;=0,E5840,"")</f>
        <v/>
      </c>
      <c r="F6137" s="81" t="str">
        <f aca="false">IF(F6069&gt;=0,F5840,"")</f>
        <v/>
      </c>
      <c r="G6137" s="81" t="str">
        <f aca="false">IF(G6069&gt;=0,G5840,"")</f>
        <v/>
      </c>
      <c r="H6137" s="2" t="s">
        <v>1467</v>
      </c>
    </row>
    <row r="6138" customFormat="false" ht="15" hidden="false" customHeight="false" outlineLevel="1" collapsed="false">
      <c r="A6138" s="7" t="s">
        <v>810</v>
      </c>
      <c r="B6138" s="8" t="s">
        <v>20</v>
      </c>
      <c r="C6138" s="75" t="str">
        <f aca="false">IF(COUNT($C$6137:$G$6137)=0,"não atinge até 2031",MIN($C$6137:$G$6137))</f>
        <v>não atinge até 2031</v>
      </c>
      <c r="H6138" s="2" t="s">
        <v>1468</v>
      </c>
    </row>
    <row r="6139" customFormat="false" ht="15" hidden="false" customHeight="false" outlineLevel="1" collapsed="false">
      <c r="A6139" s="7" t="s">
        <v>811</v>
      </c>
      <c r="B6139" s="8" t="s">
        <v>20</v>
      </c>
      <c r="C6139" s="81" t="str">
        <f aca="false">IF(C6094&gt;=0,C5840,"")</f>
        <v/>
      </c>
      <c r="D6139" s="81" t="str">
        <f aca="false">IF(D6094&gt;=0,D5840,"")</f>
        <v/>
      </c>
      <c r="E6139" s="81" t="str">
        <f aca="false">IF(E6094&gt;=0,E5840,"")</f>
        <v/>
      </c>
      <c r="F6139" s="81" t="str">
        <f aca="false">IF(F6094&gt;=0,F5840,"")</f>
        <v/>
      </c>
      <c r="G6139" s="81" t="str">
        <f aca="false">IF(G6094&gt;=0,G5840,"")</f>
        <v/>
      </c>
      <c r="H6139" s="2" t="s">
        <v>1469</v>
      </c>
    </row>
    <row r="6140" customFormat="false" ht="15" hidden="false" customHeight="false" outlineLevel="1" collapsed="false">
      <c r="A6140" s="7" t="s">
        <v>19</v>
      </c>
      <c r="B6140" s="8" t="s">
        <v>20</v>
      </c>
      <c r="C6140" s="75" t="str">
        <f aca="false">IF(COUNT($C$6139:$G$6139)=0,"não atinge até 2031",MIN($C$6139:$G$6139))</f>
        <v>não atinge até 2031</v>
      </c>
      <c r="H6140" s="2" t="s">
        <v>1470</v>
      </c>
    </row>
    <row r="6141" customFormat="false" ht="15" hidden="false" customHeight="false" outlineLevel="0" collapsed="false">
      <c r="A6141" s="3" t="s">
        <v>1471</v>
      </c>
      <c r="B6141" s="4"/>
      <c r="C6141" s="4"/>
      <c r="D6141" s="4"/>
      <c r="E6141" s="4"/>
      <c r="F6141" s="4"/>
      <c r="G6141" s="4"/>
      <c r="H6141" s="4"/>
    </row>
    <row r="6142" customFormat="false" ht="15" hidden="false" customHeight="false" outlineLevel="1" collapsed="false">
      <c r="A6142" s="7" t="s">
        <v>813</v>
      </c>
      <c r="B6142" s="8" t="s">
        <v>11</v>
      </c>
      <c r="C6142" s="61" t="n">
        <f aca="false">C6077</f>
        <v>0</v>
      </c>
      <c r="D6142" s="61" t="n">
        <f aca="false">D6077</f>
        <v>209807.414383562</v>
      </c>
      <c r="E6142" s="61" t="n">
        <f aca="false">E6077</f>
        <v>358642.217465753</v>
      </c>
      <c r="F6142" s="61" t="n">
        <f aca="false">F6077</f>
        <v>613060.877568493</v>
      </c>
      <c r="G6142" s="61" t="n">
        <f aca="false">G6077</f>
        <v>938869.456335616</v>
      </c>
      <c r="H6142" s="2" t="s">
        <v>1472</v>
      </c>
    </row>
    <row r="6143" customFormat="false" ht="15" hidden="false" customHeight="false" outlineLevel="1" collapsed="false">
      <c r="A6143" s="7" t="s">
        <v>509</v>
      </c>
      <c r="B6143" s="8" t="s">
        <v>76</v>
      </c>
      <c r="C6143" s="82" t="n">
        <f aca="false">Pressupostos!$C$290</f>
        <v>0.08</v>
      </c>
      <c r="D6143" s="82" t="n">
        <f aca="false">Pressupostos!$D$290</f>
        <v>0.08</v>
      </c>
      <c r="E6143" s="82" t="n">
        <f aca="false">Pressupostos!$E$290</f>
        <v>0.075</v>
      </c>
      <c r="F6143" s="82" t="n">
        <f aca="false">Pressupostos!$F$290</f>
        <v>0.07</v>
      </c>
      <c r="G6143" s="82" t="n">
        <f aca="false">Pressupostos!$G$290</f>
        <v>0.07</v>
      </c>
      <c r="H6143" s="2" t="s">
        <v>1473</v>
      </c>
    </row>
    <row r="6144" customFormat="false" ht="15" hidden="false" customHeight="false" outlineLevel="1" collapsed="false">
      <c r="A6144" s="7" t="s">
        <v>814</v>
      </c>
      <c r="B6144" s="8" t="s">
        <v>76</v>
      </c>
      <c r="C6144" s="60" t="n">
        <f aca="false">Pressupostos!$C$290*(1-Pressupostos!$C$111)</f>
        <v>0.0576</v>
      </c>
      <c r="D6144" s="60" t="n">
        <f aca="false">Pressupostos!$D$290*(1-Pressupostos!$C$111)</f>
        <v>0.0576</v>
      </c>
      <c r="E6144" s="60" t="n">
        <f aca="false">Pressupostos!$E$290*(1-Pressupostos!$C$111)</f>
        <v>0.054</v>
      </c>
      <c r="F6144" s="60" t="n">
        <f aca="false">Pressupostos!$F$290*(1-Pressupostos!$C$111)</f>
        <v>0.0504</v>
      </c>
      <c r="G6144" s="60" t="n">
        <f aca="false">Pressupostos!$G$290*(1-Pressupostos!$C$111)</f>
        <v>0.0504</v>
      </c>
      <c r="H6144" s="2" t="s">
        <v>1474</v>
      </c>
    </row>
    <row r="6145" customFormat="false" ht="15" hidden="false" customHeight="false" outlineLevel="1" collapsed="false">
      <c r="A6145" s="7" t="s">
        <v>815</v>
      </c>
      <c r="B6145" s="8" t="s">
        <v>11</v>
      </c>
      <c r="C6145" s="61" t="n">
        <f aca="false">C5981</f>
        <v>0</v>
      </c>
      <c r="D6145" s="61" t="n">
        <f aca="false">D5981</f>
        <v>15989.2936643836</v>
      </c>
      <c r="E6145" s="61" t="n">
        <f aca="false">E5981</f>
        <v>25277.8253424658</v>
      </c>
      <c r="F6145" s="61" t="n">
        <f aca="false">F5981</f>
        <v>40291.2778253425</v>
      </c>
      <c r="G6145" s="61" t="n">
        <f aca="false">G5981</f>
        <v>61739.1909246575</v>
      </c>
      <c r="H6145" s="2" t="s">
        <v>1475</v>
      </c>
    </row>
    <row r="6146" customFormat="false" ht="15" hidden="false" customHeight="false" outlineLevel="1" collapsed="false">
      <c r="A6146" s="7" t="s">
        <v>816</v>
      </c>
      <c r="B6146" s="8" t="s">
        <v>76</v>
      </c>
      <c r="C6146" s="59" t="n">
        <f aca="false">IF(C6077&gt;0,(C6080+C6082)/C6077,0)</f>
        <v>0</v>
      </c>
      <c r="D6146" s="59" t="n">
        <f aca="false">IF(D6077&gt;0,(D6080+D6082)/D6077,0)</f>
        <v>0.316666666666667</v>
      </c>
      <c r="E6146" s="59" t="n">
        <f aca="false">IF(E6077&gt;0,(E6080+E6082)/E6077,0)</f>
        <v>0.316666666666667</v>
      </c>
      <c r="F6146" s="59" t="n">
        <f aca="false">IF(F6077&gt;0,(F6080+F6082)/F6077,0)</f>
        <v>0.316666666666667</v>
      </c>
      <c r="G6146" s="59" t="n">
        <f aca="false">IF(G6077&gt;0,(G6080+G6082)/G6077,0)</f>
        <v>0.316666666666667</v>
      </c>
      <c r="H6146" s="2" t="s">
        <v>1476</v>
      </c>
    </row>
    <row r="6147" customFormat="false" ht="15" hidden="false" customHeight="false" outlineLevel="1" collapsed="false">
      <c r="A6147" s="7" t="s">
        <v>817</v>
      </c>
      <c r="B6147" s="8" t="s">
        <v>123</v>
      </c>
      <c r="C6147" s="61" t="n">
        <f aca="false">C6083</f>
        <v>0</v>
      </c>
      <c r="D6147" s="61" t="n">
        <f aca="false">D6083</f>
        <v>4.19614828767123</v>
      </c>
      <c r="E6147" s="61" t="n">
        <f aca="false">E6083</f>
        <v>7.17284434931507</v>
      </c>
      <c r="F6147" s="61" t="n">
        <f aca="false">F6083</f>
        <v>12.2612175513699</v>
      </c>
      <c r="G6147" s="61" t="n">
        <f aca="false">G6083</f>
        <v>18.7773891267123</v>
      </c>
      <c r="H6147" s="2" t="s">
        <v>1477</v>
      </c>
    </row>
    <row r="6148" customFormat="false" ht="15" hidden="false" customHeight="false" outlineLevel="1" collapsed="false">
      <c r="A6148" s="7" t="s">
        <v>818</v>
      </c>
      <c r="B6148" s="8" t="s">
        <v>11</v>
      </c>
      <c r="C6148" s="61" t="n">
        <f aca="false">C5981+C6027</f>
        <v>65000</v>
      </c>
      <c r="D6148" s="61" t="n">
        <f aca="false">D5981+D6027</f>
        <v>90989.2936643836</v>
      </c>
      <c r="E6148" s="61" t="n">
        <f aca="false">E5981+E6027</f>
        <v>105277.825342466</v>
      </c>
      <c r="F6148" s="61" t="n">
        <f aca="false">F5981+F6027</f>
        <v>125291.277825342</v>
      </c>
      <c r="G6148" s="61" t="n">
        <f aca="false">G5981+G6027</f>
        <v>151739.190924658</v>
      </c>
      <c r="H6148" s="2" t="s">
        <v>1478</v>
      </c>
    </row>
    <row r="6149" customFormat="false" ht="15" hidden="false" customHeight="false" outlineLevel="1" collapsed="false">
      <c r="A6149" s="7" t="s">
        <v>819</v>
      </c>
      <c r="B6149" s="8" t="s">
        <v>76</v>
      </c>
      <c r="C6149" s="59" t="str">
        <f aca="false">IF(C6077&gt;0,C6148/C6077,"")</f>
        <v/>
      </c>
      <c r="D6149" s="59" t="n">
        <f aca="false">IF(D6077&gt;0,D6148/D6077,"")</f>
        <v>0.433680067655</v>
      </c>
      <c r="E6149" s="59" t="n">
        <f aca="false">IF(E6077&gt;0,E6148/E6077,"")</f>
        <v>0.293545545436292</v>
      </c>
      <c r="F6149" s="59" t="n">
        <f aca="false">IF(F6077&gt;0,F6148/F6077,"")</f>
        <v>0.204370042861436</v>
      </c>
      <c r="G6149" s="59" t="n">
        <f aca="false">IF(G6077&gt;0,G6148/G6077,"")</f>
        <v>0.161619051403474</v>
      </c>
      <c r="H6149" s="2" t="s">
        <v>1479</v>
      </c>
    </row>
    <row r="6150" customFormat="false" ht="15" hidden="false" customHeight="false" outlineLevel="0" collapsed="false">
      <c r="A6150" s="3" t="s">
        <v>1480</v>
      </c>
      <c r="B6150" s="4"/>
      <c r="C6150" s="4"/>
      <c r="D6150" s="4"/>
      <c r="E6150" s="4"/>
      <c r="F6150" s="4"/>
      <c r="G6150" s="4"/>
      <c r="H6150" s="4"/>
    </row>
    <row r="6151" customFormat="false" ht="15" hidden="false" customHeight="false" outlineLevel="1" collapsed="false">
      <c r="A6151" s="7" t="s">
        <v>821</v>
      </c>
      <c r="B6151" s="8" t="s">
        <v>11</v>
      </c>
      <c r="C6151" s="61" t="n">
        <f aca="false">MAX(0,-C6051)</f>
        <v>603650.11495548</v>
      </c>
      <c r="D6151" s="61" t="n">
        <f aca="false">MAX(0,-D6051)</f>
        <v>797338.93010274</v>
      </c>
      <c r="E6151" s="61" t="n">
        <f aca="false">MAX(0,-E6051)</f>
        <v>946374.866202911</v>
      </c>
      <c r="F6151" s="61" t="n">
        <f aca="false">MAX(0,-F6051)</f>
        <v>1075793.51893123</v>
      </c>
      <c r="G6151" s="61" t="n">
        <f aca="false">MAX(0,-G6051)</f>
        <v>1148375.35906676</v>
      </c>
      <c r="H6151" s="2" t="s">
        <v>1481</v>
      </c>
    </row>
    <row r="6152" customFormat="false" ht="15" hidden="false" customHeight="false" outlineLevel="1" collapsed="false">
      <c r="A6152" s="2" t="s">
        <v>822</v>
      </c>
      <c r="B6152" s="8"/>
      <c r="C6152" s="61" t="n">
        <f aca="false">IF(AND(C5840&gt;=Pressupostos!$C$120,Pressupostos!$C$118*(C5934+C5935)+Pressupostos!$C$119*C5936&gt;Pressupostos!$C$302),1,0)</f>
        <v>0</v>
      </c>
      <c r="D6152" s="61" t="n">
        <f aca="false">IF(AND(D5840&gt;=Pressupostos!$C$120,Pressupostos!$C$118*(D5934+D5935)+Pressupostos!$C$119*D5936&gt;Pressupostos!$D$302),1,0)</f>
        <v>1</v>
      </c>
      <c r="E6152" s="61" t="n">
        <f aca="false">IF(AND(E5840&gt;=Pressupostos!$C$120,Pressupostos!$C$118*(E5934+E5935)+Pressupostos!$C$119*E5936&gt;Pressupostos!$E$302),1,0)</f>
        <v>1</v>
      </c>
      <c r="F6152" s="61" t="n">
        <f aca="false">IF(AND(F5840&gt;=Pressupostos!$C$120,Pressupostos!$C$118*(F5934+F5935)+Pressupostos!$C$119*F5936&gt;Pressupostos!$F$302),1,0)</f>
        <v>1</v>
      </c>
      <c r="G6152" s="61" t="n">
        <f aca="false">IF(AND(G5840&gt;=Pressupostos!$C$120,Pressupostos!$C$118*(G5934+G5935)+Pressupostos!$C$119*G5936&gt;Pressupostos!$G$302),1,0)</f>
        <v>1</v>
      </c>
      <c r="H6152" s="2" t="s">
        <v>1482</v>
      </c>
    </row>
    <row r="6153" customFormat="false" ht="15" hidden="false" customHeight="false" outlineLevel="1" collapsed="false">
      <c r="A6153" s="7" t="s">
        <v>823</v>
      </c>
      <c r="B6153" s="8" t="s">
        <v>64</v>
      </c>
      <c r="C6153" s="63" t="n">
        <f aca="false">IF(C5844&gt;0,C6151/(C5844*1000*(1-Pressupostos!$F$22)*(1-Pressupostos!$F$25-C6152*Pressupostos!$C$118)),"n/a")</f>
        <v>11.643586817288</v>
      </c>
      <c r="D6153" s="63" t="n">
        <f aca="false">IF(D5844&gt;0,D6151/(D5844*1000*(1-Pressupostos!$F$22)*(1-Pressupostos!$F$25-D6152*Pressupostos!$C$118)),"n/a")</f>
        <v>2.21201004858455</v>
      </c>
      <c r="E6153" s="63" t="n">
        <f aca="false">IF(E5844&gt;0,E6151/(E5844*1000*(1-Pressupostos!$F$22)*(1-Pressupostos!$F$25-E6152*Pressupostos!$C$118)),"n/a")</f>
        <v>1.32921365345832</v>
      </c>
      <c r="F6153" s="63" t="n">
        <f aca="false">IF(F5844&gt;0,F6151/(F5844*1000*(1-Pressupostos!$F$22)*(1-Pressupostos!$F$25-F6152*Pressupostos!$C$118)),"n/a")</f>
        <v>0.915787961998763</v>
      </c>
      <c r="G6153" s="63" t="n">
        <f aca="false">IF(G5844&gt;0,G6151/(G5844*1000*(1-Pressupostos!$F$22)*(1-Pressupostos!$F$25-G6152*Pressupostos!$C$118)),"n/a")</f>
        <v>0.646072990861595</v>
      </c>
      <c r="H6153" s="2" t="s">
        <v>1483</v>
      </c>
    </row>
    <row r="6154" customFormat="false" ht="15" hidden="false" customHeight="false" outlineLevel="1" collapsed="false">
      <c r="A6154" s="7" t="s">
        <v>824</v>
      </c>
      <c r="B6154" s="8" t="s">
        <v>64</v>
      </c>
      <c r="C6154" s="63" t="n">
        <f aca="false">IF(C5843&gt;0,(Pressupostos!$F$15*(1+Pressupostos!$C$197))+C6151/(C5843*1000*(1-Pressupostos!$F$16)*(1-Pressupostos!$F$18-C6152*Pressupostos!$C$118)),"n/a")</f>
        <v>86.4891433908982</v>
      </c>
      <c r="D6154" s="63" t="n">
        <f aca="false">IF(D5843&gt;0,(Pressupostos!$F$15*(1+Pressupostos!$C$197))+D6151/(D5843*1000*(1-Pressupostos!$F$16)*(1-Pressupostos!$F$18-D6152*Pressupostos!$C$118)),"n/a")</f>
        <v>33.3018196455153</v>
      </c>
      <c r="E6154" s="63" t="n">
        <f aca="false">IF(E5843&gt;0,(Pressupostos!$F$15*(1+Pressupostos!$C$197))+E6151/(E5843*1000*(1-Pressupostos!$F$16)*(1-Pressupostos!$F$18-E6152*Pressupostos!$C$118)),"n/a")</f>
        <v>17.1530380526527</v>
      </c>
      <c r="F6154" s="63" t="n">
        <f aca="false">IF(F5843&gt;0,(Pressupostos!$F$15*(1+Pressupostos!$C$197))+F6151/(F5843*1000*(1-Pressupostos!$F$16)*(1-Pressupostos!$F$18-F6152*Pressupostos!$C$118)),"n/a")</f>
        <v>12.6139382124084</v>
      </c>
      <c r="G6154" s="63" t="n">
        <f aca="false">IF(G5843&gt;0,(Pressupostos!$F$15*(1+Pressupostos!$C$197))+G6151/(G5843*1000*(1-Pressupostos!$F$16)*(1-Pressupostos!$F$18-G6152*Pressupostos!$C$118)),"n/a")</f>
        <v>10.4871279683927</v>
      </c>
      <c r="H6154" s="2" t="s">
        <v>1484</v>
      </c>
    </row>
    <row r="6155" customFormat="false" ht="15" hidden="false" customHeight="false" outlineLevel="1" collapsed="false">
      <c r="A6155" s="7" t="s">
        <v>825</v>
      </c>
      <c r="B6155" s="8" t="s">
        <v>64</v>
      </c>
      <c r="C6155" s="63" t="n">
        <f aca="false">IF(Pressupostos!$F$33=1,C5926-C6152*Pressupostos!$C$119*C5909,C5932)</f>
        <v>-0.000625000000000004</v>
      </c>
      <c r="D6155" s="63" t="n">
        <f aca="false">IF(Pressupostos!$F$33=1,D5926-D6152*Pressupostos!$C$119*D5909,D5932)</f>
        <v>-0.000625000000000004</v>
      </c>
      <c r="E6155" s="63" t="n">
        <f aca="false">IF(Pressupostos!$F$33=1,E5926-E6152*Pressupostos!$C$119*E5909,E5932)</f>
        <v>-0.000625000000000004</v>
      </c>
      <c r="F6155" s="63" t="n">
        <f aca="false">IF(Pressupostos!$F$33=1,F5926-F6152*Pressupostos!$C$119*F5909,F5932)</f>
        <v>-0.000625000000000004</v>
      </c>
      <c r="G6155" s="63" t="n">
        <f aca="false">IF(Pressupostos!$F$33=1,G5926-G6152*Pressupostos!$C$119*G5909,G5932)</f>
        <v>-0.000625000000000004</v>
      </c>
      <c r="H6155" s="2" t="s">
        <v>1485</v>
      </c>
    </row>
    <row r="6156" customFormat="false" ht="15" hidden="false" customHeight="false" outlineLevel="1" collapsed="false">
      <c r="A6156" s="7" t="s">
        <v>826</v>
      </c>
      <c r="B6156" s="8" t="s">
        <v>120</v>
      </c>
      <c r="C6156" s="55" t="str">
        <f aca="false">IF(C6155&gt;0,C5845+C6151/(C6155*1000),"n/a")</f>
        <v>n/a</v>
      </c>
      <c r="D6156" s="55" t="str">
        <f aca="false">IF(D6155&gt;0,D5845+D6151/(D6155*1000),"n/a")</f>
        <v>n/a</v>
      </c>
      <c r="E6156" s="55" t="str">
        <f aca="false">IF(E6155&gt;0,E5845+E6151/(E6155*1000),"n/a")</f>
        <v>n/a</v>
      </c>
      <c r="F6156" s="55" t="str">
        <f aca="false">IF(F6155&gt;0,F5845+F6151/(F6155*1000),"n/a")</f>
        <v>n/a</v>
      </c>
      <c r="G6156" s="55" t="str">
        <f aca="false">IF(G6155&gt;0,G5845+G6151/(G6155*1000),"n/a")</f>
        <v>n/a</v>
      </c>
      <c r="H6156" s="2" t="s">
        <v>1486</v>
      </c>
    </row>
    <row r="6157" customFormat="false" ht="15" hidden="false" customHeight="false" outlineLevel="1" collapsed="false">
      <c r="A6157" s="7" t="s">
        <v>827</v>
      </c>
      <c r="B6157" s="8" t="s">
        <v>76</v>
      </c>
      <c r="C6157" s="59" t="n">
        <f aca="false">C6151/(C6013+C6026+C6027)</f>
        <v>1.00328587272061</v>
      </c>
      <c r="D6157" s="59" t="n">
        <f aca="false">D6151/(D6013+D6026+D6027)</f>
        <v>1.03515782202385</v>
      </c>
      <c r="E6157" s="59" t="n">
        <f aca="false">E6151/(E6013+E6026+E6027)</f>
        <v>1.02653902832205</v>
      </c>
      <c r="F6157" s="59" t="n">
        <f aca="false">F6151/(F6013+F6026+F6027)</f>
        <v>1.00380343558357</v>
      </c>
      <c r="G6157" s="59" t="n">
        <f aca="false">G6151/(G6013+G6026+G6027)</f>
        <v>0.976429896772638</v>
      </c>
      <c r="H6157" s="2" t="s">
        <v>1487</v>
      </c>
    </row>
    <row r="6158" customFormat="false" ht="15" hidden="false" customHeight="false" outlineLevel="1" collapsed="false">
      <c r="A6158" s="2" t="s">
        <v>828</v>
      </c>
      <c r="B6158" s="8" t="s">
        <v>76</v>
      </c>
      <c r="C6158" s="60" t="n">
        <f aca="false">Pressupostos!$C$101*Pressupostos!$C$102+Pressupostos!$C$103-Pressupostos!$F$30*Pressupostos!$C$104*Pressupostos!$C$102/(Pressupostos!$C$105*Pressupostos!$C$106)</f>
        <v>0.02</v>
      </c>
      <c r="D6158" s="60" t="n">
        <f aca="false">Pressupostos!$C$101*Pressupostos!$C$102+Pressupostos!$C$103-Pressupostos!$F$30*Pressupostos!$C$104*Pressupostos!$C$102/(Pressupostos!$C$105*Pressupostos!$C$106)</f>
        <v>0.02</v>
      </c>
      <c r="E6158" s="60" t="n">
        <f aca="false">Pressupostos!$C$101*Pressupostos!$C$102+Pressupostos!$C$103-Pressupostos!$F$30*Pressupostos!$C$104*Pressupostos!$C$102/(Pressupostos!$C$105*Pressupostos!$C$106)</f>
        <v>0.02</v>
      </c>
      <c r="F6158" s="60" t="n">
        <f aca="false">Pressupostos!$C$101*Pressupostos!$C$102+Pressupostos!$C$103-Pressupostos!$F$30*Pressupostos!$C$104*Pressupostos!$C$102/(Pressupostos!$C$105*Pressupostos!$C$106)</f>
        <v>0.02</v>
      </c>
      <c r="G6158" s="60" t="n">
        <f aca="false">Pressupostos!$C$101*Pressupostos!$C$102+Pressupostos!$C$103-Pressupostos!$F$30*Pressupostos!$C$104*Pressupostos!$C$102/(Pressupostos!$C$105*Pressupostos!$C$106)</f>
        <v>0.02</v>
      </c>
      <c r="H6158" s="2" t="s">
        <v>1488</v>
      </c>
    </row>
    <row r="6159" customFormat="false" ht="15" hidden="false" customHeight="false" outlineLevel="1" collapsed="false">
      <c r="A6159" s="7" t="s">
        <v>829</v>
      </c>
      <c r="B6159" s="8" t="s">
        <v>11</v>
      </c>
      <c r="C6159" s="61" t="n">
        <f aca="false">IF(C6158&gt;0,C5858+C6151/C6158,"n/a")</f>
        <v>30182505.747774</v>
      </c>
      <c r="D6159" s="61" t="n">
        <f aca="false">IF(D6158&gt;0,D5858+D6151/D6158,"n/a")</f>
        <v>40366946.505137</v>
      </c>
      <c r="E6159" s="61" t="n">
        <f aca="false">IF(E6158&gt;0,E5858+E6151/E6158,"n/a")</f>
        <v>48818743.3101456</v>
      </c>
      <c r="F6159" s="61" t="n">
        <f aca="false">IF(F6158&gt;0,F5858+F6151/F6158,"n/a")</f>
        <v>56789675.9465613</v>
      </c>
      <c r="G6159" s="61" t="n">
        <f aca="false">IF(G6158&gt;0,G5858+G6151/G6158,"n/a")</f>
        <v>62418767.953338</v>
      </c>
      <c r="H6159" s="2" t="s">
        <v>1489</v>
      </c>
    </row>
    <row r="6162" customFormat="false" ht="15" hidden="false" customHeight="false" outlineLevel="0" collapsed="false">
      <c r="A6162" s="111" t="s">
        <v>1508</v>
      </c>
      <c r="B6162" s="112"/>
      <c r="C6162" s="112"/>
      <c r="D6162" s="112"/>
      <c r="E6162" s="112"/>
      <c r="F6162" s="112"/>
      <c r="G6162" s="112"/>
      <c r="H6162" s="112"/>
    </row>
    <row r="6163" customFormat="false" ht="15" hidden="false" customHeight="false" outlineLevel="0" collapsed="false">
      <c r="A6163" s="3" t="s">
        <v>1170</v>
      </c>
      <c r="B6163" s="4"/>
      <c r="C6163" s="4"/>
      <c r="D6163" s="4"/>
      <c r="E6163" s="4"/>
      <c r="F6163" s="4"/>
      <c r="G6163" s="4"/>
      <c r="H6163" s="4"/>
    </row>
    <row r="6164" customFormat="false" ht="15" hidden="false" customHeight="false" outlineLevel="1" collapsed="false">
      <c r="A6164" s="7" t="s">
        <v>588</v>
      </c>
      <c r="B6164" s="8"/>
      <c r="C6164" s="52" t="n">
        <v>2027</v>
      </c>
      <c r="D6164" s="52" t="n">
        <v>2028</v>
      </c>
      <c r="E6164" s="52" t="n">
        <v>2029</v>
      </c>
      <c r="F6164" s="52" t="n">
        <v>2030</v>
      </c>
      <c r="G6164" s="52" t="n">
        <v>2031</v>
      </c>
      <c r="H6164" s="2" t="s">
        <v>20</v>
      </c>
    </row>
    <row r="6165" customFormat="false" ht="15" hidden="false" customHeight="false" outlineLevel="0" collapsed="false">
      <c r="A6165" s="3" t="s">
        <v>1171</v>
      </c>
      <c r="B6165" s="4"/>
      <c r="C6165" s="4"/>
      <c r="D6165" s="4"/>
      <c r="E6165" s="4"/>
      <c r="F6165" s="4"/>
      <c r="G6165" s="4"/>
      <c r="H6165" s="4"/>
    </row>
    <row r="6166" customFormat="false" ht="15" hidden="false" customHeight="false" outlineLevel="1" collapsed="false">
      <c r="A6166" s="7" t="s">
        <v>387</v>
      </c>
      <c r="B6166" s="8" t="s">
        <v>123</v>
      </c>
      <c r="C6166" s="61" t="n">
        <f aca="false">(Pressupostos!$C$215*(1+Pressupostos!$C$195))</f>
        <v>52</v>
      </c>
      <c r="D6166" s="61" t="n">
        <f aca="false">(Pressupostos!$D$215*(1+Pressupostos!$C$195))</f>
        <v>195</v>
      </c>
      <c r="E6166" s="61" t="n">
        <f aca="false">(Pressupostos!$E$215*(1+Pressupostos!$C$195))</f>
        <v>520</v>
      </c>
      <c r="F6166" s="61" t="n">
        <f aca="false">(Pressupostos!$F$215*(1+Pressupostos!$C$195))</f>
        <v>910</v>
      </c>
      <c r="G6166" s="61" t="n">
        <f aca="false">(Pressupostos!$G$215*(1+Pressupostos!$C$195))</f>
        <v>1300</v>
      </c>
      <c r="H6166" s="2" t="s">
        <v>1172</v>
      </c>
    </row>
    <row r="6167" customFormat="false" ht="15" hidden="false" customHeight="false" outlineLevel="1" collapsed="false">
      <c r="A6167" s="7" t="s">
        <v>590</v>
      </c>
      <c r="B6167" s="8" t="s">
        <v>120</v>
      </c>
      <c r="C6167" s="55" t="n">
        <f aca="false">(Pressupostos!$C$221*(1+Pressupostos!$C$195))</f>
        <v>10.66</v>
      </c>
      <c r="D6167" s="55" t="n">
        <f aca="false">(Pressupostos!$D$221*(1+Pressupostos!$C$195))</f>
        <v>39.975</v>
      </c>
      <c r="E6167" s="55" t="n">
        <f aca="false">(Pressupostos!$E$221*(1+Pressupostos!$C$195))</f>
        <v>106.6</v>
      </c>
      <c r="F6167" s="55" t="n">
        <f aca="false">(Pressupostos!$F$221*(1+Pressupostos!$C$195))</f>
        <v>186.55</v>
      </c>
      <c r="G6167" s="55" t="n">
        <f aca="false">(Pressupostos!$G$221*(1+Pressupostos!$C$195))</f>
        <v>266.5</v>
      </c>
      <c r="H6167" s="2" t="s">
        <v>1173</v>
      </c>
    </row>
    <row r="6168" customFormat="false" ht="15" hidden="false" customHeight="false" outlineLevel="1" collapsed="false">
      <c r="A6168" s="7" t="s">
        <v>591</v>
      </c>
      <c r="B6168" s="8" t="s">
        <v>120</v>
      </c>
      <c r="C6168" s="55" t="n">
        <f aca="false">(Pressupostos!$C$227*(1+Pressupostos!$C$195))</f>
        <v>67.6</v>
      </c>
      <c r="D6168" s="55" t="n">
        <f aca="false">(Pressupostos!$D$227*(1+Pressupostos!$C$195))</f>
        <v>471.9</v>
      </c>
      <c r="E6168" s="55" t="n">
        <f aca="false">(Pressupostos!$E$227*(1+Pressupostos!$C$195))</f>
        <v>932.1</v>
      </c>
      <c r="F6168" s="55" t="n">
        <f aca="false">(Pressupostos!$F$227*(1+Pressupostos!$C$195))</f>
        <v>1537.9</v>
      </c>
      <c r="G6168" s="55" t="n">
        <f aca="false">(Pressupostos!$G$227*(1+Pressupostos!$C$195))</f>
        <v>2327</v>
      </c>
      <c r="H6168" s="2" t="s">
        <v>1174</v>
      </c>
    </row>
    <row r="6169" customFormat="false" ht="15" hidden="false" customHeight="false" outlineLevel="1" collapsed="false">
      <c r="A6169" s="7" t="s">
        <v>398</v>
      </c>
      <c r="B6169" s="8" t="s">
        <v>120</v>
      </c>
      <c r="C6169" s="55" t="n">
        <f aca="false">(Pressupostos!$C$233*(1+Pressupostos!$C$195))</f>
        <v>0</v>
      </c>
      <c r="D6169" s="55" t="n">
        <f aca="false">(Pressupostos!$D$233*(1+Pressupostos!$C$195))</f>
        <v>650</v>
      </c>
      <c r="E6169" s="55" t="n">
        <f aca="false">(Pressupostos!$E$233*(1+Pressupostos!$C$195))</f>
        <v>1950</v>
      </c>
      <c r="F6169" s="55" t="n">
        <f aca="false">(Pressupostos!$F$233*(1+Pressupostos!$C$195))</f>
        <v>3250</v>
      </c>
      <c r="G6169" s="55" t="n">
        <f aca="false">(Pressupostos!$G$233*(1+Pressupostos!$C$195))</f>
        <v>4550</v>
      </c>
      <c r="H6169" s="2" t="s">
        <v>1175</v>
      </c>
    </row>
    <row r="6170" customFormat="false" ht="15" hidden="false" customHeight="false" outlineLevel="1" collapsed="false">
      <c r="A6170" s="7" t="s">
        <v>592</v>
      </c>
      <c r="B6170" s="8" t="s">
        <v>120</v>
      </c>
      <c r="C6170" s="55" t="n">
        <f aca="false">C6169*Pressupostos!$F$33</f>
        <v>0</v>
      </c>
      <c r="D6170" s="55" t="n">
        <f aca="false">D6169*Pressupostos!$F$33</f>
        <v>0</v>
      </c>
      <c r="E6170" s="55" t="n">
        <f aca="false">E6169*Pressupostos!$F$33</f>
        <v>0</v>
      </c>
      <c r="F6170" s="55" t="n">
        <f aca="false">F6169*Pressupostos!$F$33</f>
        <v>0</v>
      </c>
      <c r="G6170" s="55" t="n">
        <f aca="false">G6169*Pressupostos!$F$33</f>
        <v>0</v>
      </c>
      <c r="H6170" s="2" t="s">
        <v>1176</v>
      </c>
    </row>
    <row r="6171" customFormat="false" ht="15" hidden="false" customHeight="false" outlineLevel="1" collapsed="false">
      <c r="A6171" s="7" t="s">
        <v>593</v>
      </c>
      <c r="B6171" s="8" t="s">
        <v>120</v>
      </c>
      <c r="C6171" s="55" t="n">
        <f aca="false">C6169-C6170</f>
        <v>0</v>
      </c>
      <c r="D6171" s="55" t="n">
        <f aca="false">D6169-D6170</f>
        <v>650</v>
      </c>
      <c r="E6171" s="55" t="n">
        <f aca="false">E6169-E6170</f>
        <v>1950</v>
      </c>
      <c r="F6171" s="55" t="n">
        <f aca="false">F6169-F6170</f>
        <v>3250</v>
      </c>
      <c r="G6171" s="55" t="n">
        <f aca="false">G6169-G6170</f>
        <v>4550</v>
      </c>
      <c r="H6171" s="2" t="s">
        <v>1177</v>
      </c>
    </row>
    <row r="6172" customFormat="false" ht="15" hidden="false" customHeight="false" outlineLevel="1" collapsed="false">
      <c r="A6172" s="56" t="s">
        <v>594</v>
      </c>
      <c r="B6172" s="57" t="s">
        <v>120</v>
      </c>
      <c r="C6172" s="58" t="n">
        <f aca="false">C6167+C6168+C6169</f>
        <v>78.26</v>
      </c>
      <c r="D6172" s="58" t="n">
        <f aca="false">D6167+D6168+D6169</f>
        <v>1161.875</v>
      </c>
      <c r="E6172" s="58" t="n">
        <f aca="false">E6167+E6168+E6169</f>
        <v>2988.7</v>
      </c>
      <c r="F6172" s="58" t="n">
        <f aca="false">F6167+F6168+F6169</f>
        <v>4974.45</v>
      </c>
      <c r="G6172" s="58" t="n">
        <f aca="false">G6167+G6168+G6169</f>
        <v>7143.5</v>
      </c>
      <c r="H6172" s="2" t="s">
        <v>1178</v>
      </c>
    </row>
    <row r="6173" customFormat="false" ht="15" hidden="false" customHeight="false" outlineLevel="1" collapsed="false">
      <c r="A6173" s="7" t="s">
        <v>595</v>
      </c>
      <c r="B6173" s="8" t="s">
        <v>76</v>
      </c>
      <c r="C6173" s="59" t="n">
        <f aca="false">IF(C6172&gt;0,C6167/C6172,0)</f>
        <v>0.136212624584718</v>
      </c>
      <c r="D6173" s="59" t="n">
        <f aca="false">IF(D6172&gt;0,D6167/D6172,0)</f>
        <v>0.0344055944055944</v>
      </c>
      <c r="E6173" s="59" t="n">
        <f aca="false">IF(E6172&gt;0,E6167/E6172,0)</f>
        <v>0.035667681600696</v>
      </c>
      <c r="F6173" s="59" t="n">
        <f aca="false">IF(F6172&gt;0,F6167/F6172,0)</f>
        <v>0.0375016333464001</v>
      </c>
      <c r="G6173" s="59" t="n">
        <f aca="false">IF(G6172&gt;0,G6167/G6172,0)</f>
        <v>0.0373066424021838</v>
      </c>
      <c r="H6173" s="2" t="s">
        <v>1179</v>
      </c>
    </row>
    <row r="6174" customFormat="false" ht="15" hidden="false" customHeight="false" outlineLevel="1" collapsed="false">
      <c r="A6174" s="7" t="s">
        <v>596</v>
      </c>
      <c r="B6174" s="8" t="s">
        <v>76</v>
      </c>
      <c r="C6174" s="60" t="n">
        <f aca="false">C6172/(Pressupostos!$C$76*1000)</f>
        <v>0.000461710914454277</v>
      </c>
      <c r="D6174" s="60" t="n">
        <f aca="false">D6172/(Pressupostos!$C$76*1000)</f>
        <v>0.0068547197640118</v>
      </c>
      <c r="E6174" s="60" t="n">
        <f aca="false">E6172/(Pressupostos!$C$76*1000)</f>
        <v>0.0176324483775811</v>
      </c>
      <c r="F6174" s="60" t="n">
        <f aca="false">F6172/(Pressupostos!$C$76*1000)</f>
        <v>0.0293477876106195</v>
      </c>
      <c r="G6174" s="60" t="n">
        <f aca="false">G6172/(Pressupostos!$C$76*1000)</f>
        <v>0.0421445427728614</v>
      </c>
      <c r="H6174" s="2" t="s">
        <v>1180</v>
      </c>
    </row>
    <row r="6175" customFormat="false" ht="15" hidden="false" customHeight="false" outlineLevel="1" collapsed="false">
      <c r="A6175" s="7" t="s">
        <v>597</v>
      </c>
      <c r="B6175" s="8" t="s">
        <v>123</v>
      </c>
      <c r="C6175" s="55" t="n">
        <f aca="false">C6167/Pressupostos!$C$40+C6168/Pressupostos!$C$47+C6169/Pressupostos!$C$59</f>
        <v>2.78633333333333</v>
      </c>
      <c r="D6175" s="55" t="n">
        <f aca="false">D6167/Pressupostos!$C$40+D6168/Pressupostos!$C$47+D6169/Pressupostos!$C$59</f>
        <v>24.22875</v>
      </c>
      <c r="E6175" s="55" t="n">
        <f aca="false">E6167/Pressupostos!$C$40+E6168/Pressupostos!$C$47+E6169/Pressupostos!$C$59</f>
        <v>55.9</v>
      </c>
      <c r="F6175" s="55" t="n">
        <f aca="false">F6167/Pressupostos!$C$40+F6168/Pressupostos!$C$47+F6169/Pressupostos!$C$59</f>
        <v>93.0908333333333</v>
      </c>
      <c r="G6175" s="55" t="n">
        <f aca="false">G6167/Pressupostos!$C$40+G6168/Pressupostos!$C$47+G6169/Pressupostos!$C$59</f>
        <v>136.391666666667</v>
      </c>
      <c r="H6175" s="2" t="s">
        <v>1181</v>
      </c>
    </row>
    <row r="6176" customFormat="false" ht="15" hidden="false" customHeight="false" outlineLevel="0" collapsed="false">
      <c r="A6176" s="3" t="s">
        <v>1182</v>
      </c>
      <c r="B6176" s="4"/>
      <c r="C6176" s="4"/>
      <c r="D6176" s="4"/>
      <c r="E6176" s="4"/>
      <c r="F6176" s="4"/>
      <c r="G6176" s="4"/>
      <c r="H6176" s="4"/>
    </row>
    <row r="6177" customFormat="false" ht="15" hidden="false" customHeight="false" outlineLevel="1" collapsed="false">
      <c r="A6177" s="7" t="s">
        <v>599</v>
      </c>
      <c r="B6177" s="8" t="s">
        <v>202</v>
      </c>
      <c r="C6177" s="61" t="n">
        <f aca="false">(Pressupostos!$C$259*(1+Pressupostos!$C$195))</f>
        <v>46.8</v>
      </c>
      <c r="D6177" s="61" t="n">
        <f aca="false">(Pressupostos!$D$259*(1+Pressupostos!$C$195))</f>
        <v>175.5</v>
      </c>
      <c r="E6177" s="61" t="n">
        <f aca="false">(Pressupostos!$E$259*(1+Pressupostos!$C$195))</f>
        <v>468</v>
      </c>
      <c r="F6177" s="61" t="n">
        <f aca="false">(Pressupostos!$F$259*(1+Pressupostos!$C$195))</f>
        <v>819</v>
      </c>
      <c r="G6177" s="61" t="n">
        <f aca="false">(Pressupostos!$G$259*(1+Pressupostos!$C$195))</f>
        <v>1170</v>
      </c>
      <c r="H6177" s="2" t="s">
        <v>1183</v>
      </c>
    </row>
    <row r="6178" customFormat="false" ht="15" hidden="false" customHeight="false" outlineLevel="1" collapsed="false">
      <c r="A6178" s="7" t="s">
        <v>599</v>
      </c>
      <c r="B6178" s="8" t="s">
        <v>189</v>
      </c>
      <c r="C6178" s="61" t="n">
        <f aca="false">C6177*Pressupostos!$C$78</f>
        <v>35100</v>
      </c>
      <c r="D6178" s="61" t="n">
        <f aca="false">D6177*Pressupostos!$C$78</f>
        <v>131625</v>
      </c>
      <c r="E6178" s="61" t="n">
        <f aca="false">E6177*Pressupostos!$C$78</f>
        <v>351000</v>
      </c>
      <c r="F6178" s="61" t="n">
        <f aca="false">F6177*Pressupostos!$C$78</f>
        <v>614250</v>
      </c>
      <c r="G6178" s="61" t="n">
        <f aca="false">G6177*Pressupostos!$C$78</f>
        <v>877500</v>
      </c>
      <c r="H6178" s="2" t="s">
        <v>1184</v>
      </c>
    </row>
    <row r="6179" customFormat="false" ht="15" hidden="false" customHeight="false" outlineLevel="0" collapsed="false">
      <c r="A6179" s="3" t="s">
        <v>1185</v>
      </c>
      <c r="B6179" s="4"/>
      <c r="C6179" s="4"/>
      <c r="D6179" s="4"/>
      <c r="E6179" s="4"/>
      <c r="F6179" s="4"/>
      <c r="G6179" s="4"/>
      <c r="H6179" s="4"/>
    </row>
    <row r="6180" customFormat="false" ht="15" hidden="false" customHeight="false" outlineLevel="1" collapsed="false">
      <c r="A6180" s="7" t="s">
        <v>601</v>
      </c>
      <c r="B6180" s="8" t="s">
        <v>120</v>
      </c>
      <c r="C6180" s="55" t="n">
        <f aca="false">IF(C6164&lt;Pressupostos!$F$28,0,(Pressupostos!$C$265*(1+Pressupostos!$C$195)))</f>
        <v>0</v>
      </c>
      <c r="D6180" s="55" t="n">
        <f aca="false">IF(D6164&lt;Pressupostos!$F$28,0,(Pressupostos!$D$265*(1+Pressupostos!$C$195)))</f>
        <v>0</v>
      </c>
      <c r="E6180" s="55" t="n">
        <f aca="false">IF(E6164&lt;Pressupostos!$F$28,0,(Pressupostos!$E$265*(1+Pressupostos!$C$195)))</f>
        <v>0</v>
      </c>
      <c r="F6180" s="55" t="n">
        <f aca="false">IF(F6164&lt;Pressupostos!$F$28,0,(Pressupostos!$F$265*(1+Pressupostos!$C$195)))</f>
        <v>26</v>
      </c>
      <c r="G6180" s="55" t="n">
        <f aca="false">IF(G6164&lt;Pressupostos!$F$28,0,(Pressupostos!$G$265*(1+Pressupostos!$C$195)))</f>
        <v>65</v>
      </c>
      <c r="H6180" s="2" t="s">
        <v>1186</v>
      </c>
    </row>
    <row r="6181" customFormat="false" ht="15" hidden="false" customHeight="false" outlineLevel="0" collapsed="false">
      <c r="A6181" s="3" t="s">
        <v>1187</v>
      </c>
      <c r="B6181" s="4"/>
      <c r="C6181" s="4"/>
      <c r="D6181" s="4"/>
      <c r="E6181" s="4"/>
      <c r="F6181" s="4"/>
      <c r="G6181" s="4"/>
      <c r="H6181" s="4"/>
    </row>
    <row r="6182" customFormat="false" ht="15" hidden="false" customHeight="false" outlineLevel="1" collapsed="false">
      <c r="A6182" s="7" t="s">
        <v>603</v>
      </c>
      <c r="B6182" s="8" t="s">
        <v>11</v>
      </c>
      <c r="C6182" s="61" t="n">
        <f aca="false">(Pressupostos!$C$270)</f>
        <v>0</v>
      </c>
      <c r="D6182" s="61" t="n">
        <f aca="false">(Pressupostos!$D$270)</f>
        <v>1000000</v>
      </c>
      <c r="E6182" s="61" t="n">
        <f aca="false">(Pressupostos!$E$270)</f>
        <v>3000000</v>
      </c>
      <c r="F6182" s="61" t="n">
        <f aca="false">(Pressupostos!$F$270)</f>
        <v>6000000</v>
      </c>
      <c r="G6182" s="61" t="n">
        <f aca="false">(Pressupostos!$G$270)</f>
        <v>10000000</v>
      </c>
      <c r="H6182" s="2" t="s">
        <v>1188</v>
      </c>
    </row>
    <row r="6183" customFormat="false" ht="15" hidden="false" customHeight="false" outlineLevel="1" collapsed="false">
      <c r="A6183" s="7" t="s">
        <v>604</v>
      </c>
      <c r="B6183" s="8" t="s">
        <v>120</v>
      </c>
      <c r="C6183" s="55" t="n">
        <f aca="false">C6182/(Pressupostos!$C$105*Pressupostos!$C$106)*Pressupostos!$C$102/1000</f>
        <v>0</v>
      </c>
      <c r="D6183" s="55" t="n">
        <f aca="false">D6182/(Pressupostos!$C$105*Pressupostos!$C$106)*Pressupostos!$C$102/1000</f>
        <v>914.285714285714</v>
      </c>
      <c r="E6183" s="55" t="n">
        <f aca="false">E6182/(Pressupostos!$C$105*Pressupostos!$C$106)*Pressupostos!$C$102/1000</f>
        <v>2742.85714285714</v>
      </c>
      <c r="F6183" s="55" t="n">
        <f aca="false">F6182/(Pressupostos!$C$105*Pressupostos!$C$106)*Pressupostos!$C$102/1000</f>
        <v>5485.71428571429</v>
      </c>
      <c r="G6183" s="55" t="n">
        <f aca="false">G6182/(Pressupostos!$C$105*Pressupostos!$C$106)*Pressupostos!$C$102/1000</f>
        <v>9142.85714285714</v>
      </c>
      <c r="H6183" s="2" t="s">
        <v>1189</v>
      </c>
    </row>
    <row r="6184" customFormat="false" ht="15" hidden="false" customHeight="false" outlineLevel="0" collapsed="false">
      <c r="A6184" s="3" t="s">
        <v>1190</v>
      </c>
      <c r="B6184" s="4"/>
      <c r="C6184" s="4"/>
      <c r="D6184" s="4"/>
      <c r="E6184" s="4"/>
      <c r="F6184" s="4"/>
      <c r="G6184" s="4"/>
      <c r="H6184" s="4"/>
    </row>
    <row r="6185" customFormat="false" ht="15" hidden="false" customHeight="false" outlineLevel="1" collapsed="false">
      <c r="A6185" s="7" t="s">
        <v>669</v>
      </c>
      <c r="B6185" s="8" t="s">
        <v>64</v>
      </c>
      <c r="C6185" s="63" t="n">
        <f aca="false">Pressupostos!$F$10+Pressupostos!$F$11</f>
        <v>3.65</v>
      </c>
      <c r="D6185" s="63" t="n">
        <f aca="false">Pressupostos!$F$10+Pressupostos!$F$11</f>
        <v>3.65</v>
      </c>
      <c r="E6185" s="63" t="n">
        <f aca="false">Pressupostos!$F$10+Pressupostos!$F$11</f>
        <v>3.65</v>
      </c>
      <c r="F6185" s="63" t="n">
        <f aca="false">Pressupostos!$F$10+Pressupostos!$F$11</f>
        <v>3.65</v>
      </c>
      <c r="G6185" s="63" t="n">
        <f aca="false">Pressupostos!$F$10+Pressupostos!$F$11</f>
        <v>3.65</v>
      </c>
      <c r="H6185" s="2" t="s">
        <v>1191</v>
      </c>
    </row>
    <row r="6186" customFormat="false" ht="15" hidden="false" customHeight="false" outlineLevel="1" collapsed="false">
      <c r="A6186" s="7" t="s">
        <v>670</v>
      </c>
      <c r="B6186" s="8" t="s">
        <v>64</v>
      </c>
      <c r="C6186" s="67" t="n">
        <f aca="false">Pressupostos!$F$15</f>
        <v>6</v>
      </c>
      <c r="D6186" s="67" t="n">
        <f aca="false">Pressupostos!$F$15</f>
        <v>6</v>
      </c>
      <c r="E6186" s="67" t="n">
        <f aca="false">Pressupostos!$F$15</f>
        <v>6</v>
      </c>
      <c r="F6186" s="67" t="n">
        <f aca="false">Pressupostos!$F$15</f>
        <v>6</v>
      </c>
      <c r="G6186" s="67" t="n">
        <f aca="false">Pressupostos!$F$15</f>
        <v>6</v>
      </c>
      <c r="H6186" s="2" t="s">
        <v>1192</v>
      </c>
    </row>
    <row r="6187" customFormat="false" ht="15" hidden="false" customHeight="false" outlineLevel="1" collapsed="false">
      <c r="A6187" s="56" t="s">
        <v>671</v>
      </c>
      <c r="B6187" s="57" t="s">
        <v>64</v>
      </c>
      <c r="C6187" s="68" t="n">
        <f aca="false">C6186*(1-Pressupostos!$F$16)</f>
        <v>5.4</v>
      </c>
      <c r="D6187" s="68" t="n">
        <f aca="false">D6186*(1-Pressupostos!$F$16)</f>
        <v>5.4</v>
      </c>
      <c r="E6187" s="68" t="n">
        <f aca="false">E6186*(1-Pressupostos!$F$16)</f>
        <v>5.4</v>
      </c>
      <c r="F6187" s="68" t="n">
        <f aca="false">F6186*(1-Pressupostos!$F$16)</f>
        <v>5.4</v>
      </c>
      <c r="G6187" s="68" t="n">
        <f aca="false">G6186*(1-Pressupostos!$F$16)</f>
        <v>5.4</v>
      </c>
      <c r="H6187" s="2" t="s">
        <v>1193</v>
      </c>
    </row>
    <row r="6188" customFormat="false" ht="15" hidden="false" customHeight="false" outlineLevel="1" collapsed="false">
      <c r="A6188" s="7" t="s">
        <v>144</v>
      </c>
      <c r="B6188" s="8" t="s">
        <v>64</v>
      </c>
      <c r="C6188" s="67" t="n">
        <f aca="false">Pressupostos!$C$38</f>
        <v>0.55</v>
      </c>
      <c r="D6188" s="67" t="n">
        <f aca="false">Pressupostos!$C$38</f>
        <v>0.55</v>
      </c>
      <c r="E6188" s="67" t="n">
        <f aca="false">Pressupostos!$C$38</f>
        <v>0.55</v>
      </c>
      <c r="F6188" s="67" t="n">
        <f aca="false">Pressupostos!$C$38</f>
        <v>0.55</v>
      </c>
      <c r="G6188" s="67" t="n">
        <f aca="false">Pressupostos!$C$38</f>
        <v>0.55</v>
      </c>
      <c r="H6188" s="2" t="s">
        <v>1194</v>
      </c>
    </row>
    <row r="6189" customFormat="false" ht="15" hidden="false" customHeight="false" outlineLevel="1" collapsed="false">
      <c r="A6189" s="7" t="s">
        <v>215</v>
      </c>
      <c r="B6189" s="8" t="s">
        <v>64</v>
      </c>
      <c r="C6189" s="67" t="n">
        <f aca="false">Pressupostos!$C$240</f>
        <v>0.3</v>
      </c>
      <c r="D6189" s="67" t="n">
        <f aca="false">Pressupostos!$D$240</f>
        <v>0.3</v>
      </c>
      <c r="E6189" s="67" t="n">
        <f aca="false">Pressupostos!$E$240</f>
        <v>0.28</v>
      </c>
      <c r="F6189" s="67" t="n">
        <f aca="false">Pressupostos!$F$240</f>
        <v>0.27</v>
      </c>
      <c r="G6189" s="67" t="n">
        <f aca="false">Pressupostos!$G$240</f>
        <v>0.27</v>
      </c>
      <c r="H6189" s="2" t="s">
        <v>1195</v>
      </c>
    </row>
    <row r="6190" customFormat="false" ht="15" hidden="false" customHeight="false" outlineLevel="1" collapsed="false">
      <c r="A6190" s="7" t="s">
        <v>117</v>
      </c>
      <c r="B6190" s="8" t="s">
        <v>64</v>
      </c>
      <c r="C6190" s="67" t="n">
        <f aca="false">Pressupostos!$C$39</f>
        <v>0.06</v>
      </c>
      <c r="D6190" s="67" t="n">
        <f aca="false">Pressupostos!$C$39</f>
        <v>0.06</v>
      </c>
      <c r="E6190" s="67" t="n">
        <f aca="false">Pressupostos!$C$39</f>
        <v>0.06</v>
      </c>
      <c r="F6190" s="67" t="n">
        <f aca="false">Pressupostos!$C$39</f>
        <v>0.06</v>
      </c>
      <c r="G6190" s="67" t="n">
        <f aca="false">Pressupostos!$C$39</f>
        <v>0.06</v>
      </c>
      <c r="H6190" s="2" t="s">
        <v>1196</v>
      </c>
    </row>
    <row r="6191" customFormat="false" ht="15" hidden="false" customHeight="false" outlineLevel="1" collapsed="false">
      <c r="A6191" s="7" t="s">
        <v>91</v>
      </c>
      <c r="B6191" s="8" t="s">
        <v>79</v>
      </c>
      <c r="C6191" s="69" t="n">
        <f aca="false">Pressupostos!$C$246</f>
        <v>180</v>
      </c>
      <c r="D6191" s="69" t="n">
        <f aca="false">Pressupostos!$D$246</f>
        <v>180</v>
      </c>
      <c r="E6191" s="69" t="n">
        <f aca="false">Pressupostos!$E$246</f>
        <v>45</v>
      </c>
      <c r="F6191" s="69" t="n">
        <f aca="false">Pressupostos!$F$246</f>
        <v>45</v>
      </c>
      <c r="G6191" s="69" t="n">
        <f aca="false">Pressupostos!$G$246</f>
        <v>45</v>
      </c>
      <c r="H6191" s="2" t="s">
        <v>1197</v>
      </c>
    </row>
    <row r="6192" customFormat="false" ht="15" hidden="false" customHeight="false" outlineLevel="1" collapsed="false">
      <c r="A6192" s="7" t="s">
        <v>78</v>
      </c>
      <c r="B6192" s="8" t="s">
        <v>79</v>
      </c>
      <c r="C6192" s="69" t="n">
        <f aca="false">Pressupostos!$F$17</f>
        <v>35</v>
      </c>
      <c r="D6192" s="69" t="n">
        <f aca="false">Pressupostos!$F$17</f>
        <v>35</v>
      </c>
      <c r="E6192" s="69" t="n">
        <f aca="false">Pressupostos!$F$17</f>
        <v>35</v>
      </c>
      <c r="F6192" s="69" t="n">
        <f aca="false">Pressupostos!$F$17</f>
        <v>35</v>
      </c>
      <c r="G6192" s="69" t="n">
        <f aca="false">Pressupostos!$F$17</f>
        <v>35</v>
      </c>
      <c r="H6192" s="2" t="s">
        <v>1198</v>
      </c>
    </row>
    <row r="6193" customFormat="false" ht="15" hidden="false" customHeight="false" outlineLevel="1" collapsed="false">
      <c r="A6193" s="7" t="s">
        <v>490</v>
      </c>
      <c r="B6193" s="8" t="s">
        <v>64</v>
      </c>
      <c r="C6193" s="63" t="n">
        <f aca="false">Pressupostos!$C$66*C6191/30/1000</f>
        <v>0.024</v>
      </c>
      <c r="D6193" s="63" t="n">
        <f aca="false">Pressupostos!$C$66*D6191/30/1000</f>
        <v>0.024</v>
      </c>
      <c r="E6193" s="63" t="n">
        <f aca="false">Pressupostos!$C$66*E6191/30/1000</f>
        <v>0.006</v>
      </c>
      <c r="F6193" s="63" t="n">
        <f aca="false">Pressupostos!$C$66*F6191/30/1000</f>
        <v>0.006</v>
      </c>
      <c r="G6193" s="63" t="n">
        <f aca="false">Pressupostos!$C$66*G6191/30/1000</f>
        <v>0.006</v>
      </c>
      <c r="H6193" s="2" t="s">
        <v>1199</v>
      </c>
    </row>
    <row r="6194" customFormat="false" ht="15" hidden="false" customHeight="false" outlineLevel="1" collapsed="false">
      <c r="A6194" s="7" t="s">
        <v>165</v>
      </c>
      <c r="B6194" s="8" t="s">
        <v>64</v>
      </c>
      <c r="C6194" s="63" t="n">
        <f aca="false">C6185*Pressupostos!$C$67*C6191/365</f>
        <v>0.0036</v>
      </c>
      <c r="D6194" s="63" t="n">
        <f aca="false">D6185*Pressupostos!$C$67*D6191/365</f>
        <v>0.0036</v>
      </c>
      <c r="E6194" s="63" t="n">
        <f aca="false">E6185*Pressupostos!$C$67*E6191/365</f>
        <v>0.0009</v>
      </c>
      <c r="F6194" s="63" t="n">
        <f aca="false">F6185*Pressupostos!$C$67*F6191/365</f>
        <v>0.0009</v>
      </c>
      <c r="G6194" s="63" t="n">
        <f aca="false">G6185*Pressupostos!$C$67*G6191/365</f>
        <v>0.0009</v>
      </c>
      <c r="H6194" s="2" t="s">
        <v>1200</v>
      </c>
    </row>
    <row r="6195" customFormat="false" ht="15" hidden="false" customHeight="false" outlineLevel="1" collapsed="false">
      <c r="A6195" s="7" t="s">
        <v>672</v>
      </c>
      <c r="B6195" s="8" t="s">
        <v>64</v>
      </c>
      <c r="C6195" s="63" t="n">
        <f aca="false">Pressupostos!$C$41*Pressupostos!$C$68/(Pressupostos!$C$40*1000)</f>
        <v>0.03</v>
      </c>
      <c r="D6195" s="63" t="n">
        <f aca="false">Pressupostos!$C$41*Pressupostos!$C$68/(Pressupostos!$C$40*1000)</f>
        <v>0.03</v>
      </c>
      <c r="E6195" s="63" t="n">
        <f aca="false">Pressupostos!$C$41*Pressupostos!$C$68/(Pressupostos!$C$40*1000)</f>
        <v>0.03</v>
      </c>
      <c r="F6195" s="63" t="n">
        <f aca="false">Pressupostos!$C$41*Pressupostos!$C$68/(Pressupostos!$C$40*1000)</f>
        <v>0.03</v>
      </c>
      <c r="G6195" s="63" t="n">
        <f aca="false">Pressupostos!$C$41*Pressupostos!$C$68/(Pressupostos!$C$40*1000)</f>
        <v>0.03</v>
      </c>
      <c r="H6195" s="2" t="s">
        <v>1201</v>
      </c>
    </row>
    <row r="6196" customFormat="false" ht="15" hidden="false" customHeight="false" outlineLevel="1" collapsed="false">
      <c r="A6196" s="7" t="s">
        <v>492</v>
      </c>
      <c r="B6196" s="8" t="s">
        <v>64</v>
      </c>
      <c r="C6196" s="63" t="n">
        <f aca="false">Pressupostos!$C$69*C6185</f>
        <v>0.01825</v>
      </c>
      <c r="D6196" s="63" t="n">
        <f aca="false">Pressupostos!$C$69*D6185</f>
        <v>0.01825</v>
      </c>
      <c r="E6196" s="63" t="n">
        <f aca="false">Pressupostos!$C$69*E6185</f>
        <v>0.01825</v>
      </c>
      <c r="F6196" s="63" t="n">
        <f aca="false">Pressupostos!$C$69*F6185</f>
        <v>0.01825</v>
      </c>
      <c r="G6196" s="63" t="n">
        <f aca="false">Pressupostos!$C$69*G6185</f>
        <v>0.01825</v>
      </c>
      <c r="H6196" s="2" t="s">
        <v>1202</v>
      </c>
    </row>
    <row r="6197" customFormat="false" ht="15" hidden="false" customHeight="false" outlineLevel="1" collapsed="false">
      <c r="A6197" s="7" t="s">
        <v>493</v>
      </c>
      <c r="B6197" s="8" t="s">
        <v>64</v>
      </c>
      <c r="C6197" s="63" t="n">
        <f aca="false">Pressupostos!$C$70*Pressupostos!$C$71*C6191/90</f>
        <v>0.018</v>
      </c>
      <c r="D6197" s="63" t="n">
        <f aca="false">Pressupostos!$C$70*Pressupostos!$C$71*D6191/90</f>
        <v>0.018</v>
      </c>
      <c r="E6197" s="63" t="n">
        <f aca="false">Pressupostos!$C$70*Pressupostos!$C$71*E6191/90</f>
        <v>0.0045</v>
      </c>
      <c r="F6197" s="63" t="n">
        <f aca="false">Pressupostos!$C$70*Pressupostos!$C$71*F6191/90</f>
        <v>0.0045</v>
      </c>
      <c r="G6197" s="63" t="n">
        <f aca="false">Pressupostos!$C$70*Pressupostos!$C$71*G6191/90</f>
        <v>0.0045</v>
      </c>
      <c r="H6197" s="2" t="s">
        <v>1203</v>
      </c>
    </row>
    <row r="6198" customFormat="false" ht="15" hidden="false" customHeight="false" outlineLevel="1" collapsed="false">
      <c r="A6198" s="7" t="s">
        <v>673</v>
      </c>
      <c r="B6198" s="8" t="s">
        <v>64</v>
      </c>
      <c r="C6198" s="63" t="n">
        <f aca="false">Pressupostos!$C$42/(Pressupostos!$C$40*1000)</f>
        <v>0.1</v>
      </c>
      <c r="D6198" s="63" t="n">
        <f aca="false">Pressupostos!$C$42/(Pressupostos!$C$40*1000)</f>
        <v>0.1</v>
      </c>
      <c r="E6198" s="63" t="n">
        <f aca="false">Pressupostos!$C$42/(Pressupostos!$C$40*1000)</f>
        <v>0.1</v>
      </c>
      <c r="F6198" s="63" t="n">
        <f aca="false">Pressupostos!$C$42/(Pressupostos!$C$40*1000)</f>
        <v>0.1</v>
      </c>
      <c r="G6198" s="63" t="n">
        <f aca="false">Pressupostos!$C$42/(Pressupostos!$C$40*1000)</f>
        <v>0.1</v>
      </c>
      <c r="H6198" s="2" t="s">
        <v>1204</v>
      </c>
    </row>
    <row r="6199" customFormat="false" ht="15" hidden="false" customHeight="false" outlineLevel="1" collapsed="false">
      <c r="A6199" s="7" t="s">
        <v>139</v>
      </c>
      <c r="B6199" s="8" t="s">
        <v>64</v>
      </c>
      <c r="C6199" s="67" t="n">
        <f aca="false">Pressupostos!$C$43</f>
        <v>0.01</v>
      </c>
      <c r="D6199" s="67" t="n">
        <f aca="false">Pressupostos!$C$43</f>
        <v>0.01</v>
      </c>
      <c r="E6199" s="67" t="n">
        <f aca="false">Pressupostos!$C$43</f>
        <v>0.01</v>
      </c>
      <c r="F6199" s="67" t="n">
        <f aca="false">Pressupostos!$C$43</f>
        <v>0.01</v>
      </c>
      <c r="G6199" s="67" t="n">
        <f aca="false">Pressupostos!$C$43</f>
        <v>0.01</v>
      </c>
      <c r="H6199" s="2" t="s">
        <v>1205</v>
      </c>
    </row>
    <row r="6200" customFormat="false" ht="15" hidden="false" customHeight="false" outlineLevel="1" collapsed="false">
      <c r="A6200" s="7" t="s">
        <v>81</v>
      </c>
      <c r="B6200" s="8" t="s">
        <v>64</v>
      </c>
      <c r="C6200" s="63" t="n">
        <f aca="false">Pressupostos!$F$18*C6187</f>
        <v>0.0324</v>
      </c>
      <c r="D6200" s="63" t="n">
        <f aca="false">Pressupostos!$F$18*D6187</f>
        <v>0.0324</v>
      </c>
      <c r="E6200" s="63" t="n">
        <f aca="false">Pressupostos!$F$18*E6187</f>
        <v>0.0324</v>
      </c>
      <c r="F6200" s="63" t="n">
        <f aca="false">Pressupostos!$F$18*F6187</f>
        <v>0.0324</v>
      </c>
      <c r="G6200" s="63" t="n">
        <f aca="false">Pressupostos!$F$18*G6187</f>
        <v>0.0324</v>
      </c>
      <c r="H6200" s="2" t="s">
        <v>1206</v>
      </c>
    </row>
    <row r="6201" customFormat="false" ht="15" hidden="false" customHeight="false" outlineLevel="1" collapsed="false">
      <c r="A6201" s="7" t="s">
        <v>674</v>
      </c>
      <c r="B6201" s="8" t="s">
        <v>64</v>
      </c>
      <c r="C6201" s="63" t="n">
        <f aca="false">Pressupostos!$C$73*C6187</f>
        <v>0</v>
      </c>
      <c r="D6201" s="63" t="n">
        <f aca="false">Pressupostos!$C$73*D6187</f>
        <v>0</v>
      </c>
      <c r="E6201" s="63" t="n">
        <f aca="false">Pressupostos!$C$73*E6187</f>
        <v>0</v>
      </c>
      <c r="F6201" s="63" t="n">
        <f aca="false">Pressupostos!$C$73*F6187</f>
        <v>0</v>
      </c>
      <c r="G6201" s="63" t="n">
        <f aca="false">Pressupostos!$C$73*G6187</f>
        <v>0</v>
      </c>
      <c r="H6201" s="2" t="s">
        <v>1207</v>
      </c>
    </row>
    <row r="6202" customFormat="false" ht="15" hidden="false" customHeight="false" outlineLevel="1" collapsed="false">
      <c r="A6202" s="7" t="s">
        <v>675</v>
      </c>
      <c r="B6202" s="8" t="s">
        <v>64</v>
      </c>
      <c r="C6202" s="63" t="n">
        <f aca="false">Pressupostos!$C$290*(C6185+C6188)*(C6191+C6192-Pressupostos!$C$72)/365*Pressupostos!$C$284/Pressupostos!$F$31</f>
        <v>0</v>
      </c>
      <c r="D6202" s="63" t="n">
        <f aca="false">Pressupostos!$D$290*(D6185+D6188)*(D6191+D6192-Pressupostos!$C$72)/365*Pressupostos!$D$284/Pressupostos!$F$31</f>
        <v>0.159657534246575</v>
      </c>
      <c r="E6202" s="63" t="n">
        <f aca="false">Pressupostos!$E$290*(E6185+E6188)*(E6191+E6192-Pressupostos!$C$72)/365*Pressupostos!$E$284/Pressupostos!$F$31</f>
        <v>0.0404537671232877</v>
      </c>
      <c r="F6202" s="63" t="n">
        <f aca="false">Pressupostos!$F$290*(F6185+F6188)*(F6191+F6192-Pressupostos!$C$72)/365*Pressupostos!$F$284/Pressupostos!$F$31</f>
        <v>0.0377568493150685</v>
      </c>
      <c r="G6202" s="63" t="n">
        <f aca="false">Pressupostos!$G$290*(G6185+G6188)*(G6191+G6192-Pressupostos!$C$72)/365*Pressupostos!$G$284/Pressupostos!$F$31</f>
        <v>0.0377568493150685</v>
      </c>
      <c r="H6202" s="2" t="s">
        <v>1208</v>
      </c>
    </row>
    <row r="6203" customFormat="false" ht="15" hidden="false" customHeight="false" outlineLevel="1" collapsed="false">
      <c r="A6203" s="7" t="s">
        <v>676</v>
      </c>
      <c r="B6203" s="8" t="s">
        <v>64</v>
      </c>
      <c r="C6203" s="63" t="n">
        <f aca="false">C6185+C6188+C6189+C6190+C6193+C6194+C6195+C6196+C6197+C6198+C6199+C6200+C6201+C6202</f>
        <v>4.79625</v>
      </c>
      <c r="D6203" s="63" t="n">
        <f aca="false">D6185+D6188+D6189+D6190+D6193+D6194+D6195+D6196+D6197+D6198+D6199+D6200+D6201+D6202</f>
        <v>4.95590753424657</v>
      </c>
      <c r="E6203" s="63" t="n">
        <f aca="false">E6185+E6188+E6189+E6190+E6193+E6194+E6195+E6196+E6197+E6198+E6199+E6200+E6201+E6202</f>
        <v>4.78250376712329</v>
      </c>
      <c r="F6203" s="63" t="n">
        <f aca="false">F6185+F6188+F6189+F6190+F6193+F6194+F6195+F6196+F6197+F6198+F6199+F6200+F6201+F6202</f>
        <v>4.76980684931507</v>
      </c>
      <c r="G6203" s="63" t="n">
        <f aca="false">G6185+G6188+G6189+G6190+G6193+G6194+G6195+G6196+G6197+G6198+G6199+G6200+G6201+G6202</f>
        <v>4.76980684931507</v>
      </c>
      <c r="H6203" s="2" t="s">
        <v>1209</v>
      </c>
    </row>
    <row r="6204" customFormat="false" ht="15" hidden="false" customHeight="false" outlineLevel="1" collapsed="false">
      <c r="A6204" s="56" t="s">
        <v>677</v>
      </c>
      <c r="B6204" s="57" t="s">
        <v>64</v>
      </c>
      <c r="C6204" s="68" t="n">
        <f aca="false">C6187-C6203</f>
        <v>0.603750000000002</v>
      </c>
      <c r="D6204" s="68" t="n">
        <f aca="false">D6187-D6203</f>
        <v>0.444092465753426</v>
      </c>
      <c r="E6204" s="68" t="n">
        <f aca="false">E6187-E6203</f>
        <v>0.617496232876713</v>
      </c>
      <c r="F6204" s="68" t="n">
        <f aca="false">F6187-F6203</f>
        <v>0.630193150684931</v>
      </c>
      <c r="G6204" s="68" t="n">
        <f aca="false">G6187-G6203</f>
        <v>0.630193150684931</v>
      </c>
      <c r="H6204" s="2" t="s">
        <v>1210</v>
      </c>
    </row>
    <row r="6205" customFormat="false" ht="15" hidden="false" customHeight="false" outlineLevel="1" collapsed="false">
      <c r="A6205" s="7" t="s">
        <v>678</v>
      </c>
      <c r="B6205" s="8" t="s">
        <v>76</v>
      </c>
      <c r="C6205" s="59" t="n">
        <f aca="false">IF(C6187&gt;0,C6204/C6187,0)</f>
        <v>0.111805555555556</v>
      </c>
      <c r="D6205" s="59" t="n">
        <f aca="false">IF(D6187&gt;0,D6204/D6187,0)</f>
        <v>0.0822393455098938</v>
      </c>
      <c r="E6205" s="59" t="n">
        <f aca="false">IF(E6187&gt;0,E6204/E6187,0)</f>
        <v>0.114351154236428</v>
      </c>
      <c r="F6205" s="59" t="n">
        <f aca="false">IF(F6187&gt;0,F6204/F6187,0)</f>
        <v>0.116702435312024</v>
      </c>
      <c r="G6205" s="59" t="n">
        <f aca="false">IF(G6187&gt;0,G6204/G6187,0)</f>
        <v>0.116702435312024</v>
      </c>
      <c r="H6205" s="2" t="s">
        <v>1211</v>
      </c>
    </row>
    <row r="6206" customFormat="false" ht="15" hidden="false" customHeight="false" outlineLevel="1" collapsed="false">
      <c r="A6206" s="7" t="s">
        <v>679</v>
      </c>
      <c r="B6206" s="8" t="s">
        <v>64</v>
      </c>
      <c r="C6206" s="63" t="n">
        <f aca="false">(C6185+C6188)*(C6191-Pressupostos!$C$72)/365+C6187*C6192/365</f>
        <v>2.24383561643836</v>
      </c>
      <c r="D6206" s="63" t="n">
        <f aca="false">(D6185+D6188)*(D6191-Pressupostos!$C$72)/365+D6187*D6192/365</f>
        <v>2.24383561643836</v>
      </c>
      <c r="E6206" s="63" t="n">
        <f aca="false">(E6185+E6188)*(E6191-Pressupostos!$C$72)/365+E6187*E6192/365</f>
        <v>0.69041095890411</v>
      </c>
      <c r="F6206" s="63" t="n">
        <f aca="false">(F6185+F6188)*(F6191-Pressupostos!$C$72)/365+F6187*F6192/365</f>
        <v>0.69041095890411</v>
      </c>
      <c r="G6206" s="63" t="n">
        <f aca="false">(G6185+G6188)*(G6191-Pressupostos!$C$72)/365+G6187*G6192/365</f>
        <v>0.69041095890411</v>
      </c>
      <c r="H6206" s="2" t="s">
        <v>1212</v>
      </c>
    </row>
    <row r="6207" customFormat="false" ht="15" hidden="false" customHeight="false" outlineLevel="0" collapsed="false">
      <c r="A6207" s="3" t="s">
        <v>1213</v>
      </c>
      <c r="B6207" s="4"/>
      <c r="C6207" s="4"/>
      <c r="D6207" s="4"/>
      <c r="E6207" s="4"/>
      <c r="F6207" s="4"/>
      <c r="G6207" s="4"/>
      <c r="H6207" s="4"/>
    </row>
    <row r="6208" customFormat="false" ht="15" hidden="false" customHeight="false" outlineLevel="1" collapsed="false">
      <c r="A6208" s="7" t="s">
        <v>669</v>
      </c>
      <c r="B6208" s="8" t="s">
        <v>64</v>
      </c>
      <c r="C6208" s="63" t="n">
        <f aca="false">Pressupostos!$F$10+Pressupostos!$F$12</f>
        <v>3.6</v>
      </c>
      <c r="D6208" s="63" t="n">
        <f aca="false">Pressupostos!$F$10+Pressupostos!$F$12</f>
        <v>3.6</v>
      </c>
      <c r="E6208" s="63" t="n">
        <f aca="false">Pressupostos!$F$10+Pressupostos!$F$12</f>
        <v>3.6</v>
      </c>
      <c r="F6208" s="63" t="n">
        <f aca="false">Pressupostos!$F$10+Pressupostos!$F$12</f>
        <v>3.6</v>
      </c>
      <c r="G6208" s="63" t="n">
        <f aca="false">Pressupostos!$F$10+Pressupostos!$F$12</f>
        <v>3.6</v>
      </c>
      <c r="H6208" s="2" t="s">
        <v>1214</v>
      </c>
    </row>
    <row r="6209" customFormat="false" ht="15" hidden="false" customHeight="false" outlineLevel="1" collapsed="false">
      <c r="A6209" s="7" t="s">
        <v>670</v>
      </c>
      <c r="B6209" s="8" t="s">
        <v>64</v>
      </c>
      <c r="C6209" s="63" t="n">
        <f aca="false">Pressupostos!$F$20+(Pressupostos!$C$196)</f>
        <v>4.55</v>
      </c>
      <c r="D6209" s="63" t="n">
        <f aca="false">Pressupostos!$F$20+(Pressupostos!$C$196)</f>
        <v>4.55</v>
      </c>
      <c r="E6209" s="63" t="n">
        <f aca="false">Pressupostos!$F$20+(Pressupostos!$C$196)</f>
        <v>4.55</v>
      </c>
      <c r="F6209" s="63" t="n">
        <f aca="false">Pressupostos!$F$20+(Pressupostos!$C$196)</f>
        <v>4.55</v>
      </c>
      <c r="G6209" s="63" t="n">
        <f aca="false">Pressupostos!$F$20+(Pressupostos!$C$196)</f>
        <v>4.55</v>
      </c>
      <c r="H6209" s="2" t="s">
        <v>1215</v>
      </c>
    </row>
    <row r="6210" customFormat="false" ht="15" hidden="false" customHeight="false" outlineLevel="1" collapsed="false">
      <c r="A6210" s="56" t="s">
        <v>671</v>
      </c>
      <c r="B6210" s="57" t="s">
        <v>64</v>
      </c>
      <c r="C6210" s="68" t="n">
        <f aca="false">C6209*(1-Pressupostos!$F$22)</f>
        <v>4.55</v>
      </c>
      <c r="D6210" s="68" t="n">
        <f aca="false">D6209*(1-Pressupostos!$F$22)</f>
        <v>4.55</v>
      </c>
      <c r="E6210" s="68" t="n">
        <f aca="false">E6209*(1-Pressupostos!$F$22)</f>
        <v>4.55</v>
      </c>
      <c r="F6210" s="68" t="n">
        <f aca="false">F6209*(1-Pressupostos!$F$22)</f>
        <v>4.55</v>
      </c>
      <c r="G6210" s="68" t="n">
        <f aca="false">G6209*(1-Pressupostos!$F$22)</f>
        <v>4.55</v>
      </c>
      <c r="H6210" s="2" t="s">
        <v>1216</v>
      </c>
    </row>
    <row r="6211" customFormat="false" ht="15" hidden="false" customHeight="false" outlineLevel="1" collapsed="false">
      <c r="A6211" s="7" t="s">
        <v>144</v>
      </c>
      <c r="B6211" s="8" t="s">
        <v>64</v>
      </c>
      <c r="C6211" s="67" t="n">
        <f aca="false">Pressupostos!$C$45</f>
        <v>0.45</v>
      </c>
      <c r="D6211" s="67" t="n">
        <f aca="false">Pressupostos!$C$45</f>
        <v>0.45</v>
      </c>
      <c r="E6211" s="67" t="n">
        <f aca="false">Pressupostos!$C$45</f>
        <v>0.45</v>
      </c>
      <c r="F6211" s="67" t="n">
        <f aca="false">Pressupostos!$C$45</f>
        <v>0.45</v>
      </c>
      <c r="G6211" s="67" t="n">
        <f aca="false">Pressupostos!$C$45</f>
        <v>0.45</v>
      </c>
      <c r="H6211" s="2" t="s">
        <v>1217</v>
      </c>
    </row>
    <row r="6212" customFormat="false" ht="15" hidden="false" customHeight="false" outlineLevel="1" collapsed="false">
      <c r="A6212" s="7" t="s">
        <v>215</v>
      </c>
      <c r="B6212" s="8" t="s">
        <v>64</v>
      </c>
      <c r="C6212" s="67" t="n">
        <f aca="false">Pressupostos!$C$252</f>
        <v>0.1</v>
      </c>
      <c r="D6212" s="67" t="n">
        <f aca="false">Pressupostos!$D$252</f>
        <v>0.1</v>
      </c>
      <c r="E6212" s="67" t="n">
        <f aca="false">Pressupostos!$E$252</f>
        <v>0.09</v>
      </c>
      <c r="F6212" s="67" t="n">
        <f aca="false">Pressupostos!$F$252</f>
        <v>0.09</v>
      </c>
      <c r="G6212" s="67" t="n">
        <f aca="false">Pressupostos!$G$252</f>
        <v>0.09</v>
      </c>
      <c r="H6212" s="2" t="s">
        <v>1218</v>
      </c>
    </row>
    <row r="6213" customFormat="false" ht="15" hidden="false" customHeight="false" outlineLevel="1" collapsed="false">
      <c r="A6213" s="7" t="s">
        <v>117</v>
      </c>
      <c r="B6213" s="8" t="s">
        <v>64</v>
      </c>
      <c r="C6213" s="67" t="n">
        <f aca="false">Pressupostos!$C$46</f>
        <v>0</v>
      </c>
      <c r="D6213" s="67" t="n">
        <f aca="false">Pressupostos!$C$46</f>
        <v>0</v>
      </c>
      <c r="E6213" s="67" t="n">
        <f aca="false">Pressupostos!$C$46</f>
        <v>0</v>
      </c>
      <c r="F6213" s="67" t="n">
        <f aca="false">Pressupostos!$C$46</f>
        <v>0</v>
      </c>
      <c r="G6213" s="67" t="n">
        <f aca="false">Pressupostos!$C$46</f>
        <v>0</v>
      </c>
      <c r="H6213" s="2" t="s">
        <v>1219</v>
      </c>
    </row>
    <row r="6214" customFormat="false" ht="15" hidden="false" customHeight="false" outlineLevel="1" collapsed="false">
      <c r="A6214" s="7" t="s">
        <v>91</v>
      </c>
      <c r="B6214" s="8" t="s">
        <v>79</v>
      </c>
      <c r="C6214" s="69" t="n">
        <f aca="false">Pressupostos!$F$23</f>
        <v>30</v>
      </c>
      <c r="D6214" s="69" t="n">
        <f aca="false">Pressupostos!$F$23</f>
        <v>30</v>
      </c>
      <c r="E6214" s="69" t="n">
        <f aca="false">Pressupostos!$F$23</f>
        <v>30</v>
      </c>
      <c r="F6214" s="69" t="n">
        <f aca="false">Pressupostos!$F$23</f>
        <v>30</v>
      </c>
      <c r="G6214" s="69" t="n">
        <f aca="false">Pressupostos!$F$23</f>
        <v>30</v>
      </c>
      <c r="H6214" s="2" t="s">
        <v>1220</v>
      </c>
    </row>
    <row r="6215" customFormat="false" ht="15" hidden="false" customHeight="false" outlineLevel="1" collapsed="false">
      <c r="A6215" s="7" t="s">
        <v>78</v>
      </c>
      <c r="B6215" s="8" t="s">
        <v>79</v>
      </c>
      <c r="C6215" s="69" t="n">
        <f aca="false">Pressupostos!$F$24</f>
        <v>55</v>
      </c>
      <c r="D6215" s="69" t="n">
        <f aca="false">Pressupostos!$F$24</f>
        <v>55</v>
      </c>
      <c r="E6215" s="69" t="n">
        <f aca="false">Pressupostos!$F$24</f>
        <v>55</v>
      </c>
      <c r="F6215" s="69" t="n">
        <f aca="false">Pressupostos!$F$24</f>
        <v>55</v>
      </c>
      <c r="G6215" s="69" t="n">
        <f aca="false">Pressupostos!$F$24</f>
        <v>55</v>
      </c>
      <c r="H6215" s="2" t="s">
        <v>1221</v>
      </c>
    </row>
    <row r="6216" customFormat="false" ht="15" hidden="false" customHeight="false" outlineLevel="1" collapsed="false">
      <c r="A6216" s="7" t="s">
        <v>490</v>
      </c>
      <c r="B6216" s="8" t="s">
        <v>64</v>
      </c>
      <c r="C6216" s="63" t="n">
        <f aca="false">Pressupostos!$C$66*C6214/30/1000</f>
        <v>0.004</v>
      </c>
      <c r="D6216" s="63" t="n">
        <f aca="false">Pressupostos!$C$66*D6214/30/1000</f>
        <v>0.004</v>
      </c>
      <c r="E6216" s="63" t="n">
        <f aca="false">Pressupostos!$C$66*E6214/30/1000</f>
        <v>0.004</v>
      </c>
      <c r="F6216" s="63" t="n">
        <f aca="false">Pressupostos!$C$66*F6214/30/1000</f>
        <v>0.004</v>
      </c>
      <c r="G6216" s="63" t="n">
        <f aca="false">Pressupostos!$C$66*G6214/30/1000</f>
        <v>0.004</v>
      </c>
      <c r="H6216" s="2" t="s">
        <v>1222</v>
      </c>
    </row>
    <row r="6217" customFormat="false" ht="15" hidden="false" customHeight="false" outlineLevel="1" collapsed="false">
      <c r="A6217" s="7" t="s">
        <v>165</v>
      </c>
      <c r="B6217" s="8" t="s">
        <v>64</v>
      </c>
      <c r="C6217" s="63" t="n">
        <f aca="false">C6208*Pressupostos!$C$67*C6214/365</f>
        <v>0.000591780821917808</v>
      </c>
      <c r="D6217" s="63" t="n">
        <f aca="false">D6208*Pressupostos!$C$67*D6214/365</f>
        <v>0.000591780821917808</v>
      </c>
      <c r="E6217" s="63" t="n">
        <f aca="false">E6208*Pressupostos!$C$67*E6214/365</f>
        <v>0.000591780821917808</v>
      </c>
      <c r="F6217" s="63" t="n">
        <f aca="false">F6208*Pressupostos!$C$67*F6214/365</f>
        <v>0.000591780821917808</v>
      </c>
      <c r="G6217" s="63" t="n">
        <f aca="false">G6208*Pressupostos!$C$67*G6214/365</f>
        <v>0.000591780821917808</v>
      </c>
      <c r="H6217" s="2" t="s">
        <v>1223</v>
      </c>
    </row>
    <row r="6218" customFormat="false" ht="15" hidden="false" customHeight="false" outlineLevel="1" collapsed="false">
      <c r="A6218" s="7" t="s">
        <v>672</v>
      </c>
      <c r="B6218" s="8" t="s">
        <v>64</v>
      </c>
      <c r="C6218" s="63" t="n">
        <f aca="false">Pressupostos!$C$48*Pressupostos!$C$68/(Pressupostos!$C$47*1000)</f>
        <v>0.02</v>
      </c>
      <c r="D6218" s="63" t="n">
        <f aca="false">Pressupostos!$C$48*Pressupostos!$C$68/(Pressupostos!$C$47*1000)</f>
        <v>0.02</v>
      </c>
      <c r="E6218" s="63" t="n">
        <f aca="false">Pressupostos!$C$48*Pressupostos!$C$68/(Pressupostos!$C$47*1000)</f>
        <v>0.02</v>
      </c>
      <c r="F6218" s="63" t="n">
        <f aca="false">Pressupostos!$C$48*Pressupostos!$C$68/(Pressupostos!$C$47*1000)</f>
        <v>0.02</v>
      </c>
      <c r="G6218" s="63" t="n">
        <f aca="false">Pressupostos!$C$48*Pressupostos!$C$68/(Pressupostos!$C$47*1000)</f>
        <v>0.02</v>
      </c>
      <c r="H6218" s="2" t="s">
        <v>1224</v>
      </c>
    </row>
    <row r="6219" customFormat="false" ht="15" hidden="false" customHeight="false" outlineLevel="1" collapsed="false">
      <c r="A6219" s="7" t="s">
        <v>492</v>
      </c>
      <c r="B6219" s="8" t="s">
        <v>64</v>
      </c>
      <c r="C6219" s="63" t="n">
        <f aca="false">Pressupostos!$C$69*C6208</f>
        <v>0.018</v>
      </c>
      <c r="D6219" s="63" t="n">
        <f aca="false">Pressupostos!$C$69*D6208</f>
        <v>0.018</v>
      </c>
      <c r="E6219" s="63" t="n">
        <f aca="false">Pressupostos!$C$69*E6208</f>
        <v>0.018</v>
      </c>
      <c r="F6219" s="63" t="n">
        <f aca="false">Pressupostos!$C$69*F6208</f>
        <v>0.018</v>
      </c>
      <c r="G6219" s="63" t="n">
        <f aca="false">Pressupostos!$C$69*G6208</f>
        <v>0.018</v>
      </c>
      <c r="H6219" s="2" t="s">
        <v>1225</v>
      </c>
    </row>
    <row r="6220" customFormat="false" ht="15" hidden="false" customHeight="false" outlineLevel="1" collapsed="false">
      <c r="A6220" s="7" t="s">
        <v>493</v>
      </c>
      <c r="B6220" s="8" t="s">
        <v>64</v>
      </c>
      <c r="C6220" s="63" t="n">
        <f aca="false">Pressupostos!$C$70*Pressupostos!$C$71*C6214/90</f>
        <v>0.003</v>
      </c>
      <c r="D6220" s="63" t="n">
        <f aca="false">Pressupostos!$C$70*Pressupostos!$C$71*D6214/90</f>
        <v>0.003</v>
      </c>
      <c r="E6220" s="63" t="n">
        <f aca="false">Pressupostos!$C$70*Pressupostos!$C$71*E6214/90</f>
        <v>0.003</v>
      </c>
      <c r="F6220" s="63" t="n">
        <f aca="false">Pressupostos!$C$70*Pressupostos!$C$71*F6214/90</f>
        <v>0.003</v>
      </c>
      <c r="G6220" s="63" t="n">
        <f aca="false">Pressupostos!$C$70*Pressupostos!$C$71*G6214/90</f>
        <v>0.003</v>
      </c>
      <c r="H6220" s="2" t="s">
        <v>1226</v>
      </c>
    </row>
    <row r="6221" customFormat="false" ht="15" hidden="false" customHeight="false" outlineLevel="1" collapsed="false">
      <c r="A6221" s="7" t="s">
        <v>673</v>
      </c>
      <c r="B6221" s="8" t="s">
        <v>64</v>
      </c>
      <c r="C6221" s="63" t="n">
        <f aca="false">Pressupostos!$C$49/(Pressupostos!$C$47*1000)</f>
        <v>0.04</v>
      </c>
      <c r="D6221" s="63" t="n">
        <f aca="false">Pressupostos!$C$49/(Pressupostos!$C$47*1000)</f>
        <v>0.04</v>
      </c>
      <c r="E6221" s="63" t="n">
        <f aca="false">Pressupostos!$C$49/(Pressupostos!$C$47*1000)</f>
        <v>0.04</v>
      </c>
      <c r="F6221" s="63" t="n">
        <f aca="false">Pressupostos!$C$49/(Pressupostos!$C$47*1000)</f>
        <v>0.04</v>
      </c>
      <c r="G6221" s="63" t="n">
        <f aca="false">Pressupostos!$C$49/(Pressupostos!$C$47*1000)</f>
        <v>0.04</v>
      </c>
      <c r="H6221" s="2" t="s">
        <v>1227</v>
      </c>
    </row>
    <row r="6222" customFormat="false" ht="15" hidden="false" customHeight="false" outlineLevel="1" collapsed="false">
      <c r="A6222" s="7" t="s">
        <v>139</v>
      </c>
      <c r="B6222" s="8" t="s">
        <v>64</v>
      </c>
      <c r="C6222" s="67" t="n">
        <f aca="false">Pressupostos!$C$50</f>
        <v>0.005</v>
      </c>
      <c r="D6222" s="67" t="n">
        <f aca="false">Pressupostos!$C$50</f>
        <v>0.005</v>
      </c>
      <c r="E6222" s="67" t="n">
        <f aca="false">Pressupostos!$C$50</f>
        <v>0.005</v>
      </c>
      <c r="F6222" s="67" t="n">
        <f aca="false">Pressupostos!$C$50</f>
        <v>0.005</v>
      </c>
      <c r="G6222" s="67" t="n">
        <f aca="false">Pressupostos!$C$50</f>
        <v>0.005</v>
      </c>
      <c r="H6222" s="2" t="s">
        <v>1228</v>
      </c>
    </row>
    <row r="6223" customFormat="false" ht="15" hidden="false" customHeight="false" outlineLevel="1" collapsed="false">
      <c r="A6223" s="7" t="s">
        <v>81</v>
      </c>
      <c r="B6223" s="8" t="s">
        <v>64</v>
      </c>
      <c r="C6223" s="63" t="n">
        <f aca="false">Pressupostos!$F$25*C6210</f>
        <v>0.01365</v>
      </c>
      <c r="D6223" s="63" t="n">
        <f aca="false">Pressupostos!$F$25*D6210</f>
        <v>0.01365</v>
      </c>
      <c r="E6223" s="63" t="n">
        <f aca="false">Pressupostos!$F$25*E6210</f>
        <v>0.01365</v>
      </c>
      <c r="F6223" s="63" t="n">
        <f aca="false">Pressupostos!$F$25*F6210</f>
        <v>0.01365</v>
      </c>
      <c r="G6223" s="63" t="n">
        <f aca="false">Pressupostos!$F$25*G6210</f>
        <v>0.01365</v>
      </c>
      <c r="H6223" s="2" t="s">
        <v>1229</v>
      </c>
    </row>
    <row r="6224" customFormat="false" ht="15" hidden="false" customHeight="false" outlineLevel="1" collapsed="false">
      <c r="A6224" s="7" t="s">
        <v>674</v>
      </c>
      <c r="B6224" s="8" t="s">
        <v>64</v>
      </c>
      <c r="C6224" s="63" t="n">
        <f aca="false">Pressupostos!$C$73*C6210</f>
        <v>0</v>
      </c>
      <c r="D6224" s="63" t="n">
        <f aca="false">Pressupostos!$C$73*D6210</f>
        <v>0</v>
      </c>
      <c r="E6224" s="63" t="n">
        <f aca="false">Pressupostos!$C$73*E6210</f>
        <v>0</v>
      </c>
      <c r="F6224" s="63" t="n">
        <f aca="false">Pressupostos!$C$73*F6210</f>
        <v>0</v>
      </c>
      <c r="G6224" s="63" t="n">
        <f aca="false">Pressupostos!$C$73*G6210</f>
        <v>0</v>
      </c>
      <c r="H6224" s="2" t="s">
        <v>1230</v>
      </c>
    </row>
    <row r="6225" customFormat="false" ht="15" hidden="false" customHeight="false" outlineLevel="1" collapsed="false">
      <c r="A6225" s="7" t="s">
        <v>675</v>
      </c>
      <c r="B6225" s="8" t="s">
        <v>64</v>
      </c>
      <c r="C6225" s="63" t="n">
        <f aca="false">Pressupostos!$C$290*(C6208+C6211)*(C6214+C6215-Pressupostos!$C$72)/365*Pressupostos!$C$284/Pressupostos!$F$31</f>
        <v>0</v>
      </c>
      <c r="D6225" s="63" t="n">
        <f aca="false">Pressupostos!$D$290*(D6208+D6211)*(D6214+D6215-Pressupostos!$C$72)/365*Pressupostos!$D$284/Pressupostos!$F$31</f>
        <v>0.0457705479452055</v>
      </c>
      <c r="E6225" s="63" t="n">
        <f aca="false">Pressupostos!$E$290*(E6208+E6211)*(E6214+E6215-Pressupostos!$C$72)/365*Pressupostos!$E$284/Pressupostos!$F$31</f>
        <v>0.0429098886986301</v>
      </c>
      <c r="F6225" s="63" t="n">
        <f aca="false">Pressupostos!$F$290*(F6208+F6211)*(F6214+F6215-Pressupostos!$C$72)/365*Pressupostos!$F$284/Pressupostos!$F$31</f>
        <v>0.0400492294520548</v>
      </c>
      <c r="G6225" s="63" t="n">
        <f aca="false">Pressupostos!$G$290*(G6208+G6211)*(G6214+G6215-Pressupostos!$C$72)/365*Pressupostos!$G$284/Pressupostos!$F$31</f>
        <v>0.0400492294520548</v>
      </c>
      <c r="H6225" s="2" t="s">
        <v>1231</v>
      </c>
    </row>
    <row r="6226" customFormat="false" ht="15" hidden="false" customHeight="false" outlineLevel="1" collapsed="false">
      <c r="A6226" s="7" t="s">
        <v>676</v>
      </c>
      <c r="B6226" s="8" t="s">
        <v>64</v>
      </c>
      <c r="C6226" s="63" t="n">
        <f aca="false">C6208+C6211+C6212+C6213+C6216+C6217+C6218+C6219+C6220+C6221+C6222+C6223+C6224+C6225</f>
        <v>4.25424178082192</v>
      </c>
      <c r="D6226" s="63" t="n">
        <f aca="false">D6208+D6211+D6212+D6213+D6216+D6217+D6218+D6219+D6220+D6221+D6222+D6223+D6224+D6225</f>
        <v>4.30001232876712</v>
      </c>
      <c r="E6226" s="63" t="n">
        <f aca="false">E6208+E6211+E6212+E6213+E6216+E6217+E6218+E6219+E6220+E6221+E6222+E6223+E6224+E6225</f>
        <v>4.28715166952055</v>
      </c>
      <c r="F6226" s="63" t="n">
        <f aca="false">F6208+F6211+F6212+F6213+F6216+F6217+F6218+F6219+F6220+F6221+F6222+F6223+F6224+F6225</f>
        <v>4.28429101027397</v>
      </c>
      <c r="G6226" s="63" t="n">
        <f aca="false">G6208+G6211+G6212+G6213+G6216+G6217+G6218+G6219+G6220+G6221+G6222+G6223+G6224+G6225</f>
        <v>4.28429101027397</v>
      </c>
      <c r="H6226" s="2" t="s">
        <v>1232</v>
      </c>
    </row>
    <row r="6227" customFormat="false" ht="15" hidden="false" customHeight="false" outlineLevel="1" collapsed="false">
      <c r="A6227" s="56" t="s">
        <v>677</v>
      </c>
      <c r="B6227" s="57" t="s">
        <v>64</v>
      </c>
      <c r="C6227" s="68" t="n">
        <f aca="false">C6210-C6226</f>
        <v>0.295758219178083</v>
      </c>
      <c r="D6227" s="68" t="n">
        <f aca="false">D6210-D6226</f>
        <v>0.249987671232877</v>
      </c>
      <c r="E6227" s="68" t="n">
        <f aca="false">E6210-E6226</f>
        <v>0.262848330479453</v>
      </c>
      <c r="F6227" s="68" t="n">
        <f aca="false">F6210-F6226</f>
        <v>0.265708989726028</v>
      </c>
      <c r="G6227" s="68" t="n">
        <f aca="false">G6210-G6226</f>
        <v>0.265708989726028</v>
      </c>
      <c r="H6227" s="2" t="s">
        <v>1233</v>
      </c>
    </row>
    <row r="6228" customFormat="false" ht="15" hidden="false" customHeight="false" outlineLevel="1" collapsed="false">
      <c r="A6228" s="7" t="s">
        <v>678</v>
      </c>
      <c r="B6228" s="8" t="s">
        <v>76</v>
      </c>
      <c r="C6228" s="59" t="n">
        <f aca="false">IF(C6210&gt;0,C6227/C6210,0)</f>
        <v>0.0650018064127655</v>
      </c>
      <c r="D6228" s="59" t="n">
        <f aca="false">IF(D6210&gt;0,D6227/D6210,0)</f>
        <v>0.0549423453259071</v>
      </c>
      <c r="E6228" s="59" t="n">
        <f aca="false">IF(E6210&gt;0,E6227/E6210,0)</f>
        <v>0.057768863841638</v>
      </c>
      <c r="F6228" s="59" t="n">
        <f aca="false">IF(F6210&gt;0,F6227/F6210,0)</f>
        <v>0.0583975801595667</v>
      </c>
      <c r="G6228" s="59" t="n">
        <f aca="false">IF(G6210&gt;0,G6227/G6210,0)</f>
        <v>0.0583975801595667</v>
      </c>
      <c r="H6228" s="2" t="s">
        <v>1234</v>
      </c>
    </row>
    <row r="6229" customFormat="false" ht="15" hidden="false" customHeight="false" outlineLevel="1" collapsed="false">
      <c r="A6229" s="7" t="s">
        <v>679</v>
      </c>
      <c r="B6229" s="8" t="s">
        <v>64</v>
      </c>
      <c r="C6229" s="63" t="n">
        <f aca="false">(C6208+C6211)*(C6214-Pressupostos!$C$72)/365+C6210*C6215/365</f>
        <v>0.685616438356164</v>
      </c>
      <c r="D6229" s="63" t="n">
        <f aca="false">(D6208+D6211)*(D6214-Pressupostos!$C$72)/365+D6210*D6215/365</f>
        <v>0.685616438356164</v>
      </c>
      <c r="E6229" s="63" t="n">
        <f aca="false">(E6208+E6211)*(E6214-Pressupostos!$C$72)/365+E6210*E6215/365</f>
        <v>0.685616438356164</v>
      </c>
      <c r="F6229" s="63" t="n">
        <f aca="false">(F6208+F6211)*(F6214-Pressupostos!$C$72)/365+F6210*F6215/365</f>
        <v>0.685616438356164</v>
      </c>
      <c r="G6229" s="63" t="n">
        <f aca="false">(G6208+G6211)*(G6214-Pressupostos!$C$72)/365+G6210*G6215/365</f>
        <v>0.685616438356164</v>
      </c>
      <c r="H6229" s="2" t="s">
        <v>1235</v>
      </c>
    </row>
    <row r="6230" customFormat="false" ht="15" hidden="false" customHeight="false" outlineLevel="0" collapsed="false">
      <c r="A6230" s="3" t="s">
        <v>1236</v>
      </c>
      <c r="B6230" s="4"/>
      <c r="C6230" s="4"/>
      <c r="D6230" s="4"/>
      <c r="E6230" s="4"/>
      <c r="F6230" s="4"/>
      <c r="G6230" s="4"/>
      <c r="H6230" s="4"/>
    </row>
    <row r="6231" customFormat="false" ht="15" hidden="false" customHeight="false" outlineLevel="1" collapsed="false">
      <c r="A6231" s="7" t="s">
        <v>669</v>
      </c>
      <c r="B6231" s="8" t="s">
        <v>64</v>
      </c>
      <c r="C6231" s="63" t="n">
        <f aca="false">Pressupostos!$F$10+Pressupostos!$F$13</f>
        <v>3.5</v>
      </c>
      <c r="D6231" s="63" t="n">
        <f aca="false">Pressupostos!$F$10+Pressupostos!$F$13</f>
        <v>3.5</v>
      </c>
      <c r="E6231" s="63" t="n">
        <f aca="false">Pressupostos!$F$10+Pressupostos!$F$13</f>
        <v>3.5</v>
      </c>
      <c r="F6231" s="63" t="n">
        <f aca="false">Pressupostos!$F$10+Pressupostos!$F$13</f>
        <v>3.5</v>
      </c>
      <c r="G6231" s="63" t="n">
        <f aca="false">Pressupostos!$F$10+Pressupostos!$F$13</f>
        <v>3.5</v>
      </c>
      <c r="H6231" s="2" t="s">
        <v>1237</v>
      </c>
    </row>
    <row r="6232" customFormat="false" ht="15" hidden="false" customHeight="false" outlineLevel="1" collapsed="false">
      <c r="A6232" s="7" t="s">
        <v>670</v>
      </c>
      <c r="B6232" s="8" t="s">
        <v>64</v>
      </c>
      <c r="C6232" s="63" t="n">
        <f aca="false">Pressupostos!$F$10+Pressupostos!$C$52</f>
        <v>3.65</v>
      </c>
      <c r="D6232" s="63" t="n">
        <f aca="false">Pressupostos!$F$10+Pressupostos!$C$52</f>
        <v>3.65</v>
      </c>
      <c r="E6232" s="63" t="n">
        <f aca="false">Pressupostos!$F$10+Pressupostos!$C$52</f>
        <v>3.65</v>
      </c>
      <c r="F6232" s="63" t="n">
        <f aca="false">Pressupostos!$F$10+Pressupostos!$C$52</f>
        <v>3.65</v>
      </c>
      <c r="G6232" s="63" t="n">
        <f aca="false">Pressupostos!$F$10+Pressupostos!$C$52</f>
        <v>3.65</v>
      </c>
      <c r="H6232" s="2" t="s">
        <v>1238</v>
      </c>
    </row>
    <row r="6233" customFormat="false" ht="15" hidden="false" customHeight="false" outlineLevel="1" collapsed="false">
      <c r="A6233" s="56" t="s">
        <v>671</v>
      </c>
      <c r="B6233" s="57" t="s">
        <v>64</v>
      </c>
      <c r="C6233" s="68" t="n">
        <f aca="false">C6232*(1-Pressupostos!$C$53)</f>
        <v>3.65</v>
      </c>
      <c r="D6233" s="68" t="n">
        <f aca="false">D6232*(1-Pressupostos!$C$53)</f>
        <v>3.65</v>
      </c>
      <c r="E6233" s="68" t="n">
        <f aca="false">E6232*(1-Pressupostos!$C$53)</f>
        <v>3.65</v>
      </c>
      <c r="F6233" s="68" t="n">
        <f aca="false">F6232*(1-Pressupostos!$C$53)</f>
        <v>3.65</v>
      </c>
      <c r="G6233" s="68" t="n">
        <f aca="false">G6232*(1-Pressupostos!$C$53)</f>
        <v>3.65</v>
      </c>
      <c r="H6233" s="2" t="s">
        <v>1239</v>
      </c>
    </row>
    <row r="6234" customFormat="false" ht="15" hidden="false" customHeight="false" outlineLevel="1" collapsed="false">
      <c r="A6234" s="7" t="s">
        <v>144</v>
      </c>
      <c r="B6234" s="8" t="s">
        <v>64</v>
      </c>
      <c r="C6234" s="67" t="n">
        <f aca="false">Pressupostos!$C$54</f>
        <v>0</v>
      </c>
      <c r="D6234" s="67" t="n">
        <f aca="false">Pressupostos!$C$54</f>
        <v>0</v>
      </c>
      <c r="E6234" s="67" t="n">
        <f aca="false">Pressupostos!$C$54</f>
        <v>0</v>
      </c>
      <c r="F6234" s="67" t="n">
        <f aca="false">Pressupostos!$C$54</f>
        <v>0</v>
      </c>
      <c r="G6234" s="67" t="n">
        <f aca="false">Pressupostos!$C$54</f>
        <v>0</v>
      </c>
      <c r="H6234" s="2" t="s">
        <v>1240</v>
      </c>
    </row>
    <row r="6235" customFormat="false" ht="15" hidden="false" customHeight="false" outlineLevel="1" collapsed="false">
      <c r="A6235" s="7" t="s">
        <v>215</v>
      </c>
      <c r="B6235" s="8" t="s">
        <v>64</v>
      </c>
      <c r="C6235" s="67" t="n">
        <f aca="false">Pressupostos!$C$55</f>
        <v>0.04</v>
      </c>
      <c r="D6235" s="67" t="n">
        <f aca="false">Pressupostos!$C$55</f>
        <v>0.04</v>
      </c>
      <c r="E6235" s="67" t="n">
        <f aca="false">Pressupostos!$C$55</f>
        <v>0.04</v>
      </c>
      <c r="F6235" s="67" t="n">
        <f aca="false">Pressupostos!$C$55</f>
        <v>0.04</v>
      </c>
      <c r="G6235" s="67" t="n">
        <f aca="false">Pressupostos!$C$55</f>
        <v>0.04</v>
      </c>
      <c r="H6235" s="2" t="s">
        <v>1241</v>
      </c>
    </row>
    <row r="6236" customFormat="false" ht="15" hidden="false" customHeight="false" outlineLevel="1" collapsed="false">
      <c r="A6236" s="7" t="s">
        <v>117</v>
      </c>
      <c r="B6236" s="8" t="s">
        <v>64</v>
      </c>
      <c r="C6236" s="67" t="n">
        <f aca="false">Pressupostos!$C$56</f>
        <v>0</v>
      </c>
      <c r="D6236" s="67" t="n">
        <f aca="false">Pressupostos!$C$56</f>
        <v>0</v>
      </c>
      <c r="E6236" s="67" t="n">
        <f aca="false">Pressupostos!$C$56</f>
        <v>0</v>
      </c>
      <c r="F6236" s="67" t="n">
        <f aca="false">Pressupostos!$C$56</f>
        <v>0</v>
      </c>
      <c r="G6236" s="67" t="n">
        <f aca="false">Pressupostos!$C$56</f>
        <v>0</v>
      </c>
      <c r="H6236" s="2" t="s">
        <v>1242</v>
      </c>
    </row>
    <row r="6237" customFormat="false" ht="15" hidden="false" customHeight="false" outlineLevel="1" collapsed="false">
      <c r="A6237" s="7" t="s">
        <v>91</v>
      </c>
      <c r="B6237" s="8" t="s">
        <v>79</v>
      </c>
      <c r="C6237" s="69" t="n">
        <f aca="false">Pressupostos!$C$57</f>
        <v>15</v>
      </c>
      <c r="D6237" s="69" t="n">
        <f aca="false">Pressupostos!$C$57</f>
        <v>15</v>
      </c>
      <c r="E6237" s="69" t="n">
        <f aca="false">Pressupostos!$C$57</f>
        <v>15</v>
      </c>
      <c r="F6237" s="69" t="n">
        <f aca="false">Pressupostos!$C$57</f>
        <v>15</v>
      </c>
      <c r="G6237" s="69" t="n">
        <f aca="false">Pressupostos!$C$57</f>
        <v>15</v>
      </c>
      <c r="H6237" s="2" t="s">
        <v>1243</v>
      </c>
    </row>
    <row r="6238" customFormat="false" ht="15" hidden="false" customHeight="false" outlineLevel="1" collapsed="false">
      <c r="A6238" s="7" t="s">
        <v>78</v>
      </c>
      <c r="B6238" s="8" t="s">
        <v>79</v>
      </c>
      <c r="C6238" s="69" t="n">
        <f aca="false">Pressupostos!$C$58</f>
        <v>45</v>
      </c>
      <c r="D6238" s="69" t="n">
        <f aca="false">Pressupostos!$C$58</f>
        <v>45</v>
      </c>
      <c r="E6238" s="69" t="n">
        <f aca="false">Pressupostos!$C$58</f>
        <v>45</v>
      </c>
      <c r="F6238" s="69" t="n">
        <f aca="false">Pressupostos!$C$58</f>
        <v>45</v>
      </c>
      <c r="G6238" s="69" t="n">
        <f aca="false">Pressupostos!$C$58</f>
        <v>45</v>
      </c>
      <c r="H6238" s="2" t="s">
        <v>1244</v>
      </c>
    </row>
    <row r="6239" customFormat="false" ht="15" hidden="false" customHeight="false" outlineLevel="1" collapsed="false">
      <c r="A6239" s="7" t="s">
        <v>490</v>
      </c>
      <c r="B6239" s="8" t="s">
        <v>64</v>
      </c>
      <c r="C6239" s="63" t="n">
        <f aca="false">Pressupostos!$C$66*C6237/30/1000</f>
        <v>0.002</v>
      </c>
      <c r="D6239" s="63" t="n">
        <f aca="false">Pressupostos!$C$66*D6237/30/1000</f>
        <v>0.002</v>
      </c>
      <c r="E6239" s="63" t="n">
        <f aca="false">Pressupostos!$C$66*E6237/30/1000</f>
        <v>0.002</v>
      </c>
      <c r="F6239" s="63" t="n">
        <f aca="false">Pressupostos!$C$66*F6237/30/1000</f>
        <v>0.002</v>
      </c>
      <c r="G6239" s="63" t="n">
        <f aca="false">Pressupostos!$C$66*G6237/30/1000</f>
        <v>0.002</v>
      </c>
      <c r="H6239" s="2" t="s">
        <v>1245</v>
      </c>
    </row>
    <row r="6240" customFormat="false" ht="15" hidden="false" customHeight="false" outlineLevel="1" collapsed="false">
      <c r="A6240" s="7" t="s">
        <v>165</v>
      </c>
      <c r="B6240" s="8" t="s">
        <v>64</v>
      </c>
      <c r="C6240" s="63" t="n">
        <f aca="false">C6231*Pressupostos!$C$67*C6237/365</f>
        <v>0.000287671232876712</v>
      </c>
      <c r="D6240" s="63" t="n">
        <f aca="false">D6231*Pressupostos!$C$67*D6237/365</f>
        <v>0.000287671232876712</v>
      </c>
      <c r="E6240" s="63" t="n">
        <f aca="false">E6231*Pressupostos!$C$67*E6237/365</f>
        <v>0.000287671232876712</v>
      </c>
      <c r="F6240" s="63" t="n">
        <f aca="false">F6231*Pressupostos!$C$67*F6237/365</f>
        <v>0.000287671232876712</v>
      </c>
      <c r="G6240" s="63" t="n">
        <f aca="false">G6231*Pressupostos!$C$67*G6237/365</f>
        <v>0.000287671232876712</v>
      </c>
      <c r="H6240" s="2" t="s">
        <v>1246</v>
      </c>
    </row>
    <row r="6241" customFormat="false" ht="15" hidden="false" customHeight="false" outlineLevel="1" collapsed="false">
      <c r="A6241" s="7" t="s">
        <v>672</v>
      </c>
      <c r="B6241" s="8" t="s">
        <v>64</v>
      </c>
      <c r="C6241" s="63" t="n">
        <f aca="false">Pressupostos!$C$60*Pressupostos!$C$68/(Pressupostos!$C$59*1000)</f>
        <v>0.006</v>
      </c>
      <c r="D6241" s="63" t="n">
        <f aca="false">Pressupostos!$C$60*Pressupostos!$C$68/(Pressupostos!$C$59*1000)</f>
        <v>0.006</v>
      </c>
      <c r="E6241" s="63" t="n">
        <f aca="false">Pressupostos!$C$60*Pressupostos!$C$68/(Pressupostos!$C$59*1000)</f>
        <v>0.006</v>
      </c>
      <c r="F6241" s="63" t="n">
        <f aca="false">Pressupostos!$C$60*Pressupostos!$C$68/(Pressupostos!$C$59*1000)</f>
        <v>0.006</v>
      </c>
      <c r="G6241" s="63" t="n">
        <f aca="false">Pressupostos!$C$60*Pressupostos!$C$68/(Pressupostos!$C$59*1000)</f>
        <v>0.006</v>
      </c>
      <c r="H6241" s="2" t="s">
        <v>1247</v>
      </c>
    </row>
    <row r="6242" customFormat="false" ht="15" hidden="false" customHeight="false" outlineLevel="1" collapsed="false">
      <c r="A6242" s="7" t="s">
        <v>492</v>
      </c>
      <c r="B6242" s="8" t="s">
        <v>64</v>
      </c>
      <c r="C6242" s="63" t="n">
        <f aca="false">Pressupostos!$C$69*C6231</f>
        <v>0.0175</v>
      </c>
      <c r="D6242" s="63" t="n">
        <f aca="false">Pressupostos!$C$69*D6231</f>
        <v>0.0175</v>
      </c>
      <c r="E6242" s="63" t="n">
        <f aca="false">Pressupostos!$C$69*E6231</f>
        <v>0.0175</v>
      </c>
      <c r="F6242" s="63" t="n">
        <f aca="false">Pressupostos!$C$69*F6231</f>
        <v>0.0175</v>
      </c>
      <c r="G6242" s="63" t="n">
        <f aca="false">Pressupostos!$C$69*G6231</f>
        <v>0.0175</v>
      </c>
      <c r="H6242" s="2" t="s">
        <v>1248</v>
      </c>
    </row>
    <row r="6243" customFormat="false" ht="15" hidden="false" customHeight="false" outlineLevel="1" collapsed="false">
      <c r="A6243" s="7" t="s">
        <v>493</v>
      </c>
      <c r="B6243" s="8" t="s">
        <v>64</v>
      </c>
      <c r="C6243" s="63" t="n">
        <f aca="false">Pressupostos!$C$70*Pressupostos!$C$71*C6237/90</f>
        <v>0.0015</v>
      </c>
      <c r="D6243" s="63" t="n">
        <f aca="false">Pressupostos!$C$70*Pressupostos!$C$71*D6237/90</f>
        <v>0.0015</v>
      </c>
      <c r="E6243" s="63" t="n">
        <f aca="false">Pressupostos!$C$70*Pressupostos!$C$71*E6237/90</f>
        <v>0.0015</v>
      </c>
      <c r="F6243" s="63" t="n">
        <f aca="false">Pressupostos!$C$70*Pressupostos!$C$71*F6237/90</f>
        <v>0.0015</v>
      </c>
      <c r="G6243" s="63" t="n">
        <f aca="false">Pressupostos!$C$70*Pressupostos!$C$71*G6237/90</f>
        <v>0.0015</v>
      </c>
      <c r="H6243" s="2" t="s">
        <v>1249</v>
      </c>
    </row>
    <row r="6244" customFormat="false" ht="15" hidden="false" customHeight="false" outlineLevel="1" collapsed="false">
      <c r="A6244" s="7" t="s">
        <v>673</v>
      </c>
      <c r="B6244" s="8" t="s">
        <v>64</v>
      </c>
      <c r="C6244" s="63" t="n">
        <f aca="false">Pressupostos!$C$61/(Pressupostos!$C$59*1000)</f>
        <v>0.012</v>
      </c>
      <c r="D6244" s="63" t="n">
        <f aca="false">Pressupostos!$C$61/(Pressupostos!$C$59*1000)</f>
        <v>0.012</v>
      </c>
      <c r="E6244" s="63" t="n">
        <f aca="false">Pressupostos!$C$61/(Pressupostos!$C$59*1000)</f>
        <v>0.012</v>
      </c>
      <c r="F6244" s="63" t="n">
        <f aca="false">Pressupostos!$C$61/(Pressupostos!$C$59*1000)</f>
        <v>0.012</v>
      </c>
      <c r="G6244" s="63" t="n">
        <f aca="false">Pressupostos!$C$61/(Pressupostos!$C$59*1000)</f>
        <v>0.012</v>
      </c>
      <c r="H6244" s="2" t="s">
        <v>1250</v>
      </c>
    </row>
    <row r="6245" customFormat="false" ht="15" hidden="false" customHeight="false" outlineLevel="1" collapsed="false">
      <c r="A6245" s="7" t="s">
        <v>139</v>
      </c>
      <c r="B6245" s="8" t="s">
        <v>64</v>
      </c>
      <c r="C6245" s="67" t="n">
        <f aca="false">Pressupostos!$C$62</f>
        <v>0.001</v>
      </c>
      <c r="D6245" s="67" t="n">
        <f aca="false">Pressupostos!$C$62</f>
        <v>0.001</v>
      </c>
      <c r="E6245" s="67" t="n">
        <f aca="false">Pressupostos!$C$62</f>
        <v>0.001</v>
      </c>
      <c r="F6245" s="67" t="n">
        <f aca="false">Pressupostos!$C$62</f>
        <v>0.001</v>
      </c>
      <c r="G6245" s="67" t="n">
        <f aca="false">Pressupostos!$C$62</f>
        <v>0.001</v>
      </c>
      <c r="H6245" s="2" t="s">
        <v>1251</v>
      </c>
    </row>
    <row r="6246" customFormat="false" ht="15" hidden="false" customHeight="false" outlineLevel="1" collapsed="false">
      <c r="A6246" s="7" t="s">
        <v>81</v>
      </c>
      <c r="B6246" s="8" t="s">
        <v>64</v>
      </c>
      <c r="C6246" s="63" t="n">
        <f aca="false">Pressupostos!$C$63*C6233</f>
        <v>0.01095</v>
      </c>
      <c r="D6246" s="63" t="n">
        <f aca="false">Pressupostos!$C$63*D6233</f>
        <v>0.01095</v>
      </c>
      <c r="E6246" s="63" t="n">
        <f aca="false">Pressupostos!$C$63*E6233</f>
        <v>0.01095</v>
      </c>
      <c r="F6246" s="63" t="n">
        <f aca="false">Pressupostos!$C$63*F6233</f>
        <v>0.01095</v>
      </c>
      <c r="G6246" s="63" t="n">
        <f aca="false">Pressupostos!$C$63*G6233</f>
        <v>0.01095</v>
      </c>
      <c r="H6246" s="2" t="s">
        <v>1252</v>
      </c>
    </row>
    <row r="6247" customFormat="false" ht="15" hidden="false" customHeight="false" outlineLevel="1" collapsed="false">
      <c r="A6247" s="7" t="s">
        <v>674</v>
      </c>
      <c r="B6247" s="8" t="s">
        <v>64</v>
      </c>
      <c r="C6247" s="63" t="n">
        <f aca="false">Pressupostos!$C$73*C6233</f>
        <v>0</v>
      </c>
      <c r="D6247" s="63" t="n">
        <f aca="false">Pressupostos!$C$73*D6233</f>
        <v>0</v>
      </c>
      <c r="E6247" s="63" t="n">
        <f aca="false">Pressupostos!$C$73*E6233</f>
        <v>0</v>
      </c>
      <c r="F6247" s="63" t="n">
        <f aca="false">Pressupostos!$C$73*F6233</f>
        <v>0</v>
      </c>
      <c r="G6247" s="63" t="n">
        <f aca="false">Pressupostos!$C$73*G6233</f>
        <v>0</v>
      </c>
      <c r="H6247" s="2" t="s">
        <v>1253</v>
      </c>
    </row>
    <row r="6248" customFormat="false" ht="15" hidden="false" customHeight="false" outlineLevel="1" collapsed="false">
      <c r="A6248" s="7" t="s">
        <v>675</v>
      </c>
      <c r="B6248" s="8" t="s">
        <v>64</v>
      </c>
      <c r="C6248" s="63" t="n">
        <f aca="false">Pressupostos!$C$290*(C6231+C6234)*(C6237+C6238-Pressupostos!$C$72)/365*Pressupostos!$C$284/Pressupostos!$F$31</f>
        <v>0</v>
      </c>
      <c r="D6248" s="63" t="n">
        <f aca="false">Pressupostos!$D$290*(D6231+D6234)*(D6237+D6238-Pressupostos!$C$72)/365*Pressupostos!$D$284/Pressupostos!$F$31</f>
        <v>0.0215753424657534</v>
      </c>
      <c r="E6248" s="63" t="n">
        <f aca="false">Pressupostos!$E$290*(E6231+E6234)*(E6237+E6238-Pressupostos!$C$72)/365*Pressupostos!$E$284/Pressupostos!$F$31</f>
        <v>0.0202268835616438</v>
      </c>
      <c r="F6248" s="63" t="n">
        <f aca="false">Pressupostos!$F$290*(F6231+F6234)*(F6237+F6238-Pressupostos!$C$72)/365*Pressupostos!$F$284/Pressupostos!$F$31</f>
        <v>0.0188784246575342</v>
      </c>
      <c r="G6248" s="63" t="n">
        <f aca="false">Pressupostos!$G$290*(G6231+G6234)*(G6237+G6238-Pressupostos!$C$72)/365*Pressupostos!$G$284/Pressupostos!$F$31</f>
        <v>0.0188784246575342</v>
      </c>
      <c r="H6248" s="2" t="s">
        <v>1254</v>
      </c>
    </row>
    <row r="6249" customFormat="false" ht="15" hidden="false" customHeight="false" outlineLevel="1" collapsed="false">
      <c r="A6249" s="7" t="s">
        <v>676</v>
      </c>
      <c r="B6249" s="8" t="s">
        <v>64</v>
      </c>
      <c r="C6249" s="63" t="n">
        <f aca="false">C6231+C6234+C6235+C6236+C6239+C6240+C6241+C6242+C6243+C6244+C6245+C6246+C6247+C6248</f>
        <v>3.59123767123288</v>
      </c>
      <c r="D6249" s="63" t="n">
        <f aca="false">D6231+D6234+D6235+D6236+D6239+D6240+D6241+D6242+D6243+D6244+D6245+D6246+D6247+D6248</f>
        <v>3.61281301369863</v>
      </c>
      <c r="E6249" s="63" t="n">
        <f aca="false">E6231+E6234+E6235+E6236+E6239+E6240+E6241+E6242+E6243+E6244+E6245+E6246+E6247+E6248</f>
        <v>3.61146455479452</v>
      </c>
      <c r="F6249" s="63" t="n">
        <f aca="false">F6231+F6234+F6235+F6236+F6239+F6240+F6241+F6242+F6243+F6244+F6245+F6246+F6247+F6248</f>
        <v>3.61011609589041</v>
      </c>
      <c r="G6249" s="63" t="n">
        <f aca="false">G6231+G6234+G6235+G6236+G6239+G6240+G6241+G6242+G6243+G6244+G6245+G6246+G6247+G6248</f>
        <v>3.61011609589041</v>
      </c>
      <c r="H6249" s="2" t="s">
        <v>1255</v>
      </c>
    </row>
    <row r="6250" customFormat="false" ht="15" hidden="false" customHeight="false" outlineLevel="1" collapsed="false">
      <c r="A6250" s="56" t="s">
        <v>677</v>
      </c>
      <c r="B6250" s="57" t="s">
        <v>64</v>
      </c>
      <c r="C6250" s="68" t="n">
        <f aca="false">C6233-C6249</f>
        <v>0.058762328767124</v>
      </c>
      <c r="D6250" s="68" t="n">
        <f aca="false">D6233-D6249</f>
        <v>0.0371869863013705</v>
      </c>
      <c r="E6250" s="68" t="n">
        <f aca="false">E6233-E6249</f>
        <v>0.03853544520548</v>
      </c>
      <c r="F6250" s="68" t="n">
        <f aca="false">F6233-F6249</f>
        <v>0.0398839041095895</v>
      </c>
      <c r="G6250" s="68" t="n">
        <f aca="false">G6233-G6249</f>
        <v>0.0398839041095895</v>
      </c>
      <c r="H6250" s="2" t="s">
        <v>1256</v>
      </c>
    </row>
    <row r="6251" customFormat="false" ht="15" hidden="false" customHeight="false" outlineLevel="1" collapsed="false">
      <c r="A6251" s="7" t="s">
        <v>678</v>
      </c>
      <c r="B6251" s="8" t="s">
        <v>76</v>
      </c>
      <c r="C6251" s="59" t="n">
        <f aca="false">IF(C6233&gt;0,C6250/C6233,0)</f>
        <v>0.0160992681553764</v>
      </c>
      <c r="D6251" s="59" t="n">
        <f aca="false">IF(D6233&gt;0,D6250/D6233,0)</f>
        <v>0.010188215425033</v>
      </c>
      <c r="E6251" s="59" t="n">
        <f aca="false">IF(E6233&gt;0,E6250/E6233,0)</f>
        <v>0.0105576562206795</v>
      </c>
      <c r="F6251" s="59" t="n">
        <f aca="false">IF(F6233&gt;0,F6250/F6233,0)</f>
        <v>0.0109270970163259</v>
      </c>
      <c r="G6251" s="59" t="n">
        <f aca="false">IF(G6233&gt;0,G6250/G6233,0)</f>
        <v>0.0109270970163259</v>
      </c>
      <c r="H6251" s="2" t="s">
        <v>1257</v>
      </c>
    </row>
    <row r="6252" customFormat="false" ht="15" hidden="false" customHeight="false" outlineLevel="1" collapsed="false">
      <c r="A6252" s="7" t="s">
        <v>679</v>
      </c>
      <c r="B6252" s="8" t="s">
        <v>64</v>
      </c>
      <c r="C6252" s="63" t="n">
        <f aca="false">(C6231+C6234)*(C6237-Pressupostos!$C$72)/365+C6233*C6238/365</f>
        <v>0.306164383561644</v>
      </c>
      <c r="D6252" s="63" t="n">
        <f aca="false">(D6231+D6234)*(D6237-Pressupostos!$C$72)/365+D6233*D6238/365</f>
        <v>0.306164383561644</v>
      </c>
      <c r="E6252" s="63" t="n">
        <f aca="false">(E6231+E6234)*(E6237-Pressupostos!$C$72)/365+E6233*E6238/365</f>
        <v>0.306164383561644</v>
      </c>
      <c r="F6252" s="63" t="n">
        <f aca="false">(F6231+F6234)*(F6237-Pressupostos!$C$72)/365+F6233*F6238/365</f>
        <v>0.306164383561644</v>
      </c>
      <c r="G6252" s="63" t="n">
        <f aca="false">(G6231+G6234)*(G6237-Pressupostos!$C$72)/365+G6233*G6238/365</f>
        <v>0.306164383561644</v>
      </c>
      <c r="H6252" s="2" t="s">
        <v>1258</v>
      </c>
    </row>
    <row r="6253" customFormat="false" ht="15" hidden="false" customHeight="false" outlineLevel="0" collapsed="false">
      <c r="A6253" s="3" t="s">
        <v>1259</v>
      </c>
      <c r="B6253" s="4"/>
      <c r="C6253" s="4"/>
      <c r="D6253" s="4"/>
      <c r="E6253" s="4"/>
      <c r="F6253" s="4"/>
      <c r="G6253" s="4"/>
      <c r="H6253" s="4"/>
    </row>
    <row r="6254" customFormat="false" ht="15" hidden="false" customHeight="false" outlineLevel="1" collapsed="false">
      <c r="A6254" s="7" t="s">
        <v>683</v>
      </c>
      <c r="B6254" s="8" t="s">
        <v>64</v>
      </c>
      <c r="C6254" s="63" t="n">
        <f aca="false">Pressupostos!$C$64*Pressupostos!$F$10</f>
        <v>0.02625</v>
      </c>
      <c r="D6254" s="63" t="n">
        <f aca="false">Pressupostos!$C$64*Pressupostos!$F$10</f>
        <v>0.02625</v>
      </c>
      <c r="E6254" s="63" t="n">
        <f aca="false">Pressupostos!$C$64*Pressupostos!$F$10</f>
        <v>0.02625</v>
      </c>
      <c r="F6254" s="63" t="n">
        <f aca="false">Pressupostos!$C$64*Pressupostos!$F$10</f>
        <v>0.02625</v>
      </c>
      <c r="G6254" s="63" t="n">
        <f aca="false">Pressupostos!$C$64*Pressupostos!$F$10</f>
        <v>0.02625</v>
      </c>
      <c r="H6254" s="2" t="s">
        <v>1260</v>
      </c>
    </row>
    <row r="6255" customFormat="false" ht="15" hidden="false" customHeight="false" outlineLevel="1" collapsed="false">
      <c r="A6255" s="7" t="s">
        <v>684</v>
      </c>
      <c r="B6255" s="8" t="s">
        <v>64</v>
      </c>
      <c r="C6255" s="63" t="n">
        <f aca="false">C6244+C6241+C6245</f>
        <v>0.019</v>
      </c>
      <c r="D6255" s="63" t="n">
        <f aca="false">D6244+D6241+D6245</f>
        <v>0.019</v>
      </c>
      <c r="E6255" s="63" t="n">
        <f aca="false">E6244+E6241+E6245</f>
        <v>0.019</v>
      </c>
      <c r="F6255" s="63" t="n">
        <f aca="false">F6244+F6241+F6245</f>
        <v>0.019</v>
      </c>
      <c r="G6255" s="63" t="n">
        <f aca="false">G6244+G6241+G6245</f>
        <v>0.019</v>
      </c>
      <c r="H6255" s="2" t="s">
        <v>1261</v>
      </c>
    </row>
    <row r="6256" customFormat="false" ht="15" hidden="false" customHeight="false" outlineLevel="1" collapsed="false">
      <c r="A6256" s="56" t="s">
        <v>561</v>
      </c>
      <c r="B6256" s="57" t="s">
        <v>64</v>
      </c>
      <c r="C6256" s="68" t="n">
        <f aca="false">C6254-C6255</f>
        <v>0.00725</v>
      </c>
      <c r="D6256" s="68" t="n">
        <f aca="false">D6254-D6255</f>
        <v>0.00725</v>
      </c>
      <c r="E6256" s="68" t="n">
        <f aca="false">E6254-E6255</f>
        <v>0.00725</v>
      </c>
      <c r="F6256" s="68" t="n">
        <f aca="false">F6254-F6255</f>
        <v>0.00725</v>
      </c>
      <c r="G6256" s="68" t="n">
        <f aca="false">G6254-G6255</f>
        <v>0.00725</v>
      </c>
      <c r="H6256" s="2" t="s">
        <v>1262</v>
      </c>
    </row>
    <row r="6257" customFormat="false" ht="15" hidden="false" customHeight="false" outlineLevel="0" collapsed="false">
      <c r="A6257" s="3" t="s">
        <v>1263</v>
      </c>
      <c r="B6257" s="4"/>
      <c r="C6257" s="4"/>
      <c r="D6257" s="4"/>
      <c r="E6257" s="4"/>
      <c r="F6257" s="4"/>
      <c r="G6257" s="4"/>
      <c r="H6257" s="4"/>
    </row>
    <row r="6258" customFormat="false" ht="15" hidden="false" customHeight="false" outlineLevel="1" collapsed="false">
      <c r="A6258" s="7" t="s">
        <v>608</v>
      </c>
      <c r="B6258" s="8" t="s">
        <v>11</v>
      </c>
      <c r="C6258" s="61" t="n">
        <f aca="false">C6167*1000*C6187</f>
        <v>57564</v>
      </c>
      <c r="D6258" s="61" t="n">
        <f aca="false">D6167*1000*D6187</f>
        <v>215865</v>
      </c>
      <c r="E6258" s="61" t="n">
        <f aca="false">E6167*1000*E6187</f>
        <v>575640</v>
      </c>
      <c r="F6258" s="61" t="n">
        <f aca="false">F6167*1000*F6187</f>
        <v>1007370</v>
      </c>
      <c r="G6258" s="61" t="n">
        <f aca="false">G6167*1000*G6187</f>
        <v>1439100</v>
      </c>
      <c r="H6258" s="2" t="s">
        <v>1264</v>
      </c>
    </row>
    <row r="6259" customFormat="false" ht="15" hidden="false" customHeight="false" outlineLevel="1" collapsed="false">
      <c r="A6259" s="7" t="s">
        <v>609</v>
      </c>
      <c r="B6259" s="8" t="s">
        <v>11</v>
      </c>
      <c r="C6259" s="61" t="n">
        <f aca="false">C6168*1000*C6210</f>
        <v>307580</v>
      </c>
      <c r="D6259" s="61" t="n">
        <f aca="false">D6168*1000*D6210</f>
        <v>2147145</v>
      </c>
      <c r="E6259" s="61" t="n">
        <f aca="false">E6168*1000*E6210</f>
        <v>4241055</v>
      </c>
      <c r="F6259" s="61" t="n">
        <f aca="false">F6168*1000*F6210</f>
        <v>6997445</v>
      </c>
      <c r="G6259" s="61" t="n">
        <f aca="false">G6168*1000*G6210</f>
        <v>10587850</v>
      </c>
      <c r="H6259" s="2" t="s">
        <v>1265</v>
      </c>
    </row>
    <row r="6260" customFormat="false" ht="15" hidden="false" customHeight="false" outlineLevel="1" collapsed="false">
      <c r="A6260" s="7" t="s">
        <v>610</v>
      </c>
      <c r="B6260" s="8" t="s">
        <v>11</v>
      </c>
      <c r="C6260" s="61" t="n">
        <f aca="false">C6170*1000*C6233</f>
        <v>0</v>
      </c>
      <c r="D6260" s="61" t="n">
        <f aca="false">D6170*1000*D6233</f>
        <v>0</v>
      </c>
      <c r="E6260" s="61" t="n">
        <f aca="false">E6170*1000*E6233</f>
        <v>0</v>
      </c>
      <c r="F6260" s="61" t="n">
        <f aca="false">F6170*1000*F6233</f>
        <v>0</v>
      </c>
      <c r="G6260" s="61" t="n">
        <f aca="false">G6170*1000*G6233</f>
        <v>0</v>
      </c>
      <c r="H6260" s="2" t="s">
        <v>1266</v>
      </c>
    </row>
    <row r="6261" customFormat="false" ht="15" hidden="false" customHeight="false" outlineLevel="1" collapsed="false">
      <c r="A6261" s="7" t="s">
        <v>611</v>
      </c>
      <c r="B6261" s="8" t="s">
        <v>11</v>
      </c>
      <c r="C6261" s="61" t="n">
        <f aca="false">C6258+C6259+C6260</f>
        <v>365144</v>
      </c>
      <c r="D6261" s="61" t="n">
        <f aca="false">D6258+D6259+D6260</f>
        <v>2363010</v>
      </c>
      <c r="E6261" s="61" t="n">
        <f aca="false">E6258+E6259+E6260</f>
        <v>4816695</v>
      </c>
      <c r="F6261" s="61" t="n">
        <f aca="false">F6258+F6259+F6260</f>
        <v>8004815</v>
      </c>
      <c r="G6261" s="61" t="n">
        <f aca="false">G6258+G6259+G6260</f>
        <v>12026950</v>
      </c>
      <c r="H6261" s="2" t="s">
        <v>1267</v>
      </c>
    </row>
    <row r="6262" customFormat="false" ht="15" hidden="false" customHeight="false" outlineLevel="1" collapsed="false">
      <c r="A6262" s="7" t="s">
        <v>612</v>
      </c>
      <c r="B6262" s="8" t="s">
        <v>11</v>
      </c>
      <c r="C6262" s="61" t="n">
        <f aca="false">C6180*1000*Pressupostos!$C$93</f>
        <v>0</v>
      </c>
      <c r="D6262" s="61" t="n">
        <f aca="false">D6180*1000*Pressupostos!$C$93</f>
        <v>0</v>
      </c>
      <c r="E6262" s="61" t="n">
        <f aca="false">E6180*1000*Pressupostos!$C$93</f>
        <v>0</v>
      </c>
      <c r="F6262" s="61" t="n">
        <f aca="false">F6180*1000*Pressupostos!$C$93</f>
        <v>204100</v>
      </c>
      <c r="G6262" s="61" t="n">
        <f aca="false">G6180*1000*Pressupostos!$C$93</f>
        <v>510250</v>
      </c>
      <c r="H6262" s="2" t="s">
        <v>1268</v>
      </c>
    </row>
    <row r="6263" customFormat="false" ht="15" hidden="false" customHeight="false" outlineLevel="1" collapsed="false">
      <c r="A6263" s="2" t="s">
        <v>613</v>
      </c>
      <c r="B6263" s="8" t="s">
        <v>11</v>
      </c>
      <c r="C6263" s="61" t="n">
        <f aca="false">C6178*Pressupostos!$C$80*(1-Pressupostos!$C$81)</f>
        <v>12636</v>
      </c>
      <c r="D6263" s="61" t="n">
        <f aca="false">D6178*Pressupostos!$C$80*(1-Pressupostos!$C$81)</f>
        <v>47385</v>
      </c>
      <c r="E6263" s="61" t="n">
        <f aca="false">E6178*Pressupostos!$C$80*(1-Pressupostos!$C$81)</f>
        <v>126360</v>
      </c>
      <c r="F6263" s="61" t="n">
        <f aca="false">F6178*Pressupostos!$C$80*(1-Pressupostos!$C$81)</f>
        <v>221130</v>
      </c>
      <c r="G6263" s="61" t="n">
        <f aca="false">G6178*Pressupostos!$C$80*(1-Pressupostos!$C$81)</f>
        <v>315900</v>
      </c>
      <c r="H6263" s="2" t="s">
        <v>1269</v>
      </c>
    </row>
    <row r="6264" customFormat="false" ht="15" hidden="false" customHeight="false" outlineLevel="1" collapsed="false">
      <c r="A6264" s="7" t="s">
        <v>614</v>
      </c>
      <c r="B6264" s="8" t="s">
        <v>11</v>
      </c>
      <c r="C6264" s="61" t="n">
        <f aca="false">C6263*Pressupostos!$F$27</f>
        <v>252.72</v>
      </c>
      <c r="D6264" s="61" t="n">
        <f aca="false">D6263*Pressupostos!$F$27</f>
        <v>947.7</v>
      </c>
      <c r="E6264" s="61" t="n">
        <f aca="false">E6263*Pressupostos!$F$27</f>
        <v>2527.2</v>
      </c>
      <c r="F6264" s="61" t="n">
        <f aca="false">F6263*Pressupostos!$F$27</f>
        <v>4422.6</v>
      </c>
      <c r="G6264" s="61" t="n">
        <f aca="false">G6263*Pressupostos!$F$27</f>
        <v>6318</v>
      </c>
      <c r="H6264" s="2" t="s">
        <v>1270</v>
      </c>
    </row>
    <row r="6265" customFormat="false" ht="15" hidden="false" customHeight="false" outlineLevel="1" collapsed="false">
      <c r="A6265" s="7" t="s">
        <v>615</v>
      </c>
      <c r="B6265" s="8" t="s">
        <v>11</v>
      </c>
      <c r="C6265" s="61" t="n">
        <f aca="false">C6171*1000*C6254</f>
        <v>0</v>
      </c>
      <c r="D6265" s="61" t="n">
        <f aca="false">D6171*1000*D6254</f>
        <v>17062.5</v>
      </c>
      <c r="E6265" s="61" t="n">
        <f aca="false">E6171*1000*E6254</f>
        <v>51187.5</v>
      </c>
      <c r="F6265" s="61" t="n">
        <f aca="false">F6171*1000*F6254</f>
        <v>85312.5</v>
      </c>
      <c r="G6265" s="61" t="n">
        <f aca="false">G6171*1000*G6254</f>
        <v>119437.5</v>
      </c>
      <c r="H6265" s="2" t="s">
        <v>1271</v>
      </c>
    </row>
    <row r="6266" customFormat="false" ht="15" hidden="false" customHeight="false" outlineLevel="1" collapsed="false">
      <c r="A6266" s="7" t="s">
        <v>616</v>
      </c>
      <c r="B6266" s="8" t="s">
        <v>11</v>
      </c>
      <c r="C6266" s="61" t="n">
        <f aca="false">C6182*(Pressupostos!$C$101*Pressupostos!$C$102+Pressupostos!$C$103)</f>
        <v>0</v>
      </c>
      <c r="D6266" s="61" t="n">
        <f aca="false">D6182*(Pressupostos!$C$101*Pressupostos!$C$102+Pressupostos!$C$103)</f>
        <v>20000</v>
      </c>
      <c r="E6266" s="61" t="n">
        <f aca="false">E6182*(Pressupostos!$C$101*Pressupostos!$C$102+Pressupostos!$C$103)</f>
        <v>60000</v>
      </c>
      <c r="F6266" s="61" t="n">
        <f aca="false">F6182*(Pressupostos!$C$101*Pressupostos!$C$102+Pressupostos!$C$103)</f>
        <v>120000</v>
      </c>
      <c r="G6266" s="61" t="n">
        <f aca="false">G6182*(Pressupostos!$C$101*Pressupostos!$C$102+Pressupostos!$C$103)</f>
        <v>200000</v>
      </c>
      <c r="H6266" s="2" t="s">
        <v>1272</v>
      </c>
    </row>
    <row r="6267" customFormat="false" ht="15" hidden="false" customHeight="false" outlineLevel="1" collapsed="false">
      <c r="A6267" s="7" t="s">
        <v>617</v>
      </c>
      <c r="B6267" s="8" t="s">
        <v>11</v>
      </c>
      <c r="C6267" s="53" t="n">
        <f aca="false">Pressupostos!$C$277</f>
        <v>0</v>
      </c>
      <c r="D6267" s="53" t="n">
        <f aca="false">Pressupostos!$D$277</f>
        <v>0</v>
      </c>
      <c r="E6267" s="53" t="n">
        <f aca="false">Pressupostos!$E$277</f>
        <v>0</v>
      </c>
      <c r="F6267" s="53" t="n">
        <f aca="false">Pressupostos!$F$277</f>
        <v>10000</v>
      </c>
      <c r="G6267" s="53" t="n">
        <f aca="false">Pressupostos!$G$277</f>
        <v>30000</v>
      </c>
      <c r="H6267" s="2" t="s">
        <v>1273</v>
      </c>
    </row>
    <row r="6268" customFormat="false" ht="15" hidden="false" customHeight="false" outlineLevel="1" collapsed="false">
      <c r="A6268" s="56" t="s">
        <v>618</v>
      </c>
      <c r="B6268" s="57" t="s">
        <v>11</v>
      </c>
      <c r="C6268" s="62" t="n">
        <f aca="false">C6261+C6262+C6264+C6265+C6266+C6267</f>
        <v>365396.72</v>
      </c>
      <c r="D6268" s="62" t="n">
        <f aca="false">D6261+D6262+D6264+D6265+D6266+D6267</f>
        <v>2401020.2</v>
      </c>
      <c r="E6268" s="62" t="n">
        <f aca="false">E6261+E6262+E6264+E6265+E6266+E6267</f>
        <v>4930409.7</v>
      </c>
      <c r="F6268" s="62" t="n">
        <f aca="false">F6261+F6262+F6264+F6265+F6266+F6267</f>
        <v>8428650.1</v>
      </c>
      <c r="G6268" s="62" t="n">
        <f aca="false">G6261+G6262+G6264+G6265+G6266+G6267</f>
        <v>12892955.5</v>
      </c>
      <c r="H6268" s="2" t="s">
        <v>1274</v>
      </c>
    </row>
    <row r="6269" customFormat="false" ht="15" hidden="false" customHeight="false" outlineLevel="0" collapsed="false">
      <c r="A6269" s="3" t="s">
        <v>1275</v>
      </c>
      <c r="B6269" s="4"/>
      <c r="C6269" s="4"/>
      <c r="D6269" s="4"/>
      <c r="E6269" s="4"/>
      <c r="F6269" s="4"/>
      <c r="G6269" s="4"/>
      <c r="H6269" s="4"/>
    </row>
    <row r="6270" customFormat="false" ht="15" hidden="false" customHeight="false" outlineLevel="1" collapsed="false">
      <c r="A6270" s="2" t="s">
        <v>620</v>
      </c>
      <c r="B6270" s="8" t="s">
        <v>11</v>
      </c>
      <c r="C6270" s="61" t="n">
        <f aca="false">C6171*1000*Pressupostos!$F$10</f>
        <v>0</v>
      </c>
      <c r="D6270" s="61" t="n">
        <f aca="false">D6171*1000*Pressupostos!$F$10</f>
        <v>2275000</v>
      </c>
      <c r="E6270" s="61" t="n">
        <f aca="false">E6171*1000*Pressupostos!$F$10</f>
        <v>6825000</v>
      </c>
      <c r="F6270" s="61" t="n">
        <f aca="false">F6171*1000*Pressupostos!$F$10</f>
        <v>11375000</v>
      </c>
      <c r="G6270" s="61" t="n">
        <f aca="false">G6171*1000*Pressupostos!$F$10</f>
        <v>15925000</v>
      </c>
      <c r="H6270" s="2" t="s">
        <v>1276</v>
      </c>
    </row>
    <row r="6271" customFormat="false" ht="15" hidden="false" customHeight="false" outlineLevel="1" collapsed="false">
      <c r="A6271" s="56" t="s">
        <v>621</v>
      </c>
      <c r="B6271" s="57" t="s">
        <v>11</v>
      </c>
      <c r="C6271" s="62" t="n">
        <f aca="false">C6261+C6262+C6263+C6270</f>
        <v>377780</v>
      </c>
      <c r="D6271" s="62" t="n">
        <f aca="false">D6261+D6262+D6263+D6270</f>
        <v>4685395</v>
      </c>
      <c r="E6271" s="62" t="n">
        <f aca="false">E6261+E6262+E6263+E6270</f>
        <v>11768055</v>
      </c>
      <c r="F6271" s="62" t="n">
        <f aca="false">F6261+F6262+F6263+F6270</f>
        <v>19805045</v>
      </c>
      <c r="G6271" s="62" t="n">
        <f aca="false">G6261+G6262+G6263+G6270</f>
        <v>28778100</v>
      </c>
      <c r="H6271" s="2" t="s">
        <v>1277</v>
      </c>
    </row>
    <row r="6272" customFormat="false" ht="15" hidden="false" customHeight="false" outlineLevel="1" collapsed="false">
      <c r="A6272" s="7" t="s">
        <v>622</v>
      </c>
      <c r="B6272" s="8" t="s">
        <v>11</v>
      </c>
      <c r="C6272" s="61" t="n">
        <f aca="false">C6271-C6270-C6260</f>
        <v>377780</v>
      </c>
      <c r="D6272" s="61" t="n">
        <f aca="false">D6271-D6270-D6260</f>
        <v>2410395</v>
      </c>
      <c r="E6272" s="61" t="n">
        <f aca="false">E6271-E6270-E6260</f>
        <v>4943055</v>
      </c>
      <c r="F6272" s="61" t="n">
        <f aca="false">F6271-F6270-F6260</f>
        <v>8430045</v>
      </c>
      <c r="G6272" s="61" t="n">
        <f aca="false">G6271-G6270-G6260</f>
        <v>12853100</v>
      </c>
      <c r="H6272" s="2" t="s">
        <v>1278</v>
      </c>
    </row>
    <row r="6273" customFormat="false" ht="15" hidden="false" customHeight="false" outlineLevel="1" collapsed="false">
      <c r="A6273" s="7" t="s">
        <v>623</v>
      </c>
      <c r="B6273" s="8" t="s">
        <v>11</v>
      </c>
      <c r="C6273" s="61" t="n">
        <f aca="false">C6167*1000*(C6185+C6188)+C6168*1000*(C6208+C6211)+C6170*1000*(C6231+C6234)+C6180*1000*Pressupostos!$C$92</f>
        <v>318552</v>
      </c>
      <c r="D6273" s="61" t="n">
        <f aca="false">D6167*1000*(D6185+D6188)+D6168*1000*(D6208+D6211)+D6170*1000*(D6231+D6234)+D6180*1000*Pressupostos!$C$92</f>
        <v>2079090</v>
      </c>
      <c r="E6273" s="61" t="n">
        <f aca="false">E6167*1000*(E6185+E6188)+E6168*1000*(E6208+E6211)+E6170*1000*(E6231+E6234)+E6180*1000*Pressupostos!$C$92</f>
        <v>4222725</v>
      </c>
      <c r="F6273" s="61" t="n">
        <f aca="false">F6167*1000*(F6185+F6188)+F6168*1000*(F6208+F6211)+F6170*1000*(F6231+F6234)+F6180*1000*Pressupostos!$C$92</f>
        <v>7194005</v>
      </c>
      <c r="G6273" s="61" t="n">
        <f aca="false">G6167*1000*(G6185+G6188)+G6168*1000*(G6208+G6211)+G6170*1000*(G6231+G6234)+G6180*1000*Pressupostos!$C$92</f>
        <v>10998650</v>
      </c>
      <c r="H6273" s="2" t="s">
        <v>1279</v>
      </c>
    </row>
    <row r="6274" customFormat="false" ht="15" hidden="false" customHeight="false" outlineLevel="1" collapsed="false">
      <c r="A6274" s="7" t="s">
        <v>624</v>
      </c>
      <c r="B6274" s="8" t="s">
        <v>11</v>
      </c>
      <c r="C6274" s="61" t="n">
        <f aca="false">C6273*Pressupostos!$C$284</f>
        <v>0</v>
      </c>
      <c r="D6274" s="61" t="n">
        <f aca="false">D6273*Pressupostos!$D$284</f>
        <v>1559317.5</v>
      </c>
      <c r="E6274" s="61" t="n">
        <f aca="false">E6273*Pressupostos!$E$284</f>
        <v>3167043.75</v>
      </c>
      <c r="F6274" s="61" t="n">
        <f aca="false">F6273*Pressupostos!$F$284</f>
        <v>5395503.75</v>
      </c>
      <c r="G6274" s="61" t="n">
        <f aca="false">G6273*Pressupostos!$G$284</f>
        <v>8248987.5</v>
      </c>
      <c r="H6274" s="2" t="s">
        <v>1280</v>
      </c>
    </row>
    <row r="6275" customFormat="false" ht="15" hidden="false" customHeight="false" outlineLevel="0" collapsed="false">
      <c r="A6275" s="3" t="s">
        <v>1281</v>
      </c>
      <c r="B6275" s="4"/>
      <c r="C6275" s="4"/>
      <c r="D6275" s="4"/>
      <c r="E6275" s="4"/>
      <c r="F6275" s="4"/>
      <c r="G6275" s="4"/>
      <c r="H6275" s="4"/>
    </row>
    <row r="6276" customFormat="false" ht="15" hidden="false" customHeight="false" outlineLevel="1" collapsed="false">
      <c r="A6276" s="7" t="s">
        <v>626</v>
      </c>
      <c r="B6276" s="8" t="s">
        <v>11</v>
      </c>
      <c r="C6276" s="61" t="n">
        <f aca="false">C6167*1000*C6204</f>
        <v>6435.97500000002</v>
      </c>
      <c r="D6276" s="61" t="n">
        <f aca="false">D6167*1000*D6204</f>
        <v>17752.5963184932</v>
      </c>
      <c r="E6276" s="61" t="n">
        <f aca="false">E6167*1000*E6204</f>
        <v>65825.0984246576</v>
      </c>
      <c r="F6276" s="61" t="n">
        <f aca="false">F6167*1000*F6204</f>
        <v>117562.532260274</v>
      </c>
      <c r="G6276" s="61" t="n">
        <f aca="false">G6167*1000*G6204</f>
        <v>167946.474657534</v>
      </c>
      <c r="H6276" s="2" t="s">
        <v>1282</v>
      </c>
    </row>
    <row r="6277" customFormat="false" ht="15" hidden="false" customHeight="false" outlineLevel="1" collapsed="false">
      <c r="A6277" s="7" t="s">
        <v>627</v>
      </c>
      <c r="B6277" s="8" t="s">
        <v>11</v>
      </c>
      <c r="C6277" s="61" t="n">
        <f aca="false">C6168*1000*C6227</f>
        <v>19993.2556164384</v>
      </c>
      <c r="D6277" s="61" t="n">
        <f aca="false">D6168*1000*D6227</f>
        <v>117969.182054795</v>
      </c>
      <c r="E6277" s="61" t="n">
        <f aca="false">E6168*1000*E6227</f>
        <v>245000.928839898</v>
      </c>
      <c r="F6277" s="61" t="n">
        <f aca="false">F6168*1000*F6227</f>
        <v>408633.855299659</v>
      </c>
      <c r="G6277" s="61" t="n">
        <f aca="false">G6168*1000*G6227</f>
        <v>618304.819092468</v>
      </c>
      <c r="H6277" s="2" t="s">
        <v>1283</v>
      </c>
    </row>
    <row r="6278" customFormat="false" ht="15" hidden="false" customHeight="false" outlineLevel="1" collapsed="false">
      <c r="A6278" s="7" t="s">
        <v>628</v>
      </c>
      <c r="B6278" s="8" t="s">
        <v>11</v>
      </c>
      <c r="C6278" s="61" t="n">
        <f aca="false">C6170*1000*C6250+C6171*1000*C6256</f>
        <v>0</v>
      </c>
      <c r="D6278" s="61" t="n">
        <f aca="false">D6170*1000*D6250+D6171*1000*D6256</f>
        <v>4712.5</v>
      </c>
      <c r="E6278" s="61" t="n">
        <f aca="false">E6170*1000*E6250+E6171*1000*E6256</f>
        <v>14137.5</v>
      </c>
      <c r="F6278" s="61" t="n">
        <f aca="false">F6170*1000*F6250+F6171*1000*F6256</f>
        <v>23562.5</v>
      </c>
      <c r="G6278" s="61" t="n">
        <f aca="false">G6170*1000*G6250+G6171*1000*G6256</f>
        <v>32987.5</v>
      </c>
      <c r="H6278" s="2" t="s">
        <v>1284</v>
      </c>
    </row>
    <row r="6279" customFormat="false" ht="15" hidden="false" customHeight="false" outlineLevel="1" collapsed="false">
      <c r="A6279" s="7" t="s">
        <v>629</v>
      </c>
      <c r="B6279" s="8" t="s">
        <v>11</v>
      </c>
      <c r="C6279" s="61" t="n">
        <f aca="false">C6276+C6277+C6278</f>
        <v>26429.2306164384</v>
      </c>
      <c r="D6279" s="61" t="n">
        <f aca="false">D6276+D6277+D6278</f>
        <v>140434.278373288</v>
      </c>
      <c r="E6279" s="61" t="n">
        <f aca="false">E6276+E6277+E6278</f>
        <v>324963.527264555</v>
      </c>
      <c r="F6279" s="61" t="n">
        <f aca="false">F6276+F6277+F6278</f>
        <v>549758.887559933</v>
      </c>
      <c r="G6279" s="61" t="n">
        <f aca="false">G6276+G6277+G6278</f>
        <v>819238.793750002</v>
      </c>
      <c r="H6279" s="2" t="s">
        <v>1285</v>
      </c>
    </row>
    <row r="6280" customFormat="false" ht="15" hidden="false" customHeight="false" outlineLevel="1" collapsed="false">
      <c r="A6280" s="7" t="s">
        <v>630</v>
      </c>
      <c r="B6280" s="8" t="s">
        <v>64</v>
      </c>
      <c r="C6280" s="63" t="n">
        <f aca="false">IF(C6172&gt;0,C6279/(C6172*1000),0)</f>
        <v>0.337710587994358</v>
      </c>
      <c r="D6280" s="63" t="n">
        <f aca="false">IF(D6172&gt;0,D6279/(D6172*1000),0)</f>
        <v>0.120868663473513</v>
      </c>
      <c r="E6280" s="63" t="n">
        <f aca="false">IF(E6172&gt;0,E6279/(E6172*1000),0)</f>
        <v>0.108730728164271</v>
      </c>
      <c r="F6280" s="63" t="n">
        <f aca="false">IF(F6172&gt;0,F6279/(F6172*1000),0)</f>
        <v>0.110516516913414</v>
      </c>
      <c r="G6280" s="63" t="n">
        <f aca="false">IF(G6172&gt;0,G6279/(G6172*1000),0)</f>
        <v>0.114683109645132</v>
      </c>
      <c r="H6280" s="2" t="s">
        <v>1286</v>
      </c>
    </row>
    <row r="6281" customFormat="false" ht="15" hidden="false" customHeight="false" outlineLevel="1" collapsed="false">
      <c r="A6281" s="7" t="s">
        <v>631</v>
      </c>
      <c r="B6281" s="8" t="s">
        <v>76</v>
      </c>
      <c r="C6281" s="59" t="n">
        <f aca="false">IF(C6261&gt;0,C6279/C6261,0)</f>
        <v>0.0723802954901037</v>
      </c>
      <c r="D6281" s="59" t="n">
        <f aca="false">IF(D6261&gt;0,D6279/D6261,0)</f>
        <v>0.0594302514053212</v>
      </c>
      <c r="E6281" s="59" t="n">
        <f aca="false">IF(E6261&gt;0,E6279/E6261,0)</f>
        <v>0.0674660793894061</v>
      </c>
      <c r="F6281" s="59" t="n">
        <f aca="false">IF(F6261&gt;0,F6279/F6261,0)</f>
        <v>0.0686785250577225</v>
      </c>
      <c r="G6281" s="59" t="n">
        <f aca="false">IF(G6261&gt;0,G6279/G6261,0)</f>
        <v>0.0681169202291522</v>
      </c>
      <c r="H6281" s="2" t="s">
        <v>1287</v>
      </c>
    </row>
    <row r="6282" customFormat="false" ht="15" hidden="false" customHeight="false" outlineLevel="1" collapsed="false">
      <c r="A6282" s="2" t="s">
        <v>632</v>
      </c>
      <c r="B6282" s="8" t="s">
        <v>64</v>
      </c>
      <c r="C6282" s="63" t="n">
        <f aca="false">Pressupostos!$C$290*Pressupostos!$C$92*(Pressupostos!$C$95+Pressupostos!$C$96-Pressupostos!$C$97)/365*Pressupostos!$C$284/Pressupostos!$F$31</f>
        <v>0</v>
      </c>
      <c r="D6282" s="63" t="n">
        <f aca="false">Pressupostos!$D$290*Pressupostos!$C$92*(Pressupostos!$C$95+Pressupostos!$C$96-Pressupostos!$C$97)/365*Pressupostos!$D$284/Pressupostos!$F$31</f>
        <v>0.0647260273972603</v>
      </c>
      <c r="E6282" s="63" t="n">
        <f aca="false">Pressupostos!$E$290*Pressupostos!$C$92*(Pressupostos!$C$95+Pressupostos!$C$96-Pressupostos!$C$97)/365*Pressupostos!$E$284/Pressupostos!$F$31</f>
        <v>0.0606806506849315</v>
      </c>
      <c r="F6282" s="63" t="n">
        <f aca="false">Pressupostos!$F$290*Pressupostos!$C$92*(Pressupostos!$C$95+Pressupostos!$C$96-Pressupostos!$C$97)/365*Pressupostos!$F$284/Pressupostos!$F$31</f>
        <v>0.0566352739726028</v>
      </c>
      <c r="G6282" s="63" t="n">
        <f aca="false">Pressupostos!$G$290*Pressupostos!$C$92*(Pressupostos!$C$95+Pressupostos!$C$96-Pressupostos!$C$97)/365*Pressupostos!$G$284/Pressupostos!$F$31</f>
        <v>0.0566352739726028</v>
      </c>
      <c r="H6282" s="2" t="s">
        <v>1288</v>
      </c>
    </row>
    <row r="6283" customFormat="false" ht="15" hidden="false" customHeight="false" outlineLevel="1" collapsed="false">
      <c r="A6283" s="7" t="s">
        <v>600</v>
      </c>
      <c r="B6283" s="8" t="s">
        <v>11</v>
      </c>
      <c r="C6283" s="61" t="n">
        <f aca="false">C6180*1000*(Pressupostos!$C$93-Pressupostos!$C$92-Pressupostos!$C$94-C6282-Pressupostos!$C$98*Pressupostos!$C$93-Pressupostos!$C$99-Pressupostos!$F$29*Pressupostos!$C$92)</f>
        <v>0</v>
      </c>
      <c r="D6283" s="61" t="n">
        <f aca="false">D6180*1000*(Pressupostos!$C$93-Pressupostos!$C$92-Pressupostos!$C$94-D6282-Pressupostos!$C$98*Pressupostos!$C$93-Pressupostos!$C$99-Pressupostos!$F$29*Pressupostos!$C$92)</f>
        <v>0</v>
      </c>
      <c r="E6283" s="61" t="n">
        <f aca="false">E6180*1000*(Pressupostos!$C$93-Pressupostos!$C$92-Pressupostos!$C$94-E6282-Pressupostos!$C$98*Pressupostos!$C$93-Pressupostos!$C$99-Pressupostos!$F$29*Pressupostos!$C$92)</f>
        <v>0</v>
      </c>
      <c r="F6283" s="61" t="n">
        <f aca="false">F6180*1000*(Pressupostos!$C$93-Pressupostos!$C$92-Pressupostos!$C$94-F6282-Pressupostos!$C$98*Pressupostos!$C$93-Pressupostos!$C$99-Pressupostos!$F$29*Pressupostos!$C$92)</f>
        <v>14176.8828767123</v>
      </c>
      <c r="G6283" s="61" t="n">
        <f aca="false">G6180*1000*(Pressupostos!$C$93-Pressupostos!$C$92-Pressupostos!$C$94-G6282-Pressupostos!$C$98*Pressupostos!$C$93-Pressupostos!$C$99-Pressupostos!$F$29*Pressupostos!$C$92)</f>
        <v>35442.2071917808</v>
      </c>
      <c r="H6283" s="2" t="s">
        <v>1289</v>
      </c>
    </row>
    <row r="6284" customFormat="false" ht="15" hidden="false" customHeight="false" outlineLevel="1" collapsed="false">
      <c r="A6284" s="7" t="s">
        <v>633</v>
      </c>
      <c r="B6284" s="8" t="s">
        <v>11</v>
      </c>
      <c r="C6284" s="61" t="n">
        <f aca="false">C6264</f>
        <v>252.72</v>
      </c>
      <c r="D6284" s="61" t="n">
        <f aca="false">D6264</f>
        <v>947.7</v>
      </c>
      <c r="E6284" s="61" t="n">
        <f aca="false">E6264</f>
        <v>2527.2</v>
      </c>
      <c r="F6284" s="61" t="n">
        <f aca="false">F6264</f>
        <v>4422.6</v>
      </c>
      <c r="G6284" s="61" t="n">
        <f aca="false">G6264</f>
        <v>6318</v>
      </c>
      <c r="H6284" s="2" t="s">
        <v>1290</v>
      </c>
    </row>
    <row r="6285" customFormat="false" ht="15" hidden="false" customHeight="false" outlineLevel="1" collapsed="false">
      <c r="A6285" s="7" t="s">
        <v>634</v>
      </c>
      <c r="B6285" s="8" t="s">
        <v>11</v>
      </c>
      <c r="C6285" s="61" t="n">
        <f aca="false">C6266-C6300</f>
        <v>0</v>
      </c>
      <c r="D6285" s="61" t="n">
        <f aca="false">D6266-D6300</f>
        <v>20000</v>
      </c>
      <c r="E6285" s="61" t="n">
        <f aca="false">E6266-E6300</f>
        <v>60000</v>
      </c>
      <c r="F6285" s="61" t="n">
        <f aca="false">F6266-F6300</f>
        <v>120000</v>
      </c>
      <c r="G6285" s="61" t="n">
        <f aca="false">G6266-G6300</f>
        <v>200000</v>
      </c>
      <c r="H6285" s="2" t="s">
        <v>1291</v>
      </c>
    </row>
    <row r="6286" customFormat="false" ht="15" hidden="false" customHeight="false" outlineLevel="1" collapsed="false">
      <c r="A6286" s="7" t="s">
        <v>617</v>
      </c>
      <c r="B6286" s="8" t="s">
        <v>11</v>
      </c>
      <c r="C6286" s="61" t="n">
        <f aca="false">C6267</f>
        <v>0</v>
      </c>
      <c r="D6286" s="61" t="n">
        <f aca="false">D6267</f>
        <v>0</v>
      </c>
      <c r="E6286" s="61" t="n">
        <f aca="false">E6267</f>
        <v>0</v>
      </c>
      <c r="F6286" s="61" t="n">
        <f aca="false">F6267</f>
        <v>10000</v>
      </c>
      <c r="G6286" s="61" t="n">
        <f aca="false">G6267</f>
        <v>30000</v>
      </c>
      <c r="H6286" s="2" t="s">
        <v>1292</v>
      </c>
    </row>
    <row r="6287" customFormat="false" ht="15" hidden="false" customHeight="false" outlineLevel="1" collapsed="false">
      <c r="A6287" s="56" t="s">
        <v>635</v>
      </c>
      <c r="B6287" s="57" t="s">
        <v>11</v>
      </c>
      <c r="C6287" s="62" t="n">
        <f aca="false">C6279+C6283+C6284+C6285+C6286</f>
        <v>26681.9506164384</v>
      </c>
      <c r="D6287" s="62" t="n">
        <f aca="false">D6279+D6283+D6284+D6285+D6286</f>
        <v>161381.978373288</v>
      </c>
      <c r="E6287" s="62" t="n">
        <f aca="false">E6279+E6283+E6284+E6285+E6286</f>
        <v>387490.727264555</v>
      </c>
      <c r="F6287" s="62" t="n">
        <f aca="false">F6279+F6283+F6284+F6285+F6286</f>
        <v>698358.370436645</v>
      </c>
      <c r="G6287" s="62" t="n">
        <f aca="false">G6279+G6283+G6284+G6285+G6286</f>
        <v>1090999.00094178</v>
      </c>
      <c r="H6287" s="2" t="s">
        <v>1293</v>
      </c>
    </row>
    <row r="6288" customFormat="false" ht="15" hidden="false" customHeight="false" outlineLevel="0" collapsed="false">
      <c r="A6288" s="3" t="s">
        <v>1294</v>
      </c>
      <c r="B6288" s="4"/>
      <c r="C6288" s="4"/>
      <c r="D6288" s="4"/>
      <c r="E6288" s="4"/>
      <c r="F6288" s="4"/>
      <c r="G6288" s="4"/>
      <c r="H6288" s="4"/>
    </row>
    <row r="6289" customFormat="false" ht="15" hidden="false" customHeight="false" outlineLevel="1" collapsed="false">
      <c r="A6289" s="7" t="s">
        <v>686</v>
      </c>
      <c r="B6289" s="8" t="s">
        <v>11</v>
      </c>
      <c r="C6289" s="61" t="n">
        <f aca="false">C6167*1000*(C6185+C6188)+C6168*1000*(C6208+C6211)+C6170*1000*(C6231+C6234)</f>
        <v>318552</v>
      </c>
      <c r="D6289" s="61" t="n">
        <f aca="false">D6167*1000*(D6185+D6188)+D6168*1000*(D6208+D6211)+D6170*1000*(D6231+D6234)</f>
        <v>2079090</v>
      </c>
      <c r="E6289" s="61" t="n">
        <f aca="false">E6167*1000*(E6185+E6188)+E6168*1000*(E6208+E6211)+E6170*1000*(E6231+E6234)</f>
        <v>4222725</v>
      </c>
      <c r="F6289" s="61" t="n">
        <f aca="false">F6167*1000*(F6185+F6188)+F6168*1000*(F6208+F6211)+F6170*1000*(F6231+F6234)</f>
        <v>7012005</v>
      </c>
      <c r="G6289" s="61" t="n">
        <f aca="false">G6167*1000*(G6185+G6188)+G6168*1000*(G6208+G6211)+G6170*1000*(G6231+G6234)</f>
        <v>10543650</v>
      </c>
      <c r="H6289" s="2" t="s">
        <v>1295</v>
      </c>
    </row>
    <row r="6290" customFormat="false" ht="15" hidden="false" customHeight="false" outlineLevel="1" collapsed="false">
      <c r="A6290" s="7" t="s">
        <v>687</v>
      </c>
      <c r="B6290" s="8" t="s">
        <v>11</v>
      </c>
      <c r="C6290" s="61" t="n">
        <f aca="false">C6180*1000*Pressupostos!$C$92</f>
        <v>0</v>
      </c>
      <c r="D6290" s="61" t="n">
        <f aca="false">D6180*1000*Pressupostos!$C$92</f>
        <v>0</v>
      </c>
      <c r="E6290" s="61" t="n">
        <f aca="false">E6180*1000*Pressupostos!$C$92</f>
        <v>0</v>
      </c>
      <c r="F6290" s="61" t="n">
        <f aca="false">F6180*1000*Pressupostos!$C$92</f>
        <v>182000</v>
      </c>
      <c r="G6290" s="61" t="n">
        <f aca="false">G6180*1000*Pressupostos!$C$92</f>
        <v>455000</v>
      </c>
      <c r="H6290" s="2" t="s">
        <v>1296</v>
      </c>
    </row>
    <row r="6291" customFormat="false" ht="15" hidden="false" customHeight="false" outlineLevel="1" collapsed="false">
      <c r="A6291" s="7" t="s">
        <v>688</v>
      </c>
      <c r="B6291" s="8" t="s">
        <v>11</v>
      </c>
      <c r="C6291" s="61" t="n">
        <f aca="false">C6289+C6290</f>
        <v>318552</v>
      </c>
      <c r="D6291" s="61" t="n">
        <f aca="false">D6289+D6290</f>
        <v>2079090</v>
      </c>
      <c r="E6291" s="61" t="n">
        <f aca="false">E6289+E6290</f>
        <v>4222725</v>
      </c>
      <c r="F6291" s="61" t="n">
        <f aca="false">F6289+F6290</f>
        <v>7194005</v>
      </c>
      <c r="G6291" s="61" t="n">
        <f aca="false">G6289+G6290</f>
        <v>10998650</v>
      </c>
      <c r="H6291" s="2" t="s">
        <v>1297</v>
      </c>
    </row>
    <row r="6292" customFormat="false" ht="15" hidden="false" customHeight="false" outlineLevel="1" collapsed="false">
      <c r="A6292" s="7" t="s">
        <v>215</v>
      </c>
      <c r="B6292" s="8" t="s">
        <v>11</v>
      </c>
      <c r="C6292" s="61" t="n">
        <f aca="false">C6167*1000*(C6189)+C6168*1000*(C6212)+C6170*1000*(C6235)+C6180*1000*Pressupostos!$C$94</f>
        <v>9958</v>
      </c>
      <c r="D6292" s="61" t="n">
        <f aca="false">D6167*1000*(D6189)+D6168*1000*(D6212)+D6170*1000*(D6235)+D6180*1000*Pressupostos!$C$94</f>
        <v>59182.5</v>
      </c>
      <c r="E6292" s="61" t="n">
        <f aca="false">E6167*1000*(E6189)+E6168*1000*(E6212)+E6170*1000*(E6235)+E6180*1000*Pressupostos!$C$94</f>
        <v>113737</v>
      </c>
      <c r="F6292" s="61" t="n">
        <f aca="false">F6167*1000*(F6189)+F6168*1000*(F6212)+F6170*1000*(F6235)+F6180*1000*Pressupostos!$C$94</f>
        <v>192679.5</v>
      </c>
      <c r="G6292" s="61" t="n">
        <f aca="false">G6167*1000*(G6189)+G6168*1000*(G6212)+G6170*1000*(G6235)+G6180*1000*Pressupostos!$C$94</f>
        <v>291135</v>
      </c>
      <c r="H6292" s="2" t="s">
        <v>1298</v>
      </c>
    </row>
    <row r="6293" customFormat="false" ht="15" hidden="false" customHeight="false" outlineLevel="1" collapsed="false">
      <c r="A6293" s="7" t="s">
        <v>117</v>
      </c>
      <c r="B6293" s="8" t="s">
        <v>11</v>
      </c>
      <c r="C6293" s="61" t="n">
        <f aca="false">C6167*1000*(C6190)+C6168*1000*(C6213)+C6170*1000*(C6236)</f>
        <v>639.6</v>
      </c>
      <c r="D6293" s="61" t="n">
        <f aca="false">D6167*1000*(D6190)+D6168*1000*(D6213)+D6170*1000*(D6236)</f>
        <v>2398.5</v>
      </c>
      <c r="E6293" s="61" t="n">
        <f aca="false">E6167*1000*(E6190)+E6168*1000*(E6213)+E6170*1000*(E6236)</f>
        <v>6396</v>
      </c>
      <c r="F6293" s="61" t="n">
        <f aca="false">F6167*1000*(F6190)+F6168*1000*(F6213)+F6170*1000*(F6236)</f>
        <v>11193</v>
      </c>
      <c r="G6293" s="61" t="n">
        <f aca="false">G6167*1000*(G6190)+G6168*1000*(G6213)+G6170*1000*(G6236)</f>
        <v>15990</v>
      </c>
      <c r="H6293" s="2" t="s">
        <v>1299</v>
      </c>
    </row>
    <row r="6294" customFormat="false" ht="15" hidden="false" customHeight="false" outlineLevel="1" collapsed="false">
      <c r="A6294" s="7" t="s">
        <v>689</v>
      </c>
      <c r="B6294" s="8" t="s">
        <v>11</v>
      </c>
      <c r="C6294" s="61" t="n">
        <f aca="false">C6167*1000*(C6193+C6194)+C6168*1000*(C6216+C6217)+C6170*1000*(C6239+C6240)</f>
        <v>604.620383561644</v>
      </c>
      <c r="D6294" s="61" t="n">
        <f aca="false">D6167*1000*(D6193+D6194)+D6168*1000*(D6216+D6217)+D6170*1000*(D6239+D6240)</f>
        <v>3270.17136986301</v>
      </c>
      <c r="E6294" s="61" t="n">
        <f aca="false">E6167*1000*(E6193+E6194)+E6168*1000*(E6216+E6217)+E6170*1000*(E6239+E6240)</f>
        <v>5015.53890410959</v>
      </c>
      <c r="F6294" s="61" t="n">
        <f aca="false">F6167*1000*(F6193+F6194)+F6168*1000*(F6216+F6217)+F6170*1000*(F6239+F6240)</f>
        <v>8348.8947260274</v>
      </c>
      <c r="G6294" s="61" t="n">
        <f aca="false">G6167*1000*(G6193+G6194)+G6168*1000*(G6216+G6217)+G6170*1000*(G6239+G6240)</f>
        <v>12523.9239726027</v>
      </c>
      <c r="H6294" s="2" t="s">
        <v>1300</v>
      </c>
    </row>
    <row r="6295" customFormat="false" ht="15" hidden="false" customHeight="false" outlineLevel="1" collapsed="false">
      <c r="A6295" s="7" t="s">
        <v>690</v>
      </c>
      <c r="B6295" s="8" t="s">
        <v>11</v>
      </c>
      <c r="C6295" s="61" t="n">
        <f aca="false">C6167*1000*(C6195+C6196+C6197)+C6168*1000*(C6218+C6219+C6220)+C6170*1000*(C6241+C6242+C6243)</f>
        <v>3477.825</v>
      </c>
      <c r="D6295" s="61" t="n">
        <f aca="false">D6167*1000*(D6195+D6196+D6197)+D6168*1000*(D6218+D6219+D6220)+D6170*1000*(D6241+D6242+D6243)</f>
        <v>21996.24375</v>
      </c>
      <c r="E6295" s="61" t="n">
        <f aca="false">E6167*1000*(E6195+E6196+E6197)+E6168*1000*(E6218+E6219+E6220)+E6170*1000*(E6241+E6242+E6243)</f>
        <v>43839.25</v>
      </c>
      <c r="F6295" s="61" t="n">
        <f aca="false">F6167*1000*(F6195+F6196+F6197)+F6168*1000*(F6218+F6219+F6220)+F6170*1000*(F6241+F6242+F6243)</f>
        <v>72894.4125</v>
      </c>
      <c r="G6295" s="61" t="n">
        <f aca="false">G6167*1000*(G6195+G6196+G6197)+G6168*1000*(G6218+G6219+G6220)+G6170*1000*(G6241+G6242+G6243)</f>
        <v>109464.875</v>
      </c>
      <c r="H6295" s="2" t="s">
        <v>1301</v>
      </c>
    </row>
    <row r="6296" customFormat="false" ht="15" hidden="false" customHeight="false" outlineLevel="1" collapsed="false">
      <c r="A6296" s="7" t="s">
        <v>673</v>
      </c>
      <c r="B6296" s="8" t="s">
        <v>11</v>
      </c>
      <c r="C6296" s="61" t="n">
        <f aca="false">C6167*1000*(C6198)+C6168*1000*(C6221)+C6170*1000*(C6244)</f>
        <v>3770</v>
      </c>
      <c r="D6296" s="61" t="n">
        <f aca="false">D6167*1000*(D6198)+D6168*1000*(D6221)+D6170*1000*(D6244)</f>
        <v>22873.5</v>
      </c>
      <c r="E6296" s="61" t="n">
        <f aca="false">E6167*1000*(E6198)+E6168*1000*(E6221)+E6170*1000*(E6244)</f>
        <v>47944</v>
      </c>
      <c r="F6296" s="61" t="n">
        <f aca="false">F6167*1000*(F6198)+F6168*1000*(F6221)+F6170*1000*(F6244)</f>
        <v>80171</v>
      </c>
      <c r="G6296" s="61" t="n">
        <f aca="false">G6167*1000*(G6198)+G6168*1000*(G6221)+G6170*1000*(G6244)</f>
        <v>119730</v>
      </c>
      <c r="H6296" s="2" t="s">
        <v>1302</v>
      </c>
    </row>
    <row r="6297" customFormat="false" ht="15" hidden="false" customHeight="false" outlineLevel="1" collapsed="false">
      <c r="A6297" s="7" t="s">
        <v>691</v>
      </c>
      <c r="B6297" s="8" t="s">
        <v>11</v>
      </c>
      <c r="C6297" s="61" t="n">
        <f aca="false">C6167*1000*(C6199)+C6168*1000*(C6222)+C6170*1000*(C6245)+C6180*1000*Pressupostos!$C$99</f>
        <v>444.6</v>
      </c>
      <c r="D6297" s="61" t="n">
        <f aca="false">D6167*1000*(D6199)+D6168*1000*(D6222)+D6170*1000*(D6245)+D6180*1000*Pressupostos!$C$99</f>
        <v>2759.25</v>
      </c>
      <c r="E6297" s="61" t="n">
        <f aca="false">E6167*1000*(E6199)+E6168*1000*(E6222)+E6170*1000*(E6245)+E6180*1000*Pressupostos!$C$99</f>
        <v>5726.5</v>
      </c>
      <c r="F6297" s="61" t="n">
        <f aca="false">F6167*1000*(F6199)+F6168*1000*(F6222)+F6170*1000*(F6245)+F6180*1000*Pressupostos!$C$99</f>
        <v>10335</v>
      </c>
      <c r="G6297" s="61" t="n">
        <f aca="false">G6167*1000*(G6199)+G6168*1000*(G6222)+G6170*1000*(G6245)+G6180*1000*Pressupostos!$C$99</f>
        <v>16250</v>
      </c>
      <c r="H6297" s="2" t="s">
        <v>1303</v>
      </c>
    </row>
    <row r="6298" customFormat="false" ht="15" hidden="false" customHeight="false" outlineLevel="1" collapsed="false">
      <c r="A6298" s="7" t="s">
        <v>81</v>
      </c>
      <c r="B6298" s="8" t="s">
        <v>11</v>
      </c>
      <c r="C6298" s="61" t="n">
        <f aca="false">C6167*1000*(C6200)+C6168*1000*(C6223)+C6170*1000*(C6246)+C6180*1000*Pressupostos!$C$98*Pressupostos!$C$93</f>
        <v>1268.124</v>
      </c>
      <c r="D6298" s="61" t="n">
        <f aca="false">D6167*1000*(D6200)+D6168*1000*(D6223)+D6170*1000*(D6246)+D6180*1000*Pressupostos!$C$98*Pressupostos!$C$93</f>
        <v>7736.625</v>
      </c>
      <c r="E6298" s="61" t="n">
        <f aca="false">E6167*1000*(E6200)+E6168*1000*(E6223)+E6170*1000*(E6246)+E6180*1000*Pressupostos!$C$98*Pressupostos!$C$93</f>
        <v>16177.005</v>
      </c>
      <c r="F6298" s="61" t="n">
        <f aca="false">F6167*1000*(F6200)+F6168*1000*(F6223)+F6170*1000*(F6246)+F6180*1000*Pressupostos!$C$98*Pressupostos!$C$93</f>
        <v>28261.155</v>
      </c>
      <c r="G6298" s="61" t="n">
        <f aca="false">G6167*1000*(G6200)+G6168*1000*(G6223)+G6170*1000*(G6246)+G6180*1000*Pressupostos!$C$98*Pressupostos!$C$93</f>
        <v>43459.65</v>
      </c>
      <c r="H6298" s="2" t="s">
        <v>1304</v>
      </c>
    </row>
    <row r="6299" customFormat="false" ht="15" hidden="false" customHeight="false" outlineLevel="1" collapsed="false">
      <c r="A6299" s="7" t="s">
        <v>692</v>
      </c>
      <c r="B6299" s="8" t="s">
        <v>11</v>
      </c>
      <c r="C6299" s="61" t="n">
        <f aca="false">C6167*1000*(C6201)+C6168*1000*(C6224)+C6170*1000*(C6247)+C6180*1000*Pressupostos!$F$29*Pressupostos!$C$92</f>
        <v>0</v>
      </c>
      <c r="D6299" s="61" t="n">
        <f aca="false">D6167*1000*(D6201)+D6168*1000*(D6224)+D6170*1000*(D6247)+D6180*1000*Pressupostos!$F$29*Pressupostos!$C$92</f>
        <v>0</v>
      </c>
      <c r="E6299" s="61" t="n">
        <f aca="false">E6167*1000*(E6201)+E6168*1000*(E6224)+E6170*1000*(E6247)+E6180*1000*Pressupostos!$F$29*Pressupostos!$C$92</f>
        <v>0</v>
      </c>
      <c r="F6299" s="61" t="n">
        <f aca="false">F6167*1000*(F6201)+F6168*1000*(F6224)+F6170*1000*(F6247)+F6180*1000*Pressupostos!$F$29*Pressupostos!$C$92</f>
        <v>546</v>
      </c>
      <c r="G6299" s="61" t="n">
        <f aca="false">G6167*1000*(G6201)+G6168*1000*(G6224)+G6170*1000*(G6247)+G6180*1000*Pressupostos!$F$29*Pressupostos!$C$92</f>
        <v>1365</v>
      </c>
      <c r="H6299" s="2" t="s">
        <v>1305</v>
      </c>
    </row>
    <row r="6300" customFormat="false" ht="15" hidden="false" customHeight="false" outlineLevel="1" collapsed="false">
      <c r="A6300" s="7" t="s">
        <v>693</v>
      </c>
      <c r="B6300" s="8" t="s">
        <v>11</v>
      </c>
      <c r="C6300" s="61" t="n">
        <f aca="false">C6183*1000*Pressupostos!$C$104*Pressupostos!$F$30</f>
        <v>0</v>
      </c>
      <c r="D6300" s="61" t="n">
        <f aca="false">D6183*1000*Pressupostos!$C$104*Pressupostos!$F$30</f>
        <v>0</v>
      </c>
      <c r="E6300" s="61" t="n">
        <f aca="false">E6183*1000*Pressupostos!$C$104*Pressupostos!$F$30</f>
        <v>0</v>
      </c>
      <c r="F6300" s="61" t="n">
        <f aca="false">F6183*1000*Pressupostos!$C$104*Pressupostos!$F$30</f>
        <v>0</v>
      </c>
      <c r="G6300" s="61" t="n">
        <f aca="false">G6183*1000*Pressupostos!$C$104*Pressupostos!$F$30</f>
        <v>0</v>
      </c>
      <c r="H6300" s="2" t="s">
        <v>1306</v>
      </c>
    </row>
    <row r="6301" customFormat="false" ht="15" hidden="false" customHeight="false" outlineLevel="1" collapsed="false">
      <c r="A6301" s="7" t="s">
        <v>694</v>
      </c>
      <c r="B6301" s="8" t="s">
        <v>11</v>
      </c>
      <c r="C6301" s="61" t="n">
        <f aca="false">C6171*1000*C6255</f>
        <v>0</v>
      </c>
      <c r="D6301" s="61" t="n">
        <f aca="false">D6171*1000*D6255</f>
        <v>12350</v>
      </c>
      <c r="E6301" s="61" t="n">
        <f aca="false">E6171*1000*E6255</f>
        <v>37050</v>
      </c>
      <c r="F6301" s="61" t="n">
        <f aca="false">F6171*1000*F6255</f>
        <v>61750</v>
      </c>
      <c r="G6301" s="61" t="n">
        <f aca="false">G6171*1000*G6255</f>
        <v>86450</v>
      </c>
      <c r="H6301" s="2" t="s">
        <v>1307</v>
      </c>
    </row>
    <row r="6302" customFormat="false" ht="15" hidden="false" customHeight="false" outlineLevel="1" collapsed="false">
      <c r="A6302" s="7" t="s">
        <v>695</v>
      </c>
      <c r="B6302" s="8" t="s">
        <v>11</v>
      </c>
      <c r="C6302" s="61" t="n">
        <f aca="false">C6292+C6293+C6294+C6295+C6296+C6297+C6298+C6299+C6300+C6301</f>
        <v>20162.7693835616</v>
      </c>
      <c r="D6302" s="61" t="n">
        <f aca="false">D6292+D6293+D6294+D6295+D6296+D6297+D6298+D6299+D6300+D6301</f>
        <v>132566.790119863</v>
      </c>
      <c r="E6302" s="61" t="n">
        <f aca="false">E6292+E6293+E6294+E6295+E6296+E6297+E6298+E6299+E6300+E6301</f>
        <v>275885.29390411</v>
      </c>
      <c r="F6302" s="61" t="n">
        <f aca="false">F6292+F6293+F6294+F6295+F6296+F6297+F6298+F6299+F6300+F6301</f>
        <v>466178.962226027</v>
      </c>
      <c r="G6302" s="61" t="n">
        <f aca="false">G6292+G6293+G6294+G6295+G6296+G6297+G6298+G6299+G6300+G6301</f>
        <v>696368.448972603</v>
      </c>
      <c r="H6302" s="2" t="s">
        <v>1308</v>
      </c>
    </row>
    <row r="6303" customFormat="false" ht="15" hidden="false" customHeight="false" outlineLevel="1" collapsed="false">
      <c r="A6303" s="7" t="s">
        <v>696</v>
      </c>
      <c r="B6303" s="8" t="s">
        <v>11</v>
      </c>
      <c r="C6303" s="61" t="n">
        <f aca="false">C6167*1000*(C6202)+C6168*1000*(C6225)+C6170*1000*(C6248)</f>
        <v>0</v>
      </c>
      <c r="D6303" s="61" t="n">
        <f aca="false">D6167*1000*(D6202)+D6168*1000*(D6225)+D6170*1000*(D6248)</f>
        <v>27981.4315068493</v>
      </c>
      <c r="E6303" s="61" t="n">
        <f aca="false">E6167*1000*(E6202)+E6168*1000*(E6225)+E6170*1000*(E6248)</f>
        <v>44308.6788313356</v>
      </c>
      <c r="F6303" s="61" t="n">
        <f aca="false">F6167*1000*(F6202)+F6168*1000*(F6225)+F6170*1000*(F6248)</f>
        <v>68635.2502140411</v>
      </c>
      <c r="G6303" s="61" t="n">
        <f aca="false">G6167*1000*(G6202)+G6168*1000*(G6225)+G6170*1000*(G6248)</f>
        <v>103256.757277397</v>
      </c>
      <c r="H6303" s="2" t="s">
        <v>1309</v>
      </c>
    </row>
    <row r="6304" customFormat="false" ht="15" hidden="false" customHeight="false" outlineLevel="1" collapsed="false">
      <c r="A6304" s="7" t="s">
        <v>697</v>
      </c>
      <c r="B6304" s="8" t="s">
        <v>11</v>
      </c>
      <c r="C6304" s="61" t="n">
        <f aca="false">C6180*1000*C6282</f>
        <v>0</v>
      </c>
      <c r="D6304" s="61" t="n">
        <f aca="false">D6180*1000*D6282</f>
        <v>0</v>
      </c>
      <c r="E6304" s="61" t="n">
        <f aca="false">E6180*1000*E6282</f>
        <v>0</v>
      </c>
      <c r="F6304" s="61" t="n">
        <f aca="false">F6180*1000*F6282</f>
        <v>1472.51712328767</v>
      </c>
      <c r="G6304" s="61" t="n">
        <f aca="false">G6180*1000*G6282</f>
        <v>3681.29280821918</v>
      </c>
      <c r="H6304" s="2" t="s">
        <v>1310</v>
      </c>
    </row>
    <row r="6305" customFormat="false" ht="15" hidden="false" customHeight="false" outlineLevel="1" collapsed="false">
      <c r="A6305" s="7" t="s">
        <v>698</v>
      </c>
      <c r="B6305" s="8" t="s">
        <v>11</v>
      </c>
      <c r="C6305" s="61" t="n">
        <f aca="false">C6303+C6304</f>
        <v>0</v>
      </c>
      <c r="D6305" s="61" t="n">
        <f aca="false">D6303+D6304</f>
        <v>27981.4315068493</v>
      </c>
      <c r="E6305" s="61" t="n">
        <f aca="false">E6303+E6304</f>
        <v>44308.6788313356</v>
      </c>
      <c r="F6305" s="61" t="n">
        <f aca="false">F6303+F6304</f>
        <v>70107.7673373288</v>
      </c>
      <c r="G6305" s="61" t="n">
        <f aca="false">G6303+G6304</f>
        <v>106938.050085616</v>
      </c>
      <c r="H6305" s="2" t="s">
        <v>1311</v>
      </c>
    </row>
    <row r="6306" customFormat="false" ht="15" hidden="false" customHeight="false" outlineLevel="1" collapsed="false">
      <c r="A6306" s="8" t="s">
        <v>699</v>
      </c>
      <c r="B6306" s="8" t="s">
        <v>11</v>
      </c>
      <c r="C6306" s="70" t="n">
        <f aca="false">ROUND(C6268-C6291-C6302-C6305-C6287,6)</f>
        <v>-0</v>
      </c>
      <c r="D6306" s="70" t="n">
        <f aca="false">ROUND(D6268-D6291-D6302-D6305-D6287,6)</f>
        <v>0</v>
      </c>
      <c r="E6306" s="70" t="n">
        <f aca="false">ROUND(E6268-E6291-E6302-E6305-E6287,6)</f>
        <v>0</v>
      </c>
      <c r="F6306" s="70" t="n">
        <f aca="false">ROUND(F6268-F6291-F6302-F6305-F6287,6)</f>
        <v>0</v>
      </c>
      <c r="G6306" s="70" t="n">
        <f aca="false">ROUND(G6268-G6291-G6302-G6305-G6287,6)</f>
        <v>0</v>
      </c>
      <c r="H6306" s="2" t="s">
        <v>1312</v>
      </c>
    </row>
    <row r="6307" customFormat="false" ht="15" hidden="false" customHeight="false" outlineLevel="0" collapsed="false">
      <c r="A6307" s="3" t="s">
        <v>1313</v>
      </c>
      <c r="B6307" s="4"/>
      <c r="C6307" s="4"/>
      <c r="D6307" s="4"/>
      <c r="E6307" s="4"/>
      <c r="F6307" s="4"/>
      <c r="G6307" s="4"/>
      <c r="H6307" s="4"/>
    </row>
    <row r="6308" customFormat="false" ht="15" hidden="false" customHeight="false" outlineLevel="1" collapsed="false">
      <c r="A6308" s="7" t="s">
        <v>638</v>
      </c>
      <c r="B6308" s="8" t="s">
        <v>432</v>
      </c>
      <c r="C6308" s="64" t="n">
        <f aca="false">Pressupostos!$C$334</f>
        <v>1</v>
      </c>
      <c r="D6308" s="64" t="n">
        <f aca="false">Pressupostos!$D$334</f>
        <v>1</v>
      </c>
      <c r="E6308" s="64" t="n">
        <f aca="false">Pressupostos!$E$334</f>
        <v>1</v>
      </c>
      <c r="F6308" s="64" t="n">
        <f aca="false">Pressupostos!$F$334</f>
        <v>1</v>
      </c>
      <c r="G6308" s="64" t="n">
        <f aca="false">Pressupostos!$G$334</f>
        <v>1</v>
      </c>
      <c r="H6308" s="2" t="s">
        <v>1314</v>
      </c>
    </row>
    <row r="6309" customFormat="false" ht="15" hidden="false" customHeight="false" outlineLevel="1" collapsed="false">
      <c r="A6309" s="7" t="s">
        <v>639</v>
      </c>
      <c r="B6309" s="8" t="s">
        <v>432</v>
      </c>
      <c r="C6309" s="64" t="n">
        <f aca="false">Pressupostos!$C$340</f>
        <v>1</v>
      </c>
      <c r="D6309" s="64" t="n">
        <f aca="false">Pressupostos!$D$340</f>
        <v>1</v>
      </c>
      <c r="E6309" s="64" t="n">
        <f aca="false">Pressupostos!$E$340</f>
        <v>1</v>
      </c>
      <c r="F6309" s="64" t="n">
        <f aca="false">Pressupostos!$F$340</f>
        <v>1</v>
      </c>
      <c r="G6309" s="64" t="n">
        <f aca="false">Pressupostos!$G$340</f>
        <v>1</v>
      </c>
      <c r="H6309" s="2" t="s">
        <v>1315</v>
      </c>
    </row>
    <row r="6310" customFormat="false" ht="15" hidden="false" customHeight="false" outlineLevel="1" collapsed="false">
      <c r="A6310" s="7" t="s">
        <v>640</v>
      </c>
      <c r="B6310" s="8" t="s">
        <v>432</v>
      </c>
      <c r="C6310" s="64" t="n">
        <f aca="false">Pressupostos!$C$346</f>
        <v>0</v>
      </c>
      <c r="D6310" s="64" t="n">
        <f aca="false">Pressupostos!$D$346</f>
        <v>1</v>
      </c>
      <c r="E6310" s="64" t="n">
        <f aca="false">Pressupostos!$E$346</f>
        <v>1</v>
      </c>
      <c r="F6310" s="64" t="n">
        <f aca="false">Pressupostos!$F$346</f>
        <v>1</v>
      </c>
      <c r="G6310" s="64" t="n">
        <f aca="false">Pressupostos!$G$346</f>
        <v>1</v>
      </c>
      <c r="H6310" s="2" t="s">
        <v>1316</v>
      </c>
    </row>
    <row r="6311" customFormat="false" ht="15" hidden="false" customHeight="false" outlineLevel="1" collapsed="false">
      <c r="A6311" s="7" t="s">
        <v>641</v>
      </c>
      <c r="B6311" s="8" t="s">
        <v>432</v>
      </c>
      <c r="C6311" s="64" t="n">
        <f aca="false">Pressupostos!$C$352</f>
        <v>0.5</v>
      </c>
      <c r="D6311" s="64" t="n">
        <f aca="false">Pressupostos!$D$352</f>
        <v>1</v>
      </c>
      <c r="E6311" s="64" t="n">
        <f aca="false">Pressupostos!$E$352</f>
        <v>1</v>
      </c>
      <c r="F6311" s="64" t="n">
        <f aca="false">Pressupostos!$F$352</f>
        <v>1</v>
      </c>
      <c r="G6311" s="64" t="n">
        <f aca="false">Pressupostos!$G$352</f>
        <v>1</v>
      </c>
      <c r="H6311" s="2" t="s">
        <v>1317</v>
      </c>
    </row>
    <row r="6312" customFormat="false" ht="15" hidden="false" customHeight="false" outlineLevel="1" collapsed="false">
      <c r="A6312" s="7" t="s">
        <v>642</v>
      </c>
      <c r="B6312" s="8" t="s">
        <v>432</v>
      </c>
      <c r="C6312" s="64" t="n">
        <f aca="false">Pressupostos!$C$358</f>
        <v>0.5</v>
      </c>
      <c r="D6312" s="64" t="n">
        <f aca="false">Pressupostos!$D$358</f>
        <v>0.5</v>
      </c>
      <c r="E6312" s="64" t="n">
        <f aca="false">Pressupostos!$E$358</f>
        <v>0.5</v>
      </c>
      <c r="F6312" s="64" t="n">
        <f aca="false">Pressupostos!$F$358</f>
        <v>1</v>
      </c>
      <c r="G6312" s="64" t="n">
        <f aca="false">Pressupostos!$G$358</f>
        <v>1</v>
      </c>
      <c r="H6312" s="2" t="s">
        <v>1318</v>
      </c>
    </row>
    <row r="6313" customFormat="false" ht="15" hidden="false" customHeight="false" outlineLevel="1" collapsed="false">
      <c r="A6313" s="7" t="s">
        <v>643</v>
      </c>
      <c r="B6313" s="8" t="s">
        <v>432</v>
      </c>
      <c r="C6313" s="64" t="n">
        <f aca="false">Pressupostos!$C$364</f>
        <v>1</v>
      </c>
      <c r="D6313" s="64" t="n">
        <f aca="false">Pressupostos!$D$364</f>
        <v>1</v>
      </c>
      <c r="E6313" s="64" t="n">
        <f aca="false">Pressupostos!$E$364</f>
        <v>1</v>
      </c>
      <c r="F6313" s="64" t="n">
        <f aca="false">Pressupostos!$F$364</f>
        <v>1</v>
      </c>
      <c r="G6313" s="64" t="n">
        <f aca="false">Pressupostos!$G$364</f>
        <v>1</v>
      </c>
      <c r="H6313" s="2" t="s">
        <v>1319</v>
      </c>
    </row>
    <row r="6314" customFormat="false" ht="15" hidden="false" customHeight="false" outlineLevel="1" collapsed="false">
      <c r="A6314" s="7" t="s">
        <v>644</v>
      </c>
      <c r="B6314" s="8" t="s">
        <v>432</v>
      </c>
      <c r="C6314" s="64" t="n">
        <f aca="false">Pressupostos!$C$370</f>
        <v>0.5</v>
      </c>
      <c r="D6314" s="64" t="n">
        <f aca="false">Pressupostos!$D$370</f>
        <v>1</v>
      </c>
      <c r="E6314" s="64" t="n">
        <f aca="false">Pressupostos!$E$370</f>
        <v>1</v>
      </c>
      <c r="F6314" s="64" t="n">
        <f aca="false">Pressupostos!$F$370</f>
        <v>1</v>
      </c>
      <c r="G6314" s="64" t="n">
        <f aca="false">Pressupostos!$G$370</f>
        <v>1</v>
      </c>
      <c r="H6314" s="2" t="s">
        <v>1320</v>
      </c>
    </row>
    <row r="6315" customFormat="false" ht="15" hidden="false" customHeight="false" outlineLevel="1" collapsed="false">
      <c r="A6315" s="7" t="s">
        <v>645</v>
      </c>
      <c r="B6315" s="8" t="s">
        <v>432</v>
      </c>
      <c r="C6315" s="64" t="n">
        <f aca="false">Pressupostos!$C$376</f>
        <v>1</v>
      </c>
      <c r="D6315" s="64" t="n">
        <f aca="false">Pressupostos!$D$376</f>
        <v>1</v>
      </c>
      <c r="E6315" s="64" t="n">
        <f aca="false">Pressupostos!$E$376</f>
        <v>1</v>
      </c>
      <c r="F6315" s="64" t="n">
        <f aca="false">Pressupostos!$F$376</f>
        <v>2</v>
      </c>
      <c r="G6315" s="64" t="n">
        <f aca="false">Pressupostos!$G$376</f>
        <v>3</v>
      </c>
      <c r="H6315" s="2" t="s">
        <v>1321</v>
      </c>
    </row>
    <row r="6316" customFormat="false" ht="15" hidden="false" customHeight="false" outlineLevel="1" collapsed="false">
      <c r="A6316" s="7" t="s">
        <v>646</v>
      </c>
      <c r="B6316" s="8" t="s">
        <v>432</v>
      </c>
      <c r="C6316" s="64" t="n">
        <f aca="false">Pressupostos!$C$382</f>
        <v>0</v>
      </c>
      <c r="D6316" s="64" t="n">
        <f aca="false">Pressupostos!$D$382</f>
        <v>0</v>
      </c>
      <c r="E6316" s="64" t="n">
        <f aca="false">Pressupostos!$E$382</f>
        <v>0</v>
      </c>
      <c r="F6316" s="64" t="n">
        <f aca="false">Pressupostos!$F$382</f>
        <v>0</v>
      </c>
      <c r="G6316" s="64" t="n">
        <f aca="false">Pressupostos!$G$382</f>
        <v>0</v>
      </c>
      <c r="H6316" s="2" t="s">
        <v>1322</v>
      </c>
    </row>
    <row r="6317" customFormat="false" ht="15" hidden="false" customHeight="false" outlineLevel="1" collapsed="false">
      <c r="A6317" s="7" t="s">
        <v>647</v>
      </c>
      <c r="B6317" s="8" t="s">
        <v>432</v>
      </c>
      <c r="C6317" s="64" t="n">
        <f aca="false">Pressupostos!$C$388</f>
        <v>0</v>
      </c>
      <c r="D6317" s="64" t="n">
        <f aca="false">Pressupostos!$D$388</f>
        <v>0</v>
      </c>
      <c r="E6317" s="64" t="n">
        <f aca="false">Pressupostos!$E$388</f>
        <v>0</v>
      </c>
      <c r="F6317" s="64" t="n">
        <f aca="false">Pressupostos!$F$388</f>
        <v>0</v>
      </c>
      <c r="G6317" s="64" t="n">
        <f aca="false">Pressupostos!$G$388</f>
        <v>0</v>
      </c>
      <c r="H6317" s="2" t="s">
        <v>1323</v>
      </c>
    </row>
    <row r="6318" customFormat="false" ht="15" hidden="false" customHeight="false" outlineLevel="1" collapsed="false">
      <c r="A6318" s="7" t="s">
        <v>648</v>
      </c>
      <c r="B6318" s="8" t="s">
        <v>432</v>
      </c>
      <c r="C6318" s="64" t="n">
        <f aca="false">Pressupostos!$C$394</f>
        <v>0</v>
      </c>
      <c r="D6318" s="64" t="n">
        <f aca="false">Pressupostos!$D$394</f>
        <v>0</v>
      </c>
      <c r="E6318" s="64" t="n">
        <f aca="false">Pressupostos!$E$394</f>
        <v>0</v>
      </c>
      <c r="F6318" s="64" t="n">
        <f aca="false">Pressupostos!$F$394</f>
        <v>1</v>
      </c>
      <c r="G6318" s="64" t="n">
        <f aca="false">Pressupostos!$G$394</f>
        <v>1</v>
      </c>
      <c r="H6318" s="2" t="s">
        <v>1324</v>
      </c>
    </row>
    <row r="6319" customFormat="false" ht="15" hidden="false" customHeight="false" outlineLevel="1" collapsed="false">
      <c r="A6319" s="7" t="s">
        <v>649</v>
      </c>
      <c r="B6319" s="8" t="s">
        <v>432</v>
      </c>
      <c r="C6319" s="64" t="n">
        <f aca="false">Pressupostos!$C$400</f>
        <v>0</v>
      </c>
      <c r="D6319" s="64" t="n">
        <f aca="false">Pressupostos!$D$400</f>
        <v>0</v>
      </c>
      <c r="E6319" s="64" t="n">
        <f aca="false">Pressupostos!$E$400</f>
        <v>1</v>
      </c>
      <c r="F6319" s="64" t="n">
        <f aca="false">Pressupostos!$F$400</f>
        <v>1</v>
      </c>
      <c r="G6319" s="64" t="n">
        <f aca="false">Pressupostos!$G$400</f>
        <v>1</v>
      </c>
      <c r="H6319" s="2" t="s">
        <v>1325</v>
      </c>
    </row>
    <row r="6320" customFormat="false" ht="15" hidden="false" customHeight="false" outlineLevel="1" collapsed="false">
      <c r="A6320" s="56" t="s">
        <v>650</v>
      </c>
      <c r="B6320" s="57" t="s">
        <v>432</v>
      </c>
      <c r="C6320" s="65" t="n">
        <f aca="false">C6308+C6309+C6310+C6311+C6312+C6313+C6314+C6315+C6316+C6317+C6318+C6319</f>
        <v>5.5</v>
      </c>
      <c r="D6320" s="65" t="n">
        <f aca="false">D6308+D6309+D6310+D6311+D6312+D6313+D6314+D6315+D6316+D6317+D6318+D6319</f>
        <v>7.5</v>
      </c>
      <c r="E6320" s="65" t="n">
        <f aca="false">E6308+E6309+E6310+E6311+E6312+E6313+E6314+E6315+E6316+E6317+E6318+E6319</f>
        <v>8.5</v>
      </c>
      <c r="F6320" s="65" t="n">
        <f aca="false">F6308+F6309+F6310+F6311+F6312+F6313+F6314+F6315+F6316+F6317+F6318+F6319</f>
        <v>11</v>
      </c>
      <c r="G6320" s="65" t="n">
        <f aca="false">G6308+G6309+G6310+G6311+G6312+G6313+G6314+G6315+G6316+G6317+G6318+G6319</f>
        <v>12</v>
      </c>
      <c r="H6320" s="2" t="s">
        <v>1326</v>
      </c>
    </row>
    <row r="6321" customFormat="false" ht="15" hidden="false" customHeight="false" outlineLevel="0" collapsed="false">
      <c r="A6321" s="3" t="s">
        <v>1327</v>
      </c>
      <c r="B6321" s="4"/>
      <c r="C6321" s="4"/>
      <c r="D6321" s="4"/>
      <c r="E6321" s="4"/>
      <c r="F6321" s="4"/>
      <c r="G6321" s="4"/>
      <c r="H6321" s="4"/>
    </row>
    <row r="6322" customFormat="false" ht="15" hidden="false" customHeight="false" outlineLevel="1" collapsed="false">
      <c r="A6322" s="7" t="s">
        <v>638</v>
      </c>
      <c r="B6322" s="8" t="s">
        <v>11</v>
      </c>
      <c r="C6322" s="61" t="n">
        <f aca="false">C6308*Pressupostos!$C$131*(1+Pressupostos!$C$127)^0*(1+Pressupostos!$C$132)*Pressupostos!$C$128</f>
        <v>43998</v>
      </c>
      <c r="D6322" s="61" t="n">
        <f aca="false">D6308*Pressupostos!$C$131*(1+Pressupostos!$C$127)^1*(1+Pressupostos!$C$132)</f>
        <v>61800</v>
      </c>
      <c r="E6322" s="61" t="n">
        <f aca="false">E6308*Pressupostos!$C$131*(1+Pressupostos!$C$127)^2*(1+Pressupostos!$C$132)</f>
        <v>63654</v>
      </c>
      <c r="F6322" s="61" t="n">
        <f aca="false">F6308*Pressupostos!$C$131*(1+Pressupostos!$C$127)^3*(1+Pressupostos!$C$132)</f>
        <v>65563.62</v>
      </c>
      <c r="G6322" s="61" t="n">
        <f aca="false">G6308*Pressupostos!$C$131*(1+Pressupostos!$C$127)^4*(1+Pressupostos!$C$132)</f>
        <v>67530.5286</v>
      </c>
      <c r="H6322" s="2" t="s">
        <v>1328</v>
      </c>
    </row>
    <row r="6323" customFormat="false" ht="15" hidden="false" customHeight="false" outlineLevel="1" collapsed="false">
      <c r="A6323" s="7" t="s">
        <v>639</v>
      </c>
      <c r="B6323" s="8" t="s">
        <v>11</v>
      </c>
      <c r="C6323" s="61" t="n">
        <f aca="false">C6309*Pressupostos!$C$133*(1+Pressupostos!$C$127)^0*(1+Pressupostos!$C$134)*Pressupostos!$C$128</f>
        <v>47664.5</v>
      </c>
      <c r="D6323" s="61" t="n">
        <f aca="false">D6309*Pressupostos!$C$133*(1+Pressupostos!$C$127)^1*(1+Pressupostos!$C$134)</f>
        <v>66950</v>
      </c>
      <c r="E6323" s="61" t="n">
        <f aca="false">E6309*Pressupostos!$C$133*(1+Pressupostos!$C$127)^2*(1+Pressupostos!$C$134)</f>
        <v>68958.5</v>
      </c>
      <c r="F6323" s="61" t="n">
        <f aca="false">F6309*Pressupostos!$C$133*(1+Pressupostos!$C$127)^3*(1+Pressupostos!$C$134)</f>
        <v>71027.255</v>
      </c>
      <c r="G6323" s="61" t="n">
        <f aca="false">G6309*Pressupostos!$C$133*(1+Pressupostos!$C$127)^4*(1+Pressupostos!$C$134)</f>
        <v>73158.07265</v>
      </c>
      <c r="H6323" s="2" t="s">
        <v>1329</v>
      </c>
    </row>
    <row r="6324" customFormat="false" ht="15" hidden="false" customHeight="false" outlineLevel="1" collapsed="false">
      <c r="A6324" s="7" t="s">
        <v>640</v>
      </c>
      <c r="B6324" s="8" t="s">
        <v>11</v>
      </c>
      <c r="C6324" s="61" t="n">
        <f aca="false">C6310*Pressupostos!$C$135*(1+Pressupostos!$C$127)^0*(1+Pressupostos!$C$136)</f>
        <v>0</v>
      </c>
      <c r="D6324" s="61" t="n">
        <f aca="false">D6310*Pressupostos!$C$135*(1+Pressupostos!$C$127)^1*(1+Pressupostos!$C$136)</f>
        <v>46350</v>
      </c>
      <c r="E6324" s="61" t="n">
        <f aca="false">E6310*Pressupostos!$C$135*(1+Pressupostos!$C$127)^2*(1+Pressupostos!$C$136)</f>
        <v>47740.5</v>
      </c>
      <c r="F6324" s="61" t="n">
        <f aca="false">F6310*Pressupostos!$C$135*(1+Pressupostos!$C$127)^3*(1+Pressupostos!$C$136)</f>
        <v>49172.715</v>
      </c>
      <c r="G6324" s="61" t="n">
        <f aca="false">G6310*Pressupostos!$C$135*(1+Pressupostos!$C$127)^4*(1+Pressupostos!$C$136)</f>
        <v>50647.89645</v>
      </c>
      <c r="H6324" s="2" t="s">
        <v>1330</v>
      </c>
    </row>
    <row r="6325" customFormat="false" ht="15" hidden="false" customHeight="false" outlineLevel="1" collapsed="false">
      <c r="A6325" s="7" t="s">
        <v>641</v>
      </c>
      <c r="B6325" s="8" t="s">
        <v>11</v>
      </c>
      <c r="C6325" s="61" t="n">
        <f aca="false">C6311*Pressupostos!$C$137*(1+Pressupostos!$C$127)^0*(1+Pressupostos!$C$138)</f>
        <v>30000</v>
      </c>
      <c r="D6325" s="61" t="n">
        <f aca="false">D6311*Pressupostos!$C$137*(1+Pressupostos!$C$127)^1*(1+Pressupostos!$C$138)</f>
        <v>61800</v>
      </c>
      <c r="E6325" s="61" t="n">
        <f aca="false">E6311*Pressupostos!$C$137*(1+Pressupostos!$C$127)^2*(1+Pressupostos!$C$138)</f>
        <v>63654</v>
      </c>
      <c r="F6325" s="61" t="n">
        <f aca="false">F6311*Pressupostos!$C$137*(1+Pressupostos!$C$127)^3*(1+Pressupostos!$C$138)</f>
        <v>65563.62</v>
      </c>
      <c r="G6325" s="61" t="n">
        <f aca="false">G6311*Pressupostos!$C$137*(1+Pressupostos!$C$127)^4*(1+Pressupostos!$C$138)</f>
        <v>67530.5286</v>
      </c>
      <c r="H6325" s="2" t="s">
        <v>1331</v>
      </c>
    </row>
    <row r="6326" customFormat="false" ht="15" hidden="false" customHeight="false" outlineLevel="1" collapsed="false">
      <c r="A6326" s="7" t="s">
        <v>642</v>
      </c>
      <c r="B6326" s="8" t="s">
        <v>11</v>
      </c>
      <c r="C6326" s="61" t="n">
        <f aca="false">C6312*Pressupostos!$C$139*(1+Pressupostos!$C$127)^0*(1+Pressupostos!$C$140)</f>
        <v>22500</v>
      </c>
      <c r="D6326" s="61" t="n">
        <f aca="false">D6312*Pressupostos!$C$139*(1+Pressupostos!$C$127)^1*(1+Pressupostos!$C$140)</f>
        <v>23175</v>
      </c>
      <c r="E6326" s="61" t="n">
        <f aca="false">E6312*Pressupostos!$C$139*(1+Pressupostos!$C$127)^2*(1+Pressupostos!$C$140)</f>
        <v>23870.25</v>
      </c>
      <c r="F6326" s="61" t="n">
        <f aca="false">F6312*Pressupostos!$C$139*(1+Pressupostos!$C$127)^3*(1+Pressupostos!$C$140)</f>
        <v>49172.715</v>
      </c>
      <c r="G6326" s="61" t="n">
        <f aca="false">G6312*Pressupostos!$C$139*(1+Pressupostos!$C$127)^4*(1+Pressupostos!$C$140)</f>
        <v>50647.89645</v>
      </c>
      <c r="H6326" s="2" t="s">
        <v>1332</v>
      </c>
    </row>
    <row r="6327" customFormat="false" ht="15" hidden="false" customHeight="false" outlineLevel="1" collapsed="false">
      <c r="A6327" s="7" t="s">
        <v>643</v>
      </c>
      <c r="B6327" s="8" t="s">
        <v>11</v>
      </c>
      <c r="C6327" s="61" t="n">
        <f aca="false">C6313*Pressupostos!$C$141*(1+Pressupostos!$C$127)^0*(1+Pressupostos!$C$142)</f>
        <v>38000</v>
      </c>
      <c r="D6327" s="61" t="n">
        <f aca="false">D6313*Pressupostos!$C$141*(1+Pressupostos!$C$127)^1*(1+Pressupostos!$C$142)</f>
        <v>39140</v>
      </c>
      <c r="E6327" s="61" t="n">
        <f aca="false">E6313*Pressupostos!$C$141*(1+Pressupostos!$C$127)^2*(1+Pressupostos!$C$142)</f>
        <v>40314.2</v>
      </c>
      <c r="F6327" s="61" t="n">
        <f aca="false">F6313*Pressupostos!$C$141*(1+Pressupostos!$C$127)^3*(1+Pressupostos!$C$142)</f>
        <v>41523.626</v>
      </c>
      <c r="G6327" s="61" t="n">
        <f aca="false">G6313*Pressupostos!$C$141*(1+Pressupostos!$C$127)^4*(1+Pressupostos!$C$142)</f>
        <v>42769.33478</v>
      </c>
      <c r="H6327" s="2" t="s">
        <v>1333</v>
      </c>
    </row>
    <row r="6328" customFormat="false" ht="15" hidden="false" customHeight="false" outlineLevel="1" collapsed="false">
      <c r="A6328" s="7" t="s">
        <v>644</v>
      </c>
      <c r="B6328" s="8" t="s">
        <v>11</v>
      </c>
      <c r="C6328" s="61" t="n">
        <f aca="false">C6314*Pressupostos!$C$143*(1+Pressupostos!$C$127)^0*(1+Pressupostos!$C$144)</f>
        <v>16000</v>
      </c>
      <c r="D6328" s="61" t="n">
        <f aca="false">D6314*Pressupostos!$C$143*(1+Pressupostos!$C$127)^1*(1+Pressupostos!$C$144)</f>
        <v>32960</v>
      </c>
      <c r="E6328" s="61" t="n">
        <f aca="false">E6314*Pressupostos!$C$143*(1+Pressupostos!$C$127)^2*(1+Pressupostos!$C$144)</f>
        <v>33948.8</v>
      </c>
      <c r="F6328" s="61" t="n">
        <f aca="false">F6314*Pressupostos!$C$143*(1+Pressupostos!$C$127)^3*(1+Pressupostos!$C$144)</f>
        <v>34967.264</v>
      </c>
      <c r="G6328" s="61" t="n">
        <f aca="false">G6314*Pressupostos!$C$143*(1+Pressupostos!$C$127)^4*(1+Pressupostos!$C$144)</f>
        <v>36016.28192</v>
      </c>
      <c r="H6328" s="2" t="s">
        <v>1334</v>
      </c>
    </row>
    <row r="6329" customFormat="false" ht="15" hidden="false" customHeight="false" outlineLevel="1" collapsed="false">
      <c r="A6329" s="7" t="s">
        <v>645</v>
      </c>
      <c r="B6329" s="8" t="s">
        <v>11</v>
      </c>
      <c r="C6329" s="61" t="n">
        <f aca="false">C6315*Pressupostos!$C$145*(1+Pressupostos!$C$127)^0*(1+Pressupostos!$C$146)</f>
        <v>34500</v>
      </c>
      <c r="D6329" s="61" t="n">
        <f aca="false">D6315*Pressupostos!$C$145*(1+Pressupostos!$C$127)^1*(1+Pressupostos!$C$146)</f>
        <v>35535</v>
      </c>
      <c r="E6329" s="61" t="n">
        <f aca="false">E6315*Pressupostos!$C$145*(1+Pressupostos!$C$127)^2*(1+Pressupostos!$C$146)</f>
        <v>36601.05</v>
      </c>
      <c r="F6329" s="61" t="n">
        <f aca="false">F6315*Pressupostos!$C$145*(1+Pressupostos!$C$127)^3*(1+Pressupostos!$C$146)</f>
        <v>75398.163</v>
      </c>
      <c r="G6329" s="61" t="n">
        <f aca="false">G6315*Pressupostos!$C$145*(1+Pressupostos!$C$127)^4*(1+Pressupostos!$C$146)</f>
        <v>116490.161835</v>
      </c>
      <c r="H6329" s="2" t="s">
        <v>1335</v>
      </c>
    </row>
    <row r="6330" customFormat="false" ht="15" hidden="false" customHeight="false" outlineLevel="1" collapsed="false">
      <c r="A6330" s="7" t="s">
        <v>646</v>
      </c>
      <c r="B6330" s="8" t="s">
        <v>11</v>
      </c>
      <c r="C6330" s="61" t="n">
        <f aca="false">C6316*Pressupostos!$C$147*(1+Pressupostos!$C$127)^0*(1+Pressupostos!$C$148)</f>
        <v>0</v>
      </c>
      <c r="D6330" s="61" t="n">
        <f aca="false">D6316*Pressupostos!$C$147*(1+Pressupostos!$C$127)^1*(1+Pressupostos!$C$148)</f>
        <v>0</v>
      </c>
      <c r="E6330" s="61" t="n">
        <f aca="false">E6316*Pressupostos!$C$147*(1+Pressupostos!$C$127)^2*(1+Pressupostos!$C$148)</f>
        <v>0</v>
      </c>
      <c r="F6330" s="61" t="n">
        <f aca="false">F6316*Pressupostos!$C$147*(1+Pressupostos!$C$127)^3*(1+Pressupostos!$C$148)</f>
        <v>0</v>
      </c>
      <c r="G6330" s="61" t="n">
        <f aca="false">G6316*Pressupostos!$C$147*(1+Pressupostos!$C$127)^4*(1+Pressupostos!$C$148)</f>
        <v>0</v>
      </c>
      <c r="H6330" s="2" t="s">
        <v>1336</v>
      </c>
    </row>
    <row r="6331" customFormat="false" ht="15" hidden="false" customHeight="false" outlineLevel="1" collapsed="false">
      <c r="A6331" s="7" t="s">
        <v>647</v>
      </c>
      <c r="B6331" s="8" t="s">
        <v>11</v>
      </c>
      <c r="C6331" s="61" t="n">
        <f aca="false">C6317*Pressupostos!$C$149*(1+Pressupostos!$C$127)^0*(1+Pressupostos!$C$150)</f>
        <v>0</v>
      </c>
      <c r="D6331" s="61" t="n">
        <f aca="false">D6317*Pressupostos!$C$149*(1+Pressupostos!$C$127)^1*(1+Pressupostos!$C$150)</f>
        <v>0</v>
      </c>
      <c r="E6331" s="61" t="n">
        <f aca="false">E6317*Pressupostos!$C$149*(1+Pressupostos!$C$127)^2*(1+Pressupostos!$C$150)</f>
        <v>0</v>
      </c>
      <c r="F6331" s="61" t="n">
        <f aca="false">F6317*Pressupostos!$C$149*(1+Pressupostos!$C$127)^3*(1+Pressupostos!$C$150)</f>
        <v>0</v>
      </c>
      <c r="G6331" s="61" t="n">
        <f aca="false">G6317*Pressupostos!$C$149*(1+Pressupostos!$C$127)^4*(1+Pressupostos!$C$150)</f>
        <v>0</v>
      </c>
      <c r="H6331" s="2" t="s">
        <v>1337</v>
      </c>
    </row>
    <row r="6332" customFormat="false" ht="15" hidden="false" customHeight="false" outlineLevel="1" collapsed="false">
      <c r="A6332" s="7" t="s">
        <v>648</v>
      </c>
      <c r="B6332" s="8" t="s">
        <v>11</v>
      </c>
      <c r="C6332" s="61" t="n">
        <f aca="false">C6318*Pressupostos!$C$151*(1+Pressupostos!$C$127)^0*(1+Pressupostos!$C$152)</f>
        <v>0</v>
      </c>
      <c r="D6332" s="61" t="n">
        <f aca="false">D6318*Pressupostos!$C$151*(1+Pressupostos!$C$127)^1*(1+Pressupostos!$C$152)</f>
        <v>0</v>
      </c>
      <c r="E6332" s="61" t="n">
        <f aca="false">E6318*Pressupostos!$C$151*(1+Pressupostos!$C$127)^2*(1+Pressupostos!$C$152)</f>
        <v>0</v>
      </c>
      <c r="F6332" s="61" t="n">
        <f aca="false">F6318*Pressupostos!$C$151*(1+Pressupostos!$C$127)^3*(1+Pressupostos!$C$152)</f>
        <v>26225.448</v>
      </c>
      <c r="G6332" s="61" t="n">
        <f aca="false">G6318*Pressupostos!$C$151*(1+Pressupostos!$C$127)^4*(1+Pressupostos!$C$152)</f>
        <v>27012.21144</v>
      </c>
      <c r="H6332" s="2" t="s">
        <v>1338</v>
      </c>
    </row>
    <row r="6333" customFormat="false" ht="15" hidden="false" customHeight="false" outlineLevel="1" collapsed="false">
      <c r="A6333" s="7" t="s">
        <v>649</v>
      </c>
      <c r="B6333" s="8" t="s">
        <v>11</v>
      </c>
      <c r="C6333" s="61" t="n">
        <f aca="false">C6319*Pressupostos!$C$153*(1+Pressupostos!$C$127)^0*(1+Pressupostos!$C$154)</f>
        <v>0</v>
      </c>
      <c r="D6333" s="61" t="n">
        <f aca="false">D6319*Pressupostos!$C$153*(1+Pressupostos!$C$127)^1*(1+Pressupostos!$C$154)</f>
        <v>0</v>
      </c>
      <c r="E6333" s="61" t="n">
        <f aca="false">E6319*Pressupostos!$C$153*(1+Pressupostos!$C$127)^2*(1+Pressupostos!$C$154)</f>
        <v>54901.575</v>
      </c>
      <c r="F6333" s="61" t="n">
        <f aca="false">F6319*Pressupostos!$C$153*(1+Pressupostos!$C$127)^3*(1+Pressupostos!$C$154)</f>
        <v>56548.62225</v>
      </c>
      <c r="G6333" s="61" t="n">
        <f aca="false">G6319*Pressupostos!$C$153*(1+Pressupostos!$C$127)^4*(1+Pressupostos!$C$154)</f>
        <v>58245.0809175</v>
      </c>
      <c r="H6333" s="2" t="s">
        <v>1339</v>
      </c>
    </row>
    <row r="6334" customFormat="false" ht="15" hidden="false" customHeight="false" outlineLevel="1" collapsed="false">
      <c r="A6334" s="7" t="s">
        <v>652</v>
      </c>
      <c r="B6334" s="8" t="s">
        <v>11</v>
      </c>
      <c r="C6334" s="61" t="n">
        <f aca="false">C6322+C6323+C6324+C6325+C6326+C6327+C6328+C6329+C6330+C6331+C6332+C6333</f>
        <v>232662.5</v>
      </c>
      <c r="D6334" s="61" t="n">
        <f aca="false">D6322+D6323+D6324+D6325+D6326+D6327+D6328+D6329+D6330+D6331+D6332+D6333</f>
        <v>367710</v>
      </c>
      <c r="E6334" s="61" t="n">
        <f aca="false">E6322+E6323+E6324+E6325+E6326+E6327+E6328+E6329+E6330+E6331+E6332+E6333</f>
        <v>433642.875</v>
      </c>
      <c r="F6334" s="61" t="n">
        <f aca="false">F6322+F6323+F6324+F6325+F6326+F6327+F6328+F6329+F6330+F6331+F6332+F6333</f>
        <v>535163.04825</v>
      </c>
      <c r="G6334" s="61" t="n">
        <f aca="false">G6322+G6323+G6324+G6325+G6326+G6327+G6328+G6329+G6330+G6331+G6332+G6333</f>
        <v>590047.9936425</v>
      </c>
      <c r="H6334" s="2" t="s">
        <v>1340</v>
      </c>
    </row>
    <row r="6335" customFormat="false" ht="15" hidden="false" customHeight="false" outlineLevel="1" collapsed="false">
      <c r="A6335" s="7" t="s">
        <v>653</v>
      </c>
      <c r="B6335" s="8" t="s">
        <v>11</v>
      </c>
      <c r="C6335" s="61" t="n">
        <f aca="false">C6334*(Pressupostos!$C$124+Pressupostos!$C$125)</f>
        <v>59910.59375</v>
      </c>
      <c r="D6335" s="61" t="n">
        <f aca="false">D6334*(Pressupostos!$C$124+Pressupostos!$C$125)</f>
        <v>94685.325</v>
      </c>
      <c r="E6335" s="61" t="n">
        <f aca="false">E6334*(Pressupostos!$C$124+Pressupostos!$C$125)</f>
        <v>111663.0403125</v>
      </c>
      <c r="F6335" s="61" t="n">
        <f aca="false">F6334*(Pressupostos!$C$124+Pressupostos!$C$125)</f>
        <v>137804.484924375</v>
      </c>
      <c r="G6335" s="61" t="n">
        <f aca="false">G6334*(Pressupostos!$C$124+Pressupostos!$C$125)</f>
        <v>151937.358362944</v>
      </c>
      <c r="H6335" s="2" t="s">
        <v>1341</v>
      </c>
    </row>
    <row r="6336" customFormat="false" ht="15" hidden="false" customHeight="false" outlineLevel="1" collapsed="false">
      <c r="A6336" s="7" t="s">
        <v>654</v>
      </c>
      <c r="B6336" s="8" t="s">
        <v>11</v>
      </c>
      <c r="C6336" s="61" t="n">
        <f aca="false">C6320*Pressupostos!$C$126*(1+Pressupostos!$C$127)^0</f>
        <v>11000</v>
      </c>
      <c r="D6336" s="61" t="n">
        <f aca="false">D6320*Pressupostos!$C$126*(1+Pressupostos!$C$127)^1</f>
        <v>15450</v>
      </c>
      <c r="E6336" s="61" t="n">
        <f aca="false">E6320*Pressupostos!$C$126*(1+Pressupostos!$C$127)^2</f>
        <v>18035.3</v>
      </c>
      <c r="F6336" s="61" t="n">
        <f aca="false">F6320*Pressupostos!$C$126*(1+Pressupostos!$C$127)^3</f>
        <v>24039.994</v>
      </c>
      <c r="G6336" s="61" t="n">
        <f aca="false">G6320*Pressupostos!$C$126*(1+Pressupostos!$C$127)^4</f>
        <v>27012.21144</v>
      </c>
      <c r="H6336" s="2" t="s">
        <v>1342</v>
      </c>
    </row>
    <row r="6337" customFormat="false" ht="15" hidden="false" customHeight="false" outlineLevel="1" collapsed="false">
      <c r="A6337" s="56" t="s">
        <v>655</v>
      </c>
      <c r="B6337" s="57" t="s">
        <v>11</v>
      </c>
      <c r="C6337" s="62" t="n">
        <f aca="false">C6334+C6335+C6336</f>
        <v>303573.09375</v>
      </c>
      <c r="D6337" s="62" t="n">
        <f aca="false">D6334+D6335+D6336</f>
        <v>477845.325</v>
      </c>
      <c r="E6337" s="62" t="n">
        <f aca="false">E6334+E6335+E6336</f>
        <v>563341.2153125</v>
      </c>
      <c r="F6337" s="62" t="n">
        <f aca="false">F6334+F6335+F6336</f>
        <v>697007.527174375</v>
      </c>
      <c r="G6337" s="62" t="n">
        <f aca="false">G6334+G6335+G6336</f>
        <v>768997.563445444</v>
      </c>
      <c r="H6337" s="2" t="s">
        <v>1343</v>
      </c>
    </row>
    <row r="6338" customFormat="false" ht="15" hidden="false" customHeight="false" outlineLevel="1" collapsed="false">
      <c r="A6338" s="2" t="s">
        <v>656</v>
      </c>
      <c r="B6338" s="8" t="s">
        <v>11</v>
      </c>
      <c r="C6338" s="61" t="n">
        <f aca="false">IF(C6320&gt;0,C6337/C6320,0)</f>
        <v>55195.1079545455</v>
      </c>
      <c r="D6338" s="61" t="n">
        <f aca="false">IF(D6320&gt;0,D6337/D6320,0)</f>
        <v>63712.71</v>
      </c>
      <c r="E6338" s="61" t="n">
        <f aca="false">IF(E6320&gt;0,E6337/E6320,0)</f>
        <v>66275.4370955882</v>
      </c>
      <c r="F6338" s="61" t="n">
        <f aca="false">IF(F6320&gt;0,F6337/F6320,0)</f>
        <v>63364.3206522159</v>
      </c>
      <c r="G6338" s="61" t="n">
        <f aca="false">IF(G6320&gt;0,G6337/G6320,0)</f>
        <v>64083.1302871203</v>
      </c>
      <c r="H6338" s="2" t="s">
        <v>1344</v>
      </c>
    </row>
    <row r="6339" customFormat="false" ht="15" hidden="false" customHeight="false" outlineLevel="0" collapsed="false">
      <c r="A6339" s="3" t="s">
        <v>1345</v>
      </c>
      <c r="B6339" s="4"/>
      <c r="C6339" s="4"/>
      <c r="D6339" s="4"/>
      <c r="E6339" s="4"/>
      <c r="F6339" s="4"/>
      <c r="G6339" s="4"/>
      <c r="H6339" s="4"/>
    </row>
    <row r="6340" customFormat="false" ht="15" hidden="false" customHeight="false" outlineLevel="1" collapsed="false">
      <c r="A6340" s="7" t="s">
        <v>449</v>
      </c>
      <c r="B6340" s="8" t="s">
        <v>11</v>
      </c>
      <c r="C6340" s="61" t="n">
        <f aca="false">Pressupostos!$C$407*(1+Pressupostos!$C$156)*(1+Pressupostos!$C$157)^0</f>
        <v>94500</v>
      </c>
      <c r="D6340" s="61" t="n">
        <f aca="false">Pressupostos!$D$407*(1+Pressupostos!$C$156)*(1+Pressupostos!$C$157)^1</f>
        <v>53550</v>
      </c>
      <c r="E6340" s="61" t="n">
        <f aca="false">Pressupostos!$E$407*(1+Pressupostos!$C$156)*(1+Pressupostos!$C$157)^2</f>
        <v>49158.9</v>
      </c>
      <c r="F6340" s="61" t="n">
        <f aca="false">Pressupostos!$F$407*(1+Pressupostos!$C$156)*(1+Pressupostos!$C$157)^3</f>
        <v>50142.078</v>
      </c>
      <c r="G6340" s="61" t="n">
        <f aca="false">Pressupostos!$G$407*(1+Pressupostos!$C$156)*(1+Pressupostos!$C$157)^4</f>
        <v>51144.91956</v>
      </c>
      <c r="H6340" s="2" t="s">
        <v>1346</v>
      </c>
    </row>
    <row r="6341" customFormat="false" ht="15" hidden="false" customHeight="false" outlineLevel="1" collapsed="false">
      <c r="A6341" s="7" t="s">
        <v>451</v>
      </c>
      <c r="B6341" s="8" t="s">
        <v>11</v>
      </c>
      <c r="C6341" s="61" t="n">
        <f aca="false">Pressupostos!$C$413*(1+Pressupostos!$C$156)*(1+Pressupostos!$C$157)^0</f>
        <v>10500</v>
      </c>
      <c r="D6341" s="61" t="n">
        <f aca="false">Pressupostos!$D$413*(1+Pressupostos!$C$156)*(1+Pressupostos!$C$157)^1</f>
        <v>10710</v>
      </c>
      <c r="E6341" s="61" t="n">
        <f aca="false">Pressupostos!$E$413*(1+Pressupostos!$C$156)*(1+Pressupostos!$C$157)^2</f>
        <v>10924.2</v>
      </c>
      <c r="F6341" s="61" t="n">
        <f aca="false">Pressupostos!$F$413*(1+Pressupostos!$C$156)*(1+Pressupostos!$C$157)^3</f>
        <v>11142.684</v>
      </c>
      <c r="G6341" s="61" t="n">
        <f aca="false">Pressupostos!$G$413*(1+Pressupostos!$C$156)*(1+Pressupostos!$C$157)^4</f>
        <v>11365.53768</v>
      </c>
      <c r="H6341" s="2" t="s">
        <v>1347</v>
      </c>
    </row>
    <row r="6342" customFormat="false" ht="15" hidden="false" customHeight="false" outlineLevel="1" collapsed="false">
      <c r="A6342" s="7" t="s">
        <v>452</v>
      </c>
      <c r="B6342" s="8" t="s">
        <v>11</v>
      </c>
      <c r="C6342" s="61" t="n">
        <f aca="false">Pressupostos!$C$419*(1+Pressupostos!$C$156)*(1+Pressupostos!$C$157)^0</f>
        <v>12600</v>
      </c>
      <c r="D6342" s="61" t="n">
        <f aca="false">Pressupostos!$D$419*(1+Pressupostos!$C$156)*(1+Pressupostos!$C$157)^1</f>
        <v>12852</v>
      </c>
      <c r="E6342" s="61" t="n">
        <f aca="false">Pressupostos!$E$419*(1+Pressupostos!$C$156)*(1+Pressupostos!$C$157)^2</f>
        <v>13109.04</v>
      </c>
      <c r="F6342" s="61" t="n">
        <f aca="false">Pressupostos!$F$419*(1+Pressupostos!$C$156)*(1+Pressupostos!$C$157)^3</f>
        <v>13371.2208</v>
      </c>
      <c r="G6342" s="61" t="n">
        <f aca="false">Pressupostos!$G$419*(1+Pressupostos!$C$156)*(1+Pressupostos!$C$157)^4</f>
        <v>13638.645216</v>
      </c>
      <c r="H6342" s="2" t="s">
        <v>1348</v>
      </c>
    </row>
    <row r="6343" customFormat="false" ht="15" hidden="false" customHeight="false" outlineLevel="1" collapsed="false">
      <c r="A6343" s="7" t="s">
        <v>454</v>
      </c>
      <c r="B6343" s="8" t="s">
        <v>11</v>
      </c>
      <c r="C6343" s="61" t="n">
        <f aca="false">Pressupostos!$C$425*(1+Pressupostos!$C$156)*(1+Pressupostos!$C$157)^0</f>
        <v>31500</v>
      </c>
      <c r="D6343" s="61" t="n">
        <f aca="false">Pressupostos!$D$425*(1+Pressupostos!$C$156)*(1+Pressupostos!$C$157)^1</f>
        <v>37485</v>
      </c>
      <c r="E6343" s="61" t="n">
        <f aca="false">Pressupostos!$E$425*(1+Pressupostos!$C$156)*(1+Pressupostos!$C$157)^2</f>
        <v>49158.9</v>
      </c>
      <c r="F6343" s="61" t="n">
        <f aca="false">Pressupostos!$F$425*(1+Pressupostos!$C$156)*(1+Pressupostos!$C$157)^3</f>
        <v>55713.42</v>
      </c>
      <c r="G6343" s="61" t="n">
        <f aca="false">Pressupostos!$G$425*(1+Pressupostos!$C$156)*(1+Pressupostos!$C$157)^4</f>
        <v>62510.45724</v>
      </c>
      <c r="H6343" s="2" t="s">
        <v>1349</v>
      </c>
    </row>
    <row r="6344" customFormat="false" ht="15" hidden="false" customHeight="false" outlineLevel="1" collapsed="false">
      <c r="A6344" s="7" t="s">
        <v>456</v>
      </c>
      <c r="B6344" s="8" t="s">
        <v>11</v>
      </c>
      <c r="C6344" s="61" t="n">
        <f aca="false">Pressupostos!$C$431*(1+Pressupostos!$C$156)*(1+Pressupostos!$C$157)^0</f>
        <v>15750</v>
      </c>
      <c r="D6344" s="61" t="n">
        <f aca="false">Pressupostos!$D$431*(1+Pressupostos!$C$156)*(1+Pressupostos!$C$157)^1</f>
        <v>16065</v>
      </c>
      <c r="E6344" s="61" t="n">
        <f aca="false">Pressupostos!$E$431*(1+Pressupostos!$C$156)*(1+Pressupostos!$C$157)^2</f>
        <v>38234.7</v>
      </c>
      <c r="F6344" s="61" t="n">
        <f aca="false">Pressupostos!$F$431*(1+Pressupostos!$C$156)*(1+Pressupostos!$C$157)^3</f>
        <v>22285.368</v>
      </c>
      <c r="G6344" s="61" t="n">
        <f aca="false">Pressupostos!$G$431*(1+Pressupostos!$C$156)*(1+Pressupostos!$C$157)^4</f>
        <v>22731.07536</v>
      </c>
      <c r="H6344" s="2" t="s">
        <v>1350</v>
      </c>
    </row>
    <row r="6345" customFormat="false" ht="15" hidden="false" customHeight="false" outlineLevel="1" collapsed="false">
      <c r="A6345" s="7" t="s">
        <v>458</v>
      </c>
      <c r="B6345" s="8" t="s">
        <v>11</v>
      </c>
      <c r="C6345" s="61" t="n">
        <f aca="false">Pressupostos!$C$437*(1+Pressupostos!$C$156)*(1+Pressupostos!$C$157)^0</f>
        <v>10500</v>
      </c>
      <c r="D6345" s="61" t="n">
        <f aca="false">Pressupostos!$D$437*(1+Pressupostos!$C$156)*(1+Pressupostos!$C$157)^1</f>
        <v>12852</v>
      </c>
      <c r="E6345" s="61" t="n">
        <f aca="false">Pressupostos!$E$437*(1+Pressupostos!$C$156)*(1+Pressupostos!$C$157)^2</f>
        <v>16386.3</v>
      </c>
      <c r="F6345" s="61" t="n">
        <f aca="false">Pressupostos!$F$437*(1+Pressupostos!$C$156)*(1+Pressupostos!$C$157)^3</f>
        <v>20056.8312</v>
      </c>
      <c r="G6345" s="61" t="n">
        <f aca="false">Pressupostos!$G$437*(1+Pressupostos!$C$156)*(1+Pressupostos!$C$157)^4</f>
        <v>22731.07536</v>
      </c>
      <c r="H6345" s="2" t="s">
        <v>1351</v>
      </c>
    </row>
    <row r="6346" customFormat="false" ht="15" hidden="false" customHeight="false" outlineLevel="1" collapsed="false">
      <c r="A6346" s="7" t="s">
        <v>459</v>
      </c>
      <c r="B6346" s="8" t="s">
        <v>11</v>
      </c>
      <c r="C6346" s="61" t="n">
        <f aca="false">Pressupostos!$C$443*(1+Pressupostos!$C$156)*(1+Pressupostos!$C$157)^0</f>
        <v>31500</v>
      </c>
      <c r="D6346" s="61" t="n">
        <f aca="false">Pressupostos!$D$443*(1+Pressupostos!$C$156)*(1+Pressupostos!$C$157)^1</f>
        <v>37485</v>
      </c>
      <c r="E6346" s="61" t="n">
        <f aca="false">Pressupostos!$E$443*(1+Pressupostos!$C$156)*(1+Pressupostos!$C$157)^2</f>
        <v>49158.9</v>
      </c>
      <c r="F6346" s="61" t="n">
        <f aca="false">Pressupostos!$F$443*(1+Pressupostos!$C$156)*(1+Pressupostos!$C$157)^3</f>
        <v>55713.42</v>
      </c>
      <c r="G6346" s="61" t="n">
        <f aca="false">Pressupostos!$G$443*(1+Pressupostos!$C$156)*(1+Pressupostos!$C$157)^4</f>
        <v>62510.45724</v>
      </c>
      <c r="H6346" s="2" t="s">
        <v>1352</v>
      </c>
    </row>
    <row r="6347" customFormat="false" ht="15" hidden="false" customHeight="false" outlineLevel="1" collapsed="false">
      <c r="A6347" s="7" t="s">
        <v>461</v>
      </c>
      <c r="B6347" s="8" t="s">
        <v>11</v>
      </c>
      <c r="C6347" s="61" t="n">
        <f aca="false">Pressupostos!$C$449*(1+Pressupostos!$C$156)*(1+Pressupostos!$C$157)^0</f>
        <v>6300</v>
      </c>
      <c r="D6347" s="61" t="n">
        <f aca="false">Pressupostos!$D$449*(1+Pressupostos!$C$156)*(1+Pressupostos!$C$157)^1</f>
        <v>8568</v>
      </c>
      <c r="E6347" s="61" t="n">
        <f aca="false">Pressupostos!$E$449*(1+Pressupostos!$C$156)*(1+Pressupostos!$C$157)^2</f>
        <v>13109.04</v>
      </c>
      <c r="F6347" s="61" t="n">
        <f aca="false">Pressupostos!$F$449*(1+Pressupostos!$C$156)*(1+Pressupostos!$C$157)^3</f>
        <v>16714.026</v>
      </c>
      <c r="G6347" s="61" t="n">
        <f aca="false">Pressupostos!$G$449*(1+Pressupostos!$C$156)*(1+Pressupostos!$C$157)^4</f>
        <v>20457.967824</v>
      </c>
      <c r="H6347" s="2" t="s">
        <v>1353</v>
      </c>
    </row>
    <row r="6348" customFormat="false" ht="15" hidden="false" customHeight="false" outlineLevel="1" collapsed="false">
      <c r="A6348" s="7" t="s">
        <v>463</v>
      </c>
      <c r="B6348" s="8" t="s">
        <v>11</v>
      </c>
      <c r="C6348" s="61" t="n">
        <f aca="false">Pressupostos!$C$455*(1+Pressupostos!$C$156)*(1+Pressupostos!$C$157)^0</f>
        <v>15750</v>
      </c>
      <c r="D6348" s="61" t="n">
        <f aca="false">Pressupostos!$D$455*(1+Pressupostos!$C$156)*(1+Pressupostos!$C$157)^1</f>
        <v>21420</v>
      </c>
      <c r="E6348" s="61" t="n">
        <f aca="false">Pressupostos!$E$455*(1+Pressupostos!$C$156)*(1+Pressupostos!$C$157)^2</f>
        <v>30587.76</v>
      </c>
      <c r="F6348" s="61" t="n">
        <f aca="false">Pressupostos!$F$455*(1+Pressupostos!$C$156)*(1+Pressupostos!$C$157)^3</f>
        <v>35656.5888</v>
      </c>
      <c r="G6348" s="61" t="n">
        <f aca="false">Pressupostos!$G$455*(1+Pressupostos!$C$156)*(1+Pressupostos!$C$157)^4</f>
        <v>40915.935648</v>
      </c>
      <c r="H6348" s="2" t="s">
        <v>1354</v>
      </c>
    </row>
    <row r="6349" customFormat="false" ht="15" hidden="false" customHeight="false" outlineLevel="1" collapsed="false">
      <c r="A6349" s="7" t="s">
        <v>464</v>
      </c>
      <c r="B6349" s="8" t="s">
        <v>11</v>
      </c>
      <c r="C6349" s="61" t="n">
        <f aca="false">Pressupostos!$C$461*(1+Pressupostos!$C$156)*(1+Pressupostos!$C$157)^0</f>
        <v>4200</v>
      </c>
      <c r="D6349" s="61" t="n">
        <f aca="false">Pressupostos!$D$461*(1+Pressupostos!$C$156)*(1+Pressupostos!$C$157)^1</f>
        <v>6426</v>
      </c>
      <c r="E6349" s="61" t="n">
        <f aca="false">Pressupostos!$E$461*(1+Pressupostos!$C$156)*(1+Pressupostos!$C$157)^2</f>
        <v>8739.36</v>
      </c>
      <c r="F6349" s="61" t="n">
        <f aca="false">Pressupostos!$F$461*(1+Pressupostos!$C$156)*(1+Pressupostos!$C$157)^3</f>
        <v>8914.1472</v>
      </c>
      <c r="G6349" s="61" t="n">
        <f aca="false">Pressupostos!$G$461*(1+Pressupostos!$C$156)*(1+Pressupostos!$C$157)^4</f>
        <v>9092.430144</v>
      </c>
      <c r="H6349" s="2" t="s">
        <v>1355</v>
      </c>
    </row>
    <row r="6350" customFormat="false" ht="15" hidden="false" customHeight="false" outlineLevel="1" collapsed="false">
      <c r="A6350" s="7" t="s">
        <v>701</v>
      </c>
      <c r="B6350" s="8" t="s">
        <v>11</v>
      </c>
      <c r="C6350" s="61" t="n">
        <f aca="false">C6340+C6341+C6342+C6343+C6344+C6345+C6346+C6347+C6348+C6349</f>
        <v>233100</v>
      </c>
      <c r="D6350" s="61" t="n">
        <f aca="false">D6340+D6341+D6342+D6343+D6344+D6345+D6346+D6347+D6348+D6349</f>
        <v>217413</v>
      </c>
      <c r="E6350" s="61" t="n">
        <f aca="false">E6340+E6341+E6342+E6343+E6344+E6345+E6346+E6347+E6348+E6349</f>
        <v>278567.1</v>
      </c>
      <c r="F6350" s="61" t="n">
        <f aca="false">F6340+F6341+F6342+F6343+F6344+F6345+F6346+F6347+F6348+F6349</f>
        <v>289709.784</v>
      </c>
      <c r="G6350" s="61" t="n">
        <f aca="false">G6340+G6341+G6342+G6343+G6344+G6345+G6346+G6347+G6348+G6349</f>
        <v>317098.501272</v>
      </c>
      <c r="H6350" s="2" t="s">
        <v>1356</v>
      </c>
    </row>
    <row r="6351" customFormat="false" ht="15" hidden="false" customHeight="false" outlineLevel="1" collapsed="false">
      <c r="A6351" s="7" t="s">
        <v>702</v>
      </c>
      <c r="B6351" s="8" t="s">
        <v>11</v>
      </c>
      <c r="C6351" s="61" t="n">
        <f aca="false">Pressupostos!$C$114+Pressupostos!$C$115+Pressupostos!$C$116*Pressupostos!$C$296+Pressupostos!$C$466+Pressupostos!$C$308</f>
        <v>65000</v>
      </c>
      <c r="D6351" s="61" t="n">
        <f aca="false">Pressupostos!$C$115+Pressupostos!$C$116*Pressupostos!$D$296+Pressupostos!$D$466+Pressupostos!$D$308</f>
        <v>75000</v>
      </c>
      <c r="E6351" s="61" t="n">
        <f aca="false">Pressupostos!$C$115+Pressupostos!$C$116*Pressupostos!$E$296+Pressupostos!$E$466+Pressupostos!$E$308</f>
        <v>80000</v>
      </c>
      <c r="F6351" s="61" t="n">
        <f aca="false">Pressupostos!$C$115+Pressupostos!$C$116*Pressupostos!$F$296+Pressupostos!$F$466+Pressupostos!$F$308</f>
        <v>85000</v>
      </c>
      <c r="G6351" s="61" t="n">
        <f aca="false">Pressupostos!$C$115+Pressupostos!$C$116*Pressupostos!$G$296+Pressupostos!$G$466+Pressupostos!$G$308</f>
        <v>90000</v>
      </c>
      <c r="H6351" s="2" t="s">
        <v>1357</v>
      </c>
    </row>
    <row r="6352" customFormat="false" ht="15" hidden="false" customHeight="false" outlineLevel="1" collapsed="false">
      <c r="A6352" s="7" t="s">
        <v>703</v>
      </c>
      <c r="B6352" s="8" t="s">
        <v>11</v>
      </c>
      <c r="C6352" s="61" t="n">
        <f aca="false">IF(C6164&lt;Pressupostos!$C$120,0,MAX(Pressupostos!$C$302,Pressupostos!$C$118*(C6258+C6259)+Pressupostos!$C$119*C6260))</f>
        <v>0</v>
      </c>
      <c r="D6352" s="61" t="n">
        <f aca="false">IF(D6164&lt;Pressupostos!$C$120,0,MAX(Pressupostos!$D$302,Pressupostos!$C$118*(D6258+D6259)+Pressupostos!$C$119*D6260))</f>
        <v>9452.04</v>
      </c>
      <c r="E6352" s="61" t="n">
        <f aca="false">IF(E6164&lt;Pressupostos!$C$120,0,MAX(Pressupostos!$E$302,Pressupostos!$C$118*(E6258+E6259)+Pressupostos!$C$119*E6260))</f>
        <v>19266.78</v>
      </c>
      <c r="F6352" s="61" t="n">
        <f aca="false">IF(F6164&lt;Pressupostos!$C$120,0,MAX(Pressupostos!$F$302,Pressupostos!$C$118*(F6258+F6259)+Pressupostos!$C$119*F6260))</f>
        <v>32019.26</v>
      </c>
      <c r="G6352" s="61" t="n">
        <f aca="false">IF(G6164&lt;Pressupostos!$C$120,0,MAX(Pressupostos!$G$302,Pressupostos!$C$118*(G6258+G6259)+Pressupostos!$C$119*G6260))</f>
        <v>48107.8</v>
      </c>
      <c r="H6352" s="2" t="s">
        <v>1358</v>
      </c>
    </row>
    <row r="6353" customFormat="false" ht="15" hidden="false" customHeight="false" outlineLevel="1" collapsed="false">
      <c r="A6353" s="56" t="s">
        <v>704</v>
      </c>
      <c r="B6353" s="57" t="s">
        <v>11</v>
      </c>
      <c r="C6353" s="62" t="n">
        <f aca="false">C6350+C6351+C6352</f>
        <v>298100</v>
      </c>
      <c r="D6353" s="62" t="n">
        <f aca="false">D6350+D6351+D6352</f>
        <v>301865.04</v>
      </c>
      <c r="E6353" s="62" t="n">
        <f aca="false">E6350+E6351+E6352</f>
        <v>377833.88</v>
      </c>
      <c r="F6353" s="62" t="n">
        <f aca="false">F6350+F6351+F6352</f>
        <v>406729.044</v>
      </c>
      <c r="G6353" s="62" t="n">
        <f aca="false">G6350+G6351+G6352</f>
        <v>455206.301272</v>
      </c>
      <c r="H6353" s="2" t="s">
        <v>1359</v>
      </c>
    </row>
    <row r="6354" customFormat="false" ht="15" hidden="false" customHeight="false" outlineLevel="0" collapsed="false">
      <c r="A6354" s="3" t="s">
        <v>1360</v>
      </c>
      <c r="B6354" s="4"/>
      <c r="C6354" s="4"/>
      <c r="D6354" s="4"/>
      <c r="E6354" s="4"/>
      <c r="F6354" s="4"/>
      <c r="G6354" s="4"/>
      <c r="H6354" s="4"/>
    </row>
    <row r="6355" customFormat="false" ht="15" hidden="false" customHeight="false" outlineLevel="1" collapsed="false">
      <c r="A6355" s="7" t="s">
        <v>706</v>
      </c>
      <c r="B6355" s="8" t="s">
        <v>11</v>
      </c>
      <c r="C6355" s="61" t="n">
        <f aca="false">Pressupostos!$C$165*Pressupostos!$C$315</f>
        <v>18000</v>
      </c>
      <c r="D6355" s="61" t="n">
        <f aca="false">Pressupostos!$C$165*Pressupostos!$D$315</f>
        <v>12000</v>
      </c>
      <c r="E6355" s="61" t="n">
        <f aca="false">Pressupostos!$C$165*Pressupostos!$E$315</f>
        <v>12000</v>
      </c>
      <c r="F6355" s="61" t="n">
        <f aca="false">Pressupostos!$C$165*Pressupostos!$F$315</f>
        <v>12000</v>
      </c>
      <c r="G6355" s="61" t="n">
        <f aca="false">Pressupostos!$C$165*Pressupostos!$G$315</f>
        <v>12000</v>
      </c>
      <c r="H6355" s="2" t="s">
        <v>1361</v>
      </c>
    </row>
    <row r="6356" customFormat="false" ht="15" hidden="false" customHeight="false" outlineLevel="1" collapsed="false">
      <c r="A6356" s="7" t="s">
        <v>707</v>
      </c>
      <c r="B6356" s="8" t="s">
        <v>11</v>
      </c>
      <c r="C6356" s="53" t="n">
        <f aca="false">Pressupostos!$C$321</f>
        <v>60000</v>
      </c>
      <c r="D6356" s="53" t="n">
        <f aca="false">Pressupostos!$D$321</f>
        <v>15000</v>
      </c>
      <c r="E6356" s="53" t="n">
        <f aca="false">Pressupostos!$E$321</f>
        <v>15000</v>
      </c>
      <c r="F6356" s="53" t="n">
        <f aca="false">Pressupostos!$F$321</f>
        <v>10000</v>
      </c>
      <c r="G6356" s="53" t="n">
        <f aca="false">Pressupostos!$G$321</f>
        <v>10000</v>
      </c>
      <c r="H6356" s="2" t="s">
        <v>1362</v>
      </c>
    </row>
    <row r="6357" customFormat="false" ht="15" hidden="false" customHeight="false" outlineLevel="1" collapsed="false">
      <c r="A6357" s="7" t="s">
        <v>708</v>
      </c>
      <c r="B6357" s="8" t="s">
        <v>11</v>
      </c>
      <c r="C6357" s="53" t="n">
        <f aca="false">Pressupostos!$C$327</f>
        <v>0</v>
      </c>
      <c r="D6357" s="53" t="n">
        <f aca="false">Pressupostos!$D$327</f>
        <v>15000</v>
      </c>
      <c r="E6357" s="53" t="n">
        <f aca="false">Pressupostos!$E$327</f>
        <v>15000</v>
      </c>
      <c r="F6357" s="53" t="n">
        <f aca="false">Pressupostos!$F$327</f>
        <v>10000</v>
      </c>
      <c r="G6357" s="53" t="n">
        <f aca="false">Pressupostos!$G$327</f>
        <v>10000</v>
      </c>
      <c r="H6357" s="2" t="s">
        <v>1363</v>
      </c>
    </row>
    <row r="6358" customFormat="false" ht="15" hidden="false" customHeight="false" outlineLevel="1" collapsed="false">
      <c r="A6358" s="7" t="s">
        <v>709</v>
      </c>
      <c r="B6358" s="8" t="s">
        <v>11</v>
      </c>
      <c r="C6358" s="61" t="n">
        <f aca="false">Pressupostos!$C$166*MAX(0,C6320)</f>
        <v>11000</v>
      </c>
      <c r="D6358" s="61" t="n">
        <f aca="false">Pressupostos!$C$166*MAX(0,D6320-C6320)</f>
        <v>4000</v>
      </c>
      <c r="E6358" s="61" t="n">
        <f aca="false">Pressupostos!$C$166*MAX(0,E6320-D6320)</f>
        <v>2000</v>
      </c>
      <c r="F6358" s="61" t="n">
        <f aca="false">Pressupostos!$C$166*MAX(0,F6320-E6320)</f>
        <v>5000</v>
      </c>
      <c r="G6358" s="61" t="n">
        <f aca="false">Pressupostos!$C$166*MAX(0,G6320-F6320)</f>
        <v>2000</v>
      </c>
      <c r="H6358" s="2" t="s">
        <v>1364</v>
      </c>
    </row>
    <row r="6359" customFormat="false" ht="15" hidden="false" customHeight="false" outlineLevel="1" collapsed="false">
      <c r="A6359" s="7" t="s">
        <v>424</v>
      </c>
      <c r="B6359" s="8" t="s">
        <v>11</v>
      </c>
      <c r="C6359" s="61" t="n">
        <f aca="false">C6355+C6356+C6357+C6358</f>
        <v>89000</v>
      </c>
      <c r="D6359" s="61" t="n">
        <f aca="false">D6355+D6356+D6357+D6358</f>
        <v>46000</v>
      </c>
      <c r="E6359" s="61" t="n">
        <f aca="false">E6355+E6356+E6357+E6358</f>
        <v>44000</v>
      </c>
      <c r="F6359" s="61" t="n">
        <f aca="false">F6355+F6356+F6357+F6358</f>
        <v>37000</v>
      </c>
      <c r="G6359" s="61" t="n">
        <f aca="false">G6355+G6356+G6357+G6358</f>
        <v>34000</v>
      </c>
      <c r="H6359" s="2" t="s">
        <v>1365</v>
      </c>
    </row>
    <row r="6360" customFormat="false" ht="15" hidden="false" customHeight="false" outlineLevel="1" collapsed="false">
      <c r="A6360" s="7" t="s">
        <v>710</v>
      </c>
      <c r="B6360" s="8" t="s">
        <v>11</v>
      </c>
      <c r="C6360" s="61" t="n">
        <f aca="false">(C6356*((0)&lt;Pressupostos!$C$167))/Pressupostos!$C$167</f>
        <v>20000</v>
      </c>
      <c r="D6360" s="61" t="n">
        <f aca="false">(C6356*((1)&lt;Pressupostos!$C$167)+D6356*((0)&lt;Pressupostos!$C$167))/Pressupostos!$C$167</f>
        <v>25000</v>
      </c>
      <c r="E6360" s="61" t="n">
        <f aca="false">(C6356*((2)&lt;Pressupostos!$C$167)+D6356*((1)&lt;Pressupostos!$C$167)+E6356*((0)&lt;Pressupostos!$C$167))/Pressupostos!$C$167</f>
        <v>30000</v>
      </c>
      <c r="F6360" s="61" t="n">
        <f aca="false">(C6356*((3)&lt;Pressupostos!$C$167)+D6356*((2)&lt;Pressupostos!$C$167)+E6356*((1)&lt;Pressupostos!$C$167)+F6356*((0)&lt;Pressupostos!$C$167))/Pressupostos!$C$167</f>
        <v>13333.3333333333</v>
      </c>
      <c r="G6360" s="61" t="n">
        <f aca="false">(C6356*((4)&lt;Pressupostos!$C$167)+D6356*((3)&lt;Pressupostos!$C$167)+E6356*((2)&lt;Pressupostos!$C$167)+F6356*((1)&lt;Pressupostos!$C$167)+G6356*((0)&lt;Pressupostos!$C$167))/Pressupostos!$C$167</f>
        <v>11666.6666666667</v>
      </c>
      <c r="H6360" s="2" t="s">
        <v>1366</v>
      </c>
    </row>
    <row r="6361" customFormat="false" ht="15" hidden="false" customHeight="false" outlineLevel="1" collapsed="false">
      <c r="A6361" s="7" t="s">
        <v>711</v>
      </c>
      <c r="B6361" s="8" t="s">
        <v>11</v>
      </c>
      <c r="C6361" s="61" t="n">
        <f aca="false">(C6357*((0)&lt;Pressupostos!$C$167))/Pressupostos!$C$167</f>
        <v>0</v>
      </c>
      <c r="D6361" s="61" t="n">
        <f aca="false">(C6357*((1)&lt;Pressupostos!$C$167)+D6357*((0)&lt;Pressupostos!$C$167))/Pressupostos!$C$167</f>
        <v>5000</v>
      </c>
      <c r="E6361" s="61" t="n">
        <f aca="false">(C6357*((2)&lt;Pressupostos!$C$167)+D6357*((1)&lt;Pressupostos!$C$167)+E6357*((0)&lt;Pressupostos!$C$167))/Pressupostos!$C$167</f>
        <v>10000</v>
      </c>
      <c r="F6361" s="61" t="n">
        <f aca="false">(C6357*((3)&lt;Pressupostos!$C$167)+D6357*((2)&lt;Pressupostos!$C$167)+E6357*((1)&lt;Pressupostos!$C$167)+F6357*((0)&lt;Pressupostos!$C$167))/Pressupostos!$C$167</f>
        <v>13333.3333333333</v>
      </c>
      <c r="G6361" s="61" t="n">
        <f aca="false">(C6357*((4)&lt;Pressupostos!$C$167)+D6357*((3)&lt;Pressupostos!$C$167)+E6357*((2)&lt;Pressupostos!$C$167)+F6357*((1)&lt;Pressupostos!$C$167)+G6357*((0)&lt;Pressupostos!$C$167))/Pressupostos!$C$167</f>
        <v>11666.6666666667</v>
      </c>
      <c r="H6361" s="2" t="s">
        <v>1367</v>
      </c>
    </row>
    <row r="6362" customFormat="false" ht="15" hidden="false" customHeight="false" outlineLevel="1" collapsed="false">
      <c r="A6362" s="7" t="s">
        <v>712</v>
      </c>
      <c r="B6362" s="8" t="s">
        <v>11</v>
      </c>
      <c r="C6362" s="61" t="n">
        <f aca="false">(C6355*((0)&lt;Pressupostos!$C$169))/Pressupostos!$C$169</f>
        <v>3600</v>
      </c>
      <c r="D6362" s="61" t="n">
        <f aca="false">(C6355*((1)&lt;Pressupostos!$C$169)+D6355*((0)&lt;Pressupostos!$C$169))/Pressupostos!$C$169</f>
        <v>6000</v>
      </c>
      <c r="E6362" s="61" t="n">
        <f aca="false">(C6355*((2)&lt;Pressupostos!$C$169)+D6355*((1)&lt;Pressupostos!$C$169)+E6355*((0)&lt;Pressupostos!$C$169))/Pressupostos!$C$169</f>
        <v>8400</v>
      </c>
      <c r="F6362" s="61" t="n">
        <f aca="false">(C6355*((3)&lt;Pressupostos!$C$169)+D6355*((2)&lt;Pressupostos!$C$169)+E6355*((1)&lt;Pressupostos!$C$169)+F6355*((0)&lt;Pressupostos!$C$169))/Pressupostos!$C$169</f>
        <v>10800</v>
      </c>
      <c r="G6362" s="61" t="n">
        <f aca="false">(C6355*((4)&lt;Pressupostos!$C$169)+D6355*((3)&lt;Pressupostos!$C$169)+E6355*((2)&lt;Pressupostos!$C$169)+F6355*((1)&lt;Pressupostos!$C$169)+G6355*((0)&lt;Pressupostos!$C$169))/Pressupostos!$C$169</f>
        <v>13200</v>
      </c>
      <c r="H6362" s="2" t="s">
        <v>1368</v>
      </c>
    </row>
    <row r="6363" customFormat="false" ht="15" hidden="false" customHeight="false" outlineLevel="1" collapsed="false">
      <c r="A6363" s="7" t="s">
        <v>713</v>
      </c>
      <c r="B6363" s="8" t="s">
        <v>11</v>
      </c>
      <c r="C6363" s="61" t="n">
        <f aca="false">(C6358*((0)&lt;Pressupostos!$C$168))/Pressupostos!$C$168</f>
        <v>2750</v>
      </c>
      <c r="D6363" s="61" t="n">
        <f aca="false">(C6358*((1)&lt;Pressupostos!$C$168)+D6358*((0)&lt;Pressupostos!$C$168))/Pressupostos!$C$168</f>
        <v>3750</v>
      </c>
      <c r="E6363" s="61" t="n">
        <f aca="false">(C6358*((2)&lt;Pressupostos!$C$168)+D6358*((1)&lt;Pressupostos!$C$168)+E6358*((0)&lt;Pressupostos!$C$168))/Pressupostos!$C$168</f>
        <v>4250</v>
      </c>
      <c r="F6363" s="61" t="n">
        <f aca="false">(C6358*((3)&lt;Pressupostos!$C$168)+D6358*((2)&lt;Pressupostos!$C$168)+E6358*((1)&lt;Pressupostos!$C$168)+F6358*((0)&lt;Pressupostos!$C$168))/Pressupostos!$C$168</f>
        <v>5500</v>
      </c>
      <c r="G6363" s="61" t="n">
        <f aca="false">(C6358*((4)&lt;Pressupostos!$C$168)+D6358*((3)&lt;Pressupostos!$C$168)+E6358*((2)&lt;Pressupostos!$C$168)+F6358*((1)&lt;Pressupostos!$C$168)+G6358*((0)&lt;Pressupostos!$C$168))/Pressupostos!$C$168</f>
        <v>3250</v>
      </c>
      <c r="H6363" s="2" t="s">
        <v>1369</v>
      </c>
    </row>
    <row r="6364" customFormat="false" ht="15" hidden="false" customHeight="false" outlineLevel="1" collapsed="false">
      <c r="A6364" s="7" t="s">
        <v>714</v>
      </c>
      <c r="B6364" s="8" t="s">
        <v>11</v>
      </c>
      <c r="C6364" s="61" t="n">
        <f aca="false">C6360+C6361+C6362+C6363</f>
        <v>26350</v>
      </c>
      <c r="D6364" s="61" t="n">
        <f aca="false">D6360+D6361+D6362+D6363</f>
        <v>39750</v>
      </c>
      <c r="E6364" s="61" t="n">
        <f aca="false">E6360+E6361+E6362+E6363</f>
        <v>52650</v>
      </c>
      <c r="F6364" s="61" t="n">
        <f aca="false">F6360+F6361+F6362+F6363</f>
        <v>42966.6666666667</v>
      </c>
      <c r="G6364" s="61" t="n">
        <f aca="false">G6360+G6361+G6362+G6363</f>
        <v>39783.3333333333</v>
      </c>
      <c r="H6364" s="2" t="s">
        <v>1370</v>
      </c>
    </row>
    <row r="6365" customFormat="false" ht="15" hidden="false" customHeight="false" outlineLevel="0" collapsed="false">
      <c r="A6365" s="3" t="s">
        <v>1371</v>
      </c>
      <c r="B6365" s="4"/>
      <c r="C6365" s="4"/>
      <c r="D6365" s="4"/>
      <c r="E6365" s="4"/>
      <c r="F6365" s="4"/>
      <c r="G6365" s="4"/>
      <c r="H6365" s="4"/>
    </row>
    <row r="6366" customFormat="false" ht="15" hidden="false" customHeight="false" outlineLevel="1" collapsed="false">
      <c r="A6366" s="56" t="s">
        <v>718</v>
      </c>
      <c r="B6366" s="57" t="s">
        <v>11</v>
      </c>
      <c r="C6366" s="62" t="n">
        <f aca="false">C6268</f>
        <v>365396.72</v>
      </c>
      <c r="D6366" s="62" t="n">
        <f aca="false">D6268</f>
        <v>2401020.2</v>
      </c>
      <c r="E6366" s="62" t="n">
        <f aca="false">E6268</f>
        <v>4930409.7</v>
      </c>
      <c r="F6366" s="62" t="n">
        <f aca="false">F6268</f>
        <v>8428650.1</v>
      </c>
      <c r="G6366" s="62" t="n">
        <f aca="false">G6268</f>
        <v>12892955.5</v>
      </c>
      <c r="H6366" s="2" t="s">
        <v>1372</v>
      </c>
    </row>
    <row r="6367" customFormat="false" ht="15" hidden="false" customHeight="false" outlineLevel="1" collapsed="false">
      <c r="A6367" s="7" t="s">
        <v>688</v>
      </c>
      <c r="B6367" s="8" t="s">
        <v>11</v>
      </c>
      <c r="C6367" s="61" t="n">
        <f aca="false">-C6291</f>
        <v>-318552</v>
      </c>
      <c r="D6367" s="61" t="n">
        <f aca="false">-D6291</f>
        <v>-2079090</v>
      </c>
      <c r="E6367" s="61" t="n">
        <f aca="false">-E6291</f>
        <v>-4222725</v>
      </c>
      <c r="F6367" s="61" t="n">
        <f aca="false">-F6291</f>
        <v>-7194005</v>
      </c>
      <c r="G6367" s="61" t="n">
        <f aca="false">-G6291</f>
        <v>-10998650</v>
      </c>
      <c r="H6367" s="2" t="s">
        <v>1373</v>
      </c>
    </row>
    <row r="6368" customFormat="false" ht="15" hidden="false" customHeight="false" outlineLevel="1" collapsed="false">
      <c r="A6368" s="56" t="s">
        <v>719</v>
      </c>
      <c r="B6368" s="57" t="s">
        <v>11</v>
      </c>
      <c r="C6368" s="62" t="n">
        <f aca="false">C6366+C6367</f>
        <v>46844.72</v>
      </c>
      <c r="D6368" s="62" t="n">
        <f aca="false">D6366+D6367</f>
        <v>321930.2</v>
      </c>
      <c r="E6368" s="62" t="n">
        <f aca="false">E6366+E6367</f>
        <v>707684.7</v>
      </c>
      <c r="F6368" s="62" t="n">
        <f aca="false">F6366+F6367</f>
        <v>1234645.1</v>
      </c>
      <c r="G6368" s="62" t="n">
        <f aca="false">G6366+G6367</f>
        <v>1894305.5</v>
      </c>
      <c r="H6368" s="2" t="s">
        <v>1374</v>
      </c>
    </row>
    <row r="6369" customFormat="false" ht="15" hidden="false" customHeight="false" outlineLevel="1" collapsed="false">
      <c r="A6369" s="2" t="s">
        <v>720</v>
      </c>
      <c r="B6369" s="8" t="s">
        <v>76</v>
      </c>
      <c r="C6369" s="59" t="n">
        <f aca="false">IF(C6366&gt;0,C6368/C6366,0)</f>
        <v>0.128202354963668</v>
      </c>
      <c r="D6369" s="59" t="n">
        <f aca="false">IF(D6366&gt;0,D6368/D6366,0)</f>
        <v>0.134080587910089</v>
      </c>
      <c r="E6369" s="59" t="n">
        <f aca="false">IF(E6366&gt;0,E6368/E6366,0)</f>
        <v>0.143534664066558</v>
      </c>
      <c r="F6369" s="59" t="n">
        <f aca="false">IF(F6366&gt;0,F6368/F6366,0)</f>
        <v>0.14648194970153</v>
      </c>
      <c r="G6369" s="59" t="n">
        <f aca="false">IF(G6366&gt;0,G6368/G6366,0)</f>
        <v>0.146925621514788</v>
      </c>
      <c r="H6369" s="2" t="s">
        <v>1375</v>
      </c>
    </row>
    <row r="6370" customFormat="false" ht="15" hidden="false" customHeight="false" outlineLevel="1" collapsed="false">
      <c r="A6370" s="7" t="s">
        <v>721</v>
      </c>
      <c r="B6370" s="8" t="s">
        <v>11</v>
      </c>
      <c r="C6370" s="61" t="n">
        <f aca="false">-C6302</f>
        <v>-20162.7693835616</v>
      </c>
      <c r="D6370" s="61" t="n">
        <f aca="false">-D6302</f>
        <v>-132566.790119863</v>
      </c>
      <c r="E6370" s="61" t="n">
        <f aca="false">-E6302</f>
        <v>-275885.29390411</v>
      </c>
      <c r="F6370" s="61" t="n">
        <f aca="false">-F6302</f>
        <v>-466178.962226027</v>
      </c>
      <c r="G6370" s="61" t="n">
        <f aca="false">-G6302</f>
        <v>-696368.448972603</v>
      </c>
      <c r="H6370" s="2" t="s">
        <v>1376</v>
      </c>
    </row>
    <row r="6371" customFormat="false" ht="15" hidden="false" customHeight="false" outlineLevel="1" collapsed="false">
      <c r="A6371" s="7" t="s">
        <v>698</v>
      </c>
      <c r="B6371" s="8" t="s">
        <v>11</v>
      </c>
      <c r="C6371" s="61" t="n">
        <f aca="false">-C6305</f>
        <v>-0</v>
      </c>
      <c r="D6371" s="61" t="n">
        <f aca="false">-D6305</f>
        <v>-27981.4315068493</v>
      </c>
      <c r="E6371" s="61" t="n">
        <f aca="false">-E6305</f>
        <v>-44308.6788313356</v>
      </c>
      <c r="F6371" s="61" t="n">
        <f aca="false">-F6305</f>
        <v>-70107.7673373288</v>
      </c>
      <c r="G6371" s="61" t="n">
        <f aca="false">-G6305</f>
        <v>-106938.050085616</v>
      </c>
      <c r="H6371" s="2" t="s">
        <v>1377</v>
      </c>
    </row>
    <row r="6372" customFormat="false" ht="15" hidden="false" customHeight="false" outlineLevel="1" collapsed="false">
      <c r="A6372" s="56" t="s">
        <v>677</v>
      </c>
      <c r="B6372" s="57" t="s">
        <v>11</v>
      </c>
      <c r="C6372" s="62" t="n">
        <f aca="false">C6368+C6370+C6371</f>
        <v>26681.9506164383</v>
      </c>
      <c r="D6372" s="62" t="n">
        <f aca="false">D6368+D6370+D6371</f>
        <v>161381.978373288</v>
      </c>
      <c r="E6372" s="62" t="n">
        <f aca="false">E6368+E6370+E6371</f>
        <v>387490.727264555</v>
      </c>
      <c r="F6372" s="62" t="n">
        <f aca="false">F6368+F6370+F6371</f>
        <v>698358.370436644</v>
      </c>
      <c r="G6372" s="62" t="n">
        <f aca="false">G6368+G6370+G6371</f>
        <v>1090999.00094178</v>
      </c>
      <c r="H6372" s="2" t="s">
        <v>1378</v>
      </c>
    </row>
    <row r="6373" customFormat="false" ht="15" hidden="false" customHeight="false" outlineLevel="1" collapsed="false">
      <c r="A6373" s="7" t="s">
        <v>261</v>
      </c>
      <c r="B6373" s="8" t="s">
        <v>11</v>
      </c>
      <c r="C6373" s="61" t="n">
        <f aca="false">-C6337</f>
        <v>-303573.09375</v>
      </c>
      <c r="D6373" s="61" t="n">
        <f aca="false">-D6337</f>
        <v>-477845.325</v>
      </c>
      <c r="E6373" s="61" t="n">
        <f aca="false">-E6337</f>
        <v>-563341.2153125</v>
      </c>
      <c r="F6373" s="61" t="n">
        <f aca="false">-F6337</f>
        <v>-697007.527174375</v>
      </c>
      <c r="G6373" s="61" t="n">
        <f aca="false">-G6337</f>
        <v>-768997.563445444</v>
      </c>
      <c r="H6373" s="2" t="s">
        <v>1379</v>
      </c>
    </row>
    <row r="6374" customFormat="false" ht="15" hidden="false" customHeight="false" outlineLevel="1" collapsed="false">
      <c r="A6374" s="7" t="s">
        <v>722</v>
      </c>
      <c r="B6374" s="8" t="s">
        <v>11</v>
      </c>
      <c r="C6374" s="61" t="n">
        <f aca="false">-C6353</f>
        <v>-298100</v>
      </c>
      <c r="D6374" s="61" t="n">
        <f aca="false">-D6353</f>
        <v>-301865.04</v>
      </c>
      <c r="E6374" s="61" t="n">
        <f aca="false">-E6353</f>
        <v>-377833.88</v>
      </c>
      <c r="F6374" s="61" t="n">
        <f aca="false">-F6353</f>
        <v>-406729.044</v>
      </c>
      <c r="G6374" s="61" t="n">
        <f aca="false">-G6353</f>
        <v>-455206.301272</v>
      </c>
      <c r="H6374" s="2" t="s">
        <v>1380</v>
      </c>
    </row>
    <row r="6375" customFormat="false" ht="15" hidden="false" customHeight="false" outlineLevel="1" collapsed="false">
      <c r="A6375" s="56" t="s">
        <v>723</v>
      </c>
      <c r="B6375" s="57" t="s">
        <v>11</v>
      </c>
      <c r="C6375" s="62" t="n">
        <f aca="false">C6372+C6373+C6374</f>
        <v>-574991.143133562</v>
      </c>
      <c r="D6375" s="62" t="n">
        <f aca="false">D6372+D6373+D6374</f>
        <v>-618328.386626712</v>
      </c>
      <c r="E6375" s="62" t="n">
        <f aca="false">E6372+E6373+E6374</f>
        <v>-553684.368047945</v>
      </c>
      <c r="F6375" s="62" t="n">
        <f aca="false">F6372+F6373+F6374</f>
        <v>-405378.200737732</v>
      </c>
      <c r="G6375" s="62" t="n">
        <f aca="false">G6372+G6373+G6374</f>
        <v>-133204.863775663</v>
      </c>
      <c r="H6375" s="2" t="s">
        <v>1381</v>
      </c>
    </row>
    <row r="6376" customFormat="false" ht="15" hidden="false" customHeight="false" outlineLevel="1" collapsed="false">
      <c r="A6376" s="2" t="s">
        <v>725</v>
      </c>
      <c r="B6376" s="8" t="s">
        <v>76</v>
      </c>
      <c r="C6376" s="59" t="n">
        <f aca="false">IF(C6366&gt;0,C6375/C6366,0)</f>
        <v>-1.57360783953825</v>
      </c>
      <c r="D6376" s="59" t="n">
        <f aca="false">IF(D6366&gt;0,D6375/D6366,0)</f>
        <v>-0.257527357173718</v>
      </c>
      <c r="E6376" s="59" t="n">
        <f aca="false">IF(E6366&gt;0,E6375/E6366,0)</f>
        <v>-0.11229986993737</v>
      </c>
      <c r="F6376" s="59" t="n">
        <f aca="false">IF(F6366&gt;0,F6375/F6366,0)</f>
        <v>-0.0480952698152379</v>
      </c>
      <c r="G6376" s="59" t="n">
        <f aca="false">IF(G6366&gt;0,G6375/G6366,0)</f>
        <v>-0.0103316003670115</v>
      </c>
      <c r="H6376" s="2" t="s">
        <v>1382</v>
      </c>
    </row>
    <row r="6377" customFormat="false" ht="15" hidden="false" customHeight="false" outlineLevel="1" collapsed="false">
      <c r="A6377" s="2" t="s">
        <v>726</v>
      </c>
      <c r="B6377" s="8" t="s">
        <v>11</v>
      </c>
      <c r="C6377" s="61" t="n">
        <f aca="false">C6375+C6305</f>
        <v>-574991.143133562</v>
      </c>
      <c r="D6377" s="61" t="n">
        <f aca="false">D6375+D6305</f>
        <v>-590346.955119863</v>
      </c>
      <c r="E6377" s="61" t="n">
        <f aca="false">E6375+E6305</f>
        <v>-509375.689216609</v>
      </c>
      <c r="F6377" s="61" t="n">
        <f aca="false">F6375+F6305</f>
        <v>-335270.433400403</v>
      </c>
      <c r="G6377" s="61" t="n">
        <f aca="false">G6375+G6305</f>
        <v>-26266.8136900466</v>
      </c>
      <c r="H6377" s="2" t="s">
        <v>1383</v>
      </c>
    </row>
    <row r="6378" customFormat="false" ht="15" hidden="false" customHeight="false" outlineLevel="1" collapsed="false">
      <c r="A6378" s="7" t="s">
        <v>714</v>
      </c>
      <c r="B6378" s="8" t="s">
        <v>11</v>
      </c>
      <c r="C6378" s="61" t="n">
        <f aca="false">-C6364</f>
        <v>-26350</v>
      </c>
      <c r="D6378" s="61" t="n">
        <f aca="false">-D6364</f>
        <v>-39750</v>
      </c>
      <c r="E6378" s="61" t="n">
        <f aca="false">-E6364</f>
        <v>-52650</v>
      </c>
      <c r="F6378" s="61" t="n">
        <f aca="false">-F6364</f>
        <v>-42966.6666666667</v>
      </c>
      <c r="G6378" s="61" t="n">
        <f aca="false">-G6364</f>
        <v>-39783.3333333333</v>
      </c>
      <c r="H6378" s="2" t="s">
        <v>1384</v>
      </c>
    </row>
    <row r="6379" customFormat="false" ht="15" hidden="false" customHeight="false" outlineLevel="1" collapsed="false">
      <c r="A6379" s="56" t="s">
        <v>727</v>
      </c>
      <c r="B6379" s="57" t="s">
        <v>11</v>
      </c>
      <c r="C6379" s="62" t="n">
        <f aca="false">C6375+C6378</f>
        <v>-601341.143133562</v>
      </c>
      <c r="D6379" s="62" t="n">
        <f aca="false">D6375+D6378</f>
        <v>-658078.386626712</v>
      </c>
      <c r="E6379" s="62" t="n">
        <f aca="false">E6375+E6378</f>
        <v>-606334.368047945</v>
      </c>
      <c r="F6379" s="62" t="n">
        <f aca="false">F6375+F6378</f>
        <v>-448344.867404398</v>
      </c>
      <c r="G6379" s="62" t="n">
        <f aca="false">G6375+G6378</f>
        <v>-172988.197108996</v>
      </c>
      <c r="H6379" s="2" t="s">
        <v>1385</v>
      </c>
    </row>
    <row r="6380" customFormat="false" ht="15" hidden="false" customHeight="false" outlineLevel="0" collapsed="false">
      <c r="A6380" s="3" t="s">
        <v>1386</v>
      </c>
      <c r="B6380" s="4"/>
      <c r="C6380" s="4"/>
      <c r="D6380" s="4"/>
      <c r="E6380" s="4"/>
      <c r="F6380" s="4"/>
      <c r="G6380" s="4"/>
      <c r="H6380" s="4"/>
    </row>
    <row r="6381" customFormat="false" ht="15" hidden="false" customHeight="false" outlineLevel="1" collapsed="false">
      <c r="A6381" s="7" t="s">
        <v>729</v>
      </c>
      <c r="B6381" s="8" t="s">
        <v>11</v>
      </c>
      <c r="C6381" s="61" t="n">
        <f aca="false">C6379</f>
        <v>-601341.143133562</v>
      </c>
      <c r="D6381" s="61" t="n">
        <f aca="false">D6379</f>
        <v>-658078.386626712</v>
      </c>
      <c r="E6381" s="61" t="n">
        <f aca="false">E6379</f>
        <v>-606334.368047945</v>
      </c>
      <c r="F6381" s="61" t="n">
        <f aca="false">F6379</f>
        <v>-448344.867404398</v>
      </c>
      <c r="G6381" s="61" t="n">
        <f aca="false">G6379</f>
        <v>-172988.197108996</v>
      </c>
      <c r="H6381" s="2" t="s">
        <v>1387</v>
      </c>
    </row>
    <row r="6382" customFormat="false" ht="15" hidden="false" customHeight="false" outlineLevel="1" collapsed="false">
      <c r="A6382" s="7" t="s">
        <v>730</v>
      </c>
      <c r="B6382" s="8" t="s">
        <v>11</v>
      </c>
      <c r="C6382" s="61" t="n">
        <f aca="false">0</f>
        <v>0</v>
      </c>
      <c r="D6382" s="61" t="n">
        <f aca="false">C6385</f>
        <v>601341.143133562</v>
      </c>
      <c r="E6382" s="61" t="n">
        <f aca="false">D6385</f>
        <v>1259419.52976027</v>
      </c>
      <c r="F6382" s="61" t="n">
        <f aca="false">E6385</f>
        <v>1865753.89780822</v>
      </c>
      <c r="G6382" s="61" t="n">
        <f aca="false">F6385</f>
        <v>2314098.76521262</v>
      </c>
      <c r="H6382" s="2" t="s">
        <v>1388</v>
      </c>
    </row>
    <row r="6383" customFormat="false" ht="15" hidden="false" customHeight="false" outlineLevel="1" collapsed="false">
      <c r="A6383" s="7" t="s">
        <v>731</v>
      </c>
      <c r="B6383" s="8" t="s">
        <v>11</v>
      </c>
      <c r="C6383" s="61" t="n">
        <f aca="false">MAX(0,-C6381)</f>
        <v>601341.143133562</v>
      </c>
      <c r="D6383" s="61" t="n">
        <f aca="false">MAX(0,-D6381)</f>
        <v>658078.386626712</v>
      </c>
      <c r="E6383" s="61" t="n">
        <f aca="false">MAX(0,-E6381)</f>
        <v>606334.368047945</v>
      </c>
      <c r="F6383" s="61" t="n">
        <f aca="false">MAX(0,-F6381)</f>
        <v>448344.867404398</v>
      </c>
      <c r="G6383" s="61" t="n">
        <f aca="false">MAX(0,-G6381)</f>
        <v>172988.197108996</v>
      </c>
      <c r="H6383" s="2" t="s">
        <v>1389</v>
      </c>
    </row>
    <row r="6384" customFormat="false" ht="15" hidden="false" customHeight="false" outlineLevel="1" collapsed="false">
      <c r="A6384" s="7" t="s">
        <v>732</v>
      </c>
      <c r="B6384" s="8" t="s">
        <v>11</v>
      </c>
      <c r="C6384" s="61" t="n">
        <f aca="false">MIN(C6382,Pressupostos!$C$181*MAX(0,C6381))</f>
        <v>0</v>
      </c>
      <c r="D6384" s="61" t="n">
        <f aca="false">MIN(D6382,Pressupostos!$C$181*MAX(0,D6381))</f>
        <v>0</v>
      </c>
      <c r="E6384" s="61" t="n">
        <f aca="false">MIN(E6382,Pressupostos!$C$181*MAX(0,E6381))</f>
        <v>0</v>
      </c>
      <c r="F6384" s="61" t="n">
        <f aca="false">MIN(F6382,Pressupostos!$C$181*MAX(0,F6381))</f>
        <v>0</v>
      </c>
      <c r="G6384" s="61" t="n">
        <f aca="false">MIN(G6382,Pressupostos!$C$181*MAX(0,G6381))</f>
        <v>0</v>
      </c>
      <c r="H6384" s="2" t="s">
        <v>1390</v>
      </c>
    </row>
    <row r="6385" customFormat="false" ht="15" hidden="false" customHeight="false" outlineLevel="1" collapsed="false">
      <c r="A6385" s="7" t="s">
        <v>733</v>
      </c>
      <c r="B6385" s="8" t="s">
        <v>11</v>
      </c>
      <c r="C6385" s="61" t="n">
        <f aca="false">C6382+C6383-C6384</f>
        <v>601341.143133562</v>
      </c>
      <c r="D6385" s="61" t="n">
        <f aca="false">D6382+D6383-D6384</f>
        <v>1259419.52976027</v>
      </c>
      <c r="E6385" s="61" t="n">
        <f aca="false">E6382+E6383-E6384</f>
        <v>1865753.89780822</v>
      </c>
      <c r="F6385" s="61" t="n">
        <f aca="false">F6382+F6383-F6384</f>
        <v>2314098.76521262</v>
      </c>
      <c r="G6385" s="61" t="n">
        <f aca="false">G6382+G6383-G6384</f>
        <v>2487086.96232161</v>
      </c>
      <c r="H6385" s="2" t="s">
        <v>1391</v>
      </c>
    </row>
    <row r="6386" customFormat="false" ht="15" hidden="false" customHeight="false" outlineLevel="1" collapsed="false">
      <c r="A6386" s="7" t="s">
        <v>734</v>
      </c>
      <c r="B6386" s="8" t="s">
        <v>11</v>
      </c>
      <c r="C6386" s="61" t="n">
        <f aca="false">MAX(0,C6381)-C6384</f>
        <v>0</v>
      </c>
      <c r="D6386" s="61" t="n">
        <f aca="false">MAX(0,D6381)-D6384</f>
        <v>0</v>
      </c>
      <c r="E6386" s="61" t="n">
        <f aca="false">MAX(0,E6381)-E6384</f>
        <v>0</v>
      </c>
      <c r="F6386" s="61" t="n">
        <f aca="false">MAX(0,F6381)-F6384</f>
        <v>0</v>
      </c>
      <c r="G6386" s="61" t="n">
        <f aca="false">MAX(0,G6381)-G6384</f>
        <v>0</v>
      </c>
      <c r="H6386" s="2" t="s">
        <v>1392</v>
      </c>
    </row>
    <row r="6387" customFormat="false" ht="15" hidden="false" customHeight="false" outlineLevel="1" collapsed="false">
      <c r="A6387" s="7" t="s">
        <v>735</v>
      </c>
      <c r="B6387" s="8" t="s">
        <v>11</v>
      </c>
      <c r="C6387" s="61" t="n">
        <f aca="false">Pressupostos!$C$172*MIN(C6386,Pressupostos!$C$173)+Pressupostos!$C$467*MAX(0,C6386-Pressupostos!$C$173)</f>
        <v>0</v>
      </c>
      <c r="D6387" s="61" t="n">
        <f aca="false">Pressupostos!$C$172*MIN(D6386,Pressupostos!$C$173)+Pressupostos!$D$467*MAX(0,D6386-Pressupostos!$C$173)</f>
        <v>0</v>
      </c>
      <c r="E6387" s="61" t="n">
        <f aca="false">Pressupostos!$C$172*MIN(E6386,Pressupostos!$C$173)+Pressupostos!$E$467*MAX(0,E6386-Pressupostos!$C$173)</f>
        <v>0</v>
      </c>
      <c r="F6387" s="61" t="n">
        <f aca="false">Pressupostos!$C$172*MIN(F6386,Pressupostos!$C$173)+Pressupostos!$F$467*MAX(0,F6386-Pressupostos!$C$173)</f>
        <v>0</v>
      </c>
      <c r="G6387" s="61" t="n">
        <f aca="false">Pressupostos!$C$172*MIN(G6386,Pressupostos!$C$173)+Pressupostos!$G$467*MAX(0,G6386-Pressupostos!$C$173)</f>
        <v>0</v>
      </c>
      <c r="H6387" s="2" t="s">
        <v>1393</v>
      </c>
    </row>
    <row r="6388" customFormat="false" ht="15" hidden="false" customHeight="false" outlineLevel="1" collapsed="false">
      <c r="A6388" s="7" t="s">
        <v>736</v>
      </c>
      <c r="B6388" s="8" t="s">
        <v>11</v>
      </c>
      <c r="C6388" s="61" t="n">
        <f aca="false">Pressupostos!$C$174*MAX(0,C6381)</f>
        <v>0</v>
      </c>
      <c r="D6388" s="61" t="n">
        <f aca="false">Pressupostos!$C$174*MAX(0,D6381)</f>
        <v>0</v>
      </c>
      <c r="E6388" s="61" t="n">
        <f aca="false">Pressupostos!$C$174*MAX(0,E6381)</f>
        <v>0</v>
      </c>
      <c r="F6388" s="61" t="n">
        <f aca="false">Pressupostos!$C$174*MAX(0,F6381)</f>
        <v>0</v>
      </c>
      <c r="G6388" s="61" t="n">
        <f aca="false">Pressupostos!$C$174*MAX(0,G6381)</f>
        <v>0</v>
      </c>
      <c r="H6388" s="2" t="s">
        <v>1394</v>
      </c>
    </row>
    <row r="6389" customFormat="false" ht="15" hidden="false" customHeight="false" outlineLevel="1" collapsed="false">
      <c r="A6389" s="7" t="s">
        <v>737</v>
      </c>
      <c r="B6389" s="8" t="s">
        <v>11</v>
      </c>
      <c r="C6389" s="61" t="n">
        <f aca="false">Pressupostos!$C$176*MAX(0,MIN(C6381,Pressupostos!$C$177)-Pressupostos!$C$175)+Pressupostos!$C$178*MAX(0,MIN(C6381,Pressupostos!$C$179)-Pressupostos!$C$177)+Pressupostos!$C$180*MAX(0,C6381-Pressupostos!$C$179)</f>
        <v>0</v>
      </c>
      <c r="D6389" s="61" t="n">
        <f aca="false">Pressupostos!$C$176*MAX(0,MIN(D6381,Pressupostos!$C$177)-Pressupostos!$C$175)+Pressupostos!$C$178*MAX(0,MIN(D6381,Pressupostos!$C$179)-Pressupostos!$C$177)+Pressupostos!$C$180*MAX(0,D6381-Pressupostos!$C$179)</f>
        <v>0</v>
      </c>
      <c r="E6389" s="61" t="n">
        <f aca="false">Pressupostos!$C$176*MAX(0,MIN(E6381,Pressupostos!$C$177)-Pressupostos!$C$175)+Pressupostos!$C$178*MAX(0,MIN(E6381,Pressupostos!$C$179)-Pressupostos!$C$177)+Pressupostos!$C$180*MAX(0,E6381-Pressupostos!$C$179)</f>
        <v>0</v>
      </c>
      <c r="F6389" s="61" t="n">
        <f aca="false">Pressupostos!$C$176*MAX(0,MIN(F6381,Pressupostos!$C$177)-Pressupostos!$C$175)+Pressupostos!$C$178*MAX(0,MIN(F6381,Pressupostos!$C$179)-Pressupostos!$C$177)+Pressupostos!$C$180*MAX(0,F6381-Pressupostos!$C$179)</f>
        <v>0</v>
      </c>
      <c r="G6389" s="61" t="n">
        <f aca="false">Pressupostos!$C$176*MAX(0,MIN(G6381,Pressupostos!$C$177)-Pressupostos!$C$175)+Pressupostos!$C$178*MAX(0,MIN(G6381,Pressupostos!$C$179)-Pressupostos!$C$177)+Pressupostos!$C$180*MAX(0,G6381-Pressupostos!$C$179)</f>
        <v>0</v>
      </c>
      <c r="H6389" s="2" t="s">
        <v>1395</v>
      </c>
    </row>
    <row r="6390" customFormat="false" ht="15" hidden="false" customHeight="false" outlineLevel="1" collapsed="false">
      <c r="A6390" s="7" t="s">
        <v>738</v>
      </c>
      <c r="B6390" s="8" t="s">
        <v>11</v>
      </c>
      <c r="C6390" s="61" t="n">
        <f aca="false">C6387+C6388+C6389</f>
        <v>0</v>
      </c>
      <c r="D6390" s="61" t="n">
        <f aca="false">D6387+D6388+D6389</f>
        <v>0</v>
      </c>
      <c r="E6390" s="61" t="n">
        <f aca="false">E6387+E6388+E6389</f>
        <v>0</v>
      </c>
      <c r="F6390" s="61" t="n">
        <f aca="false">F6387+F6388+F6389</f>
        <v>0</v>
      </c>
      <c r="G6390" s="61" t="n">
        <f aca="false">G6387+G6388+G6389</f>
        <v>0</v>
      </c>
      <c r="H6390" s="2" t="s">
        <v>1396</v>
      </c>
    </row>
    <row r="6391" customFormat="false" ht="15" hidden="false" customHeight="false" outlineLevel="0" collapsed="false">
      <c r="A6391" s="3" t="s">
        <v>1397</v>
      </c>
      <c r="B6391" s="4"/>
      <c r="C6391" s="4"/>
      <c r="D6391" s="4"/>
      <c r="E6391" s="4"/>
      <c r="F6391" s="4"/>
      <c r="G6391" s="4"/>
      <c r="H6391" s="4"/>
    </row>
    <row r="6392" customFormat="false" ht="15" hidden="false" customHeight="false" outlineLevel="1" collapsed="false">
      <c r="A6392" s="7" t="s">
        <v>738</v>
      </c>
      <c r="B6392" s="8" t="s">
        <v>11</v>
      </c>
      <c r="C6392" s="61" t="n">
        <f aca="false">-C6390</f>
        <v>-0</v>
      </c>
      <c r="D6392" s="61" t="n">
        <f aca="false">-D6390</f>
        <v>-0</v>
      </c>
      <c r="E6392" s="61" t="n">
        <f aca="false">-E6390</f>
        <v>-0</v>
      </c>
      <c r="F6392" s="61" t="n">
        <f aca="false">-F6390</f>
        <v>-0</v>
      </c>
      <c r="G6392" s="61" t="n">
        <f aca="false">-G6390</f>
        <v>-0</v>
      </c>
      <c r="H6392" s="2" t="s">
        <v>1398</v>
      </c>
    </row>
    <row r="6393" customFormat="false" ht="15" hidden="false" customHeight="false" outlineLevel="1" collapsed="false">
      <c r="A6393" s="56" t="s">
        <v>740</v>
      </c>
      <c r="B6393" s="57" t="s">
        <v>11</v>
      </c>
      <c r="C6393" s="62" t="n">
        <f aca="false">C6379+C6392</f>
        <v>-601341.143133562</v>
      </c>
      <c r="D6393" s="62" t="n">
        <f aca="false">D6379+D6392</f>
        <v>-658078.386626712</v>
      </c>
      <c r="E6393" s="62" t="n">
        <f aca="false">E6379+E6392</f>
        <v>-606334.368047945</v>
      </c>
      <c r="F6393" s="62" t="n">
        <f aca="false">F6379+F6392</f>
        <v>-448344.867404398</v>
      </c>
      <c r="G6393" s="62" t="n">
        <f aca="false">G6379+G6392</f>
        <v>-172988.197108996</v>
      </c>
      <c r="H6393" s="2" t="s">
        <v>1399</v>
      </c>
    </row>
    <row r="6394" customFormat="false" ht="15" hidden="false" customHeight="false" outlineLevel="0" collapsed="false">
      <c r="A6394" s="3" t="s">
        <v>1400</v>
      </c>
      <c r="B6394" s="4"/>
      <c r="C6394" s="4"/>
      <c r="D6394" s="4"/>
      <c r="E6394" s="4"/>
      <c r="F6394" s="4"/>
      <c r="G6394" s="4"/>
      <c r="H6394" s="4"/>
    </row>
    <row r="6395" customFormat="false" ht="15" hidden="false" customHeight="false" outlineLevel="1" collapsed="false">
      <c r="A6395" s="7" t="s">
        <v>744</v>
      </c>
      <c r="B6395" s="8" t="s">
        <v>11</v>
      </c>
      <c r="C6395" s="61" t="n">
        <f aca="false">C6167*1000*((C6185+C6188)*C6191/365)+C6168*1000*((C6208+C6211)*C6214/365)+C6170*1000*((C6231+C6234)*C6237/365)</f>
        <v>44581.8082191781</v>
      </c>
      <c r="D6395" s="61" t="n">
        <f aca="false">D6167*1000*((D6185+D6188)*D6191/365)+D6168*1000*((D6208+D6211)*D6214/365)+D6170*1000*((D6231+D6234)*D6237/365)</f>
        <v>239882.054794521</v>
      </c>
      <c r="E6395" s="61" t="n">
        <f aca="false">E6167*1000*((E6185+E6188)*E6191/365)+E6168*1000*((E6208+E6211)*E6214/365)+E6170*1000*((E6231+E6234)*E6237/365)</f>
        <v>365472.739726027</v>
      </c>
      <c r="F6395" s="61" t="n">
        <f aca="false">F6167*1000*((F6185+F6188)*F6191/365)+F6168*1000*((F6208+F6211)*F6214/365)+F6170*1000*((F6231+F6234)*F6237/365)</f>
        <v>608528.219178082</v>
      </c>
      <c r="G6395" s="61" t="n">
        <f aca="false">G6167*1000*((G6185+G6188)*G6191/365)+G6168*1000*((G6208+G6211)*G6214/365)+G6170*1000*((G6231+G6234)*G6237/365)</f>
        <v>912600</v>
      </c>
      <c r="H6395" s="2" t="s">
        <v>1401</v>
      </c>
    </row>
    <row r="6396" customFormat="false" ht="15" hidden="false" customHeight="false" outlineLevel="1" collapsed="false">
      <c r="A6396" s="7" t="s">
        <v>745</v>
      </c>
      <c r="B6396" s="8" t="s">
        <v>11</v>
      </c>
      <c r="C6396" s="61" t="n">
        <f aca="false">C6395+C6180*1000*Pressupostos!$C$92*Pressupostos!$C$95/365</f>
        <v>44581.8082191781</v>
      </c>
      <c r="D6396" s="61" t="n">
        <f aca="false">D6395+D6180*1000*Pressupostos!$C$92*Pressupostos!$C$95/365</f>
        <v>239882.054794521</v>
      </c>
      <c r="E6396" s="61" t="n">
        <f aca="false">E6395+E6180*1000*Pressupostos!$C$92*Pressupostos!$C$95/365</f>
        <v>365472.739726027</v>
      </c>
      <c r="F6396" s="61" t="n">
        <f aca="false">F6395+F6180*1000*Pressupostos!$C$92*Pressupostos!$C$95/365</f>
        <v>630966.575342466</v>
      </c>
      <c r="G6396" s="61" t="n">
        <f aca="false">G6395+G6180*1000*Pressupostos!$C$92*Pressupostos!$C$95/365</f>
        <v>968695.890410959</v>
      </c>
      <c r="H6396" s="2" t="s">
        <v>1402</v>
      </c>
    </row>
    <row r="6397" customFormat="false" ht="15" hidden="false" customHeight="false" outlineLevel="1" collapsed="false">
      <c r="A6397" s="7" t="s">
        <v>746</v>
      </c>
      <c r="B6397" s="8" t="s">
        <v>11</v>
      </c>
      <c r="C6397" s="61" t="n">
        <f aca="false">C6167*1000*(C6187*C6192/365)+C6168*1000*(C6210*C6215/365)+C6170*1000*(C6233*C6238/365)+C6262*Pressupostos!$C$96/365+(C6264+C6265)*Pressupostos!$C$82/365</f>
        <v>51888.2783561644</v>
      </c>
      <c r="D6397" s="61" t="n">
        <f aca="false">D6167*1000*(D6187*D6192/365)+D6168*1000*(D6210*D6215/365)+D6170*1000*(D6233*D6238/365)+D6262*Pressupostos!$C$96/365+(D6264+D6265)*Pressupostos!$C$82/365</f>
        <v>345722.071232877</v>
      </c>
      <c r="E6397" s="61" t="n">
        <f aca="false">E6167*1000*(E6187*E6192/365)+E6168*1000*(E6210*E6215/365)+E6170*1000*(E6233*E6238/365)+E6262*Pressupostos!$C$96/365+(E6264+E6265)*Pressupostos!$C$82/365</f>
        <v>698676.345205479</v>
      </c>
      <c r="F6397" s="61" t="n">
        <f aca="false">F6167*1000*(F6187*F6192/365)+F6168*1000*(F6210*F6215/365)+F6170*1000*(F6233*F6238/365)+F6262*Pressupostos!$C$96/365+(F6264+F6265)*Pressupostos!$C$82/365</f>
        <v>1175157.4739726</v>
      </c>
      <c r="G6397" s="61" t="n">
        <f aca="false">G6167*1000*(G6187*G6192/365)+G6168*1000*(G6210*G6215/365)+G6170*1000*(G6233*G6238/365)+G6262*Pressupostos!$C$96/365+(G6264+G6265)*Pressupostos!$C$82/365</f>
        <v>1785699.76712329</v>
      </c>
      <c r="H6397" s="2" t="s">
        <v>1403</v>
      </c>
    </row>
    <row r="6398" customFormat="false" ht="15" hidden="false" customHeight="false" outlineLevel="1" collapsed="false">
      <c r="A6398" s="7" t="s">
        <v>747</v>
      </c>
      <c r="B6398" s="8" t="s">
        <v>11</v>
      </c>
      <c r="C6398" s="61" t="n">
        <f aca="false">C6167*1000*((C6185+C6188)*Pressupostos!$C$72/365)+C6168*1000*((C6208+C6211)*Pressupostos!$C$72/365)+C6170*1000*((C6231+C6234)*Pressupostos!$C$72/365)+C6180*1000*Pressupostos!$C$92*Pressupostos!$C$97/365</f>
        <v>26182.3561643836</v>
      </c>
      <c r="D6398" s="61" t="n">
        <f aca="false">D6167*1000*((D6185+D6188)*Pressupostos!$C$72/365)+D6168*1000*((D6208+D6211)*Pressupostos!$C$72/365)+D6170*1000*((D6231+D6234)*Pressupostos!$C$72/365)+D6180*1000*Pressupostos!$C$92*Pressupostos!$C$97/365</f>
        <v>170884.109589041</v>
      </c>
      <c r="E6398" s="61" t="n">
        <f aca="false">E6167*1000*((E6185+E6188)*Pressupostos!$C$72/365)+E6168*1000*((E6208+E6211)*Pressupostos!$C$72/365)+E6170*1000*((E6231+E6234)*Pressupostos!$C$72/365)+E6180*1000*Pressupostos!$C$92*Pressupostos!$C$97/365</f>
        <v>347073.287671233</v>
      </c>
      <c r="F6398" s="61" t="n">
        <f aca="false">F6167*1000*((F6185+F6188)*Pressupostos!$C$72/365)+F6168*1000*((F6208+F6211)*Pressupostos!$C$72/365)+F6170*1000*((F6231+F6234)*Pressupostos!$C$72/365)+F6180*1000*Pressupostos!$C$92*Pressupostos!$C$97/365</f>
        <v>591288.082191781</v>
      </c>
      <c r="G6398" s="61" t="n">
        <f aca="false">G6167*1000*((G6185+G6188)*Pressupostos!$C$72/365)+G6168*1000*((G6208+G6211)*Pressupostos!$C$72/365)+G6170*1000*((G6231+G6234)*Pressupostos!$C$72/365)+G6180*1000*Pressupostos!$C$92*Pressupostos!$C$97/365</f>
        <v>903998.630136986</v>
      </c>
      <c r="H6398" s="2" t="s">
        <v>1404</v>
      </c>
    </row>
    <row r="6399" customFormat="false" ht="15" hidden="false" customHeight="false" outlineLevel="1" collapsed="false">
      <c r="A6399" s="56" t="s">
        <v>748</v>
      </c>
      <c r="B6399" s="57" t="s">
        <v>11</v>
      </c>
      <c r="C6399" s="62" t="n">
        <f aca="false">C6396+C6397-C6398</f>
        <v>70287.7304109589</v>
      </c>
      <c r="D6399" s="62" t="n">
        <f aca="false">D6396+D6397-D6398</f>
        <v>414720.016438356</v>
      </c>
      <c r="E6399" s="62" t="n">
        <f aca="false">E6396+E6397-E6398</f>
        <v>717075.797260274</v>
      </c>
      <c r="F6399" s="62" t="n">
        <f aca="false">F6396+F6397-F6398</f>
        <v>1214835.96712329</v>
      </c>
      <c r="G6399" s="62" t="n">
        <f aca="false">G6396+G6397-G6398</f>
        <v>1850397.02739726</v>
      </c>
      <c r="H6399" s="2" t="s">
        <v>1405</v>
      </c>
    </row>
    <row r="6400" customFormat="false" ht="15" hidden="false" customHeight="false" outlineLevel="0" collapsed="false">
      <c r="A6400" s="3" t="s">
        <v>1406</v>
      </c>
      <c r="B6400" s="4"/>
      <c r="C6400" s="4"/>
      <c r="D6400" s="4"/>
      <c r="E6400" s="4"/>
      <c r="F6400" s="4"/>
      <c r="G6400" s="4"/>
      <c r="H6400" s="4"/>
    </row>
    <row r="6401" customFormat="false" ht="15" hidden="false" customHeight="false" outlineLevel="1" collapsed="false">
      <c r="A6401" s="56" t="s">
        <v>750</v>
      </c>
      <c r="B6401" s="57" t="s">
        <v>11</v>
      </c>
      <c r="C6401" s="62" t="n">
        <f aca="false">Pressupostos!$C$284*C6399/Pressupostos!$F$31</f>
        <v>0</v>
      </c>
      <c r="D6401" s="62" t="n">
        <f aca="false">Pressupostos!$D$284*D6399/Pressupostos!$F$31</f>
        <v>388800.015410959</v>
      </c>
      <c r="E6401" s="62" t="n">
        <f aca="false">Pressupostos!$E$284*E6399/Pressupostos!$F$31</f>
        <v>672258.559931507</v>
      </c>
      <c r="F6401" s="62" t="n">
        <f aca="false">Pressupostos!$F$284*F6399/Pressupostos!$F$31</f>
        <v>1138908.71917808</v>
      </c>
      <c r="G6401" s="62" t="n">
        <f aca="false">Pressupostos!$G$284*G6399/Pressupostos!$F$31</f>
        <v>1734747.21318493</v>
      </c>
      <c r="H6401" s="2" t="s">
        <v>1407</v>
      </c>
    </row>
    <row r="6402" customFormat="false" ht="15" hidden="false" customHeight="false" outlineLevel="1" collapsed="false">
      <c r="A6402" s="7" t="s">
        <v>751</v>
      </c>
      <c r="B6402" s="8" t="s">
        <v>11</v>
      </c>
      <c r="C6402" s="61" t="n">
        <f aca="false">Pressupostos!$C$284*C6399</f>
        <v>0</v>
      </c>
      <c r="D6402" s="61" t="n">
        <f aca="false">Pressupostos!$D$284*D6399</f>
        <v>311040.012328767</v>
      </c>
      <c r="E6402" s="61" t="n">
        <f aca="false">Pressupostos!$E$284*E6399</f>
        <v>537806.847945205</v>
      </c>
      <c r="F6402" s="61" t="n">
        <f aca="false">Pressupostos!$F$284*F6399</f>
        <v>911126.975342466</v>
      </c>
      <c r="G6402" s="61" t="n">
        <f aca="false">Pressupostos!$G$284*G6399</f>
        <v>1387797.77054795</v>
      </c>
      <c r="H6402" s="2" t="s">
        <v>1408</v>
      </c>
    </row>
    <row r="6403" customFormat="false" ht="15" hidden="false" customHeight="false" outlineLevel="1" collapsed="false">
      <c r="A6403" s="7" t="s">
        <v>752</v>
      </c>
      <c r="B6403" s="8" t="s">
        <v>11</v>
      </c>
      <c r="C6403" s="61" t="n">
        <f aca="false">C6401-C6402</f>
        <v>0</v>
      </c>
      <c r="D6403" s="61" t="n">
        <f aca="false">D6401-D6402</f>
        <v>77760.0030821918</v>
      </c>
      <c r="E6403" s="61" t="n">
        <f aca="false">E6401-E6402</f>
        <v>134451.711986301</v>
      </c>
      <c r="F6403" s="61" t="n">
        <f aca="false">F6401-F6402</f>
        <v>227781.743835616</v>
      </c>
      <c r="G6403" s="61" t="n">
        <f aca="false">G6401-G6402</f>
        <v>346949.442636986</v>
      </c>
      <c r="H6403" s="2" t="s">
        <v>1409</v>
      </c>
    </row>
    <row r="6404" customFormat="false" ht="15" hidden="false" customHeight="false" outlineLevel="1" collapsed="false">
      <c r="A6404" s="7" t="s">
        <v>753</v>
      </c>
      <c r="B6404" s="8" t="s">
        <v>11</v>
      </c>
      <c r="C6404" s="61" t="n">
        <f aca="false">C6399-C6402</f>
        <v>70287.7304109589</v>
      </c>
      <c r="D6404" s="61" t="n">
        <f aca="false">D6399-D6402</f>
        <v>103680.004109589</v>
      </c>
      <c r="E6404" s="61" t="n">
        <f aca="false">E6399-E6402</f>
        <v>179268.949315069</v>
      </c>
      <c r="F6404" s="61" t="n">
        <f aca="false">F6399-F6402</f>
        <v>303708.991780822</v>
      </c>
      <c r="G6404" s="61" t="n">
        <f aca="false">G6399-G6402</f>
        <v>462599.256849315</v>
      </c>
      <c r="H6404" s="2" t="s">
        <v>1410</v>
      </c>
    </row>
    <row r="6405" customFormat="false" ht="15" hidden="false" customHeight="false" outlineLevel="1" collapsed="false">
      <c r="A6405" s="7" t="s">
        <v>754</v>
      </c>
      <c r="B6405" s="8" t="s">
        <v>11</v>
      </c>
      <c r="C6405" s="61" t="n">
        <f aca="false">MAX(0,Pressupostos!$C$108-C6404)</f>
        <v>0</v>
      </c>
      <c r="D6405" s="61" t="n">
        <f aca="false">MAX(0,Pressupostos!$C$108-D6404)</f>
        <v>0</v>
      </c>
      <c r="E6405" s="61" t="n">
        <f aca="false">MAX(0,Pressupostos!$C$108-E6404)</f>
        <v>0</v>
      </c>
      <c r="F6405" s="61" t="n">
        <f aca="false">MAX(0,Pressupostos!$C$108-F6404)</f>
        <v>0</v>
      </c>
      <c r="G6405" s="61" t="n">
        <f aca="false">MAX(0,Pressupostos!$C$108-G6404)</f>
        <v>0</v>
      </c>
      <c r="H6405" s="2" t="s">
        <v>1411</v>
      </c>
    </row>
    <row r="6406" customFormat="false" ht="15" hidden="false" customHeight="false" outlineLevel="1" collapsed="false">
      <c r="A6406" s="7" t="s">
        <v>755</v>
      </c>
      <c r="B6406" s="8" t="s">
        <v>11</v>
      </c>
      <c r="C6406" s="61" t="n">
        <f aca="false">Pressupostos!$C$109*C6401</f>
        <v>0</v>
      </c>
      <c r="D6406" s="61" t="n">
        <f aca="false">Pressupostos!$C$109*D6401</f>
        <v>19440.000770548</v>
      </c>
      <c r="E6406" s="61" t="n">
        <f aca="false">Pressupostos!$C$109*E6401</f>
        <v>33612.9279965753</v>
      </c>
      <c r="F6406" s="61" t="n">
        <f aca="false">Pressupostos!$C$109*F6401</f>
        <v>56945.4359589041</v>
      </c>
      <c r="G6406" s="61" t="n">
        <f aca="false">Pressupostos!$C$109*G6401</f>
        <v>86737.3606592466</v>
      </c>
      <c r="H6406" s="2" t="s">
        <v>1412</v>
      </c>
    </row>
    <row r="6407" customFormat="false" ht="15" hidden="false" customHeight="false" outlineLevel="1" collapsed="false">
      <c r="A6407" s="2" t="s">
        <v>756</v>
      </c>
      <c r="B6407" s="8" t="s">
        <v>123</v>
      </c>
      <c r="C6407" s="61" t="n">
        <f aca="false">C6401/Pressupostos!$C$112</f>
        <v>0</v>
      </c>
      <c r="D6407" s="61" t="n">
        <f aca="false">D6401/Pressupostos!$C$112</f>
        <v>7.77600030821918</v>
      </c>
      <c r="E6407" s="61" t="n">
        <f aca="false">E6401/Pressupostos!$C$112</f>
        <v>13.4451711986301</v>
      </c>
      <c r="F6407" s="61" t="n">
        <f aca="false">F6401/Pressupostos!$C$112</f>
        <v>22.7781743835616</v>
      </c>
      <c r="G6407" s="61" t="n">
        <f aca="false">G6401/Pressupostos!$C$112</f>
        <v>34.6949442636986</v>
      </c>
      <c r="H6407" s="2" t="s">
        <v>1413</v>
      </c>
    </row>
    <row r="6408" customFormat="false" ht="15" hidden="false" customHeight="false" outlineLevel="0" collapsed="false">
      <c r="A6408" s="3" t="s">
        <v>1414</v>
      </c>
      <c r="B6408" s="4"/>
      <c r="C6408" s="4"/>
      <c r="D6408" s="4"/>
      <c r="E6408" s="4"/>
      <c r="F6408" s="4"/>
      <c r="G6408" s="4"/>
      <c r="H6408" s="4"/>
    </row>
    <row r="6409" customFormat="false" ht="15" hidden="false" customHeight="false" outlineLevel="1" collapsed="false">
      <c r="A6409" s="7" t="s">
        <v>758</v>
      </c>
      <c r="B6409" s="8" t="s">
        <v>11</v>
      </c>
      <c r="C6409" s="61" t="n">
        <f aca="false">C6375</f>
        <v>-574991.143133562</v>
      </c>
      <c r="D6409" s="61" t="n">
        <f aca="false">D6375</f>
        <v>-618328.386626712</v>
      </c>
      <c r="E6409" s="61" t="n">
        <f aca="false">E6375</f>
        <v>-553684.368047945</v>
      </c>
      <c r="F6409" s="61" t="n">
        <f aca="false">F6375</f>
        <v>-405378.200737732</v>
      </c>
      <c r="G6409" s="61" t="n">
        <f aca="false">G6375</f>
        <v>-133204.863775663</v>
      </c>
      <c r="H6409" s="2" t="s">
        <v>1415</v>
      </c>
    </row>
    <row r="6410" customFormat="false" ht="15" hidden="false" customHeight="false" outlineLevel="1" collapsed="false">
      <c r="A6410" s="7" t="s">
        <v>759</v>
      </c>
      <c r="B6410" s="8" t="s">
        <v>11</v>
      </c>
      <c r="C6410" s="61" t="n">
        <f aca="false">-C6390</f>
        <v>-0</v>
      </c>
      <c r="D6410" s="61" t="n">
        <f aca="false">-D6390</f>
        <v>-0</v>
      </c>
      <c r="E6410" s="61" t="n">
        <f aca="false">-E6390</f>
        <v>-0</v>
      </c>
      <c r="F6410" s="61" t="n">
        <f aca="false">-F6390</f>
        <v>-0</v>
      </c>
      <c r="G6410" s="61" t="n">
        <f aca="false">-G6390</f>
        <v>-0</v>
      </c>
      <c r="H6410" s="2" t="s">
        <v>1416</v>
      </c>
    </row>
    <row r="6411" customFormat="false" ht="15" hidden="false" customHeight="false" outlineLevel="1" collapsed="false">
      <c r="A6411" s="7" t="s">
        <v>760</v>
      </c>
      <c r="B6411" s="8" t="s">
        <v>11</v>
      </c>
      <c r="C6411" s="61" t="n">
        <f aca="false">-C6399</f>
        <v>-70287.7304109589</v>
      </c>
      <c r="D6411" s="61" t="n">
        <f aca="false">-(D6399-C6399)</f>
        <v>-344432.286027397</v>
      </c>
      <c r="E6411" s="61" t="n">
        <f aca="false">-(E6399-D6399)</f>
        <v>-302355.780821918</v>
      </c>
      <c r="F6411" s="61" t="n">
        <f aca="false">-(F6399-E6399)</f>
        <v>-497760.169863014</v>
      </c>
      <c r="G6411" s="61" t="n">
        <f aca="false">-(G6399-F6399)</f>
        <v>-635561.060273973</v>
      </c>
      <c r="H6411" s="2" t="s">
        <v>1417</v>
      </c>
    </row>
    <row r="6412" customFormat="false" ht="15" hidden="false" customHeight="false" outlineLevel="1" collapsed="false">
      <c r="A6412" s="7" t="s">
        <v>424</v>
      </c>
      <c r="B6412" s="8" t="s">
        <v>11</v>
      </c>
      <c r="C6412" s="61" t="n">
        <f aca="false">-C6359</f>
        <v>-89000</v>
      </c>
      <c r="D6412" s="61" t="n">
        <f aca="false">-D6359</f>
        <v>-46000</v>
      </c>
      <c r="E6412" s="61" t="n">
        <f aca="false">-E6359</f>
        <v>-44000</v>
      </c>
      <c r="F6412" s="61" t="n">
        <f aca="false">-F6359</f>
        <v>-37000</v>
      </c>
      <c r="G6412" s="61" t="n">
        <f aca="false">-G6359</f>
        <v>-34000</v>
      </c>
      <c r="H6412" s="2" t="s">
        <v>1418</v>
      </c>
    </row>
    <row r="6413" customFormat="false" ht="15" hidden="false" customHeight="false" outlineLevel="1" collapsed="false">
      <c r="A6413" s="7" t="s">
        <v>761</v>
      </c>
      <c r="B6413" s="8" t="s">
        <v>11</v>
      </c>
      <c r="C6413" s="61" t="n">
        <f aca="false">C6409+C6410+C6411+C6412</f>
        <v>-734278.873544521</v>
      </c>
      <c r="D6413" s="61" t="n">
        <f aca="false">D6409+D6410+D6411+D6412</f>
        <v>-1008760.67265411</v>
      </c>
      <c r="E6413" s="61" t="n">
        <f aca="false">E6409+E6410+E6411+E6412</f>
        <v>-900040.148869863</v>
      </c>
      <c r="F6413" s="61" t="n">
        <f aca="false">F6409+F6410+F6411+F6412</f>
        <v>-940138.370600745</v>
      </c>
      <c r="G6413" s="61" t="n">
        <f aca="false">G6409+G6410+G6411+G6412</f>
        <v>-802765.924049636</v>
      </c>
      <c r="H6413" s="2" t="s">
        <v>1419</v>
      </c>
    </row>
    <row r="6414" customFormat="false" ht="15" hidden="false" customHeight="false" outlineLevel="1" collapsed="false">
      <c r="A6414" s="7" t="s">
        <v>762</v>
      </c>
      <c r="B6414" s="8" t="s">
        <v>11</v>
      </c>
      <c r="C6414" s="61" t="n">
        <f aca="false">C6401</f>
        <v>0</v>
      </c>
      <c r="D6414" s="61" t="n">
        <f aca="false">D6401-C6401</f>
        <v>388800.015410959</v>
      </c>
      <c r="E6414" s="61" t="n">
        <f aca="false">E6401-D6401</f>
        <v>283458.544520548</v>
      </c>
      <c r="F6414" s="61" t="n">
        <f aca="false">F6401-E6401</f>
        <v>466650.159246575</v>
      </c>
      <c r="G6414" s="61" t="n">
        <f aca="false">G6401-F6401</f>
        <v>595838.494006849</v>
      </c>
      <c r="H6414" s="2" t="s">
        <v>1420</v>
      </c>
    </row>
    <row r="6415" customFormat="false" ht="15" hidden="false" customHeight="false" outlineLevel="1" collapsed="false">
      <c r="A6415" s="7" t="s">
        <v>763</v>
      </c>
      <c r="B6415" s="8" t="s">
        <v>11</v>
      </c>
      <c r="C6415" s="61" t="n">
        <f aca="false">-C6403</f>
        <v>-0</v>
      </c>
      <c r="D6415" s="61" t="n">
        <f aca="false">-(D6403-C6403)</f>
        <v>-77760.0030821918</v>
      </c>
      <c r="E6415" s="61" t="n">
        <f aca="false">-(E6403-D6403)</f>
        <v>-56691.7089041095</v>
      </c>
      <c r="F6415" s="61" t="n">
        <f aca="false">-(F6403-E6403)</f>
        <v>-93330.031849315</v>
      </c>
      <c r="G6415" s="61" t="n">
        <f aca="false">-(G6403-F6403)</f>
        <v>-119167.69880137</v>
      </c>
      <c r="H6415" s="2" t="s">
        <v>1421</v>
      </c>
    </row>
    <row r="6416" customFormat="false" ht="15" hidden="false" customHeight="false" outlineLevel="1" collapsed="false">
      <c r="A6416" s="7" t="s">
        <v>764</v>
      </c>
      <c r="B6416" s="8" t="s">
        <v>11</v>
      </c>
      <c r="C6416" s="61" t="n">
        <f aca="false">-C6406</f>
        <v>-0</v>
      </c>
      <c r="D6416" s="61" t="n">
        <f aca="false">-(D6406-C6406)</f>
        <v>-19440.000770548</v>
      </c>
      <c r="E6416" s="61" t="n">
        <f aca="false">-(E6406-D6406)</f>
        <v>-14172.9272260274</v>
      </c>
      <c r="F6416" s="61" t="n">
        <f aca="false">-(F6406-E6406)</f>
        <v>-23332.5079623288</v>
      </c>
      <c r="G6416" s="61" t="n">
        <f aca="false">-(G6406-F6406)</f>
        <v>-29791.9247003425</v>
      </c>
      <c r="H6416" s="2" t="s">
        <v>1422</v>
      </c>
    </row>
    <row r="6417" customFormat="false" ht="15" hidden="false" customHeight="false" outlineLevel="1" collapsed="false">
      <c r="A6417" s="7" t="s">
        <v>765</v>
      </c>
      <c r="B6417" s="8" t="s">
        <v>11</v>
      </c>
      <c r="C6417" s="61" t="n">
        <f aca="false">-(C6405-Pressupostos!$C$108)</f>
        <v>50000</v>
      </c>
      <c r="D6417" s="61" t="n">
        <f aca="false">-(D6405-C6405)</f>
        <v>-0</v>
      </c>
      <c r="E6417" s="61" t="n">
        <f aca="false">-(E6405-D6405)</f>
        <v>-0</v>
      </c>
      <c r="F6417" s="61" t="n">
        <f aca="false">-(F6405-E6405)</f>
        <v>-0</v>
      </c>
      <c r="G6417" s="61" t="n">
        <f aca="false">-(G6405-F6405)</f>
        <v>-0</v>
      </c>
      <c r="H6417" s="2" t="s">
        <v>1423</v>
      </c>
    </row>
    <row r="6418" customFormat="false" ht="15" hidden="false" customHeight="false" outlineLevel="1" collapsed="false">
      <c r="A6418" s="56" t="s">
        <v>766</v>
      </c>
      <c r="B6418" s="57" t="s">
        <v>11</v>
      </c>
      <c r="C6418" s="62" t="n">
        <f aca="false">C6413+C6414+C6415+C6416+C6417</f>
        <v>-684278.873544521</v>
      </c>
      <c r="D6418" s="62" t="n">
        <f aca="false">D6413+D6414+D6415+D6416+D6417</f>
        <v>-717160.66109589</v>
      </c>
      <c r="E6418" s="62" t="n">
        <f aca="false">E6413+E6414+E6415+E6416+E6417</f>
        <v>-687446.240479452</v>
      </c>
      <c r="F6418" s="62" t="n">
        <f aca="false">F6413+F6414+F6415+F6416+F6417</f>
        <v>-590150.751165814</v>
      </c>
      <c r="G6418" s="62" t="n">
        <f aca="false">G6413+G6414+G6415+G6416+G6417</f>
        <v>-355887.053544499</v>
      </c>
      <c r="H6418" s="2" t="s">
        <v>1424</v>
      </c>
    </row>
    <row r="6419" customFormat="false" ht="15" hidden="false" customHeight="false" outlineLevel="1" collapsed="false">
      <c r="A6419" s="56" t="s">
        <v>767</v>
      </c>
      <c r="B6419" s="57" t="s">
        <v>11</v>
      </c>
      <c r="C6419" s="62" t="n">
        <f aca="false">C6418</f>
        <v>-684278.873544521</v>
      </c>
      <c r="D6419" s="62" t="n">
        <f aca="false">C6419+D6418</f>
        <v>-1401439.53464041</v>
      </c>
      <c r="E6419" s="62" t="n">
        <f aca="false">D6419+E6418</f>
        <v>-2088885.77511986</v>
      </c>
      <c r="F6419" s="62" t="n">
        <f aca="false">E6419+F6418</f>
        <v>-2679036.52628568</v>
      </c>
      <c r="G6419" s="62" t="n">
        <f aca="false">F6419+G6418</f>
        <v>-3034923.57983018</v>
      </c>
      <c r="H6419" s="2" t="s">
        <v>1425</v>
      </c>
    </row>
    <row r="6420" customFormat="false" ht="15" hidden="false" customHeight="false" outlineLevel="1" collapsed="false">
      <c r="A6420" s="8" t="s">
        <v>768</v>
      </c>
      <c r="B6420" s="8" t="s">
        <v>11</v>
      </c>
      <c r="C6420" s="70" t="n">
        <f aca="false">ROUND(C6375-C6359-C6390-(MAX(C6404,Pressupostos!$C$108)-Pressupostos!$C$108)-(C6406)-C6418,6)</f>
        <v>0</v>
      </c>
      <c r="D6420" s="70" t="n">
        <f aca="false">ROUND(D6375-D6359-D6390-(MAX(D6404,Pressupostos!$C$108)-MAX(C6404,Pressupostos!$C$108))-(D6406-C6406)-D6418,6)</f>
        <v>0</v>
      </c>
      <c r="E6420" s="70" t="n">
        <f aca="false">ROUND(E6375-E6359-E6390-(MAX(E6404,Pressupostos!$C$108)-MAX(D6404,Pressupostos!$C$108))-(E6406-D6406)-E6418,6)</f>
        <v>0</v>
      </c>
      <c r="F6420" s="70" t="n">
        <f aca="false">ROUND(F6375-F6359-F6390-(MAX(F6404,Pressupostos!$C$108)-MAX(E6404,Pressupostos!$C$108))-(F6406-E6406)-F6418,6)</f>
        <v>0</v>
      </c>
      <c r="G6420" s="70" t="n">
        <f aca="false">ROUND(G6375-G6359-G6390-(MAX(G6404,Pressupostos!$C$108)-MAX(F6404,Pressupostos!$C$108))-(G6406-F6406)-G6418,6)</f>
        <v>0</v>
      </c>
      <c r="H6420" s="2" t="s">
        <v>1426</v>
      </c>
    </row>
    <row r="6421" customFormat="false" ht="15" hidden="false" customHeight="false" outlineLevel="0" collapsed="false">
      <c r="A6421" s="3" t="s">
        <v>1427</v>
      </c>
      <c r="B6421" s="4"/>
      <c r="C6421" s="4"/>
      <c r="D6421" s="4"/>
      <c r="E6421" s="4"/>
      <c r="F6421" s="4"/>
      <c r="G6421" s="4"/>
      <c r="H6421" s="4"/>
    </row>
    <row r="6422" customFormat="false" ht="15" hidden="false" customHeight="false" outlineLevel="1" collapsed="false">
      <c r="A6422" s="7" t="s">
        <v>770</v>
      </c>
      <c r="B6422" s="8" t="s">
        <v>11</v>
      </c>
      <c r="C6422" s="61" t="n">
        <f aca="false">0</f>
        <v>0</v>
      </c>
      <c r="D6422" s="61" t="n">
        <f aca="false">C6427</f>
        <v>270721.12645548</v>
      </c>
      <c r="E6422" s="61" t="n">
        <f aca="false">D6427</f>
        <v>150000</v>
      </c>
      <c r="F6422" s="61" t="n">
        <f aca="false">E6427</f>
        <v>150000</v>
      </c>
      <c r="G6422" s="61" t="n">
        <f aca="false">F6427</f>
        <v>150000</v>
      </c>
      <c r="H6422" s="2" t="s">
        <v>1428</v>
      </c>
    </row>
    <row r="6423" customFormat="false" ht="15" hidden="false" customHeight="false" outlineLevel="1" collapsed="false">
      <c r="A6423" s="7" t="s">
        <v>771</v>
      </c>
      <c r="B6423" s="8" t="s">
        <v>11</v>
      </c>
      <c r="C6423" s="61" t="n">
        <f aca="false">-(Pressupostos!$C$159+Pressupostos!$C$160+Pressupostos!$C$161+Pressupostos!$C$162+Pressupostos!$C$163+Pressupostos!$C$108)</f>
        <v>-145000</v>
      </c>
      <c r="D6423" s="61" t="n">
        <f aca="false">0</f>
        <v>0</v>
      </c>
      <c r="E6423" s="61" t="n">
        <f aca="false">0</f>
        <v>0</v>
      </c>
      <c r="F6423" s="61" t="n">
        <f aca="false">0</f>
        <v>0</v>
      </c>
      <c r="G6423" s="61" t="n">
        <f aca="false">0</f>
        <v>0</v>
      </c>
      <c r="H6423" s="2" t="s">
        <v>1429</v>
      </c>
    </row>
    <row r="6424" customFormat="false" ht="15" hidden="false" customHeight="false" outlineLevel="1" collapsed="false">
      <c r="A6424" s="7" t="s">
        <v>772</v>
      </c>
      <c r="B6424" s="8" t="s">
        <v>11</v>
      </c>
      <c r="C6424" s="53" t="n">
        <f aca="false">Pressupostos!$F$32</f>
        <v>1100000</v>
      </c>
      <c r="D6424" s="61" t="n">
        <f aca="false">0</f>
        <v>0</v>
      </c>
      <c r="E6424" s="61" t="n">
        <f aca="false">0</f>
        <v>0</v>
      </c>
      <c r="F6424" s="61" t="n">
        <f aca="false">0</f>
        <v>0</v>
      </c>
      <c r="G6424" s="61" t="n">
        <f aca="false">0</f>
        <v>0</v>
      </c>
      <c r="H6424" s="2" t="s">
        <v>1430</v>
      </c>
    </row>
    <row r="6425" customFormat="false" ht="15" hidden="false" customHeight="false" outlineLevel="1" collapsed="false">
      <c r="A6425" s="7" t="s">
        <v>773</v>
      </c>
      <c r="B6425" s="8" t="s">
        <v>11</v>
      </c>
      <c r="C6425" s="61" t="n">
        <f aca="false">C6422+C6423+C6424+C6418</f>
        <v>270721.12645548</v>
      </c>
      <c r="D6425" s="61" t="n">
        <f aca="false">D6422+D6423+D6424+D6418</f>
        <v>-446439.534640411</v>
      </c>
      <c r="E6425" s="61" t="n">
        <f aca="false">E6422+E6423+E6424+E6418</f>
        <v>-537446.240479452</v>
      </c>
      <c r="F6425" s="61" t="n">
        <f aca="false">F6422+F6423+F6424+F6418</f>
        <v>-440150.751165814</v>
      </c>
      <c r="G6425" s="61" t="n">
        <f aca="false">G6422+G6423+G6424+G6418</f>
        <v>-205887.053544499</v>
      </c>
      <c r="H6425" s="2" t="s">
        <v>1431</v>
      </c>
    </row>
    <row r="6426" customFormat="false" ht="15" hidden="false" customHeight="false" outlineLevel="1" collapsed="false">
      <c r="A6426" s="56" t="s">
        <v>774</v>
      </c>
      <c r="B6426" s="57" t="s">
        <v>11</v>
      </c>
      <c r="C6426" s="62" t="n">
        <f aca="false">MAX(0,Pressupostos!$C$170-C6425)</f>
        <v>0</v>
      </c>
      <c r="D6426" s="62" t="n">
        <f aca="false">MAX(0,Pressupostos!$C$170-D6425)</f>
        <v>596439.534640411</v>
      </c>
      <c r="E6426" s="62" t="n">
        <f aca="false">MAX(0,Pressupostos!$C$170-E6425)</f>
        <v>687446.240479452</v>
      </c>
      <c r="F6426" s="62" t="n">
        <f aca="false">MAX(0,Pressupostos!$C$170-F6425)</f>
        <v>590150.751165814</v>
      </c>
      <c r="G6426" s="62" t="n">
        <f aca="false">MAX(0,Pressupostos!$C$170-G6425)</f>
        <v>355887.053544499</v>
      </c>
      <c r="H6426" s="2" t="s">
        <v>1432</v>
      </c>
    </row>
    <row r="6427" customFormat="false" ht="15" hidden="false" customHeight="false" outlineLevel="1" collapsed="false">
      <c r="A6427" s="56" t="s">
        <v>775</v>
      </c>
      <c r="B6427" s="57" t="s">
        <v>11</v>
      </c>
      <c r="C6427" s="62" t="n">
        <f aca="false">C6425+C6426</f>
        <v>270721.12645548</v>
      </c>
      <c r="D6427" s="62" t="n">
        <f aca="false">D6425+D6426</f>
        <v>150000</v>
      </c>
      <c r="E6427" s="62" t="n">
        <f aca="false">E6425+E6426</f>
        <v>150000</v>
      </c>
      <c r="F6427" s="62" t="n">
        <f aca="false">F6425+F6426</f>
        <v>150000</v>
      </c>
      <c r="G6427" s="62" t="n">
        <f aca="false">G6425+G6426</f>
        <v>150000</v>
      </c>
      <c r="H6427" s="2" t="s">
        <v>1433</v>
      </c>
    </row>
    <row r="6428" customFormat="false" ht="15" hidden="false" customHeight="false" outlineLevel="1" collapsed="false">
      <c r="A6428" s="7" t="s">
        <v>776</v>
      </c>
      <c r="B6428" s="8" t="s">
        <v>11</v>
      </c>
      <c r="C6428" s="61" t="n">
        <f aca="false">C6403+C6406+C6405</f>
        <v>0</v>
      </c>
      <c r="D6428" s="61" t="n">
        <f aca="false">D6403+D6406+D6405</f>
        <v>97200.0038527398</v>
      </c>
      <c r="E6428" s="61" t="n">
        <f aca="false">E6403+E6406+E6405</f>
        <v>168064.639982877</v>
      </c>
      <c r="F6428" s="61" t="n">
        <f aca="false">F6403+F6406+F6405</f>
        <v>284727.179794521</v>
      </c>
      <c r="G6428" s="61" t="n">
        <f aca="false">G6403+G6406+G6405</f>
        <v>433686.803296233</v>
      </c>
      <c r="H6428" s="2" t="s">
        <v>1434</v>
      </c>
    </row>
    <row r="6429" customFormat="false" ht="15" hidden="false" customHeight="false" outlineLevel="1" collapsed="false">
      <c r="A6429" s="7" t="s">
        <v>777</v>
      </c>
      <c r="B6429" s="8" t="s">
        <v>11</v>
      </c>
      <c r="C6429" s="61" t="n">
        <f aca="false">C6427+C6428</f>
        <v>270721.12645548</v>
      </c>
      <c r="D6429" s="61" t="n">
        <f aca="false">D6427+D6428</f>
        <v>247200.00385274</v>
      </c>
      <c r="E6429" s="61" t="n">
        <f aca="false">E6427+E6428</f>
        <v>318064.639982877</v>
      </c>
      <c r="F6429" s="61" t="n">
        <f aca="false">F6427+F6428</f>
        <v>434727.179794521</v>
      </c>
      <c r="G6429" s="61" t="n">
        <f aca="false">G6427+G6428</f>
        <v>583686.803296233</v>
      </c>
      <c r="H6429" s="2" t="s">
        <v>1435</v>
      </c>
    </row>
    <row r="6430" customFormat="false" ht="15" hidden="false" customHeight="false" outlineLevel="1" collapsed="false">
      <c r="A6430" s="7" t="s">
        <v>778</v>
      </c>
      <c r="B6430" s="8" t="s">
        <v>11</v>
      </c>
      <c r="C6430" s="61" t="n">
        <f aca="false">C6424+C6426</f>
        <v>1100000</v>
      </c>
      <c r="D6430" s="61" t="n">
        <f aca="false">C6430+D6424+D6426</f>
        <v>1696439.53464041</v>
      </c>
      <c r="E6430" s="61" t="n">
        <f aca="false">D6430+E6424+E6426</f>
        <v>2383885.77511986</v>
      </c>
      <c r="F6430" s="61" t="n">
        <f aca="false">E6430+F6424+F6426</f>
        <v>2974036.52628568</v>
      </c>
      <c r="G6430" s="61" t="n">
        <f aca="false">F6430+G6424+G6426</f>
        <v>3329923.57983018</v>
      </c>
      <c r="H6430" s="2" t="s">
        <v>1436</v>
      </c>
    </row>
    <row r="6431" customFormat="false" ht="15" hidden="false" customHeight="false" outlineLevel="0" collapsed="false">
      <c r="A6431" s="3" t="s">
        <v>1437</v>
      </c>
      <c r="B6431" s="4"/>
      <c r="C6431" s="4"/>
      <c r="D6431" s="4"/>
      <c r="E6431" s="4"/>
      <c r="F6431" s="4"/>
      <c r="G6431" s="4"/>
      <c r="H6431" s="4"/>
    </row>
    <row r="6432" customFormat="false" ht="15" hidden="false" customHeight="false" outlineLevel="1" collapsed="false">
      <c r="A6432" s="7" t="s">
        <v>782</v>
      </c>
      <c r="B6432" s="8" t="s">
        <v>11</v>
      </c>
      <c r="C6432" s="72" t="n">
        <f aca="false">Pressupostos!$C$159+Pressupostos!$C$160+Pressupostos!$C$161+Pressupostos!$C$162+Pressupostos!$C$163</f>
        <v>95000</v>
      </c>
      <c r="H6432" s="2" t="s">
        <v>1438</v>
      </c>
    </row>
    <row r="6433" customFormat="false" ht="15" hidden="false" customHeight="false" outlineLevel="1" collapsed="false">
      <c r="A6433" s="7" t="s">
        <v>783</v>
      </c>
      <c r="B6433" s="8" t="s">
        <v>11</v>
      </c>
      <c r="C6433" s="73" t="n">
        <f aca="false">Pressupostos!$C$108</f>
        <v>50000</v>
      </c>
      <c r="H6433" s="2" t="s">
        <v>1439</v>
      </c>
    </row>
    <row r="6434" customFormat="false" ht="15" hidden="false" customHeight="false" outlineLevel="1" collapsed="false">
      <c r="A6434" s="7" t="s">
        <v>322</v>
      </c>
      <c r="B6434" s="8" t="s">
        <v>11</v>
      </c>
      <c r="C6434" s="73" t="n">
        <f aca="false">Pressupostos!$C$170</f>
        <v>150000</v>
      </c>
      <c r="H6434" s="2" t="s">
        <v>1440</v>
      </c>
    </row>
    <row r="6435" customFormat="false" ht="15" hidden="false" customHeight="false" outlineLevel="1" collapsed="false">
      <c r="A6435" s="7" t="s">
        <v>784</v>
      </c>
      <c r="B6435" s="8" t="s">
        <v>11</v>
      </c>
      <c r="C6435" s="72" t="n">
        <f aca="false">MAX(0,-MIN($C$6419:$G$6419))</f>
        <v>3034923.57983018</v>
      </c>
      <c r="H6435" s="2" t="s">
        <v>1441</v>
      </c>
    </row>
    <row r="6436" customFormat="false" ht="15" hidden="false" customHeight="false" outlineLevel="1" collapsed="false">
      <c r="A6436" s="56" t="s">
        <v>785</v>
      </c>
      <c r="B6436" s="57" t="s">
        <v>11</v>
      </c>
      <c r="C6436" s="74" t="n">
        <f aca="false">C6432+C6433+C6434+C6435</f>
        <v>3329923.57983018</v>
      </c>
      <c r="H6436" s="2" t="s">
        <v>1442</v>
      </c>
    </row>
    <row r="6437" customFormat="false" ht="15" hidden="false" customHeight="false" outlineLevel="1" collapsed="false">
      <c r="A6437" s="7" t="s">
        <v>786</v>
      </c>
      <c r="B6437" s="8" t="s">
        <v>20</v>
      </c>
      <c r="C6437" s="75" t="n">
        <f aca="false">INDEX($C$6164:$G$6164,1,MATCH(MIN($C$6419:$G$6419),$C$6419:$G$6419,0))</f>
        <v>2031</v>
      </c>
      <c r="H6437" s="2" t="s">
        <v>1443</v>
      </c>
    </row>
    <row r="6438" customFormat="false" ht="15" hidden="false" customHeight="false" outlineLevel="1" collapsed="false">
      <c r="A6438" s="7" t="s">
        <v>787</v>
      </c>
      <c r="B6438" s="8"/>
      <c r="C6438" s="76" t="str">
        <f aca="false">IF(G6418&lt;0,"sim","não")</f>
        <v>sim</v>
      </c>
      <c r="H6438" s="2" t="s">
        <v>1444</v>
      </c>
    </row>
    <row r="6439" customFormat="false" ht="15" hidden="false" customHeight="false" outlineLevel="1" collapsed="false">
      <c r="A6439" s="7" t="s">
        <v>788</v>
      </c>
      <c r="B6439" s="8" t="s">
        <v>11</v>
      </c>
      <c r="C6439" s="72" t="n">
        <f aca="false">G6430</f>
        <v>3329923.57983018</v>
      </c>
      <c r="H6439" s="2" t="s">
        <v>1445</v>
      </c>
    </row>
    <row r="6440" customFormat="false" ht="15" hidden="false" customHeight="false" outlineLevel="0" collapsed="false">
      <c r="A6440" s="3" t="s">
        <v>1446</v>
      </c>
      <c r="B6440" s="4"/>
      <c r="C6440" s="4"/>
      <c r="D6440" s="4"/>
      <c r="E6440" s="4"/>
      <c r="F6440" s="4"/>
      <c r="G6440" s="4"/>
      <c r="H6440" s="4"/>
    </row>
    <row r="6441" customFormat="false" ht="15" hidden="false" customHeight="false" outlineLevel="1" collapsed="false">
      <c r="A6441" s="7" t="s">
        <v>790</v>
      </c>
      <c r="B6441" s="8" t="s">
        <v>11</v>
      </c>
      <c r="C6441" s="72" t="n">
        <f aca="false">C6432+C6433</f>
        <v>145000</v>
      </c>
      <c r="H6441" s="2" t="s">
        <v>1447</v>
      </c>
    </row>
    <row r="6442" customFormat="false" ht="15" hidden="false" customHeight="false" outlineLevel="1" collapsed="false">
      <c r="A6442" s="7" t="s">
        <v>791</v>
      </c>
      <c r="B6442" s="8" t="s">
        <v>11</v>
      </c>
      <c r="C6442" s="72" t="n">
        <f aca="false">-SUMPRODUCT(($C$6164:$G$6164&lt;=C6437)*$C$6375:$G$6375)</f>
        <v>2285586.96232161</v>
      </c>
      <c r="H6442" s="2" t="s">
        <v>1448</v>
      </c>
    </row>
    <row r="6443" customFormat="false" ht="15" hidden="false" customHeight="false" outlineLevel="1" collapsed="false">
      <c r="A6443" s="7" t="s">
        <v>424</v>
      </c>
      <c r="B6443" s="8" t="s">
        <v>11</v>
      </c>
      <c r="C6443" s="72" t="n">
        <f aca="false">SUMPRODUCT(($C$6164:$G$6164&lt;=C6437)*$C$6359:$G$6359)</f>
        <v>250000</v>
      </c>
      <c r="H6443" s="2" t="s">
        <v>1449</v>
      </c>
    </row>
    <row r="6444" customFormat="false" ht="15" hidden="false" customHeight="false" outlineLevel="1" collapsed="false">
      <c r="A6444" s="7" t="s">
        <v>792</v>
      </c>
      <c r="B6444" s="8" t="s">
        <v>11</v>
      </c>
      <c r="C6444" s="72" t="n">
        <f aca="false">SUMPRODUCT(($C$6164:$G$6164&lt;=C6437)*$C$6390:$G$6390)</f>
        <v>0</v>
      </c>
      <c r="H6444" s="2" t="s">
        <v>1450</v>
      </c>
    </row>
    <row r="6445" customFormat="false" ht="15" hidden="false" customHeight="false" outlineLevel="1" collapsed="false">
      <c r="A6445" s="7" t="s">
        <v>793</v>
      </c>
      <c r="B6445" s="8" t="s">
        <v>11</v>
      </c>
      <c r="C6445" s="72" t="n">
        <f aca="false">C6435-C6442-C6443-C6444</f>
        <v>499336.617508562</v>
      </c>
      <c r="H6445" s="2" t="s">
        <v>1451</v>
      </c>
    </row>
    <row r="6446" customFormat="false" ht="15" hidden="false" customHeight="false" outlineLevel="1" collapsed="false">
      <c r="A6446" s="7" t="s">
        <v>322</v>
      </c>
      <c r="B6446" s="8" t="s">
        <v>11</v>
      </c>
      <c r="C6446" s="72" t="n">
        <f aca="false">C6434</f>
        <v>150000</v>
      </c>
      <c r="H6446" s="2" t="s">
        <v>1452</v>
      </c>
    </row>
    <row r="6447" customFormat="false" ht="15" hidden="false" customHeight="false" outlineLevel="1" collapsed="false">
      <c r="A6447" s="56" t="s">
        <v>794</v>
      </c>
      <c r="B6447" s="57" t="s">
        <v>11</v>
      </c>
      <c r="C6447" s="74" t="n">
        <f aca="false">C6441+C6442+C6443+C6444+C6445+C6446</f>
        <v>3329923.57983018</v>
      </c>
      <c r="H6447" s="2" t="s">
        <v>1453</v>
      </c>
    </row>
    <row r="6448" customFormat="false" ht="15" hidden="false" customHeight="false" outlineLevel="0" collapsed="false">
      <c r="A6448" s="3" t="s">
        <v>1454</v>
      </c>
      <c r="B6448" s="4"/>
      <c r="C6448" s="4"/>
      <c r="D6448" s="4"/>
      <c r="E6448" s="4"/>
      <c r="F6448" s="4"/>
      <c r="G6448" s="4"/>
      <c r="H6448" s="4"/>
    </row>
    <row r="6449" customFormat="false" ht="15" hidden="false" customHeight="false" outlineLevel="1" collapsed="false">
      <c r="A6449" s="7" t="s">
        <v>772</v>
      </c>
      <c r="B6449" s="8" t="s">
        <v>11</v>
      </c>
      <c r="C6449" s="73" t="n">
        <f aca="false">Pressupostos!$F$32</f>
        <v>1100000</v>
      </c>
      <c r="H6449" s="2" t="s">
        <v>1455</v>
      </c>
    </row>
    <row r="6450" customFormat="false" ht="15" hidden="false" customHeight="false" outlineLevel="1" collapsed="false">
      <c r="A6450" s="7" t="s">
        <v>796</v>
      </c>
      <c r="B6450" s="8" t="s">
        <v>11</v>
      </c>
      <c r="C6450" s="72" t="n">
        <f aca="false">C6432+Pressupostos!$C$108+Pressupostos!$C$130/12*((C6334-C6322-C6323+(C6322+C6323)/Pressupostos!$C$128*Pressupostos!$C$129)*(1+Pressupostos!$C$124+Pressupostos!$C$125)+C6320*Pressupostos!$C$126+C6353)+C6359+MAX(0,Pressupostos!$C$183*1000*(C6185+C6188)+Pressupostos!$C$184*1000*(C6208+C6211)-Pressupostos!$C$108)</f>
        <v>652596.666666667</v>
      </c>
      <c r="H6450" s="2" t="s">
        <v>1456</v>
      </c>
    </row>
    <row r="6451" customFormat="false" ht="15" hidden="false" customHeight="false" outlineLevel="1" collapsed="false">
      <c r="A6451" s="7" t="s">
        <v>798</v>
      </c>
      <c r="B6451" s="8" t="s">
        <v>11</v>
      </c>
      <c r="C6451" s="72" t="n">
        <f aca="false">C6432+Pressupostos!$C$108-C6418</f>
        <v>829278.873544521</v>
      </c>
      <c r="H6451" s="2" t="s">
        <v>1457</v>
      </c>
    </row>
    <row r="6452" customFormat="false" ht="15" hidden="false" customHeight="false" outlineLevel="1" collapsed="false">
      <c r="A6452" s="7" t="s">
        <v>799</v>
      </c>
      <c r="B6452" s="8" t="s">
        <v>11</v>
      </c>
      <c r="C6452" s="61" t="n">
        <f aca="false">Pressupostos!$F$32-C6432-Pressupostos!$C$108+C6419</f>
        <v>270721.12645548</v>
      </c>
      <c r="D6452" s="61" t="n">
        <f aca="false">Pressupostos!$F$32-C6432-Pressupostos!$C$108+D6419</f>
        <v>-446439.534640411</v>
      </c>
      <c r="E6452" s="61" t="n">
        <f aca="false">Pressupostos!$F$32-C6432-Pressupostos!$C$108+E6419</f>
        <v>-1133885.77511986</v>
      </c>
      <c r="F6452" s="61" t="n">
        <f aca="false">Pressupostos!$F$32-C6432-Pressupostos!$C$108+F6419</f>
        <v>-1724036.52628568</v>
      </c>
      <c r="G6452" s="61" t="n">
        <f aca="false">Pressupostos!$F$32-C6432-Pressupostos!$C$108+G6419</f>
        <v>-2079923.57983018</v>
      </c>
      <c r="H6452" s="2" t="s">
        <v>1458</v>
      </c>
    </row>
    <row r="6453" customFormat="false" ht="15" hidden="false" customHeight="false" outlineLevel="1" collapsed="false">
      <c r="A6453" s="7" t="s">
        <v>800</v>
      </c>
      <c r="B6453" s="8" t="s">
        <v>18</v>
      </c>
      <c r="C6453" s="77" t="str">
        <f aca="false">IF(AND(Pressupostos!$F$32-C6432-Pressupostos!$C$108&gt;0,C6452&lt;=0),12*(Pressupostos!$F$32-C6432-Pressupostos!$C$108)/(Pressupostos!$F$32-C6432-Pressupostos!$C$108-C6452),"")</f>
        <v/>
      </c>
      <c r="D6453" s="77" t="n">
        <f aca="false">IF(AND(C6452&gt;0,D6452&lt;=0),12+12*C6452/(C6452-D6452),"")</f>
        <v>16.529882484772</v>
      </c>
      <c r="E6453" s="77" t="str">
        <f aca="false">IF(AND(D6452&gt;0,E6452&lt;=0),24+12*D6452/(D6452-E6452),"")</f>
        <v/>
      </c>
      <c r="F6453" s="77" t="str">
        <f aca="false">IF(AND(E6452&gt;0,F6452&lt;=0),36+12*E6452/(E6452-F6452),"")</f>
        <v/>
      </c>
      <c r="G6453" s="77" t="str">
        <f aca="false">IF(AND(F6452&gt;0,G6452&lt;=0),48+12*F6452/(F6452-G6452),"")</f>
        <v/>
      </c>
      <c r="H6453" s="2" t="s">
        <v>1459</v>
      </c>
    </row>
    <row r="6454" customFormat="false" ht="15" hidden="false" customHeight="false" outlineLevel="1" collapsed="false">
      <c r="A6454" s="56" t="s">
        <v>801</v>
      </c>
      <c r="B6454" s="57" t="s">
        <v>274</v>
      </c>
      <c r="C6454" s="78" t="n">
        <f aca="false">IF(COUNT($C$6453:$G$6453)=0,"&gt; 60",MIN($C$6453:$G$6453))</f>
        <v>16.529882484772</v>
      </c>
      <c r="H6454" s="2" t="s">
        <v>1460</v>
      </c>
    </row>
    <row r="6455" customFormat="false" ht="15" hidden="false" customHeight="false" outlineLevel="0" collapsed="false">
      <c r="A6455" s="3" t="s">
        <v>1461</v>
      </c>
      <c r="B6455" s="4"/>
      <c r="C6455" s="4"/>
      <c r="D6455" s="4"/>
      <c r="E6455" s="4"/>
      <c r="F6455" s="4"/>
      <c r="G6455" s="4"/>
      <c r="H6455" s="4"/>
    </row>
    <row r="6456" customFormat="false" ht="15" hidden="false" customHeight="false" outlineLevel="1" collapsed="false">
      <c r="A6456" s="7" t="s">
        <v>803</v>
      </c>
      <c r="B6456" s="8" t="s">
        <v>18</v>
      </c>
      <c r="C6456" s="77" t="str">
        <f aca="false">IF(C6375&gt;=0,1,"")</f>
        <v/>
      </c>
      <c r="D6456" s="77" t="str">
        <f aca="false">IF(AND(C6375&lt;0,D6375&gt;=0),6.5+12*(-C6375)/(D6375-C6375),"")</f>
        <v/>
      </c>
      <c r="E6456" s="77" t="str">
        <f aca="false">IF(AND(D6375&lt;0,E6375&gt;=0),18.5+12*(-D6375)/(E6375-D6375),"")</f>
        <v/>
      </c>
      <c r="F6456" s="77" t="str">
        <f aca="false">IF(AND(E6375&lt;0,F6375&gt;=0),30.5+12*(-E6375)/(F6375-E6375),"")</f>
        <v/>
      </c>
      <c r="G6456" s="77" t="str">
        <f aca="false">IF(AND(F6375&lt;0,G6375&gt;=0),42.5+12*(-F6375)/(G6375-F6375),"")</f>
        <v/>
      </c>
      <c r="H6456" s="2" t="s">
        <v>1462</v>
      </c>
    </row>
    <row r="6457" customFormat="false" ht="15" hidden="false" customHeight="false" outlineLevel="1" collapsed="false">
      <c r="A6457" s="7" t="s">
        <v>804</v>
      </c>
      <c r="B6457" s="8" t="s">
        <v>18</v>
      </c>
      <c r="C6457" s="79" t="str">
        <f aca="false">IF(COUNT($C$6456:$G$6456)=0,"não atinge até 2031",ROUNDUP(MIN($C$6456:$G$6456),0))</f>
        <v>não atinge até 2031</v>
      </c>
      <c r="H6457" s="2" t="s">
        <v>1463</v>
      </c>
    </row>
    <row r="6458" customFormat="false" ht="15" hidden="false" customHeight="false" outlineLevel="1" collapsed="false">
      <c r="A6458" s="56" t="s">
        <v>805</v>
      </c>
      <c r="B6458" s="57" t="s">
        <v>806</v>
      </c>
      <c r="C6458" s="80" t="str">
        <f aca="false">IF(ISNUMBER(C6457),DATE(2027,C6457,1),"não atinge até 2031")</f>
        <v>não atinge até 2031</v>
      </c>
      <c r="H6458" s="2" t="s">
        <v>1464</v>
      </c>
    </row>
    <row r="6459" customFormat="false" ht="15" hidden="false" customHeight="false" outlineLevel="1" collapsed="false">
      <c r="A6459" s="7" t="s">
        <v>807</v>
      </c>
      <c r="B6459" s="8" t="s">
        <v>20</v>
      </c>
      <c r="C6459" s="81" t="str">
        <f aca="false">IF(C6375&gt;=0,C6164,"")</f>
        <v/>
      </c>
      <c r="D6459" s="81" t="str">
        <f aca="false">IF(D6375&gt;=0,D6164,"")</f>
        <v/>
      </c>
      <c r="E6459" s="81" t="str">
        <f aca="false">IF(E6375&gt;=0,E6164,"")</f>
        <v/>
      </c>
      <c r="F6459" s="81" t="str">
        <f aca="false">IF(F6375&gt;=0,F6164,"")</f>
        <v/>
      </c>
      <c r="G6459" s="81" t="str">
        <f aca="false">IF(G6375&gt;=0,G6164,"")</f>
        <v/>
      </c>
      <c r="H6459" s="2" t="s">
        <v>1465</v>
      </c>
    </row>
    <row r="6460" customFormat="false" ht="15" hidden="false" customHeight="false" outlineLevel="1" collapsed="false">
      <c r="A6460" s="7" t="s">
        <v>808</v>
      </c>
      <c r="B6460" s="8" t="s">
        <v>20</v>
      </c>
      <c r="C6460" s="75" t="str">
        <f aca="false">IF(COUNT($C$6459:$G$6459)=0,"não atinge até 2031",MIN($C$6459:$G$6459))</f>
        <v>não atinge até 2031</v>
      </c>
      <c r="H6460" s="2" t="s">
        <v>1466</v>
      </c>
    </row>
    <row r="6461" customFormat="false" ht="15" hidden="false" customHeight="false" outlineLevel="1" collapsed="false">
      <c r="A6461" s="7" t="s">
        <v>809</v>
      </c>
      <c r="B6461" s="8" t="s">
        <v>20</v>
      </c>
      <c r="C6461" s="81" t="str">
        <f aca="false">IF(C6393&gt;=0,C6164,"")</f>
        <v/>
      </c>
      <c r="D6461" s="81" t="str">
        <f aca="false">IF(D6393&gt;=0,D6164,"")</f>
        <v/>
      </c>
      <c r="E6461" s="81" t="str">
        <f aca="false">IF(E6393&gt;=0,E6164,"")</f>
        <v/>
      </c>
      <c r="F6461" s="81" t="str">
        <f aca="false">IF(F6393&gt;=0,F6164,"")</f>
        <v/>
      </c>
      <c r="G6461" s="81" t="str">
        <f aca="false">IF(G6393&gt;=0,G6164,"")</f>
        <v/>
      </c>
      <c r="H6461" s="2" t="s">
        <v>1467</v>
      </c>
    </row>
    <row r="6462" customFormat="false" ht="15" hidden="false" customHeight="false" outlineLevel="1" collapsed="false">
      <c r="A6462" s="7" t="s">
        <v>810</v>
      </c>
      <c r="B6462" s="8" t="s">
        <v>20</v>
      </c>
      <c r="C6462" s="75" t="str">
        <f aca="false">IF(COUNT($C$6461:$G$6461)=0,"não atinge até 2031",MIN($C$6461:$G$6461))</f>
        <v>não atinge até 2031</v>
      </c>
      <c r="H6462" s="2" t="s">
        <v>1468</v>
      </c>
    </row>
    <row r="6463" customFormat="false" ht="15" hidden="false" customHeight="false" outlineLevel="1" collapsed="false">
      <c r="A6463" s="7" t="s">
        <v>811</v>
      </c>
      <c r="B6463" s="8" t="s">
        <v>20</v>
      </c>
      <c r="C6463" s="81" t="str">
        <f aca="false">IF(C6418&gt;=0,C6164,"")</f>
        <v/>
      </c>
      <c r="D6463" s="81" t="str">
        <f aca="false">IF(D6418&gt;=0,D6164,"")</f>
        <v/>
      </c>
      <c r="E6463" s="81" t="str">
        <f aca="false">IF(E6418&gt;=0,E6164,"")</f>
        <v/>
      </c>
      <c r="F6463" s="81" t="str">
        <f aca="false">IF(F6418&gt;=0,F6164,"")</f>
        <v/>
      </c>
      <c r="G6463" s="81" t="str">
        <f aca="false">IF(G6418&gt;=0,G6164,"")</f>
        <v/>
      </c>
      <c r="H6463" s="2" t="s">
        <v>1469</v>
      </c>
    </row>
    <row r="6464" customFormat="false" ht="15" hidden="false" customHeight="false" outlineLevel="1" collapsed="false">
      <c r="A6464" s="7" t="s">
        <v>19</v>
      </c>
      <c r="B6464" s="8" t="s">
        <v>20</v>
      </c>
      <c r="C6464" s="75" t="str">
        <f aca="false">IF(COUNT($C$6463:$G$6463)=0,"não atinge até 2031",MIN($C$6463:$G$6463))</f>
        <v>não atinge até 2031</v>
      </c>
      <c r="H6464" s="2" t="s">
        <v>1470</v>
      </c>
    </row>
    <row r="6465" customFormat="false" ht="15" hidden="false" customHeight="false" outlineLevel="0" collapsed="false">
      <c r="A6465" s="3" t="s">
        <v>1471</v>
      </c>
      <c r="B6465" s="4"/>
      <c r="C6465" s="4"/>
      <c r="D6465" s="4"/>
      <c r="E6465" s="4"/>
      <c r="F6465" s="4"/>
      <c r="G6465" s="4"/>
      <c r="H6465" s="4"/>
    </row>
    <row r="6466" customFormat="false" ht="15" hidden="false" customHeight="false" outlineLevel="1" collapsed="false">
      <c r="A6466" s="7" t="s">
        <v>813</v>
      </c>
      <c r="B6466" s="8" t="s">
        <v>11</v>
      </c>
      <c r="C6466" s="61" t="n">
        <f aca="false">C6401</f>
        <v>0</v>
      </c>
      <c r="D6466" s="61" t="n">
        <f aca="false">D6401</f>
        <v>388800.015410959</v>
      </c>
      <c r="E6466" s="61" t="n">
        <f aca="false">E6401</f>
        <v>672258.559931507</v>
      </c>
      <c r="F6466" s="61" t="n">
        <f aca="false">F6401</f>
        <v>1138908.71917808</v>
      </c>
      <c r="G6466" s="61" t="n">
        <f aca="false">G6401</f>
        <v>1734747.21318493</v>
      </c>
      <c r="H6466" s="2" t="s">
        <v>1472</v>
      </c>
    </row>
    <row r="6467" customFormat="false" ht="15" hidden="false" customHeight="false" outlineLevel="1" collapsed="false">
      <c r="A6467" s="7" t="s">
        <v>509</v>
      </c>
      <c r="B6467" s="8" t="s">
        <v>76</v>
      </c>
      <c r="C6467" s="82" t="n">
        <f aca="false">Pressupostos!$C$290</f>
        <v>0.08</v>
      </c>
      <c r="D6467" s="82" t="n">
        <f aca="false">Pressupostos!$D$290</f>
        <v>0.08</v>
      </c>
      <c r="E6467" s="82" t="n">
        <f aca="false">Pressupostos!$E$290</f>
        <v>0.075</v>
      </c>
      <c r="F6467" s="82" t="n">
        <f aca="false">Pressupostos!$F$290</f>
        <v>0.07</v>
      </c>
      <c r="G6467" s="82" t="n">
        <f aca="false">Pressupostos!$G$290</f>
        <v>0.07</v>
      </c>
      <c r="H6467" s="2" t="s">
        <v>1473</v>
      </c>
    </row>
    <row r="6468" customFormat="false" ht="15" hidden="false" customHeight="false" outlineLevel="1" collapsed="false">
      <c r="A6468" s="7" t="s">
        <v>814</v>
      </c>
      <c r="B6468" s="8" t="s">
        <v>76</v>
      </c>
      <c r="C6468" s="60" t="n">
        <f aca="false">Pressupostos!$C$290*(1-Pressupostos!$C$111)</f>
        <v>0.0576</v>
      </c>
      <c r="D6468" s="60" t="n">
        <f aca="false">Pressupostos!$D$290*(1-Pressupostos!$C$111)</f>
        <v>0.0576</v>
      </c>
      <c r="E6468" s="60" t="n">
        <f aca="false">Pressupostos!$E$290*(1-Pressupostos!$C$111)</f>
        <v>0.054</v>
      </c>
      <c r="F6468" s="60" t="n">
        <f aca="false">Pressupostos!$F$290*(1-Pressupostos!$C$111)</f>
        <v>0.0504</v>
      </c>
      <c r="G6468" s="60" t="n">
        <f aca="false">Pressupostos!$G$290*(1-Pressupostos!$C$111)</f>
        <v>0.0504</v>
      </c>
      <c r="H6468" s="2" t="s">
        <v>1474</v>
      </c>
    </row>
    <row r="6469" customFormat="false" ht="15" hidden="false" customHeight="false" outlineLevel="1" collapsed="false">
      <c r="A6469" s="7" t="s">
        <v>815</v>
      </c>
      <c r="B6469" s="8" t="s">
        <v>11</v>
      </c>
      <c r="C6469" s="61" t="n">
        <f aca="false">C6305</f>
        <v>0</v>
      </c>
      <c r="D6469" s="61" t="n">
        <f aca="false">D6305</f>
        <v>27981.4315068493</v>
      </c>
      <c r="E6469" s="61" t="n">
        <f aca="false">E6305</f>
        <v>44308.6788313356</v>
      </c>
      <c r="F6469" s="61" t="n">
        <f aca="false">F6305</f>
        <v>70107.7673373288</v>
      </c>
      <c r="G6469" s="61" t="n">
        <f aca="false">G6305</f>
        <v>106938.050085616</v>
      </c>
      <c r="H6469" s="2" t="s">
        <v>1475</v>
      </c>
    </row>
    <row r="6470" customFormat="false" ht="15" hidden="false" customHeight="false" outlineLevel="1" collapsed="false">
      <c r="A6470" s="7" t="s">
        <v>816</v>
      </c>
      <c r="B6470" s="8" t="s">
        <v>76</v>
      </c>
      <c r="C6470" s="59" t="n">
        <f aca="false">IF(C6401&gt;0,(C6404+C6406)/C6401,0)</f>
        <v>0</v>
      </c>
      <c r="D6470" s="59" t="n">
        <f aca="false">IF(D6401&gt;0,(D6404+D6406)/D6401,0)</f>
        <v>0.316666666666667</v>
      </c>
      <c r="E6470" s="59" t="n">
        <f aca="false">IF(E6401&gt;0,(E6404+E6406)/E6401,0)</f>
        <v>0.316666666666667</v>
      </c>
      <c r="F6470" s="59" t="n">
        <f aca="false">IF(F6401&gt;0,(F6404+F6406)/F6401,0)</f>
        <v>0.316666666666667</v>
      </c>
      <c r="G6470" s="59" t="n">
        <f aca="false">IF(G6401&gt;0,(G6404+G6406)/G6401,0)</f>
        <v>0.316666666666667</v>
      </c>
      <c r="H6470" s="2" t="s">
        <v>1476</v>
      </c>
    </row>
    <row r="6471" customFormat="false" ht="15" hidden="false" customHeight="false" outlineLevel="1" collapsed="false">
      <c r="A6471" s="7" t="s">
        <v>817</v>
      </c>
      <c r="B6471" s="8" t="s">
        <v>123</v>
      </c>
      <c r="C6471" s="61" t="n">
        <f aca="false">C6407</f>
        <v>0</v>
      </c>
      <c r="D6471" s="61" t="n">
        <f aca="false">D6407</f>
        <v>7.77600030821918</v>
      </c>
      <c r="E6471" s="61" t="n">
        <f aca="false">E6407</f>
        <v>13.4451711986301</v>
      </c>
      <c r="F6471" s="61" t="n">
        <f aca="false">F6407</f>
        <v>22.7781743835616</v>
      </c>
      <c r="G6471" s="61" t="n">
        <f aca="false">G6407</f>
        <v>34.6949442636986</v>
      </c>
      <c r="H6471" s="2" t="s">
        <v>1477</v>
      </c>
    </row>
    <row r="6472" customFormat="false" ht="15" hidden="false" customHeight="false" outlineLevel="1" collapsed="false">
      <c r="A6472" s="7" t="s">
        <v>818</v>
      </c>
      <c r="B6472" s="8" t="s">
        <v>11</v>
      </c>
      <c r="C6472" s="61" t="n">
        <f aca="false">C6305+C6351</f>
        <v>65000</v>
      </c>
      <c r="D6472" s="61" t="n">
        <f aca="false">D6305+D6351</f>
        <v>102981.431506849</v>
      </c>
      <c r="E6472" s="61" t="n">
        <f aca="false">E6305+E6351</f>
        <v>124308.678831336</v>
      </c>
      <c r="F6472" s="61" t="n">
        <f aca="false">F6305+F6351</f>
        <v>155107.767337329</v>
      </c>
      <c r="G6472" s="61" t="n">
        <f aca="false">G6305+G6351</f>
        <v>196938.050085616</v>
      </c>
      <c r="H6472" s="2" t="s">
        <v>1478</v>
      </c>
    </row>
    <row r="6473" customFormat="false" ht="15" hidden="false" customHeight="false" outlineLevel="1" collapsed="false">
      <c r="A6473" s="7" t="s">
        <v>819</v>
      </c>
      <c r="B6473" s="8" t="s">
        <v>76</v>
      </c>
      <c r="C6473" s="59" t="str">
        <f aca="false">IF(C6401&gt;0,C6472/C6401,"")</f>
        <v/>
      </c>
      <c r="D6473" s="59" t="n">
        <f aca="false">IF(D6401&gt;0,D6472/D6401,"")</f>
        <v>0.2648699265045</v>
      </c>
      <c r="E6473" s="59" t="n">
        <f aca="false">IF(E6401&gt;0,E6472/E6401,"")</f>
        <v>0.184912005946047</v>
      </c>
      <c r="F6473" s="59" t="n">
        <f aca="false">IF(F6401&gt;0,F6472/F6401,"")</f>
        <v>0.136189814622954</v>
      </c>
      <c r="G6473" s="59" t="n">
        <f aca="false">IF(G6401&gt;0,G6472/G6401,"")</f>
        <v>0.113525503075486</v>
      </c>
      <c r="H6473" s="2" t="s">
        <v>1479</v>
      </c>
    </row>
    <row r="6474" customFormat="false" ht="15" hidden="false" customHeight="false" outlineLevel="0" collapsed="false">
      <c r="A6474" s="3" t="s">
        <v>1480</v>
      </c>
      <c r="B6474" s="4"/>
      <c r="C6474" s="4"/>
      <c r="D6474" s="4"/>
      <c r="E6474" s="4"/>
      <c r="F6474" s="4"/>
      <c r="G6474" s="4"/>
      <c r="H6474" s="4"/>
    </row>
    <row r="6475" customFormat="false" ht="15" hidden="false" customHeight="false" outlineLevel="1" collapsed="false">
      <c r="A6475" s="7" t="s">
        <v>821</v>
      </c>
      <c r="B6475" s="8" t="s">
        <v>11</v>
      </c>
      <c r="C6475" s="61" t="n">
        <f aca="false">MAX(0,-C6375)</f>
        <v>574991.143133562</v>
      </c>
      <c r="D6475" s="61" t="n">
        <f aca="false">MAX(0,-D6375)</f>
        <v>618328.386626712</v>
      </c>
      <c r="E6475" s="61" t="n">
        <f aca="false">MAX(0,-E6375)</f>
        <v>553684.368047945</v>
      </c>
      <c r="F6475" s="61" t="n">
        <f aca="false">MAX(0,-F6375)</f>
        <v>405378.200737732</v>
      </c>
      <c r="G6475" s="61" t="n">
        <f aca="false">MAX(0,-G6375)</f>
        <v>133204.863775663</v>
      </c>
      <c r="H6475" s="2" t="s">
        <v>1481</v>
      </c>
    </row>
    <row r="6476" customFormat="false" ht="15" hidden="false" customHeight="false" outlineLevel="1" collapsed="false">
      <c r="A6476" s="2" t="s">
        <v>822</v>
      </c>
      <c r="B6476" s="8"/>
      <c r="C6476" s="61" t="n">
        <f aca="false">IF(AND(C6164&gt;=Pressupostos!$C$120,Pressupostos!$C$118*(C6258+C6259)+Pressupostos!$C$119*C6260&gt;Pressupostos!$C$302),1,0)</f>
        <v>0</v>
      </c>
      <c r="D6476" s="61" t="n">
        <f aca="false">IF(AND(D6164&gt;=Pressupostos!$C$120,Pressupostos!$C$118*(D6258+D6259)+Pressupostos!$C$119*D6260&gt;Pressupostos!$D$302),1,0)</f>
        <v>1</v>
      </c>
      <c r="E6476" s="61" t="n">
        <f aca="false">IF(AND(E6164&gt;=Pressupostos!$C$120,Pressupostos!$C$118*(E6258+E6259)+Pressupostos!$C$119*E6260&gt;Pressupostos!$E$302),1,0)</f>
        <v>1</v>
      </c>
      <c r="F6476" s="61" t="n">
        <f aca="false">IF(AND(F6164&gt;=Pressupostos!$C$120,Pressupostos!$C$118*(F6258+F6259)+Pressupostos!$C$119*F6260&gt;Pressupostos!$F$302),1,0)</f>
        <v>1</v>
      </c>
      <c r="G6476" s="61" t="n">
        <f aca="false">IF(AND(G6164&gt;=Pressupostos!$C$120,Pressupostos!$C$118*(G6258+G6259)+Pressupostos!$C$119*G6260&gt;Pressupostos!$G$302),1,0)</f>
        <v>1</v>
      </c>
      <c r="H6476" s="2" t="s">
        <v>1482</v>
      </c>
    </row>
    <row r="6477" customFormat="false" ht="15" hidden="false" customHeight="false" outlineLevel="1" collapsed="false">
      <c r="A6477" s="7" t="s">
        <v>823</v>
      </c>
      <c r="B6477" s="8" t="s">
        <v>64</v>
      </c>
      <c r="C6477" s="63" t="n">
        <f aca="false">IF(C6168&gt;0,C6475/(C6168*1000*(1-Pressupostos!$F$22)*(1-Pressupostos!$F$25-C6476*Pressupostos!$C$118)),"n/a")</f>
        <v>8.53138028187464</v>
      </c>
      <c r="D6477" s="63" t="n">
        <f aca="false">IF(D6168&gt;0,D6475/(D6168*1000*(1-Pressupostos!$F$22)*(1-Pressupostos!$F$25-D6476*Pressupostos!$C$118)),"n/a")</f>
        <v>1.31953209791429</v>
      </c>
      <c r="E6477" s="63" t="n">
        <f aca="false">IF(E6168&gt;0,E6475/(E6168*1000*(1-Pressupostos!$F$22)*(1-Pressupostos!$F$25-E6476*Pressupostos!$C$118)),"n/a")</f>
        <v>0.598205643612081</v>
      </c>
      <c r="F6477" s="63" t="n">
        <f aca="false">IF(F6168&gt;0,F6475/(F6168*1000*(1-Pressupostos!$F$22)*(1-Pressupostos!$F$25-F6476*Pressupostos!$C$118)),"n/a")</f>
        <v>0.265450192925176</v>
      </c>
      <c r="G6477" s="63" t="n">
        <f aca="false">IF(G6168&gt;0,G6475/(G6168*1000*(1-Pressupostos!$F$22)*(1-Pressupostos!$F$25-G6476*Pressupostos!$C$118)),"n/a")</f>
        <v>0.0576466999878665</v>
      </c>
      <c r="H6477" s="2" t="s">
        <v>1483</v>
      </c>
    </row>
    <row r="6478" customFormat="false" ht="15" hidden="false" customHeight="false" outlineLevel="1" collapsed="false">
      <c r="A6478" s="7" t="s">
        <v>824</v>
      </c>
      <c r="B6478" s="8" t="s">
        <v>64</v>
      </c>
      <c r="C6478" s="63" t="n">
        <f aca="false">IF(C6167&gt;0,Pressupostos!$F$15+C6475/(C6167*1000*(1-Pressupostos!$F$16)*(1-Pressupostos!$F$18-C6476*Pressupostos!$C$118)),"n/a")</f>
        <v>66.2941332730133</v>
      </c>
      <c r="D6478" s="63" t="n">
        <f aca="false">IF(D6167&gt;0,Pressupostos!$F$15+D6475/(D6167*1000*(1-Pressupostos!$F$16)*(1-Pressupostos!$F$18-D6476*Pressupostos!$C$118)),"n/a")</f>
        <v>23.3601314128489</v>
      </c>
      <c r="E6478" s="63" t="n">
        <f aca="false">IF(E6167&gt;0,Pressupostos!$F$15+E6475/(E6167*1000*(1-Pressupostos!$F$16)*(1-Pressupostos!$F$18-E6476*Pressupostos!$C$118)),"n/a")</f>
        <v>11.8294469401956</v>
      </c>
      <c r="F6478" s="63" t="n">
        <f aca="false">IF(F6167&gt;0,Pressupostos!$F$15+F6475/(F6167*1000*(1-Pressupostos!$F$16)*(1-Pressupostos!$F$18-F6476*Pressupostos!$C$118)),"n/a")</f>
        <v>8.4388631587487</v>
      </c>
      <c r="G6478" s="63" t="n">
        <f aca="false">IF(G6167&gt;0,Pressupostos!$F$15+G6475/(G6167*1000*(1-Pressupostos!$F$16)*(1-Pressupostos!$F$18-G6476*Pressupostos!$C$118)),"n/a")</f>
        <v>6.56097714175595</v>
      </c>
      <c r="H6478" s="2" t="s">
        <v>1484</v>
      </c>
    </row>
    <row r="6479" customFormat="false" ht="15" hidden="false" customHeight="false" outlineLevel="1" collapsed="false">
      <c r="A6479" s="7" t="s">
        <v>825</v>
      </c>
      <c r="B6479" s="8" t="s">
        <v>64</v>
      </c>
      <c r="C6479" s="63" t="n">
        <f aca="false">IF(Pressupostos!$F$33=1,C6250-C6476*Pressupostos!$C$119*C6233,C6256)</f>
        <v>0.00725</v>
      </c>
      <c r="D6479" s="63" t="n">
        <f aca="false">IF(Pressupostos!$F$33=1,D6250-D6476*Pressupostos!$C$119*D6233,D6256)</f>
        <v>0.00725</v>
      </c>
      <c r="E6479" s="63" t="n">
        <f aca="false">IF(Pressupostos!$F$33=1,E6250-E6476*Pressupostos!$C$119*E6233,E6256)</f>
        <v>0.00725</v>
      </c>
      <c r="F6479" s="63" t="n">
        <f aca="false">IF(Pressupostos!$F$33=1,F6250-F6476*Pressupostos!$C$119*F6233,F6256)</f>
        <v>0.00725</v>
      </c>
      <c r="G6479" s="63" t="n">
        <f aca="false">IF(Pressupostos!$F$33=1,G6250-G6476*Pressupostos!$C$119*G6233,G6256)</f>
        <v>0.00725</v>
      </c>
      <c r="H6479" s="2" t="s">
        <v>1485</v>
      </c>
    </row>
    <row r="6480" customFormat="false" ht="15" hidden="false" customHeight="false" outlineLevel="1" collapsed="false">
      <c r="A6480" s="7" t="s">
        <v>826</v>
      </c>
      <c r="B6480" s="8" t="s">
        <v>120</v>
      </c>
      <c r="C6480" s="55" t="n">
        <f aca="false">IF(C6479&gt;0,C6169+C6475/(C6479*1000),"n/a")</f>
        <v>79309.1231908361</v>
      </c>
      <c r="D6480" s="55" t="n">
        <f aca="false">IF(D6479&gt;0,D6169+D6475/(D6479*1000),"n/a")</f>
        <v>85936.6740174776</v>
      </c>
      <c r="E6480" s="55" t="n">
        <f aca="false">IF(E6479&gt;0,E6169+E6475/(E6479*1000),"n/a")</f>
        <v>78320.2576617856</v>
      </c>
      <c r="F6480" s="55" t="n">
        <f aca="false">IF(F6479&gt;0,F6169+F6475/(F6479*1000),"n/a")</f>
        <v>59164.2345845147</v>
      </c>
      <c r="G6480" s="55" t="n">
        <f aca="false">IF(G6479&gt;0,G6169+G6475/(G6479*1000),"n/a")</f>
        <v>22923.0846587122</v>
      </c>
      <c r="H6480" s="2" t="s">
        <v>1486</v>
      </c>
    </row>
    <row r="6481" customFormat="false" ht="15" hidden="false" customHeight="false" outlineLevel="1" collapsed="false">
      <c r="A6481" s="7" t="s">
        <v>827</v>
      </c>
      <c r="B6481" s="8" t="s">
        <v>76</v>
      </c>
      <c r="C6481" s="59" t="n">
        <f aca="false">C6475/(C6337+C6350+C6351)</f>
        <v>0.955653741386141</v>
      </c>
      <c r="D6481" s="59" t="n">
        <f aca="false">D6475/(D6337+D6350+D6351)</f>
        <v>0.802754565004815</v>
      </c>
      <c r="E6481" s="59" t="n">
        <f aca="false">E6475/(E6337+E6350+E6351)</f>
        <v>0.600585067789808</v>
      </c>
      <c r="F6481" s="59" t="n">
        <f aca="false">F6475/(F6337+F6350+F6351)</f>
        <v>0.3782510523167</v>
      </c>
      <c r="G6481" s="59" t="n">
        <f aca="false">G6475/(G6337+G6350+G6351)</f>
        <v>0.113260190023394</v>
      </c>
      <c r="H6481" s="2" t="s">
        <v>1487</v>
      </c>
    </row>
    <row r="6482" customFormat="false" ht="15" hidden="false" customHeight="false" outlineLevel="1" collapsed="false">
      <c r="A6482" s="2" t="s">
        <v>828</v>
      </c>
      <c r="B6482" s="8" t="s">
        <v>76</v>
      </c>
      <c r="C6482" s="60" t="n">
        <f aca="false">Pressupostos!$C$101*Pressupostos!$C$102+Pressupostos!$C$103-Pressupostos!$F$30*Pressupostos!$C$104*Pressupostos!$C$102/(Pressupostos!$C$105*Pressupostos!$C$106)</f>
        <v>0.02</v>
      </c>
      <c r="D6482" s="60" t="n">
        <f aca="false">Pressupostos!$C$101*Pressupostos!$C$102+Pressupostos!$C$103-Pressupostos!$F$30*Pressupostos!$C$104*Pressupostos!$C$102/(Pressupostos!$C$105*Pressupostos!$C$106)</f>
        <v>0.02</v>
      </c>
      <c r="E6482" s="60" t="n">
        <f aca="false">Pressupostos!$C$101*Pressupostos!$C$102+Pressupostos!$C$103-Pressupostos!$F$30*Pressupostos!$C$104*Pressupostos!$C$102/(Pressupostos!$C$105*Pressupostos!$C$106)</f>
        <v>0.02</v>
      </c>
      <c r="F6482" s="60" t="n">
        <f aca="false">Pressupostos!$C$101*Pressupostos!$C$102+Pressupostos!$C$103-Pressupostos!$F$30*Pressupostos!$C$104*Pressupostos!$C$102/(Pressupostos!$C$105*Pressupostos!$C$106)</f>
        <v>0.02</v>
      </c>
      <c r="G6482" s="60" t="n">
        <f aca="false">Pressupostos!$C$101*Pressupostos!$C$102+Pressupostos!$C$103-Pressupostos!$F$30*Pressupostos!$C$104*Pressupostos!$C$102/(Pressupostos!$C$105*Pressupostos!$C$106)</f>
        <v>0.02</v>
      </c>
      <c r="H6482" s="2" t="s">
        <v>1488</v>
      </c>
    </row>
    <row r="6483" customFormat="false" ht="15" hidden="false" customHeight="false" outlineLevel="1" collapsed="false">
      <c r="A6483" s="7" t="s">
        <v>829</v>
      </c>
      <c r="B6483" s="8" t="s">
        <v>11</v>
      </c>
      <c r="C6483" s="61" t="n">
        <f aca="false">IF(C6482&gt;0,C6182+C6475/C6482,"n/a")</f>
        <v>28749557.1566781</v>
      </c>
      <c r="D6483" s="61" t="n">
        <f aca="false">IF(D6482&gt;0,D6182+D6475/D6482,"n/a")</f>
        <v>31916419.3313356</v>
      </c>
      <c r="E6483" s="61" t="n">
        <f aca="false">IF(E6482&gt;0,E6182+E6475/E6482,"n/a")</f>
        <v>30684218.4023973</v>
      </c>
      <c r="F6483" s="61" t="n">
        <f aca="false">IF(F6482&gt;0,F6182+F6475/F6482,"n/a")</f>
        <v>26268910.0368866</v>
      </c>
      <c r="G6483" s="61" t="n">
        <f aca="false">IF(G6482&gt;0,G6182+G6475/G6482,"n/a")</f>
        <v>16660243.1887832</v>
      </c>
      <c r="H6483" s="2" t="s">
        <v>1489</v>
      </c>
    </row>
    <row r="6486" customFormat="false" ht="15" hidden="false" customHeight="false" outlineLevel="0" collapsed="false">
      <c r="A6486" s="111" t="s">
        <v>1509</v>
      </c>
      <c r="B6486" s="112"/>
      <c r="C6486" s="112"/>
      <c r="D6486" s="112"/>
      <c r="E6486" s="112"/>
      <c r="F6486" s="112"/>
      <c r="G6486" s="112"/>
      <c r="H6486" s="112"/>
    </row>
    <row r="6487" customFormat="false" ht="15" hidden="false" customHeight="false" outlineLevel="0" collapsed="false">
      <c r="A6487" s="3" t="s">
        <v>1170</v>
      </c>
      <c r="B6487" s="4"/>
      <c r="C6487" s="4"/>
      <c r="D6487" s="4"/>
      <c r="E6487" s="4"/>
      <c r="F6487" s="4"/>
      <c r="G6487" s="4"/>
      <c r="H6487" s="4"/>
    </row>
    <row r="6488" customFormat="false" ht="15" hidden="false" customHeight="false" outlineLevel="1" collapsed="false">
      <c r="A6488" s="7" t="s">
        <v>588</v>
      </c>
      <c r="B6488" s="8"/>
      <c r="C6488" s="52" t="n">
        <v>2027</v>
      </c>
      <c r="D6488" s="52" t="n">
        <v>2028</v>
      </c>
      <c r="E6488" s="52" t="n">
        <v>2029</v>
      </c>
      <c r="F6488" s="52" t="n">
        <v>2030</v>
      </c>
      <c r="G6488" s="52" t="n">
        <v>2031</v>
      </c>
      <c r="H6488" s="2" t="s">
        <v>20</v>
      </c>
    </row>
    <row r="6489" customFormat="false" ht="15" hidden="false" customHeight="false" outlineLevel="0" collapsed="false">
      <c r="A6489" s="3" t="s">
        <v>1171</v>
      </c>
      <c r="B6489" s="4"/>
      <c r="C6489" s="4"/>
      <c r="D6489" s="4"/>
      <c r="E6489" s="4"/>
      <c r="F6489" s="4"/>
      <c r="G6489" s="4"/>
      <c r="H6489" s="4"/>
    </row>
    <row r="6490" customFormat="false" ht="15" hidden="false" customHeight="false" outlineLevel="1" collapsed="false">
      <c r="A6490" s="7" t="s">
        <v>387</v>
      </c>
      <c r="B6490" s="8" t="s">
        <v>123</v>
      </c>
      <c r="C6490" s="53" t="n">
        <f aca="false">Pressupostos!$C$215</f>
        <v>40</v>
      </c>
      <c r="D6490" s="53" t="n">
        <f aca="false">Pressupostos!$D$215</f>
        <v>150</v>
      </c>
      <c r="E6490" s="53" t="n">
        <f aca="false">Pressupostos!$E$215</f>
        <v>400</v>
      </c>
      <c r="F6490" s="53" t="n">
        <f aca="false">Pressupostos!$F$215</f>
        <v>700</v>
      </c>
      <c r="G6490" s="53" t="n">
        <f aca="false">Pressupostos!$G$215</f>
        <v>1000</v>
      </c>
      <c r="H6490" s="2" t="s">
        <v>1172</v>
      </c>
    </row>
    <row r="6491" customFormat="false" ht="15" hidden="false" customHeight="false" outlineLevel="1" collapsed="false">
      <c r="A6491" s="7" t="s">
        <v>590</v>
      </c>
      <c r="B6491" s="8" t="s">
        <v>120</v>
      </c>
      <c r="C6491" s="54" t="n">
        <f aca="false">Pressupostos!$C$221</f>
        <v>8.2</v>
      </c>
      <c r="D6491" s="54" t="n">
        <f aca="false">Pressupostos!$D$221</f>
        <v>30.75</v>
      </c>
      <c r="E6491" s="54" t="n">
        <f aca="false">Pressupostos!$E$221</f>
        <v>82</v>
      </c>
      <c r="F6491" s="54" t="n">
        <f aca="false">Pressupostos!$F$221</f>
        <v>143.5</v>
      </c>
      <c r="G6491" s="54" t="n">
        <f aca="false">Pressupostos!$G$221</f>
        <v>205</v>
      </c>
      <c r="H6491" s="2" t="s">
        <v>1173</v>
      </c>
    </row>
    <row r="6492" customFormat="false" ht="15" hidden="false" customHeight="false" outlineLevel="1" collapsed="false">
      <c r="A6492" s="7" t="s">
        <v>591</v>
      </c>
      <c r="B6492" s="8" t="s">
        <v>120</v>
      </c>
      <c r="C6492" s="54" t="n">
        <f aca="false">Pressupostos!$C$227</f>
        <v>52</v>
      </c>
      <c r="D6492" s="54" t="n">
        <f aca="false">Pressupostos!$D$227</f>
        <v>363</v>
      </c>
      <c r="E6492" s="54" t="n">
        <f aca="false">Pressupostos!$E$227</f>
        <v>717</v>
      </c>
      <c r="F6492" s="54" t="n">
        <f aca="false">Pressupostos!$F$227</f>
        <v>1183</v>
      </c>
      <c r="G6492" s="54" t="n">
        <f aca="false">Pressupostos!$G$227</f>
        <v>1790</v>
      </c>
      <c r="H6492" s="2" t="s">
        <v>1174</v>
      </c>
    </row>
    <row r="6493" customFormat="false" ht="15" hidden="false" customHeight="false" outlineLevel="1" collapsed="false">
      <c r="A6493" s="7" t="s">
        <v>398</v>
      </c>
      <c r="B6493" s="8" t="s">
        <v>120</v>
      </c>
      <c r="C6493" s="54" t="n">
        <f aca="false">Pressupostos!$C$233</f>
        <v>0</v>
      </c>
      <c r="D6493" s="54" t="n">
        <f aca="false">Pressupostos!$D$233</f>
        <v>500</v>
      </c>
      <c r="E6493" s="54" t="n">
        <f aca="false">Pressupostos!$E$233</f>
        <v>1500</v>
      </c>
      <c r="F6493" s="54" t="n">
        <f aca="false">Pressupostos!$F$233</f>
        <v>2500</v>
      </c>
      <c r="G6493" s="54" t="n">
        <f aca="false">Pressupostos!$G$233</f>
        <v>3500</v>
      </c>
      <c r="H6493" s="2" t="s">
        <v>1175</v>
      </c>
    </row>
    <row r="6494" customFormat="false" ht="15" hidden="false" customHeight="false" outlineLevel="1" collapsed="false">
      <c r="A6494" s="7" t="s">
        <v>592</v>
      </c>
      <c r="B6494" s="8" t="s">
        <v>120</v>
      </c>
      <c r="C6494" s="55" t="n">
        <f aca="false">C6493*Pressupostos!$F$33</f>
        <v>0</v>
      </c>
      <c r="D6494" s="55" t="n">
        <f aca="false">D6493*Pressupostos!$F$33</f>
        <v>0</v>
      </c>
      <c r="E6494" s="55" t="n">
        <f aca="false">E6493*Pressupostos!$F$33</f>
        <v>0</v>
      </c>
      <c r="F6494" s="55" t="n">
        <f aca="false">F6493*Pressupostos!$F$33</f>
        <v>0</v>
      </c>
      <c r="G6494" s="55" t="n">
        <f aca="false">G6493*Pressupostos!$F$33</f>
        <v>0</v>
      </c>
      <c r="H6494" s="2" t="s">
        <v>1176</v>
      </c>
    </row>
    <row r="6495" customFormat="false" ht="15" hidden="false" customHeight="false" outlineLevel="1" collapsed="false">
      <c r="A6495" s="7" t="s">
        <v>593</v>
      </c>
      <c r="B6495" s="8" t="s">
        <v>120</v>
      </c>
      <c r="C6495" s="55" t="n">
        <f aca="false">C6493-C6494</f>
        <v>0</v>
      </c>
      <c r="D6495" s="55" t="n">
        <f aca="false">D6493-D6494</f>
        <v>500</v>
      </c>
      <c r="E6495" s="55" t="n">
        <f aca="false">E6493-E6494</f>
        <v>1500</v>
      </c>
      <c r="F6495" s="55" t="n">
        <f aca="false">F6493-F6494</f>
        <v>2500</v>
      </c>
      <c r="G6495" s="55" t="n">
        <f aca="false">G6493-G6494</f>
        <v>3500</v>
      </c>
      <c r="H6495" s="2" t="s">
        <v>1177</v>
      </c>
    </row>
    <row r="6496" customFormat="false" ht="15" hidden="false" customHeight="false" outlineLevel="1" collapsed="false">
      <c r="A6496" s="56" t="s">
        <v>594</v>
      </c>
      <c r="B6496" s="57" t="s">
        <v>120</v>
      </c>
      <c r="C6496" s="58" t="n">
        <f aca="false">C6491+C6492+C6493</f>
        <v>60.2</v>
      </c>
      <c r="D6496" s="58" t="n">
        <f aca="false">D6491+D6492+D6493</f>
        <v>893.75</v>
      </c>
      <c r="E6496" s="58" t="n">
        <f aca="false">E6491+E6492+E6493</f>
        <v>2299</v>
      </c>
      <c r="F6496" s="58" t="n">
        <f aca="false">F6491+F6492+F6493</f>
        <v>3826.5</v>
      </c>
      <c r="G6496" s="58" t="n">
        <f aca="false">G6491+G6492+G6493</f>
        <v>5495</v>
      </c>
      <c r="H6496" s="2" t="s">
        <v>1178</v>
      </c>
    </row>
    <row r="6497" customFormat="false" ht="15" hidden="false" customHeight="false" outlineLevel="1" collapsed="false">
      <c r="A6497" s="7" t="s">
        <v>595</v>
      </c>
      <c r="B6497" s="8" t="s">
        <v>76</v>
      </c>
      <c r="C6497" s="59" t="n">
        <f aca="false">IF(C6496&gt;0,C6491/C6496,0)</f>
        <v>0.136212624584718</v>
      </c>
      <c r="D6497" s="59" t="n">
        <f aca="false">IF(D6496&gt;0,D6491/D6496,0)</f>
        <v>0.0344055944055944</v>
      </c>
      <c r="E6497" s="59" t="n">
        <f aca="false">IF(E6496&gt;0,E6491/E6496,0)</f>
        <v>0.035667681600696</v>
      </c>
      <c r="F6497" s="59" t="n">
        <f aca="false">IF(F6496&gt;0,F6491/F6496,0)</f>
        <v>0.0375016333464001</v>
      </c>
      <c r="G6497" s="59" t="n">
        <f aca="false">IF(G6496&gt;0,G6491/G6496,0)</f>
        <v>0.0373066424021838</v>
      </c>
      <c r="H6497" s="2" t="s">
        <v>1179</v>
      </c>
    </row>
    <row r="6498" customFormat="false" ht="15" hidden="false" customHeight="false" outlineLevel="1" collapsed="false">
      <c r="A6498" s="7" t="s">
        <v>596</v>
      </c>
      <c r="B6498" s="8" t="s">
        <v>76</v>
      </c>
      <c r="C6498" s="60" t="n">
        <f aca="false">C6496/(Pressupostos!$C$76*1000)</f>
        <v>0.000355162241887906</v>
      </c>
      <c r="D6498" s="60" t="n">
        <f aca="false">D6496/(Pressupostos!$C$76*1000)</f>
        <v>0.00527286135693215</v>
      </c>
      <c r="E6498" s="60" t="n">
        <f aca="false">E6496/(Pressupostos!$C$76*1000)</f>
        <v>0.0135634218289086</v>
      </c>
      <c r="F6498" s="60" t="n">
        <f aca="false">F6496/(Pressupostos!$C$76*1000)</f>
        <v>0.0225752212389381</v>
      </c>
      <c r="G6498" s="60" t="n">
        <f aca="false">G6496/(Pressupostos!$C$76*1000)</f>
        <v>0.0324188790560472</v>
      </c>
      <c r="H6498" s="2" t="s">
        <v>1180</v>
      </c>
    </row>
    <row r="6499" customFormat="false" ht="15" hidden="false" customHeight="false" outlineLevel="1" collapsed="false">
      <c r="A6499" s="7" t="s">
        <v>597</v>
      </c>
      <c r="B6499" s="8" t="s">
        <v>123</v>
      </c>
      <c r="C6499" s="55" t="n">
        <f aca="false">C6491/Pressupostos!$C$40+C6492/Pressupostos!$C$47+C6493/Pressupostos!$C$59</f>
        <v>2.14333333333333</v>
      </c>
      <c r="D6499" s="55" t="n">
        <f aca="false">D6491/Pressupostos!$C$40+D6492/Pressupostos!$C$47+D6493/Pressupostos!$C$59</f>
        <v>18.6375</v>
      </c>
      <c r="E6499" s="55" t="n">
        <f aca="false">E6491/Pressupostos!$C$40+E6492/Pressupostos!$C$47+E6493/Pressupostos!$C$59</f>
        <v>43</v>
      </c>
      <c r="F6499" s="55" t="n">
        <f aca="false">F6491/Pressupostos!$C$40+F6492/Pressupostos!$C$47+F6493/Pressupostos!$C$59</f>
        <v>71.6083333333333</v>
      </c>
      <c r="G6499" s="55" t="n">
        <f aca="false">G6491/Pressupostos!$C$40+G6492/Pressupostos!$C$47+G6493/Pressupostos!$C$59</f>
        <v>104.916666666667</v>
      </c>
      <c r="H6499" s="2" t="s">
        <v>1181</v>
      </c>
    </row>
    <row r="6500" customFormat="false" ht="15" hidden="false" customHeight="false" outlineLevel="0" collapsed="false">
      <c r="A6500" s="3" t="s">
        <v>1182</v>
      </c>
      <c r="B6500" s="4"/>
      <c r="C6500" s="4"/>
      <c r="D6500" s="4"/>
      <c r="E6500" s="4"/>
      <c r="F6500" s="4"/>
      <c r="G6500" s="4"/>
      <c r="H6500" s="4"/>
    </row>
    <row r="6501" customFormat="false" ht="15" hidden="false" customHeight="false" outlineLevel="1" collapsed="false">
      <c r="A6501" s="7" t="s">
        <v>599</v>
      </c>
      <c r="B6501" s="8" t="s">
        <v>202</v>
      </c>
      <c r="C6501" s="53" t="n">
        <f aca="false">Pressupostos!$C$259</f>
        <v>36</v>
      </c>
      <c r="D6501" s="53" t="n">
        <f aca="false">Pressupostos!$D$259</f>
        <v>135</v>
      </c>
      <c r="E6501" s="53" t="n">
        <f aca="false">Pressupostos!$E$259</f>
        <v>360</v>
      </c>
      <c r="F6501" s="53" t="n">
        <f aca="false">Pressupostos!$F$259</f>
        <v>630</v>
      </c>
      <c r="G6501" s="53" t="n">
        <f aca="false">Pressupostos!$G$259</f>
        <v>900</v>
      </c>
      <c r="H6501" s="2" t="s">
        <v>1183</v>
      </c>
    </row>
    <row r="6502" customFormat="false" ht="15" hidden="false" customHeight="false" outlineLevel="1" collapsed="false">
      <c r="A6502" s="7" t="s">
        <v>599</v>
      </c>
      <c r="B6502" s="8" t="s">
        <v>189</v>
      </c>
      <c r="C6502" s="61" t="n">
        <f aca="false">C6501*Pressupostos!$C$78</f>
        <v>27000</v>
      </c>
      <c r="D6502" s="61" t="n">
        <f aca="false">D6501*Pressupostos!$C$78</f>
        <v>101250</v>
      </c>
      <c r="E6502" s="61" t="n">
        <f aca="false">E6501*Pressupostos!$C$78</f>
        <v>270000</v>
      </c>
      <c r="F6502" s="61" t="n">
        <f aca="false">F6501*Pressupostos!$C$78</f>
        <v>472500</v>
      </c>
      <c r="G6502" s="61" t="n">
        <f aca="false">G6501*Pressupostos!$C$78</f>
        <v>675000</v>
      </c>
      <c r="H6502" s="2" t="s">
        <v>1184</v>
      </c>
    </row>
    <row r="6503" customFormat="false" ht="15" hidden="false" customHeight="false" outlineLevel="0" collapsed="false">
      <c r="A6503" s="3" t="s">
        <v>1185</v>
      </c>
      <c r="B6503" s="4"/>
      <c r="C6503" s="4"/>
      <c r="D6503" s="4"/>
      <c r="E6503" s="4"/>
      <c r="F6503" s="4"/>
      <c r="G6503" s="4"/>
      <c r="H6503" s="4"/>
    </row>
    <row r="6504" customFormat="false" ht="15" hidden="false" customHeight="false" outlineLevel="1" collapsed="false">
      <c r="A6504" s="7" t="s">
        <v>601</v>
      </c>
      <c r="B6504" s="8" t="s">
        <v>120</v>
      </c>
      <c r="C6504" s="55" t="n">
        <f aca="false">IF(C6488&lt;Pressupostos!$F$28,0,Pressupostos!$C$265)</f>
        <v>0</v>
      </c>
      <c r="D6504" s="55" t="n">
        <f aca="false">IF(D6488&lt;Pressupostos!$F$28,0,Pressupostos!$D$265)</f>
        <v>0</v>
      </c>
      <c r="E6504" s="55" t="n">
        <f aca="false">IF(E6488&lt;Pressupostos!$F$28,0,Pressupostos!$E$265)</f>
        <v>0</v>
      </c>
      <c r="F6504" s="55" t="n">
        <f aca="false">IF(F6488&lt;Pressupostos!$F$28,0,Pressupostos!$F$265)</f>
        <v>20</v>
      </c>
      <c r="G6504" s="55" t="n">
        <f aca="false">IF(G6488&lt;Pressupostos!$F$28,0,Pressupostos!$G$265)</f>
        <v>50</v>
      </c>
      <c r="H6504" s="2" t="s">
        <v>1186</v>
      </c>
    </row>
    <row r="6505" customFormat="false" ht="15" hidden="false" customHeight="false" outlineLevel="0" collapsed="false">
      <c r="A6505" s="3" t="s">
        <v>1187</v>
      </c>
      <c r="B6505" s="4"/>
      <c r="C6505" s="4"/>
      <c r="D6505" s="4"/>
      <c r="E6505" s="4"/>
      <c r="F6505" s="4"/>
      <c r="G6505" s="4"/>
      <c r="H6505" s="4"/>
    </row>
    <row r="6506" customFormat="false" ht="15" hidden="false" customHeight="false" outlineLevel="1" collapsed="false">
      <c r="A6506" s="7" t="s">
        <v>603</v>
      </c>
      <c r="B6506" s="8" t="s">
        <v>11</v>
      </c>
      <c r="C6506" s="53" t="n">
        <f aca="false">Pressupostos!$C$271</f>
        <v>0</v>
      </c>
      <c r="D6506" s="53" t="n">
        <f aca="false">Pressupostos!$D$271</f>
        <v>500000</v>
      </c>
      <c r="E6506" s="53" t="n">
        <f aca="false">Pressupostos!$E$271</f>
        <v>1500000</v>
      </c>
      <c r="F6506" s="53" t="n">
        <f aca="false">Pressupostos!$F$271</f>
        <v>3000000</v>
      </c>
      <c r="G6506" s="53" t="n">
        <f aca="false">Pressupostos!$G$271</f>
        <v>5000000</v>
      </c>
      <c r="H6506" s="2" t="s">
        <v>1188</v>
      </c>
    </row>
    <row r="6507" customFormat="false" ht="15" hidden="false" customHeight="false" outlineLevel="1" collapsed="false">
      <c r="A6507" s="7" t="s">
        <v>604</v>
      </c>
      <c r="B6507" s="8" t="s">
        <v>120</v>
      </c>
      <c r="C6507" s="55" t="n">
        <f aca="false">C6506/(Pressupostos!$C$105*Pressupostos!$C$106)*Pressupostos!$C$102/1000</f>
        <v>0</v>
      </c>
      <c r="D6507" s="55" t="n">
        <f aca="false">D6506/(Pressupostos!$C$105*Pressupostos!$C$106)*Pressupostos!$C$102/1000</f>
        <v>457.142857142857</v>
      </c>
      <c r="E6507" s="55" t="n">
        <f aca="false">E6506/(Pressupostos!$C$105*Pressupostos!$C$106)*Pressupostos!$C$102/1000</f>
        <v>1371.42857142857</v>
      </c>
      <c r="F6507" s="55" t="n">
        <f aca="false">F6506/(Pressupostos!$C$105*Pressupostos!$C$106)*Pressupostos!$C$102/1000</f>
        <v>2742.85714285714</v>
      </c>
      <c r="G6507" s="55" t="n">
        <f aca="false">G6506/(Pressupostos!$C$105*Pressupostos!$C$106)*Pressupostos!$C$102/1000</f>
        <v>4571.42857142857</v>
      </c>
      <c r="H6507" s="2" t="s">
        <v>1189</v>
      </c>
    </row>
    <row r="6508" customFormat="false" ht="15" hidden="false" customHeight="false" outlineLevel="0" collapsed="false">
      <c r="A6508" s="3" t="s">
        <v>1190</v>
      </c>
      <c r="B6508" s="4"/>
      <c r="C6508" s="4"/>
      <c r="D6508" s="4"/>
      <c r="E6508" s="4"/>
      <c r="F6508" s="4"/>
      <c r="G6508" s="4"/>
      <c r="H6508" s="4"/>
    </row>
    <row r="6509" customFormat="false" ht="15" hidden="false" customHeight="false" outlineLevel="1" collapsed="false">
      <c r="A6509" s="7" t="s">
        <v>669</v>
      </c>
      <c r="B6509" s="8" t="s">
        <v>64</v>
      </c>
      <c r="C6509" s="63" t="n">
        <f aca="false">Pressupostos!$F$10+Pressupostos!$F$11</f>
        <v>3.65</v>
      </c>
      <c r="D6509" s="63" t="n">
        <f aca="false">Pressupostos!$F$10+Pressupostos!$F$11</f>
        <v>3.65</v>
      </c>
      <c r="E6509" s="63" t="n">
        <f aca="false">Pressupostos!$F$10+Pressupostos!$F$11</f>
        <v>3.65</v>
      </c>
      <c r="F6509" s="63" t="n">
        <f aca="false">Pressupostos!$F$10+Pressupostos!$F$11</f>
        <v>3.65</v>
      </c>
      <c r="G6509" s="63" t="n">
        <f aca="false">Pressupostos!$F$10+Pressupostos!$F$11</f>
        <v>3.65</v>
      </c>
      <c r="H6509" s="2" t="s">
        <v>1191</v>
      </c>
    </row>
    <row r="6510" customFormat="false" ht="15" hidden="false" customHeight="false" outlineLevel="1" collapsed="false">
      <c r="A6510" s="7" t="s">
        <v>670</v>
      </c>
      <c r="B6510" s="8" t="s">
        <v>64</v>
      </c>
      <c r="C6510" s="67" t="n">
        <f aca="false">Pressupostos!$F$15</f>
        <v>6</v>
      </c>
      <c r="D6510" s="67" t="n">
        <f aca="false">Pressupostos!$F$15</f>
        <v>6</v>
      </c>
      <c r="E6510" s="67" t="n">
        <f aca="false">Pressupostos!$F$15</f>
        <v>6</v>
      </c>
      <c r="F6510" s="67" t="n">
        <f aca="false">Pressupostos!$F$15</f>
        <v>6</v>
      </c>
      <c r="G6510" s="67" t="n">
        <f aca="false">Pressupostos!$F$15</f>
        <v>6</v>
      </c>
      <c r="H6510" s="2" t="s">
        <v>1192</v>
      </c>
    </row>
    <row r="6511" customFormat="false" ht="15" hidden="false" customHeight="false" outlineLevel="1" collapsed="false">
      <c r="A6511" s="56" t="s">
        <v>671</v>
      </c>
      <c r="B6511" s="57" t="s">
        <v>64</v>
      </c>
      <c r="C6511" s="68" t="n">
        <f aca="false">C6510*(1-Pressupostos!$F$16)</f>
        <v>5.4</v>
      </c>
      <c r="D6511" s="68" t="n">
        <f aca="false">D6510*(1-Pressupostos!$F$16)</f>
        <v>5.4</v>
      </c>
      <c r="E6511" s="68" t="n">
        <f aca="false">E6510*(1-Pressupostos!$F$16)</f>
        <v>5.4</v>
      </c>
      <c r="F6511" s="68" t="n">
        <f aca="false">F6510*(1-Pressupostos!$F$16)</f>
        <v>5.4</v>
      </c>
      <c r="G6511" s="68" t="n">
        <f aca="false">G6510*(1-Pressupostos!$F$16)</f>
        <v>5.4</v>
      </c>
      <c r="H6511" s="2" t="s">
        <v>1193</v>
      </c>
    </row>
    <row r="6512" customFormat="false" ht="15" hidden="false" customHeight="false" outlineLevel="1" collapsed="false">
      <c r="A6512" s="7" t="s">
        <v>144</v>
      </c>
      <c r="B6512" s="8" t="s">
        <v>64</v>
      </c>
      <c r="C6512" s="67" t="n">
        <f aca="false">Pressupostos!$C$38</f>
        <v>0.55</v>
      </c>
      <c r="D6512" s="67" t="n">
        <f aca="false">Pressupostos!$C$38</f>
        <v>0.55</v>
      </c>
      <c r="E6512" s="67" t="n">
        <f aca="false">Pressupostos!$C$38</f>
        <v>0.55</v>
      </c>
      <c r="F6512" s="67" t="n">
        <f aca="false">Pressupostos!$C$38</f>
        <v>0.55</v>
      </c>
      <c r="G6512" s="67" t="n">
        <f aca="false">Pressupostos!$C$38</f>
        <v>0.55</v>
      </c>
      <c r="H6512" s="2" t="s">
        <v>1194</v>
      </c>
    </row>
    <row r="6513" customFormat="false" ht="15" hidden="false" customHeight="false" outlineLevel="1" collapsed="false">
      <c r="A6513" s="7" t="s">
        <v>215</v>
      </c>
      <c r="B6513" s="8" t="s">
        <v>64</v>
      </c>
      <c r="C6513" s="67" t="n">
        <f aca="false">Pressupostos!$C$240</f>
        <v>0.3</v>
      </c>
      <c r="D6513" s="67" t="n">
        <f aca="false">Pressupostos!$D$240</f>
        <v>0.3</v>
      </c>
      <c r="E6513" s="67" t="n">
        <f aca="false">Pressupostos!$E$240</f>
        <v>0.28</v>
      </c>
      <c r="F6513" s="67" t="n">
        <f aca="false">Pressupostos!$F$240</f>
        <v>0.27</v>
      </c>
      <c r="G6513" s="67" t="n">
        <f aca="false">Pressupostos!$G$240</f>
        <v>0.27</v>
      </c>
      <c r="H6513" s="2" t="s">
        <v>1195</v>
      </c>
    </row>
    <row r="6514" customFormat="false" ht="15" hidden="false" customHeight="false" outlineLevel="1" collapsed="false">
      <c r="A6514" s="7" t="s">
        <v>117</v>
      </c>
      <c r="B6514" s="8" t="s">
        <v>64</v>
      </c>
      <c r="C6514" s="67" t="n">
        <f aca="false">Pressupostos!$C$39</f>
        <v>0.06</v>
      </c>
      <c r="D6514" s="67" t="n">
        <f aca="false">Pressupostos!$C$39</f>
        <v>0.06</v>
      </c>
      <c r="E6514" s="67" t="n">
        <f aca="false">Pressupostos!$C$39</f>
        <v>0.06</v>
      </c>
      <c r="F6514" s="67" t="n">
        <f aca="false">Pressupostos!$C$39</f>
        <v>0.06</v>
      </c>
      <c r="G6514" s="67" t="n">
        <f aca="false">Pressupostos!$C$39</f>
        <v>0.06</v>
      </c>
      <c r="H6514" s="2" t="s">
        <v>1196</v>
      </c>
    </row>
    <row r="6515" customFormat="false" ht="15" hidden="false" customHeight="false" outlineLevel="1" collapsed="false">
      <c r="A6515" s="7" t="s">
        <v>91</v>
      </c>
      <c r="B6515" s="8" t="s">
        <v>79</v>
      </c>
      <c r="C6515" s="69" t="n">
        <f aca="false">Pressupostos!$C$246</f>
        <v>180</v>
      </c>
      <c r="D6515" s="69" t="n">
        <f aca="false">Pressupostos!$D$246</f>
        <v>180</v>
      </c>
      <c r="E6515" s="69" t="n">
        <f aca="false">Pressupostos!$E$246</f>
        <v>45</v>
      </c>
      <c r="F6515" s="69" t="n">
        <f aca="false">Pressupostos!$F$246</f>
        <v>45</v>
      </c>
      <c r="G6515" s="69" t="n">
        <f aca="false">Pressupostos!$G$246</f>
        <v>45</v>
      </c>
      <c r="H6515" s="2" t="s">
        <v>1197</v>
      </c>
    </row>
    <row r="6516" customFormat="false" ht="15" hidden="false" customHeight="false" outlineLevel="1" collapsed="false">
      <c r="A6516" s="7" t="s">
        <v>78</v>
      </c>
      <c r="B6516" s="8" t="s">
        <v>79</v>
      </c>
      <c r="C6516" s="69" t="n">
        <f aca="false">Pressupostos!$F$17</f>
        <v>35</v>
      </c>
      <c r="D6516" s="69" t="n">
        <f aca="false">Pressupostos!$F$17</f>
        <v>35</v>
      </c>
      <c r="E6516" s="69" t="n">
        <f aca="false">Pressupostos!$F$17</f>
        <v>35</v>
      </c>
      <c r="F6516" s="69" t="n">
        <f aca="false">Pressupostos!$F$17</f>
        <v>35</v>
      </c>
      <c r="G6516" s="69" t="n">
        <f aca="false">Pressupostos!$F$17</f>
        <v>35</v>
      </c>
      <c r="H6516" s="2" t="s">
        <v>1198</v>
      </c>
    </row>
    <row r="6517" customFormat="false" ht="15" hidden="false" customHeight="false" outlineLevel="1" collapsed="false">
      <c r="A6517" s="7" t="s">
        <v>490</v>
      </c>
      <c r="B6517" s="8" t="s">
        <v>64</v>
      </c>
      <c r="C6517" s="63" t="n">
        <f aca="false">Pressupostos!$C$66*C6515/30/1000</f>
        <v>0.024</v>
      </c>
      <c r="D6517" s="63" t="n">
        <f aca="false">Pressupostos!$C$66*D6515/30/1000</f>
        <v>0.024</v>
      </c>
      <c r="E6517" s="63" t="n">
        <f aca="false">Pressupostos!$C$66*E6515/30/1000</f>
        <v>0.006</v>
      </c>
      <c r="F6517" s="63" t="n">
        <f aca="false">Pressupostos!$C$66*F6515/30/1000</f>
        <v>0.006</v>
      </c>
      <c r="G6517" s="63" t="n">
        <f aca="false">Pressupostos!$C$66*G6515/30/1000</f>
        <v>0.006</v>
      </c>
      <c r="H6517" s="2" t="s">
        <v>1199</v>
      </c>
    </row>
    <row r="6518" customFormat="false" ht="15" hidden="false" customHeight="false" outlineLevel="1" collapsed="false">
      <c r="A6518" s="7" t="s">
        <v>165</v>
      </c>
      <c r="B6518" s="8" t="s">
        <v>64</v>
      </c>
      <c r="C6518" s="63" t="n">
        <f aca="false">C6509*Pressupostos!$C$67*C6515/365</f>
        <v>0.0036</v>
      </c>
      <c r="D6518" s="63" t="n">
        <f aca="false">D6509*Pressupostos!$C$67*D6515/365</f>
        <v>0.0036</v>
      </c>
      <c r="E6518" s="63" t="n">
        <f aca="false">E6509*Pressupostos!$C$67*E6515/365</f>
        <v>0.0009</v>
      </c>
      <c r="F6518" s="63" t="n">
        <f aca="false">F6509*Pressupostos!$C$67*F6515/365</f>
        <v>0.0009</v>
      </c>
      <c r="G6518" s="63" t="n">
        <f aca="false">G6509*Pressupostos!$C$67*G6515/365</f>
        <v>0.0009</v>
      </c>
      <c r="H6518" s="2" t="s">
        <v>1200</v>
      </c>
    </row>
    <row r="6519" customFormat="false" ht="15" hidden="false" customHeight="false" outlineLevel="1" collapsed="false">
      <c r="A6519" s="7" t="s">
        <v>672</v>
      </c>
      <c r="B6519" s="8" t="s">
        <v>64</v>
      </c>
      <c r="C6519" s="63" t="n">
        <f aca="false">Pressupostos!$C$41*Pressupostos!$C$68/(Pressupostos!$C$40*1000)</f>
        <v>0.03</v>
      </c>
      <c r="D6519" s="63" t="n">
        <f aca="false">Pressupostos!$C$41*Pressupostos!$C$68/(Pressupostos!$C$40*1000)</f>
        <v>0.03</v>
      </c>
      <c r="E6519" s="63" t="n">
        <f aca="false">Pressupostos!$C$41*Pressupostos!$C$68/(Pressupostos!$C$40*1000)</f>
        <v>0.03</v>
      </c>
      <c r="F6519" s="63" t="n">
        <f aca="false">Pressupostos!$C$41*Pressupostos!$C$68/(Pressupostos!$C$40*1000)</f>
        <v>0.03</v>
      </c>
      <c r="G6519" s="63" t="n">
        <f aca="false">Pressupostos!$C$41*Pressupostos!$C$68/(Pressupostos!$C$40*1000)</f>
        <v>0.03</v>
      </c>
      <c r="H6519" s="2" t="s">
        <v>1201</v>
      </c>
    </row>
    <row r="6520" customFormat="false" ht="15" hidden="false" customHeight="false" outlineLevel="1" collapsed="false">
      <c r="A6520" s="7" t="s">
        <v>492</v>
      </c>
      <c r="B6520" s="8" t="s">
        <v>64</v>
      </c>
      <c r="C6520" s="63" t="n">
        <f aca="false">Pressupostos!$C$69*C6509</f>
        <v>0.01825</v>
      </c>
      <c r="D6520" s="63" t="n">
        <f aca="false">Pressupostos!$C$69*D6509</f>
        <v>0.01825</v>
      </c>
      <c r="E6520" s="63" t="n">
        <f aca="false">Pressupostos!$C$69*E6509</f>
        <v>0.01825</v>
      </c>
      <c r="F6520" s="63" t="n">
        <f aca="false">Pressupostos!$C$69*F6509</f>
        <v>0.01825</v>
      </c>
      <c r="G6520" s="63" t="n">
        <f aca="false">Pressupostos!$C$69*G6509</f>
        <v>0.01825</v>
      </c>
      <c r="H6520" s="2" t="s">
        <v>1202</v>
      </c>
    </row>
    <row r="6521" customFormat="false" ht="15" hidden="false" customHeight="false" outlineLevel="1" collapsed="false">
      <c r="A6521" s="7" t="s">
        <v>493</v>
      </c>
      <c r="B6521" s="8" t="s">
        <v>64</v>
      </c>
      <c r="C6521" s="63" t="n">
        <f aca="false">Pressupostos!$C$70*Pressupostos!$C$71*C6515/90</f>
        <v>0.018</v>
      </c>
      <c r="D6521" s="63" t="n">
        <f aca="false">Pressupostos!$C$70*Pressupostos!$C$71*D6515/90</f>
        <v>0.018</v>
      </c>
      <c r="E6521" s="63" t="n">
        <f aca="false">Pressupostos!$C$70*Pressupostos!$C$71*E6515/90</f>
        <v>0.0045</v>
      </c>
      <c r="F6521" s="63" t="n">
        <f aca="false">Pressupostos!$C$70*Pressupostos!$C$71*F6515/90</f>
        <v>0.0045</v>
      </c>
      <c r="G6521" s="63" t="n">
        <f aca="false">Pressupostos!$C$70*Pressupostos!$C$71*G6515/90</f>
        <v>0.0045</v>
      </c>
      <c r="H6521" s="2" t="s">
        <v>1203</v>
      </c>
    </row>
    <row r="6522" customFormat="false" ht="15" hidden="false" customHeight="false" outlineLevel="1" collapsed="false">
      <c r="A6522" s="7" t="s">
        <v>673</v>
      </c>
      <c r="B6522" s="8" t="s">
        <v>64</v>
      </c>
      <c r="C6522" s="63" t="n">
        <f aca="false">Pressupostos!$C$42/(Pressupostos!$C$40*1000)</f>
        <v>0.1</v>
      </c>
      <c r="D6522" s="63" t="n">
        <f aca="false">Pressupostos!$C$42/(Pressupostos!$C$40*1000)</f>
        <v>0.1</v>
      </c>
      <c r="E6522" s="63" t="n">
        <f aca="false">Pressupostos!$C$42/(Pressupostos!$C$40*1000)</f>
        <v>0.1</v>
      </c>
      <c r="F6522" s="63" t="n">
        <f aca="false">Pressupostos!$C$42/(Pressupostos!$C$40*1000)</f>
        <v>0.1</v>
      </c>
      <c r="G6522" s="63" t="n">
        <f aca="false">Pressupostos!$C$42/(Pressupostos!$C$40*1000)</f>
        <v>0.1</v>
      </c>
      <c r="H6522" s="2" t="s">
        <v>1204</v>
      </c>
    </row>
    <row r="6523" customFormat="false" ht="15" hidden="false" customHeight="false" outlineLevel="1" collapsed="false">
      <c r="A6523" s="7" t="s">
        <v>139</v>
      </c>
      <c r="B6523" s="8" t="s">
        <v>64</v>
      </c>
      <c r="C6523" s="67" t="n">
        <f aca="false">Pressupostos!$C$43</f>
        <v>0.01</v>
      </c>
      <c r="D6523" s="67" t="n">
        <f aca="false">Pressupostos!$C$43</f>
        <v>0.01</v>
      </c>
      <c r="E6523" s="67" t="n">
        <f aca="false">Pressupostos!$C$43</f>
        <v>0.01</v>
      </c>
      <c r="F6523" s="67" t="n">
        <f aca="false">Pressupostos!$C$43</f>
        <v>0.01</v>
      </c>
      <c r="G6523" s="67" t="n">
        <f aca="false">Pressupostos!$C$43</f>
        <v>0.01</v>
      </c>
      <c r="H6523" s="2" t="s">
        <v>1205</v>
      </c>
    </row>
    <row r="6524" customFormat="false" ht="15" hidden="false" customHeight="false" outlineLevel="1" collapsed="false">
      <c r="A6524" s="7" t="s">
        <v>81</v>
      </c>
      <c r="B6524" s="8" t="s">
        <v>64</v>
      </c>
      <c r="C6524" s="63" t="n">
        <f aca="false">Pressupostos!$F$18*C6511</f>
        <v>0.0324</v>
      </c>
      <c r="D6524" s="63" t="n">
        <f aca="false">Pressupostos!$F$18*D6511</f>
        <v>0.0324</v>
      </c>
      <c r="E6524" s="63" t="n">
        <f aca="false">Pressupostos!$F$18*E6511</f>
        <v>0.0324</v>
      </c>
      <c r="F6524" s="63" t="n">
        <f aca="false">Pressupostos!$F$18*F6511</f>
        <v>0.0324</v>
      </c>
      <c r="G6524" s="63" t="n">
        <f aca="false">Pressupostos!$F$18*G6511</f>
        <v>0.0324</v>
      </c>
      <c r="H6524" s="2" t="s">
        <v>1206</v>
      </c>
    </row>
    <row r="6525" customFormat="false" ht="15" hidden="false" customHeight="false" outlineLevel="1" collapsed="false">
      <c r="A6525" s="7" t="s">
        <v>674</v>
      </c>
      <c r="B6525" s="8" t="s">
        <v>64</v>
      </c>
      <c r="C6525" s="63" t="n">
        <f aca="false">Pressupostos!$C$73*C6511</f>
        <v>0</v>
      </c>
      <c r="D6525" s="63" t="n">
        <f aca="false">Pressupostos!$C$73*D6511</f>
        <v>0</v>
      </c>
      <c r="E6525" s="63" t="n">
        <f aca="false">Pressupostos!$C$73*E6511</f>
        <v>0</v>
      </c>
      <c r="F6525" s="63" t="n">
        <f aca="false">Pressupostos!$C$73*F6511</f>
        <v>0</v>
      </c>
      <c r="G6525" s="63" t="n">
        <f aca="false">Pressupostos!$C$73*G6511</f>
        <v>0</v>
      </c>
      <c r="H6525" s="2" t="s">
        <v>1207</v>
      </c>
    </row>
    <row r="6526" customFormat="false" ht="15" hidden="false" customHeight="false" outlineLevel="1" collapsed="false">
      <c r="A6526" s="7" t="s">
        <v>675</v>
      </c>
      <c r="B6526" s="8" t="s">
        <v>64</v>
      </c>
      <c r="C6526" s="63" t="n">
        <f aca="false">(Pressupostos!$C$198)*(C6509+C6512)*(C6515+C6516-Pressupostos!$C$72)/365*Pressupostos!$C$284/Pressupostos!$F$31</f>
        <v>0</v>
      </c>
      <c r="D6526" s="63" t="n">
        <f aca="false">(Pressupostos!$C$198)*(D6509+D6512)*(D6515+D6516-Pressupostos!$C$72)/365*Pressupostos!$D$284/Pressupostos!$F$31</f>
        <v>0.199571917808219</v>
      </c>
      <c r="E6526" s="63" t="n">
        <f aca="false">(Pressupostos!$C$198)*(E6509+E6512)*(E6515+E6516-Pressupostos!$C$72)/365*Pressupostos!$E$284/Pressupostos!$F$31</f>
        <v>0.0539383561643836</v>
      </c>
      <c r="F6526" s="63" t="n">
        <f aca="false">(Pressupostos!$C$198)*(F6509+F6512)*(F6515+F6516-Pressupostos!$C$72)/365*Pressupostos!$F$284/Pressupostos!$F$31</f>
        <v>0.0539383561643836</v>
      </c>
      <c r="G6526" s="63" t="n">
        <f aca="false">(Pressupostos!$C$198)*(G6509+G6512)*(G6515+G6516-Pressupostos!$C$72)/365*Pressupostos!$G$284/Pressupostos!$F$31</f>
        <v>0.0539383561643836</v>
      </c>
      <c r="H6526" s="2" t="s">
        <v>1208</v>
      </c>
    </row>
    <row r="6527" customFormat="false" ht="15" hidden="false" customHeight="false" outlineLevel="1" collapsed="false">
      <c r="A6527" s="7" t="s">
        <v>676</v>
      </c>
      <c r="B6527" s="8" t="s">
        <v>64</v>
      </c>
      <c r="C6527" s="63" t="n">
        <f aca="false">C6509+C6512+C6513+C6514+C6517+C6518+C6519+C6520+C6521+C6522+C6523+C6524+C6525+C6526</f>
        <v>4.79625</v>
      </c>
      <c r="D6527" s="63" t="n">
        <f aca="false">D6509+D6512+D6513+D6514+D6517+D6518+D6519+D6520+D6521+D6522+D6523+D6524+D6525+D6526</f>
        <v>4.99582191780822</v>
      </c>
      <c r="E6527" s="63" t="n">
        <f aca="false">E6509+E6512+E6513+E6514+E6517+E6518+E6519+E6520+E6521+E6522+E6523+E6524+E6525+E6526</f>
        <v>4.79598835616438</v>
      </c>
      <c r="F6527" s="63" t="n">
        <f aca="false">F6509+F6512+F6513+F6514+F6517+F6518+F6519+F6520+F6521+F6522+F6523+F6524+F6525+F6526</f>
        <v>4.78598835616438</v>
      </c>
      <c r="G6527" s="63" t="n">
        <f aca="false">G6509+G6512+G6513+G6514+G6517+G6518+G6519+G6520+G6521+G6522+G6523+G6524+G6525+G6526</f>
        <v>4.78598835616438</v>
      </c>
      <c r="H6527" s="2" t="s">
        <v>1209</v>
      </c>
    </row>
    <row r="6528" customFormat="false" ht="15" hidden="false" customHeight="false" outlineLevel="1" collapsed="false">
      <c r="A6528" s="56" t="s">
        <v>677</v>
      </c>
      <c r="B6528" s="57" t="s">
        <v>64</v>
      </c>
      <c r="C6528" s="68" t="n">
        <f aca="false">C6511-C6527</f>
        <v>0.603750000000002</v>
      </c>
      <c r="D6528" s="68" t="n">
        <f aca="false">D6511-D6527</f>
        <v>0.404178082191782</v>
      </c>
      <c r="E6528" s="68" t="n">
        <f aca="false">E6511-E6527</f>
        <v>0.604011643835617</v>
      </c>
      <c r="F6528" s="68" t="n">
        <f aca="false">F6511-F6527</f>
        <v>0.614011643835617</v>
      </c>
      <c r="G6528" s="68" t="n">
        <f aca="false">G6511-G6527</f>
        <v>0.614011643835617</v>
      </c>
      <c r="H6528" s="2" t="s">
        <v>1210</v>
      </c>
    </row>
    <row r="6529" customFormat="false" ht="15" hidden="false" customHeight="false" outlineLevel="1" collapsed="false">
      <c r="A6529" s="7" t="s">
        <v>678</v>
      </c>
      <c r="B6529" s="8" t="s">
        <v>76</v>
      </c>
      <c r="C6529" s="59" t="n">
        <f aca="false">IF(C6511&gt;0,C6528/C6511,0)</f>
        <v>0.111805555555556</v>
      </c>
      <c r="D6529" s="59" t="n">
        <f aca="false">IF(D6511&gt;0,D6528/D6511,0)</f>
        <v>0.0748477929984782</v>
      </c>
      <c r="E6529" s="59" t="n">
        <f aca="false">IF(E6511&gt;0,E6528/E6511,0)</f>
        <v>0.111854008117707</v>
      </c>
      <c r="F6529" s="59" t="n">
        <f aca="false">IF(F6511&gt;0,F6528/F6511,0)</f>
        <v>0.113705859969559</v>
      </c>
      <c r="G6529" s="59" t="n">
        <f aca="false">IF(G6511&gt;0,G6528/G6511,0)</f>
        <v>0.113705859969559</v>
      </c>
      <c r="H6529" s="2" t="s">
        <v>1211</v>
      </c>
    </row>
    <row r="6530" customFormat="false" ht="15" hidden="false" customHeight="false" outlineLevel="1" collapsed="false">
      <c r="A6530" s="7" t="s">
        <v>679</v>
      </c>
      <c r="B6530" s="8" t="s">
        <v>64</v>
      </c>
      <c r="C6530" s="63" t="n">
        <f aca="false">(C6509+C6512)*(C6515-Pressupostos!$C$72)/365+C6511*C6516/365</f>
        <v>2.24383561643836</v>
      </c>
      <c r="D6530" s="63" t="n">
        <f aca="false">(D6509+D6512)*(D6515-Pressupostos!$C$72)/365+D6511*D6516/365</f>
        <v>2.24383561643836</v>
      </c>
      <c r="E6530" s="63" t="n">
        <f aca="false">(E6509+E6512)*(E6515-Pressupostos!$C$72)/365+E6511*E6516/365</f>
        <v>0.69041095890411</v>
      </c>
      <c r="F6530" s="63" t="n">
        <f aca="false">(F6509+F6512)*(F6515-Pressupostos!$C$72)/365+F6511*F6516/365</f>
        <v>0.69041095890411</v>
      </c>
      <c r="G6530" s="63" t="n">
        <f aca="false">(G6509+G6512)*(G6515-Pressupostos!$C$72)/365+G6511*G6516/365</f>
        <v>0.69041095890411</v>
      </c>
      <c r="H6530" s="2" t="s">
        <v>1212</v>
      </c>
    </row>
    <row r="6531" customFormat="false" ht="15" hidden="false" customHeight="false" outlineLevel="0" collapsed="false">
      <c r="A6531" s="3" t="s">
        <v>1213</v>
      </c>
      <c r="B6531" s="4"/>
      <c r="C6531" s="4"/>
      <c r="D6531" s="4"/>
      <c r="E6531" s="4"/>
      <c r="F6531" s="4"/>
      <c r="G6531" s="4"/>
      <c r="H6531" s="4"/>
    </row>
    <row r="6532" customFormat="false" ht="15" hidden="false" customHeight="false" outlineLevel="1" collapsed="false">
      <c r="A6532" s="7" t="s">
        <v>669</v>
      </c>
      <c r="B6532" s="8" t="s">
        <v>64</v>
      </c>
      <c r="C6532" s="63" t="n">
        <f aca="false">Pressupostos!$F$10+Pressupostos!$F$12</f>
        <v>3.6</v>
      </c>
      <c r="D6532" s="63" t="n">
        <f aca="false">Pressupostos!$F$10+Pressupostos!$F$12</f>
        <v>3.6</v>
      </c>
      <c r="E6532" s="63" t="n">
        <f aca="false">Pressupostos!$F$10+Pressupostos!$F$12</f>
        <v>3.6</v>
      </c>
      <c r="F6532" s="63" t="n">
        <f aca="false">Pressupostos!$F$10+Pressupostos!$F$12</f>
        <v>3.6</v>
      </c>
      <c r="G6532" s="63" t="n">
        <f aca="false">Pressupostos!$F$10+Pressupostos!$F$12</f>
        <v>3.6</v>
      </c>
      <c r="H6532" s="2" t="s">
        <v>1214</v>
      </c>
    </row>
    <row r="6533" customFormat="false" ht="15" hidden="false" customHeight="false" outlineLevel="1" collapsed="false">
      <c r="A6533" s="7" t="s">
        <v>670</v>
      </c>
      <c r="B6533" s="8" t="s">
        <v>64</v>
      </c>
      <c r="C6533" s="63" t="n">
        <f aca="false">Pressupostos!$F$20+Pressupostos!$F$21</f>
        <v>4.45</v>
      </c>
      <c r="D6533" s="63" t="n">
        <f aca="false">Pressupostos!$F$20+Pressupostos!$F$21</f>
        <v>4.45</v>
      </c>
      <c r="E6533" s="63" t="n">
        <f aca="false">Pressupostos!$F$20+Pressupostos!$F$21</f>
        <v>4.45</v>
      </c>
      <c r="F6533" s="63" t="n">
        <f aca="false">Pressupostos!$F$20+Pressupostos!$F$21</f>
        <v>4.45</v>
      </c>
      <c r="G6533" s="63" t="n">
        <f aca="false">Pressupostos!$F$20+Pressupostos!$F$21</f>
        <v>4.45</v>
      </c>
      <c r="H6533" s="2" t="s">
        <v>1215</v>
      </c>
    </row>
    <row r="6534" customFormat="false" ht="15" hidden="false" customHeight="false" outlineLevel="1" collapsed="false">
      <c r="A6534" s="56" t="s">
        <v>671</v>
      </c>
      <c r="B6534" s="57" t="s">
        <v>64</v>
      </c>
      <c r="C6534" s="68" t="n">
        <f aca="false">C6533*(1-Pressupostos!$F$22)</f>
        <v>4.45</v>
      </c>
      <c r="D6534" s="68" t="n">
        <f aca="false">D6533*(1-Pressupostos!$F$22)</f>
        <v>4.45</v>
      </c>
      <c r="E6534" s="68" t="n">
        <f aca="false">E6533*(1-Pressupostos!$F$22)</f>
        <v>4.45</v>
      </c>
      <c r="F6534" s="68" t="n">
        <f aca="false">F6533*(1-Pressupostos!$F$22)</f>
        <v>4.45</v>
      </c>
      <c r="G6534" s="68" t="n">
        <f aca="false">G6533*(1-Pressupostos!$F$22)</f>
        <v>4.45</v>
      </c>
      <c r="H6534" s="2" t="s">
        <v>1216</v>
      </c>
    </row>
    <row r="6535" customFormat="false" ht="15" hidden="false" customHeight="false" outlineLevel="1" collapsed="false">
      <c r="A6535" s="7" t="s">
        <v>144</v>
      </c>
      <c r="B6535" s="8" t="s">
        <v>64</v>
      </c>
      <c r="C6535" s="67" t="n">
        <f aca="false">Pressupostos!$C$45</f>
        <v>0.45</v>
      </c>
      <c r="D6535" s="67" t="n">
        <f aca="false">Pressupostos!$C$45</f>
        <v>0.45</v>
      </c>
      <c r="E6535" s="67" t="n">
        <f aca="false">Pressupostos!$C$45</f>
        <v>0.45</v>
      </c>
      <c r="F6535" s="67" t="n">
        <f aca="false">Pressupostos!$C$45</f>
        <v>0.45</v>
      </c>
      <c r="G6535" s="67" t="n">
        <f aca="false">Pressupostos!$C$45</f>
        <v>0.45</v>
      </c>
      <c r="H6535" s="2" t="s">
        <v>1217</v>
      </c>
    </row>
    <row r="6536" customFormat="false" ht="15" hidden="false" customHeight="false" outlineLevel="1" collapsed="false">
      <c r="A6536" s="7" t="s">
        <v>215</v>
      </c>
      <c r="B6536" s="8" t="s">
        <v>64</v>
      </c>
      <c r="C6536" s="67" t="n">
        <f aca="false">Pressupostos!$C$252</f>
        <v>0.1</v>
      </c>
      <c r="D6536" s="67" t="n">
        <f aca="false">Pressupostos!$D$252</f>
        <v>0.1</v>
      </c>
      <c r="E6536" s="67" t="n">
        <f aca="false">Pressupostos!$E$252</f>
        <v>0.09</v>
      </c>
      <c r="F6536" s="67" t="n">
        <f aca="false">Pressupostos!$F$252</f>
        <v>0.09</v>
      </c>
      <c r="G6536" s="67" t="n">
        <f aca="false">Pressupostos!$G$252</f>
        <v>0.09</v>
      </c>
      <c r="H6536" s="2" t="s">
        <v>1218</v>
      </c>
    </row>
    <row r="6537" customFormat="false" ht="15" hidden="false" customHeight="false" outlineLevel="1" collapsed="false">
      <c r="A6537" s="7" t="s">
        <v>117</v>
      </c>
      <c r="B6537" s="8" t="s">
        <v>64</v>
      </c>
      <c r="C6537" s="67" t="n">
        <f aca="false">Pressupostos!$C$46</f>
        <v>0</v>
      </c>
      <c r="D6537" s="67" t="n">
        <f aca="false">Pressupostos!$C$46</f>
        <v>0</v>
      </c>
      <c r="E6537" s="67" t="n">
        <f aca="false">Pressupostos!$C$46</f>
        <v>0</v>
      </c>
      <c r="F6537" s="67" t="n">
        <f aca="false">Pressupostos!$C$46</f>
        <v>0</v>
      </c>
      <c r="G6537" s="67" t="n">
        <f aca="false">Pressupostos!$C$46</f>
        <v>0</v>
      </c>
      <c r="H6537" s="2" t="s">
        <v>1219</v>
      </c>
    </row>
    <row r="6538" customFormat="false" ht="15" hidden="false" customHeight="false" outlineLevel="1" collapsed="false">
      <c r="A6538" s="7" t="s">
        <v>91</v>
      </c>
      <c r="B6538" s="8" t="s">
        <v>79</v>
      </c>
      <c r="C6538" s="69" t="n">
        <f aca="false">Pressupostos!$F$23</f>
        <v>30</v>
      </c>
      <c r="D6538" s="69" t="n">
        <f aca="false">Pressupostos!$F$23</f>
        <v>30</v>
      </c>
      <c r="E6538" s="69" t="n">
        <f aca="false">Pressupostos!$F$23</f>
        <v>30</v>
      </c>
      <c r="F6538" s="69" t="n">
        <f aca="false">Pressupostos!$F$23</f>
        <v>30</v>
      </c>
      <c r="G6538" s="69" t="n">
        <f aca="false">Pressupostos!$F$23</f>
        <v>30</v>
      </c>
      <c r="H6538" s="2" t="s">
        <v>1220</v>
      </c>
    </row>
    <row r="6539" customFormat="false" ht="15" hidden="false" customHeight="false" outlineLevel="1" collapsed="false">
      <c r="A6539" s="7" t="s">
        <v>78</v>
      </c>
      <c r="B6539" s="8" t="s">
        <v>79</v>
      </c>
      <c r="C6539" s="69" t="n">
        <f aca="false">Pressupostos!$F$24</f>
        <v>55</v>
      </c>
      <c r="D6539" s="69" t="n">
        <f aca="false">Pressupostos!$F$24</f>
        <v>55</v>
      </c>
      <c r="E6539" s="69" t="n">
        <f aca="false">Pressupostos!$F$24</f>
        <v>55</v>
      </c>
      <c r="F6539" s="69" t="n">
        <f aca="false">Pressupostos!$F$24</f>
        <v>55</v>
      </c>
      <c r="G6539" s="69" t="n">
        <f aca="false">Pressupostos!$F$24</f>
        <v>55</v>
      </c>
      <c r="H6539" s="2" t="s">
        <v>1221</v>
      </c>
    </row>
    <row r="6540" customFormat="false" ht="15" hidden="false" customHeight="false" outlineLevel="1" collapsed="false">
      <c r="A6540" s="7" t="s">
        <v>490</v>
      </c>
      <c r="B6540" s="8" t="s">
        <v>64</v>
      </c>
      <c r="C6540" s="63" t="n">
        <f aca="false">Pressupostos!$C$66*C6538/30/1000</f>
        <v>0.004</v>
      </c>
      <c r="D6540" s="63" t="n">
        <f aca="false">Pressupostos!$C$66*D6538/30/1000</f>
        <v>0.004</v>
      </c>
      <c r="E6540" s="63" t="n">
        <f aca="false">Pressupostos!$C$66*E6538/30/1000</f>
        <v>0.004</v>
      </c>
      <c r="F6540" s="63" t="n">
        <f aca="false">Pressupostos!$C$66*F6538/30/1000</f>
        <v>0.004</v>
      </c>
      <c r="G6540" s="63" t="n">
        <f aca="false">Pressupostos!$C$66*G6538/30/1000</f>
        <v>0.004</v>
      </c>
      <c r="H6540" s="2" t="s">
        <v>1222</v>
      </c>
    </row>
    <row r="6541" customFormat="false" ht="15" hidden="false" customHeight="false" outlineLevel="1" collapsed="false">
      <c r="A6541" s="7" t="s">
        <v>165</v>
      </c>
      <c r="B6541" s="8" t="s">
        <v>64</v>
      </c>
      <c r="C6541" s="63" t="n">
        <f aca="false">C6532*Pressupostos!$C$67*C6538/365</f>
        <v>0.000591780821917808</v>
      </c>
      <c r="D6541" s="63" t="n">
        <f aca="false">D6532*Pressupostos!$C$67*D6538/365</f>
        <v>0.000591780821917808</v>
      </c>
      <c r="E6541" s="63" t="n">
        <f aca="false">E6532*Pressupostos!$C$67*E6538/365</f>
        <v>0.000591780821917808</v>
      </c>
      <c r="F6541" s="63" t="n">
        <f aca="false">F6532*Pressupostos!$C$67*F6538/365</f>
        <v>0.000591780821917808</v>
      </c>
      <c r="G6541" s="63" t="n">
        <f aca="false">G6532*Pressupostos!$C$67*G6538/365</f>
        <v>0.000591780821917808</v>
      </c>
      <c r="H6541" s="2" t="s">
        <v>1223</v>
      </c>
    </row>
    <row r="6542" customFormat="false" ht="15" hidden="false" customHeight="false" outlineLevel="1" collapsed="false">
      <c r="A6542" s="7" t="s">
        <v>672</v>
      </c>
      <c r="B6542" s="8" t="s">
        <v>64</v>
      </c>
      <c r="C6542" s="63" t="n">
        <f aca="false">Pressupostos!$C$48*Pressupostos!$C$68/(Pressupostos!$C$47*1000)</f>
        <v>0.02</v>
      </c>
      <c r="D6542" s="63" t="n">
        <f aca="false">Pressupostos!$C$48*Pressupostos!$C$68/(Pressupostos!$C$47*1000)</f>
        <v>0.02</v>
      </c>
      <c r="E6542" s="63" t="n">
        <f aca="false">Pressupostos!$C$48*Pressupostos!$C$68/(Pressupostos!$C$47*1000)</f>
        <v>0.02</v>
      </c>
      <c r="F6542" s="63" t="n">
        <f aca="false">Pressupostos!$C$48*Pressupostos!$C$68/(Pressupostos!$C$47*1000)</f>
        <v>0.02</v>
      </c>
      <c r="G6542" s="63" t="n">
        <f aca="false">Pressupostos!$C$48*Pressupostos!$C$68/(Pressupostos!$C$47*1000)</f>
        <v>0.02</v>
      </c>
      <c r="H6542" s="2" t="s">
        <v>1224</v>
      </c>
    </row>
    <row r="6543" customFormat="false" ht="15" hidden="false" customHeight="false" outlineLevel="1" collapsed="false">
      <c r="A6543" s="7" t="s">
        <v>492</v>
      </c>
      <c r="B6543" s="8" t="s">
        <v>64</v>
      </c>
      <c r="C6543" s="63" t="n">
        <f aca="false">Pressupostos!$C$69*C6532</f>
        <v>0.018</v>
      </c>
      <c r="D6543" s="63" t="n">
        <f aca="false">Pressupostos!$C$69*D6532</f>
        <v>0.018</v>
      </c>
      <c r="E6543" s="63" t="n">
        <f aca="false">Pressupostos!$C$69*E6532</f>
        <v>0.018</v>
      </c>
      <c r="F6543" s="63" t="n">
        <f aca="false">Pressupostos!$C$69*F6532</f>
        <v>0.018</v>
      </c>
      <c r="G6543" s="63" t="n">
        <f aca="false">Pressupostos!$C$69*G6532</f>
        <v>0.018</v>
      </c>
      <c r="H6543" s="2" t="s">
        <v>1225</v>
      </c>
    </row>
    <row r="6544" customFormat="false" ht="15" hidden="false" customHeight="false" outlineLevel="1" collapsed="false">
      <c r="A6544" s="7" t="s">
        <v>493</v>
      </c>
      <c r="B6544" s="8" t="s">
        <v>64</v>
      </c>
      <c r="C6544" s="63" t="n">
        <f aca="false">Pressupostos!$C$70*Pressupostos!$C$71*C6538/90</f>
        <v>0.003</v>
      </c>
      <c r="D6544" s="63" t="n">
        <f aca="false">Pressupostos!$C$70*Pressupostos!$C$71*D6538/90</f>
        <v>0.003</v>
      </c>
      <c r="E6544" s="63" t="n">
        <f aca="false">Pressupostos!$C$70*Pressupostos!$C$71*E6538/90</f>
        <v>0.003</v>
      </c>
      <c r="F6544" s="63" t="n">
        <f aca="false">Pressupostos!$C$70*Pressupostos!$C$71*F6538/90</f>
        <v>0.003</v>
      </c>
      <c r="G6544" s="63" t="n">
        <f aca="false">Pressupostos!$C$70*Pressupostos!$C$71*G6538/90</f>
        <v>0.003</v>
      </c>
      <c r="H6544" s="2" t="s">
        <v>1226</v>
      </c>
    </row>
    <row r="6545" customFormat="false" ht="15" hidden="false" customHeight="false" outlineLevel="1" collapsed="false">
      <c r="A6545" s="7" t="s">
        <v>673</v>
      </c>
      <c r="B6545" s="8" t="s">
        <v>64</v>
      </c>
      <c r="C6545" s="63" t="n">
        <f aca="false">Pressupostos!$C$49/(Pressupostos!$C$47*1000)</f>
        <v>0.04</v>
      </c>
      <c r="D6545" s="63" t="n">
        <f aca="false">Pressupostos!$C$49/(Pressupostos!$C$47*1000)</f>
        <v>0.04</v>
      </c>
      <c r="E6545" s="63" t="n">
        <f aca="false">Pressupostos!$C$49/(Pressupostos!$C$47*1000)</f>
        <v>0.04</v>
      </c>
      <c r="F6545" s="63" t="n">
        <f aca="false">Pressupostos!$C$49/(Pressupostos!$C$47*1000)</f>
        <v>0.04</v>
      </c>
      <c r="G6545" s="63" t="n">
        <f aca="false">Pressupostos!$C$49/(Pressupostos!$C$47*1000)</f>
        <v>0.04</v>
      </c>
      <c r="H6545" s="2" t="s">
        <v>1227</v>
      </c>
    </row>
    <row r="6546" customFormat="false" ht="15" hidden="false" customHeight="false" outlineLevel="1" collapsed="false">
      <c r="A6546" s="7" t="s">
        <v>139</v>
      </c>
      <c r="B6546" s="8" t="s">
        <v>64</v>
      </c>
      <c r="C6546" s="67" t="n">
        <f aca="false">Pressupostos!$C$50</f>
        <v>0.005</v>
      </c>
      <c r="D6546" s="67" t="n">
        <f aca="false">Pressupostos!$C$50</f>
        <v>0.005</v>
      </c>
      <c r="E6546" s="67" t="n">
        <f aca="false">Pressupostos!$C$50</f>
        <v>0.005</v>
      </c>
      <c r="F6546" s="67" t="n">
        <f aca="false">Pressupostos!$C$50</f>
        <v>0.005</v>
      </c>
      <c r="G6546" s="67" t="n">
        <f aca="false">Pressupostos!$C$50</f>
        <v>0.005</v>
      </c>
      <c r="H6546" s="2" t="s">
        <v>1228</v>
      </c>
    </row>
    <row r="6547" customFormat="false" ht="15" hidden="false" customHeight="false" outlineLevel="1" collapsed="false">
      <c r="A6547" s="7" t="s">
        <v>81</v>
      </c>
      <c r="B6547" s="8" t="s">
        <v>64</v>
      </c>
      <c r="C6547" s="63" t="n">
        <f aca="false">Pressupostos!$F$25*C6534</f>
        <v>0.01335</v>
      </c>
      <c r="D6547" s="63" t="n">
        <f aca="false">Pressupostos!$F$25*D6534</f>
        <v>0.01335</v>
      </c>
      <c r="E6547" s="63" t="n">
        <f aca="false">Pressupostos!$F$25*E6534</f>
        <v>0.01335</v>
      </c>
      <c r="F6547" s="63" t="n">
        <f aca="false">Pressupostos!$F$25*F6534</f>
        <v>0.01335</v>
      </c>
      <c r="G6547" s="63" t="n">
        <f aca="false">Pressupostos!$F$25*G6534</f>
        <v>0.01335</v>
      </c>
      <c r="H6547" s="2" t="s">
        <v>1229</v>
      </c>
    </row>
    <row r="6548" customFormat="false" ht="15" hidden="false" customHeight="false" outlineLevel="1" collapsed="false">
      <c r="A6548" s="7" t="s">
        <v>674</v>
      </c>
      <c r="B6548" s="8" t="s">
        <v>64</v>
      </c>
      <c r="C6548" s="63" t="n">
        <f aca="false">Pressupostos!$C$73*C6534</f>
        <v>0</v>
      </c>
      <c r="D6548" s="63" t="n">
        <f aca="false">Pressupostos!$C$73*D6534</f>
        <v>0</v>
      </c>
      <c r="E6548" s="63" t="n">
        <f aca="false">Pressupostos!$C$73*E6534</f>
        <v>0</v>
      </c>
      <c r="F6548" s="63" t="n">
        <f aca="false">Pressupostos!$C$73*F6534</f>
        <v>0</v>
      </c>
      <c r="G6548" s="63" t="n">
        <f aca="false">Pressupostos!$C$73*G6534</f>
        <v>0</v>
      </c>
      <c r="H6548" s="2" t="s">
        <v>1230</v>
      </c>
    </row>
    <row r="6549" customFormat="false" ht="15" hidden="false" customHeight="false" outlineLevel="1" collapsed="false">
      <c r="A6549" s="7" t="s">
        <v>675</v>
      </c>
      <c r="B6549" s="8" t="s">
        <v>64</v>
      </c>
      <c r="C6549" s="63" t="n">
        <f aca="false">(Pressupostos!$C$198)*(C6532+C6535)*(C6538+C6539-Pressupostos!$C$72)/365*Pressupostos!$C$284/Pressupostos!$F$31</f>
        <v>0</v>
      </c>
      <c r="D6549" s="63" t="n">
        <f aca="false">(Pressupostos!$C$198)*(D6532+D6535)*(D6538+D6539-Pressupostos!$C$72)/365*Pressupostos!$D$284/Pressupostos!$F$31</f>
        <v>0.0572131849315069</v>
      </c>
      <c r="E6549" s="63" t="n">
        <f aca="false">(Pressupostos!$C$198)*(E6532+E6535)*(E6538+E6539-Pressupostos!$C$72)/365*Pressupostos!$E$284/Pressupostos!$F$31</f>
        <v>0.0572131849315069</v>
      </c>
      <c r="F6549" s="63" t="n">
        <f aca="false">(Pressupostos!$C$198)*(F6532+F6535)*(F6538+F6539-Pressupostos!$C$72)/365*Pressupostos!$F$284/Pressupostos!$F$31</f>
        <v>0.0572131849315069</v>
      </c>
      <c r="G6549" s="63" t="n">
        <f aca="false">(Pressupostos!$C$198)*(G6532+G6535)*(G6538+G6539-Pressupostos!$C$72)/365*Pressupostos!$G$284/Pressupostos!$F$31</f>
        <v>0.0572131849315069</v>
      </c>
      <c r="H6549" s="2" t="s">
        <v>1231</v>
      </c>
    </row>
    <row r="6550" customFormat="false" ht="15" hidden="false" customHeight="false" outlineLevel="1" collapsed="false">
      <c r="A6550" s="7" t="s">
        <v>676</v>
      </c>
      <c r="B6550" s="8" t="s">
        <v>64</v>
      </c>
      <c r="C6550" s="63" t="n">
        <f aca="false">C6532+C6535+C6536+C6537+C6540+C6541+C6542+C6543+C6544+C6545+C6546+C6547+C6548+C6549</f>
        <v>4.25394178082192</v>
      </c>
      <c r="D6550" s="63" t="n">
        <f aca="false">D6532+D6535+D6536+D6537+D6540+D6541+D6542+D6543+D6544+D6545+D6546+D6547+D6548+D6549</f>
        <v>4.31115496575342</v>
      </c>
      <c r="E6550" s="63" t="n">
        <f aca="false">E6532+E6535+E6536+E6537+E6540+E6541+E6542+E6543+E6544+E6545+E6546+E6547+E6548+E6549</f>
        <v>4.30115496575342</v>
      </c>
      <c r="F6550" s="63" t="n">
        <f aca="false">F6532+F6535+F6536+F6537+F6540+F6541+F6542+F6543+F6544+F6545+F6546+F6547+F6548+F6549</f>
        <v>4.30115496575342</v>
      </c>
      <c r="G6550" s="63" t="n">
        <f aca="false">G6532+G6535+G6536+G6537+G6540+G6541+G6542+G6543+G6544+G6545+G6546+G6547+G6548+G6549</f>
        <v>4.30115496575342</v>
      </c>
      <c r="H6550" s="2" t="s">
        <v>1232</v>
      </c>
    </row>
    <row r="6551" customFormat="false" ht="15" hidden="false" customHeight="false" outlineLevel="1" collapsed="false">
      <c r="A6551" s="56" t="s">
        <v>677</v>
      </c>
      <c r="B6551" s="57" t="s">
        <v>64</v>
      </c>
      <c r="C6551" s="68" t="n">
        <f aca="false">C6534-C6550</f>
        <v>0.196058219178083</v>
      </c>
      <c r="D6551" s="68" t="n">
        <f aca="false">D6534-D6550</f>
        <v>0.138845034246576</v>
      </c>
      <c r="E6551" s="68" t="n">
        <f aca="false">E6534-E6550</f>
        <v>0.148845034246576</v>
      </c>
      <c r="F6551" s="68" t="n">
        <f aca="false">F6534-F6550</f>
        <v>0.148845034246576</v>
      </c>
      <c r="G6551" s="68" t="n">
        <f aca="false">G6534-G6550</f>
        <v>0.148845034246576</v>
      </c>
      <c r="H6551" s="2" t="s">
        <v>1233</v>
      </c>
    </row>
    <row r="6552" customFormat="false" ht="15" hidden="false" customHeight="false" outlineLevel="1" collapsed="false">
      <c r="A6552" s="7" t="s">
        <v>678</v>
      </c>
      <c r="B6552" s="8" t="s">
        <v>76</v>
      </c>
      <c r="C6552" s="59" t="n">
        <f aca="false">IF(C6534&gt;0,C6551/C6534,0)</f>
        <v>0.0440580267815916</v>
      </c>
      <c r="D6552" s="59" t="n">
        <f aca="false">IF(D6534&gt;0,D6551/D6534,0)</f>
        <v>0.0312011312913654</v>
      </c>
      <c r="E6552" s="59" t="n">
        <f aca="false">IF(E6534&gt;0,E6551/E6534,0)</f>
        <v>0.0334483223026013</v>
      </c>
      <c r="F6552" s="59" t="n">
        <f aca="false">IF(F6534&gt;0,F6551/F6534,0)</f>
        <v>0.0334483223026013</v>
      </c>
      <c r="G6552" s="59" t="n">
        <f aca="false">IF(G6534&gt;0,G6551/G6534,0)</f>
        <v>0.0334483223026013</v>
      </c>
      <c r="H6552" s="2" t="s">
        <v>1234</v>
      </c>
    </row>
    <row r="6553" customFormat="false" ht="15" hidden="false" customHeight="false" outlineLevel="1" collapsed="false">
      <c r="A6553" s="7" t="s">
        <v>679</v>
      </c>
      <c r="B6553" s="8" t="s">
        <v>64</v>
      </c>
      <c r="C6553" s="63" t="n">
        <f aca="false">(C6532+C6535)*(C6538-Pressupostos!$C$72)/365+C6534*C6539/365</f>
        <v>0.670547945205479</v>
      </c>
      <c r="D6553" s="63" t="n">
        <f aca="false">(D6532+D6535)*(D6538-Pressupostos!$C$72)/365+D6534*D6539/365</f>
        <v>0.670547945205479</v>
      </c>
      <c r="E6553" s="63" t="n">
        <f aca="false">(E6532+E6535)*(E6538-Pressupostos!$C$72)/365+E6534*E6539/365</f>
        <v>0.670547945205479</v>
      </c>
      <c r="F6553" s="63" t="n">
        <f aca="false">(F6532+F6535)*(F6538-Pressupostos!$C$72)/365+F6534*F6539/365</f>
        <v>0.670547945205479</v>
      </c>
      <c r="G6553" s="63" t="n">
        <f aca="false">(G6532+G6535)*(G6538-Pressupostos!$C$72)/365+G6534*G6539/365</f>
        <v>0.670547945205479</v>
      </c>
      <c r="H6553" s="2" t="s">
        <v>1235</v>
      </c>
    </row>
    <row r="6554" customFormat="false" ht="15" hidden="false" customHeight="false" outlineLevel="0" collapsed="false">
      <c r="A6554" s="3" t="s">
        <v>1236</v>
      </c>
      <c r="B6554" s="4"/>
      <c r="C6554" s="4"/>
      <c r="D6554" s="4"/>
      <c r="E6554" s="4"/>
      <c r="F6554" s="4"/>
      <c r="G6554" s="4"/>
      <c r="H6554" s="4"/>
    </row>
    <row r="6555" customFormat="false" ht="15" hidden="false" customHeight="false" outlineLevel="1" collapsed="false">
      <c r="A6555" s="7" t="s">
        <v>669</v>
      </c>
      <c r="B6555" s="8" t="s">
        <v>64</v>
      </c>
      <c r="C6555" s="63" t="n">
        <f aca="false">Pressupostos!$F$10+Pressupostos!$F$13</f>
        <v>3.5</v>
      </c>
      <c r="D6555" s="63" t="n">
        <f aca="false">Pressupostos!$F$10+Pressupostos!$F$13</f>
        <v>3.5</v>
      </c>
      <c r="E6555" s="63" t="n">
        <f aca="false">Pressupostos!$F$10+Pressupostos!$F$13</f>
        <v>3.5</v>
      </c>
      <c r="F6555" s="63" t="n">
        <f aca="false">Pressupostos!$F$10+Pressupostos!$F$13</f>
        <v>3.5</v>
      </c>
      <c r="G6555" s="63" t="n">
        <f aca="false">Pressupostos!$F$10+Pressupostos!$F$13</f>
        <v>3.5</v>
      </c>
      <c r="H6555" s="2" t="s">
        <v>1237</v>
      </c>
    </row>
    <row r="6556" customFormat="false" ht="15" hidden="false" customHeight="false" outlineLevel="1" collapsed="false">
      <c r="A6556" s="7" t="s">
        <v>670</v>
      </c>
      <c r="B6556" s="8" t="s">
        <v>64</v>
      </c>
      <c r="C6556" s="63" t="n">
        <f aca="false">Pressupostos!$F$10+Pressupostos!$C$52</f>
        <v>3.65</v>
      </c>
      <c r="D6556" s="63" t="n">
        <f aca="false">Pressupostos!$F$10+Pressupostos!$C$52</f>
        <v>3.65</v>
      </c>
      <c r="E6556" s="63" t="n">
        <f aca="false">Pressupostos!$F$10+Pressupostos!$C$52</f>
        <v>3.65</v>
      </c>
      <c r="F6556" s="63" t="n">
        <f aca="false">Pressupostos!$F$10+Pressupostos!$C$52</f>
        <v>3.65</v>
      </c>
      <c r="G6556" s="63" t="n">
        <f aca="false">Pressupostos!$F$10+Pressupostos!$C$52</f>
        <v>3.65</v>
      </c>
      <c r="H6556" s="2" t="s">
        <v>1238</v>
      </c>
    </row>
    <row r="6557" customFormat="false" ht="15" hidden="false" customHeight="false" outlineLevel="1" collapsed="false">
      <c r="A6557" s="56" t="s">
        <v>671</v>
      </c>
      <c r="B6557" s="57" t="s">
        <v>64</v>
      </c>
      <c r="C6557" s="68" t="n">
        <f aca="false">C6556*(1-Pressupostos!$C$53)</f>
        <v>3.65</v>
      </c>
      <c r="D6557" s="68" t="n">
        <f aca="false">D6556*(1-Pressupostos!$C$53)</f>
        <v>3.65</v>
      </c>
      <c r="E6557" s="68" t="n">
        <f aca="false">E6556*(1-Pressupostos!$C$53)</f>
        <v>3.65</v>
      </c>
      <c r="F6557" s="68" t="n">
        <f aca="false">F6556*(1-Pressupostos!$C$53)</f>
        <v>3.65</v>
      </c>
      <c r="G6557" s="68" t="n">
        <f aca="false">G6556*(1-Pressupostos!$C$53)</f>
        <v>3.65</v>
      </c>
      <c r="H6557" s="2" t="s">
        <v>1239</v>
      </c>
    </row>
    <row r="6558" customFormat="false" ht="15" hidden="false" customHeight="false" outlineLevel="1" collapsed="false">
      <c r="A6558" s="7" t="s">
        <v>144</v>
      </c>
      <c r="B6558" s="8" t="s">
        <v>64</v>
      </c>
      <c r="C6558" s="67" t="n">
        <f aca="false">Pressupostos!$C$54</f>
        <v>0</v>
      </c>
      <c r="D6558" s="67" t="n">
        <f aca="false">Pressupostos!$C$54</f>
        <v>0</v>
      </c>
      <c r="E6558" s="67" t="n">
        <f aca="false">Pressupostos!$C$54</f>
        <v>0</v>
      </c>
      <c r="F6558" s="67" t="n">
        <f aca="false">Pressupostos!$C$54</f>
        <v>0</v>
      </c>
      <c r="G6558" s="67" t="n">
        <f aca="false">Pressupostos!$C$54</f>
        <v>0</v>
      </c>
      <c r="H6558" s="2" t="s">
        <v>1240</v>
      </c>
    </row>
    <row r="6559" customFormat="false" ht="15" hidden="false" customHeight="false" outlineLevel="1" collapsed="false">
      <c r="A6559" s="7" t="s">
        <v>215</v>
      </c>
      <c r="B6559" s="8" t="s">
        <v>64</v>
      </c>
      <c r="C6559" s="67" t="n">
        <f aca="false">Pressupostos!$C$55</f>
        <v>0.04</v>
      </c>
      <c r="D6559" s="67" t="n">
        <f aca="false">Pressupostos!$C$55</f>
        <v>0.04</v>
      </c>
      <c r="E6559" s="67" t="n">
        <f aca="false">Pressupostos!$C$55</f>
        <v>0.04</v>
      </c>
      <c r="F6559" s="67" t="n">
        <f aca="false">Pressupostos!$C$55</f>
        <v>0.04</v>
      </c>
      <c r="G6559" s="67" t="n">
        <f aca="false">Pressupostos!$C$55</f>
        <v>0.04</v>
      </c>
      <c r="H6559" s="2" t="s">
        <v>1241</v>
      </c>
    </row>
    <row r="6560" customFormat="false" ht="15" hidden="false" customHeight="false" outlineLevel="1" collapsed="false">
      <c r="A6560" s="7" t="s">
        <v>117</v>
      </c>
      <c r="B6560" s="8" t="s">
        <v>64</v>
      </c>
      <c r="C6560" s="67" t="n">
        <f aca="false">Pressupostos!$C$56</f>
        <v>0</v>
      </c>
      <c r="D6560" s="67" t="n">
        <f aca="false">Pressupostos!$C$56</f>
        <v>0</v>
      </c>
      <c r="E6560" s="67" t="n">
        <f aca="false">Pressupostos!$C$56</f>
        <v>0</v>
      </c>
      <c r="F6560" s="67" t="n">
        <f aca="false">Pressupostos!$C$56</f>
        <v>0</v>
      </c>
      <c r="G6560" s="67" t="n">
        <f aca="false">Pressupostos!$C$56</f>
        <v>0</v>
      </c>
      <c r="H6560" s="2" t="s">
        <v>1242</v>
      </c>
    </row>
    <row r="6561" customFormat="false" ht="15" hidden="false" customHeight="false" outlineLevel="1" collapsed="false">
      <c r="A6561" s="7" t="s">
        <v>91</v>
      </c>
      <c r="B6561" s="8" t="s">
        <v>79</v>
      </c>
      <c r="C6561" s="69" t="n">
        <f aca="false">Pressupostos!$C$57</f>
        <v>15</v>
      </c>
      <c r="D6561" s="69" t="n">
        <f aca="false">Pressupostos!$C$57</f>
        <v>15</v>
      </c>
      <c r="E6561" s="69" t="n">
        <f aca="false">Pressupostos!$C$57</f>
        <v>15</v>
      </c>
      <c r="F6561" s="69" t="n">
        <f aca="false">Pressupostos!$C$57</f>
        <v>15</v>
      </c>
      <c r="G6561" s="69" t="n">
        <f aca="false">Pressupostos!$C$57</f>
        <v>15</v>
      </c>
      <c r="H6561" s="2" t="s">
        <v>1243</v>
      </c>
    </row>
    <row r="6562" customFormat="false" ht="15" hidden="false" customHeight="false" outlineLevel="1" collapsed="false">
      <c r="A6562" s="7" t="s">
        <v>78</v>
      </c>
      <c r="B6562" s="8" t="s">
        <v>79</v>
      </c>
      <c r="C6562" s="69" t="n">
        <f aca="false">Pressupostos!$C$58</f>
        <v>45</v>
      </c>
      <c r="D6562" s="69" t="n">
        <f aca="false">Pressupostos!$C$58</f>
        <v>45</v>
      </c>
      <c r="E6562" s="69" t="n">
        <f aca="false">Pressupostos!$C$58</f>
        <v>45</v>
      </c>
      <c r="F6562" s="69" t="n">
        <f aca="false">Pressupostos!$C$58</f>
        <v>45</v>
      </c>
      <c r="G6562" s="69" t="n">
        <f aca="false">Pressupostos!$C$58</f>
        <v>45</v>
      </c>
      <c r="H6562" s="2" t="s">
        <v>1244</v>
      </c>
    </row>
    <row r="6563" customFormat="false" ht="15" hidden="false" customHeight="false" outlineLevel="1" collapsed="false">
      <c r="A6563" s="7" t="s">
        <v>490</v>
      </c>
      <c r="B6563" s="8" t="s">
        <v>64</v>
      </c>
      <c r="C6563" s="63" t="n">
        <f aca="false">Pressupostos!$C$66*C6561/30/1000</f>
        <v>0.002</v>
      </c>
      <c r="D6563" s="63" t="n">
        <f aca="false">Pressupostos!$C$66*D6561/30/1000</f>
        <v>0.002</v>
      </c>
      <c r="E6563" s="63" t="n">
        <f aca="false">Pressupostos!$C$66*E6561/30/1000</f>
        <v>0.002</v>
      </c>
      <c r="F6563" s="63" t="n">
        <f aca="false">Pressupostos!$C$66*F6561/30/1000</f>
        <v>0.002</v>
      </c>
      <c r="G6563" s="63" t="n">
        <f aca="false">Pressupostos!$C$66*G6561/30/1000</f>
        <v>0.002</v>
      </c>
      <c r="H6563" s="2" t="s">
        <v>1245</v>
      </c>
    </row>
    <row r="6564" customFormat="false" ht="15" hidden="false" customHeight="false" outlineLevel="1" collapsed="false">
      <c r="A6564" s="7" t="s">
        <v>165</v>
      </c>
      <c r="B6564" s="8" t="s">
        <v>64</v>
      </c>
      <c r="C6564" s="63" t="n">
        <f aca="false">C6555*Pressupostos!$C$67*C6561/365</f>
        <v>0.000287671232876712</v>
      </c>
      <c r="D6564" s="63" t="n">
        <f aca="false">D6555*Pressupostos!$C$67*D6561/365</f>
        <v>0.000287671232876712</v>
      </c>
      <c r="E6564" s="63" t="n">
        <f aca="false">E6555*Pressupostos!$C$67*E6561/365</f>
        <v>0.000287671232876712</v>
      </c>
      <c r="F6564" s="63" t="n">
        <f aca="false">F6555*Pressupostos!$C$67*F6561/365</f>
        <v>0.000287671232876712</v>
      </c>
      <c r="G6564" s="63" t="n">
        <f aca="false">G6555*Pressupostos!$C$67*G6561/365</f>
        <v>0.000287671232876712</v>
      </c>
      <c r="H6564" s="2" t="s">
        <v>1246</v>
      </c>
    </row>
    <row r="6565" customFormat="false" ht="15" hidden="false" customHeight="false" outlineLevel="1" collapsed="false">
      <c r="A6565" s="7" t="s">
        <v>672</v>
      </c>
      <c r="B6565" s="8" t="s">
        <v>64</v>
      </c>
      <c r="C6565" s="63" t="n">
        <f aca="false">Pressupostos!$C$60*Pressupostos!$C$68/(Pressupostos!$C$59*1000)</f>
        <v>0.006</v>
      </c>
      <c r="D6565" s="63" t="n">
        <f aca="false">Pressupostos!$C$60*Pressupostos!$C$68/(Pressupostos!$C$59*1000)</f>
        <v>0.006</v>
      </c>
      <c r="E6565" s="63" t="n">
        <f aca="false">Pressupostos!$C$60*Pressupostos!$C$68/(Pressupostos!$C$59*1000)</f>
        <v>0.006</v>
      </c>
      <c r="F6565" s="63" t="n">
        <f aca="false">Pressupostos!$C$60*Pressupostos!$C$68/(Pressupostos!$C$59*1000)</f>
        <v>0.006</v>
      </c>
      <c r="G6565" s="63" t="n">
        <f aca="false">Pressupostos!$C$60*Pressupostos!$C$68/(Pressupostos!$C$59*1000)</f>
        <v>0.006</v>
      </c>
      <c r="H6565" s="2" t="s">
        <v>1247</v>
      </c>
    </row>
    <row r="6566" customFormat="false" ht="15" hidden="false" customHeight="false" outlineLevel="1" collapsed="false">
      <c r="A6566" s="7" t="s">
        <v>492</v>
      </c>
      <c r="B6566" s="8" t="s">
        <v>64</v>
      </c>
      <c r="C6566" s="63" t="n">
        <f aca="false">Pressupostos!$C$69*C6555</f>
        <v>0.0175</v>
      </c>
      <c r="D6566" s="63" t="n">
        <f aca="false">Pressupostos!$C$69*D6555</f>
        <v>0.0175</v>
      </c>
      <c r="E6566" s="63" t="n">
        <f aca="false">Pressupostos!$C$69*E6555</f>
        <v>0.0175</v>
      </c>
      <c r="F6566" s="63" t="n">
        <f aca="false">Pressupostos!$C$69*F6555</f>
        <v>0.0175</v>
      </c>
      <c r="G6566" s="63" t="n">
        <f aca="false">Pressupostos!$C$69*G6555</f>
        <v>0.0175</v>
      </c>
      <c r="H6566" s="2" t="s">
        <v>1248</v>
      </c>
    </row>
    <row r="6567" customFormat="false" ht="15" hidden="false" customHeight="false" outlineLevel="1" collapsed="false">
      <c r="A6567" s="7" t="s">
        <v>493</v>
      </c>
      <c r="B6567" s="8" t="s">
        <v>64</v>
      </c>
      <c r="C6567" s="63" t="n">
        <f aca="false">Pressupostos!$C$70*Pressupostos!$C$71*C6561/90</f>
        <v>0.0015</v>
      </c>
      <c r="D6567" s="63" t="n">
        <f aca="false">Pressupostos!$C$70*Pressupostos!$C$71*D6561/90</f>
        <v>0.0015</v>
      </c>
      <c r="E6567" s="63" t="n">
        <f aca="false">Pressupostos!$C$70*Pressupostos!$C$71*E6561/90</f>
        <v>0.0015</v>
      </c>
      <c r="F6567" s="63" t="n">
        <f aca="false">Pressupostos!$C$70*Pressupostos!$C$71*F6561/90</f>
        <v>0.0015</v>
      </c>
      <c r="G6567" s="63" t="n">
        <f aca="false">Pressupostos!$C$70*Pressupostos!$C$71*G6561/90</f>
        <v>0.0015</v>
      </c>
      <c r="H6567" s="2" t="s">
        <v>1249</v>
      </c>
    </row>
    <row r="6568" customFormat="false" ht="15" hidden="false" customHeight="false" outlineLevel="1" collapsed="false">
      <c r="A6568" s="7" t="s">
        <v>673</v>
      </c>
      <c r="B6568" s="8" t="s">
        <v>64</v>
      </c>
      <c r="C6568" s="63" t="n">
        <f aca="false">Pressupostos!$C$61/(Pressupostos!$C$59*1000)</f>
        <v>0.012</v>
      </c>
      <c r="D6568" s="63" t="n">
        <f aca="false">Pressupostos!$C$61/(Pressupostos!$C$59*1000)</f>
        <v>0.012</v>
      </c>
      <c r="E6568" s="63" t="n">
        <f aca="false">Pressupostos!$C$61/(Pressupostos!$C$59*1000)</f>
        <v>0.012</v>
      </c>
      <c r="F6568" s="63" t="n">
        <f aca="false">Pressupostos!$C$61/(Pressupostos!$C$59*1000)</f>
        <v>0.012</v>
      </c>
      <c r="G6568" s="63" t="n">
        <f aca="false">Pressupostos!$C$61/(Pressupostos!$C$59*1000)</f>
        <v>0.012</v>
      </c>
      <c r="H6568" s="2" t="s">
        <v>1250</v>
      </c>
    </row>
    <row r="6569" customFormat="false" ht="15" hidden="false" customHeight="false" outlineLevel="1" collapsed="false">
      <c r="A6569" s="7" t="s">
        <v>139</v>
      </c>
      <c r="B6569" s="8" t="s">
        <v>64</v>
      </c>
      <c r="C6569" s="67" t="n">
        <f aca="false">Pressupostos!$C$62</f>
        <v>0.001</v>
      </c>
      <c r="D6569" s="67" t="n">
        <f aca="false">Pressupostos!$C$62</f>
        <v>0.001</v>
      </c>
      <c r="E6569" s="67" t="n">
        <f aca="false">Pressupostos!$C$62</f>
        <v>0.001</v>
      </c>
      <c r="F6569" s="67" t="n">
        <f aca="false">Pressupostos!$C$62</f>
        <v>0.001</v>
      </c>
      <c r="G6569" s="67" t="n">
        <f aca="false">Pressupostos!$C$62</f>
        <v>0.001</v>
      </c>
      <c r="H6569" s="2" t="s">
        <v>1251</v>
      </c>
    </row>
    <row r="6570" customFormat="false" ht="15" hidden="false" customHeight="false" outlineLevel="1" collapsed="false">
      <c r="A6570" s="7" t="s">
        <v>81</v>
      </c>
      <c r="B6570" s="8" t="s">
        <v>64</v>
      </c>
      <c r="C6570" s="63" t="n">
        <f aca="false">Pressupostos!$C$63*C6557</f>
        <v>0.01095</v>
      </c>
      <c r="D6570" s="63" t="n">
        <f aca="false">Pressupostos!$C$63*D6557</f>
        <v>0.01095</v>
      </c>
      <c r="E6570" s="63" t="n">
        <f aca="false">Pressupostos!$C$63*E6557</f>
        <v>0.01095</v>
      </c>
      <c r="F6570" s="63" t="n">
        <f aca="false">Pressupostos!$C$63*F6557</f>
        <v>0.01095</v>
      </c>
      <c r="G6570" s="63" t="n">
        <f aca="false">Pressupostos!$C$63*G6557</f>
        <v>0.01095</v>
      </c>
      <c r="H6570" s="2" t="s">
        <v>1252</v>
      </c>
    </row>
    <row r="6571" customFormat="false" ht="15" hidden="false" customHeight="false" outlineLevel="1" collapsed="false">
      <c r="A6571" s="7" t="s">
        <v>674</v>
      </c>
      <c r="B6571" s="8" t="s">
        <v>64</v>
      </c>
      <c r="C6571" s="63" t="n">
        <f aca="false">Pressupostos!$C$73*C6557</f>
        <v>0</v>
      </c>
      <c r="D6571" s="63" t="n">
        <f aca="false">Pressupostos!$C$73*D6557</f>
        <v>0</v>
      </c>
      <c r="E6571" s="63" t="n">
        <f aca="false">Pressupostos!$C$73*E6557</f>
        <v>0</v>
      </c>
      <c r="F6571" s="63" t="n">
        <f aca="false">Pressupostos!$C$73*F6557</f>
        <v>0</v>
      </c>
      <c r="G6571" s="63" t="n">
        <f aca="false">Pressupostos!$C$73*G6557</f>
        <v>0</v>
      </c>
      <c r="H6571" s="2" t="s">
        <v>1253</v>
      </c>
    </row>
    <row r="6572" customFormat="false" ht="15" hidden="false" customHeight="false" outlineLevel="1" collapsed="false">
      <c r="A6572" s="7" t="s">
        <v>675</v>
      </c>
      <c r="B6572" s="8" t="s">
        <v>64</v>
      </c>
      <c r="C6572" s="63" t="n">
        <f aca="false">(Pressupostos!$C$198)*(C6555+C6558)*(C6561+C6562-Pressupostos!$C$72)/365*Pressupostos!$C$284/Pressupostos!$F$31</f>
        <v>0</v>
      </c>
      <c r="D6572" s="63" t="n">
        <f aca="false">(Pressupostos!$C$198)*(D6555+D6558)*(D6561+D6562-Pressupostos!$C$72)/365*Pressupostos!$D$284/Pressupostos!$F$31</f>
        <v>0.0269691780821918</v>
      </c>
      <c r="E6572" s="63" t="n">
        <f aca="false">(Pressupostos!$C$198)*(E6555+E6558)*(E6561+E6562-Pressupostos!$C$72)/365*Pressupostos!$E$284/Pressupostos!$F$31</f>
        <v>0.0269691780821918</v>
      </c>
      <c r="F6572" s="63" t="n">
        <f aca="false">(Pressupostos!$C$198)*(F6555+F6558)*(F6561+F6562-Pressupostos!$C$72)/365*Pressupostos!$F$284/Pressupostos!$F$31</f>
        <v>0.0269691780821918</v>
      </c>
      <c r="G6572" s="63" t="n">
        <f aca="false">(Pressupostos!$C$198)*(G6555+G6558)*(G6561+G6562-Pressupostos!$C$72)/365*Pressupostos!$G$284/Pressupostos!$F$31</f>
        <v>0.0269691780821918</v>
      </c>
      <c r="H6572" s="2" t="s">
        <v>1254</v>
      </c>
    </row>
    <row r="6573" customFormat="false" ht="15" hidden="false" customHeight="false" outlineLevel="1" collapsed="false">
      <c r="A6573" s="7" t="s">
        <v>676</v>
      </c>
      <c r="B6573" s="8" t="s">
        <v>64</v>
      </c>
      <c r="C6573" s="63" t="n">
        <f aca="false">C6555+C6558+C6559+C6560+C6563+C6564+C6565+C6566+C6567+C6568+C6569+C6570+C6571+C6572</f>
        <v>3.59123767123288</v>
      </c>
      <c r="D6573" s="63" t="n">
        <f aca="false">D6555+D6558+D6559+D6560+D6563+D6564+D6565+D6566+D6567+D6568+D6569+D6570+D6571+D6572</f>
        <v>3.61820684931507</v>
      </c>
      <c r="E6573" s="63" t="n">
        <f aca="false">E6555+E6558+E6559+E6560+E6563+E6564+E6565+E6566+E6567+E6568+E6569+E6570+E6571+E6572</f>
        <v>3.61820684931507</v>
      </c>
      <c r="F6573" s="63" t="n">
        <f aca="false">F6555+F6558+F6559+F6560+F6563+F6564+F6565+F6566+F6567+F6568+F6569+F6570+F6571+F6572</f>
        <v>3.61820684931507</v>
      </c>
      <c r="G6573" s="63" t="n">
        <f aca="false">G6555+G6558+G6559+G6560+G6563+G6564+G6565+G6566+G6567+G6568+G6569+G6570+G6571+G6572</f>
        <v>3.61820684931507</v>
      </c>
      <c r="H6573" s="2" t="s">
        <v>1255</v>
      </c>
    </row>
    <row r="6574" customFormat="false" ht="15" hidden="false" customHeight="false" outlineLevel="1" collapsed="false">
      <c r="A6574" s="56" t="s">
        <v>677</v>
      </c>
      <c r="B6574" s="57" t="s">
        <v>64</v>
      </c>
      <c r="C6574" s="68" t="n">
        <f aca="false">C6557-C6573</f>
        <v>0.058762328767124</v>
      </c>
      <c r="D6574" s="68" t="n">
        <f aca="false">D6557-D6573</f>
        <v>0.0317931506849321</v>
      </c>
      <c r="E6574" s="68" t="n">
        <f aca="false">E6557-E6573</f>
        <v>0.0317931506849321</v>
      </c>
      <c r="F6574" s="68" t="n">
        <f aca="false">F6557-F6573</f>
        <v>0.0317931506849321</v>
      </c>
      <c r="G6574" s="68" t="n">
        <f aca="false">G6557-G6573</f>
        <v>0.0317931506849321</v>
      </c>
      <c r="H6574" s="2" t="s">
        <v>1256</v>
      </c>
    </row>
    <row r="6575" customFormat="false" ht="15" hidden="false" customHeight="false" outlineLevel="1" collapsed="false">
      <c r="A6575" s="7" t="s">
        <v>678</v>
      </c>
      <c r="B6575" s="8" t="s">
        <v>76</v>
      </c>
      <c r="C6575" s="59" t="n">
        <f aca="false">IF(C6557&gt;0,C6574/C6557,0)</f>
        <v>0.0160992681553764</v>
      </c>
      <c r="D6575" s="59" t="n">
        <f aca="false">IF(D6557&gt;0,D6574/D6557,0)</f>
        <v>0.00871045224244714</v>
      </c>
      <c r="E6575" s="59" t="n">
        <f aca="false">IF(E6557&gt;0,E6574/E6557,0)</f>
        <v>0.00871045224244714</v>
      </c>
      <c r="F6575" s="59" t="n">
        <f aca="false">IF(F6557&gt;0,F6574/F6557,0)</f>
        <v>0.00871045224244714</v>
      </c>
      <c r="G6575" s="59" t="n">
        <f aca="false">IF(G6557&gt;0,G6574/G6557,0)</f>
        <v>0.00871045224244714</v>
      </c>
      <c r="H6575" s="2" t="s">
        <v>1257</v>
      </c>
    </row>
    <row r="6576" customFormat="false" ht="15" hidden="false" customHeight="false" outlineLevel="1" collapsed="false">
      <c r="A6576" s="7" t="s">
        <v>679</v>
      </c>
      <c r="B6576" s="8" t="s">
        <v>64</v>
      </c>
      <c r="C6576" s="63" t="n">
        <f aca="false">(C6555+C6558)*(C6561-Pressupostos!$C$72)/365+C6557*C6562/365</f>
        <v>0.306164383561644</v>
      </c>
      <c r="D6576" s="63" t="n">
        <f aca="false">(D6555+D6558)*(D6561-Pressupostos!$C$72)/365+D6557*D6562/365</f>
        <v>0.306164383561644</v>
      </c>
      <c r="E6576" s="63" t="n">
        <f aca="false">(E6555+E6558)*(E6561-Pressupostos!$C$72)/365+E6557*E6562/365</f>
        <v>0.306164383561644</v>
      </c>
      <c r="F6576" s="63" t="n">
        <f aca="false">(F6555+F6558)*(F6561-Pressupostos!$C$72)/365+F6557*F6562/365</f>
        <v>0.306164383561644</v>
      </c>
      <c r="G6576" s="63" t="n">
        <f aca="false">(G6555+G6558)*(G6561-Pressupostos!$C$72)/365+G6557*G6562/365</f>
        <v>0.306164383561644</v>
      </c>
      <c r="H6576" s="2" t="s">
        <v>1258</v>
      </c>
    </row>
    <row r="6577" customFormat="false" ht="15" hidden="false" customHeight="false" outlineLevel="0" collapsed="false">
      <c r="A6577" s="3" t="s">
        <v>1259</v>
      </c>
      <c r="B6577" s="4"/>
      <c r="C6577" s="4"/>
      <c r="D6577" s="4"/>
      <c r="E6577" s="4"/>
      <c r="F6577" s="4"/>
      <c r="G6577" s="4"/>
      <c r="H6577" s="4"/>
    </row>
    <row r="6578" customFormat="false" ht="15" hidden="false" customHeight="false" outlineLevel="1" collapsed="false">
      <c r="A6578" s="7" t="s">
        <v>683</v>
      </c>
      <c r="B6578" s="8" t="s">
        <v>64</v>
      </c>
      <c r="C6578" s="63" t="n">
        <f aca="false">Pressupostos!$C$64*Pressupostos!$F$10</f>
        <v>0.02625</v>
      </c>
      <c r="D6578" s="63" t="n">
        <f aca="false">Pressupostos!$C$64*Pressupostos!$F$10</f>
        <v>0.02625</v>
      </c>
      <c r="E6578" s="63" t="n">
        <f aca="false">Pressupostos!$C$64*Pressupostos!$F$10</f>
        <v>0.02625</v>
      </c>
      <c r="F6578" s="63" t="n">
        <f aca="false">Pressupostos!$C$64*Pressupostos!$F$10</f>
        <v>0.02625</v>
      </c>
      <c r="G6578" s="63" t="n">
        <f aca="false">Pressupostos!$C$64*Pressupostos!$F$10</f>
        <v>0.02625</v>
      </c>
      <c r="H6578" s="2" t="s">
        <v>1260</v>
      </c>
    </row>
    <row r="6579" customFormat="false" ht="15" hidden="false" customHeight="false" outlineLevel="1" collapsed="false">
      <c r="A6579" s="7" t="s">
        <v>684</v>
      </c>
      <c r="B6579" s="8" t="s">
        <v>64</v>
      </c>
      <c r="C6579" s="63" t="n">
        <f aca="false">C6568+C6565+C6569</f>
        <v>0.019</v>
      </c>
      <c r="D6579" s="63" t="n">
        <f aca="false">D6568+D6565+D6569</f>
        <v>0.019</v>
      </c>
      <c r="E6579" s="63" t="n">
        <f aca="false">E6568+E6565+E6569</f>
        <v>0.019</v>
      </c>
      <c r="F6579" s="63" t="n">
        <f aca="false">F6568+F6565+F6569</f>
        <v>0.019</v>
      </c>
      <c r="G6579" s="63" t="n">
        <f aca="false">G6568+G6565+G6569</f>
        <v>0.019</v>
      </c>
      <c r="H6579" s="2" t="s">
        <v>1261</v>
      </c>
    </row>
    <row r="6580" customFormat="false" ht="15" hidden="false" customHeight="false" outlineLevel="1" collapsed="false">
      <c r="A6580" s="56" t="s">
        <v>561</v>
      </c>
      <c r="B6580" s="57" t="s">
        <v>64</v>
      </c>
      <c r="C6580" s="68" t="n">
        <f aca="false">C6578-C6579</f>
        <v>0.00725</v>
      </c>
      <c r="D6580" s="68" t="n">
        <f aca="false">D6578-D6579</f>
        <v>0.00725</v>
      </c>
      <c r="E6580" s="68" t="n">
        <f aca="false">E6578-E6579</f>
        <v>0.00725</v>
      </c>
      <c r="F6580" s="68" t="n">
        <f aca="false">F6578-F6579</f>
        <v>0.00725</v>
      </c>
      <c r="G6580" s="68" t="n">
        <f aca="false">G6578-G6579</f>
        <v>0.00725</v>
      </c>
      <c r="H6580" s="2" t="s">
        <v>1262</v>
      </c>
    </row>
    <row r="6581" customFormat="false" ht="15" hidden="false" customHeight="false" outlineLevel="0" collapsed="false">
      <c r="A6581" s="3" t="s">
        <v>1263</v>
      </c>
      <c r="B6581" s="4"/>
      <c r="C6581" s="4"/>
      <c r="D6581" s="4"/>
      <c r="E6581" s="4"/>
      <c r="F6581" s="4"/>
      <c r="G6581" s="4"/>
      <c r="H6581" s="4"/>
    </row>
    <row r="6582" customFormat="false" ht="15" hidden="false" customHeight="false" outlineLevel="1" collapsed="false">
      <c r="A6582" s="7" t="s">
        <v>608</v>
      </c>
      <c r="B6582" s="8" t="s">
        <v>11</v>
      </c>
      <c r="C6582" s="61" t="n">
        <f aca="false">C6491*1000*C6511</f>
        <v>44280</v>
      </c>
      <c r="D6582" s="61" t="n">
        <f aca="false">D6491*1000*D6511</f>
        <v>166050</v>
      </c>
      <c r="E6582" s="61" t="n">
        <f aca="false">E6491*1000*E6511</f>
        <v>442800</v>
      </c>
      <c r="F6582" s="61" t="n">
        <f aca="false">F6491*1000*F6511</f>
        <v>774900</v>
      </c>
      <c r="G6582" s="61" t="n">
        <f aca="false">G6491*1000*G6511</f>
        <v>1107000</v>
      </c>
      <c r="H6582" s="2" t="s">
        <v>1264</v>
      </c>
    </row>
    <row r="6583" customFormat="false" ht="15" hidden="false" customHeight="false" outlineLevel="1" collapsed="false">
      <c r="A6583" s="7" t="s">
        <v>609</v>
      </c>
      <c r="B6583" s="8" t="s">
        <v>11</v>
      </c>
      <c r="C6583" s="61" t="n">
        <f aca="false">C6492*1000*C6534</f>
        <v>231400</v>
      </c>
      <c r="D6583" s="61" t="n">
        <f aca="false">D6492*1000*D6534</f>
        <v>1615350</v>
      </c>
      <c r="E6583" s="61" t="n">
        <f aca="false">E6492*1000*E6534</f>
        <v>3190650</v>
      </c>
      <c r="F6583" s="61" t="n">
        <f aca="false">F6492*1000*F6534</f>
        <v>5264350</v>
      </c>
      <c r="G6583" s="61" t="n">
        <f aca="false">G6492*1000*G6534</f>
        <v>7965500</v>
      </c>
      <c r="H6583" s="2" t="s">
        <v>1265</v>
      </c>
    </row>
    <row r="6584" customFormat="false" ht="15" hidden="false" customHeight="false" outlineLevel="1" collapsed="false">
      <c r="A6584" s="7" t="s">
        <v>610</v>
      </c>
      <c r="B6584" s="8" t="s">
        <v>11</v>
      </c>
      <c r="C6584" s="61" t="n">
        <f aca="false">C6494*1000*C6557</f>
        <v>0</v>
      </c>
      <c r="D6584" s="61" t="n">
        <f aca="false">D6494*1000*D6557</f>
        <v>0</v>
      </c>
      <c r="E6584" s="61" t="n">
        <f aca="false">E6494*1000*E6557</f>
        <v>0</v>
      </c>
      <c r="F6584" s="61" t="n">
        <f aca="false">F6494*1000*F6557</f>
        <v>0</v>
      </c>
      <c r="G6584" s="61" t="n">
        <f aca="false">G6494*1000*G6557</f>
        <v>0</v>
      </c>
      <c r="H6584" s="2" t="s">
        <v>1266</v>
      </c>
    </row>
    <row r="6585" customFormat="false" ht="15" hidden="false" customHeight="false" outlineLevel="1" collapsed="false">
      <c r="A6585" s="7" t="s">
        <v>611</v>
      </c>
      <c r="B6585" s="8" t="s">
        <v>11</v>
      </c>
      <c r="C6585" s="61" t="n">
        <f aca="false">C6582+C6583+C6584</f>
        <v>275680</v>
      </c>
      <c r="D6585" s="61" t="n">
        <f aca="false">D6582+D6583+D6584</f>
        <v>1781400</v>
      </c>
      <c r="E6585" s="61" t="n">
        <f aca="false">E6582+E6583+E6584</f>
        <v>3633450</v>
      </c>
      <c r="F6585" s="61" t="n">
        <f aca="false">F6582+F6583+F6584</f>
        <v>6039250</v>
      </c>
      <c r="G6585" s="61" t="n">
        <f aca="false">G6582+G6583+G6584</f>
        <v>9072500</v>
      </c>
      <c r="H6585" s="2" t="s">
        <v>1267</v>
      </c>
    </row>
    <row r="6586" customFormat="false" ht="15" hidden="false" customHeight="false" outlineLevel="1" collapsed="false">
      <c r="A6586" s="7" t="s">
        <v>612</v>
      </c>
      <c r="B6586" s="8" t="s">
        <v>11</v>
      </c>
      <c r="C6586" s="61" t="n">
        <f aca="false">C6504*1000*Pressupostos!$C$93</f>
        <v>0</v>
      </c>
      <c r="D6586" s="61" t="n">
        <f aca="false">D6504*1000*Pressupostos!$C$93</f>
        <v>0</v>
      </c>
      <c r="E6586" s="61" t="n">
        <f aca="false">E6504*1000*Pressupostos!$C$93</f>
        <v>0</v>
      </c>
      <c r="F6586" s="61" t="n">
        <f aca="false">F6504*1000*Pressupostos!$C$93</f>
        <v>157000</v>
      </c>
      <c r="G6586" s="61" t="n">
        <f aca="false">G6504*1000*Pressupostos!$C$93</f>
        <v>392500</v>
      </c>
      <c r="H6586" s="2" t="s">
        <v>1268</v>
      </c>
    </row>
    <row r="6587" customFormat="false" ht="15" hidden="false" customHeight="false" outlineLevel="1" collapsed="false">
      <c r="A6587" s="2" t="s">
        <v>613</v>
      </c>
      <c r="B6587" s="8" t="s">
        <v>11</v>
      </c>
      <c r="C6587" s="61" t="n">
        <f aca="false">C6502*Pressupostos!$C$80*(1-Pressupostos!$C$81)</f>
        <v>9720</v>
      </c>
      <c r="D6587" s="61" t="n">
        <f aca="false">D6502*Pressupostos!$C$80*(1-Pressupostos!$C$81)</f>
        <v>36450</v>
      </c>
      <c r="E6587" s="61" t="n">
        <f aca="false">E6502*Pressupostos!$C$80*(1-Pressupostos!$C$81)</f>
        <v>97200</v>
      </c>
      <c r="F6587" s="61" t="n">
        <f aca="false">F6502*Pressupostos!$C$80*(1-Pressupostos!$C$81)</f>
        <v>170100</v>
      </c>
      <c r="G6587" s="61" t="n">
        <f aca="false">G6502*Pressupostos!$C$80*(1-Pressupostos!$C$81)</f>
        <v>243000</v>
      </c>
      <c r="H6587" s="2" t="s">
        <v>1269</v>
      </c>
    </row>
    <row r="6588" customFormat="false" ht="15" hidden="false" customHeight="false" outlineLevel="1" collapsed="false">
      <c r="A6588" s="7" t="s">
        <v>614</v>
      </c>
      <c r="B6588" s="8" t="s">
        <v>11</v>
      </c>
      <c r="C6588" s="61" t="n">
        <f aca="false">C6587*Pressupostos!$F$27</f>
        <v>194.4</v>
      </c>
      <c r="D6588" s="61" t="n">
        <f aca="false">D6587*Pressupostos!$F$27</f>
        <v>729</v>
      </c>
      <c r="E6588" s="61" t="n">
        <f aca="false">E6587*Pressupostos!$F$27</f>
        <v>1944</v>
      </c>
      <c r="F6588" s="61" t="n">
        <f aca="false">F6587*Pressupostos!$F$27</f>
        <v>3402</v>
      </c>
      <c r="G6588" s="61" t="n">
        <f aca="false">G6587*Pressupostos!$F$27</f>
        <v>4860</v>
      </c>
      <c r="H6588" s="2" t="s">
        <v>1270</v>
      </c>
    </row>
    <row r="6589" customFormat="false" ht="15" hidden="false" customHeight="false" outlineLevel="1" collapsed="false">
      <c r="A6589" s="7" t="s">
        <v>615</v>
      </c>
      <c r="B6589" s="8" t="s">
        <v>11</v>
      </c>
      <c r="C6589" s="61" t="n">
        <f aca="false">C6495*1000*C6578</f>
        <v>0</v>
      </c>
      <c r="D6589" s="61" t="n">
        <f aca="false">D6495*1000*D6578</f>
        <v>13125</v>
      </c>
      <c r="E6589" s="61" t="n">
        <f aca="false">E6495*1000*E6578</f>
        <v>39375</v>
      </c>
      <c r="F6589" s="61" t="n">
        <f aca="false">F6495*1000*F6578</f>
        <v>65625</v>
      </c>
      <c r="G6589" s="61" t="n">
        <f aca="false">G6495*1000*G6578</f>
        <v>91875</v>
      </c>
      <c r="H6589" s="2" t="s">
        <v>1271</v>
      </c>
    </row>
    <row r="6590" customFormat="false" ht="15" hidden="false" customHeight="false" outlineLevel="1" collapsed="false">
      <c r="A6590" s="7" t="s">
        <v>616</v>
      </c>
      <c r="B6590" s="8" t="s">
        <v>11</v>
      </c>
      <c r="C6590" s="61" t="n">
        <f aca="false">C6506*(Pressupostos!$C$101*Pressupostos!$C$102+Pressupostos!$C$103)</f>
        <v>0</v>
      </c>
      <c r="D6590" s="61" t="n">
        <f aca="false">D6506*(Pressupostos!$C$101*Pressupostos!$C$102+Pressupostos!$C$103)</f>
        <v>10000</v>
      </c>
      <c r="E6590" s="61" t="n">
        <f aca="false">E6506*(Pressupostos!$C$101*Pressupostos!$C$102+Pressupostos!$C$103)</f>
        <v>30000</v>
      </c>
      <c r="F6590" s="61" t="n">
        <f aca="false">F6506*(Pressupostos!$C$101*Pressupostos!$C$102+Pressupostos!$C$103)</f>
        <v>60000</v>
      </c>
      <c r="G6590" s="61" t="n">
        <f aca="false">G6506*(Pressupostos!$C$101*Pressupostos!$C$102+Pressupostos!$C$103)</f>
        <v>100000</v>
      </c>
      <c r="H6590" s="2" t="s">
        <v>1272</v>
      </c>
    </row>
    <row r="6591" customFormat="false" ht="15" hidden="false" customHeight="false" outlineLevel="1" collapsed="false">
      <c r="A6591" s="7" t="s">
        <v>617</v>
      </c>
      <c r="B6591" s="8" t="s">
        <v>11</v>
      </c>
      <c r="C6591" s="53" t="n">
        <f aca="false">Pressupostos!$C$277</f>
        <v>0</v>
      </c>
      <c r="D6591" s="53" t="n">
        <f aca="false">Pressupostos!$D$277</f>
        <v>0</v>
      </c>
      <c r="E6591" s="53" t="n">
        <f aca="false">Pressupostos!$E$277</f>
        <v>0</v>
      </c>
      <c r="F6591" s="53" t="n">
        <f aca="false">Pressupostos!$F$277</f>
        <v>10000</v>
      </c>
      <c r="G6591" s="53" t="n">
        <f aca="false">Pressupostos!$G$277</f>
        <v>30000</v>
      </c>
      <c r="H6591" s="2" t="s">
        <v>1273</v>
      </c>
    </row>
    <row r="6592" customFormat="false" ht="15" hidden="false" customHeight="false" outlineLevel="1" collapsed="false">
      <c r="A6592" s="56" t="s">
        <v>618</v>
      </c>
      <c r="B6592" s="57" t="s">
        <v>11</v>
      </c>
      <c r="C6592" s="62" t="n">
        <f aca="false">C6585+C6586+C6588+C6589+C6590+C6591</f>
        <v>275874.4</v>
      </c>
      <c r="D6592" s="62" t="n">
        <f aca="false">D6585+D6586+D6588+D6589+D6590+D6591</f>
        <v>1805254</v>
      </c>
      <c r="E6592" s="62" t="n">
        <f aca="false">E6585+E6586+E6588+E6589+E6590+E6591</f>
        <v>3704769</v>
      </c>
      <c r="F6592" s="62" t="n">
        <f aca="false">F6585+F6586+F6588+F6589+F6590+F6591</f>
        <v>6335277</v>
      </c>
      <c r="G6592" s="62" t="n">
        <f aca="false">G6585+G6586+G6588+G6589+G6590+G6591</f>
        <v>9691735</v>
      </c>
      <c r="H6592" s="2" t="s">
        <v>1274</v>
      </c>
    </row>
    <row r="6593" customFormat="false" ht="15" hidden="false" customHeight="false" outlineLevel="0" collapsed="false">
      <c r="A6593" s="3" t="s">
        <v>1275</v>
      </c>
      <c r="B6593" s="4"/>
      <c r="C6593" s="4"/>
      <c r="D6593" s="4"/>
      <c r="E6593" s="4"/>
      <c r="F6593" s="4"/>
      <c r="G6593" s="4"/>
      <c r="H6593" s="4"/>
    </row>
    <row r="6594" customFormat="false" ht="15" hidden="false" customHeight="false" outlineLevel="1" collapsed="false">
      <c r="A6594" s="2" t="s">
        <v>620</v>
      </c>
      <c r="B6594" s="8" t="s">
        <v>11</v>
      </c>
      <c r="C6594" s="61" t="n">
        <f aca="false">C6495*1000*Pressupostos!$F$10</f>
        <v>0</v>
      </c>
      <c r="D6594" s="61" t="n">
        <f aca="false">D6495*1000*Pressupostos!$F$10</f>
        <v>1750000</v>
      </c>
      <c r="E6594" s="61" t="n">
        <f aca="false">E6495*1000*Pressupostos!$F$10</f>
        <v>5250000</v>
      </c>
      <c r="F6594" s="61" t="n">
        <f aca="false">F6495*1000*Pressupostos!$F$10</f>
        <v>8750000</v>
      </c>
      <c r="G6594" s="61" t="n">
        <f aca="false">G6495*1000*Pressupostos!$F$10</f>
        <v>12250000</v>
      </c>
      <c r="H6594" s="2" t="s">
        <v>1276</v>
      </c>
    </row>
    <row r="6595" customFormat="false" ht="15" hidden="false" customHeight="false" outlineLevel="1" collapsed="false">
      <c r="A6595" s="56" t="s">
        <v>621</v>
      </c>
      <c r="B6595" s="57" t="s">
        <v>11</v>
      </c>
      <c r="C6595" s="62" t="n">
        <f aca="false">C6585+C6586+C6587+C6594</f>
        <v>285400</v>
      </c>
      <c r="D6595" s="62" t="n">
        <f aca="false">D6585+D6586+D6587+D6594</f>
        <v>3567850</v>
      </c>
      <c r="E6595" s="62" t="n">
        <f aca="false">E6585+E6586+E6587+E6594</f>
        <v>8980650</v>
      </c>
      <c r="F6595" s="62" t="n">
        <f aca="false">F6585+F6586+F6587+F6594</f>
        <v>15116350</v>
      </c>
      <c r="G6595" s="62" t="n">
        <f aca="false">G6585+G6586+G6587+G6594</f>
        <v>21958000</v>
      </c>
      <c r="H6595" s="2" t="s">
        <v>1277</v>
      </c>
    </row>
    <row r="6596" customFormat="false" ht="15" hidden="false" customHeight="false" outlineLevel="1" collapsed="false">
      <c r="A6596" s="7" t="s">
        <v>622</v>
      </c>
      <c r="B6596" s="8" t="s">
        <v>11</v>
      </c>
      <c r="C6596" s="61" t="n">
        <f aca="false">C6595-C6594-C6584</f>
        <v>285400</v>
      </c>
      <c r="D6596" s="61" t="n">
        <f aca="false">D6595-D6594-D6584</f>
        <v>1817850</v>
      </c>
      <c r="E6596" s="61" t="n">
        <f aca="false">E6595-E6594-E6584</f>
        <v>3730650</v>
      </c>
      <c r="F6596" s="61" t="n">
        <f aca="false">F6595-F6594-F6584</f>
        <v>6366350</v>
      </c>
      <c r="G6596" s="61" t="n">
        <f aca="false">G6595-G6594-G6584</f>
        <v>9708000</v>
      </c>
      <c r="H6596" s="2" t="s">
        <v>1278</v>
      </c>
    </row>
    <row r="6597" customFormat="false" ht="15" hidden="false" customHeight="false" outlineLevel="1" collapsed="false">
      <c r="A6597" s="7" t="s">
        <v>623</v>
      </c>
      <c r="B6597" s="8" t="s">
        <v>11</v>
      </c>
      <c r="C6597" s="61" t="n">
        <f aca="false">C6491*1000*(C6509+C6512)+C6492*1000*(C6532+C6535)+C6494*1000*(C6555+C6558)+C6504*1000*Pressupostos!$C$92</f>
        <v>245040</v>
      </c>
      <c r="D6597" s="61" t="n">
        <f aca="false">D6491*1000*(D6509+D6512)+D6492*1000*(D6532+D6535)+D6494*1000*(D6555+D6558)+D6504*1000*Pressupostos!$C$92</f>
        <v>1599300</v>
      </c>
      <c r="E6597" s="61" t="n">
        <f aca="false">E6491*1000*(E6509+E6512)+E6492*1000*(E6532+E6535)+E6494*1000*(E6555+E6558)+E6504*1000*Pressupostos!$C$92</f>
        <v>3248250</v>
      </c>
      <c r="F6597" s="61" t="n">
        <f aca="false">F6491*1000*(F6509+F6512)+F6492*1000*(F6532+F6535)+F6494*1000*(F6555+F6558)+F6504*1000*Pressupostos!$C$92</f>
        <v>5533850</v>
      </c>
      <c r="G6597" s="61" t="n">
        <f aca="false">G6491*1000*(G6509+G6512)+G6492*1000*(G6532+G6535)+G6494*1000*(G6555+G6558)+G6504*1000*Pressupostos!$C$92</f>
        <v>8460500</v>
      </c>
      <c r="H6597" s="2" t="s">
        <v>1279</v>
      </c>
    </row>
    <row r="6598" customFormat="false" ht="15" hidden="false" customHeight="false" outlineLevel="1" collapsed="false">
      <c r="A6598" s="7" t="s">
        <v>624</v>
      </c>
      <c r="B6598" s="8" t="s">
        <v>11</v>
      </c>
      <c r="C6598" s="61" t="n">
        <f aca="false">C6597*Pressupostos!$C$284</f>
        <v>0</v>
      </c>
      <c r="D6598" s="61" t="n">
        <f aca="false">D6597*Pressupostos!$D$284</f>
        <v>1199475</v>
      </c>
      <c r="E6598" s="61" t="n">
        <f aca="false">E6597*Pressupostos!$E$284</f>
        <v>2436187.5</v>
      </c>
      <c r="F6598" s="61" t="n">
        <f aca="false">F6597*Pressupostos!$F$284</f>
        <v>4150387.5</v>
      </c>
      <c r="G6598" s="61" t="n">
        <f aca="false">G6597*Pressupostos!$G$284</f>
        <v>6345375</v>
      </c>
      <c r="H6598" s="2" t="s">
        <v>1280</v>
      </c>
    </row>
    <row r="6599" customFormat="false" ht="15" hidden="false" customHeight="false" outlineLevel="0" collapsed="false">
      <c r="A6599" s="3" t="s">
        <v>1281</v>
      </c>
      <c r="B6599" s="4"/>
      <c r="C6599" s="4"/>
      <c r="D6599" s="4"/>
      <c r="E6599" s="4"/>
      <c r="F6599" s="4"/>
      <c r="G6599" s="4"/>
      <c r="H6599" s="4"/>
    </row>
    <row r="6600" customFormat="false" ht="15" hidden="false" customHeight="false" outlineLevel="1" collapsed="false">
      <c r="A6600" s="7" t="s">
        <v>626</v>
      </c>
      <c r="B6600" s="8" t="s">
        <v>11</v>
      </c>
      <c r="C6600" s="61" t="n">
        <f aca="false">C6491*1000*C6528</f>
        <v>4950.75000000001</v>
      </c>
      <c r="D6600" s="61" t="n">
        <f aca="false">D6491*1000*D6528</f>
        <v>12428.4760273973</v>
      </c>
      <c r="E6600" s="61" t="n">
        <f aca="false">E6491*1000*E6528</f>
        <v>49528.9547945206</v>
      </c>
      <c r="F6600" s="61" t="n">
        <f aca="false">F6491*1000*F6528</f>
        <v>88110.670890411</v>
      </c>
      <c r="G6600" s="61" t="n">
        <f aca="false">G6491*1000*G6528</f>
        <v>125872.386986301</v>
      </c>
      <c r="H6600" s="2" t="s">
        <v>1282</v>
      </c>
    </row>
    <row r="6601" customFormat="false" ht="15" hidden="false" customHeight="false" outlineLevel="1" collapsed="false">
      <c r="A6601" s="7" t="s">
        <v>627</v>
      </c>
      <c r="B6601" s="8" t="s">
        <v>11</v>
      </c>
      <c r="C6601" s="61" t="n">
        <f aca="false">C6492*1000*C6551</f>
        <v>10195.0273972603</v>
      </c>
      <c r="D6601" s="61" t="n">
        <f aca="false">D6492*1000*D6551</f>
        <v>50400.7474315071</v>
      </c>
      <c r="E6601" s="61" t="n">
        <f aca="false">E6492*1000*E6551</f>
        <v>106721.889554795</v>
      </c>
      <c r="F6601" s="61" t="n">
        <f aca="false">F6492*1000*F6551</f>
        <v>176083.675513699</v>
      </c>
      <c r="G6601" s="61" t="n">
        <f aca="false">G6492*1000*G6551</f>
        <v>266432.611301371</v>
      </c>
      <c r="H6601" s="2" t="s">
        <v>1283</v>
      </c>
    </row>
    <row r="6602" customFormat="false" ht="15" hidden="false" customHeight="false" outlineLevel="1" collapsed="false">
      <c r="A6602" s="7" t="s">
        <v>628</v>
      </c>
      <c r="B6602" s="8" t="s">
        <v>11</v>
      </c>
      <c r="C6602" s="61" t="n">
        <f aca="false">C6494*1000*C6574+C6495*1000*C6580</f>
        <v>0</v>
      </c>
      <c r="D6602" s="61" t="n">
        <f aca="false">D6494*1000*D6574+D6495*1000*D6580</f>
        <v>3625</v>
      </c>
      <c r="E6602" s="61" t="n">
        <f aca="false">E6494*1000*E6574+E6495*1000*E6580</f>
        <v>10875</v>
      </c>
      <c r="F6602" s="61" t="n">
        <f aca="false">F6494*1000*F6574+F6495*1000*F6580</f>
        <v>18125</v>
      </c>
      <c r="G6602" s="61" t="n">
        <f aca="false">G6494*1000*G6574+G6495*1000*G6580</f>
        <v>25375</v>
      </c>
      <c r="H6602" s="2" t="s">
        <v>1284</v>
      </c>
    </row>
    <row r="6603" customFormat="false" ht="15" hidden="false" customHeight="false" outlineLevel="1" collapsed="false">
      <c r="A6603" s="7" t="s">
        <v>629</v>
      </c>
      <c r="B6603" s="8" t="s">
        <v>11</v>
      </c>
      <c r="C6603" s="61" t="n">
        <f aca="false">C6600+C6601+C6602</f>
        <v>15145.7773972603</v>
      </c>
      <c r="D6603" s="61" t="n">
        <f aca="false">D6600+D6601+D6602</f>
        <v>66454.2234589044</v>
      </c>
      <c r="E6603" s="61" t="n">
        <f aca="false">E6600+E6601+E6602</f>
        <v>167125.844349316</v>
      </c>
      <c r="F6603" s="61" t="n">
        <f aca="false">F6600+F6601+F6602</f>
        <v>282319.34640411</v>
      </c>
      <c r="G6603" s="61" t="n">
        <f aca="false">G6600+G6601+G6602</f>
        <v>417679.998287672</v>
      </c>
      <c r="H6603" s="2" t="s">
        <v>1285</v>
      </c>
    </row>
    <row r="6604" customFormat="false" ht="15" hidden="false" customHeight="false" outlineLevel="1" collapsed="false">
      <c r="A6604" s="7" t="s">
        <v>630</v>
      </c>
      <c r="B6604" s="8" t="s">
        <v>64</v>
      </c>
      <c r="C6604" s="63" t="n">
        <f aca="false">IF(C6496&gt;0,C6603/(C6496*1000),0)</f>
        <v>0.251590986665454</v>
      </c>
      <c r="D6604" s="63" t="n">
        <f aca="false">IF(D6496&gt;0,D6603/(D6496*1000),0)</f>
        <v>0.0743543758980749</v>
      </c>
      <c r="E6604" s="63" t="n">
        <f aca="false">IF(E6496&gt;0,E6603/(E6496*1000),0)</f>
        <v>0.0726950171158397</v>
      </c>
      <c r="F6604" s="63" t="n">
        <f aca="false">IF(F6496&gt;0,F6603/(F6496*1000),0)</f>
        <v>0.073780046100643</v>
      </c>
      <c r="G6604" s="63" t="n">
        <f aca="false">IF(G6496&gt;0,G6603/(G6496*1000),0)</f>
        <v>0.0760109187056729</v>
      </c>
      <c r="H6604" s="2" t="s">
        <v>1286</v>
      </c>
    </row>
    <row r="6605" customFormat="false" ht="15" hidden="false" customHeight="false" outlineLevel="1" collapsed="false">
      <c r="A6605" s="7" t="s">
        <v>631</v>
      </c>
      <c r="B6605" s="8" t="s">
        <v>76</v>
      </c>
      <c r="C6605" s="59" t="n">
        <f aca="false">IF(C6585&gt;0,C6603/C6585,0)</f>
        <v>0.0549397032692263</v>
      </c>
      <c r="D6605" s="59" t="n">
        <f aca="false">IF(D6585&gt;0,D6603/D6585,0)</f>
        <v>0.0373044927915709</v>
      </c>
      <c r="E6605" s="59" t="n">
        <f aca="false">IF(E6585&gt;0,E6603/E6585,0)</f>
        <v>0.045996461861128</v>
      </c>
      <c r="F6605" s="59" t="n">
        <f aca="false">IF(F6585&gt;0,F6603/F6585,0)</f>
        <v>0.0467474183721671</v>
      </c>
      <c r="G6605" s="59" t="n">
        <f aca="false">IF(G6585&gt;0,G6603/G6585,0)</f>
        <v>0.0460380268159462</v>
      </c>
      <c r="H6605" s="2" t="s">
        <v>1287</v>
      </c>
    </row>
    <row r="6606" customFormat="false" ht="15" hidden="false" customHeight="false" outlineLevel="1" collapsed="false">
      <c r="A6606" s="2" t="s">
        <v>632</v>
      </c>
      <c r="B6606" s="8" t="s">
        <v>64</v>
      </c>
      <c r="C6606" s="63" t="n">
        <f aca="false">(Pressupostos!$C$198)*Pressupostos!$C$92*(Pressupostos!$C$95+Pressupostos!$C$96-Pressupostos!$C$97)/365*Pressupostos!$C$284/Pressupostos!$F$31</f>
        <v>0</v>
      </c>
      <c r="D6606" s="63" t="n">
        <f aca="false">(Pressupostos!$C$198)*Pressupostos!$C$92*(Pressupostos!$C$95+Pressupostos!$C$96-Pressupostos!$C$97)/365*Pressupostos!$D$284/Pressupostos!$F$31</f>
        <v>0.0809075342465753</v>
      </c>
      <c r="E6606" s="63" t="n">
        <f aca="false">(Pressupostos!$C$198)*Pressupostos!$C$92*(Pressupostos!$C$95+Pressupostos!$C$96-Pressupostos!$C$97)/365*Pressupostos!$E$284/Pressupostos!$F$31</f>
        <v>0.0809075342465753</v>
      </c>
      <c r="F6606" s="63" t="n">
        <f aca="false">(Pressupostos!$C$198)*Pressupostos!$C$92*(Pressupostos!$C$95+Pressupostos!$C$96-Pressupostos!$C$97)/365*Pressupostos!$F$284/Pressupostos!$F$31</f>
        <v>0.0809075342465753</v>
      </c>
      <c r="G6606" s="63" t="n">
        <f aca="false">(Pressupostos!$C$198)*Pressupostos!$C$92*(Pressupostos!$C$95+Pressupostos!$C$96-Pressupostos!$C$97)/365*Pressupostos!$G$284/Pressupostos!$F$31</f>
        <v>0.0809075342465753</v>
      </c>
      <c r="H6606" s="2" t="s">
        <v>1288</v>
      </c>
    </row>
    <row r="6607" customFormat="false" ht="15" hidden="false" customHeight="false" outlineLevel="1" collapsed="false">
      <c r="A6607" s="7" t="s">
        <v>600</v>
      </c>
      <c r="B6607" s="8" t="s">
        <v>11</v>
      </c>
      <c r="C6607" s="61" t="n">
        <f aca="false">C6504*1000*(Pressupostos!$C$93-Pressupostos!$C$92-Pressupostos!$C$94-C6606-Pressupostos!$C$98*Pressupostos!$C$93-Pressupostos!$C$99-Pressupostos!$F$29*Pressupostos!$C$92)</f>
        <v>0</v>
      </c>
      <c r="D6607" s="61" t="n">
        <f aca="false">D6504*1000*(Pressupostos!$C$93-Pressupostos!$C$92-Pressupostos!$C$94-D6606-Pressupostos!$C$98*Pressupostos!$C$93-Pressupostos!$C$99-Pressupostos!$F$29*Pressupostos!$C$92)</f>
        <v>0</v>
      </c>
      <c r="E6607" s="61" t="n">
        <f aca="false">E6504*1000*(Pressupostos!$C$93-Pressupostos!$C$92-Pressupostos!$C$94-E6606-Pressupostos!$C$98*Pressupostos!$C$93-Pressupostos!$C$99-Pressupostos!$F$29*Pressupostos!$C$92)</f>
        <v>0</v>
      </c>
      <c r="F6607" s="61" t="n">
        <f aca="false">F6504*1000*(Pressupostos!$C$93-Pressupostos!$C$92-Pressupostos!$C$94-F6606-Pressupostos!$C$98*Pressupostos!$C$93-Pressupostos!$C$99-Pressupostos!$F$29*Pressupostos!$C$92)</f>
        <v>10419.8493150685</v>
      </c>
      <c r="G6607" s="61" t="n">
        <f aca="false">G6504*1000*(Pressupostos!$C$93-Pressupostos!$C$92-Pressupostos!$C$94-G6606-Pressupostos!$C$98*Pressupostos!$C$93-Pressupostos!$C$99-Pressupostos!$F$29*Pressupostos!$C$92)</f>
        <v>26049.6232876712</v>
      </c>
      <c r="H6607" s="2" t="s">
        <v>1289</v>
      </c>
    </row>
    <row r="6608" customFormat="false" ht="15" hidden="false" customHeight="false" outlineLevel="1" collapsed="false">
      <c r="A6608" s="7" t="s">
        <v>633</v>
      </c>
      <c r="B6608" s="8" t="s">
        <v>11</v>
      </c>
      <c r="C6608" s="61" t="n">
        <f aca="false">C6588</f>
        <v>194.4</v>
      </c>
      <c r="D6608" s="61" t="n">
        <f aca="false">D6588</f>
        <v>729</v>
      </c>
      <c r="E6608" s="61" t="n">
        <f aca="false">E6588</f>
        <v>1944</v>
      </c>
      <c r="F6608" s="61" t="n">
        <f aca="false">F6588</f>
        <v>3402</v>
      </c>
      <c r="G6608" s="61" t="n">
        <f aca="false">G6588</f>
        <v>4860</v>
      </c>
      <c r="H6608" s="2" t="s">
        <v>1290</v>
      </c>
    </row>
    <row r="6609" customFormat="false" ht="15" hidden="false" customHeight="false" outlineLevel="1" collapsed="false">
      <c r="A6609" s="7" t="s">
        <v>634</v>
      </c>
      <c r="B6609" s="8" t="s">
        <v>11</v>
      </c>
      <c r="C6609" s="61" t="n">
        <f aca="false">C6590-C6624</f>
        <v>0</v>
      </c>
      <c r="D6609" s="61" t="n">
        <f aca="false">D6590-D6624</f>
        <v>10000</v>
      </c>
      <c r="E6609" s="61" t="n">
        <f aca="false">E6590-E6624</f>
        <v>30000</v>
      </c>
      <c r="F6609" s="61" t="n">
        <f aca="false">F6590-F6624</f>
        <v>60000</v>
      </c>
      <c r="G6609" s="61" t="n">
        <f aca="false">G6590-G6624</f>
        <v>100000</v>
      </c>
      <c r="H6609" s="2" t="s">
        <v>1291</v>
      </c>
    </row>
    <row r="6610" customFormat="false" ht="15" hidden="false" customHeight="false" outlineLevel="1" collapsed="false">
      <c r="A6610" s="7" t="s">
        <v>617</v>
      </c>
      <c r="B6610" s="8" t="s">
        <v>11</v>
      </c>
      <c r="C6610" s="61" t="n">
        <f aca="false">C6591</f>
        <v>0</v>
      </c>
      <c r="D6610" s="61" t="n">
        <f aca="false">D6591</f>
        <v>0</v>
      </c>
      <c r="E6610" s="61" t="n">
        <f aca="false">E6591</f>
        <v>0</v>
      </c>
      <c r="F6610" s="61" t="n">
        <f aca="false">F6591</f>
        <v>10000</v>
      </c>
      <c r="G6610" s="61" t="n">
        <f aca="false">G6591</f>
        <v>30000</v>
      </c>
      <c r="H6610" s="2" t="s">
        <v>1292</v>
      </c>
    </row>
    <row r="6611" customFormat="false" ht="15" hidden="false" customHeight="false" outlineLevel="1" collapsed="false">
      <c r="A6611" s="56" t="s">
        <v>635</v>
      </c>
      <c r="B6611" s="57" t="s">
        <v>11</v>
      </c>
      <c r="C6611" s="62" t="n">
        <f aca="false">C6603+C6607+C6608+C6609+C6610</f>
        <v>15340.1773972603</v>
      </c>
      <c r="D6611" s="62" t="n">
        <f aca="false">D6603+D6607+D6608+D6609+D6610</f>
        <v>77183.2234589044</v>
      </c>
      <c r="E6611" s="62" t="n">
        <f aca="false">E6603+E6607+E6608+E6609+E6610</f>
        <v>199069.844349316</v>
      </c>
      <c r="F6611" s="62" t="n">
        <f aca="false">F6603+F6607+F6608+F6609+F6610</f>
        <v>366141.195719179</v>
      </c>
      <c r="G6611" s="62" t="n">
        <f aca="false">G6603+G6607+G6608+G6609+G6610</f>
        <v>578589.621575343</v>
      </c>
      <c r="H6611" s="2" t="s">
        <v>1293</v>
      </c>
    </row>
    <row r="6612" customFormat="false" ht="15" hidden="false" customHeight="false" outlineLevel="0" collapsed="false">
      <c r="A6612" s="3" t="s">
        <v>1294</v>
      </c>
      <c r="B6612" s="4"/>
      <c r="C6612" s="4"/>
      <c r="D6612" s="4"/>
      <c r="E6612" s="4"/>
      <c r="F6612" s="4"/>
      <c r="G6612" s="4"/>
      <c r="H6612" s="4"/>
    </row>
    <row r="6613" customFormat="false" ht="15" hidden="false" customHeight="false" outlineLevel="1" collapsed="false">
      <c r="A6613" s="7" t="s">
        <v>686</v>
      </c>
      <c r="B6613" s="8" t="s">
        <v>11</v>
      </c>
      <c r="C6613" s="61" t="n">
        <f aca="false">C6491*1000*(C6509+C6512)+C6492*1000*(C6532+C6535)+C6494*1000*(C6555+C6558)</f>
        <v>245040</v>
      </c>
      <c r="D6613" s="61" t="n">
        <f aca="false">D6491*1000*(D6509+D6512)+D6492*1000*(D6532+D6535)+D6494*1000*(D6555+D6558)</f>
        <v>1599300</v>
      </c>
      <c r="E6613" s="61" t="n">
        <f aca="false">E6491*1000*(E6509+E6512)+E6492*1000*(E6532+E6535)+E6494*1000*(E6555+E6558)</f>
        <v>3248250</v>
      </c>
      <c r="F6613" s="61" t="n">
        <f aca="false">F6491*1000*(F6509+F6512)+F6492*1000*(F6532+F6535)+F6494*1000*(F6555+F6558)</f>
        <v>5393850</v>
      </c>
      <c r="G6613" s="61" t="n">
        <f aca="false">G6491*1000*(G6509+G6512)+G6492*1000*(G6532+G6535)+G6494*1000*(G6555+G6558)</f>
        <v>8110500</v>
      </c>
      <c r="H6613" s="2" t="s">
        <v>1295</v>
      </c>
    </row>
    <row r="6614" customFormat="false" ht="15" hidden="false" customHeight="false" outlineLevel="1" collapsed="false">
      <c r="A6614" s="7" t="s">
        <v>687</v>
      </c>
      <c r="B6614" s="8" t="s">
        <v>11</v>
      </c>
      <c r="C6614" s="61" t="n">
        <f aca="false">C6504*1000*Pressupostos!$C$92</f>
        <v>0</v>
      </c>
      <c r="D6614" s="61" t="n">
        <f aca="false">D6504*1000*Pressupostos!$C$92</f>
        <v>0</v>
      </c>
      <c r="E6614" s="61" t="n">
        <f aca="false">E6504*1000*Pressupostos!$C$92</f>
        <v>0</v>
      </c>
      <c r="F6614" s="61" t="n">
        <f aca="false">F6504*1000*Pressupostos!$C$92</f>
        <v>140000</v>
      </c>
      <c r="G6614" s="61" t="n">
        <f aca="false">G6504*1000*Pressupostos!$C$92</f>
        <v>350000</v>
      </c>
      <c r="H6614" s="2" t="s">
        <v>1296</v>
      </c>
    </row>
    <row r="6615" customFormat="false" ht="15" hidden="false" customHeight="false" outlineLevel="1" collapsed="false">
      <c r="A6615" s="7" t="s">
        <v>688</v>
      </c>
      <c r="B6615" s="8" t="s">
        <v>11</v>
      </c>
      <c r="C6615" s="61" t="n">
        <f aca="false">C6613+C6614</f>
        <v>245040</v>
      </c>
      <c r="D6615" s="61" t="n">
        <f aca="false">D6613+D6614</f>
        <v>1599300</v>
      </c>
      <c r="E6615" s="61" t="n">
        <f aca="false">E6613+E6614</f>
        <v>3248250</v>
      </c>
      <c r="F6615" s="61" t="n">
        <f aca="false">F6613+F6614</f>
        <v>5533850</v>
      </c>
      <c r="G6615" s="61" t="n">
        <f aca="false">G6613+G6614</f>
        <v>8460500</v>
      </c>
      <c r="H6615" s="2" t="s">
        <v>1297</v>
      </c>
    </row>
    <row r="6616" customFormat="false" ht="15" hidden="false" customHeight="false" outlineLevel="1" collapsed="false">
      <c r="A6616" s="7" t="s">
        <v>215</v>
      </c>
      <c r="B6616" s="8" t="s">
        <v>11</v>
      </c>
      <c r="C6616" s="61" t="n">
        <f aca="false">C6491*1000*(C6513)+C6492*1000*(C6536)+C6494*1000*(C6559)+C6504*1000*Pressupostos!$C$94</f>
        <v>7660</v>
      </c>
      <c r="D6616" s="61" t="n">
        <f aca="false">D6491*1000*(D6513)+D6492*1000*(D6536)+D6494*1000*(D6559)+D6504*1000*Pressupostos!$C$94</f>
        <v>45525</v>
      </c>
      <c r="E6616" s="61" t="n">
        <f aca="false">E6491*1000*(E6513)+E6492*1000*(E6536)+E6494*1000*(E6559)+E6504*1000*Pressupostos!$C$94</f>
        <v>87490</v>
      </c>
      <c r="F6616" s="61" t="n">
        <f aca="false">F6491*1000*(F6513)+F6492*1000*(F6536)+F6494*1000*(F6559)+F6504*1000*Pressupostos!$C$94</f>
        <v>148215</v>
      </c>
      <c r="G6616" s="61" t="n">
        <f aca="false">G6491*1000*(G6513)+G6492*1000*(G6536)+G6494*1000*(G6559)+G6504*1000*Pressupostos!$C$94</f>
        <v>223950</v>
      </c>
      <c r="H6616" s="2" t="s">
        <v>1298</v>
      </c>
    </row>
    <row r="6617" customFormat="false" ht="15" hidden="false" customHeight="false" outlineLevel="1" collapsed="false">
      <c r="A6617" s="7" t="s">
        <v>117</v>
      </c>
      <c r="B6617" s="8" t="s">
        <v>11</v>
      </c>
      <c r="C6617" s="61" t="n">
        <f aca="false">C6491*1000*(C6514)+C6492*1000*(C6537)+C6494*1000*(C6560)</f>
        <v>492</v>
      </c>
      <c r="D6617" s="61" t="n">
        <f aca="false">D6491*1000*(D6514)+D6492*1000*(D6537)+D6494*1000*(D6560)</f>
        <v>1845</v>
      </c>
      <c r="E6617" s="61" t="n">
        <f aca="false">E6491*1000*(E6514)+E6492*1000*(E6537)+E6494*1000*(E6560)</f>
        <v>4920</v>
      </c>
      <c r="F6617" s="61" t="n">
        <f aca="false">F6491*1000*(F6514)+F6492*1000*(F6537)+F6494*1000*(F6560)</f>
        <v>8610</v>
      </c>
      <c r="G6617" s="61" t="n">
        <f aca="false">G6491*1000*(G6514)+G6492*1000*(G6537)+G6494*1000*(G6560)</f>
        <v>12300</v>
      </c>
      <c r="H6617" s="2" t="s">
        <v>1299</v>
      </c>
    </row>
    <row r="6618" customFormat="false" ht="15" hidden="false" customHeight="false" outlineLevel="1" collapsed="false">
      <c r="A6618" s="7" t="s">
        <v>689</v>
      </c>
      <c r="B6618" s="8" t="s">
        <v>11</v>
      </c>
      <c r="C6618" s="61" t="n">
        <f aca="false">C6491*1000*(C6517+C6518)+C6492*1000*(C6540+C6541)+C6494*1000*(C6563+C6564)</f>
        <v>465.092602739726</v>
      </c>
      <c r="D6618" s="61" t="n">
        <f aca="false">D6491*1000*(D6517+D6518)+D6492*1000*(D6540+D6541)+D6494*1000*(D6563+D6564)</f>
        <v>2515.51643835616</v>
      </c>
      <c r="E6618" s="61" t="n">
        <f aca="false">E6491*1000*(E6517+E6518)+E6492*1000*(E6540+E6541)+E6494*1000*(E6563+E6564)</f>
        <v>3858.10684931507</v>
      </c>
      <c r="F6618" s="61" t="n">
        <f aca="false">F6491*1000*(F6517+F6518)+F6492*1000*(F6540+F6541)+F6494*1000*(F6563+F6564)</f>
        <v>6422.22671232877</v>
      </c>
      <c r="G6618" s="61" t="n">
        <f aca="false">G6491*1000*(G6517+G6518)+G6492*1000*(G6540+G6541)+G6494*1000*(G6563+G6564)</f>
        <v>9633.78767123288</v>
      </c>
      <c r="H6618" s="2" t="s">
        <v>1300</v>
      </c>
    </row>
    <row r="6619" customFormat="false" ht="15" hidden="false" customHeight="false" outlineLevel="1" collapsed="false">
      <c r="A6619" s="7" t="s">
        <v>690</v>
      </c>
      <c r="B6619" s="8" t="s">
        <v>11</v>
      </c>
      <c r="C6619" s="61" t="n">
        <f aca="false">C6491*1000*(C6519+C6520+C6521)+C6492*1000*(C6542+C6543+C6544)+C6494*1000*(C6565+C6566+C6567)</f>
        <v>2675.25</v>
      </c>
      <c r="D6619" s="61" t="n">
        <f aca="false">D6491*1000*(D6519+D6520+D6521)+D6492*1000*(D6542+D6543+D6544)+D6494*1000*(D6565+D6566+D6567)</f>
        <v>16920.1875</v>
      </c>
      <c r="E6619" s="61" t="n">
        <f aca="false">E6491*1000*(E6519+E6520+E6521)+E6492*1000*(E6542+E6543+E6544)+E6494*1000*(E6565+E6566+E6567)</f>
        <v>33722.5</v>
      </c>
      <c r="F6619" s="61" t="n">
        <f aca="false">F6491*1000*(F6519+F6520+F6521)+F6492*1000*(F6542+F6543+F6544)+F6494*1000*(F6565+F6566+F6567)</f>
        <v>56072.625</v>
      </c>
      <c r="G6619" s="61" t="n">
        <f aca="false">G6491*1000*(G6519+G6520+G6521)+G6492*1000*(G6542+G6543+G6544)+G6494*1000*(G6565+G6566+G6567)</f>
        <v>84203.75</v>
      </c>
      <c r="H6619" s="2" t="s">
        <v>1301</v>
      </c>
    </row>
    <row r="6620" customFormat="false" ht="15" hidden="false" customHeight="false" outlineLevel="1" collapsed="false">
      <c r="A6620" s="7" t="s">
        <v>673</v>
      </c>
      <c r="B6620" s="8" t="s">
        <v>11</v>
      </c>
      <c r="C6620" s="61" t="n">
        <f aca="false">C6491*1000*(C6522)+C6492*1000*(C6545)+C6494*1000*(C6568)</f>
        <v>2900</v>
      </c>
      <c r="D6620" s="61" t="n">
        <f aca="false">D6491*1000*(D6522)+D6492*1000*(D6545)+D6494*1000*(D6568)</f>
        <v>17595</v>
      </c>
      <c r="E6620" s="61" t="n">
        <f aca="false">E6491*1000*(E6522)+E6492*1000*(E6545)+E6494*1000*(E6568)</f>
        <v>36880</v>
      </c>
      <c r="F6620" s="61" t="n">
        <f aca="false">F6491*1000*(F6522)+F6492*1000*(F6545)+F6494*1000*(F6568)</f>
        <v>61670</v>
      </c>
      <c r="G6620" s="61" t="n">
        <f aca="false">G6491*1000*(G6522)+G6492*1000*(G6545)+G6494*1000*(G6568)</f>
        <v>92100</v>
      </c>
      <c r="H6620" s="2" t="s">
        <v>1302</v>
      </c>
    </row>
    <row r="6621" customFormat="false" ht="15" hidden="false" customHeight="false" outlineLevel="1" collapsed="false">
      <c r="A6621" s="7" t="s">
        <v>691</v>
      </c>
      <c r="B6621" s="8" t="s">
        <v>11</v>
      </c>
      <c r="C6621" s="61" t="n">
        <f aca="false">C6491*1000*(C6523)+C6492*1000*(C6546)+C6494*1000*(C6569)+C6504*1000*Pressupostos!$C$99</f>
        <v>342</v>
      </c>
      <c r="D6621" s="61" t="n">
        <f aca="false">D6491*1000*(D6523)+D6492*1000*(D6546)+D6494*1000*(D6569)+D6504*1000*Pressupostos!$C$99</f>
        <v>2122.5</v>
      </c>
      <c r="E6621" s="61" t="n">
        <f aca="false">E6491*1000*(E6523)+E6492*1000*(E6546)+E6494*1000*(E6569)+E6504*1000*Pressupostos!$C$99</f>
        <v>4405</v>
      </c>
      <c r="F6621" s="61" t="n">
        <f aca="false">F6491*1000*(F6523)+F6492*1000*(F6546)+F6494*1000*(F6569)+F6504*1000*Pressupostos!$C$99</f>
        <v>7950</v>
      </c>
      <c r="G6621" s="61" t="n">
        <f aca="false">G6491*1000*(G6523)+G6492*1000*(G6546)+G6494*1000*(G6569)+G6504*1000*Pressupostos!$C$99</f>
        <v>12500</v>
      </c>
      <c r="H6621" s="2" t="s">
        <v>1303</v>
      </c>
    </row>
    <row r="6622" customFormat="false" ht="15" hidden="false" customHeight="false" outlineLevel="1" collapsed="false">
      <c r="A6622" s="7" t="s">
        <v>81</v>
      </c>
      <c r="B6622" s="8" t="s">
        <v>11</v>
      </c>
      <c r="C6622" s="61" t="n">
        <f aca="false">C6491*1000*(C6524)+C6492*1000*(C6547)+C6494*1000*(C6570)+C6504*1000*Pressupostos!$C$98*Pressupostos!$C$93</f>
        <v>959.88</v>
      </c>
      <c r="D6622" s="61" t="n">
        <f aca="false">D6491*1000*(D6524)+D6492*1000*(D6547)+D6494*1000*(D6570)+D6504*1000*Pressupostos!$C$98*Pressupostos!$C$93</f>
        <v>5842.35</v>
      </c>
      <c r="E6622" s="61" t="n">
        <f aca="false">E6491*1000*(E6524)+E6492*1000*(E6547)+E6494*1000*(E6570)+E6504*1000*Pressupostos!$C$98*Pressupostos!$C$93</f>
        <v>12228.75</v>
      </c>
      <c r="F6622" s="61" t="n">
        <f aca="false">F6491*1000*(F6524)+F6492*1000*(F6547)+F6494*1000*(F6570)+F6504*1000*Pressupostos!$C$98*Pressupostos!$C$93</f>
        <v>21384.45</v>
      </c>
      <c r="G6622" s="61" t="n">
        <f aca="false">G6491*1000*(G6524)+G6492*1000*(G6547)+G6494*1000*(G6570)+G6504*1000*Pressupostos!$C$98*Pressupostos!$C$93</f>
        <v>32893.5</v>
      </c>
      <c r="H6622" s="2" t="s">
        <v>1304</v>
      </c>
    </row>
    <row r="6623" customFormat="false" ht="15" hidden="false" customHeight="false" outlineLevel="1" collapsed="false">
      <c r="A6623" s="7" t="s">
        <v>692</v>
      </c>
      <c r="B6623" s="8" t="s">
        <v>11</v>
      </c>
      <c r="C6623" s="61" t="n">
        <f aca="false">C6491*1000*(C6525)+C6492*1000*(C6548)+C6494*1000*(C6571)+C6504*1000*Pressupostos!$F$29*Pressupostos!$C$92</f>
        <v>0</v>
      </c>
      <c r="D6623" s="61" t="n">
        <f aca="false">D6491*1000*(D6525)+D6492*1000*(D6548)+D6494*1000*(D6571)+D6504*1000*Pressupostos!$F$29*Pressupostos!$C$92</f>
        <v>0</v>
      </c>
      <c r="E6623" s="61" t="n">
        <f aca="false">E6491*1000*(E6525)+E6492*1000*(E6548)+E6494*1000*(E6571)+E6504*1000*Pressupostos!$F$29*Pressupostos!$C$92</f>
        <v>0</v>
      </c>
      <c r="F6623" s="61" t="n">
        <f aca="false">F6491*1000*(F6525)+F6492*1000*(F6548)+F6494*1000*(F6571)+F6504*1000*Pressupostos!$F$29*Pressupostos!$C$92</f>
        <v>420</v>
      </c>
      <c r="G6623" s="61" t="n">
        <f aca="false">G6491*1000*(G6525)+G6492*1000*(G6548)+G6494*1000*(G6571)+G6504*1000*Pressupostos!$F$29*Pressupostos!$C$92</f>
        <v>1050</v>
      </c>
      <c r="H6623" s="2" t="s">
        <v>1305</v>
      </c>
    </row>
    <row r="6624" customFormat="false" ht="15" hidden="false" customHeight="false" outlineLevel="1" collapsed="false">
      <c r="A6624" s="7" t="s">
        <v>693</v>
      </c>
      <c r="B6624" s="8" t="s">
        <v>11</v>
      </c>
      <c r="C6624" s="61" t="n">
        <f aca="false">C6507*1000*Pressupostos!$C$104*Pressupostos!$F$30</f>
        <v>0</v>
      </c>
      <c r="D6624" s="61" t="n">
        <f aca="false">D6507*1000*Pressupostos!$C$104*Pressupostos!$F$30</f>
        <v>0</v>
      </c>
      <c r="E6624" s="61" t="n">
        <f aca="false">E6507*1000*Pressupostos!$C$104*Pressupostos!$F$30</f>
        <v>0</v>
      </c>
      <c r="F6624" s="61" t="n">
        <f aca="false">F6507*1000*Pressupostos!$C$104*Pressupostos!$F$30</f>
        <v>0</v>
      </c>
      <c r="G6624" s="61" t="n">
        <f aca="false">G6507*1000*Pressupostos!$C$104*Pressupostos!$F$30</f>
        <v>0</v>
      </c>
      <c r="H6624" s="2" t="s">
        <v>1306</v>
      </c>
    </row>
    <row r="6625" customFormat="false" ht="15" hidden="false" customHeight="false" outlineLevel="1" collapsed="false">
      <c r="A6625" s="7" t="s">
        <v>694</v>
      </c>
      <c r="B6625" s="8" t="s">
        <v>11</v>
      </c>
      <c r="C6625" s="61" t="n">
        <f aca="false">C6495*1000*C6579</f>
        <v>0</v>
      </c>
      <c r="D6625" s="61" t="n">
        <f aca="false">D6495*1000*D6579</f>
        <v>9500</v>
      </c>
      <c r="E6625" s="61" t="n">
        <f aca="false">E6495*1000*E6579</f>
        <v>28500</v>
      </c>
      <c r="F6625" s="61" t="n">
        <f aca="false">F6495*1000*F6579</f>
        <v>47500</v>
      </c>
      <c r="G6625" s="61" t="n">
        <f aca="false">G6495*1000*G6579</f>
        <v>66500</v>
      </c>
      <c r="H6625" s="2" t="s">
        <v>1307</v>
      </c>
    </row>
    <row r="6626" customFormat="false" ht="15" hidden="false" customHeight="false" outlineLevel="1" collapsed="false">
      <c r="A6626" s="7" t="s">
        <v>695</v>
      </c>
      <c r="B6626" s="8" t="s">
        <v>11</v>
      </c>
      <c r="C6626" s="61" t="n">
        <f aca="false">C6616+C6617+C6618+C6619+C6620+C6621+C6622+C6623+C6624+C6625</f>
        <v>15494.2226027397</v>
      </c>
      <c r="D6626" s="61" t="n">
        <f aca="false">D6616+D6617+D6618+D6619+D6620+D6621+D6622+D6623+D6624+D6625</f>
        <v>101865.553938356</v>
      </c>
      <c r="E6626" s="61" t="n">
        <f aca="false">E6616+E6617+E6618+E6619+E6620+E6621+E6622+E6623+E6624+E6625</f>
        <v>212004.356849315</v>
      </c>
      <c r="F6626" s="61" t="n">
        <f aca="false">F6616+F6617+F6618+F6619+F6620+F6621+F6622+F6623+F6624+F6625</f>
        <v>358244.301712329</v>
      </c>
      <c r="G6626" s="61" t="n">
        <f aca="false">G6616+G6617+G6618+G6619+G6620+G6621+G6622+G6623+G6624+G6625</f>
        <v>535131.037671233</v>
      </c>
      <c r="H6626" s="2" t="s">
        <v>1308</v>
      </c>
    </row>
    <row r="6627" customFormat="false" ht="15" hidden="false" customHeight="false" outlineLevel="1" collapsed="false">
      <c r="A6627" s="7" t="s">
        <v>696</v>
      </c>
      <c r="B6627" s="8" t="s">
        <v>11</v>
      </c>
      <c r="C6627" s="61" t="n">
        <f aca="false">C6491*1000*(C6526)+C6492*1000*(C6549)+C6494*1000*(C6572)</f>
        <v>0</v>
      </c>
      <c r="D6627" s="61" t="n">
        <f aca="false">D6491*1000*(D6526)+D6492*1000*(D6549)+D6494*1000*(D6572)</f>
        <v>26905.2226027397</v>
      </c>
      <c r="E6627" s="61" t="n">
        <f aca="false">E6491*1000*(E6526)+E6492*1000*(E6549)+E6494*1000*(E6572)</f>
        <v>45444.7988013699</v>
      </c>
      <c r="F6627" s="61" t="n">
        <f aca="false">F6491*1000*(F6526)+F6492*1000*(F6549)+F6494*1000*(F6572)</f>
        <v>75423.3518835616</v>
      </c>
      <c r="G6627" s="61" t="n">
        <f aca="false">G6491*1000*(G6526)+G6492*1000*(G6549)+G6494*1000*(G6572)</f>
        <v>113468.964041096</v>
      </c>
      <c r="H6627" s="2" t="s">
        <v>1309</v>
      </c>
    </row>
    <row r="6628" customFormat="false" ht="15" hidden="false" customHeight="false" outlineLevel="1" collapsed="false">
      <c r="A6628" s="7" t="s">
        <v>697</v>
      </c>
      <c r="B6628" s="8" t="s">
        <v>11</v>
      </c>
      <c r="C6628" s="61" t="n">
        <f aca="false">C6504*1000*C6606</f>
        <v>0</v>
      </c>
      <c r="D6628" s="61" t="n">
        <f aca="false">D6504*1000*D6606</f>
        <v>0</v>
      </c>
      <c r="E6628" s="61" t="n">
        <f aca="false">E6504*1000*E6606</f>
        <v>0</v>
      </c>
      <c r="F6628" s="61" t="n">
        <f aca="false">F6504*1000*F6606</f>
        <v>1618.15068493151</v>
      </c>
      <c r="G6628" s="61" t="n">
        <f aca="false">G6504*1000*G6606</f>
        <v>4045.37671232877</v>
      </c>
      <c r="H6628" s="2" t="s">
        <v>1310</v>
      </c>
    </row>
    <row r="6629" customFormat="false" ht="15" hidden="false" customHeight="false" outlineLevel="1" collapsed="false">
      <c r="A6629" s="7" t="s">
        <v>698</v>
      </c>
      <c r="B6629" s="8" t="s">
        <v>11</v>
      </c>
      <c r="C6629" s="61" t="n">
        <f aca="false">C6627+C6628</f>
        <v>0</v>
      </c>
      <c r="D6629" s="61" t="n">
        <f aca="false">D6627+D6628</f>
        <v>26905.2226027397</v>
      </c>
      <c r="E6629" s="61" t="n">
        <f aca="false">E6627+E6628</f>
        <v>45444.7988013699</v>
      </c>
      <c r="F6629" s="61" t="n">
        <f aca="false">F6627+F6628</f>
        <v>77041.5025684932</v>
      </c>
      <c r="G6629" s="61" t="n">
        <f aca="false">G6627+G6628</f>
        <v>117514.340753425</v>
      </c>
      <c r="H6629" s="2" t="s">
        <v>1311</v>
      </c>
    </row>
    <row r="6630" customFormat="false" ht="15" hidden="false" customHeight="false" outlineLevel="1" collapsed="false">
      <c r="A6630" s="8" t="s">
        <v>699</v>
      </c>
      <c r="B6630" s="8" t="s">
        <v>11</v>
      </c>
      <c r="C6630" s="70" t="n">
        <f aca="false">ROUND(C6592-C6615-C6626-C6629-C6611,6)</f>
        <v>0</v>
      </c>
      <c r="D6630" s="70" t="n">
        <f aca="false">ROUND(D6592-D6615-D6626-D6629-D6611,6)</f>
        <v>-0</v>
      </c>
      <c r="E6630" s="70" t="n">
        <f aca="false">ROUND(E6592-E6615-E6626-E6629-E6611,6)</f>
        <v>-0</v>
      </c>
      <c r="F6630" s="70" t="n">
        <f aca="false">ROUND(F6592-F6615-F6626-F6629-F6611,6)</f>
        <v>-0</v>
      </c>
      <c r="G6630" s="70" t="n">
        <f aca="false">ROUND(G6592-G6615-G6626-G6629-G6611,6)</f>
        <v>0</v>
      </c>
      <c r="H6630" s="2" t="s">
        <v>1312</v>
      </c>
    </row>
    <row r="6631" customFormat="false" ht="15" hidden="false" customHeight="false" outlineLevel="0" collapsed="false">
      <c r="A6631" s="3" t="s">
        <v>1313</v>
      </c>
      <c r="B6631" s="4"/>
      <c r="C6631" s="4"/>
      <c r="D6631" s="4"/>
      <c r="E6631" s="4"/>
      <c r="F6631" s="4"/>
      <c r="G6631" s="4"/>
      <c r="H6631" s="4"/>
    </row>
    <row r="6632" customFormat="false" ht="15" hidden="false" customHeight="false" outlineLevel="1" collapsed="false">
      <c r="A6632" s="7" t="s">
        <v>638</v>
      </c>
      <c r="B6632" s="8" t="s">
        <v>432</v>
      </c>
      <c r="C6632" s="64" t="n">
        <f aca="false">Pressupostos!$C$334</f>
        <v>1</v>
      </c>
      <c r="D6632" s="64" t="n">
        <f aca="false">Pressupostos!$D$334</f>
        <v>1</v>
      </c>
      <c r="E6632" s="64" t="n">
        <f aca="false">Pressupostos!$E$334</f>
        <v>1</v>
      </c>
      <c r="F6632" s="64" t="n">
        <f aca="false">Pressupostos!$F$334</f>
        <v>1</v>
      </c>
      <c r="G6632" s="64" t="n">
        <f aca="false">Pressupostos!$G$334</f>
        <v>1</v>
      </c>
      <c r="H6632" s="2" t="s">
        <v>1314</v>
      </c>
    </row>
    <row r="6633" customFormat="false" ht="15" hidden="false" customHeight="false" outlineLevel="1" collapsed="false">
      <c r="A6633" s="7" t="s">
        <v>639</v>
      </c>
      <c r="B6633" s="8" t="s">
        <v>432</v>
      </c>
      <c r="C6633" s="64" t="n">
        <f aca="false">Pressupostos!$C$340</f>
        <v>1</v>
      </c>
      <c r="D6633" s="64" t="n">
        <f aca="false">Pressupostos!$D$340</f>
        <v>1</v>
      </c>
      <c r="E6633" s="64" t="n">
        <f aca="false">Pressupostos!$E$340</f>
        <v>1</v>
      </c>
      <c r="F6633" s="64" t="n">
        <f aca="false">Pressupostos!$F$340</f>
        <v>1</v>
      </c>
      <c r="G6633" s="64" t="n">
        <f aca="false">Pressupostos!$G$340</f>
        <v>1</v>
      </c>
      <c r="H6633" s="2" t="s">
        <v>1315</v>
      </c>
    </row>
    <row r="6634" customFormat="false" ht="15" hidden="false" customHeight="false" outlineLevel="1" collapsed="false">
      <c r="A6634" s="7" t="s">
        <v>640</v>
      </c>
      <c r="B6634" s="8" t="s">
        <v>432</v>
      </c>
      <c r="C6634" s="64" t="n">
        <f aca="false">Pressupostos!$C$346</f>
        <v>0</v>
      </c>
      <c r="D6634" s="64" t="n">
        <f aca="false">Pressupostos!$D$346</f>
        <v>1</v>
      </c>
      <c r="E6634" s="64" t="n">
        <f aca="false">Pressupostos!$E$346</f>
        <v>1</v>
      </c>
      <c r="F6634" s="64" t="n">
        <f aca="false">Pressupostos!$F$346</f>
        <v>1</v>
      </c>
      <c r="G6634" s="64" t="n">
        <f aca="false">Pressupostos!$G$346</f>
        <v>1</v>
      </c>
      <c r="H6634" s="2" t="s">
        <v>1316</v>
      </c>
    </row>
    <row r="6635" customFormat="false" ht="15" hidden="false" customHeight="false" outlineLevel="1" collapsed="false">
      <c r="A6635" s="7" t="s">
        <v>641</v>
      </c>
      <c r="B6635" s="8" t="s">
        <v>432</v>
      </c>
      <c r="C6635" s="64" t="n">
        <f aca="false">Pressupostos!$C$352</f>
        <v>0.5</v>
      </c>
      <c r="D6635" s="64" t="n">
        <f aca="false">Pressupostos!$D$352</f>
        <v>1</v>
      </c>
      <c r="E6635" s="64" t="n">
        <f aca="false">Pressupostos!$E$352</f>
        <v>1</v>
      </c>
      <c r="F6635" s="64" t="n">
        <f aca="false">Pressupostos!$F$352</f>
        <v>1</v>
      </c>
      <c r="G6635" s="64" t="n">
        <f aca="false">Pressupostos!$G$352</f>
        <v>1</v>
      </c>
      <c r="H6635" s="2" t="s">
        <v>1317</v>
      </c>
    </row>
    <row r="6636" customFormat="false" ht="15" hidden="false" customHeight="false" outlineLevel="1" collapsed="false">
      <c r="A6636" s="7" t="s">
        <v>642</v>
      </c>
      <c r="B6636" s="8" t="s">
        <v>432</v>
      </c>
      <c r="C6636" s="64" t="n">
        <f aca="false">Pressupostos!$C$358</f>
        <v>0.5</v>
      </c>
      <c r="D6636" s="64" t="n">
        <f aca="false">Pressupostos!$D$358</f>
        <v>0.5</v>
      </c>
      <c r="E6636" s="64" t="n">
        <f aca="false">Pressupostos!$E$358</f>
        <v>0.5</v>
      </c>
      <c r="F6636" s="64" t="n">
        <f aca="false">Pressupostos!$F$358</f>
        <v>1</v>
      </c>
      <c r="G6636" s="64" t="n">
        <f aca="false">Pressupostos!$G$358</f>
        <v>1</v>
      </c>
      <c r="H6636" s="2" t="s">
        <v>1318</v>
      </c>
    </row>
    <row r="6637" customFormat="false" ht="15" hidden="false" customHeight="false" outlineLevel="1" collapsed="false">
      <c r="A6637" s="7" t="s">
        <v>643</v>
      </c>
      <c r="B6637" s="8" t="s">
        <v>432</v>
      </c>
      <c r="C6637" s="64" t="n">
        <f aca="false">Pressupostos!$C$364</f>
        <v>1</v>
      </c>
      <c r="D6637" s="64" t="n">
        <f aca="false">Pressupostos!$D$364</f>
        <v>1</v>
      </c>
      <c r="E6637" s="64" t="n">
        <f aca="false">Pressupostos!$E$364</f>
        <v>1</v>
      </c>
      <c r="F6637" s="64" t="n">
        <f aca="false">Pressupostos!$F$364</f>
        <v>1</v>
      </c>
      <c r="G6637" s="64" t="n">
        <f aca="false">Pressupostos!$G$364</f>
        <v>1</v>
      </c>
      <c r="H6637" s="2" t="s">
        <v>1319</v>
      </c>
    </row>
    <row r="6638" customFormat="false" ht="15" hidden="false" customHeight="false" outlineLevel="1" collapsed="false">
      <c r="A6638" s="7" t="s">
        <v>644</v>
      </c>
      <c r="B6638" s="8" t="s">
        <v>432</v>
      </c>
      <c r="C6638" s="64" t="n">
        <f aca="false">Pressupostos!$C$370</f>
        <v>0.5</v>
      </c>
      <c r="D6638" s="64" t="n">
        <f aca="false">Pressupostos!$D$370</f>
        <v>1</v>
      </c>
      <c r="E6638" s="64" t="n">
        <f aca="false">Pressupostos!$E$370</f>
        <v>1</v>
      </c>
      <c r="F6638" s="64" t="n">
        <f aca="false">Pressupostos!$F$370</f>
        <v>1</v>
      </c>
      <c r="G6638" s="64" t="n">
        <f aca="false">Pressupostos!$G$370</f>
        <v>1</v>
      </c>
      <c r="H6638" s="2" t="s">
        <v>1320</v>
      </c>
    </row>
    <row r="6639" customFormat="false" ht="15" hidden="false" customHeight="false" outlineLevel="1" collapsed="false">
      <c r="A6639" s="7" t="s">
        <v>645</v>
      </c>
      <c r="B6639" s="8" t="s">
        <v>432</v>
      </c>
      <c r="C6639" s="64" t="n">
        <f aca="false">Pressupostos!$C$376</f>
        <v>1</v>
      </c>
      <c r="D6639" s="64" t="n">
        <f aca="false">Pressupostos!$D$376</f>
        <v>1</v>
      </c>
      <c r="E6639" s="64" t="n">
        <f aca="false">Pressupostos!$E$376</f>
        <v>1</v>
      </c>
      <c r="F6639" s="64" t="n">
        <f aca="false">Pressupostos!$F$376</f>
        <v>2</v>
      </c>
      <c r="G6639" s="64" t="n">
        <f aca="false">Pressupostos!$G$376</f>
        <v>3</v>
      </c>
      <c r="H6639" s="2" t="s">
        <v>1321</v>
      </c>
    </row>
    <row r="6640" customFormat="false" ht="15" hidden="false" customHeight="false" outlineLevel="1" collapsed="false">
      <c r="A6640" s="7" t="s">
        <v>646</v>
      </c>
      <c r="B6640" s="8" t="s">
        <v>432</v>
      </c>
      <c r="C6640" s="64" t="n">
        <f aca="false">Pressupostos!$C$382</f>
        <v>0</v>
      </c>
      <c r="D6640" s="64" t="n">
        <f aca="false">Pressupostos!$D$382</f>
        <v>0</v>
      </c>
      <c r="E6640" s="64" t="n">
        <f aca="false">Pressupostos!$E$382</f>
        <v>0</v>
      </c>
      <c r="F6640" s="64" t="n">
        <f aca="false">Pressupostos!$F$382</f>
        <v>0</v>
      </c>
      <c r="G6640" s="64" t="n">
        <f aca="false">Pressupostos!$G$382</f>
        <v>0</v>
      </c>
      <c r="H6640" s="2" t="s">
        <v>1322</v>
      </c>
    </row>
    <row r="6641" customFormat="false" ht="15" hidden="false" customHeight="false" outlineLevel="1" collapsed="false">
      <c r="A6641" s="7" t="s">
        <v>647</v>
      </c>
      <c r="B6641" s="8" t="s">
        <v>432</v>
      </c>
      <c r="C6641" s="64" t="n">
        <f aca="false">Pressupostos!$C$388</f>
        <v>0</v>
      </c>
      <c r="D6641" s="64" t="n">
        <f aca="false">Pressupostos!$D$388</f>
        <v>0</v>
      </c>
      <c r="E6641" s="64" t="n">
        <f aca="false">Pressupostos!$E$388</f>
        <v>0</v>
      </c>
      <c r="F6641" s="64" t="n">
        <f aca="false">Pressupostos!$F$388</f>
        <v>0</v>
      </c>
      <c r="G6641" s="64" t="n">
        <f aca="false">Pressupostos!$G$388</f>
        <v>0</v>
      </c>
      <c r="H6641" s="2" t="s">
        <v>1323</v>
      </c>
    </row>
    <row r="6642" customFormat="false" ht="15" hidden="false" customHeight="false" outlineLevel="1" collapsed="false">
      <c r="A6642" s="7" t="s">
        <v>648</v>
      </c>
      <c r="B6642" s="8" t="s">
        <v>432</v>
      </c>
      <c r="C6642" s="64" t="n">
        <f aca="false">Pressupostos!$C$394</f>
        <v>0</v>
      </c>
      <c r="D6642" s="64" t="n">
        <f aca="false">Pressupostos!$D$394</f>
        <v>0</v>
      </c>
      <c r="E6642" s="64" t="n">
        <f aca="false">Pressupostos!$E$394</f>
        <v>0</v>
      </c>
      <c r="F6642" s="64" t="n">
        <f aca="false">Pressupostos!$F$394</f>
        <v>1</v>
      </c>
      <c r="G6642" s="64" t="n">
        <f aca="false">Pressupostos!$G$394</f>
        <v>1</v>
      </c>
      <c r="H6642" s="2" t="s">
        <v>1324</v>
      </c>
    </row>
    <row r="6643" customFormat="false" ht="15" hidden="false" customHeight="false" outlineLevel="1" collapsed="false">
      <c r="A6643" s="7" t="s">
        <v>649</v>
      </c>
      <c r="B6643" s="8" t="s">
        <v>432</v>
      </c>
      <c r="C6643" s="64" t="n">
        <f aca="false">Pressupostos!$C$400</f>
        <v>0</v>
      </c>
      <c r="D6643" s="64" t="n">
        <f aca="false">Pressupostos!$D$400</f>
        <v>0</v>
      </c>
      <c r="E6643" s="64" t="n">
        <f aca="false">Pressupostos!$E$400</f>
        <v>1</v>
      </c>
      <c r="F6643" s="64" t="n">
        <f aca="false">Pressupostos!$F$400</f>
        <v>1</v>
      </c>
      <c r="G6643" s="64" t="n">
        <f aca="false">Pressupostos!$G$400</f>
        <v>1</v>
      </c>
      <c r="H6643" s="2" t="s">
        <v>1325</v>
      </c>
    </row>
    <row r="6644" customFormat="false" ht="15" hidden="false" customHeight="false" outlineLevel="1" collapsed="false">
      <c r="A6644" s="56" t="s">
        <v>650</v>
      </c>
      <c r="B6644" s="57" t="s">
        <v>432</v>
      </c>
      <c r="C6644" s="65" t="n">
        <f aca="false">C6632+C6633+C6634+C6635+C6636+C6637+C6638+C6639+C6640+C6641+C6642+C6643</f>
        <v>5.5</v>
      </c>
      <c r="D6644" s="65" t="n">
        <f aca="false">D6632+D6633+D6634+D6635+D6636+D6637+D6638+D6639+D6640+D6641+D6642+D6643</f>
        <v>7.5</v>
      </c>
      <c r="E6644" s="65" t="n">
        <f aca="false">E6632+E6633+E6634+E6635+E6636+E6637+E6638+E6639+E6640+E6641+E6642+E6643</f>
        <v>8.5</v>
      </c>
      <c r="F6644" s="65" t="n">
        <f aca="false">F6632+F6633+F6634+F6635+F6636+F6637+F6638+F6639+F6640+F6641+F6642+F6643</f>
        <v>11</v>
      </c>
      <c r="G6644" s="65" t="n">
        <f aca="false">G6632+G6633+G6634+G6635+G6636+G6637+G6638+G6639+G6640+G6641+G6642+G6643</f>
        <v>12</v>
      </c>
      <c r="H6644" s="2" t="s">
        <v>1326</v>
      </c>
    </row>
    <row r="6645" customFormat="false" ht="15" hidden="false" customHeight="false" outlineLevel="0" collapsed="false">
      <c r="A6645" s="3" t="s">
        <v>1327</v>
      </c>
      <c r="B6645" s="4"/>
      <c r="C6645" s="4"/>
      <c r="D6645" s="4"/>
      <c r="E6645" s="4"/>
      <c r="F6645" s="4"/>
      <c r="G6645" s="4"/>
      <c r="H6645" s="4"/>
    </row>
    <row r="6646" customFormat="false" ht="15" hidden="false" customHeight="false" outlineLevel="1" collapsed="false">
      <c r="A6646" s="7" t="s">
        <v>638</v>
      </c>
      <c r="B6646" s="8" t="s">
        <v>11</v>
      </c>
      <c r="C6646" s="61" t="n">
        <f aca="false">C6632*Pressupostos!$C$131*(1+Pressupostos!$C$127)^0*(1+Pressupostos!$C$132)*Pressupostos!$C$128</f>
        <v>43998</v>
      </c>
      <c r="D6646" s="61" t="n">
        <f aca="false">D6632*Pressupostos!$C$131*(1+Pressupostos!$C$127)^1*(1+Pressupostos!$C$132)</f>
        <v>61800</v>
      </c>
      <c r="E6646" s="61" t="n">
        <f aca="false">E6632*Pressupostos!$C$131*(1+Pressupostos!$C$127)^2*(1+Pressupostos!$C$132)</f>
        <v>63654</v>
      </c>
      <c r="F6646" s="61" t="n">
        <f aca="false">F6632*Pressupostos!$C$131*(1+Pressupostos!$C$127)^3*(1+Pressupostos!$C$132)</f>
        <v>65563.62</v>
      </c>
      <c r="G6646" s="61" t="n">
        <f aca="false">G6632*Pressupostos!$C$131*(1+Pressupostos!$C$127)^4*(1+Pressupostos!$C$132)</f>
        <v>67530.5286</v>
      </c>
      <c r="H6646" s="2" t="s">
        <v>1328</v>
      </c>
    </row>
    <row r="6647" customFormat="false" ht="15" hidden="false" customHeight="false" outlineLevel="1" collapsed="false">
      <c r="A6647" s="7" t="s">
        <v>639</v>
      </c>
      <c r="B6647" s="8" t="s">
        <v>11</v>
      </c>
      <c r="C6647" s="61" t="n">
        <f aca="false">C6633*Pressupostos!$C$133*(1+Pressupostos!$C$127)^0*(1+Pressupostos!$C$134)*Pressupostos!$C$128</f>
        <v>47664.5</v>
      </c>
      <c r="D6647" s="61" t="n">
        <f aca="false">D6633*Pressupostos!$C$133*(1+Pressupostos!$C$127)^1*(1+Pressupostos!$C$134)</f>
        <v>66950</v>
      </c>
      <c r="E6647" s="61" t="n">
        <f aca="false">E6633*Pressupostos!$C$133*(1+Pressupostos!$C$127)^2*(1+Pressupostos!$C$134)</f>
        <v>68958.5</v>
      </c>
      <c r="F6647" s="61" t="n">
        <f aca="false">F6633*Pressupostos!$C$133*(1+Pressupostos!$C$127)^3*(1+Pressupostos!$C$134)</f>
        <v>71027.255</v>
      </c>
      <c r="G6647" s="61" t="n">
        <f aca="false">G6633*Pressupostos!$C$133*(1+Pressupostos!$C$127)^4*(1+Pressupostos!$C$134)</f>
        <v>73158.07265</v>
      </c>
      <c r="H6647" s="2" t="s">
        <v>1329</v>
      </c>
    </row>
    <row r="6648" customFormat="false" ht="15" hidden="false" customHeight="false" outlineLevel="1" collapsed="false">
      <c r="A6648" s="7" t="s">
        <v>640</v>
      </c>
      <c r="B6648" s="8" t="s">
        <v>11</v>
      </c>
      <c r="C6648" s="61" t="n">
        <f aca="false">C6634*Pressupostos!$C$135*(1+Pressupostos!$C$127)^0*(1+Pressupostos!$C$136)</f>
        <v>0</v>
      </c>
      <c r="D6648" s="61" t="n">
        <f aca="false">D6634*Pressupostos!$C$135*(1+Pressupostos!$C$127)^1*(1+Pressupostos!$C$136)</f>
        <v>46350</v>
      </c>
      <c r="E6648" s="61" t="n">
        <f aca="false">E6634*Pressupostos!$C$135*(1+Pressupostos!$C$127)^2*(1+Pressupostos!$C$136)</f>
        <v>47740.5</v>
      </c>
      <c r="F6648" s="61" t="n">
        <f aca="false">F6634*Pressupostos!$C$135*(1+Pressupostos!$C$127)^3*(1+Pressupostos!$C$136)</f>
        <v>49172.715</v>
      </c>
      <c r="G6648" s="61" t="n">
        <f aca="false">G6634*Pressupostos!$C$135*(1+Pressupostos!$C$127)^4*(1+Pressupostos!$C$136)</f>
        <v>50647.89645</v>
      </c>
      <c r="H6648" s="2" t="s">
        <v>1330</v>
      </c>
    </row>
    <row r="6649" customFormat="false" ht="15" hidden="false" customHeight="false" outlineLevel="1" collapsed="false">
      <c r="A6649" s="7" t="s">
        <v>641</v>
      </c>
      <c r="B6649" s="8" t="s">
        <v>11</v>
      </c>
      <c r="C6649" s="61" t="n">
        <f aca="false">C6635*Pressupostos!$C$137*(1+Pressupostos!$C$127)^0*(1+Pressupostos!$C$138)</f>
        <v>30000</v>
      </c>
      <c r="D6649" s="61" t="n">
        <f aca="false">D6635*Pressupostos!$C$137*(1+Pressupostos!$C$127)^1*(1+Pressupostos!$C$138)</f>
        <v>61800</v>
      </c>
      <c r="E6649" s="61" t="n">
        <f aca="false">E6635*Pressupostos!$C$137*(1+Pressupostos!$C$127)^2*(1+Pressupostos!$C$138)</f>
        <v>63654</v>
      </c>
      <c r="F6649" s="61" t="n">
        <f aca="false">F6635*Pressupostos!$C$137*(1+Pressupostos!$C$127)^3*(1+Pressupostos!$C$138)</f>
        <v>65563.62</v>
      </c>
      <c r="G6649" s="61" t="n">
        <f aca="false">G6635*Pressupostos!$C$137*(1+Pressupostos!$C$127)^4*(1+Pressupostos!$C$138)</f>
        <v>67530.5286</v>
      </c>
      <c r="H6649" s="2" t="s">
        <v>1331</v>
      </c>
    </row>
    <row r="6650" customFormat="false" ht="15" hidden="false" customHeight="false" outlineLevel="1" collapsed="false">
      <c r="A6650" s="7" t="s">
        <v>642</v>
      </c>
      <c r="B6650" s="8" t="s">
        <v>11</v>
      </c>
      <c r="C6650" s="61" t="n">
        <f aca="false">C6636*Pressupostos!$C$139*(1+Pressupostos!$C$127)^0*(1+Pressupostos!$C$140)</f>
        <v>22500</v>
      </c>
      <c r="D6650" s="61" t="n">
        <f aca="false">D6636*Pressupostos!$C$139*(1+Pressupostos!$C$127)^1*(1+Pressupostos!$C$140)</f>
        <v>23175</v>
      </c>
      <c r="E6650" s="61" t="n">
        <f aca="false">E6636*Pressupostos!$C$139*(1+Pressupostos!$C$127)^2*(1+Pressupostos!$C$140)</f>
        <v>23870.25</v>
      </c>
      <c r="F6650" s="61" t="n">
        <f aca="false">F6636*Pressupostos!$C$139*(1+Pressupostos!$C$127)^3*(1+Pressupostos!$C$140)</f>
        <v>49172.715</v>
      </c>
      <c r="G6650" s="61" t="n">
        <f aca="false">G6636*Pressupostos!$C$139*(1+Pressupostos!$C$127)^4*(1+Pressupostos!$C$140)</f>
        <v>50647.89645</v>
      </c>
      <c r="H6650" s="2" t="s">
        <v>1332</v>
      </c>
    </row>
    <row r="6651" customFormat="false" ht="15" hidden="false" customHeight="false" outlineLevel="1" collapsed="false">
      <c r="A6651" s="7" t="s">
        <v>643</v>
      </c>
      <c r="B6651" s="8" t="s">
        <v>11</v>
      </c>
      <c r="C6651" s="61" t="n">
        <f aca="false">C6637*Pressupostos!$C$141*(1+Pressupostos!$C$127)^0*(1+Pressupostos!$C$142)</f>
        <v>38000</v>
      </c>
      <c r="D6651" s="61" t="n">
        <f aca="false">D6637*Pressupostos!$C$141*(1+Pressupostos!$C$127)^1*(1+Pressupostos!$C$142)</f>
        <v>39140</v>
      </c>
      <c r="E6651" s="61" t="n">
        <f aca="false">E6637*Pressupostos!$C$141*(1+Pressupostos!$C$127)^2*(1+Pressupostos!$C$142)</f>
        <v>40314.2</v>
      </c>
      <c r="F6651" s="61" t="n">
        <f aca="false">F6637*Pressupostos!$C$141*(1+Pressupostos!$C$127)^3*(1+Pressupostos!$C$142)</f>
        <v>41523.626</v>
      </c>
      <c r="G6651" s="61" t="n">
        <f aca="false">G6637*Pressupostos!$C$141*(1+Pressupostos!$C$127)^4*(1+Pressupostos!$C$142)</f>
        <v>42769.33478</v>
      </c>
      <c r="H6651" s="2" t="s">
        <v>1333</v>
      </c>
    </row>
    <row r="6652" customFormat="false" ht="15" hidden="false" customHeight="false" outlineLevel="1" collapsed="false">
      <c r="A6652" s="7" t="s">
        <v>644</v>
      </c>
      <c r="B6652" s="8" t="s">
        <v>11</v>
      </c>
      <c r="C6652" s="61" t="n">
        <f aca="false">C6638*Pressupostos!$C$143*(1+Pressupostos!$C$127)^0*(1+Pressupostos!$C$144)</f>
        <v>16000</v>
      </c>
      <c r="D6652" s="61" t="n">
        <f aca="false">D6638*Pressupostos!$C$143*(1+Pressupostos!$C$127)^1*(1+Pressupostos!$C$144)</f>
        <v>32960</v>
      </c>
      <c r="E6652" s="61" t="n">
        <f aca="false">E6638*Pressupostos!$C$143*(1+Pressupostos!$C$127)^2*(1+Pressupostos!$C$144)</f>
        <v>33948.8</v>
      </c>
      <c r="F6652" s="61" t="n">
        <f aca="false">F6638*Pressupostos!$C$143*(1+Pressupostos!$C$127)^3*(1+Pressupostos!$C$144)</f>
        <v>34967.264</v>
      </c>
      <c r="G6652" s="61" t="n">
        <f aca="false">G6638*Pressupostos!$C$143*(1+Pressupostos!$C$127)^4*(1+Pressupostos!$C$144)</f>
        <v>36016.28192</v>
      </c>
      <c r="H6652" s="2" t="s">
        <v>1334</v>
      </c>
    </row>
    <row r="6653" customFormat="false" ht="15" hidden="false" customHeight="false" outlineLevel="1" collapsed="false">
      <c r="A6653" s="7" t="s">
        <v>645</v>
      </c>
      <c r="B6653" s="8" t="s">
        <v>11</v>
      </c>
      <c r="C6653" s="61" t="n">
        <f aca="false">C6639*Pressupostos!$C$145*(1+Pressupostos!$C$127)^0*(1+Pressupostos!$C$146)</f>
        <v>34500</v>
      </c>
      <c r="D6653" s="61" t="n">
        <f aca="false">D6639*Pressupostos!$C$145*(1+Pressupostos!$C$127)^1*(1+Pressupostos!$C$146)</f>
        <v>35535</v>
      </c>
      <c r="E6653" s="61" t="n">
        <f aca="false">E6639*Pressupostos!$C$145*(1+Pressupostos!$C$127)^2*(1+Pressupostos!$C$146)</f>
        <v>36601.05</v>
      </c>
      <c r="F6653" s="61" t="n">
        <f aca="false">F6639*Pressupostos!$C$145*(1+Pressupostos!$C$127)^3*(1+Pressupostos!$C$146)</f>
        <v>75398.163</v>
      </c>
      <c r="G6653" s="61" t="n">
        <f aca="false">G6639*Pressupostos!$C$145*(1+Pressupostos!$C$127)^4*(1+Pressupostos!$C$146)</f>
        <v>116490.161835</v>
      </c>
      <c r="H6653" s="2" t="s">
        <v>1335</v>
      </c>
    </row>
    <row r="6654" customFormat="false" ht="15" hidden="false" customHeight="false" outlineLevel="1" collapsed="false">
      <c r="A6654" s="7" t="s">
        <v>646</v>
      </c>
      <c r="B6654" s="8" t="s">
        <v>11</v>
      </c>
      <c r="C6654" s="61" t="n">
        <f aca="false">C6640*Pressupostos!$C$147*(1+Pressupostos!$C$127)^0*(1+Pressupostos!$C$148)</f>
        <v>0</v>
      </c>
      <c r="D6654" s="61" t="n">
        <f aca="false">D6640*Pressupostos!$C$147*(1+Pressupostos!$C$127)^1*(1+Pressupostos!$C$148)</f>
        <v>0</v>
      </c>
      <c r="E6654" s="61" t="n">
        <f aca="false">E6640*Pressupostos!$C$147*(1+Pressupostos!$C$127)^2*(1+Pressupostos!$C$148)</f>
        <v>0</v>
      </c>
      <c r="F6654" s="61" t="n">
        <f aca="false">F6640*Pressupostos!$C$147*(1+Pressupostos!$C$127)^3*(1+Pressupostos!$C$148)</f>
        <v>0</v>
      </c>
      <c r="G6654" s="61" t="n">
        <f aca="false">G6640*Pressupostos!$C$147*(1+Pressupostos!$C$127)^4*(1+Pressupostos!$C$148)</f>
        <v>0</v>
      </c>
      <c r="H6654" s="2" t="s">
        <v>1336</v>
      </c>
    </row>
    <row r="6655" customFormat="false" ht="15" hidden="false" customHeight="false" outlineLevel="1" collapsed="false">
      <c r="A6655" s="7" t="s">
        <v>647</v>
      </c>
      <c r="B6655" s="8" t="s">
        <v>11</v>
      </c>
      <c r="C6655" s="61" t="n">
        <f aca="false">C6641*Pressupostos!$C$149*(1+Pressupostos!$C$127)^0*(1+Pressupostos!$C$150)</f>
        <v>0</v>
      </c>
      <c r="D6655" s="61" t="n">
        <f aca="false">D6641*Pressupostos!$C$149*(1+Pressupostos!$C$127)^1*(1+Pressupostos!$C$150)</f>
        <v>0</v>
      </c>
      <c r="E6655" s="61" t="n">
        <f aca="false">E6641*Pressupostos!$C$149*(1+Pressupostos!$C$127)^2*(1+Pressupostos!$C$150)</f>
        <v>0</v>
      </c>
      <c r="F6655" s="61" t="n">
        <f aca="false">F6641*Pressupostos!$C$149*(1+Pressupostos!$C$127)^3*(1+Pressupostos!$C$150)</f>
        <v>0</v>
      </c>
      <c r="G6655" s="61" t="n">
        <f aca="false">G6641*Pressupostos!$C$149*(1+Pressupostos!$C$127)^4*(1+Pressupostos!$C$150)</f>
        <v>0</v>
      </c>
      <c r="H6655" s="2" t="s">
        <v>1337</v>
      </c>
    </row>
    <row r="6656" customFormat="false" ht="15" hidden="false" customHeight="false" outlineLevel="1" collapsed="false">
      <c r="A6656" s="7" t="s">
        <v>648</v>
      </c>
      <c r="B6656" s="8" t="s">
        <v>11</v>
      </c>
      <c r="C6656" s="61" t="n">
        <f aca="false">C6642*Pressupostos!$C$151*(1+Pressupostos!$C$127)^0*(1+Pressupostos!$C$152)</f>
        <v>0</v>
      </c>
      <c r="D6656" s="61" t="n">
        <f aca="false">D6642*Pressupostos!$C$151*(1+Pressupostos!$C$127)^1*(1+Pressupostos!$C$152)</f>
        <v>0</v>
      </c>
      <c r="E6656" s="61" t="n">
        <f aca="false">E6642*Pressupostos!$C$151*(1+Pressupostos!$C$127)^2*(1+Pressupostos!$C$152)</f>
        <v>0</v>
      </c>
      <c r="F6656" s="61" t="n">
        <f aca="false">F6642*Pressupostos!$C$151*(1+Pressupostos!$C$127)^3*(1+Pressupostos!$C$152)</f>
        <v>26225.448</v>
      </c>
      <c r="G6656" s="61" t="n">
        <f aca="false">G6642*Pressupostos!$C$151*(1+Pressupostos!$C$127)^4*(1+Pressupostos!$C$152)</f>
        <v>27012.21144</v>
      </c>
      <c r="H6656" s="2" t="s">
        <v>1338</v>
      </c>
    </row>
    <row r="6657" customFormat="false" ht="15" hidden="false" customHeight="false" outlineLevel="1" collapsed="false">
      <c r="A6657" s="7" t="s">
        <v>649</v>
      </c>
      <c r="B6657" s="8" t="s">
        <v>11</v>
      </c>
      <c r="C6657" s="61" t="n">
        <f aca="false">C6643*Pressupostos!$C$153*(1+Pressupostos!$C$127)^0*(1+Pressupostos!$C$154)</f>
        <v>0</v>
      </c>
      <c r="D6657" s="61" t="n">
        <f aca="false">D6643*Pressupostos!$C$153*(1+Pressupostos!$C$127)^1*(1+Pressupostos!$C$154)</f>
        <v>0</v>
      </c>
      <c r="E6657" s="61" t="n">
        <f aca="false">E6643*Pressupostos!$C$153*(1+Pressupostos!$C$127)^2*(1+Pressupostos!$C$154)</f>
        <v>54901.575</v>
      </c>
      <c r="F6657" s="61" t="n">
        <f aca="false">F6643*Pressupostos!$C$153*(1+Pressupostos!$C$127)^3*(1+Pressupostos!$C$154)</f>
        <v>56548.62225</v>
      </c>
      <c r="G6657" s="61" t="n">
        <f aca="false">G6643*Pressupostos!$C$153*(1+Pressupostos!$C$127)^4*(1+Pressupostos!$C$154)</f>
        <v>58245.0809175</v>
      </c>
      <c r="H6657" s="2" t="s">
        <v>1339</v>
      </c>
    </row>
    <row r="6658" customFormat="false" ht="15" hidden="false" customHeight="false" outlineLevel="1" collapsed="false">
      <c r="A6658" s="7" t="s">
        <v>652</v>
      </c>
      <c r="B6658" s="8" t="s">
        <v>11</v>
      </c>
      <c r="C6658" s="61" t="n">
        <f aca="false">C6646+C6647+C6648+C6649+C6650+C6651+C6652+C6653+C6654+C6655+C6656+C6657</f>
        <v>232662.5</v>
      </c>
      <c r="D6658" s="61" t="n">
        <f aca="false">D6646+D6647+D6648+D6649+D6650+D6651+D6652+D6653+D6654+D6655+D6656+D6657</f>
        <v>367710</v>
      </c>
      <c r="E6658" s="61" t="n">
        <f aca="false">E6646+E6647+E6648+E6649+E6650+E6651+E6652+E6653+E6654+E6655+E6656+E6657</f>
        <v>433642.875</v>
      </c>
      <c r="F6658" s="61" t="n">
        <f aca="false">F6646+F6647+F6648+F6649+F6650+F6651+F6652+F6653+F6654+F6655+F6656+F6657</f>
        <v>535163.04825</v>
      </c>
      <c r="G6658" s="61" t="n">
        <f aca="false">G6646+G6647+G6648+G6649+G6650+G6651+G6652+G6653+G6654+G6655+G6656+G6657</f>
        <v>590047.9936425</v>
      </c>
      <c r="H6658" s="2" t="s">
        <v>1340</v>
      </c>
    </row>
    <row r="6659" customFormat="false" ht="15" hidden="false" customHeight="false" outlineLevel="1" collapsed="false">
      <c r="A6659" s="7" t="s">
        <v>653</v>
      </c>
      <c r="B6659" s="8" t="s">
        <v>11</v>
      </c>
      <c r="C6659" s="61" t="n">
        <f aca="false">C6658*(Pressupostos!$C$124+Pressupostos!$C$125)</f>
        <v>59910.59375</v>
      </c>
      <c r="D6659" s="61" t="n">
        <f aca="false">D6658*(Pressupostos!$C$124+Pressupostos!$C$125)</f>
        <v>94685.325</v>
      </c>
      <c r="E6659" s="61" t="n">
        <f aca="false">E6658*(Pressupostos!$C$124+Pressupostos!$C$125)</f>
        <v>111663.0403125</v>
      </c>
      <c r="F6659" s="61" t="n">
        <f aca="false">F6658*(Pressupostos!$C$124+Pressupostos!$C$125)</f>
        <v>137804.484924375</v>
      </c>
      <c r="G6659" s="61" t="n">
        <f aca="false">G6658*(Pressupostos!$C$124+Pressupostos!$C$125)</f>
        <v>151937.358362944</v>
      </c>
      <c r="H6659" s="2" t="s">
        <v>1341</v>
      </c>
    </row>
    <row r="6660" customFormat="false" ht="15" hidden="false" customHeight="false" outlineLevel="1" collapsed="false">
      <c r="A6660" s="7" t="s">
        <v>654</v>
      </c>
      <c r="B6660" s="8" t="s">
        <v>11</v>
      </c>
      <c r="C6660" s="61" t="n">
        <f aca="false">C6644*Pressupostos!$C$126*(1+Pressupostos!$C$127)^0</f>
        <v>11000</v>
      </c>
      <c r="D6660" s="61" t="n">
        <f aca="false">D6644*Pressupostos!$C$126*(1+Pressupostos!$C$127)^1</f>
        <v>15450</v>
      </c>
      <c r="E6660" s="61" t="n">
        <f aca="false">E6644*Pressupostos!$C$126*(1+Pressupostos!$C$127)^2</f>
        <v>18035.3</v>
      </c>
      <c r="F6660" s="61" t="n">
        <f aca="false">F6644*Pressupostos!$C$126*(1+Pressupostos!$C$127)^3</f>
        <v>24039.994</v>
      </c>
      <c r="G6660" s="61" t="n">
        <f aca="false">G6644*Pressupostos!$C$126*(1+Pressupostos!$C$127)^4</f>
        <v>27012.21144</v>
      </c>
      <c r="H6660" s="2" t="s">
        <v>1342</v>
      </c>
    </row>
    <row r="6661" customFormat="false" ht="15" hidden="false" customHeight="false" outlineLevel="1" collapsed="false">
      <c r="A6661" s="56" t="s">
        <v>655</v>
      </c>
      <c r="B6661" s="57" t="s">
        <v>11</v>
      </c>
      <c r="C6661" s="62" t="n">
        <f aca="false">C6658+C6659+C6660</f>
        <v>303573.09375</v>
      </c>
      <c r="D6661" s="62" t="n">
        <f aca="false">D6658+D6659+D6660</f>
        <v>477845.325</v>
      </c>
      <c r="E6661" s="62" t="n">
        <f aca="false">E6658+E6659+E6660</f>
        <v>563341.2153125</v>
      </c>
      <c r="F6661" s="62" t="n">
        <f aca="false">F6658+F6659+F6660</f>
        <v>697007.527174375</v>
      </c>
      <c r="G6661" s="62" t="n">
        <f aca="false">G6658+G6659+G6660</f>
        <v>768997.563445444</v>
      </c>
      <c r="H6661" s="2" t="s">
        <v>1343</v>
      </c>
    </row>
    <row r="6662" customFormat="false" ht="15" hidden="false" customHeight="false" outlineLevel="1" collapsed="false">
      <c r="A6662" s="2" t="s">
        <v>656</v>
      </c>
      <c r="B6662" s="8" t="s">
        <v>11</v>
      </c>
      <c r="C6662" s="61" t="n">
        <f aca="false">IF(C6644&gt;0,C6661/C6644,0)</f>
        <v>55195.1079545455</v>
      </c>
      <c r="D6662" s="61" t="n">
        <f aca="false">IF(D6644&gt;0,D6661/D6644,0)</f>
        <v>63712.71</v>
      </c>
      <c r="E6662" s="61" t="n">
        <f aca="false">IF(E6644&gt;0,E6661/E6644,0)</f>
        <v>66275.4370955882</v>
      </c>
      <c r="F6662" s="61" t="n">
        <f aca="false">IF(F6644&gt;0,F6661/F6644,0)</f>
        <v>63364.3206522159</v>
      </c>
      <c r="G6662" s="61" t="n">
        <f aca="false">IF(G6644&gt;0,G6661/G6644,0)</f>
        <v>64083.1302871203</v>
      </c>
      <c r="H6662" s="2" t="s">
        <v>1344</v>
      </c>
    </row>
    <row r="6663" customFormat="false" ht="15" hidden="false" customHeight="false" outlineLevel="0" collapsed="false">
      <c r="A6663" s="3" t="s">
        <v>1345</v>
      </c>
      <c r="B6663" s="4"/>
      <c r="C6663" s="4"/>
      <c r="D6663" s="4"/>
      <c r="E6663" s="4"/>
      <c r="F6663" s="4"/>
      <c r="G6663" s="4"/>
      <c r="H6663" s="4"/>
    </row>
    <row r="6664" customFormat="false" ht="15" hidden="false" customHeight="false" outlineLevel="1" collapsed="false">
      <c r="A6664" s="7" t="s">
        <v>449</v>
      </c>
      <c r="B6664" s="8" t="s">
        <v>11</v>
      </c>
      <c r="C6664" s="61" t="n">
        <f aca="false">Pressupostos!$C$407*(1+Pressupostos!$C$156)*(1+Pressupostos!$C$157)^0</f>
        <v>94500</v>
      </c>
      <c r="D6664" s="61" t="n">
        <f aca="false">Pressupostos!$D$407*(1+Pressupostos!$C$156)*(1+Pressupostos!$C$157)^1</f>
        <v>53550</v>
      </c>
      <c r="E6664" s="61" t="n">
        <f aca="false">Pressupostos!$E$407*(1+Pressupostos!$C$156)*(1+Pressupostos!$C$157)^2</f>
        <v>49158.9</v>
      </c>
      <c r="F6664" s="61" t="n">
        <f aca="false">Pressupostos!$F$407*(1+Pressupostos!$C$156)*(1+Pressupostos!$C$157)^3</f>
        <v>50142.078</v>
      </c>
      <c r="G6664" s="61" t="n">
        <f aca="false">Pressupostos!$G$407*(1+Pressupostos!$C$156)*(1+Pressupostos!$C$157)^4</f>
        <v>51144.91956</v>
      </c>
      <c r="H6664" s="2" t="s">
        <v>1346</v>
      </c>
    </row>
    <row r="6665" customFormat="false" ht="15" hidden="false" customHeight="false" outlineLevel="1" collapsed="false">
      <c r="A6665" s="7" t="s">
        <v>451</v>
      </c>
      <c r="B6665" s="8" t="s">
        <v>11</v>
      </c>
      <c r="C6665" s="61" t="n">
        <f aca="false">Pressupostos!$C$413*(1+Pressupostos!$C$156)*(1+Pressupostos!$C$157)^0</f>
        <v>10500</v>
      </c>
      <c r="D6665" s="61" t="n">
        <f aca="false">Pressupostos!$D$413*(1+Pressupostos!$C$156)*(1+Pressupostos!$C$157)^1</f>
        <v>10710</v>
      </c>
      <c r="E6665" s="61" t="n">
        <f aca="false">Pressupostos!$E$413*(1+Pressupostos!$C$156)*(1+Pressupostos!$C$157)^2</f>
        <v>10924.2</v>
      </c>
      <c r="F6665" s="61" t="n">
        <f aca="false">Pressupostos!$F$413*(1+Pressupostos!$C$156)*(1+Pressupostos!$C$157)^3</f>
        <v>11142.684</v>
      </c>
      <c r="G6665" s="61" t="n">
        <f aca="false">Pressupostos!$G$413*(1+Pressupostos!$C$156)*(1+Pressupostos!$C$157)^4</f>
        <v>11365.53768</v>
      </c>
      <c r="H6665" s="2" t="s">
        <v>1347</v>
      </c>
    </row>
    <row r="6666" customFormat="false" ht="15" hidden="false" customHeight="false" outlineLevel="1" collapsed="false">
      <c r="A6666" s="7" t="s">
        <v>452</v>
      </c>
      <c r="B6666" s="8" t="s">
        <v>11</v>
      </c>
      <c r="C6666" s="61" t="n">
        <f aca="false">Pressupostos!$C$419*(1+Pressupostos!$C$156)*(1+Pressupostos!$C$157)^0</f>
        <v>12600</v>
      </c>
      <c r="D6666" s="61" t="n">
        <f aca="false">Pressupostos!$D$419*(1+Pressupostos!$C$156)*(1+Pressupostos!$C$157)^1</f>
        <v>12852</v>
      </c>
      <c r="E6666" s="61" t="n">
        <f aca="false">Pressupostos!$E$419*(1+Pressupostos!$C$156)*(1+Pressupostos!$C$157)^2</f>
        <v>13109.04</v>
      </c>
      <c r="F6666" s="61" t="n">
        <f aca="false">Pressupostos!$F$419*(1+Pressupostos!$C$156)*(1+Pressupostos!$C$157)^3</f>
        <v>13371.2208</v>
      </c>
      <c r="G6666" s="61" t="n">
        <f aca="false">Pressupostos!$G$419*(1+Pressupostos!$C$156)*(1+Pressupostos!$C$157)^4</f>
        <v>13638.645216</v>
      </c>
      <c r="H6666" s="2" t="s">
        <v>1348</v>
      </c>
    </row>
    <row r="6667" customFormat="false" ht="15" hidden="false" customHeight="false" outlineLevel="1" collapsed="false">
      <c r="A6667" s="7" t="s">
        <v>454</v>
      </c>
      <c r="B6667" s="8" t="s">
        <v>11</v>
      </c>
      <c r="C6667" s="61" t="n">
        <f aca="false">Pressupostos!$C$425*(1+Pressupostos!$C$156)*(1+Pressupostos!$C$157)^0</f>
        <v>31500</v>
      </c>
      <c r="D6667" s="61" t="n">
        <f aca="false">Pressupostos!$D$425*(1+Pressupostos!$C$156)*(1+Pressupostos!$C$157)^1</f>
        <v>37485</v>
      </c>
      <c r="E6667" s="61" t="n">
        <f aca="false">Pressupostos!$E$425*(1+Pressupostos!$C$156)*(1+Pressupostos!$C$157)^2</f>
        <v>49158.9</v>
      </c>
      <c r="F6667" s="61" t="n">
        <f aca="false">Pressupostos!$F$425*(1+Pressupostos!$C$156)*(1+Pressupostos!$C$157)^3</f>
        <v>55713.42</v>
      </c>
      <c r="G6667" s="61" t="n">
        <f aca="false">Pressupostos!$G$425*(1+Pressupostos!$C$156)*(1+Pressupostos!$C$157)^4</f>
        <v>62510.45724</v>
      </c>
      <c r="H6667" s="2" t="s">
        <v>1349</v>
      </c>
    </row>
    <row r="6668" customFormat="false" ht="15" hidden="false" customHeight="false" outlineLevel="1" collapsed="false">
      <c r="A6668" s="7" t="s">
        <v>456</v>
      </c>
      <c r="B6668" s="8" t="s">
        <v>11</v>
      </c>
      <c r="C6668" s="61" t="n">
        <f aca="false">Pressupostos!$C$431*(1+Pressupostos!$C$156)*(1+Pressupostos!$C$157)^0</f>
        <v>15750</v>
      </c>
      <c r="D6668" s="61" t="n">
        <f aca="false">Pressupostos!$D$431*(1+Pressupostos!$C$156)*(1+Pressupostos!$C$157)^1</f>
        <v>16065</v>
      </c>
      <c r="E6668" s="61" t="n">
        <f aca="false">Pressupostos!$E$431*(1+Pressupostos!$C$156)*(1+Pressupostos!$C$157)^2</f>
        <v>38234.7</v>
      </c>
      <c r="F6668" s="61" t="n">
        <f aca="false">Pressupostos!$F$431*(1+Pressupostos!$C$156)*(1+Pressupostos!$C$157)^3</f>
        <v>22285.368</v>
      </c>
      <c r="G6668" s="61" t="n">
        <f aca="false">Pressupostos!$G$431*(1+Pressupostos!$C$156)*(1+Pressupostos!$C$157)^4</f>
        <v>22731.07536</v>
      </c>
      <c r="H6668" s="2" t="s">
        <v>1350</v>
      </c>
    </row>
    <row r="6669" customFormat="false" ht="15" hidden="false" customHeight="false" outlineLevel="1" collapsed="false">
      <c r="A6669" s="7" t="s">
        <v>458</v>
      </c>
      <c r="B6669" s="8" t="s">
        <v>11</v>
      </c>
      <c r="C6669" s="61" t="n">
        <f aca="false">Pressupostos!$C$437*(1+Pressupostos!$C$156)*(1+Pressupostos!$C$157)^0</f>
        <v>10500</v>
      </c>
      <c r="D6669" s="61" t="n">
        <f aca="false">Pressupostos!$D$437*(1+Pressupostos!$C$156)*(1+Pressupostos!$C$157)^1</f>
        <v>12852</v>
      </c>
      <c r="E6669" s="61" t="n">
        <f aca="false">Pressupostos!$E$437*(1+Pressupostos!$C$156)*(1+Pressupostos!$C$157)^2</f>
        <v>16386.3</v>
      </c>
      <c r="F6669" s="61" t="n">
        <f aca="false">Pressupostos!$F$437*(1+Pressupostos!$C$156)*(1+Pressupostos!$C$157)^3</f>
        <v>20056.8312</v>
      </c>
      <c r="G6669" s="61" t="n">
        <f aca="false">Pressupostos!$G$437*(1+Pressupostos!$C$156)*(1+Pressupostos!$C$157)^4</f>
        <v>22731.07536</v>
      </c>
      <c r="H6669" s="2" t="s">
        <v>1351</v>
      </c>
    </row>
    <row r="6670" customFormat="false" ht="15" hidden="false" customHeight="false" outlineLevel="1" collapsed="false">
      <c r="A6670" s="7" t="s">
        <v>459</v>
      </c>
      <c r="B6670" s="8" t="s">
        <v>11</v>
      </c>
      <c r="C6670" s="61" t="n">
        <f aca="false">Pressupostos!$C$443*(1+Pressupostos!$C$156)*(1+Pressupostos!$C$157)^0</f>
        <v>31500</v>
      </c>
      <c r="D6670" s="61" t="n">
        <f aca="false">Pressupostos!$D$443*(1+Pressupostos!$C$156)*(1+Pressupostos!$C$157)^1</f>
        <v>37485</v>
      </c>
      <c r="E6670" s="61" t="n">
        <f aca="false">Pressupostos!$E$443*(1+Pressupostos!$C$156)*(1+Pressupostos!$C$157)^2</f>
        <v>49158.9</v>
      </c>
      <c r="F6670" s="61" t="n">
        <f aca="false">Pressupostos!$F$443*(1+Pressupostos!$C$156)*(1+Pressupostos!$C$157)^3</f>
        <v>55713.42</v>
      </c>
      <c r="G6670" s="61" t="n">
        <f aca="false">Pressupostos!$G$443*(1+Pressupostos!$C$156)*(1+Pressupostos!$C$157)^4</f>
        <v>62510.45724</v>
      </c>
      <c r="H6670" s="2" t="s">
        <v>1352</v>
      </c>
    </row>
    <row r="6671" customFormat="false" ht="15" hidden="false" customHeight="false" outlineLevel="1" collapsed="false">
      <c r="A6671" s="7" t="s">
        <v>461</v>
      </c>
      <c r="B6671" s="8" t="s">
        <v>11</v>
      </c>
      <c r="C6671" s="61" t="n">
        <f aca="false">Pressupostos!$C$449*(1+Pressupostos!$C$156)*(1+Pressupostos!$C$157)^0</f>
        <v>6300</v>
      </c>
      <c r="D6671" s="61" t="n">
        <f aca="false">Pressupostos!$D$449*(1+Pressupostos!$C$156)*(1+Pressupostos!$C$157)^1</f>
        <v>8568</v>
      </c>
      <c r="E6671" s="61" t="n">
        <f aca="false">Pressupostos!$E$449*(1+Pressupostos!$C$156)*(1+Pressupostos!$C$157)^2</f>
        <v>13109.04</v>
      </c>
      <c r="F6671" s="61" t="n">
        <f aca="false">Pressupostos!$F$449*(1+Pressupostos!$C$156)*(1+Pressupostos!$C$157)^3</f>
        <v>16714.026</v>
      </c>
      <c r="G6671" s="61" t="n">
        <f aca="false">Pressupostos!$G$449*(1+Pressupostos!$C$156)*(1+Pressupostos!$C$157)^4</f>
        <v>20457.967824</v>
      </c>
      <c r="H6671" s="2" t="s">
        <v>1353</v>
      </c>
    </row>
    <row r="6672" customFormat="false" ht="15" hidden="false" customHeight="false" outlineLevel="1" collapsed="false">
      <c r="A6672" s="7" t="s">
        <v>463</v>
      </c>
      <c r="B6672" s="8" t="s">
        <v>11</v>
      </c>
      <c r="C6672" s="61" t="n">
        <f aca="false">Pressupostos!$C$455*(1+Pressupostos!$C$156)*(1+Pressupostos!$C$157)^0</f>
        <v>15750</v>
      </c>
      <c r="D6672" s="61" t="n">
        <f aca="false">Pressupostos!$D$455*(1+Pressupostos!$C$156)*(1+Pressupostos!$C$157)^1</f>
        <v>21420</v>
      </c>
      <c r="E6672" s="61" t="n">
        <f aca="false">Pressupostos!$E$455*(1+Pressupostos!$C$156)*(1+Pressupostos!$C$157)^2</f>
        <v>30587.76</v>
      </c>
      <c r="F6672" s="61" t="n">
        <f aca="false">Pressupostos!$F$455*(1+Pressupostos!$C$156)*(1+Pressupostos!$C$157)^3</f>
        <v>35656.5888</v>
      </c>
      <c r="G6672" s="61" t="n">
        <f aca="false">Pressupostos!$G$455*(1+Pressupostos!$C$156)*(1+Pressupostos!$C$157)^4</f>
        <v>40915.935648</v>
      </c>
      <c r="H6672" s="2" t="s">
        <v>1354</v>
      </c>
    </row>
    <row r="6673" customFormat="false" ht="15" hidden="false" customHeight="false" outlineLevel="1" collapsed="false">
      <c r="A6673" s="7" t="s">
        <v>464</v>
      </c>
      <c r="B6673" s="8" t="s">
        <v>11</v>
      </c>
      <c r="C6673" s="61" t="n">
        <f aca="false">Pressupostos!$C$461*(1+Pressupostos!$C$156)*(1+Pressupostos!$C$157)^0</f>
        <v>4200</v>
      </c>
      <c r="D6673" s="61" t="n">
        <f aca="false">Pressupostos!$D$461*(1+Pressupostos!$C$156)*(1+Pressupostos!$C$157)^1</f>
        <v>6426</v>
      </c>
      <c r="E6673" s="61" t="n">
        <f aca="false">Pressupostos!$E$461*(1+Pressupostos!$C$156)*(1+Pressupostos!$C$157)^2</f>
        <v>8739.36</v>
      </c>
      <c r="F6673" s="61" t="n">
        <f aca="false">Pressupostos!$F$461*(1+Pressupostos!$C$156)*(1+Pressupostos!$C$157)^3</f>
        <v>8914.1472</v>
      </c>
      <c r="G6673" s="61" t="n">
        <f aca="false">Pressupostos!$G$461*(1+Pressupostos!$C$156)*(1+Pressupostos!$C$157)^4</f>
        <v>9092.430144</v>
      </c>
      <c r="H6673" s="2" t="s">
        <v>1355</v>
      </c>
    </row>
    <row r="6674" customFormat="false" ht="15" hidden="false" customHeight="false" outlineLevel="1" collapsed="false">
      <c r="A6674" s="7" t="s">
        <v>701</v>
      </c>
      <c r="B6674" s="8" t="s">
        <v>11</v>
      </c>
      <c r="C6674" s="61" t="n">
        <f aca="false">C6664+C6665+C6666+C6667+C6668+C6669+C6670+C6671+C6672+C6673</f>
        <v>233100</v>
      </c>
      <c r="D6674" s="61" t="n">
        <f aca="false">D6664+D6665+D6666+D6667+D6668+D6669+D6670+D6671+D6672+D6673</f>
        <v>217413</v>
      </c>
      <c r="E6674" s="61" t="n">
        <f aca="false">E6664+E6665+E6666+E6667+E6668+E6669+E6670+E6671+E6672+E6673</f>
        <v>278567.1</v>
      </c>
      <c r="F6674" s="61" t="n">
        <f aca="false">F6664+F6665+F6666+F6667+F6668+F6669+F6670+F6671+F6672+F6673</f>
        <v>289709.784</v>
      </c>
      <c r="G6674" s="61" t="n">
        <f aca="false">G6664+G6665+G6666+G6667+G6668+G6669+G6670+G6671+G6672+G6673</f>
        <v>317098.501272</v>
      </c>
      <c r="H6674" s="2" t="s">
        <v>1356</v>
      </c>
    </row>
    <row r="6675" customFormat="false" ht="15" hidden="false" customHeight="false" outlineLevel="1" collapsed="false">
      <c r="A6675" s="7" t="s">
        <v>702</v>
      </c>
      <c r="B6675" s="8" t="s">
        <v>11</v>
      </c>
      <c r="C6675" s="61" t="n">
        <f aca="false">Pressupostos!$C$114+Pressupostos!$C$115+Pressupostos!$C$116*Pressupostos!$C$296+Pressupostos!$C$466+Pressupostos!$C$308</f>
        <v>65000</v>
      </c>
      <c r="D6675" s="61" t="n">
        <f aca="false">Pressupostos!$C$115+Pressupostos!$C$116*Pressupostos!$D$296+Pressupostos!$D$466+Pressupostos!$D$308</f>
        <v>75000</v>
      </c>
      <c r="E6675" s="61" t="n">
        <f aca="false">Pressupostos!$C$115+Pressupostos!$C$116*Pressupostos!$E$296+Pressupostos!$E$466+Pressupostos!$E$308</f>
        <v>80000</v>
      </c>
      <c r="F6675" s="61" t="n">
        <f aca="false">Pressupostos!$C$115+Pressupostos!$C$116*Pressupostos!$F$296+Pressupostos!$F$466+Pressupostos!$F$308</f>
        <v>85000</v>
      </c>
      <c r="G6675" s="61" t="n">
        <f aca="false">Pressupostos!$C$115+Pressupostos!$C$116*Pressupostos!$G$296+Pressupostos!$G$466+Pressupostos!$G$308</f>
        <v>90000</v>
      </c>
      <c r="H6675" s="2" t="s">
        <v>1357</v>
      </c>
    </row>
    <row r="6676" customFormat="false" ht="15" hidden="false" customHeight="false" outlineLevel="1" collapsed="false">
      <c r="A6676" s="7" t="s">
        <v>703</v>
      </c>
      <c r="B6676" s="8" t="s">
        <v>11</v>
      </c>
      <c r="C6676" s="61" t="n">
        <f aca="false">IF(C6488&lt;Pressupostos!$C$120,0,MAX(Pressupostos!$C$302,Pressupostos!$C$118*(C6582+C6583)+Pressupostos!$C$119*C6584))</f>
        <v>0</v>
      </c>
      <c r="D6676" s="61" t="n">
        <f aca="false">IF(D6488&lt;Pressupostos!$C$120,0,MAX(Pressupostos!$D$302,Pressupostos!$C$118*(D6582+D6583)+Pressupostos!$C$119*D6584))</f>
        <v>7125.6</v>
      </c>
      <c r="E6676" s="61" t="n">
        <f aca="false">IF(E6488&lt;Pressupostos!$C$120,0,MAX(Pressupostos!$E$302,Pressupostos!$C$118*(E6582+E6583)+Pressupostos!$C$119*E6584))</f>
        <v>14533.8</v>
      </c>
      <c r="F6676" s="61" t="n">
        <f aca="false">IF(F6488&lt;Pressupostos!$C$120,0,MAX(Pressupostos!$F$302,Pressupostos!$C$118*(F6582+F6583)+Pressupostos!$C$119*F6584))</f>
        <v>24157</v>
      </c>
      <c r="G6676" s="61" t="n">
        <f aca="false">IF(G6488&lt;Pressupostos!$C$120,0,MAX(Pressupostos!$G$302,Pressupostos!$C$118*(G6582+G6583)+Pressupostos!$C$119*G6584))</f>
        <v>36290</v>
      </c>
      <c r="H6676" s="2" t="s">
        <v>1358</v>
      </c>
    </row>
    <row r="6677" customFormat="false" ht="15" hidden="false" customHeight="false" outlineLevel="1" collapsed="false">
      <c r="A6677" s="56" t="s">
        <v>704</v>
      </c>
      <c r="B6677" s="57" t="s">
        <v>11</v>
      </c>
      <c r="C6677" s="62" t="n">
        <f aca="false">C6674+C6675+C6676</f>
        <v>298100</v>
      </c>
      <c r="D6677" s="62" t="n">
        <f aca="false">D6674+D6675+D6676</f>
        <v>299538.6</v>
      </c>
      <c r="E6677" s="62" t="n">
        <f aca="false">E6674+E6675+E6676</f>
        <v>373100.9</v>
      </c>
      <c r="F6677" s="62" t="n">
        <f aca="false">F6674+F6675+F6676</f>
        <v>398866.784</v>
      </c>
      <c r="G6677" s="62" t="n">
        <f aca="false">G6674+G6675+G6676</f>
        <v>443388.501272</v>
      </c>
      <c r="H6677" s="2" t="s">
        <v>1359</v>
      </c>
    </row>
    <row r="6678" customFormat="false" ht="15" hidden="false" customHeight="false" outlineLevel="0" collapsed="false">
      <c r="A6678" s="3" t="s">
        <v>1360</v>
      </c>
      <c r="B6678" s="4"/>
      <c r="C6678" s="4"/>
      <c r="D6678" s="4"/>
      <c r="E6678" s="4"/>
      <c r="F6678" s="4"/>
      <c r="G6678" s="4"/>
      <c r="H6678" s="4"/>
    </row>
    <row r="6679" customFormat="false" ht="15" hidden="false" customHeight="false" outlineLevel="1" collapsed="false">
      <c r="A6679" s="7" t="s">
        <v>706</v>
      </c>
      <c r="B6679" s="8" t="s">
        <v>11</v>
      </c>
      <c r="C6679" s="61" t="n">
        <f aca="false">Pressupostos!$C$165*Pressupostos!$C$315</f>
        <v>18000</v>
      </c>
      <c r="D6679" s="61" t="n">
        <f aca="false">Pressupostos!$C$165*Pressupostos!$D$315</f>
        <v>12000</v>
      </c>
      <c r="E6679" s="61" t="n">
        <f aca="false">Pressupostos!$C$165*Pressupostos!$E$315</f>
        <v>12000</v>
      </c>
      <c r="F6679" s="61" t="n">
        <f aca="false">Pressupostos!$C$165*Pressupostos!$F$315</f>
        <v>12000</v>
      </c>
      <c r="G6679" s="61" t="n">
        <f aca="false">Pressupostos!$C$165*Pressupostos!$G$315</f>
        <v>12000</v>
      </c>
      <c r="H6679" s="2" t="s">
        <v>1361</v>
      </c>
    </row>
    <row r="6680" customFormat="false" ht="15" hidden="false" customHeight="false" outlineLevel="1" collapsed="false">
      <c r="A6680" s="7" t="s">
        <v>707</v>
      </c>
      <c r="B6680" s="8" t="s">
        <v>11</v>
      </c>
      <c r="C6680" s="53" t="n">
        <f aca="false">Pressupostos!$C$321</f>
        <v>60000</v>
      </c>
      <c r="D6680" s="53" t="n">
        <f aca="false">Pressupostos!$D$321</f>
        <v>15000</v>
      </c>
      <c r="E6680" s="53" t="n">
        <f aca="false">Pressupostos!$E$321</f>
        <v>15000</v>
      </c>
      <c r="F6680" s="53" t="n">
        <f aca="false">Pressupostos!$F$321</f>
        <v>10000</v>
      </c>
      <c r="G6680" s="53" t="n">
        <f aca="false">Pressupostos!$G$321</f>
        <v>10000</v>
      </c>
      <c r="H6680" s="2" t="s">
        <v>1362</v>
      </c>
    </row>
    <row r="6681" customFormat="false" ht="15" hidden="false" customHeight="false" outlineLevel="1" collapsed="false">
      <c r="A6681" s="7" t="s">
        <v>708</v>
      </c>
      <c r="B6681" s="8" t="s">
        <v>11</v>
      </c>
      <c r="C6681" s="53" t="n">
        <f aca="false">Pressupostos!$C$327</f>
        <v>0</v>
      </c>
      <c r="D6681" s="53" t="n">
        <f aca="false">Pressupostos!$D$327</f>
        <v>15000</v>
      </c>
      <c r="E6681" s="53" t="n">
        <f aca="false">Pressupostos!$E$327</f>
        <v>15000</v>
      </c>
      <c r="F6681" s="53" t="n">
        <f aca="false">Pressupostos!$F$327</f>
        <v>10000</v>
      </c>
      <c r="G6681" s="53" t="n">
        <f aca="false">Pressupostos!$G$327</f>
        <v>10000</v>
      </c>
      <c r="H6681" s="2" t="s">
        <v>1363</v>
      </c>
    </row>
    <row r="6682" customFormat="false" ht="15" hidden="false" customHeight="false" outlineLevel="1" collapsed="false">
      <c r="A6682" s="7" t="s">
        <v>709</v>
      </c>
      <c r="B6682" s="8" t="s">
        <v>11</v>
      </c>
      <c r="C6682" s="61" t="n">
        <f aca="false">Pressupostos!$C$166*MAX(0,C6644)</f>
        <v>11000</v>
      </c>
      <c r="D6682" s="61" t="n">
        <f aca="false">Pressupostos!$C$166*MAX(0,D6644-C6644)</f>
        <v>4000</v>
      </c>
      <c r="E6682" s="61" t="n">
        <f aca="false">Pressupostos!$C$166*MAX(0,E6644-D6644)</f>
        <v>2000</v>
      </c>
      <c r="F6682" s="61" t="n">
        <f aca="false">Pressupostos!$C$166*MAX(0,F6644-E6644)</f>
        <v>5000</v>
      </c>
      <c r="G6682" s="61" t="n">
        <f aca="false">Pressupostos!$C$166*MAX(0,G6644-F6644)</f>
        <v>2000</v>
      </c>
      <c r="H6682" s="2" t="s">
        <v>1364</v>
      </c>
    </row>
    <row r="6683" customFormat="false" ht="15" hidden="false" customHeight="false" outlineLevel="1" collapsed="false">
      <c r="A6683" s="7" t="s">
        <v>424</v>
      </c>
      <c r="B6683" s="8" t="s">
        <v>11</v>
      </c>
      <c r="C6683" s="61" t="n">
        <f aca="false">C6679+C6680+C6681+C6682</f>
        <v>89000</v>
      </c>
      <c r="D6683" s="61" t="n">
        <f aca="false">D6679+D6680+D6681+D6682</f>
        <v>46000</v>
      </c>
      <c r="E6683" s="61" t="n">
        <f aca="false">E6679+E6680+E6681+E6682</f>
        <v>44000</v>
      </c>
      <c r="F6683" s="61" t="n">
        <f aca="false">F6679+F6680+F6681+F6682</f>
        <v>37000</v>
      </c>
      <c r="G6683" s="61" t="n">
        <f aca="false">G6679+G6680+G6681+G6682</f>
        <v>34000</v>
      </c>
      <c r="H6683" s="2" t="s">
        <v>1365</v>
      </c>
    </row>
    <row r="6684" customFormat="false" ht="15" hidden="false" customHeight="false" outlineLevel="1" collapsed="false">
      <c r="A6684" s="7" t="s">
        <v>710</v>
      </c>
      <c r="B6684" s="8" t="s">
        <v>11</v>
      </c>
      <c r="C6684" s="61" t="n">
        <f aca="false">(C6680*((0)&lt;Pressupostos!$C$167))/Pressupostos!$C$167</f>
        <v>20000</v>
      </c>
      <c r="D6684" s="61" t="n">
        <f aca="false">(C6680*((1)&lt;Pressupostos!$C$167)+D6680*((0)&lt;Pressupostos!$C$167))/Pressupostos!$C$167</f>
        <v>25000</v>
      </c>
      <c r="E6684" s="61" t="n">
        <f aca="false">(C6680*((2)&lt;Pressupostos!$C$167)+D6680*((1)&lt;Pressupostos!$C$167)+E6680*((0)&lt;Pressupostos!$C$167))/Pressupostos!$C$167</f>
        <v>30000</v>
      </c>
      <c r="F6684" s="61" t="n">
        <f aca="false">(C6680*((3)&lt;Pressupostos!$C$167)+D6680*((2)&lt;Pressupostos!$C$167)+E6680*((1)&lt;Pressupostos!$C$167)+F6680*((0)&lt;Pressupostos!$C$167))/Pressupostos!$C$167</f>
        <v>13333.3333333333</v>
      </c>
      <c r="G6684" s="61" t="n">
        <f aca="false">(C6680*((4)&lt;Pressupostos!$C$167)+D6680*((3)&lt;Pressupostos!$C$167)+E6680*((2)&lt;Pressupostos!$C$167)+F6680*((1)&lt;Pressupostos!$C$167)+G6680*((0)&lt;Pressupostos!$C$167))/Pressupostos!$C$167</f>
        <v>11666.6666666667</v>
      </c>
      <c r="H6684" s="2" t="s">
        <v>1366</v>
      </c>
    </row>
    <row r="6685" customFormat="false" ht="15" hidden="false" customHeight="false" outlineLevel="1" collapsed="false">
      <c r="A6685" s="7" t="s">
        <v>711</v>
      </c>
      <c r="B6685" s="8" t="s">
        <v>11</v>
      </c>
      <c r="C6685" s="61" t="n">
        <f aca="false">(C6681*((0)&lt;Pressupostos!$C$167))/Pressupostos!$C$167</f>
        <v>0</v>
      </c>
      <c r="D6685" s="61" t="n">
        <f aca="false">(C6681*((1)&lt;Pressupostos!$C$167)+D6681*((0)&lt;Pressupostos!$C$167))/Pressupostos!$C$167</f>
        <v>5000</v>
      </c>
      <c r="E6685" s="61" t="n">
        <f aca="false">(C6681*((2)&lt;Pressupostos!$C$167)+D6681*((1)&lt;Pressupostos!$C$167)+E6681*((0)&lt;Pressupostos!$C$167))/Pressupostos!$C$167</f>
        <v>10000</v>
      </c>
      <c r="F6685" s="61" t="n">
        <f aca="false">(C6681*((3)&lt;Pressupostos!$C$167)+D6681*((2)&lt;Pressupostos!$C$167)+E6681*((1)&lt;Pressupostos!$C$167)+F6681*((0)&lt;Pressupostos!$C$167))/Pressupostos!$C$167</f>
        <v>13333.3333333333</v>
      </c>
      <c r="G6685" s="61" t="n">
        <f aca="false">(C6681*((4)&lt;Pressupostos!$C$167)+D6681*((3)&lt;Pressupostos!$C$167)+E6681*((2)&lt;Pressupostos!$C$167)+F6681*((1)&lt;Pressupostos!$C$167)+G6681*((0)&lt;Pressupostos!$C$167))/Pressupostos!$C$167</f>
        <v>11666.6666666667</v>
      </c>
      <c r="H6685" s="2" t="s">
        <v>1367</v>
      </c>
    </row>
    <row r="6686" customFormat="false" ht="15" hidden="false" customHeight="false" outlineLevel="1" collapsed="false">
      <c r="A6686" s="7" t="s">
        <v>712</v>
      </c>
      <c r="B6686" s="8" t="s">
        <v>11</v>
      </c>
      <c r="C6686" s="61" t="n">
        <f aca="false">(C6679*((0)&lt;Pressupostos!$C$169))/Pressupostos!$C$169</f>
        <v>3600</v>
      </c>
      <c r="D6686" s="61" t="n">
        <f aca="false">(C6679*((1)&lt;Pressupostos!$C$169)+D6679*((0)&lt;Pressupostos!$C$169))/Pressupostos!$C$169</f>
        <v>6000</v>
      </c>
      <c r="E6686" s="61" t="n">
        <f aca="false">(C6679*((2)&lt;Pressupostos!$C$169)+D6679*((1)&lt;Pressupostos!$C$169)+E6679*((0)&lt;Pressupostos!$C$169))/Pressupostos!$C$169</f>
        <v>8400</v>
      </c>
      <c r="F6686" s="61" t="n">
        <f aca="false">(C6679*((3)&lt;Pressupostos!$C$169)+D6679*((2)&lt;Pressupostos!$C$169)+E6679*((1)&lt;Pressupostos!$C$169)+F6679*((0)&lt;Pressupostos!$C$169))/Pressupostos!$C$169</f>
        <v>10800</v>
      </c>
      <c r="G6686" s="61" t="n">
        <f aca="false">(C6679*((4)&lt;Pressupostos!$C$169)+D6679*((3)&lt;Pressupostos!$C$169)+E6679*((2)&lt;Pressupostos!$C$169)+F6679*((1)&lt;Pressupostos!$C$169)+G6679*((0)&lt;Pressupostos!$C$169))/Pressupostos!$C$169</f>
        <v>13200</v>
      </c>
      <c r="H6686" s="2" t="s">
        <v>1368</v>
      </c>
    </row>
    <row r="6687" customFormat="false" ht="15" hidden="false" customHeight="false" outlineLevel="1" collapsed="false">
      <c r="A6687" s="7" t="s">
        <v>713</v>
      </c>
      <c r="B6687" s="8" t="s">
        <v>11</v>
      </c>
      <c r="C6687" s="61" t="n">
        <f aca="false">(C6682*((0)&lt;Pressupostos!$C$168))/Pressupostos!$C$168</f>
        <v>2750</v>
      </c>
      <c r="D6687" s="61" t="n">
        <f aca="false">(C6682*((1)&lt;Pressupostos!$C$168)+D6682*((0)&lt;Pressupostos!$C$168))/Pressupostos!$C$168</f>
        <v>3750</v>
      </c>
      <c r="E6687" s="61" t="n">
        <f aca="false">(C6682*((2)&lt;Pressupostos!$C$168)+D6682*((1)&lt;Pressupostos!$C$168)+E6682*((0)&lt;Pressupostos!$C$168))/Pressupostos!$C$168</f>
        <v>4250</v>
      </c>
      <c r="F6687" s="61" t="n">
        <f aca="false">(C6682*((3)&lt;Pressupostos!$C$168)+D6682*((2)&lt;Pressupostos!$C$168)+E6682*((1)&lt;Pressupostos!$C$168)+F6682*((0)&lt;Pressupostos!$C$168))/Pressupostos!$C$168</f>
        <v>5500</v>
      </c>
      <c r="G6687" s="61" t="n">
        <f aca="false">(C6682*((4)&lt;Pressupostos!$C$168)+D6682*((3)&lt;Pressupostos!$C$168)+E6682*((2)&lt;Pressupostos!$C$168)+F6682*((1)&lt;Pressupostos!$C$168)+G6682*((0)&lt;Pressupostos!$C$168))/Pressupostos!$C$168</f>
        <v>3250</v>
      </c>
      <c r="H6687" s="2" t="s">
        <v>1369</v>
      </c>
    </row>
    <row r="6688" customFormat="false" ht="15" hidden="false" customHeight="false" outlineLevel="1" collapsed="false">
      <c r="A6688" s="7" t="s">
        <v>714</v>
      </c>
      <c r="B6688" s="8" t="s">
        <v>11</v>
      </c>
      <c r="C6688" s="61" t="n">
        <f aca="false">C6684+C6685+C6686+C6687</f>
        <v>26350</v>
      </c>
      <c r="D6688" s="61" t="n">
        <f aca="false">D6684+D6685+D6686+D6687</f>
        <v>39750</v>
      </c>
      <c r="E6688" s="61" t="n">
        <f aca="false">E6684+E6685+E6686+E6687</f>
        <v>52650</v>
      </c>
      <c r="F6688" s="61" t="n">
        <f aca="false">F6684+F6685+F6686+F6687</f>
        <v>42966.6666666667</v>
      </c>
      <c r="G6688" s="61" t="n">
        <f aca="false">G6684+G6685+G6686+G6687</f>
        <v>39783.3333333333</v>
      </c>
      <c r="H6688" s="2" t="s">
        <v>1370</v>
      </c>
    </row>
    <row r="6689" customFormat="false" ht="15" hidden="false" customHeight="false" outlineLevel="0" collapsed="false">
      <c r="A6689" s="3" t="s">
        <v>1371</v>
      </c>
      <c r="B6689" s="4"/>
      <c r="C6689" s="4"/>
      <c r="D6689" s="4"/>
      <c r="E6689" s="4"/>
      <c r="F6689" s="4"/>
      <c r="G6689" s="4"/>
      <c r="H6689" s="4"/>
    </row>
    <row r="6690" customFormat="false" ht="15" hidden="false" customHeight="false" outlineLevel="1" collapsed="false">
      <c r="A6690" s="56" t="s">
        <v>718</v>
      </c>
      <c r="B6690" s="57" t="s">
        <v>11</v>
      </c>
      <c r="C6690" s="62" t="n">
        <f aca="false">C6592</f>
        <v>275874.4</v>
      </c>
      <c r="D6690" s="62" t="n">
        <f aca="false">D6592</f>
        <v>1805254</v>
      </c>
      <c r="E6690" s="62" t="n">
        <f aca="false">E6592</f>
        <v>3704769</v>
      </c>
      <c r="F6690" s="62" t="n">
        <f aca="false">F6592</f>
        <v>6335277</v>
      </c>
      <c r="G6690" s="62" t="n">
        <f aca="false">G6592</f>
        <v>9691735</v>
      </c>
      <c r="H6690" s="2" t="s">
        <v>1372</v>
      </c>
    </row>
    <row r="6691" customFormat="false" ht="15" hidden="false" customHeight="false" outlineLevel="1" collapsed="false">
      <c r="A6691" s="7" t="s">
        <v>688</v>
      </c>
      <c r="B6691" s="8" t="s">
        <v>11</v>
      </c>
      <c r="C6691" s="61" t="n">
        <f aca="false">-C6615</f>
        <v>-245040</v>
      </c>
      <c r="D6691" s="61" t="n">
        <f aca="false">-D6615</f>
        <v>-1599300</v>
      </c>
      <c r="E6691" s="61" t="n">
        <f aca="false">-E6615</f>
        <v>-3248250</v>
      </c>
      <c r="F6691" s="61" t="n">
        <f aca="false">-F6615</f>
        <v>-5533850</v>
      </c>
      <c r="G6691" s="61" t="n">
        <f aca="false">-G6615</f>
        <v>-8460500</v>
      </c>
      <c r="H6691" s="2" t="s">
        <v>1373</v>
      </c>
    </row>
    <row r="6692" customFormat="false" ht="15" hidden="false" customHeight="false" outlineLevel="1" collapsed="false">
      <c r="A6692" s="56" t="s">
        <v>719</v>
      </c>
      <c r="B6692" s="57" t="s">
        <v>11</v>
      </c>
      <c r="C6692" s="62" t="n">
        <f aca="false">C6690+C6691</f>
        <v>30834.4</v>
      </c>
      <c r="D6692" s="62" t="n">
        <f aca="false">D6690+D6691</f>
        <v>205954</v>
      </c>
      <c r="E6692" s="62" t="n">
        <f aca="false">E6690+E6691</f>
        <v>456519</v>
      </c>
      <c r="F6692" s="62" t="n">
        <f aca="false">F6690+F6691</f>
        <v>801426.999999999</v>
      </c>
      <c r="G6692" s="62" t="n">
        <f aca="false">G6690+G6691</f>
        <v>1231235</v>
      </c>
      <c r="H6692" s="2" t="s">
        <v>1374</v>
      </c>
    </row>
    <row r="6693" customFormat="false" ht="15" hidden="false" customHeight="false" outlineLevel="1" collapsed="false">
      <c r="A6693" s="2" t="s">
        <v>720</v>
      </c>
      <c r="B6693" s="8" t="s">
        <v>76</v>
      </c>
      <c r="C6693" s="59" t="n">
        <f aca="false">IF(C6690&gt;0,C6692/C6690,0)</f>
        <v>0.111769703894236</v>
      </c>
      <c r="D6693" s="59" t="n">
        <f aca="false">IF(D6690&gt;0,D6692/D6690,0)</f>
        <v>0.114085884867171</v>
      </c>
      <c r="E6693" s="59" t="n">
        <f aca="false">IF(E6690&gt;0,E6692/E6690,0)</f>
        <v>0.123224686883312</v>
      </c>
      <c r="F6693" s="59" t="n">
        <f aca="false">IF(F6690&gt;0,F6692/F6690,0)</f>
        <v>0.126502282378497</v>
      </c>
      <c r="G6693" s="59" t="n">
        <f aca="false">IF(G6690&gt;0,G6692/G6690,0)</f>
        <v>0.127039688972098</v>
      </c>
      <c r="H6693" s="2" t="s">
        <v>1375</v>
      </c>
    </row>
    <row r="6694" customFormat="false" ht="15" hidden="false" customHeight="false" outlineLevel="1" collapsed="false">
      <c r="A6694" s="7" t="s">
        <v>721</v>
      </c>
      <c r="B6694" s="8" t="s">
        <v>11</v>
      </c>
      <c r="C6694" s="61" t="n">
        <f aca="false">-C6626</f>
        <v>-15494.2226027397</v>
      </c>
      <c r="D6694" s="61" t="n">
        <f aca="false">-D6626</f>
        <v>-101865.553938356</v>
      </c>
      <c r="E6694" s="61" t="n">
        <f aca="false">-E6626</f>
        <v>-212004.356849315</v>
      </c>
      <c r="F6694" s="61" t="n">
        <f aca="false">-F6626</f>
        <v>-358244.301712329</v>
      </c>
      <c r="G6694" s="61" t="n">
        <f aca="false">-G6626</f>
        <v>-535131.037671233</v>
      </c>
      <c r="H6694" s="2" t="s">
        <v>1376</v>
      </c>
    </row>
    <row r="6695" customFormat="false" ht="15" hidden="false" customHeight="false" outlineLevel="1" collapsed="false">
      <c r="A6695" s="7" t="s">
        <v>698</v>
      </c>
      <c r="B6695" s="8" t="s">
        <v>11</v>
      </c>
      <c r="C6695" s="61" t="n">
        <f aca="false">-C6629</f>
        <v>-0</v>
      </c>
      <c r="D6695" s="61" t="n">
        <f aca="false">-D6629</f>
        <v>-26905.2226027397</v>
      </c>
      <c r="E6695" s="61" t="n">
        <f aca="false">-E6629</f>
        <v>-45444.7988013699</v>
      </c>
      <c r="F6695" s="61" t="n">
        <f aca="false">-F6629</f>
        <v>-77041.5025684932</v>
      </c>
      <c r="G6695" s="61" t="n">
        <f aca="false">-G6629</f>
        <v>-117514.340753425</v>
      </c>
      <c r="H6695" s="2" t="s">
        <v>1377</v>
      </c>
    </row>
    <row r="6696" customFormat="false" ht="15" hidden="false" customHeight="false" outlineLevel="1" collapsed="false">
      <c r="A6696" s="56" t="s">
        <v>677</v>
      </c>
      <c r="B6696" s="57" t="s">
        <v>11</v>
      </c>
      <c r="C6696" s="62" t="n">
        <f aca="false">C6692+C6694+C6695</f>
        <v>15340.1773972603</v>
      </c>
      <c r="D6696" s="62" t="n">
        <f aca="false">D6692+D6694+D6695</f>
        <v>77183.2234589039</v>
      </c>
      <c r="E6696" s="62" t="n">
        <f aca="false">E6692+E6694+E6695</f>
        <v>199069.844349315</v>
      </c>
      <c r="F6696" s="62" t="n">
        <f aca="false">F6692+F6694+F6695</f>
        <v>366141.195719177</v>
      </c>
      <c r="G6696" s="62" t="n">
        <f aca="false">G6692+G6694+G6695</f>
        <v>578589.621575342</v>
      </c>
      <c r="H6696" s="2" t="s">
        <v>1378</v>
      </c>
    </row>
    <row r="6697" customFormat="false" ht="15" hidden="false" customHeight="false" outlineLevel="1" collapsed="false">
      <c r="A6697" s="7" t="s">
        <v>261</v>
      </c>
      <c r="B6697" s="8" t="s">
        <v>11</v>
      </c>
      <c r="C6697" s="61" t="n">
        <f aca="false">-C6661</f>
        <v>-303573.09375</v>
      </c>
      <c r="D6697" s="61" t="n">
        <f aca="false">-D6661</f>
        <v>-477845.325</v>
      </c>
      <c r="E6697" s="61" t="n">
        <f aca="false">-E6661</f>
        <v>-563341.2153125</v>
      </c>
      <c r="F6697" s="61" t="n">
        <f aca="false">-F6661</f>
        <v>-697007.527174375</v>
      </c>
      <c r="G6697" s="61" t="n">
        <f aca="false">-G6661</f>
        <v>-768997.563445444</v>
      </c>
      <c r="H6697" s="2" t="s">
        <v>1379</v>
      </c>
    </row>
    <row r="6698" customFormat="false" ht="15" hidden="false" customHeight="false" outlineLevel="1" collapsed="false">
      <c r="A6698" s="7" t="s">
        <v>722</v>
      </c>
      <c r="B6698" s="8" t="s">
        <v>11</v>
      </c>
      <c r="C6698" s="61" t="n">
        <f aca="false">-C6677</f>
        <v>-298100</v>
      </c>
      <c r="D6698" s="61" t="n">
        <f aca="false">-D6677</f>
        <v>-299538.6</v>
      </c>
      <c r="E6698" s="61" t="n">
        <f aca="false">-E6677</f>
        <v>-373100.9</v>
      </c>
      <c r="F6698" s="61" t="n">
        <f aca="false">-F6677</f>
        <v>-398866.784</v>
      </c>
      <c r="G6698" s="61" t="n">
        <f aca="false">-G6677</f>
        <v>-443388.501272</v>
      </c>
      <c r="H6698" s="2" t="s">
        <v>1380</v>
      </c>
    </row>
    <row r="6699" customFormat="false" ht="15" hidden="false" customHeight="false" outlineLevel="1" collapsed="false">
      <c r="A6699" s="56" t="s">
        <v>723</v>
      </c>
      <c r="B6699" s="57" t="s">
        <v>11</v>
      </c>
      <c r="C6699" s="62" t="n">
        <f aca="false">C6696+C6697+C6698</f>
        <v>-586332.91635274</v>
      </c>
      <c r="D6699" s="62" t="n">
        <f aca="false">D6696+D6697+D6698</f>
        <v>-700200.701541096</v>
      </c>
      <c r="E6699" s="62" t="n">
        <f aca="false">E6696+E6697+E6698</f>
        <v>-737372.270963186</v>
      </c>
      <c r="F6699" s="62" t="n">
        <f aca="false">F6696+F6697+F6698</f>
        <v>-729733.115455198</v>
      </c>
      <c r="G6699" s="62" t="n">
        <f aca="false">G6696+G6697+G6698</f>
        <v>-633796.443142101</v>
      </c>
      <c r="H6699" s="2" t="s">
        <v>1381</v>
      </c>
    </row>
    <row r="6700" customFormat="false" ht="15" hidden="false" customHeight="false" outlineLevel="1" collapsed="false">
      <c r="A6700" s="2" t="s">
        <v>725</v>
      </c>
      <c r="B6700" s="8" t="s">
        <v>76</v>
      </c>
      <c r="C6700" s="59" t="n">
        <f aca="false">IF(C6690&gt;0,C6699/C6690,0)</f>
        <v>-2.12536181810541</v>
      </c>
      <c r="D6700" s="59" t="n">
        <f aca="false">IF(D6690&gt;0,D6699/D6690,0)</f>
        <v>-0.387868245433106</v>
      </c>
      <c r="E6700" s="59" t="n">
        <f aca="false">IF(E6690&gt;0,E6699/E6690,0)</f>
        <v>-0.199033265221984</v>
      </c>
      <c r="F6700" s="59" t="n">
        <f aca="false">IF(F6690&gt;0,F6699/F6690,0)</f>
        <v>-0.11518566835439</v>
      </c>
      <c r="G6700" s="59" t="n">
        <f aca="false">IF(G6690&gt;0,G6699/G6690,0)</f>
        <v>-0.0653955605618706</v>
      </c>
      <c r="H6700" s="2" t="s">
        <v>1382</v>
      </c>
    </row>
    <row r="6701" customFormat="false" ht="15" hidden="false" customHeight="false" outlineLevel="1" collapsed="false">
      <c r="A6701" s="2" t="s">
        <v>726</v>
      </c>
      <c r="B6701" s="8" t="s">
        <v>11</v>
      </c>
      <c r="C6701" s="61" t="n">
        <f aca="false">C6699+C6629</f>
        <v>-586332.91635274</v>
      </c>
      <c r="D6701" s="61" t="n">
        <f aca="false">D6699+D6629</f>
        <v>-673295.478938356</v>
      </c>
      <c r="E6701" s="61" t="n">
        <f aca="false">E6699+E6629</f>
        <v>-691927.472161816</v>
      </c>
      <c r="F6701" s="61" t="n">
        <f aca="false">F6699+F6629</f>
        <v>-652691.612886705</v>
      </c>
      <c r="G6701" s="61" t="n">
        <f aca="false">G6699+G6629</f>
        <v>-516282.102388677</v>
      </c>
      <c r="H6701" s="2" t="s">
        <v>1383</v>
      </c>
    </row>
    <row r="6702" customFormat="false" ht="15" hidden="false" customHeight="false" outlineLevel="1" collapsed="false">
      <c r="A6702" s="7" t="s">
        <v>714</v>
      </c>
      <c r="B6702" s="8" t="s">
        <v>11</v>
      </c>
      <c r="C6702" s="61" t="n">
        <f aca="false">-C6688</f>
        <v>-26350</v>
      </c>
      <c r="D6702" s="61" t="n">
        <f aca="false">-D6688</f>
        <v>-39750</v>
      </c>
      <c r="E6702" s="61" t="n">
        <f aca="false">-E6688</f>
        <v>-52650</v>
      </c>
      <c r="F6702" s="61" t="n">
        <f aca="false">-F6688</f>
        <v>-42966.6666666667</v>
      </c>
      <c r="G6702" s="61" t="n">
        <f aca="false">-G6688</f>
        <v>-39783.3333333333</v>
      </c>
      <c r="H6702" s="2" t="s">
        <v>1384</v>
      </c>
    </row>
    <row r="6703" customFormat="false" ht="15" hidden="false" customHeight="false" outlineLevel="1" collapsed="false">
      <c r="A6703" s="56" t="s">
        <v>727</v>
      </c>
      <c r="B6703" s="57" t="s">
        <v>11</v>
      </c>
      <c r="C6703" s="62" t="n">
        <f aca="false">C6699+C6702</f>
        <v>-612682.91635274</v>
      </c>
      <c r="D6703" s="62" t="n">
        <f aca="false">D6699+D6702</f>
        <v>-739950.701541096</v>
      </c>
      <c r="E6703" s="62" t="n">
        <f aca="false">E6699+E6702</f>
        <v>-790022.270963186</v>
      </c>
      <c r="F6703" s="62" t="n">
        <f aca="false">F6699+F6702</f>
        <v>-772699.782121864</v>
      </c>
      <c r="G6703" s="62" t="n">
        <f aca="false">G6699+G6702</f>
        <v>-673579.776475435</v>
      </c>
      <c r="H6703" s="2" t="s">
        <v>1385</v>
      </c>
    </row>
    <row r="6704" customFormat="false" ht="15" hidden="false" customHeight="false" outlineLevel="0" collapsed="false">
      <c r="A6704" s="3" t="s">
        <v>1386</v>
      </c>
      <c r="B6704" s="4"/>
      <c r="C6704" s="4"/>
      <c r="D6704" s="4"/>
      <c r="E6704" s="4"/>
      <c r="F6704" s="4"/>
      <c r="G6704" s="4"/>
      <c r="H6704" s="4"/>
    </row>
    <row r="6705" customFormat="false" ht="15" hidden="false" customHeight="false" outlineLevel="1" collapsed="false">
      <c r="A6705" s="7" t="s">
        <v>729</v>
      </c>
      <c r="B6705" s="8" t="s">
        <v>11</v>
      </c>
      <c r="C6705" s="61" t="n">
        <f aca="false">C6703</f>
        <v>-612682.91635274</v>
      </c>
      <c r="D6705" s="61" t="n">
        <f aca="false">D6703</f>
        <v>-739950.701541096</v>
      </c>
      <c r="E6705" s="61" t="n">
        <f aca="false">E6703</f>
        <v>-790022.270963186</v>
      </c>
      <c r="F6705" s="61" t="n">
        <f aca="false">F6703</f>
        <v>-772699.782121864</v>
      </c>
      <c r="G6705" s="61" t="n">
        <f aca="false">G6703</f>
        <v>-673579.776475435</v>
      </c>
      <c r="H6705" s="2" t="s">
        <v>1387</v>
      </c>
    </row>
    <row r="6706" customFormat="false" ht="15" hidden="false" customHeight="false" outlineLevel="1" collapsed="false">
      <c r="A6706" s="7" t="s">
        <v>730</v>
      </c>
      <c r="B6706" s="8" t="s">
        <v>11</v>
      </c>
      <c r="C6706" s="61" t="n">
        <f aca="false">0</f>
        <v>0</v>
      </c>
      <c r="D6706" s="61" t="n">
        <f aca="false">C6709</f>
        <v>612682.91635274</v>
      </c>
      <c r="E6706" s="61" t="n">
        <f aca="false">D6709</f>
        <v>1352633.61789384</v>
      </c>
      <c r="F6706" s="61" t="n">
        <f aca="false">E6709</f>
        <v>2142655.88885702</v>
      </c>
      <c r="G6706" s="61" t="n">
        <f aca="false">F6709</f>
        <v>2915355.67097889</v>
      </c>
      <c r="H6706" s="2" t="s">
        <v>1388</v>
      </c>
    </row>
    <row r="6707" customFormat="false" ht="15" hidden="false" customHeight="false" outlineLevel="1" collapsed="false">
      <c r="A6707" s="7" t="s">
        <v>731</v>
      </c>
      <c r="B6707" s="8" t="s">
        <v>11</v>
      </c>
      <c r="C6707" s="61" t="n">
        <f aca="false">MAX(0,-C6705)</f>
        <v>612682.91635274</v>
      </c>
      <c r="D6707" s="61" t="n">
        <f aca="false">MAX(0,-D6705)</f>
        <v>739950.701541096</v>
      </c>
      <c r="E6707" s="61" t="n">
        <f aca="false">MAX(0,-E6705)</f>
        <v>790022.270963186</v>
      </c>
      <c r="F6707" s="61" t="n">
        <f aca="false">MAX(0,-F6705)</f>
        <v>772699.782121864</v>
      </c>
      <c r="G6707" s="61" t="n">
        <f aca="false">MAX(0,-G6705)</f>
        <v>673579.776475435</v>
      </c>
      <c r="H6707" s="2" t="s">
        <v>1389</v>
      </c>
    </row>
    <row r="6708" customFormat="false" ht="15" hidden="false" customHeight="false" outlineLevel="1" collapsed="false">
      <c r="A6708" s="7" t="s">
        <v>732</v>
      </c>
      <c r="B6708" s="8" t="s">
        <v>11</v>
      </c>
      <c r="C6708" s="61" t="n">
        <f aca="false">MIN(C6706,Pressupostos!$C$181*MAX(0,C6705))</f>
        <v>0</v>
      </c>
      <c r="D6708" s="61" t="n">
        <f aca="false">MIN(D6706,Pressupostos!$C$181*MAX(0,D6705))</f>
        <v>0</v>
      </c>
      <c r="E6708" s="61" t="n">
        <f aca="false">MIN(E6706,Pressupostos!$C$181*MAX(0,E6705))</f>
        <v>0</v>
      </c>
      <c r="F6708" s="61" t="n">
        <f aca="false">MIN(F6706,Pressupostos!$C$181*MAX(0,F6705))</f>
        <v>0</v>
      </c>
      <c r="G6708" s="61" t="n">
        <f aca="false">MIN(G6706,Pressupostos!$C$181*MAX(0,G6705))</f>
        <v>0</v>
      </c>
      <c r="H6708" s="2" t="s">
        <v>1390</v>
      </c>
    </row>
    <row r="6709" customFormat="false" ht="15" hidden="false" customHeight="false" outlineLevel="1" collapsed="false">
      <c r="A6709" s="7" t="s">
        <v>733</v>
      </c>
      <c r="B6709" s="8" t="s">
        <v>11</v>
      </c>
      <c r="C6709" s="61" t="n">
        <f aca="false">C6706+C6707-C6708</f>
        <v>612682.91635274</v>
      </c>
      <c r="D6709" s="61" t="n">
        <f aca="false">D6706+D6707-D6708</f>
        <v>1352633.61789384</v>
      </c>
      <c r="E6709" s="61" t="n">
        <f aca="false">E6706+E6707-E6708</f>
        <v>2142655.88885702</v>
      </c>
      <c r="F6709" s="61" t="n">
        <f aca="false">F6706+F6707-F6708</f>
        <v>2915355.67097889</v>
      </c>
      <c r="G6709" s="61" t="n">
        <f aca="false">G6706+G6707-G6708</f>
        <v>3588935.44745432</v>
      </c>
      <c r="H6709" s="2" t="s">
        <v>1391</v>
      </c>
    </row>
    <row r="6710" customFormat="false" ht="15" hidden="false" customHeight="false" outlineLevel="1" collapsed="false">
      <c r="A6710" s="7" t="s">
        <v>734</v>
      </c>
      <c r="B6710" s="8" t="s">
        <v>11</v>
      </c>
      <c r="C6710" s="61" t="n">
        <f aca="false">MAX(0,C6705)-C6708</f>
        <v>0</v>
      </c>
      <c r="D6710" s="61" t="n">
        <f aca="false">MAX(0,D6705)-D6708</f>
        <v>0</v>
      </c>
      <c r="E6710" s="61" t="n">
        <f aca="false">MAX(0,E6705)-E6708</f>
        <v>0</v>
      </c>
      <c r="F6710" s="61" t="n">
        <f aca="false">MAX(0,F6705)-F6708</f>
        <v>0</v>
      </c>
      <c r="G6710" s="61" t="n">
        <f aca="false">MAX(0,G6705)-G6708</f>
        <v>0</v>
      </c>
      <c r="H6710" s="2" t="s">
        <v>1392</v>
      </c>
    </row>
    <row r="6711" customFormat="false" ht="15" hidden="false" customHeight="false" outlineLevel="1" collapsed="false">
      <c r="A6711" s="7" t="s">
        <v>735</v>
      </c>
      <c r="B6711" s="8" t="s">
        <v>11</v>
      </c>
      <c r="C6711" s="61" t="n">
        <f aca="false">Pressupostos!$C$172*MIN(C6710,Pressupostos!$C$173)+Pressupostos!$C$467*MAX(0,C6710-Pressupostos!$C$173)</f>
        <v>0</v>
      </c>
      <c r="D6711" s="61" t="n">
        <f aca="false">Pressupostos!$C$172*MIN(D6710,Pressupostos!$C$173)+Pressupostos!$D$467*MAX(0,D6710-Pressupostos!$C$173)</f>
        <v>0</v>
      </c>
      <c r="E6711" s="61" t="n">
        <f aca="false">Pressupostos!$C$172*MIN(E6710,Pressupostos!$C$173)+Pressupostos!$E$467*MAX(0,E6710-Pressupostos!$C$173)</f>
        <v>0</v>
      </c>
      <c r="F6711" s="61" t="n">
        <f aca="false">Pressupostos!$C$172*MIN(F6710,Pressupostos!$C$173)+Pressupostos!$F$467*MAX(0,F6710-Pressupostos!$C$173)</f>
        <v>0</v>
      </c>
      <c r="G6711" s="61" t="n">
        <f aca="false">Pressupostos!$C$172*MIN(G6710,Pressupostos!$C$173)+Pressupostos!$G$467*MAX(0,G6710-Pressupostos!$C$173)</f>
        <v>0</v>
      </c>
      <c r="H6711" s="2" t="s">
        <v>1393</v>
      </c>
    </row>
    <row r="6712" customFormat="false" ht="15" hidden="false" customHeight="false" outlineLevel="1" collapsed="false">
      <c r="A6712" s="7" t="s">
        <v>736</v>
      </c>
      <c r="B6712" s="8" t="s">
        <v>11</v>
      </c>
      <c r="C6712" s="61" t="n">
        <f aca="false">Pressupostos!$C$174*MAX(0,C6705)</f>
        <v>0</v>
      </c>
      <c r="D6712" s="61" t="n">
        <f aca="false">Pressupostos!$C$174*MAX(0,D6705)</f>
        <v>0</v>
      </c>
      <c r="E6712" s="61" t="n">
        <f aca="false">Pressupostos!$C$174*MAX(0,E6705)</f>
        <v>0</v>
      </c>
      <c r="F6712" s="61" t="n">
        <f aca="false">Pressupostos!$C$174*MAX(0,F6705)</f>
        <v>0</v>
      </c>
      <c r="G6712" s="61" t="n">
        <f aca="false">Pressupostos!$C$174*MAX(0,G6705)</f>
        <v>0</v>
      </c>
      <c r="H6712" s="2" t="s">
        <v>1394</v>
      </c>
    </row>
    <row r="6713" customFormat="false" ht="15" hidden="false" customHeight="false" outlineLevel="1" collapsed="false">
      <c r="A6713" s="7" t="s">
        <v>737</v>
      </c>
      <c r="B6713" s="8" t="s">
        <v>11</v>
      </c>
      <c r="C6713" s="61" t="n">
        <f aca="false">Pressupostos!$C$176*MAX(0,MIN(C6705,Pressupostos!$C$177)-Pressupostos!$C$175)+Pressupostos!$C$178*MAX(0,MIN(C6705,Pressupostos!$C$179)-Pressupostos!$C$177)+Pressupostos!$C$180*MAX(0,C6705-Pressupostos!$C$179)</f>
        <v>0</v>
      </c>
      <c r="D6713" s="61" t="n">
        <f aca="false">Pressupostos!$C$176*MAX(0,MIN(D6705,Pressupostos!$C$177)-Pressupostos!$C$175)+Pressupostos!$C$178*MAX(0,MIN(D6705,Pressupostos!$C$179)-Pressupostos!$C$177)+Pressupostos!$C$180*MAX(0,D6705-Pressupostos!$C$179)</f>
        <v>0</v>
      </c>
      <c r="E6713" s="61" t="n">
        <f aca="false">Pressupostos!$C$176*MAX(0,MIN(E6705,Pressupostos!$C$177)-Pressupostos!$C$175)+Pressupostos!$C$178*MAX(0,MIN(E6705,Pressupostos!$C$179)-Pressupostos!$C$177)+Pressupostos!$C$180*MAX(0,E6705-Pressupostos!$C$179)</f>
        <v>0</v>
      </c>
      <c r="F6713" s="61" t="n">
        <f aca="false">Pressupostos!$C$176*MAX(0,MIN(F6705,Pressupostos!$C$177)-Pressupostos!$C$175)+Pressupostos!$C$178*MAX(0,MIN(F6705,Pressupostos!$C$179)-Pressupostos!$C$177)+Pressupostos!$C$180*MAX(0,F6705-Pressupostos!$C$179)</f>
        <v>0</v>
      </c>
      <c r="G6713" s="61" t="n">
        <f aca="false">Pressupostos!$C$176*MAX(0,MIN(G6705,Pressupostos!$C$177)-Pressupostos!$C$175)+Pressupostos!$C$178*MAX(0,MIN(G6705,Pressupostos!$C$179)-Pressupostos!$C$177)+Pressupostos!$C$180*MAX(0,G6705-Pressupostos!$C$179)</f>
        <v>0</v>
      </c>
      <c r="H6713" s="2" t="s">
        <v>1395</v>
      </c>
    </row>
    <row r="6714" customFormat="false" ht="15" hidden="false" customHeight="false" outlineLevel="1" collapsed="false">
      <c r="A6714" s="7" t="s">
        <v>738</v>
      </c>
      <c r="B6714" s="8" t="s">
        <v>11</v>
      </c>
      <c r="C6714" s="61" t="n">
        <f aca="false">C6711+C6712+C6713</f>
        <v>0</v>
      </c>
      <c r="D6714" s="61" t="n">
        <f aca="false">D6711+D6712+D6713</f>
        <v>0</v>
      </c>
      <c r="E6714" s="61" t="n">
        <f aca="false">E6711+E6712+E6713</f>
        <v>0</v>
      </c>
      <c r="F6714" s="61" t="n">
        <f aca="false">F6711+F6712+F6713</f>
        <v>0</v>
      </c>
      <c r="G6714" s="61" t="n">
        <f aca="false">G6711+G6712+G6713</f>
        <v>0</v>
      </c>
      <c r="H6714" s="2" t="s">
        <v>1396</v>
      </c>
    </row>
    <row r="6715" customFormat="false" ht="15" hidden="false" customHeight="false" outlineLevel="0" collapsed="false">
      <c r="A6715" s="3" t="s">
        <v>1397</v>
      </c>
      <c r="B6715" s="4"/>
      <c r="C6715" s="4"/>
      <c r="D6715" s="4"/>
      <c r="E6715" s="4"/>
      <c r="F6715" s="4"/>
      <c r="G6715" s="4"/>
      <c r="H6715" s="4"/>
    </row>
    <row r="6716" customFormat="false" ht="15" hidden="false" customHeight="false" outlineLevel="1" collapsed="false">
      <c r="A6716" s="7" t="s">
        <v>738</v>
      </c>
      <c r="B6716" s="8" t="s">
        <v>11</v>
      </c>
      <c r="C6716" s="61" t="n">
        <f aca="false">-C6714</f>
        <v>-0</v>
      </c>
      <c r="D6716" s="61" t="n">
        <f aca="false">-D6714</f>
        <v>-0</v>
      </c>
      <c r="E6716" s="61" t="n">
        <f aca="false">-E6714</f>
        <v>-0</v>
      </c>
      <c r="F6716" s="61" t="n">
        <f aca="false">-F6714</f>
        <v>-0</v>
      </c>
      <c r="G6716" s="61" t="n">
        <f aca="false">-G6714</f>
        <v>-0</v>
      </c>
      <c r="H6716" s="2" t="s">
        <v>1398</v>
      </c>
    </row>
    <row r="6717" customFormat="false" ht="15" hidden="false" customHeight="false" outlineLevel="1" collapsed="false">
      <c r="A6717" s="56" t="s">
        <v>740</v>
      </c>
      <c r="B6717" s="57" t="s">
        <v>11</v>
      </c>
      <c r="C6717" s="62" t="n">
        <f aca="false">C6703+C6716</f>
        <v>-612682.91635274</v>
      </c>
      <c r="D6717" s="62" t="n">
        <f aca="false">D6703+D6716</f>
        <v>-739950.701541096</v>
      </c>
      <c r="E6717" s="62" t="n">
        <f aca="false">E6703+E6716</f>
        <v>-790022.270963186</v>
      </c>
      <c r="F6717" s="62" t="n">
        <f aca="false">F6703+F6716</f>
        <v>-772699.782121864</v>
      </c>
      <c r="G6717" s="62" t="n">
        <f aca="false">G6703+G6716</f>
        <v>-673579.776475435</v>
      </c>
      <c r="H6717" s="2" t="s">
        <v>1399</v>
      </c>
    </row>
    <row r="6718" customFormat="false" ht="15" hidden="false" customHeight="false" outlineLevel="0" collapsed="false">
      <c r="A6718" s="3" t="s">
        <v>1400</v>
      </c>
      <c r="B6718" s="4"/>
      <c r="C6718" s="4"/>
      <c r="D6718" s="4"/>
      <c r="E6718" s="4"/>
      <c r="F6718" s="4"/>
      <c r="G6718" s="4"/>
      <c r="H6718" s="4"/>
    </row>
    <row r="6719" customFormat="false" ht="15" hidden="false" customHeight="false" outlineLevel="1" collapsed="false">
      <c r="A6719" s="7" t="s">
        <v>744</v>
      </c>
      <c r="B6719" s="8" t="s">
        <v>11</v>
      </c>
      <c r="C6719" s="61" t="n">
        <f aca="false">C6491*1000*((C6509+C6512)*C6515/365)+C6492*1000*((C6532+C6535)*C6538/365)+C6494*1000*((C6555+C6558)*C6561/365)</f>
        <v>34293.698630137</v>
      </c>
      <c r="D6719" s="61" t="n">
        <f aca="false">D6491*1000*((D6509+D6512)*D6515/365)+D6492*1000*((D6532+D6535)*D6538/365)+D6494*1000*((D6555+D6558)*D6561/365)</f>
        <v>184524.657534247</v>
      </c>
      <c r="E6719" s="61" t="n">
        <f aca="false">E6491*1000*((E6509+E6512)*E6515/365)+E6492*1000*((E6532+E6535)*E6538/365)+E6494*1000*((E6555+E6558)*E6561/365)</f>
        <v>281132.876712329</v>
      </c>
      <c r="F6719" s="61" t="n">
        <f aca="false">F6491*1000*((F6509+F6512)*F6515/365)+F6492*1000*((F6532+F6535)*F6538/365)+F6494*1000*((F6555+F6558)*F6561/365)</f>
        <v>468098.630136986</v>
      </c>
      <c r="G6719" s="61" t="n">
        <f aca="false">G6491*1000*((G6509+G6512)*G6515/365)+G6492*1000*((G6532+G6535)*G6538/365)+G6494*1000*((G6555+G6558)*G6561/365)</f>
        <v>702000</v>
      </c>
      <c r="H6719" s="2" t="s">
        <v>1401</v>
      </c>
    </row>
    <row r="6720" customFormat="false" ht="15" hidden="false" customHeight="false" outlineLevel="1" collapsed="false">
      <c r="A6720" s="7" t="s">
        <v>745</v>
      </c>
      <c r="B6720" s="8" t="s">
        <v>11</v>
      </c>
      <c r="C6720" s="61" t="n">
        <f aca="false">C6719+C6504*1000*Pressupostos!$C$92*Pressupostos!$C$95/365</f>
        <v>34293.698630137</v>
      </c>
      <c r="D6720" s="61" t="n">
        <f aca="false">D6719+D6504*1000*Pressupostos!$C$92*Pressupostos!$C$95/365</f>
        <v>184524.657534247</v>
      </c>
      <c r="E6720" s="61" t="n">
        <f aca="false">E6719+E6504*1000*Pressupostos!$C$92*Pressupostos!$C$95/365</f>
        <v>281132.876712329</v>
      </c>
      <c r="F6720" s="61" t="n">
        <f aca="false">F6719+F6504*1000*Pressupostos!$C$92*Pressupostos!$C$95/365</f>
        <v>485358.904109589</v>
      </c>
      <c r="G6720" s="61" t="n">
        <f aca="false">G6719+G6504*1000*Pressupostos!$C$92*Pressupostos!$C$95/365</f>
        <v>745150.684931507</v>
      </c>
      <c r="H6720" s="2" t="s">
        <v>1402</v>
      </c>
    </row>
    <row r="6721" customFormat="false" ht="15" hidden="false" customHeight="false" outlineLevel="1" collapsed="false">
      <c r="A6721" s="7" t="s">
        <v>746</v>
      </c>
      <c r="B6721" s="8" t="s">
        <v>11</v>
      </c>
      <c r="C6721" s="61" t="n">
        <f aca="false">C6491*1000*(C6511*C6516/365)+C6492*1000*(C6534*C6539/365)+C6494*1000*(C6557*C6562/365)+C6586*Pressupostos!$C$96/365+(C6588+C6589)*Pressupostos!$C$82/365</f>
        <v>39130.498630137</v>
      </c>
      <c r="D6721" s="61" t="n">
        <f aca="false">D6491*1000*(D6511*D6516/365)+D6492*1000*(D6534*D6539/365)+D6494*1000*(D6557*D6562/365)+D6586*Pressupostos!$C$96/365+(D6588+D6589)*Pressupostos!$C$82/365</f>
        <v>260470.191780822</v>
      </c>
      <c r="E6721" s="61" t="n">
        <f aca="false">E6491*1000*(E6511*E6516/365)+E6492*1000*(E6534*E6539/365)+E6494*1000*(E6557*E6562/365)+E6586*Pressupostos!$C$96/365+(E6588+E6589)*Pressupostos!$C$82/365</f>
        <v>526639.232876712</v>
      </c>
      <c r="F6721" s="61" t="n">
        <f aca="false">F6491*1000*(F6511*F6516/365)+F6492*1000*(F6534*F6539/365)+F6494*1000*(F6557*F6562/365)+F6586*Pressupostos!$C$96/365+(F6588+F6589)*Pressupostos!$C$82/365</f>
        <v>886141.260273973</v>
      </c>
      <c r="G6721" s="61" t="n">
        <f aca="false">G6491*1000*(G6511*G6516/365)+G6492*1000*(G6534*G6539/365)+G6494*1000*(G6557*G6562/365)+G6586*Pressupostos!$C$96/365+(G6588+G6589)*Pressupostos!$C$82/365</f>
        <v>1346642.60273973</v>
      </c>
      <c r="H6721" s="2" t="s">
        <v>1403</v>
      </c>
    </row>
    <row r="6722" customFormat="false" ht="15" hidden="false" customHeight="false" outlineLevel="1" collapsed="false">
      <c r="A6722" s="7" t="s">
        <v>747</v>
      </c>
      <c r="B6722" s="8" t="s">
        <v>11</v>
      </c>
      <c r="C6722" s="61" t="n">
        <f aca="false">C6491*1000*((C6509+C6512)*Pressupostos!$C$72/365)+C6492*1000*((C6532+C6535)*Pressupostos!$C$72/365)+C6494*1000*((C6555+C6558)*Pressupostos!$C$72/365)+C6504*1000*Pressupostos!$C$92*Pressupostos!$C$97/365</f>
        <v>20140.2739726027</v>
      </c>
      <c r="D6722" s="61" t="n">
        <f aca="false">D6491*1000*((D6509+D6512)*Pressupostos!$C$72/365)+D6492*1000*((D6532+D6535)*Pressupostos!$C$72/365)+D6494*1000*((D6555+D6558)*Pressupostos!$C$72/365)+D6504*1000*Pressupostos!$C$92*Pressupostos!$C$97/365</f>
        <v>131449.315068493</v>
      </c>
      <c r="E6722" s="61" t="n">
        <f aca="false">E6491*1000*((E6509+E6512)*Pressupostos!$C$72/365)+E6492*1000*((E6532+E6535)*Pressupostos!$C$72/365)+E6494*1000*((E6555+E6558)*Pressupostos!$C$72/365)+E6504*1000*Pressupostos!$C$92*Pressupostos!$C$97/365</f>
        <v>266979.452054795</v>
      </c>
      <c r="F6722" s="61" t="n">
        <f aca="false">F6491*1000*((F6509+F6512)*Pressupostos!$C$72/365)+F6492*1000*((F6532+F6535)*Pressupostos!$C$72/365)+F6494*1000*((F6555+F6558)*Pressupostos!$C$72/365)+F6504*1000*Pressupostos!$C$92*Pressupostos!$C$97/365</f>
        <v>454836.98630137</v>
      </c>
      <c r="G6722" s="61" t="n">
        <f aca="false">G6491*1000*((G6509+G6512)*Pressupostos!$C$72/365)+G6492*1000*((G6532+G6535)*Pressupostos!$C$72/365)+G6494*1000*((G6555+G6558)*Pressupostos!$C$72/365)+G6504*1000*Pressupostos!$C$92*Pressupostos!$C$97/365</f>
        <v>695383.561643836</v>
      </c>
      <c r="H6722" s="2" t="s">
        <v>1404</v>
      </c>
    </row>
    <row r="6723" customFormat="false" ht="15" hidden="false" customHeight="false" outlineLevel="1" collapsed="false">
      <c r="A6723" s="56" t="s">
        <v>748</v>
      </c>
      <c r="B6723" s="57" t="s">
        <v>11</v>
      </c>
      <c r="C6723" s="62" t="n">
        <f aca="false">C6720+C6721-C6722</f>
        <v>53283.9232876712</v>
      </c>
      <c r="D6723" s="62" t="n">
        <f aca="false">D6720+D6721-D6722</f>
        <v>313545.534246575</v>
      </c>
      <c r="E6723" s="62" t="n">
        <f aca="false">E6720+E6721-E6722</f>
        <v>540792.657534246</v>
      </c>
      <c r="F6723" s="62" t="n">
        <f aca="false">F6720+F6721-F6722</f>
        <v>916663.178082192</v>
      </c>
      <c r="G6723" s="62" t="n">
        <f aca="false">G6720+G6721-G6722</f>
        <v>1396409.7260274</v>
      </c>
      <c r="H6723" s="2" t="s">
        <v>1405</v>
      </c>
    </row>
    <row r="6724" customFormat="false" ht="15" hidden="false" customHeight="false" outlineLevel="0" collapsed="false">
      <c r="A6724" s="3" t="s">
        <v>1406</v>
      </c>
      <c r="B6724" s="4"/>
      <c r="C6724" s="4"/>
      <c r="D6724" s="4"/>
      <c r="E6724" s="4"/>
      <c r="F6724" s="4"/>
      <c r="G6724" s="4"/>
      <c r="H6724" s="4"/>
    </row>
    <row r="6725" customFormat="false" ht="15" hidden="false" customHeight="false" outlineLevel="1" collapsed="false">
      <c r="A6725" s="56" t="s">
        <v>750</v>
      </c>
      <c r="B6725" s="57" t="s">
        <v>11</v>
      </c>
      <c r="C6725" s="62" t="n">
        <f aca="false">Pressupostos!$C$284*C6723/Pressupostos!$F$31</f>
        <v>0</v>
      </c>
      <c r="D6725" s="62" t="n">
        <f aca="false">Pressupostos!$D$284*D6723/Pressupostos!$F$31</f>
        <v>293948.938356164</v>
      </c>
      <c r="E6725" s="62" t="n">
        <f aca="false">Pressupostos!$E$284*E6723/Pressupostos!$F$31</f>
        <v>506993.116438356</v>
      </c>
      <c r="F6725" s="62" t="n">
        <f aca="false">Pressupostos!$F$284*F6723/Pressupostos!$F$31</f>
        <v>859371.729452055</v>
      </c>
      <c r="G6725" s="62" t="n">
        <f aca="false">Pressupostos!$G$284*G6723/Pressupostos!$F$31</f>
        <v>1309134.11815068</v>
      </c>
      <c r="H6725" s="2" t="s">
        <v>1407</v>
      </c>
    </row>
    <row r="6726" customFormat="false" ht="15" hidden="false" customHeight="false" outlineLevel="1" collapsed="false">
      <c r="A6726" s="7" t="s">
        <v>751</v>
      </c>
      <c r="B6726" s="8" t="s">
        <v>11</v>
      </c>
      <c r="C6726" s="61" t="n">
        <f aca="false">Pressupostos!$C$284*C6723</f>
        <v>0</v>
      </c>
      <c r="D6726" s="61" t="n">
        <f aca="false">Pressupostos!$D$284*D6723</f>
        <v>235159.150684932</v>
      </c>
      <c r="E6726" s="61" t="n">
        <f aca="false">Pressupostos!$E$284*E6723</f>
        <v>405594.493150685</v>
      </c>
      <c r="F6726" s="61" t="n">
        <f aca="false">Pressupostos!$F$284*F6723</f>
        <v>687497.383561644</v>
      </c>
      <c r="G6726" s="61" t="n">
        <f aca="false">Pressupostos!$G$284*G6723</f>
        <v>1047307.29452055</v>
      </c>
      <c r="H6726" s="2" t="s">
        <v>1408</v>
      </c>
    </row>
    <row r="6727" customFormat="false" ht="15" hidden="false" customHeight="false" outlineLevel="1" collapsed="false">
      <c r="A6727" s="7" t="s">
        <v>752</v>
      </c>
      <c r="B6727" s="8" t="s">
        <v>11</v>
      </c>
      <c r="C6727" s="61" t="n">
        <f aca="false">C6725-C6726</f>
        <v>0</v>
      </c>
      <c r="D6727" s="61" t="n">
        <f aca="false">D6725-D6726</f>
        <v>58789.7876712328</v>
      </c>
      <c r="E6727" s="61" t="n">
        <f aca="false">E6725-E6726</f>
        <v>101398.623287671</v>
      </c>
      <c r="F6727" s="61" t="n">
        <f aca="false">F6725-F6726</f>
        <v>171874.345890411</v>
      </c>
      <c r="G6727" s="61" t="n">
        <f aca="false">G6725-G6726</f>
        <v>261826.823630137</v>
      </c>
      <c r="H6727" s="2" t="s">
        <v>1409</v>
      </c>
    </row>
    <row r="6728" customFormat="false" ht="15" hidden="false" customHeight="false" outlineLevel="1" collapsed="false">
      <c r="A6728" s="7" t="s">
        <v>753</v>
      </c>
      <c r="B6728" s="8" t="s">
        <v>11</v>
      </c>
      <c r="C6728" s="61" t="n">
        <f aca="false">C6723-C6726</f>
        <v>53283.9232876712</v>
      </c>
      <c r="D6728" s="61" t="n">
        <f aca="false">D6723-D6726</f>
        <v>78386.3835616438</v>
      </c>
      <c r="E6728" s="61" t="n">
        <f aca="false">E6723-E6726</f>
        <v>135198.164383562</v>
      </c>
      <c r="F6728" s="61" t="n">
        <f aca="false">F6723-F6726</f>
        <v>229165.794520548</v>
      </c>
      <c r="G6728" s="61" t="n">
        <f aca="false">G6723-G6726</f>
        <v>349102.431506849</v>
      </c>
      <c r="H6728" s="2" t="s">
        <v>1410</v>
      </c>
    </row>
    <row r="6729" customFormat="false" ht="15" hidden="false" customHeight="false" outlineLevel="1" collapsed="false">
      <c r="A6729" s="7" t="s">
        <v>754</v>
      </c>
      <c r="B6729" s="8" t="s">
        <v>11</v>
      </c>
      <c r="C6729" s="61" t="n">
        <f aca="false">MAX(0,Pressupostos!$C$108-C6728)</f>
        <v>0</v>
      </c>
      <c r="D6729" s="61" t="n">
        <f aca="false">MAX(0,Pressupostos!$C$108-D6728)</f>
        <v>0</v>
      </c>
      <c r="E6729" s="61" t="n">
        <f aca="false">MAX(0,Pressupostos!$C$108-E6728)</f>
        <v>0</v>
      </c>
      <c r="F6729" s="61" t="n">
        <f aca="false">MAX(0,Pressupostos!$C$108-F6728)</f>
        <v>0</v>
      </c>
      <c r="G6729" s="61" t="n">
        <f aca="false">MAX(0,Pressupostos!$C$108-G6728)</f>
        <v>0</v>
      </c>
      <c r="H6729" s="2" t="s">
        <v>1411</v>
      </c>
    </row>
    <row r="6730" customFormat="false" ht="15" hidden="false" customHeight="false" outlineLevel="1" collapsed="false">
      <c r="A6730" s="7" t="s">
        <v>755</v>
      </c>
      <c r="B6730" s="8" t="s">
        <v>11</v>
      </c>
      <c r="C6730" s="61" t="n">
        <f aca="false">Pressupostos!$C$109*C6725</f>
        <v>0</v>
      </c>
      <c r="D6730" s="61" t="n">
        <f aca="false">Pressupostos!$C$109*D6725</f>
        <v>14697.4469178082</v>
      </c>
      <c r="E6730" s="61" t="n">
        <f aca="false">Pressupostos!$C$109*E6725</f>
        <v>25349.6558219178</v>
      </c>
      <c r="F6730" s="61" t="n">
        <f aca="false">Pressupostos!$C$109*F6725</f>
        <v>42968.5864726027</v>
      </c>
      <c r="G6730" s="61" t="n">
        <f aca="false">Pressupostos!$C$109*G6725</f>
        <v>65456.7059075342</v>
      </c>
      <c r="H6730" s="2" t="s">
        <v>1412</v>
      </c>
    </row>
    <row r="6731" customFormat="false" ht="15" hidden="false" customHeight="false" outlineLevel="1" collapsed="false">
      <c r="A6731" s="2" t="s">
        <v>756</v>
      </c>
      <c r="B6731" s="8" t="s">
        <v>123</v>
      </c>
      <c r="C6731" s="61" t="n">
        <f aca="false">C6725/Pressupostos!$C$112</f>
        <v>0</v>
      </c>
      <c r="D6731" s="61" t="n">
        <f aca="false">D6725/Pressupostos!$C$112</f>
        <v>5.87897876712329</v>
      </c>
      <c r="E6731" s="61" t="n">
        <f aca="false">E6725/Pressupostos!$C$112</f>
        <v>10.1398623287671</v>
      </c>
      <c r="F6731" s="61" t="n">
        <f aca="false">F6725/Pressupostos!$C$112</f>
        <v>17.1874345890411</v>
      </c>
      <c r="G6731" s="61" t="n">
        <f aca="false">G6725/Pressupostos!$C$112</f>
        <v>26.1826823630137</v>
      </c>
      <c r="H6731" s="2" t="s">
        <v>1413</v>
      </c>
    </row>
    <row r="6732" customFormat="false" ht="15" hidden="false" customHeight="false" outlineLevel="0" collapsed="false">
      <c r="A6732" s="3" t="s">
        <v>1414</v>
      </c>
      <c r="B6732" s="4"/>
      <c r="C6732" s="4"/>
      <c r="D6732" s="4"/>
      <c r="E6732" s="4"/>
      <c r="F6732" s="4"/>
      <c r="G6732" s="4"/>
      <c r="H6732" s="4"/>
    </row>
    <row r="6733" customFormat="false" ht="15" hidden="false" customHeight="false" outlineLevel="1" collapsed="false">
      <c r="A6733" s="7" t="s">
        <v>758</v>
      </c>
      <c r="B6733" s="8" t="s">
        <v>11</v>
      </c>
      <c r="C6733" s="61" t="n">
        <f aca="false">C6699</f>
        <v>-586332.91635274</v>
      </c>
      <c r="D6733" s="61" t="n">
        <f aca="false">D6699</f>
        <v>-700200.701541096</v>
      </c>
      <c r="E6733" s="61" t="n">
        <f aca="false">E6699</f>
        <v>-737372.270963186</v>
      </c>
      <c r="F6733" s="61" t="n">
        <f aca="false">F6699</f>
        <v>-729733.115455198</v>
      </c>
      <c r="G6733" s="61" t="n">
        <f aca="false">G6699</f>
        <v>-633796.443142101</v>
      </c>
      <c r="H6733" s="2" t="s">
        <v>1415</v>
      </c>
    </row>
    <row r="6734" customFormat="false" ht="15" hidden="false" customHeight="false" outlineLevel="1" collapsed="false">
      <c r="A6734" s="7" t="s">
        <v>759</v>
      </c>
      <c r="B6734" s="8" t="s">
        <v>11</v>
      </c>
      <c r="C6734" s="61" t="n">
        <f aca="false">-C6714</f>
        <v>-0</v>
      </c>
      <c r="D6734" s="61" t="n">
        <f aca="false">-D6714</f>
        <v>-0</v>
      </c>
      <c r="E6734" s="61" t="n">
        <f aca="false">-E6714</f>
        <v>-0</v>
      </c>
      <c r="F6734" s="61" t="n">
        <f aca="false">-F6714</f>
        <v>-0</v>
      </c>
      <c r="G6734" s="61" t="n">
        <f aca="false">-G6714</f>
        <v>-0</v>
      </c>
      <c r="H6734" s="2" t="s">
        <v>1416</v>
      </c>
    </row>
    <row r="6735" customFormat="false" ht="15" hidden="false" customHeight="false" outlineLevel="1" collapsed="false">
      <c r="A6735" s="7" t="s">
        <v>760</v>
      </c>
      <c r="B6735" s="8" t="s">
        <v>11</v>
      </c>
      <c r="C6735" s="61" t="n">
        <f aca="false">-C6723</f>
        <v>-53283.9232876712</v>
      </c>
      <c r="D6735" s="61" t="n">
        <f aca="false">-(D6723-C6723)</f>
        <v>-260261.610958904</v>
      </c>
      <c r="E6735" s="61" t="n">
        <f aca="false">-(E6723-D6723)</f>
        <v>-227247.123287671</v>
      </c>
      <c r="F6735" s="61" t="n">
        <f aca="false">-(F6723-E6723)</f>
        <v>-375870.520547945</v>
      </c>
      <c r="G6735" s="61" t="n">
        <f aca="false">-(G6723-F6723)</f>
        <v>-479746.547945205</v>
      </c>
      <c r="H6735" s="2" t="s">
        <v>1417</v>
      </c>
    </row>
    <row r="6736" customFormat="false" ht="15" hidden="false" customHeight="false" outlineLevel="1" collapsed="false">
      <c r="A6736" s="7" t="s">
        <v>424</v>
      </c>
      <c r="B6736" s="8" t="s">
        <v>11</v>
      </c>
      <c r="C6736" s="61" t="n">
        <f aca="false">-C6683</f>
        <v>-89000</v>
      </c>
      <c r="D6736" s="61" t="n">
        <f aca="false">-D6683</f>
        <v>-46000</v>
      </c>
      <c r="E6736" s="61" t="n">
        <f aca="false">-E6683</f>
        <v>-44000</v>
      </c>
      <c r="F6736" s="61" t="n">
        <f aca="false">-F6683</f>
        <v>-37000</v>
      </c>
      <c r="G6736" s="61" t="n">
        <f aca="false">-G6683</f>
        <v>-34000</v>
      </c>
      <c r="H6736" s="2" t="s">
        <v>1418</v>
      </c>
    </row>
    <row r="6737" customFormat="false" ht="15" hidden="false" customHeight="false" outlineLevel="1" collapsed="false">
      <c r="A6737" s="7" t="s">
        <v>761</v>
      </c>
      <c r="B6737" s="8" t="s">
        <v>11</v>
      </c>
      <c r="C6737" s="61" t="n">
        <f aca="false">C6733+C6734+C6735+C6736</f>
        <v>-728616.839640411</v>
      </c>
      <c r="D6737" s="61" t="n">
        <f aca="false">D6733+D6734+D6735+D6736</f>
        <v>-1006462.3125</v>
      </c>
      <c r="E6737" s="61" t="n">
        <f aca="false">E6733+E6734+E6735+E6736</f>
        <v>-1008619.39425086</v>
      </c>
      <c r="F6737" s="61" t="n">
        <f aca="false">F6733+F6734+F6735+F6736</f>
        <v>-1142603.63600314</v>
      </c>
      <c r="G6737" s="61" t="n">
        <f aca="false">G6733+G6734+G6735+G6736</f>
        <v>-1147542.99108731</v>
      </c>
      <c r="H6737" s="2" t="s">
        <v>1419</v>
      </c>
    </row>
    <row r="6738" customFormat="false" ht="15" hidden="false" customHeight="false" outlineLevel="1" collapsed="false">
      <c r="A6738" s="7" t="s">
        <v>762</v>
      </c>
      <c r="B6738" s="8" t="s">
        <v>11</v>
      </c>
      <c r="C6738" s="61" t="n">
        <f aca="false">C6725</f>
        <v>0</v>
      </c>
      <c r="D6738" s="61" t="n">
        <f aca="false">D6725-C6725</f>
        <v>293948.938356164</v>
      </c>
      <c r="E6738" s="61" t="n">
        <f aca="false">E6725-D6725</f>
        <v>213044.178082192</v>
      </c>
      <c r="F6738" s="61" t="n">
        <f aca="false">F6725-E6725</f>
        <v>352378.613013699</v>
      </c>
      <c r="G6738" s="61" t="n">
        <f aca="false">G6725-F6725</f>
        <v>449762.38869863</v>
      </c>
      <c r="H6738" s="2" t="s">
        <v>1420</v>
      </c>
    </row>
    <row r="6739" customFormat="false" ht="15" hidden="false" customHeight="false" outlineLevel="1" collapsed="false">
      <c r="A6739" s="7" t="s">
        <v>763</v>
      </c>
      <c r="B6739" s="8" t="s">
        <v>11</v>
      </c>
      <c r="C6739" s="61" t="n">
        <f aca="false">-C6727</f>
        <v>-0</v>
      </c>
      <c r="D6739" s="61" t="n">
        <f aca="false">-(D6727-C6727)</f>
        <v>-58789.7876712328</v>
      </c>
      <c r="E6739" s="61" t="n">
        <f aca="false">-(E6727-D6727)</f>
        <v>-42608.8356164384</v>
      </c>
      <c r="F6739" s="61" t="n">
        <f aca="false">-(F6727-E6727)</f>
        <v>-70475.7226027398</v>
      </c>
      <c r="G6739" s="61" t="n">
        <f aca="false">-(G6727-F6727)</f>
        <v>-89952.4777397258</v>
      </c>
      <c r="H6739" s="2" t="s">
        <v>1421</v>
      </c>
    </row>
    <row r="6740" customFormat="false" ht="15" hidden="false" customHeight="false" outlineLevel="1" collapsed="false">
      <c r="A6740" s="7" t="s">
        <v>764</v>
      </c>
      <c r="B6740" s="8" t="s">
        <v>11</v>
      </c>
      <c r="C6740" s="61" t="n">
        <f aca="false">-C6730</f>
        <v>-0</v>
      </c>
      <c r="D6740" s="61" t="n">
        <f aca="false">-(D6730-C6730)</f>
        <v>-14697.4469178082</v>
      </c>
      <c r="E6740" s="61" t="n">
        <f aca="false">-(E6730-D6730)</f>
        <v>-10652.2089041096</v>
      </c>
      <c r="F6740" s="61" t="n">
        <f aca="false">-(F6730-E6730)</f>
        <v>-17618.9306506849</v>
      </c>
      <c r="G6740" s="61" t="n">
        <f aca="false">-(G6730-F6730)</f>
        <v>-22488.1194349315</v>
      </c>
      <c r="H6740" s="2" t="s">
        <v>1422</v>
      </c>
    </row>
    <row r="6741" customFormat="false" ht="15" hidden="false" customHeight="false" outlineLevel="1" collapsed="false">
      <c r="A6741" s="7" t="s">
        <v>765</v>
      </c>
      <c r="B6741" s="8" t="s">
        <v>11</v>
      </c>
      <c r="C6741" s="61" t="n">
        <f aca="false">-(C6729-Pressupostos!$C$108)</f>
        <v>50000</v>
      </c>
      <c r="D6741" s="61" t="n">
        <f aca="false">-(D6729-C6729)</f>
        <v>-0</v>
      </c>
      <c r="E6741" s="61" t="n">
        <f aca="false">-(E6729-D6729)</f>
        <v>-0</v>
      </c>
      <c r="F6741" s="61" t="n">
        <f aca="false">-(F6729-E6729)</f>
        <v>-0</v>
      </c>
      <c r="G6741" s="61" t="n">
        <f aca="false">-(G6729-F6729)</f>
        <v>-0</v>
      </c>
      <c r="H6741" s="2" t="s">
        <v>1423</v>
      </c>
    </row>
    <row r="6742" customFormat="false" ht="15" hidden="false" customHeight="false" outlineLevel="1" collapsed="false">
      <c r="A6742" s="56" t="s">
        <v>766</v>
      </c>
      <c r="B6742" s="57" t="s">
        <v>11</v>
      </c>
      <c r="C6742" s="62" t="n">
        <f aca="false">C6737+C6738+C6739+C6740+C6741</f>
        <v>-678616.839640411</v>
      </c>
      <c r="D6742" s="62" t="n">
        <f aca="false">D6737+D6738+D6739+D6740+D6741</f>
        <v>-786000.608732877</v>
      </c>
      <c r="E6742" s="62" t="n">
        <f aca="false">E6737+E6738+E6739+E6740+E6741</f>
        <v>-848836.260689213</v>
      </c>
      <c r="F6742" s="62" t="n">
        <f aca="false">F6737+F6738+F6739+F6740+F6741</f>
        <v>-878319.676242869</v>
      </c>
      <c r="G6742" s="62" t="n">
        <f aca="false">G6737+G6738+G6739+G6740+G6741</f>
        <v>-810221.199563334</v>
      </c>
      <c r="H6742" s="2" t="s">
        <v>1424</v>
      </c>
    </row>
    <row r="6743" customFormat="false" ht="15" hidden="false" customHeight="false" outlineLevel="1" collapsed="false">
      <c r="A6743" s="56" t="s">
        <v>767</v>
      </c>
      <c r="B6743" s="57" t="s">
        <v>11</v>
      </c>
      <c r="C6743" s="62" t="n">
        <f aca="false">C6742</f>
        <v>-678616.839640411</v>
      </c>
      <c r="D6743" s="62" t="n">
        <f aca="false">C6743+D6742</f>
        <v>-1464617.44837329</v>
      </c>
      <c r="E6743" s="62" t="n">
        <f aca="false">D6743+E6742</f>
        <v>-2313453.7090625</v>
      </c>
      <c r="F6743" s="62" t="n">
        <f aca="false">E6743+F6742</f>
        <v>-3191773.38530537</v>
      </c>
      <c r="G6743" s="62" t="n">
        <f aca="false">F6743+G6742</f>
        <v>-4001994.5848687</v>
      </c>
      <c r="H6743" s="2" t="s">
        <v>1425</v>
      </c>
    </row>
    <row r="6744" customFormat="false" ht="15" hidden="false" customHeight="false" outlineLevel="1" collapsed="false">
      <c r="A6744" s="8" t="s">
        <v>768</v>
      </c>
      <c r="B6744" s="8" t="s">
        <v>11</v>
      </c>
      <c r="C6744" s="70" t="n">
        <f aca="false">ROUND(C6699-C6683-C6714-(MAX(C6728,Pressupostos!$C$108)-Pressupostos!$C$108)-(C6730)-C6742,6)</f>
        <v>0</v>
      </c>
      <c r="D6744" s="70" t="n">
        <f aca="false">ROUND(D6699-D6683-D6714-(MAX(D6728,Pressupostos!$C$108)-MAX(C6728,Pressupostos!$C$108))-(D6730-C6730)-D6742,6)</f>
        <v>0</v>
      </c>
      <c r="E6744" s="70" t="n">
        <f aca="false">ROUND(E6699-E6683-E6714-(MAX(E6728,Pressupostos!$C$108)-MAX(D6728,Pressupostos!$C$108))-(E6730-D6730)-E6742,6)</f>
        <v>0</v>
      </c>
      <c r="F6744" s="70" t="n">
        <f aca="false">ROUND(F6699-F6683-F6714-(MAX(F6728,Pressupostos!$C$108)-MAX(E6728,Pressupostos!$C$108))-(F6730-E6730)-F6742,6)</f>
        <v>0</v>
      </c>
      <c r="G6744" s="70" t="n">
        <f aca="false">ROUND(G6699-G6683-G6714-(MAX(G6728,Pressupostos!$C$108)-MAX(F6728,Pressupostos!$C$108))-(G6730-F6730)-G6742,6)</f>
        <v>0</v>
      </c>
      <c r="H6744" s="2" t="s">
        <v>1426</v>
      </c>
    </row>
    <row r="6745" customFormat="false" ht="15" hidden="false" customHeight="false" outlineLevel="0" collapsed="false">
      <c r="A6745" s="3" t="s">
        <v>1427</v>
      </c>
      <c r="B6745" s="4"/>
      <c r="C6745" s="4"/>
      <c r="D6745" s="4"/>
      <c r="E6745" s="4"/>
      <c r="F6745" s="4"/>
      <c r="G6745" s="4"/>
      <c r="H6745" s="4"/>
    </row>
    <row r="6746" customFormat="false" ht="15" hidden="false" customHeight="false" outlineLevel="1" collapsed="false">
      <c r="A6746" s="7" t="s">
        <v>770</v>
      </c>
      <c r="B6746" s="8" t="s">
        <v>11</v>
      </c>
      <c r="C6746" s="61" t="n">
        <f aca="false">0</f>
        <v>0</v>
      </c>
      <c r="D6746" s="61" t="n">
        <f aca="false">C6751</f>
        <v>276383.160359589</v>
      </c>
      <c r="E6746" s="61" t="n">
        <f aca="false">D6751</f>
        <v>150000</v>
      </c>
      <c r="F6746" s="61" t="n">
        <f aca="false">E6751</f>
        <v>150000</v>
      </c>
      <c r="G6746" s="61" t="n">
        <f aca="false">F6751</f>
        <v>150000</v>
      </c>
      <c r="H6746" s="2" t="s">
        <v>1428</v>
      </c>
    </row>
    <row r="6747" customFormat="false" ht="15" hidden="false" customHeight="false" outlineLevel="1" collapsed="false">
      <c r="A6747" s="7" t="s">
        <v>771</v>
      </c>
      <c r="B6747" s="8" t="s">
        <v>11</v>
      </c>
      <c r="C6747" s="61" t="n">
        <f aca="false">-(Pressupostos!$C$159+Pressupostos!$C$160+Pressupostos!$C$161+Pressupostos!$C$162+Pressupostos!$C$163+Pressupostos!$C$108)</f>
        <v>-145000</v>
      </c>
      <c r="D6747" s="61" t="n">
        <f aca="false">0</f>
        <v>0</v>
      </c>
      <c r="E6747" s="61" t="n">
        <f aca="false">0</f>
        <v>0</v>
      </c>
      <c r="F6747" s="61" t="n">
        <f aca="false">0</f>
        <v>0</v>
      </c>
      <c r="G6747" s="61" t="n">
        <f aca="false">0</f>
        <v>0</v>
      </c>
      <c r="H6747" s="2" t="s">
        <v>1429</v>
      </c>
    </row>
    <row r="6748" customFormat="false" ht="15" hidden="false" customHeight="false" outlineLevel="1" collapsed="false">
      <c r="A6748" s="7" t="s">
        <v>772</v>
      </c>
      <c r="B6748" s="8" t="s">
        <v>11</v>
      </c>
      <c r="C6748" s="53" t="n">
        <f aca="false">Pressupostos!$F$32</f>
        <v>1100000</v>
      </c>
      <c r="D6748" s="61" t="n">
        <f aca="false">0</f>
        <v>0</v>
      </c>
      <c r="E6748" s="61" t="n">
        <f aca="false">0</f>
        <v>0</v>
      </c>
      <c r="F6748" s="61" t="n">
        <f aca="false">0</f>
        <v>0</v>
      </c>
      <c r="G6748" s="61" t="n">
        <f aca="false">0</f>
        <v>0</v>
      </c>
      <c r="H6748" s="2" t="s">
        <v>1430</v>
      </c>
    </row>
    <row r="6749" customFormat="false" ht="15" hidden="false" customHeight="false" outlineLevel="1" collapsed="false">
      <c r="A6749" s="7" t="s">
        <v>773</v>
      </c>
      <c r="B6749" s="8" t="s">
        <v>11</v>
      </c>
      <c r="C6749" s="61" t="n">
        <f aca="false">C6746+C6747+C6748+C6742</f>
        <v>276383.160359589</v>
      </c>
      <c r="D6749" s="61" t="n">
        <f aca="false">D6746+D6747+D6748+D6742</f>
        <v>-509617.448373288</v>
      </c>
      <c r="E6749" s="61" t="n">
        <f aca="false">E6746+E6747+E6748+E6742</f>
        <v>-698836.260689213</v>
      </c>
      <c r="F6749" s="61" t="n">
        <f aca="false">F6746+F6747+F6748+F6742</f>
        <v>-728319.676242869</v>
      </c>
      <c r="G6749" s="61" t="n">
        <f aca="false">G6746+G6747+G6748+G6742</f>
        <v>-660221.199563334</v>
      </c>
      <c r="H6749" s="2" t="s">
        <v>1431</v>
      </c>
    </row>
    <row r="6750" customFormat="false" ht="15" hidden="false" customHeight="false" outlineLevel="1" collapsed="false">
      <c r="A6750" s="56" t="s">
        <v>774</v>
      </c>
      <c r="B6750" s="57" t="s">
        <v>11</v>
      </c>
      <c r="C6750" s="62" t="n">
        <f aca="false">MAX(0,Pressupostos!$C$170-C6749)</f>
        <v>0</v>
      </c>
      <c r="D6750" s="62" t="n">
        <f aca="false">MAX(0,Pressupostos!$C$170-D6749)</f>
        <v>659617.448373288</v>
      </c>
      <c r="E6750" s="62" t="n">
        <f aca="false">MAX(0,Pressupostos!$C$170-E6749)</f>
        <v>848836.260689213</v>
      </c>
      <c r="F6750" s="62" t="n">
        <f aca="false">MAX(0,Pressupostos!$C$170-F6749)</f>
        <v>878319.676242869</v>
      </c>
      <c r="G6750" s="62" t="n">
        <f aca="false">MAX(0,Pressupostos!$C$170-G6749)</f>
        <v>810221.199563334</v>
      </c>
      <c r="H6750" s="2" t="s">
        <v>1432</v>
      </c>
    </row>
    <row r="6751" customFormat="false" ht="15" hidden="false" customHeight="false" outlineLevel="1" collapsed="false">
      <c r="A6751" s="56" t="s">
        <v>775</v>
      </c>
      <c r="B6751" s="57" t="s">
        <v>11</v>
      </c>
      <c r="C6751" s="62" t="n">
        <f aca="false">C6749+C6750</f>
        <v>276383.160359589</v>
      </c>
      <c r="D6751" s="62" t="n">
        <f aca="false">D6749+D6750</f>
        <v>150000</v>
      </c>
      <c r="E6751" s="62" t="n">
        <f aca="false">E6749+E6750</f>
        <v>150000</v>
      </c>
      <c r="F6751" s="62" t="n">
        <f aca="false">F6749+F6750</f>
        <v>150000</v>
      </c>
      <c r="G6751" s="62" t="n">
        <f aca="false">G6749+G6750</f>
        <v>150000</v>
      </c>
      <c r="H6751" s="2" t="s">
        <v>1433</v>
      </c>
    </row>
    <row r="6752" customFormat="false" ht="15" hidden="false" customHeight="false" outlineLevel="1" collapsed="false">
      <c r="A6752" s="7" t="s">
        <v>776</v>
      </c>
      <c r="B6752" s="8" t="s">
        <v>11</v>
      </c>
      <c r="C6752" s="61" t="n">
        <f aca="false">C6727+C6730+C6729</f>
        <v>0</v>
      </c>
      <c r="D6752" s="61" t="n">
        <f aca="false">D6727+D6730+D6729</f>
        <v>73487.2345890411</v>
      </c>
      <c r="E6752" s="61" t="n">
        <f aca="false">E6727+E6730+E6729</f>
        <v>126748.279109589</v>
      </c>
      <c r="F6752" s="61" t="n">
        <f aca="false">F6727+F6730+F6729</f>
        <v>214842.932363014</v>
      </c>
      <c r="G6752" s="61" t="n">
        <f aca="false">G6727+G6730+G6729</f>
        <v>327283.529537671</v>
      </c>
      <c r="H6752" s="2" t="s">
        <v>1434</v>
      </c>
    </row>
    <row r="6753" customFormat="false" ht="15" hidden="false" customHeight="false" outlineLevel="1" collapsed="false">
      <c r="A6753" s="7" t="s">
        <v>777</v>
      </c>
      <c r="B6753" s="8" t="s">
        <v>11</v>
      </c>
      <c r="C6753" s="61" t="n">
        <f aca="false">C6751+C6752</f>
        <v>276383.160359589</v>
      </c>
      <c r="D6753" s="61" t="n">
        <f aca="false">D6751+D6752</f>
        <v>223487.234589041</v>
      </c>
      <c r="E6753" s="61" t="n">
        <f aca="false">E6751+E6752</f>
        <v>276748.279109589</v>
      </c>
      <c r="F6753" s="61" t="n">
        <f aca="false">F6751+F6752</f>
        <v>364842.932363014</v>
      </c>
      <c r="G6753" s="61" t="n">
        <f aca="false">G6751+G6752</f>
        <v>477283.529537671</v>
      </c>
      <c r="H6753" s="2" t="s">
        <v>1435</v>
      </c>
    </row>
    <row r="6754" customFormat="false" ht="15" hidden="false" customHeight="false" outlineLevel="1" collapsed="false">
      <c r="A6754" s="7" t="s">
        <v>778</v>
      </c>
      <c r="B6754" s="8" t="s">
        <v>11</v>
      </c>
      <c r="C6754" s="61" t="n">
        <f aca="false">C6748+C6750</f>
        <v>1100000</v>
      </c>
      <c r="D6754" s="61" t="n">
        <f aca="false">C6754+D6748+D6750</f>
        <v>1759617.44837329</v>
      </c>
      <c r="E6754" s="61" t="n">
        <f aca="false">D6754+E6748+E6750</f>
        <v>2608453.7090625</v>
      </c>
      <c r="F6754" s="61" t="n">
        <f aca="false">E6754+F6748+F6750</f>
        <v>3486773.38530537</v>
      </c>
      <c r="G6754" s="61" t="n">
        <f aca="false">F6754+G6748+G6750</f>
        <v>4296994.5848687</v>
      </c>
      <c r="H6754" s="2" t="s">
        <v>1436</v>
      </c>
    </row>
    <row r="6755" customFormat="false" ht="15" hidden="false" customHeight="false" outlineLevel="0" collapsed="false">
      <c r="A6755" s="3" t="s">
        <v>1437</v>
      </c>
      <c r="B6755" s="4"/>
      <c r="C6755" s="4"/>
      <c r="D6755" s="4"/>
      <c r="E6755" s="4"/>
      <c r="F6755" s="4"/>
      <c r="G6755" s="4"/>
      <c r="H6755" s="4"/>
    </row>
    <row r="6756" customFormat="false" ht="15" hidden="false" customHeight="false" outlineLevel="1" collapsed="false">
      <c r="A6756" s="7" t="s">
        <v>782</v>
      </c>
      <c r="B6756" s="8" t="s">
        <v>11</v>
      </c>
      <c r="C6756" s="72" t="n">
        <f aca="false">Pressupostos!$C$159+Pressupostos!$C$160+Pressupostos!$C$161+Pressupostos!$C$162+Pressupostos!$C$163</f>
        <v>95000</v>
      </c>
      <c r="H6756" s="2" t="s">
        <v>1438</v>
      </c>
    </row>
    <row r="6757" customFormat="false" ht="15" hidden="false" customHeight="false" outlineLevel="1" collapsed="false">
      <c r="A6757" s="7" t="s">
        <v>783</v>
      </c>
      <c r="B6757" s="8" t="s">
        <v>11</v>
      </c>
      <c r="C6757" s="73" t="n">
        <f aca="false">Pressupostos!$C$108</f>
        <v>50000</v>
      </c>
      <c r="H6757" s="2" t="s">
        <v>1439</v>
      </c>
    </row>
    <row r="6758" customFormat="false" ht="15" hidden="false" customHeight="false" outlineLevel="1" collapsed="false">
      <c r="A6758" s="7" t="s">
        <v>322</v>
      </c>
      <c r="B6758" s="8" t="s">
        <v>11</v>
      </c>
      <c r="C6758" s="73" t="n">
        <f aca="false">Pressupostos!$C$170</f>
        <v>150000</v>
      </c>
      <c r="H6758" s="2" t="s">
        <v>1440</v>
      </c>
    </row>
    <row r="6759" customFormat="false" ht="15" hidden="false" customHeight="false" outlineLevel="1" collapsed="false">
      <c r="A6759" s="7" t="s">
        <v>784</v>
      </c>
      <c r="B6759" s="8" t="s">
        <v>11</v>
      </c>
      <c r="C6759" s="72" t="n">
        <f aca="false">MAX(0,-MIN($C$6743:$G$6743))</f>
        <v>4001994.5848687</v>
      </c>
      <c r="H6759" s="2" t="s">
        <v>1441</v>
      </c>
    </row>
    <row r="6760" customFormat="false" ht="15" hidden="false" customHeight="false" outlineLevel="1" collapsed="false">
      <c r="A6760" s="56" t="s">
        <v>785</v>
      </c>
      <c r="B6760" s="57" t="s">
        <v>11</v>
      </c>
      <c r="C6760" s="74" t="n">
        <f aca="false">C6756+C6757+C6758+C6759</f>
        <v>4296994.5848687</v>
      </c>
      <c r="H6760" s="2" t="s">
        <v>1442</v>
      </c>
    </row>
    <row r="6761" customFormat="false" ht="15" hidden="false" customHeight="false" outlineLevel="1" collapsed="false">
      <c r="A6761" s="7" t="s">
        <v>786</v>
      </c>
      <c r="B6761" s="8" t="s">
        <v>20</v>
      </c>
      <c r="C6761" s="75" t="n">
        <f aca="false">INDEX($C$6488:$G$6488,1,MATCH(MIN($C$6743:$G$6743),$C$6743:$G$6743,0))</f>
        <v>2031</v>
      </c>
      <c r="H6761" s="2" t="s">
        <v>1443</v>
      </c>
    </row>
    <row r="6762" customFormat="false" ht="15" hidden="false" customHeight="false" outlineLevel="1" collapsed="false">
      <c r="A6762" s="7" t="s">
        <v>787</v>
      </c>
      <c r="B6762" s="8"/>
      <c r="C6762" s="76" t="str">
        <f aca="false">IF(G6742&lt;0,"sim","não")</f>
        <v>sim</v>
      </c>
      <c r="H6762" s="2" t="s">
        <v>1444</v>
      </c>
    </row>
    <row r="6763" customFormat="false" ht="15" hidden="false" customHeight="false" outlineLevel="1" collapsed="false">
      <c r="A6763" s="7" t="s">
        <v>788</v>
      </c>
      <c r="B6763" s="8" t="s">
        <v>11</v>
      </c>
      <c r="C6763" s="72" t="n">
        <f aca="false">G6754</f>
        <v>4296994.5848687</v>
      </c>
      <c r="H6763" s="2" t="s">
        <v>1445</v>
      </c>
    </row>
    <row r="6764" customFormat="false" ht="15" hidden="false" customHeight="false" outlineLevel="0" collapsed="false">
      <c r="A6764" s="3" t="s">
        <v>1446</v>
      </c>
      <c r="B6764" s="4"/>
      <c r="C6764" s="4"/>
      <c r="D6764" s="4"/>
      <c r="E6764" s="4"/>
      <c r="F6764" s="4"/>
      <c r="G6764" s="4"/>
      <c r="H6764" s="4"/>
    </row>
    <row r="6765" customFormat="false" ht="15" hidden="false" customHeight="false" outlineLevel="1" collapsed="false">
      <c r="A6765" s="7" t="s">
        <v>790</v>
      </c>
      <c r="B6765" s="8" t="s">
        <v>11</v>
      </c>
      <c r="C6765" s="72" t="n">
        <f aca="false">C6756+C6757</f>
        <v>145000</v>
      </c>
      <c r="H6765" s="2" t="s">
        <v>1447</v>
      </c>
    </row>
    <row r="6766" customFormat="false" ht="15" hidden="false" customHeight="false" outlineLevel="1" collapsed="false">
      <c r="A6766" s="7" t="s">
        <v>791</v>
      </c>
      <c r="B6766" s="8" t="s">
        <v>11</v>
      </c>
      <c r="C6766" s="72" t="n">
        <f aca="false">-SUMPRODUCT(($C$6488:$G$6488&lt;=C6761)*$C$6699:$G$6699)</f>
        <v>3387435.44745432</v>
      </c>
      <c r="H6766" s="2" t="s">
        <v>1448</v>
      </c>
    </row>
    <row r="6767" customFormat="false" ht="15" hidden="false" customHeight="false" outlineLevel="1" collapsed="false">
      <c r="A6767" s="7" t="s">
        <v>424</v>
      </c>
      <c r="B6767" s="8" t="s">
        <v>11</v>
      </c>
      <c r="C6767" s="72" t="n">
        <f aca="false">SUMPRODUCT(($C$6488:$G$6488&lt;=C6761)*$C$6683:$G$6683)</f>
        <v>250000</v>
      </c>
      <c r="H6767" s="2" t="s">
        <v>1449</v>
      </c>
    </row>
    <row r="6768" customFormat="false" ht="15" hidden="false" customHeight="false" outlineLevel="1" collapsed="false">
      <c r="A6768" s="7" t="s">
        <v>792</v>
      </c>
      <c r="B6768" s="8" t="s">
        <v>11</v>
      </c>
      <c r="C6768" s="72" t="n">
        <f aca="false">SUMPRODUCT(($C$6488:$G$6488&lt;=C6761)*$C$6714:$G$6714)</f>
        <v>0</v>
      </c>
      <c r="H6768" s="2" t="s">
        <v>1450</v>
      </c>
    </row>
    <row r="6769" customFormat="false" ht="15" hidden="false" customHeight="false" outlineLevel="1" collapsed="false">
      <c r="A6769" s="7" t="s">
        <v>793</v>
      </c>
      <c r="B6769" s="8" t="s">
        <v>11</v>
      </c>
      <c r="C6769" s="72" t="n">
        <f aca="false">C6759-C6766-C6767-C6768</f>
        <v>364559.137414384</v>
      </c>
      <c r="H6769" s="2" t="s">
        <v>1451</v>
      </c>
    </row>
    <row r="6770" customFormat="false" ht="15" hidden="false" customHeight="false" outlineLevel="1" collapsed="false">
      <c r="A6770" s="7" t="s">
        <v>322</v>
      </c>
      <c r="B6770" s="8" t="s">
        <v>11</v>
      </c>
      <c r="C6770" s="72" t="n">
        <f aca="false">C6758</f>
        <v>150000</v>
      </c>
      <c r="H6770" s="2" t="s">
        <v>1452</v>
      </c>
    </row>
    <row r="6771" customFormat="false" ht="15" hidden="false" customHeight="false" outlineLevel="1" collapsed="false">
      <c r="A6771" s="56" t="s">
        <v>794</v>
      </c>
      <c r="B6771" s="57" t="s">
        <v>11</v>
      </c>
      <c r="C6771" s="74" t="n">
        <f aca="false">C6765+C6766+C6767+C6768+C6769+C6770</f>
        <v>4296994.5848687</v>
      </c>
      <c r="H6771" s="2" t="s">
        <v>1453</v>
      </c>
    </row>
    <row r="6772" customFormat="false" ht="15" hidden="false" customHeight="false" outlineLevel="0" collapsed="false">
      <c r="A6772" s="3" t="s">
        <v>1454</v>
      </c>
      <c r="B6772" s="4"/>
      <c r="C6772" s="4"/>
      <c r="D6772" s="4"/>
      <c r="E6772" s="4"/>
      <c r="F6772" s="4"/>
      <c r="G6772" s="4"/>
      <c r="H6772" s="4"/>
    </row>
    <row r="6773" customFormat="false" ht="15" hidden="false" customHeight="false" outlineLevel="1" collapsed="false">
      <c r="A6773" s="7" t="s">
        <v>772</v>
      </c>
      <c r="B6773" s="8" t="s">
        <v>11</v>
      </c>
      <c r="C6773" s="73" t="n">
        <f aca="false">Pressupostos!$F$32</f>
        <v>1100000</v>
      </c>
      <c r="H6773" s="2" t="s">
        <v>1455</v>
      </c>
    </row>
    <row r="6774" customFormat="false" ht="15" hidden="false" customHeight="false" outlineLevel="1" collapsed="false">
      <c r="A6774" s="7" t="s">
        <v>796</v>
      </c>
      <c r="B6774" s="8" t="s">
        <v>11</v>
      </c>
      <c r="C6774" s="72" t="n">
        <f aca="false">C6756+Pressupostos!$C$108+Pressupostos!$C$130/12*((C6658-C6646-C6647+(C6646+C6647)/Pressupostos!$C$128*Pressupostos!$C$129)*(1+Pressupostos!$C$124+Pressupostos!$C$125)+C6644*Pressupostos!$C$126+C6677)+C6683+MAX(0,Pressupostos!$C$183*1000*(C6509+C6512)+Pressupostos!$C$184*1000*(C6532+C6535)-Pressupostos!$C$108)</f>
        <v>652596.666666667</v>
      </c>
      <c r="H6774" s="2" t="s">
        <v>1456</v>
      </c>
    </row>
    <row r="6775" customFormat="false" ht="15" hidden="false" customHeight="false" outlineLevel="1" collapsed="false">
      <c r="A6775" s="7" t="s">
        <v>798</v>
      </c>
      <c r="B6775" s="8" t="s">
        <v>11</v>
      </c>
      <c r="C6775" s="72" t="n">
        <f aca="false">C6756+Pressupostos!$C$108-C6742</f>
        <v>823616.839640411</v>
      </c>
      <c r="H6775" s="2" t="s">
        <v>1457</v>
      </c>
    </row>
    <row r="6776" customFormat="false" ht="15" hidden="false" customHeight="false" outlineLevel="1" collapsed="false">
      <c r="A6776" s="7" t="s">
        <v>799</v>
      </c>
      <c r="B6776" s="8" t="s">
        <v>11</v>
      </c>
      <c r="C6776" s="61" t="n">
        <f aca="false">Pressupostos!$F$32-C6756-Pressupostos!$C$108+C6743</f>
        <v>276383.160359589</v>
      </c>
      <c r="D6776" s="61" t="n">
        <f aca="false">Pressupostos!$F$32-C6756-Pressupostos!$C$108+D6743</f>
        <v>-509617.448373288</v>
      </c>
      <c r="E6776" s="61" t="n">
        <f aca="false">Pressupostos!$F$32-C6756-Pressupostos!$C$108+E6743</f>
        <v>-1358453.7090625</v>
      </c>
      <c r="F6776" s="61" t="n">
        <f aca="false">Pressupostos!$F$32-C6756-Pressupostos!$C$108+F6743</f>
        <v>-2236773.38530537</v>
      </c>
      <c r="G6776" s="61" t="n">
        <f aca="false">Pressupostos!$F$32-C6756-Pressupostos!$C$108+G6743</f>
        <v>-3046994.5848687</v>
      </c>
      <c r="H6776" s="2" t="s">
        <v>1458</v>
      </c>
    </row>
    <row r="6777" customFormat="false" ht="15" hidden="false" customHeight="false" outlineLevel="1" collapsed="false">
      <c r="A6777" s="7" t="s">
        <v>800</v>
      </c>
      <c r="B6777" s="8" t="s">
        <v>18</v>
      </c>
      <c r="C6777" s="77" t="str">
        <f aca="false">IF(AND(Pressupostos!$F$32-C6756-Pressupostos!$C$108&gt;0,C6776&lt;=0),12*(Pressupostos!$F$32-C6756-Pressupostos!$C$108)/(Pressupostos!$F$32-C6756-Pressupostos!$C$108-C6776),"")</f>
        <v/>
      </c>
      <c r="D6777" s="77" t="n">
        <f aca="false">IF(AND(C6776&gt;0,D6776&lt;=0),12+12*C6776/(C6776-D6776),"")</f>
        <v>16.2195869665569</v>
      </c>
      <c r="E6777" s="77" t="str">
        <f aca="false">IF(AND(D6776&gt;0,E6776&lt;=0),24+12*D6776/(D6776-E6776),"")</f>
        <v/>
      </c>
      <c r="F6777" s="77" t="str">
        <f aca="false">IF(AND(E6776&gt;0,F6776&lt;=0),36+12*E6776/(E6776-F6776),"")</f>
        <v/>
      </c>
      <c r="G6777" s="77" t="str">
        <f aca="false">IF(AND(F6776&gt;0,G6776&lt;=0),48+12*F6776/(F6776-G6776),"")</f>
        <v/>
      </c>
      <c r="H6777" s="2" t="s">
        <v>1459</v>
      </c>
    </row>
    <row r="6778" customFormat="false" ht="15" hidden="false" customHeight="false" outlineLevel="1" collapsed="false">
      <c r="A6778" s="56" t="s">
        <v>801</v>
      </c>
      <c r="B6778" s="57" t="s">
        <v>274</v>
      </c>
      <c r="C6778" s="78" t="n">
        <f aca="false">IF(COUNT($C$6777:$G$6777)=0,"&gt; 60",MIN($C$6777:$G$6777))</f>
        <v>16.2195869665569</v>
      </c>
      <c r="H6778" s="2" t="s">
        <v>1460</v>
      </c>
    </row>
    <row r="6779" customFormat="false" ht="15" hidden="false" customHeight="false" outlineLevel="0" collapsed="false">
      <c r="A6779" s="3" t="s">
        <v>1461</v>
      </c>
      <c r="B6779" s="4"/>
      <c r="C6779" s="4"/>
      <c r="D6779" s="4"/>
      <c r="E6779" s="4"/>
      <c r="F6779" s="4"/>
      <c r="G6779" s="4"/>
      <c r="H6779" s="4"/>
    </row>
    <row r="6780" customFormat="false" ht="15" hidden="false" customHeight="false" outlineLevel="1" collapsed="false">
      <c r="A6780" s="7" t="s">
        <v>803</v>
      </c>
      <c r="B6780" s="8" t="s">
        <v>18</v>
      </c>
      <c r="C6780" s="77" t="str">
        <f aca="false">IF(C6699&gt;=0,1,"")</f>
        <v/>
      </c>
      <c r="D6780" s="77" t="str">
        <f aca="false">IF(AND(C6699&lt;0,D6699&gt;=0),6.5+12*(-C6699)/(D6699-C6699),"")</f>
        <v/>
      </c>
      <c r="E6780" s="77" t="str">
        <f aca="false">IF(AND(D6699&lt;0,E6699&gt;=0),18.5+12*(-D6699)/(E6699-D6699),"")</f>
        <v/>
      </c>
      <c r="F6780" s="77" t="str">
        <f aca="false">IF(AND(E6699&lt;0,F6699&gt;=0),30.5+12*(-E6699)/(F6699-E6699),"")</f>
        <v/>
      </c>
      <c r="G6780" s="77" t="str">
        <f aca="false">IF(AND(F6699&lt;0,G6699&gt;=0),42.5+12*(-F6699)/(G6699-F6699),"")</f>
        <v/>
      </c>
      <c r="H6780" s="2" t="s">
        <v>1462</v>
      </c>
    </row>
    <row r="6781" customFormat="false" ht="15" hidden="false" customHeight="false" outlineLevel="1" collapsed="false">
      <c r="A6781" s="7" t="s">
        <v>804</v>
      </c>
      <c r="B6781" s="8" t="s">
        <v>18</v>
      </c>
      <c r="C6781" s="79" t="str">
        <f aca="false">IF(COUNT($C$6780:$G$6780)=0,"não atinge até 2031",ROUNDUP(MIN($C$6780:$G$6780),0))</f>
        <v>não atinge até 2031</v>
      </c>
      <c r="H6781" s="2" t="s">
        <v>1463</v>
      </c>
    </row>
    <row r="6782" customFormat="false" ht="15" hidden="false" customHeight="false" outlineLevel="1" collapsed="false">
      <c r="A6782" s="56" t="s">
        <v>805</v>
      </c>
      <c r="B6782" s="57" t="s">
        <v>806</v>
      </c>
      <c r="C6782" s="80" t="str">
        <f aca="false">IF(ISNUMBER(C6781),DATE(2027,C6781,1),"não atinge até 2031")</f>
        <v>não atinge até 2031</v>
      </c>
      <c r="H6782" s="2" t="s">
        <v>1464</v>
      </c>
    </row>
    <row r="6783" customFormat="false" ht="15" hidden="false" customHeight="false" outlineLevel="1" collapsed="false">
      <c r="A6783" s="7" t="s">
        <v>807</v>
      </c>
      <c r="B6783" s="8" t="s">
        <v>20</v>
      </c>
      <c r="C6783" s="81" t="str">
        <f aca="false">IF(C6699&gt;=0,C6488,"")</f>
        <v/>
      </c>
      <c r="D6783" s="81" t="str">
        <f aca="false">IF(D6699&gt;=0,D6488,"")</f>
        <v/>
      </c>
      <c r="E6783" s="81" t="str">
        <f aca="false">IF(E6699&gt;=0,E6488,"")</f>
        <v/>
      </c>
      <c r="F6783" s="81" t="str">
        <f aca="false">IF(F6699&gt;=0,F6488,"")</f>
        <v/>
      </c>
      <c r="G6783" s="81" t="str">
        <f aca="false">IF(G6699&gt;=0,G6488,"")</f>
        <v/>
      </c>
      <c r="H6783" s="2" t="s">
        <v>1465</v>
      </c>
    </row>
    <row r="6784" customFormat="false" ht="15" hidden="false" customHeight="false" outlineLevel="1" collapsed="false">
      <c r="A6784" s="7" t="s">
        <v>808</v>
      </c>
      <c r="B6784" s="8" t="s">
        <v>20</v>
      </c>
      <c r="C6784" s="75" t="str">
        <f aca="false">IF(COUNT($C$6783:$G$6783)=0,"não atinge até 2031",MIN($C$6783:$G$6783))</f>
        <v>não atinge até 2031</v>
      </c>
      <c r="H6784" s="2" t="s">
        <v>1466</v>
      </c>
    </row>
    <row r="6785" customFormat="false" ht="15" hidden="false" customHeight="false" outlineLevel="1" collapsed="false">
      <c r="A6785" s="7" t="s">
        <v>809</v>
      </c>
      <c r="B6785" s="8" t="s">
        <v>20</v>
      </c>
      <c r="C6785" s="81" t="str">
        <f aca="false">IF(C6717&gt;=0,C6488,"")</f>
        <v/>
      </c>
      <c r="D6785" s="81" t="str">
        <f aca="false">IF(D6717&gt;=0,D6488,"")</f>
        <v/>
      </c>
      <c r="E6785" s="81" t="str">
        <f aca="false">IF(E6717&gt;=0,E6488,"")</f>
        <v/>
      </c>
      <c r="F6785" s="81" t="str">
        <f aca="false">IF(F6717&gt;=0,F6488,"")</f>
        <v/>
      </c>
      <c r="G6785" s="81" t="str">
        <f aca="false">IF(G6717&gt;=0,G6488,"")</f>
        <v/>
      </c>
      <c r="H6785" s="2" t="s">
        <v>1467</v>
      </c>
    </row>
    <row r="6786" customFormat="false" ht="15" hidden="false" customHeight="false" outlineLevel="1" collapsed="false">
      <c r="A6786" s="7" t="s">
        <v>810</v>
      </c>
      <c r="B6786" s="8" t="s">
        <v>20</v>
      </c>
      <c r="C6786" s="75" t="str">
        <f aca="false">IF(COUNT($C$6785:$G$6785)=0,"não atinge até 2031",MIN($C$6785:$G$6785))</f>
        <v>não atinge até 2031</v>
      </c>
      <c r="H6786" s="2" t="s">
        <v>1468</v>
      </c>
    </row>
    <row r="6787" customFormat="false" ht="15" hidden="false" customHeight="false" outlineLevel="1" collapsed="false">
      <c r="A6787" s="7" t="s">
        <v>811</v>
      </c>
      <c r="B6787" s="8" t="s">
        <v>20</v>
      </c>
      <c r="C6787" s="81" t="str">
        <f aca="false">IF(C6742&gt;=0,C6488,"")</f>
        <v/>
      </c>
      <c r="D6787" s="81" t="str">
        <f aca="false">IF(D6742&gt;=0,D6488,"")</f>
        <v/>
      </c>
      <c r="E6787" s="81" t="str">
        <f aca="false">IF(E6742&gt;=0,E6488,"")</f>
        <v/>
      </c>
      <c r="F6787" s="81" t="str">
        <f aca="false">IF(F6742&gt;=0,F6488,"")</f>
        <v/>
      </c>
      <c r="G6787" s="81" t="str">
        <f aca="false">IF(G6742&gt;=0,G6488,"")</f>
        <v/>
      </c>
      <c r="H6787" s="2" t="s">
        <v>1469</v>
      </c>
    </row>
    <row r="6788" customFormat="false" ht="15" hidden="false" customHeight="false" outlineLevel="1" collapsed="false">
      <c r="A6788" s="7" t="s">
        <v>19</v>
      </c>
      <c r="B6788" s="8" t="s">
        <v>20</v>
      </c>
      <c r="C6788" s="75" t="str">
        <f aca="false">IF(COUNT($C$6787:$G$6787)=0,"não atinge até 2031",MIN($C$6787:$G$6787))</f>
        <v>não atinge até 2031</v>
      </c>
      <c r="H6788" s="2" t="s">
        <v>1470</v>
      </c>
    </row>
    <row r="6789" customFormat="false" ht="15" hidden="false" customHeight="false" outlineLevel="0" collapsed="false">
      <c r="A6789" s="3" t="s">
        <v>1471</v>
      </c>
      <c r="B6789" s="4"/>
      <c r="C6789" s="4"/>
      <c r="D6789" s="4"/>
      <c r="E6789" s="4"/>
      <c r="F6789" s="4"/>
      <c r="G6789" s="4"/>
      <c r="H6789" s="4"/>
    </row>
    <row r="6790" customFormat="false" ht="15" hidden="false" customHeight="false" outlineLevel="1" collapsed="false">
      <c r="A6790" s="7" t="s">
        <v>813</v>
      </c>
      <c r="B6790" s="8" t="s">
        <v>11</v>
      </c>
      <c r="C6790" s="61" t="n">
        <f aca="false">C6725</f>
        <v>0</v>
      </c>
      <c r="D6790" s="61" t="n">
        <f aca="false">D6725</f>
        <v>293948.938356164</v>
      </c>
      <c r="E6790" s="61" t="n">
        <f aca="false">E6725</f>
        <v>506993.116438356</v>
      </c>
      <c r="F6790" s="61" t="n">
        <f aca="false">F6725</f>
        <v>859371.729452055</v>
      </c>
      <c r="G6790" s="61" t="n">
        <f aca="false">G6725</f>
        <v>1309134.11815068</v>
      </c>
      <c r="H6790" s="2" t="s">
        <v>1472</v>
      </c>
    </row>
    <row r="6791" customFormat="false" ht="15" hidden="false" customHeight="false" outlineLevel="1" collapsed="false">
      <c r="A6791" s="7" t="s">
        <v>509</v>
      </c>
      <c r="B6791" s="8" t="s">
        <v>76</v>
      </c>
      <c r="C6791" s="60" t="n">
        <f aca="false">(Pressupostos!$C$198)</f>
        <v>0.1</v>
      </c>
      <c r="D6791" s="60" t="n">
        <f aca="false">(Pressupostos!$C$198)</f>
        <v>0.1</v>
      </c>
      <c r="E6791" s="60" t="n">
        <f aca="false">(Pressupostos!$C$198)</f>
        <v>0.1</v>
      </c>
      <c r="F6791" s="60" t="n">
        <f aca="false">(Pressupostos!$C$198)</f>
        <v>0.1</v>
      </c>
      <c r="G6791" s="60" t="n">
        <f aca="false">(Pressupostos!$C$198)</f>
        <v>0.1</v>
      </c>
      <c r="H6791" s="2" t="s">
        <v>1473</v>
      </c>
    </row>
    <row r="6792" customFormat="false" ht="15" hidden="false" customHeight="false" outlineLevel="1" collapsed="false">
      <c r="A6792" s="7" t="s">
        <v>814</v>
      </c>
      <c r="B6792" s="8" t="s">
        <v>76</v>
      </c>
      <c r="C6792" s="60" t="n">
        <f aca="false">(Pressupostos!$C$198)*(1-Pressupostos!$C$111)</f>
        <v>0.072</v>
      </c>
      <c r="D6792" s="60" t="n">
        <f aca="false">(Pressupostos!$C$198)*(1-Pressupostos!$C$111)</f>
        <v>0.072</v>
      </c>
      <c r="E6792" s="60" t="n">
        <f aca="false">(Pressupostos!$C$198)*(1-Pressupostos!$C$111)</f>
        <v>0.072</v>
      </c>
      <c r="F6792" s="60" t="n">
        <f aca="false">(Pressupostos!$C$198)*(1-Pressupostos!$C$111)</f>
        <v>0.072</v>
      </c>
      <c r="G6792" s="60" t="n">
        <f aca="false">(Pressupostos!$C$198)*(1-Pressupostos!$C$111)</f>
        <v>0.072</v>
      </c>
      <c r="H6792" s="2" t="s">
        <v>1474</v>
      </c>
    </row>
    <row r="6793" customFormat="false" ht="15" hidden="false" customHeight="false" outlineLevel="1" collapsed="false">
      <c r="A6793" s="7" t="s">
        <v>815</v>
      </c>
      <c r="B6793" s="8" t="s">
        <v>11</v>
      </c>
      <c r="C6793" s="61" t="n">
        <f aca="false">C6629</f>
        <v>0</v>
      </c>
      <c r="D6793" s="61" t="n">
        <f aca="false">D6629</f>
        <v>26905.2226027397</v>
      </c>
      <c r="E6793" s="61" t="n">
        <f aca="false">E6629</f>
        <v>45444.7988013699</v>
      </c>
      <c r="F6793" s="61" t="n">
        <f aca="false">F6629</f>
        <v>77041.5025684932</v>
      </c>
      <c r="G6793" s="61" t="n">
        <f aca="false">G6629</f>
        <v>117514.340753425</v>
      </c>
      <c r="H6793" s="2" t="s">
        <v>1475</v>
      </c>
    </row>
    <row r="6794" customFormat="false" ht="15" hidden="false" customHeight="false" outlineLevel="1" collapsed="false">
      <c r="A6794" s="7" t="s">
        <v>816</v>
      </c>
      <c r="B6794" s="8" t="s">
        <v>76</v>
      </c>
      <c r="C6794" s="59" t="n">
        <f aca="false">IF(C6725&gt;0,(C6728+C6730)/C6725,0)</f>
        <v>0</v>
      </c>
      <c r="D6794" s="59" t="n">
        <f aca="false">IF(D6725&gt;0,(D6728+D6730)/D6725,0)</f>
        <v>0.316666666666667</v>
      </c>
      <c r="E6794" s="59" t="n">
        <f aca="false">IF(E6725&gt;0,(E6728+E6730)/E6725,0)</f>
        <v>0.316666666666667</v>
      </c>
      <c r="F6794" s="59" t="n">
        <f aca="false">IF(F6725&gt;0,(F6728+F6730)/F6725,0)</f>
        <v>0.316666666666667</v>
      </c>
      <c r="G6794" s="59" t="n">
        <f aca="false">IF(G6725&gt;0,(G6728+G6730)/G6725,0)</f>
        <v>0.316666666666667</v>
      </c>
      <c r="H6794" s="2" t="s">
        <v>1476</v>
      </c>
    </row>
    <row r="6795" customFormat="false" ht="15" hidden="false" customHeight="false" outlineLevel="1" collapsed="false">
      <c r="A6795" s="7" t="s">
        <v>817</v>
      </c>
      <c r="B6795" s="8" t="s">
        <v>123</v>
      </c>
      <c r="C6795" s="61" t="n">
        <f aca="false">C6731</f>
        <v>0</v>
      </c>
      <c r="D6795" s="61" t="n">
        <f aca="false">D6731</f>
        <v>5.87897876712329</v>
      </c>
      <c r="E6795" s="61" t="n">
        <f aca="false">E6731</f>
        <v>10.1398623287671</v>
      </c>
      <c r="F6795" s="61" t="n">
        <f aca="false">F6731</f>
        <v>17.1874345890411</v>
      </c>
      <c r="G6795" s="61" t="n">
        <f aca="false">G6731</f>
        <v>26.1826823630137</v>
      </c>
      <c r="H6795" s="2" t="s">
        <v>1477</v>
      </c>
    </row>
    <row r="6796" customFormat="false" ht="15" hidden="false" customHeight="false" outlineLevel="1" collapsed="false">
      <c r="A6796" s="7" t="s">
        <v>818</v>
      </c>
      <c r="B6796" s="8" t="s">
        <v>11</v>
      </c>
      <c r="C6796" s="61" t="n">
        <f aca="false">C6629+C6675</f>
        <v>65000</v>
      </c>
      <c r="D6796" s="61" t="n">
        <f aca="false">D6629+D6675</f>
        <v>101905.22260274</v>
      </c>
      <c r="E6796" s="61" t="n">
        <f aca="false">E6629+E6675</f>
        <v>125444.79880137</v>
      </c>
      <c r="F6796" s="61" t="n">
        <f aca="false">F6629+F6675</f>
        <v>162041.502568493</v>
      </c>
      <c r="G6796" s="61" t="n">
        <f aca="false">G6629+G6675</f>
        <v>207514.340753425</v>
      </c>
      <c r="H6796" s="2" t="s">
        <v>1478</v>
      </c>
    </row>
    <row r="6797" customFormat="false" ht="15" hidden="false" customHeight="false" outlineLevel="1" collapsed="false">
      <c r="A6797" s="7" t="s">
        <v>819</v>
      </c>
      <c r="B6797" s="8" t="s">
        <v>76</v>
      </c>
      <c r="C6797" s="59" t="str">
        <f aca="false">IF(C6725&gt;0,C6796/C6725,"")</f>
        <v/>
      </c>
      <c r="D6797" s="59" t="n">
        <f aca="false">IF(D6725&gt;0,D6796/D6725,"")</f>
        <v>0.346676613879333</v>
      </c>
      <c r="E6797" s="59" t="n">
        <f aca="false">IF(E6725&gt;0,E6796/E6725,"")</f>
        <v>0.247428998016036</v>
      </c>
      <c r="F6797" s="59" t="n">
        <f aca="false">IF(F6725&gt;0,F6796/F6725,"")</f>
        <v>0.188558102407921</v>
      </c>
      <c r="G6797" s="59" t="n">
        <f aca="false">IF(G6725&gt;0,G6796/G6725,"")</f>
        <v>0.158512667171615</v>
      </c>
      <c r="H6797" s="2" t="s">
        <v>1479</v>
      </c>
    </row>
    <row r="6798" customFormat="false" ht="15" hidden="false" customHeight="false" outlineLevel="0" collapsed="false">
      <c r="A6798" s="3" t="s">
        <v>1480</v>
      </c>
      <c r="B6798" s="4"/>
      <c r="C6798" s="4"/>
      <c r="D6798" s="4"/>
      <c r="E6798" s="4"/>
      <c r="F6798" s="4"/>
      <c r="G6798" s="4"/>
      <c r="H6798" s="4"/>
    </row>
    <row r="6799" customFormat="false" ht="15" hidden="false" customHeight="false" outlineLevel="1" collapsed="false">
      <c r="A6799" s="7" t="s">
        <v>821</v>
      </c>
      <c r="B6799" s="8" t="s">
        <v>11</v>
      </c>
      <c r="C6799" s="61" t="n">
        <f aca="false">MAX(0,-C6699)</f>
        <v>586332.91635274</v>
      </c>
      <c r="D6799" s="61" t="n">
        <f aca="false">MAX(0,-D6699)</f>
        <v>700200.701541096</v>
      </c>
      <c r="E6799" s="61" t="n">
        <f aca="false">MAX(0,-E6699)</f>
        <v>737372.270963186</v>
      </c>
      <c r="F6799" s="61" t="n">
        <f aca="false">MAX(0,-F6699)</f>
        <v>729733.115455198</v>
      </c>
      <c r="G6799" s="61" t="n">
        <f aca="false">MAX(0,-G6699)</f>
        <v>633796.443142101</v>
      </c>
      <c r="H6799" s="2" t="s">
        <v>1481</v>
      </c>
    </row>
    <row r="6800" customFormat="false" ht="15" hidden="false" customHeight="false" outlineLevel="1" collapsed="false">
      <c r="A6800" s="2" t="s">
        <v>822</v>
      </c>
      <c r="B6800" s="8"/>
      <c r="C6800" s="61" t="n">
        <f aca="false">IF(AND(C6488&gt;=Pressupostos!$C$120,Pressupostos!$C$118*(C6582+C6583)+Pressupostos!$C$119*C6584&gt;Pressupostos!$C$302),1,0)</f>
        <v>0</v>
      </c>
      <c r="D6800" s="61" t="n">
        <f aca="false">IF(AND(D6488&gt;=Pressupostos!$C$120,Pressupostos!$C$118*(D6582+D6583)+Pressupostos!$C$119*D6584&gt;Pressupostos!$D$302),1,0)</f>
        <v>1</v>
      </c>
      <c r="E6800" s="61" t="n">
        <f aca="false">IF(AND(E6488&gt;=Pressupostos!$C$120,Pressupostos!$C$118*(E6582+E6583)+Pressupostos!$C$119*E6584&gt;Pressupostos!$E$302),1,0)</f>
        <v>1</v>
      </c>
      <c r="F6800" s="61" t="n">
        <f aca="false">IF(AND(F6488&gt;=Pressupostos!$C$120,Pressupostos!$C$118*(F6582+F6583)+Pressupostos!$C$119*F6584&gt;Pressupostos!$F$302),1,0)</f>
        <v>1</v>
      </c>
      <c r="G6800" s="61" t="n">
        <f aca="false">IF(AND(G6488&gt;=Pressupostos!$C$120,Pressupostos!$C$118*(G6582+G6583)+Pressupostos!$C$119*G6584&gt;Pressupostos!$G$302),1,0)</f>
        <v>1</v>
      </c>
      <c r="H6800" s="2" t="s">
        <v>1482</v>
      </c>
    </row>
    <row r="6801" customFormat="false" ht="15" hidden="false" customHeight="false" outlineLevel="1" collapsed="false">
      <c r="A6801" s="7" t="s">
        <v>823</v>
      </c>
      <c r="B6801" s="8" t="s">
        <v>64</v>
      </c>
      <c r="C6801" s="63" t="n">
        <f aca="false">IF(C6492&gt;0,C6799/(C6492*1000*(1-Pressupostos!$F$22)*(1-Pressupostos!$F$25-C6800*Pressupostos!$C$118)),"n/a")</f>
        <v>11.309561691859</v>
      </c>
      <c r="D6801" s="63" t="n">
        <f aca="false">IF(D6492&gt;0,D6799/(D6492*1000*(1-Pressupostos!$F$22)*(1-Pressupostos!$F$25-D6800*Pressupostos!$C$118)),"n/a")</f>
        <v>1.94252522905822</v>
      </c>
      <c r="E6801" s="63" t="n">
        <f aca="false">IF(E6492&gt;0,E6799/(E6492*1000*(1-Pressupostos!$F$22)*(1-Pressupostos!$F$25-E6800*Pressupostos!$C$118)),"n/a")</f>
        <v>1.03566284909736</v>
      </c>
      <c r="F6801" s="63" t="n">
        <f aca="false">IF(F6492&gt;0,F6799/(F6492*1000*(1-Pressupostos!$F$22)*(1-Pressupostos!$F$25-F6800*Pressupostos!$C$118)),"n/a")</f>
        <v>0.621198018807219</v>
      </c>
      <c r="G6801" s="63" t="n">
        <f aca="false">IF(G6492&gt;0,G6799/(G6492*1000*(1-Pressupostos!$F$22)*(1-Pressupostos!$F$25-G6800*Pressupostos!$C$118)),"n/a")</f>
        <v>0.356572230834895</v>
      </c>
      <c r="H6801" s="2" t="s">
        <v>1483</v>
      </c>
    </row>
    <row r="6802" customFormat="false" ht="15" hidden="false" customHeight="false" outlineLevel="1" collapsed="false">
      <c r="A6802" s="7" t="s">
        <v>824</v>
      </c>
      <c r="B6802" s="8" t="s">
        <v>64</v>
      </c>
      <c r="C6802" s="63" t="n">
        <f aca="false">IF(C6491&gt;0,Pressupostos!$F$15+C6799/(C6491*1000*(1-Pressupostos!$F$16)*(1-Pressupostos!$F$18-C6800*Pressupostos!$C$118)),"n/a")</f>
        <v>85.9284755078901</v>
      </c>
      <c r="D6802" s="63" t="n">
        <f aca="false">IF(D6491&gt;0,Pressupostos!$F$15+D6799/(D6491*1000*(1-Pressupostos!$F$16)*(1-Pressupostos!$F$18-D6800*Pressupostos!$C$118)),"n/a")</f>
        <v>31.556402381214</v>
      </c>
      <c r="E6802" s="63" t="n">
        <f aca="false">IF(E6491&gt;0,Pressupostos!$F$15+E6799/(E6491*1000*(1-Pressupostos!$F$16)*(1-Pressupostos!$F$18-E6800*Pressupostos!$C$118)),"n/a")</f>
        <v>16.092418370195</v>
      </c>
      <c r="F6802" s="63" t="n">
        <f aca="false">IF(F6491&gt;0,Pressupostos!$F$15+F6799/(F6491*1000*(1-Pressupostos!$F$16)*(1-Pressupostos!$F$18-F6800*Pressupostos!$C$118)),"n/a")</f>
        <v>11.7073492607468</v>
      </c>
      <c r="G6802" s="63" t="n">
        <f aca="false">IF(G6491&gt;0,Pressupostos!$F$15+G6799/(G6491*1000*(1-Pressupostos!$F$16)*(1-Pressupostos!$F$18-G6800*Pressupostos!$C$118)),"n/a")</f>
        <v>9.46991017569791</v>
      </c>
      <c r="H6802" s="2" t="s">
        <v>1484</v>
      </c>
    </row>
    <row r="6803" customFormat="false" ht="15" hidden="false" customHeight="false" outlineLevel="1" collapsed="false">
      <c r="A6803" s="7" t="s">
        <v>825</v>
      </c>
      <c r="B6803" s="8" t="s">
        <v>64</v>
      </c>
      <c r="C6803" s="63" t="n">
        <f aca="false">IF(Pressupostos!$F$33=1,C6574-C6800*Pressupostos!$C$119*C6557,C6580)</f>
        <v>0.00725</v>
      </c>
      <c r="D6803" s="63" t="n">
        <f aca="false">IF(Pressupostos!$F$33=1,D6574-D6800*Pressupostos!$C$119*D6557,D6580)</f>
        <v>0.00725</v>
      </c>
      <c r="E6803" s="63" t="n">
        <f aca="false">IF(Pressupostos!$F$33=1,E6574-E6800*Pressupostos!$C$119*E6557,E6580)</f>
        <v>0.00725</v>
      </c>
      <c r="F6803" s="63" t="n">
        <f aca="false">IF(Pressupostos!$F$33=1,F6574-F6800*Pressupostos!$C$119*F6557,F6580)</f>
        <v>0.00725</v>
      </c>
      <c r="G6803" s="63" t="n">
        <f aca="false">IF(Pressupostos!$F$33=1,G6574-G6800*Pressupostos!$C$119*G6557,G6580)</f>
        <v>0.00725</v>
      </c>
      <c r="H6803" s="2" t="s">
        <v>1485</v>
      </c>
    </row>
    <row r="6804" customFormat="false" ht="15" hidden="false" customHeight="false" outlineLevel="1" collapsed="false">
      <c r="A6804" s="7" t="s">
        <v>826</v>
      </c>
      <c r="B6804" s="8" t="s">
        <v>120</v>
      </c>
      <c r="C6804" s="55" t="n">
        <f aca="false">IF(C6803&gt;0,C6493+C6799/(C6803*1000),"n/a")</f>
        <v>80873.5057038262</v>
      </c>
      <c r="D6804" s="55" t="n">
        <f aca="false">IF(D6803&gt;0,D6493+D6799/(D6803*1000),"n/a")</f>
        <v>97079.4071091167</v>
      </c>
      <c r="E6804" s="55" t="n">
        <f aca="false">IF(E6803&gt;0,E6493+E6799/(E6803*1000),"n/a")</f>
        <v>103206.520132853</v>
      </c>
      <c r="F6804" s="55" t="n">
        <f aca="false">IF(F6803&gt;0,F6493+F6799/(F6803*1000),"n/a")</f>
        <v>103152.843511062</v>
      </c>
      <c r="G6804" s="55" t="n">
        <f aca="false">IF(G6803&gt;0,G6493+G6799/(G6803*1000),"n/a")</f>
        <v>90920.199054083</v>
      </c>
      <c r="H6804" s="2" t="s">
        <v>1486</v>
      </c>
    </row>
    <row r="6805" customFormat="false" ht="15" hidden="false" customHeight="false" outlineLevel="1" collapsed="false">
      <c r="A6805" s="7" t="s">
        <v>827</v>
      </c>
      <c r="B6805" s="8" t="s">
        <v>76</v>
      </c>
      <c r="C6805" s="59" t="n">
        <f aca="false">C6799/(C6661+C6674+C6675)</f>
        <v>0.974504132631807</v>
      </c>
      <c r="D6805" s="59" t="n">
        <f aca="false">D6799/(D6661+D6674+D6675)</f>
        <v>0.909046587118804</v>
      </c>
      <c r="E6805" s="59" t="n">
        <f aca="false">E6799/(E6661+E6674+E6675)</f>
        <v>0.799832541605005</v>
      </c>
      <c r="F6805" s="59" t="n">
        <f aca="false">F6799/(F6661+F6674+F6675)</f>
        <v>0.680900744857396</v>
      </c>
      <c r="G6805" s="59" t="n">
        <f aca="false">G6799/(G6661+G6674+G6675)</f>
        <v>0.538898532318761</v>
      </c>
      <c r="H6805" s="2" t="s">
        <v>1487</v>
      </c>
    </row>
    <row r="6806" customFormat="false" ht="15" hidden="false" customHeight="false" outlineLevel="1" collapsed="false">
      <c r="A6806" s="2" t="s">
        <v>828</v>
      </c>
      <c r="B6806" s="8" t="s">
        <v>76</v>
      </c>
      <c r="C6806" s="60" t="n">
        <f aca="false">Pressupostos!$C$101*Pressupostos!$C$102+Pressupostos!$C$103-Pressupostos!$F$30*Pressupostos!$C$104*Pressupostos!$C$102/(Pressupostos!$C$105*Pressupostos!$C$106)</f>
        <v>0.02</v>
      </c>
      <c r="D6806" s="60" t="n">
        <f aca="false">Pressupostos!$C$101*Pressupostos!$C$102+Pressupostos!$C$103-Pressupostos!$F$30*Pressupostos!$C$104*Pressupostos!$C$102/(Pressupostos!$C$105*Pressupostos!$C$106)</f>
        <v>0.02</v>
      </c>
      <c r="E6806" s="60" t="n">
        <f aca="false">Pressupostos!$C$101*Pressupostos!$C$102+Pressupostos!$C$103-Pressupostos!$F$30*Pressupostos!$C$104*Pressupostos!$C$102/(Pressupostos!$C$105*Pressupostos!$C$106)</f>
        <v>0.02</v>
      </c>
      <c r="F6806" s="60" t="n">
        <f aca="false">Pressupostos!$C$101*Pressupostos!$C$102+Pressupostos!$C$103-Pressupostos!$F$30*Pressupostos!$C$104*Pressupostos!$C$102/(Pressupostos!$C$105*Pressupostos!$C$106)</f>
        <v>0.02</v>
      </c>
      <c r="G6806" s="60" t="n">
        <f aca="false">Pressupostos!$C$101*Pressupostos!$C$102+Pressupostos!$C$103-Pressupostos!$F$30*Pressupostos!$C$104*Pressupostos!$C$102/(Pressupostos!$C$105*Pressupostos!$C$106)</f>
        <v>0.02</v>
      </c>
      <c r="H6806" s="2" t="s">
        <v>1488</v>
      </c>
    </row>
    <row r="6807" customFormat="false" ht="15" hidden="false" customHeight="false" outlineLevel="1" collapsed="false">
      <c r="A6807" s="7" t="s">
        <v>829</v>
      </c>
      <c r="B6807" s="8" t="s">
        <v>11</v>
      </c>
      <c r="C6807" s="61" t="n">
        <f aca="false">IF(C6806&gt;0,C6506+C6799/C6806,"n/a")</f>
        <v>29316645.817637</v>
      </c>
      <c r="D6807" s="61" t="n">
        <f aca="false">IF(D6806&gt;0,D6506+D6799/D6806,"n/a")</f>
        <v>35510035.0770548</v>
      </c>
      <c r="E6807" s="61" t="n">
        <f aca="false">IF(E6806&gt;0,E6506+E6799/E6806,"n/a")</f>
        <v>38368613.5481593</v>
      </c>
      <c r="F6807" s="61" t="n">
        <f aca="false">IF(F6806&gt;0,F6506+F6799/F6806,"n/a")</f>
        <v>39486655.7727599</v>
      </c>
      <c r="G6807" s="61" t="n">
        <f aca="false">IF(G6806&gt;0,G6506+G6799/G6806,"n/a")</f>
        <v>36689822.1571051</v>
      </c>
      <c r="H6807" s="2" t="s">
        <v>1489</v>
      </c>
    </row>
    <row r="6810" customFormat="false" ht="15" hidden="false" customHeight="false" outlineLevel="0" collapsed="false">
      <c r="A6810" s="111" t="s">
        <v>1510</v>
      </c>
      <c r="B6810" s="112"/>
      <c r="C6810" s="112"/>
      <c r="D6810" s="112"/>
      <c r="E6810" s="112"/>
      <c r="F6810" s="112"/>
      <c r="G6810" s="112"/>
      <c r="H6810" s="112"/>
    </row>
    <row r="6811" customFormat="false" ht="15" hidden="false" customHeight="false" outlineLevel="0" collapsed="false">
      <c r="A6811" s="3" t="s">
        <v>1170</v>
      </c>
      <c r="B6811" s="4"/>
      <c r="C6811" s="4"/>
      <c r="D6811" s="4"/>
      <c r="E6811" s="4"/>
      <c r="F6811" s="4"/>
      <c r="G6811" s="4"/>
      <c r="H6811" s="4"/>
    </row>
    <row r="6812" customFormat="false" ht="15" hidden="false" customHeight="false" outlineLevel="1" collapsed="false">
      <c r="A6812" s="7" t="s">
        <v>588</v>
      </c>
      <c r="B6812" s="8"/>
      <c r="C6812" s="52" t="n">
        <v>2027</v>
      </c>
      <c r="D6812" s="52" t="n">
        <v>2028</v>
      </c>
      <c r="E6812" s="52" t="n">
        <v>2029</v>
      </c>
      <c r="F6812" s="52" t="n">
        <v>2030</v>
      </c>
      <c r="G6812" s="52" t="n">
        <v>2031</v>
      </c>
      <c r="H6812" s="2" t="s">
        <v>20</v>
      </c>
    </row>
    <row r="6813" customFormat="false" ht="15" hidden="false" customHeight="false" outlineLevel="0" collapsed="false">
      <c r="A6813" s="3" t="s">
        <v>1171</v>
      </c>
      <c r="B6813" s="4"/>
      <c r="C6813" s="4"/>
      <c r="D6813" s="4"/>
      <c r="E6813" s="4"/>
      <c r="F6813" s="4"/>
      <c r="G6813" s="4"/>
      <c r="H6813" s="4"/>
    </row>
    <row r="6814" customFormat="false" ht="15" hidden="false" customHeight="false" outlineLevel="1" collapsed="false">
      <c r="A6814" s="7" t="s">
        <v>387</v>
      </c>
      <c r="B6814" s="8" t="s">
        <v>123</v>
      </c>
      <c r="C6814" s="53" t="n">
        <f aca="false">Pressupostos!$C$215</f>
        <v>40</v>
      </c>
      <c r="D6814" s="53" t="n">
        <f aca="false">Pressupostos!$D$215</f>
        <v>150</v>
      </c>
      <c r="E6814" s="53" t="n">
        <f aca="false">Pressupostos!$E$215</f>
        <v>400</v>
      </c>
      <c r="F6814" s="53" t="n">
        <f aca="false">Pressupostos!$F$215</f>
        <v>700</v>
      </c>
      <c r="G6814" s="53" t="n">
        <f aca="false">Pressupostos!$G$215</f>
        <v>1000</v>
      </c>
      <c r="H6814" s="2" t="s">
        <v>1172</v>
      </c>
    </row>
    <row r="6815" customFormat="false" ht="15" hidden="false" customHeight="false" outlineLevel="1" collapsed="false">
      <c r="A6815" s="7" t="s">
        <v>590</v>
      </c>
      <c r="B6815" s="8" t="s">
        <v>120</v>
      </c>
      <c r="C6815" s="54" t="n">
        <f aca="false">Pressupostos!$C$221</f>
        <v>8.2</v>
      </c>
      <c r="D6815" s="54" t="n">
        <f aca="false">Pressupostos!$D$221</f>
        <v>30.75</v>
      </c>
      <c r="E6815" s="54" t="n">
        <f aca="false">Pressupostos!$E$221</f>
        <v>82</v>
      </c>
      <c r="F6815" s="54" t="n">
        <f aca="false">Pressupostos!$F$221</f>
        <v>143.5</v>
      </c>
      <c r="G6815" s="54" t="n">
        <f aca="false">Pressupostos!$G$221</f>
        <v>205</v>
      </c>
      <c r="H6815" s="2" t="s">
        <v>1173</v>
      </c>
    </row>
    <row r="6816" customFormat="false" ht="15" hidden="false" customHeight="false" outlineLevel="1" collapsed="false">
      <c r="A6816" s="7" t="s">
        <v>591</v>
      </c>
      <c r="B6816" s="8" t="s">
        <v>120</v>
      </c>
      <c r="C6816" s="54" t="n">
        <f aca="false">Pressupostos!$C$227</f>
        <v>52</v>
      </c>
      <c r="D6816" s="54" t="n">
        <f aca="false">Pressupostos!$D$227</f>
        <v>363</v>
      </c>
      <c r="E6816" s="54" t="n">
        <f aca="false">Pressupostos!$E$227</f>
        <v>717</v>
      </c>
      <c r="F6816" s="54" t="n">
        <f aca="false">Pressupostos!$F$227</f>
        <v>1183</v>
      </c>
      <c r="G6816" s="54" t="n">
        <f aca="false">Pressupostos!$G$227</f>
        <v>1790</v>
      </c>
      <c r="H6816" s="2" t="s">
        <v>1174</v>
      </c>
    </row>
    <row r="6817" customFormat="false" ht="15" hidden="false" customHeight="false" outlineLevel="1" collapsed="false">
      <c r="A6817" s="7" t="s">
        <v>398</v>
      </c>
      <c r="B6817" s="8" t="s">
        <v>120</v>
      </c>
      <c r="C6817" s="54" t="n">
        <f aca="false">Pressupostos!$C$233</f>
        <v>0</v>
      </c>
      <c r="D6817" s="54" t="n">
        <f aca="false">Pressupostos!$D$233</f>
        <v>500</v>
      </c>
      <c r="E6817" s="54" t="n">
        <f aca="false">Pressupostos!$E$233</f>
        <v>1500</v>
      </c>
      <c r="F6817" s="54" t="n">
        <f aca="false">Pressupostos!$F$233</f>
        <v>2500</v>
      </c>
      <c r="G6817" s="54" t="n">
        <f aca="false">Pressupostos!$G$233</f>
        <v>3500</v>
      </c>
      <c r="H6817" s="2" t="s">
        <v>1175</v>
      </c>
    </row>
    <row r="6818" customFormat="false" ht="15" hidden="false" customHeight="false" outlineLevel="1" collapsed="false">
      <c r="A6818" s="7" t="s">
        <v>592</v>
      </c>
      <c r="B6818" s="8" t="s">
        <v>120</v>
      </c>
      <c r="C6818" s="55" t="n">
        <f aca="false">C6817*Pressupostos!$F$33</f>
        <v>0</v>
      </c>
      <c r="D6818" s="55" t="n">
        <f aca="false">D6817*Pressupostos!$F$33</f>
        <v>0</v>
      </c>
      <c r="E6818" s="55" t="n">
        <f aca="false">E6817*Pressupostos!$F$33</f>
        <v>0</v>
      </c>
      <c r="F6818" s="55" t="n">
        <f aca="false">F6817*Pressupostos!$F$33</f>
        <v>0</v>
      </c>
      <c r="G6818" s="55" t="n">
        <f aca="false">G6817*Pressupostos!$F$33</f>
        <v>0</v>
      </c>
      <c r="H6818" s="2" t="s">
        <v>1176</v>
      </c>
    </row>
    <row r="6819" customFormat="false" ht="15" hidden="false" customHeight="false" outlineLevel="1" collapsed="false">
      <c r="A6819" s="7" t="s">
        <v>593</v>
      </c>
      <c r="B6819" s="8" t="s">
        <v>120</v>
      </c>
      <c r="C6819" s="55" t="n">
        <f aca="false">C6817-C6818</f>
        <v>0</v>
      </c>
      <c r="D6819" s="55" t="n">
        <f aca="false">D6817-D6818</f>
        <v>500</v>
      </c>
      <c r="E6819" s="55" t="n">
        <f aca="false">E6817-E6818</f>
        <v>1500</v>
      </c>
      <c r="F6819" s="55" t="n">
        <f aca="false">F6817-F6818</f>
        <v>2500</v>
      </c>
      <c r="G6819" s="55" t="n">
        <f aca="false">G6817-G6818</f>
        <v>3500</v>
      </c>
      <c r="H6819" s="2" t="s">
        <v>1177</v>
      </c>
    </row>
    <row r="6820" customFormat="false" ht="15" hidden="false" customHeight="false" outlineLevel="1" collapsed="false">
      <c r="A6820" s="56" t="s">
        <v>594</v>
      </c>
      <c r="B6820" s="57" t="s">
        <v>120</v>
      </c>
      <c r="C6820" s="58" t="n">
        <f aca="false">C6815+C6816+C6817</f>
        <v>60.2</v>
      </c>
      <c r="D6820" s="58" t="n">
        <f aca="false">D6815+D6816+D6817</f>
        <v>893.75</v>
      </c>
      <c r="E6820" s="58" t="n">
        <f aca="false">E6815+E6816+E6817</f>
        <v>2299</v>
      </c>
      <c r="F6820" s="58" t="n">
        <f aca="false">F6815+F6816+F6817</f>
        <v>3826.5</v>
      </c>
      <c r="G6820" s="58" t="n">
        <f aca="false">G6815+G6816+G6817</f>
        <v>5495</v>
      </c>
      <c r="H6820" s="2" t="s">
        <v>1178</v>
      </c>
    </row>
    <row r="6821" customFormat="false" ht="15" hidden="false" customHeight="false" outlineLevel="1" collapsed="false">
      <c r="A6821" s="7" t="s">
        <v>595</v>
      </c>
      <c r="B6821" s="8" t="s">
        <v>76</v>
      </c>
      <c r="C6821" s="59" t="n">
        <f aca="false">IF(C6820&gt;0,C6815/C6820,0)</f>
        <v>0.136212624584718</v>
      </c>
      <c r="D6821" s="59" t="n">
        <f aca="false">IF(D6820&gt;0,D6815/D6820,0)</f>
        <v>0.0344055944055944</v>
      </c>
      <c r="E6821" s="59" t="n">
        <f aca="false">IF(E6820&gt;0,E6815/E6820,0)</f>
        <v>0.035667681600696</v>
      </c>
      <c r="F6821" s="59" t="n">
        <f aca="false">IF(F6820&gt;0,F6815/F6820,0)</f>
        <v>0.0375016333464001</v>
      </c>
      <c r="G6821" s="59" t="n">
        <f aca="false">IF(G6820&gt;0,G6815/G6820,0)</f>
        <v>0.0373066424021838</v>
      </c>
      <c r="H6821" s="2" t="s">
        <v>1179</v>
      </c>
    </row>
    <row r="6822" customFormat="false" ht="15" hidden="false" customHeight="false" outlineLevel="1" collapsed="false">
      <c r="A6822" s="7" t="s">
        <v>596</v>
      </c>
      <c r="B6822" s="8" t="s">
        <v>76</v>
      </c>
      <c r="C6822" s="60" t="n">
        <f aca="false">C6820/(Pressupostos!$C$76*1000)</f>
        <v>0.000355162241887906</v>
      </c>
      <c r="D6822" s="60" t="n">
        <f aca="false">D6820/(Pressupostos!$C$76*1000)</f>
        <v>0.00527286135693215</v>
      </c>
      <c r="E6822" s="60" t="n">
        <f aca="false">E6820/(Pressupostos!$C$76*1000)</f>
        <v>0.0135634218289086</v>
      </c>
      <c r="F6822" s="60" t="n">
        <f aca="false">F6820/(Pressupostos!$C$76*1000)</f>
        <v>0.0225752212389381</v>
      </c>
      <c r="G6822" s="60" t="n">
        <f aca="false">G6820/(Pressupostos!$C$76*1000)</f>
        <v>0.0324188790560472</v>
      </c>
      <c r="H6822" s="2" t="s">
        <v>1180</v>
      </c>
    </row>
    <row r="6823" customFormat="false" ht="15" hidden="false" customHeight="false" outlineLevel="1" collapsed="false">
      <c r="A6823" s="7" t="s">
        <v>597</v>
      </c>
      <c r="B6823" s="8" t="s">
        <v>123</v>
      </c>
      <c r="C6823" s="55" t="n">
        <f aca="false">C6815/Pressupostos!$C$40+C6816/Pressupostos!$C$47+C6817/Pressupostos!$C$59</f>
        <v>2.14333333333333</v>
      </c>
      <c r="D6823" s="55" t="n">
        <f aca="false">D6815/Pressupostos!$C$40+D6816/Pressupostos!$C$47+D6817/Pressupostos!$C$59</f>
        <v>18.6375</v>
      </c>
      <c r="E6823" s="55" t="n">
        <f aca="false">E6815/Pressupostos!$C$40+E6816/Pressupostos!$C$47+E6817/Pressupostos!$C$59</f>
        <v>43</v>
      </c>
      <c r="F6823" s="55" t="n">
        <f aca="false">F6815/Pressupostos!$C$40+F6816/Pressupostos!$C$47+F6817/Pressupostos!$C$59</f>
        <v>71.6083333333333</v>
      </c>
      <c r="G6823" s="55" t="n">
        <f aca="false">G6815/Pressupostos!$C$40+G6816/Pressupostos!$C$47+G6817/Pressupostos!$C$59</f>
        <v>104.916666666667</v>
      </c>
      <c r="H6823" s="2" t="s">
        <v>1181</v>
      </c>
    </row>
    <row r="6824" customFormat="false" ht="15" hidden="false" customHeight="false" outlineLevel="0" collapsed="false">
      <c r="A6824" s="3" t="s">
        <v>1182</v>
      </c>
      <c r="B6824" s="4"/>
      <c r="C6824" s="4"/>
      <c r="D6824" s="4"/>
      <c r="E6824" s="4"/>
      <c r="F6824" s="4"/>
      <c r="G6824" s="4"/>
      <c r="H6824" s="4"/>
    </row>
    <row r="6825" customFormat="false" ht="15" hidden="false" customHeight="false" outlineLevel="1" collapsed="false">
      <c r="A6825" s="7" t="s">
        <v>599</v>
      </c>
      <c r="B6825" s="8" t="s">
        <v>202</v>
      </c>
      <c r="C6825" s="53" t="n">
        <f aca="false">Pressupostos!$C$259</f>
        <v>36</v>
      </c>
      <c r="D6825" s="53" t="n">
        <f aca="false">Pressupostos!$D$259</f>
        <v>135</v>
      </c>
      <c r="E6825" s="53" t="n">
        <f aca="false">Pressupostos!$E$259</f>
        <v>360</v>
      </c>
      <c r="F6825" s="53" t="n">
        <f aca="false">Pressupostos!$F$259</f>
        <v>630</v>
      </c>
      <c r="G6825" s="53" t="n">
        <f aca="false">Pressupostos!$G$259</f>
        <v>900</v>
      </c>
      <c r="H6825" s="2" t="s">
        <v>1183</v>
      </c>
    </row>
    <row r="6826" customFormat="false" ht="15" hidden="false" customHeight="false" outlineLevel="1" collapsed="false">
      <c r="A6826" s="7" t="s">
        <v>599</v>
      </c>
      <c r="B6826" s="8" t="s">
        <v>189</v>
      </c>
      <c r="C6826" s="61" t="n">
        <f aca="false">C6825*Pressupostos!$C$78</f>
        <v>27000</v>
      </c>
      <c r="D6826" s="61" t="n">
        <f aca="false">D6825*Pressupostos!$C$78</f>
        <v>101250</v>
      </c>
      <c r="E6826" s="61" t="n">
        <f aca="false">E6825*Pressupostos!$C$78</f>
        <v>270000</v>
      </c>
      <c r="F6826" s="61" t="n">
        <f aca="false">F6825*Pressupostos!$C$78</f>
        <v>472500</v>
      </c>
      <c r="G6826" s="61" t="n">
        <f aca="false">G6825*Pressupostos!$C$78</f>
        <v>675000</v>
      </c>
      <c r="H6826" s="2" t="s">
        <v>1184</v>
      </c>
    </row>
    <row r="6827" customFormat="false" ht="15" hidden="false" customHeight="false" outlineLevel="0" collapsed="false">
      <c r="A6827" s="3" t="s">
        <v>1185</v>
      </c>
      <c r="B6827" s="4"/>
      <c r="C6827" s="4"/>
      <c r="D6827" s="4"/>
      <c r="E6827" s="4"/>
      <c r="F6827" s="4"/>
      <c r="G6827" s="4"/>
      <c r="H6827" s="4"/>
    </row>
    <row r="6828" customFormat="false" ht="15" hidden="false" customHeight="false" outlineLevel="1" collapsed="false">
      <c r="A6828" s="7" t="s">
        <v>601</v>
      </c>
      <c r="B6828" s="8" t="s">
        <v>120</v>
      </c>
      <c r="C6828" s="55" t="n">
        <f aca="false">IF(C6812&lt;Pressupostos!$F$28,0,Pressupostos!$C$265)</f>
        <v>0</v>
      </c>
      <c r="D6828" s="55" t="n">
        <f aca="false">IF(D6812&lt;Pressupostos!$F$28,0,Pressupostos!$D$265)</f>
        <v>0</v>
      </c>
      <c r="E6828" s="55" t="n">
        <f aca="false">IF(E6812&lt;Pressupostos!$F$28,0,Pressupostos!$E$265)</f>
        <v>0</v>
      </c>
      <c r="F6828" s="55" t="n">
        <f aca="false">IF(F6812&lt;Pressupostos!$F$28,0,Pressupostos!$F$265)</f>
        <v>20</v>
      </c>
      <c r="G6828" s="55" t="n">
        <f aca="false">IF(G6812&lt;Pressupostos!$F$28,0,Pressupostos!$G$265)</f>
        <v>50</v>
      </c>
      <c r="H6828" s="2" t="s">
        <v>1186</v>
      </c>
    </row>
    <row r="6829" customFormat="false" ht="15" hidden="false" customHeight="false" outlineLevel="0" collapsed="false">
      <c r="A6829" s="3" t="s">
        <v>1187</v>
      </c>
      <c r="B6829" s="4"/>
      <c r="C6829" s="4"/>
      <c r="D6829" s="4"/>
      <c r="E6829" s="4"/>
      <c r="F6829" s="4"/>
      <c r="G6829" s="4"/>
      <c r="H6829" s="4"/>
    </row>
    <row r="6830" customFormat="false" ht="15" hidden="false" customHeight="false" outlineLevel="1" collapsed="false">
      <c r="A6830" s="7" t="s">
        <v>603</v>
      </c>
      <c r="B6830" s="8" t="s">
        <v>11</v>
      </c>
      <c r="C6830" s="53" t="n">
        <f aca="false">Pressupostos!$C$271</f>
        <v>0</v>
      </c>
      <c r="D6830" s="53" t="n">
        <f aca="false">Pressupostos!$D$271</f>
        <v>500000</v>
      </c>
      <c r="E6830" s="53" t="n">
        <f aca="false">Pressupostos!$E$271</f>
        <v>1500000</v>
      </c>
      <c r="F6830" s="53" t="n">
        <f aca="false">Pressupostos!$F$271</f>
        <v>3000000</v>
      </c>
      <c r="G6830" s="53" t="n">
        <f aca="false">Pressupostos!$G$271</f>
        <v>5000000</v>
      </c>
      <c r="H6830" s="2" t="s">
        <v>1188</v>
      </c>
    </row>
    <row r="6831" customFormat="false" ht="15" hidden="false" customHeight="false" outlineLevel="1" collapsed="false">
      <c r="A6831" s="7" t="s">
        <v>604</v>
      </c>
      <c r="B6831" s="8" t="s">
        <v>120</v>
      </c>
      <c r="C6831" s="55" t="n">
        <f aca="false">C6830/(Pressupostos!$C$105*Pressupostos!$C$106)*Pressupostos!$C$102/1000</f>
        <v>0</v>
      </c>
      <c r="D6831" s="55" t="n">
        <f aca="false">D6830/(Pressupostos!$C$105*Pressupostos!$C$106)*Pressupostos!$C$102/1000</f>
        <v>457.142857142857</v>
      </c>
      <c r="E6831" s="55" t="n">
        <f aca="false">E6830/(Pressupostos!$C$105*Pressupostos!$C$106)*Pressupostos!$C$102/1000</f>
        <v>1371.42857142857</v>
      </c>
      <c r="F6831" s="55" t="n">
        <f aca="false">F6830/(Pressupostos!$C$105*Pressupostos!$C$106)*Pressupostos!$C$102/1000</f>
        <v>2742.85714285714</v>
      </c>
      <c r="G6831" s="55" t="n">
        <f aca="false">G6830/(Pressupostos!$C$105*Pressupostos!$C$106)*Pressupostos!$C$102/1000</f>
        <v>4571.42857142857</v>
      </c>
      <c r="H6831" s="2" t="s">
        <v>1189</v>
      </c>
    </row>
    <row r="6832" customFormat="false" ht="15" hidden="false" customHeight="false" outlineLevel="0" collapsed="false">
      <c r="A6832" s="3" t="s">
        <v>1190</v>
      </c>
      <c r="B6832" s="4"/>
      <c r="C6832" s="4"/>
      <c r="D6832" s="4"/>
      <c r="E6832" s="4"/>
      <c r="F6832" s="4"/>
      <c r="G6832" s="4"/>
      <c r="H6832" s="4"/>
    </row>
    <row r="6833" customFormat="false" ht="15" hidden="false" customHeight="false" outlineLevel="1" collapsed="false">
      <c r="A6833" s="7" t="s">
        <v>669</v>
      </c>
      <c r="B6833" s="8" t="s">
        <v>64</v>
      </c>
      <c r="C6833" s="63" t="n">
        <f aca="false">Pressupostos!$F$10+Pressupostos!$F$11</f>
        <v>3.65</v>
      </c>
      <c r="D6833" s="63" t="n">
        <f aca="false">Pressupostos!$F$10+Pressupostos!$F$11</f>
        <v>3.65</v>
      </c>
      <c r="E6833" s="63" t="n">
        <f aca="false">Pressupostos!$F$10+Pressupostos!$F$11</f>
        <v>3.65</v>
      </c>
      <c r="F6833" s="63" t="n">
        <f aca="false">Pressupostos!$F$10+Pressupostos!$F$11</f>
        <v>3.65</v>
      </c>
      <c r="G6833" s="63" t="n">
        <f aca="false">Pressupostos!$F$10+Pressupostos!$F$11</f>
        <v>3.65</v>
      </c>
      <c r="H6833" s="2" t="s">
        <v>1191</v>
      </c>
    </row>
    <row r="6834" customFormat="false" ht="15" hidden="false" customHeight="false" outlineLevel="1" collapsed="false">
      <c r="A6834" s="7" t="s">
        <v>670</v>
      </c>
      <c r="B6834" s="8" t="s">
        <v>64</v>
      </c>
      <c r="C6834" s="67" t="n">
        <f aca="false">Pressupostos!$F$15</f>
        <v>6</v>
      </c>
      <c r="D6834" s="67" t="n">
        <f aca="false">Pressupostos!$F$15</f>
        <v>6</v>
      </c>
      <c r="E6834" s="67" t="n">
        <f aca="false">Pressupostos!$F$15</f>
        <v>6</v>
      </c>
      <c r="F6834" s="67" t="n">
        <f aca="false">Pressupostos!$F$15</f>
        <v>6</v>
      </c>
      <c r="G6834" s="67" t="n">
        <f aca="false">Pressupostos!$F$15</f>
        <v>6</v>
      </c>
      <c r="H6834" s="2" t="s">
        <v>1192</v>
      </c>
    </row>
    <row r="6835" customFormat="false" ht="15" hidden="false" customHeight="false" outlineLevel="1" collapsed="false">
      <c r="A6835" s="56" t="s">
        <v>671</v>
      </c>
      <c r="B6835" s="57" t="s">
        <v>64</v>
      </c>
      <c r="C6835" s="68" t="n">
        <f aca="false">C6834*(1-Pressupostos!$F$16)</f>
        <v>5.4</v>
      </c>
      <c r="D6835" s="68" t="n">
        <f aca="false">D6834*(1-Pressupostos!$F$16)</f>
        <v>5.4</v>
      </c>
      <c r="E6835" s="68" t="n">
        <f aca="false">E6834*(1-Pressupostos!$F$16)</f>
        <v>5.4</v>
      </c>
      <c r="F6835" s="68" t="n">
        <f aca="false">F6834*(1-Pressupostos!$F$16)</f>
        <v>5.4</v>
      </c>
      <c r="G6835" s="68" t="n">
        <f aca="false">G6834*(1-Pressupostos!$F$16)</f>
        <v>5.4</v>
      </c>
      <c r="H6835" s="2" t="s">
        <v>1193</v>
      </c>
    </row>
    <row r="6836" customFormat="false" ht="15" hidden="false" customHeight="false" outlineLevel="1" collapsed="false">
      <c r="A6836" s="7" t="s">
        <v>144</v>
      </c>
      <c r="B6836" s="8" t="s">
        <v>64</v>
      </c>
      <c r="C6836" s="67" t="n">
        <f aca="false">Pressupostos!$C$38</f>
        <v>0.55</v>
      </c>
      <c r="D6836" s="67" t="n">
        <f aca="false">Pressupostos!$C$38</f>
        <v>0.55</v>
      </c>
      <c r="E6836" s="67" t="n">
        <f aca="false">Pressupostos!$C$38</f>
        <v>0.55</v>
      </c>
      <c r="F6836" s="67" t="n">
        <f aca="false">Pressupostos!$C$38</f>
        <v>0.55</v>
      </c>
      <c r="G6836" s="67" t="n">
        <f aca="false">Pressupostos!$C$38</f>
        <v>0.55</v>
      </c>
      <c r="H6836" s="2" t="s">
        <v>1194</v>
      </c>
    </row>
    <row r="6837" customFormat="false" ht="15" hidden="false" customHeight="false" outlineLevel="1" collapsed="false">
      <c r="A6837" s="7" t="s">
        <v>215</v>
      </c>
      <c r="B6837" s="8" t="s">
        <v>64</v>
      </c>
      <c r="C6837" s="67" t="n">
        <f aca="false">Pressupostos!$C$240</f>
        <v>0.3</v>
      </c>
      <c r="D6837" s="67" t="n">
        <f aca="false">Pressupostos!$D$240</f>
        <v>0.3</v>
      </c>
      <c r="E6837" s="67" t="n">
        <f aca="false">Pressupostos!$E$240</f>
        <v>0.28</v>
      </c>
      <c r="F6837" s="67" t="n">
        <f aca="false">Pressupostos!$F$240</f>
        <v>0.27</v>
      </c>
      <c r="G6837" s="67" t="n">
        <f aca="false">Pressupostos!$G$240</f>
        <v>0.27</v>
      </c>
      <c r="H6837" s="2" t="s">
        <v>1195</v>
      </c>
    </row>
    <row r="6838" customFormat="false" ht="15" hidden="false" customHeight="false" outlineLevel="1" collapsed="false">
      <c r="A6838" s="7" t="s">
        <v>117</v>
      </c>
      <c r="B6838" s="8" t="s">
        <v>64</v>
      </c>
      <c r="C6838" s="67" t="n">
        <f aca="false">Pressupostos!$C$39</f>
        <v>0.06</v>
      </c>
      <c r="D6838" s="67" t="n">
        <f aca="false">Pressupostos!$C$39</f>
        <v>0.06</v>
      </c>
      <c r="E6838" s="67" t="n">
        <f aca="false">Pressupostos!$C$39</f>
        <v>0.06</v>
      </c>
      <c r="F6838" s="67" t="n">
        <f aca="false">Pressupostos!$C$39</f>
        <v>0.06</v>
      </c>
      <c r="G6838" s="67" t="n">
        <f aca="false">Pressupostos!$C$39</f>
        <v>0.06</v>
      </c>
      <c r="H6838" s="2" t="s">
        <v>1196</v>
      </c>
    </row>
    <row r="6839" customFormat="false" ht="15" hidden="false" customHeight="false" outlineLevel="1" collapsed="false">
      <c r="A6839" s="7" t="s">
        <v>91</v>
      </c>
      <c r="B6839" s="8" t="s">
        <v>79</v>
      </c>
      <c r="C6839" s="69" t="n">
        <f aca="false">Pressupostos!$C$246</f>
        <v>180</v>
      </c>
      <c r="D6839" s="69" t="n">
        <f aca="false">Pressupostos!$D$246</f>
        <v>180</v>
      </c>
      <c r="E6839" s="69" t="n">
        <f aca="false">Pressupostos!$E$246</f>
        <v>45</v>
      </c>
      <c r="F6839" s="69" t="n">
        <f aca="false">Pressupostos!$F$246</f>
        <v>45</v>
      </c>
      <c r="G6839" s="69" t="n">
        <f aca="false">Pressupostos!$G$246</f>
        <v>45</v>
      </c>
      <c r="H6839" s="2" t="s">
        <v>1197</v>
      </c>
    </row>
    <row r="6840" customFormat="false" ht="15" hidden="false" customHeight="false" outlineLevel="1" collapsed="false">
      <c r="A6840" s="7" t="s">
        <v>78</v>
      </c>
      <c r="B6840" s="8" t="s">
        <v>79</v>
      </c>
      <c r="C6840" s="69" t="n">
        <f aca="false">Pressupostos!$F$17</f>
        <v>35</v>
      </c>
      <c r="D6840" s="69" t="n">
        <f aca="false">Pressupostos!$F$17</f>
        <v>35</v>
      </c>
      <c r="E6840" s="69" t="n">
        <f aca="false">Pressupostos!$F$17</f>
        <v>35</v>
      </c>
      <c r="F6840" s="69" t="n">
        <f aca="false">Pressupostos!$F$17</f>
        <v>35</v>
      </c>
      <c r="G6840" s="69" t="n">
        <f aca="false">Pressupostos!$F$17</f>
        <v>35</v>
      </c>
      <c r="H6840" s="2" t="s">
        <v>1198</v>
      </c>
    </row>
    <row r="6841" customFormat="false" ht="15" hidden="false" customHeight="false" outlineLevel="1" collapsed="false">
      <c r="A6841" s="7" t="s">
        <v>490</v>
      </c>
      <c r="B6841" s="8" t="s">
        <v>64</v>
      </c>
      <c r="C6841" s="63" t="n">
        <f aca="false">Pressupostos!$C$66*C6839/30/1000</f>
        <v>0.024</v>
      </c>
      <c r="D6841" s="63" t="n">
        <f aca="false">Pressupostos!$C$66*D6839/30/1000</f>
        <v>0.024</v>
      </c>
      <c r="E6841" s="63" t="n">
        <f aca="false">Pressupostos!$C$66*E6839/30/1000</f>
        <v>0.006</v>
      </c>
      <c r="F6841" s="63" t="n">
        <f aca="false">Pressupostos!$C$66*F6839/30/1000</f>
        <v>0.006</v>
      </c>
      <c r="G6841" s="63" t="n">
        <f aca="false">Pressupostos!$C$66*G6839/30/1000</f>
        <v>0.006</v>
      </c>
      <c r="H6841" s="2" t="s">
        <v>1199</v>
      </c>
    </row>
    <row r="6842" customFormat="false" ht="15" hidden="false" customHeight="false" outlineLevel="1" collapsed="false">
      <c r="A6842" s="7" t="s">
        <v>165</v>
      </c>
      <c r="B6842" s="8" t="s">
        <v>64</v>
      </c>
      <c r="C6842" s="63" t="n">
        <f aca="false">C6833*Pressupostos!$C$67*C6839/365</f>
        <v>0.0036</v>
      </c>
      <c r="D6842" s="63" t="n">
        <f aca="false">D6833*Pressupostos!$C$67*D6839/365</f>
        <v>0.0036</v>
      </c>
      <c r="E6842" s="63" t="n">
        <f aca="false">E6833*Pressupostos!$C$67*E6839/365</f>
        <v>0.0009</v>
      </c>
      <c r="F6842" s="63" t="n">
        <f aca="false">F6833*Pressupostos!$C$67*F6839/365</f>
        <v>0.0009</v>
      </c>
      <c r="G6842" s="63" t="n">
        <f aca="false">G6833*Pressupostos!$C$67*G6839/365</f>
        <v>0.0009</v>
      </c>
      <c r="H6842" s="2" t="s">
        <v>1200</v>
      </c>
    </row>
    <row r="6843" customFormat="false" ht="15" hidden="false" customHeight="false" outlineLevel="1" collapsed="false">
      <c r="A6843" s="7" t="s">
        <v>672</v>
      </c>
      <c r="B6843" s="8" t="s">
        <v>64</v>
      </c>
      <c r="C6843" s="63" t="n">
        <f aca="false">Pressupostos!$C$41*Pressupostos!$C$68/(Pressupostos!$C$40*1000)</f>
        <v>0.03</v>
      </c>
      <c r="D6843" s="63" t="n">
        <f aca="false">Pressupostos!$C$41*Pressupostos!$C$68/(Pressupostos!$C$40*1000)</f>
        <v>0.03</v>
      </c>
      <c r="E6843" s="63" t="n">
        <f aca="false">Pressupostos!$C$41*Pressupostos!$C$68/(Pressupostos!$C$40*1000)</f>
        <v>0.03</v>
      </c>
      <c r="F6843" s="63" t="n">
        <f aca="false">Pressupostos!$C$41*Pressupostos!$C$68/(Pressupostos!$C$40*1000)</f>
        <v>0.03</v>
      </c>
      <c r="G6843" s="63" t="n">
        <f aca="false">Pressupostos!$C$41*Pressupostos!$C$68/(Pressupostos!$C$40*1000)</f>
        <v>0.03</v>
      </c>
      <c r="H6843" s="2" t="s">
        <v>1201</v>
      </c>
    </row>
    <row r="6844" customFormat="false" ht="15" hidden="false" customHeight="false" outlineLevel="1" collapsed="false">
      <c r="A6844" s="7" t="s">
        <v>492</v>
      </c>
      <c r="B6844" s="8" t="s">
        <v>64</v>
      </c>
      <c r="C6844" s="63" t="n">
        <f aca="false">Pressupostos!$C$69*C6833</f>
        <v>0.01825</v>
      </c>
      <c r="D6844" s="63" t="n">
        <f aca="false">Pressupostos!$C$69*D6833</f>
        <v>0.01825</v>
      </c>
      <c r="E6844" s="63" t="n">
        <f aca="false">Pressupostos!$C$69*E6833</f>
        <v>0.01825</v>
      </c>
      <c r="F6844" s="63" t="n">
        <f aca="false">Pressupostos!$C$69*F6833</f>
        <v>0.01825</v>
      </c>
      <c r="G6844" s="63" t="n">
        <f aca="false">Pressupostos!$C$69*G6833</f>
        <v>0.01825</v>
      </c>
      <c r="H6844" s="2" t="s">
        <v>1202</v>
      </c>
    </row>
    <row r="6845" customFormat="false" ht="15" hidden="false" customHeight="false" outlineLevel="1" collapsed="false">
      <c r="A6845" s="7" t="s">
        <v>493</v>
      </c>
      <c r="B6845" s="8" t="s">
        <v>64</v>
      </c>
      <c r="C6845" s="63" t="n">
        <f aca="false">Pressupostos!$C$70*Pressupostos!$C$71*C6839/90</f>
        <v>0.018</v>
      </c>
      <c r="D6845" s="63" t="n">
        <f aca="false">Pressupostos!$C$70*Pressupostos!$C$71*D6839/90</f>
        <v>0.018</v>
      </c>
      <c r="E6845" s="63" t="n">
        <f aca="false">Pressupostos!$C$70*Pressupostos!$C$71*E6839/90</f>
        <v>0.0045</v>
      </c>
      <c r="F6845" s="63" t="n">
        <f aca="false">Pressupostos!$C$70*Pressupostos!$C$71*F6839/90</f>
        <v>0.0045</v>
      </c>
      <c r="G6845" s="63" t="n">
        <f aca="false">Pressupostos!$C$70*Pressupostos!$C$71*G6839/90</f>
        <v>0.0045</v>
      </c>
      <c r="H6845" s="2" t="s">
        <v>1203</v>
      </c>
    </row>
    <row r="6846" customFormat="false" ht="15" hidden="false" customHeight="false" outlineLevel="1" collapsed="false">
      <c r="A6846" s="7" t="s">
        <v>673</v>
      </c>
      <c r="B6846" s="8" t="s">
        <v>64</v>
      </c>
      <c r="C6846" s="63" t="n">
        <f aca="false">Pressupostos!$C$42/(Pressupostos!$C$40*1000)</f>
        <v>0.1</v>
      </c>
      <c r="D6846" s="63" t="n">
        <f aca="false">Pressupostos!$C$42/(Pressupostos!$C$40*1000)</f>
        <v>0.1</v>
      </c>
      <c r="E6846" s="63" t="n">
        <f aca="false">Pressupostos!$C$42/(Pressupostos!$C$40*1000)</f>
        <v>0.1</v>
      </c>
      <c r="F6846" s="63" t="n">
        <f aca="false">Pressupostos!$C$42/(Pressupostos!$C$40*1000)</f>
        <v>0.1</v>
      </c>
      <c r="G6846" s="63" t="n">
        <f aca="false">Pressupostos!$C$42/(Pressupostos!$C$40*1000)</f>
        <v>0.1</v>
      </c>
      <c r="H6846" s="2" t="s">
        <v>1204</v>
      </c>
    </row>
    <row r="6847" customFormat="false" ht="15" hidden="false" customHeight="false" outlineLevel="1" collapsed="false">
      <c r="A6847" s="7" t="s">
        <v>139</v>
      </c>
      <c r="B6847" s="8" t="s">
        <v>64</v>
      </c>
      <c r="C6847" s="67" t="n">
        <f aca="false">Pressupostos!$C$43</f>
        <v>0.01</v>
      </c>
      <c r="D6847" s="67" t="n">
        <f aca="false">Pressupostos!$C$43</f>
        <v>0.01</v>
      </c>
      <c r="E6847" s="67" t="n">
        <f aca="false">Pressupostos!$C$43</f>
        <v>0.01</v>
      </c>
      <c r="F6847" s="67" t="n">
        <f aca="false">Pressupostos!$C$43</f>
        <v>0.01</v>
      </c>
      <c r="G6847" s="67" t="n">
        <f aca="false">Pressupostos!$C$43</f>
        <v>0.01</v>
      </c>
      <c r="H6847" s="2" t="s">
        <v>1205</v>
      </c>
    </row>
    <row r="6848" customFormat="false" ht="15" hidden="false" customHeight="false" outlineLevel="1" collapsed="false">
      <c r="A6848" s="7" t="s">
        <v>81</v>
      </c>
      <c r="B6848" s="8" t="s">
        <v>64</v>
      </c>
      <c r="C6848" s="63" t="n">
        <f aca="false">Pressupostos!$F$18*C6835</f>
        <v>0.0324</v>
      </c>
      <c r="D6848" s="63" t="n">
        <f aca="false">Pressupostos!$F$18*D6835</f>
        <v>0.0324</v>
      </c>
      <c r="E6848" s="63" t="n">
        <f aca="false">Pressupostos!$F$18*E6835</f>
        <v>0.0324</v>
      </c>
      <c r="F6848" s="63" t="n">
        <f aca="false">Pressupostos!$F$18*F6835</f>
        <v>0.0324</v>
      </c>
      <c r="G6848" s="63" t="n">
        <f aca="false">Pressupostos!$F$18*G6835</f>
        <v>0.0324</v>
      </c>
      <c r="H6848" s="2" t="s">
        <v>1206</v>
      </c>
    </row>
    <row r="6849" customFormat="false" ht="15" hidden="false" customHeight="false" outlineLevel="1" collapsed="false">
      <c r="A6849" s="7" t="s">
        <v>674</v>
      </c>
      <c r="B6849" s="8" t="s">
        <v>64</v>
      </c>
      <c r="C6849" s="63" t="n">
        <f aca="false">Pressupostos!$C$73*C6835</f>
        <v>0</v>
      </c>
      <c r="D6849" s="63" t="n">
        <f aca="false">Pressupostos!$C$73*D6835</f>
        <v>0</v>
      </c>
      <c r="E6849" s="63" t="n">
        <f aca="false">Pressupostos!$C$73*E6835</f>
        <v>0</v>
      </c>
      <c r="F6849" s="63" t="n">
        <f aca="false">Pressupostos!$C$73*F6835</f>
        <v>0</v>
      </c>
      <c r="G6849" s="63" t="n">
        <f aca="false">Pressupostos!$C$73*G6835</f>
        <v>0</v>
      </c>
      <c r="H6849" s="2" t="s">
        <v>1207</v>
      </c>
    </row>
    <row r="6850" customFormat="false" ht="15" hidden="false" customHeight="false" outlineLevel="1" collapsed="false">
      <c r="A6850" s="7" t="s">
        <v>675</v>
      </c>
      <c r="B6850" s="8" t="s">
        <v>64</v>
      </c>
      <c r="C6850" s="63" t="n">
        <f aca="false">(Pressupostos!$C$199)*(C6833+C6836)*(C6839+C6840-Pressupostos!$C$72)/365*Pressupostos!$C$284/Pressupostos!$F$31</f>
        <v>0</v>
      </c>
      <c r="D6850" s="63" t="n">
        <f aca="false">(Pressupostos!$C$199)*(D6833+D6836)*(D6839+D6840-Pressupostos!$C$72)/365*Pressupostos!$D$284/Pressupostos!$F$31</f>
        <v>0.239486301369863</v>
      </c>
      <c r="E6850" s="63" t="n">
        <f aca="false">(Pressupostos!$C$199)*(E6833+E6836)*(E6839+E6840-Pressupostos!$C$72)/365*Pressupostos!$E$284/Pressupostos!$F$31</f>
        <v>0.0647260273972603</v>
      </c>
      <c r="F6850" s="63" t="n">
        <f aca="false">(Pressupostos!$C$199)*(F6833+F6836)*(F6839+F6840-Pressupostos!$C$72)/365*Pressupostos!$F$284/Pressupostos!$F$31</f>
        <v>0.0647260273972603</v>
      </c>
      <c r="G6850" s="63" t="n">
        <f aca="false">(Pressupostos!$C$199)*(G6833+G6836)*(G6839+G6840-Pressupostos!$C$72)/365*Pressupostos!$G$284/Pressupostos!$F$31</f>
        <v>0.0647260273972603</v>
      </c>
      <c r="H6850" s="2" t="s">
        <v>1208</v>
      </c>
    </row>
    <row r="6851" customFormat="false" ht="15" hidden="false" customHeight="false" outlineLevel="1" collapsed="false">
      <c r="A6851" s="7" t="s">
        <v>676</v>
      </c>
      <c r="B6851" s="8" t="s">
        <v>64</v>
      </c>
      <c r="C6851" s="63" t="n">
        <f aca="false">C6833+C6836+C6837+C6838+C6841+C6842+C6843+C6844+C6845+C6846+C6847+C6848+C6849+C6850</f>
        <v>4.79625</v>
      </c>
      <c r="D6851" s="63" t="n">
        <f aca="false">D6833+D6836+D6837+D6838+D6841+D6842+D6843+D6844+D6845+D6846+D6847+D6848+D6849+D6850</f>
        <v>5.03573630136986</v>
      </c>
      <c r="E6851" s="63" t="n">
        <f aca="false">E6833+E6836+E6837+E6838+E6841+E6842+E6843+E6844+E6845+E6846+E6847+E6848+E6849+E6850</f>
        <v>4.80677602739726</v>
      </c>
      <c r="F6851" s="63" t="n">
        <f aca="false">F6833+F6836+F6837+F6838+F6841+F6842+F6843+F6844+F6845+F6846+F6847+F6848+F6849+F6850</f>
        <v>4.79677602739726</v>
      </c>
      <c r="G6851" s="63" t="n">
        <f aca="false">G6833+G6836+G6837+G6838+G6841+G6842+G6843+G6844+G6845+G6846+G6847+G6848+G6849+G6850</f>
        <v>4.79677602739726</v>
      </c>
      <c r="H6851" s="2" t="s">
        <v>1209</v>
      </c>
    </row>
    <row r="6852" customFormat="false" ht="15" hidden="false" customHeight="false" outlineLevel="1" collapsed="false">
      <c r="A6852" s="56" t="s">
        <v>677</v>
      </c>
      <c r="B6852" s="57" t="s">
        <v>64</v>
      </c>
      <c r="C6852" s="68" t="n">
        <f aca="false">C6835-C6851</f>
        <v>0.603750000000002</v>
      </c>
      <c r="D6852" s="68" t="n">
        <f aca="false">D6835-D6851</f>
        <v>0.364263698630139</v>
      </c>
      <c r="E6852" s="68" t="n">
        <f aca="false">E6835-E6851</f>
        <v>0.593223972602741</v>
      </c>
      <c r="F6852" s="68" t="n">
        <f aca="false">F6835-F6851</f>
        <v>0.60322397260274</v>
      </c>
      <c r="G6852" s="68" t="n">
        <f aca="false">G6835-G6851</f>
        <v>0.60322397260274</v>
      </c>
      <c r="H6852" s="2" t="s">
        <v>1210</v>
      </c>
    </row>
    <row r="6853" customFormat="false" ht="15" hidden="false" customHeight="false" outlineLevel="1" collapsed="false">
      <c r="A6853" s="7" t="s">
        <v>678</v>
      </c>
      <c r="B6853" s="8" t="s">
        <v>76</v>
      </c>
      <c r="C6853" s="59" t="n">
        <f aca="false">IF(C6835&gt;0,C6852/C6835,0)</f>
        <v>0.111805555555556</v>
      </c>
      <c r="D6853" s="59" t="n">
        <f aca="false">IF(D6835&gt;0,D6852/D6835,0)</f>
        <v>0.0674562404870628</v>
      </c>
      <c r="E6853" s="59" t="n">
        <f aca="false">IF(E6835&gt;0,E6852/E6835,0)</f>
        <v>0.10985629122273</v>
      </c>
      <c r="F6853" s="59" t="n">
        <f aca="false">IF(F6835&gt;0,F6852/F6835,0)</f>
        <v>0.111708143074582</v>
      </c>
      <c r="G6853" s="59" t="n">
        <f aca="false">IF(G6835&gt;0,G6852/G6835,0)</f>
        <v>0.111708143074582</v>
      </c>
      <c r="H6853" s="2" t="s">
        <v>1211</v>
      </c>
    </row>
    <row r="6854" customFormat="false" ht="15" hidden="false" customHeight="false" outlineLevel="1" collapsed="false">
      <c r="A6854" s="7" t="s">
        <v>679</v>
      </c>
      <c r="B6854" s="8" t="s">
        <v>64</v>
      </c>
      <c r="C6854" s="63" t="n">
        <f aca="false">(C6833+C6836)*(C6839-Pressupostos!$C$72)/365+C6835*C6840/365</f>
        <v>2.24383561643836</v>
      </c>
      <c r="D6854" s="63" t="n">
        <f aca="false">(D6833+D6836)*(D6839-Pressupostos!$C$72)/365+D6835*D6840/365</f>
        <v>2.24383561643836</v>
      </c>
      <c r="E6854" s="63" t="n">
        <f aca="false">(E6833+E6836)*(E6839-Pressupostos!$C$72)/365+E6835*E6840/365</f>
        <v>0.69041095890411</v>
      </c>
      <c r="F6854" s="63" t="n">
        <f aca="false">(F6833+F6836)*(F6839-Pressupostos!$C$72)/365+F6835*F6840/365</f>
        <v>0.69041095890411</v>
      </c>
      <c r="G6854" s="63" t="n">
        <f aca="false">(G6833+G6836)*(G6839-Pressupostos!$C$72)/365+G6835*G6840/365</f>
        <v>0.69041095890411</v>
      </c>
      <c r="H6854" s="2" t="s">
        <v>1212</v>
      </c>
    </row>
    <row r="6855" customFormat="false" ht="15" hidden="false" customHeight="false" outlineLevel="0" collapsed="false">
      <c r="A6855" s="3" t="s">
        <v>1213</v>
      </c>
      <c r="B6855" s="4"/>
      <c r="C6855" s="4"/>
      <c r="D6855" s="4"/>
      <c r="E6855" s="4"/>
      <c r="F6855" s="4"/>
      <c r="G6855" s="4"/>
      <c r="H6855" s="4"/>
    </row>
    <row r="6856" customFormat="false" ht="15" hidden="false" customHeight="false" outlineLevel="1" collapsed="false">
      <c r="A6856" s="7" t="s">
        <v>669</v>
      </c>
      <c r="B6856" s="8" t="s">
        <v>64</v>
      </c>
      <c r="C6856" s="63" t="n">
        <f aca="false">Pressupostos!$F$10+Pressupostos!$F$12</f>
        <v>3.6</v>
      </c>
      <c r="D6856" s="63" t="n">
        <f aca="false">Pressupostos!$F$10+Pressupostos!$F$12</f>
        <v>3.6</v>
      </c>
      <c r="E6856" s="63" t="n">
        <f aca="false">Pressupostos!$F$10+Pressupostos!$F$12</f>
        <v>3.6</v>
      </c>
      <c r="F6856" s="63" t="n">
        <f aca="false">Pressupostos!$F$10+Pressupostos!$F$12</f>
        <v>3.6</v>
      </c>
      <c r="G6856" s="63" t="n">
        <f aca="false">Pressupostos!$F$10+Pressupostos!$F$12</f>
        <v>3.6</v>
      </c>
      <c r="H6856" s="2" t="s">
        <v>1214</v>
      </c>
    </row>
    <row r="6857" customFormat="false" ht="15" hidden="false" customHeight="false" outlineLevel="1" collapsed="false">
      <c r="A6857" s="7" t="s">
        <v>670</v>
      </c>
      <c r="B6857" s="8" t="s">
        <v>64</v>
      </c>
      <c r="C6857" s="63" t="n">
        <f aca="false">Pressupostos!$F$20+Pressupostos!$F$21</f>
        <v>4.45</v>
      </c>
      <c r="D6857" s="63" t="n">
        <f aca="false">Pressupostos!$F$20+Pressupostos!$F$21</f>
        <v>4.45</v>
      </c>
      <c r="E6857" s="63" t="n">
        <f aca="false">Pressupostos!$F$20+Pressupostos!$F$21</f>
        <v>4.45</v>
      </c>
      <c r="F6857" s="63" t="n">
        <f aca="false">Pressupostos!$F$20+Pressupostos!$F$21</f>
        <v>4.45</v>
      </c>
      <c r="G6857" s="63" t="n">
        <f aca="false">Pressupostos!$F$20+Pressupostos!$F$21</f>
        <v>4.45</v>
      </c>
      <c r="H6857" s="2" t="s">
        <v>1215</v>
      </c>
    </row>
    <row r="6858" customFormat="false" ht="15" hidden="false" customHeight="false" outlineLevel="1" collapsed="false">
      <c r="A6858" s="56" t="s">
        <v>671</v>
      </c>
      <c r="B6858" s="57" t="s">
        <v>64</v>
      </c>
      <c r="C6858" s="68" t="n">
        <f aca="false">C6857*(1-Pressupostos!$F$22)</f>
        <v>4.45</v>
      </c>
      <c r="D6858" s="68" t="n">
        <f aca="false">D6857*(1-Pressupostos!$F$22)</f>
        <v>4.45</v>
      </c>
      <c r="E6858" s="68" t="n">
        <f aca="false">E6857*(1-Pressupostos!$F$22)</f>
        <v>4.45</v>
      </c>
      <c r="F6858" s="68" t="n">
        <f aca="false">F6857*(1-Pressupostos!$F$22)</f>
        <v>4.45</v>
      </c>
      <c r="G6858" s="68" t="n">
        <f aca="false">G6857*(1-Pressupostos!$F$22)</f>
        <v>4.45</v>
      </c>
      <c r="H6858" s="2" t="s">
        <v>1216</v>
      </c>
    </row>
    <row r="6859" customFormat="false" ht="15" hidden="false" customHeight="false" outlineLevel="1" collapsed="false">
      <c r="A6859" s="7" t="s">
        <v>144</v>
      </c>
      <c r="B6859" s="8" t="s">
        <v>64</v>
      </c>
      <c r="C6859" s="67" t="n">
        <f aca="false">Pressupostos!$C$45</f>
        <v>0.45</v>
      </c>
      <c r="D6859" s="67" t="n">
        <f aca="false">Pressupostos!$C$45</f>
        <v>0.45</v>
      </c>
      <c r="E6859" s="67" t="n">
        <f aca="false">Pressupostos!$C$45</f>
        <v>0.45</v>
      </c>
      <c r="F6859" s="67" t="n">
        <f aca="false">Pressupostos!$C$45</f>
        <v>0.45</v>
      </c>
      <c r="G6859" s="67" t="n">
        <f aca="false">Pressupostos!$C$45</f>
        <v>0.45</v>
      </c>
      <c r="H6859" s="2" t="s">
        <v>1217</v>
      </c>
    </row>
    <row r="6860" customFormat="false" ht="15" hidden="false" customHeight="false" outlineLevel="1" collapsed="false">
      <c r="A6860" s="7" t="s">
        <v>215</v>
      </c>
      <c r="B6860" s="8" t="s">
        <v>64</v>
      </c>
      <c r="C6860" s="67" t="n">
        <f aca="false">Pressupostos!$C$252</f>
        <v>0.1</v>
      </c>
      <c r="D6860" s="67" t="n">
        <f aca="false">Pressupostos!$D$252</f>
        <v>0.1</v>
      </c>
      <c r="E6860" s="67" t="n">
        <f aca="false">Pressupostos!$E$252</f>
        <v>0.09</v>
      </c>
      <c r="F6860" s="67" t="n">
        <f aca="false">Pressupostos!$F$252</f>
        <v>0.09</v>
      </c>
      <c r="G6860" s="67" t="n">
        <f aca="false">Pressupostos!$G$252</f>
        <v>0.09</v>
      </c>
      <c r="H6860" s="2" t="s">
        <v>1218</v>
      </c>
    </row>
    <row r="6861" customFormat="false" ht="15" hidden="false" customHeight="false" outlineLevel="1" collapsed="false">
      <c r="A6861" s="7" t="s">
        <v>117</v>
      </c>
      <c r="B6861" s="8" t="s">
        <v>64</v>
      </c>
      <c r="C6861" s="67" t="n">
        <f aca="false">Pressupostos!$C$46</f>
        <v>0</v>
      </c>
      <c r="D6861" s="67" t="n">
        <f aca="false">Pressupostos!$C$46</f>
        <v>0</v>
      </c>
      <c r="E6861" s="67" t="n">
        <f aca="false">Pressupostos!$C$46</f>
        <v>0</v>
      </c>
      <c r="F6861" s="67" t="n">
        <f aca="false">Pressupostos!$C$46</f>
        <v>0</v>
      </c>
      <c r="G6861" s="67" t="n">
        <f aca="false">Pressupostos!$C$46</f>
        <v>0</v>
      </c>
      <c r="H6861" s="2" t="s">
        <v>1219</v>
      </c>
    </row>
    <row r="6862" customFormat="false" ht="15" hidden="false" customHeight="false" outlineLevel="1" collapsed="false">
      <c r="A6862" s="7" t="s">
        <v>91</v>
      </c>
      <c r="B6862" s="8" t="s">
        <v>79</v>
      </c>
      <c r="C6862" s="69" t="n">
        <f aca="false">Pressupostos!$F$23</f>
        <v>30</v>
      </c>
      <c r="D6862" s="69" t="n">
        <f aca="false">Pressupostos!$F$23</f>
        <v>30</v>
      </c>
      <c r="E6862" s="69" t="n">
        <f aca="false">Pressupostos!$F$23</f>
        <v>30</v>
      </c>
      <c r="F6862" s="69" t="n">
        <f aca="false">Pressupostos!$F$23</f>
        <v>30</v>
      </c>
      <c r="G6862" s="69" t="n">
        <f aca="false">Pressupostos!$F$23</f>
        <v>30</v>
      </c>
      <c r="H6862" s="2" t="s">
        <v>1220</v>
      </c>
    </row>
    <row r="6863" customFormat="false" ht="15" hidden="false" customHeight="false" outlineLevel="1" collapsed="false">
      <c r="A6863" s="7" t="s">
        <v>78</v>
      </c>
      <c r="B6863" s="8" t="s">
        <v>79</v>
      </c>
      <c r="C6863" s="69" t="n">
        <f aca="false">Pressupostos!$F$24</f>
        <v>55</v>
      </c>
      <c r="D6863" s="69" t="n">
        <f aca="false">Pressupostos!$F$24</f>
        <v>55</v>
      </c>
      <c r="E6863" s="69" t="n">
        <f aca="false">Pressupostos!$F$24</f>
        <v>55</v>
      </c>
      <c r="F6863" s="69" t="n">
        <f aca="false">Pressupostos!$F$24</f>
        <v>55</v>
      </c>
      <c r="G6863" s="69" t="n">
        <f aca="false">Pressupostos!$F$24</f>
        <v>55</v>
      </c>
      <c r="H6863" s="2" t="s">
        <v>1221</v>
      </c>
    </row>
    <row r="6864" customFormat="false" ht="15" hidden="false" customHeight="false" outlineLevel="1" collapsed="false">
      <c r="A6864" s="7" t="s">
        <v>490</v>
      </c>
      <c r="B6864" s="8" t="s">
        <v>64</v>
      </c>
      <c r="C6864" s="63" t="n">
        <f aca="false">Pressupostos!$C$66*C6862/30/1000</f>
        <v>0.004</v>
      </c>
      <c r="D6864" s="63" t="n">
        <f aca="false">Pressupostos!$C$66*D6862/30/1000</f>
        <v>0.004</v>
      </c>
      <c r="E6864" s="63" t="n">
        <f aca="false">Pressupostos!$C$66*E6862/30/1000</f>
        <v>0.004</v>
      </c>
      <c r="F6864" s="63" t="n">
        <f aca="false">Pressupostos!$C$66*F6862/30/1000</f>
        <v>0.004</v>
      </c>
      <c r="G6864" s="63" t="n">
        <f aca="false">Pressupostos!$C$66*G6862/30/1000</f>
        <v>0.004</v>
      </c>
      <c r="H6864" s="2" t="s">
        <v>1222</v>
      </c>
    </row>
    <row r="6865" customFormat="false" ht="15" hidden="false" customHeight="false" outlineLevel="1" collapsed="false">
      <c r="A6865" s="7" t="s">
        <v>165</v>
      </c>
      <c r="B6865" s="8" t="s">
        <v>64</v>
      </c>
      <c r="C6865" s="63" t="n">
        <f aca="false">C6856*Pressupostos!$C$67*C6862/365</f>
        <v>0.000591780821917808</v>
      </c>
      <c r="D6865" s="63" t="n">
        <f aca="false">D6856*Pressupostos!$C$67*D6862/365</f>
        <v>0.000591780821917808</v>
      </c>
      <c r="E6865" s="63" t="n">
        <f aca="false">E6856*Pressupostos!$C$67*E6862/365</f>
        <v>0.000591780821917808</v>
      </c>
      <c r="F6865" s="63" t="n">
        <f aca="false">F6856*Pressupostos!$C$67*F6862/365</f>
        <v>0.000591780821917808</v>
      </c>
      <c r="G6865" s="63" t="n">
        <f aca="false">G6856*Pressupostos!$C$67*G6862/365</f>
        <v>0.000591780821917808</v>
      </c>
      <c r="H6865" s="2" t="s">
        <v>1223</v>
      </c>
    </row>
    <row r="6866" customFormat="false" ht="15" hidden="false" customHeight="false" outlineLevel="1" collapsed="false">
      <c r="A6866" s="7" t="s">
        <v>672</v>
      </c>
      <c r="B6866" s="8" t="s">
        <v>64</v>
      </c>
      <c r="C6866" s="63" t="n">
        <f aca="false">Pressupostos!$C$48*Pressupostos!$C$68/(Pressupostos!$C$47*1000)</f>
        <v>0.02</v>
      </c>
      <c r="D6866" s="63" t="n">
        <f aca="false">Pressupostos!$C$48*Pressupostos!$C$68/(Pressupostos!$C$47*1000)</f>
        <v>0.02</v>
      </c>
      <c r="E6866" s="63" t="n">
        <f aca="false">Pressupostos!$C$48*Pressupostos!$C$68/(Pressupostos!$C$47*1000)</f>
        <v>0.02</v>
      </c>
      <c r="F6866" s="63" t="n">
        <f aca="false">Pressupostos!$C$48*Pressupostos!$C$68/(Pressupostos!$C$47*1000)</f>
        <v>0.02</v>
      </c>
      <c r="G6866" s="63" t="n">
        <f aca="false">Pressupostos!$C$48*Pressupostos!$C$68/(Pressupostos!$C$47*1000)</f>
        <v>0.02</v>
      </c>
      <c r="H6866" s="2" t="s">
        <v>1224</v>
      </c>
    </row>
    <row r="6867" customFormat="false" ht="15" hidden="false" customHeight="false" outlineLevel="1" collapsed="false">
      <c r="A6867" s="7" t="s">
        <v>492</v>
      </c>
      <c r="B6867" s="8" t="s">
        <v>64</v>
      </c>
      <c r="C6867" s="63" t="n">
        <f aca="false">Pressupostos!$C$69*C6856</f>
        <v>0.018</v>
      </c>
      <c r="D6867" s="63" t="n">
        <f aca="false">Pressupostos!$C$69*D6856</f>
        <v>0.018</v>
      </c>
      <c r="E6867" s="63" t="n">
        <f aca="false">Pressupostos!$C$69*E6856</f>
        <v>0.018</v>
      </c>
      <c r="F6867" s="63" t="n">
        <f aca="false">Pressupostos!$C$69*F6856</f>
        <v>0.018</v>
      </c>
      <c r="G6867" s="63" t="n">
        <f aca="false">Pressupostos!$C$69*G6856</f>
        <v>0.018</v>
      </c>
      <c r="H6867" s="2" t="s">
        <v>1225</v>
      </c>
    </row>
    <row r="6868" customFormat="false" ht="15" hidden="false" customHeight="false" outlineLevel="1" collapsed="false">
      <c r="A6868" s="7" t="s">
        <v>493</v>
      </c>
      <c r="B6868" s="8" t="s">
        <v>64</v>
      </c>
      <c r="C6868" s="63" t="n">
        <f aca="false">Pressupostos!$C$70*Pressupostos!$C$71*C6862/90</f>
        <v>0.003</v>
      </c>
      <c r="D6868" s="63" t="n">
        <f aca="false">Pressupostos!$C$70*Pressupostos!$C$71*D6862/90</f>
        <v>0.003</v>
      </c>
      <c r="E6868" s="63" t="n">
        <f aca="false">Pressupostos!$C$70*Pressupostos!$C$71*E6862/90</f>
        <v>0.003</v>
      </c>
      <c r="F6868" s="63" t="n">
        <f aca="false">Pressupostos!$C$70*Pressupostos!$C$71*F6862/90</f>
        <v>0.003</v>
      </c>
      <c r="G6868" s="63" t="n">
        <f aca="false">Pressupostos!$C$70*Pressupostos!$C$71*G6862/90</f>
        <v>0.003</v>
      </c>
      <c r="H6868" s="2" t="s">
        <v>1226</v>
      </c>
    </row>
    <row r="6869" customFormat="false" ht="15" hidden="false" customHeight="false" outlineLevel="1" collapsed="false">
      <c r="A6869" s="7" t="s">
        <v>673</v>
      </c>
      <c r="B6869" s="8" t="s">
        <v>64</v>
      </c>
      <c r="C6869" s="63" t="n">
        <f aca="false">Pressupostos!$C$49/(Pressupostos!$C$47*1000)</f>
        <v>0.04</v>
      </c>
      <c r="D6869" s="63" t="n">
        <f aca="false">Pressupostos!$C$49/(Pressupostos!$C$47*1000)</f>
        <v>0.04</v>
      </c>
      <c r="E6869" s="63" t="n">
        <f aca="false">Pressupostos!$C$49/(Pressupostos!$C$47*1000)</f>
        <v>0.04</v>
      </c>
      <c r="F6869" s="63" t="n">
        <f aca="false">Pressupostos!$C$49/(Pressupostos!$C$47*1000)</f>
        <v>0.04</v>
      </c>
      <c r="G6869" s="63" t="n">
        <f aca="false">Pressupostos!$C$49/(Pressupostos!$C$47*1000)</f>
        <v>0.04</v>
      </c>
      <c r="H6869" s="2" t="s">
        <v>1227</v>
      </c>
    </row>
    <row r="6870" customFormat="false" ht="15" hidden="false" customHeight="false" outlineLevel="1" collapsed="false">
      <c r="A6870" s="7" t="s">
        <v>139</v>
      </c>
      <c r="B6870" s="8" t="s">
        <v>64</v>
      </c>
      <c r="C6870" s="67" t="n">
        <f aca="false">Pressupostos!$C$50</f>
        <v>0.005</v>
      </c>
      <c r="D6870" s="67" t="n">
        <f aca="false">Pressupostos!$C$50</f>
        <v>0.005</v>
      </c>
      <c r="E6870" s="67" t="n">
        <f aca="false">Pressupostos!$C$50</f>
        <v>0.005</v>
      </c>
      <c r="F6870" s="67" t="n">
        <f aca="false">Pressupostos!$C$50</f>
        <v>0.005</v>
      </c>
      <c r="G6870" s="67" t="n">
        <f aca="false">Pressupostos!$C$50</f>
        <v>0.005</v>
      </c>
      <c r="H6870" s="2" t="s">
        <v>1228</v>
      </c>
    </row>
    <row r="6871" customFormat="false" ht="15" hidden="false" customHeight="false" outlineLevel="1" collapsed="false">
      <c r="A6871" s="7" t="s">
        <v>81</v>
      </c>
      <c r="B6871" s="8" t="s">
        <v>64</v>
      </c>
      <c r="C6871" s="63" t="n">
        <f aca="false">Pressupostos!$F$25*C6858</f>
        <v>0.01335</v>
      </c>
      <c r="D6871" s="63" t="n">
        <f aca="false">Pressupostos!$F$25*D6858</f>
        <v>0.01335</v>
      </c>
      <c r="E6871" s="63" t="n">
        <f aca="false">Pressupostos!$F$25*E6858</f>
        <v>0.01335</v>
      </c>
      <c r="F6871" s="63" t="n">
        <f aca="false">Pressupostos!$F$25*F6858</f>
        <v>0.01335</v>
      </c>
      <c r="G6871" s="63" t="n">
        <f aca="false">Pressupostos!$F$25*G6858</f>
        <v>0.01335</v>
      </c>
      <c r="H6871" s="2" t="s">
        <v>1229</v>
      </c>
    </row>
    <row r="6872" customFormat="false" ht="15" hidden="false" customHeight="false" outlineLevel="1" collapsed="false">
      <c r="A6872" s="7" t="s">
        <v>674</v>
      </c>
      <c r="B6872" s="8" t="s">
        <v>64</v>
      </c>
      <c r="C6872" s="63" t="n">
        <f aca="false">Pressupostos!$C$73*C6858</f>
        <v>0</v>
      </c>
      <c r="D6872" s="63" t="n">
        <f aca="false">Pressupostos!$C$73*D6858</f>
        <v>0</v>
      </c>
      <c r="E6872" s="63" t="n">
        <f aca="false">Pressupostos!$C$73*E6858</f>
        <v>0</v>
      </c>
      <c r="F6872" s="63" t="n">
        <f aca="false">Pressupostos!$C$73*F6858</f>
        <v>0</v>
      </c>
      <c r="G6872" s="63" t="n">
        <f aca="false">Pressupostos!$C$73*G6858</f>
        <v>0</v>
      </c>
      <c r="H6872" s="2" t="s">
        <v>1230</v>
      </c>
    </row>
    <row r="6873" customFormat="false" ht="15" hidden="false" customHeight="false" outlineLevel="1" collapsed="false">
      <c r="A6873" s="7" t="s">
        <v>675</v>
      </c>
      <c r="B6873" s="8" t="s">
        <v>64</v>
      </c>
      <c r="C6873" s="63" t="n">
        <f aca="false">(Pressupostos!$C$199)*(C6856+C6859)*(C6862+C6863-Pressupostos!$C$72)/365*Pressupostos!$C$284/Pressupostos!$F$31</f>
        <v>0</v>
      </c>
      <c r="D6873" s="63" t="n">
        <f aca="false">(Pressupostos!$C$199)*(D6856+D6859)*(D6862+D6863-Pressupostos!$C$72)/365*Pressupostos!$D$284/Pressupostos!$F$31</f>
        <v>0.0686558219178082</v>
      </c>
      <c r="E6873" s="63" t="n">
        <f aca="false">(Pressupostos!$C$199)*(E6856+E6859)*(E6862+E6863-Pressupostos!$C$72)/365*Pressupostos!$E$284/Pressupostos!$F$31</f>
        <v>0.0686558219178082</v>
      </c>
      <c r="F6873" s="63" t="n">
        <f aca="false">(Pressupostos!$C$199)*(F6856+F6859)*(F6862+F6863-Pressupostos!$C$72)/365*Pressupostos!$F$284/Pressupostos!$F$31</f>
        <v>0.0686558219178082</v>
      </c>
      <c r="G6873" s="63" t="n">
        <f aca="false">(Pressupostos!$C$199)*(G6856+G6859)*(G6862+G6863-Pressupostos!$C$72)/365*Pressupostos!$G$284/Pressupostos!$F$31</f>
        <v>0.0686558219178082</v>
      </c>
      <c r="H6873" s="2" t="s">
        <v>1231</v>
      </c>
    </row>
    <row r="6874" customFormat="false" ht="15" hidden="false" customHeight="false" outlineLevel="1" collapsed="false">
      <c r="A6874" s="7" t="s">
        <v>676</v>
      </c>
      <c r="B6874" s="8" t="s">
        <v>64</v>
      </c>
      <c r="C6874" s="63" t="n">
        <f aca="false">C6856+C6859+C6860+C6861+C6864+C6865+C6866+C6867+C6868+C6869+C6870+C6871+C6872+C6873</f>
        <v>4.25394178082192</v>
      </c>
      <c r="D6874" s="63" t="n">
        <f aca="false">D6856+D6859+D6860+D6861+D6864+D6865+D6866+D6867+D6868+D6869+D6870+D6871+D6872+D6873</f>
        <v>4.32259760273973</v>
      </c>
      <c r="E6874" s="63" t="n">
        <f aca="false">E6856+E6859+E6860+E6861+E6864+E6865+E6866+E6867+E6868+E6869+E6870+E6871+E6872+E6873</f>
        <v>4.31259760273973</v>
      </c>
      <c r="F6874" s="63" t="n">
        <f aca="false">F6856+F6859+F6860+F6861+F6864+F6865+F6866+F6867+F6868+F6869+F6870+F6871+F6872+F6873</f>
        <v>4.31259760273973</v>
      </c>
      <c r="G6874" s="63" t="n">
        <f aca="false">G6856+G6859+G6860+G6861+G6864+G6865+G6866+G6867+G6868+G6869+G6870+G6871+G6872+G6873</f>
        <v>4.31259760273973</v>
      </c>
      <c r="H6874" s="2" t="s">
        <v>1232</v>
      </c>
    </row>
    <row r="6875" customFormat="false" ht="15" hidden="false" customHeight="false" outlineLevel="1" collapsed="false">
      <c r="A6875" s="56" t="s">
        <v>677</v>
      </c>
      <c r="B6875" s="57" t="s">
        <v>64</v>
      </c>
      <c r="C6875" s="68" t="n">
        <f aca="false">C6858-C6874</f>
        <v>0.196058219178083</v>
      </c>
      <c r="D6875" s="68" t="n">
        <f aca="false">D6858-D6874</f>
        <v>0.127402397260274</v>
      </c>
      <c r="E6875" s="68" t="n">
        <f aca="false">E6858-E6874</f>
        <v>0.137402397260274</v>
      </c>
      <c r="F6875" s="68" t="n">
        <f aca="false">F6858-F6874</f>
        <v>0.137402397260274</v>
      </c>
      <c r="G6875" s="68" t="n">
        <f aca="false">G6858-G6874</f>
        <v>0.137402397260274</v>
      </c>
      <c r="H6875" s="2" t="s">
        <v>1233</v>
      </c>
    </row>
    <row r="6876" customFormat="false" ht="15" hidden="false" customHeight="false" outlineLevel="1" collapsed="false">
      <c r="A6876" s="7" t="s">
        <v>678</v>
      </c>
      <c r="B6876" s="8" t="s">
        <v>76</v>
      </c>
      <c r="C6876" s="59" t="n">
        <f aca="false">IF(C6858&gt;0,C6875/C6858,0)</f>
        <v>0.0440580267815916</v>
      </c>
      <c r="D6876" s="59" t="n">
        <f aca="false">IF(D6858&gt;0,D6875/D6858,0)</f>
        <v>0.0286297521933201</v>
      </c>
      <c r="E6876" s="59" t="n">
        <f aca="false">IF(E6858&gt;0,E6875/E6858,0)</f>
        <v>0.030876943204556</v>
      </c>
      <c r="F6876" s="59" t="n">
        <f aca="false">IF(F6858&gt;0,F6875/F6858,0)</f>
        <v>0.030876943204556</v>
      </c>
      <c r="G6876" s="59" t="n">
        <f aca="false">IF(G6858&gt;0,G6875/G6858,0)</f>
        <v>0.030876943204556</v>
      </c>
      <c r="H6876" s="2" t="s">
        <v>1234</v>
      </c>
    </row>
    <row r="6877" customFormat="false" ht="15" hidden="false" customHeight="false" outlineLevel="1" collapsed="false">
      <c r="A6877" s="7" t="s">
        <v>679</v>
      </c>
      <c r="B6877" s="8" t="s">
        <v>64</v>
      </c>
      <c r="C6877" s="63" t="n">
        <f aca="false">(C6856+C6859)*(C6862-Pressupostos!$C$72)/365+C6858*C6863/365</f>
        <v>0.670547945205479</v>
      </c>
      <c r="D6877" s="63" t="n">
        <f aca="false">(D6856+D6859)*(D6862-Pressupostos!$C$72)/365+D6858*D6863/365</f>
        <v>0.670547945205479</v>
      </c>
      <c r="E6877" s="63" t="n">
        <f aca="false">(E6856+E6859)*(E6862-Pressupostos!$C$72)/365+E6858*E6863/365</f>
        <v>0.670547945205479</v>
      </c>
      <c r="F6877" s="63" t="n">
        <f aca="false">(F6856+F6859)*(F6862-Pressupostos!$C$72)/365+F6858*F6863/365</f>
        <v>0.670547945205479</v>
      </c>
      <c r="G6877" s="63" t="n">
        <f aca="false">(G6856+G6859)*(G6862-Pressupostos!$C$72)/365+G6858*G6863/365</f>
        <v>0.670547945205479</v>
      </c>
      <c r="H6877" s="2" t="s">
        <v>1235</v>
      </c>
    </row>
    <row r="6878" customFormat="false" ht="15" hidden="false" customHeight="false" outlineLevel="0" collapsed="false">
      <c r="A6878" s="3" t="s">
        <v>1236</v>
      </c>
      <c r="B6878" s="4"/>
      <c r="C6878" s="4"/>
      <c r="D6878" s="4"/>
      <c r="E6878" s="4"/>
      <c r="F6878" s="4"/>
      <c r="G6878" s="4"/>
      <c r="H6878" s="4"/>
    </row>
    <row r="6879" customFormat="false" ht="15" hidden="false" customHeight="false" outlineLevel="1" collapsed="false">
      <c r="A6879" s="7" t="s">
        <v>669</v>
      </c>
      <c r="B6879" s="8" t="s">
        <v>64</v>
      </c>
      <c r="C6879" s="63" t="n">
        <f aca="false">Pressupostos!$F$10+Pressupostos!$F$13</f>
        <v>3.5</v>
      </c>
      <c r="D6879" s="63" t="n">
        <f aca="false">Pressupostos!$F$10+Pressupostos!$F$13</f>
        <v>3.5</v>
      </c>
      <c r="E6879" s="63" t="n">
        <f aca="false">Pressupostos!$F$10+Pressupostos!$F$13</f>
        <v>3.5</v>
      </c>
      <c r="F6879" s="63" t="n">
        <f aca="false">Pressupostos!$F$10+Pressupostos!$F$13</f>
        <v>3.5</v>
      </c>
      <c r="G6879" s="63" t="n">
        <f aca="false">Pressupostos!$F$10+Pressupostos!$F$13</f>
        <v>3.5</v>
      </c>
      <c r="H6879" s="2" t="s">
        <v>1237</v>
      </c>
    </row>
    <row r="6880" customFormat="false" ht="15" hidden="false" customHeight="false" outlineLevel="1" collapsed="false">
      <c r="A6880" s="7" t="s">
        <v>670</v>
      </c>
      <c r="B6880" s="8" t="s">
        <v>64</v>
      </c>
      <c r="C6880" s="63" t="n">
        <f aca="false">Pressupostos!$F$10+Pressupostos!$C$52</f>
        <v>3.65</v>
      </c>
      <c r="D6880" s="63" t="n">
        <f aca="false">Pressupostos!$F$10+Pressupostos!$C$52</f>
        <v>3.65</v>
      </c>
      <c r="E6880" s="63" t="n">
        <f aca="false">Pressupostos!$F$10+Pressupostos!$C$52</f>
        <v>3.65</v>
      </c>
      <c r="F6880" s="63" t="n">
        <f aca="false">Pressupostos!$F$10+Pressupostos!$C$52</f>
        <v>3.65</v>
      </c>
      <c r="G6880" s="63" t="n">
        <f aca="false">Pressupostos!$F$10+Pressupostos!$C$52</f>
        <v>3.65</v>
      </c>
      <c r="H6880" s="2" t="s">
        <v>1238</v>
      </c>
    </row>
    <row r="6881" customFormat="false" ht="15" hidden="false" customHeight="false" outlineLevel="1" collapsed="false">
      <c r="A6881" s="56" t="s">
        <v>671</v>
      </c>
      <c r="B6881" s="57" t="s">
        <v>64</v>
      </c>
      <c r="C6881" s="68" t="n">
        <f aca="false">C6880*(1-Pressupostos!$C$53)</f>
        <v>3.65</v>
      </c>
      <c r="D6881" s="68" t="n">
        <f aca="false">D6880*(1-Pressupostos!$C$53)</f>
        <v>3.65</v>
      </c>
      <c r="E6881" s="68" t="n">
        <f aca="false">E6880*(1-Pressupostos!$C$53)</f>
        <v>3.65</v>
      </c>
      <c r="F6881" s="68" t="n">
        <f aca="false">F6880*(1-Pressupostos!$C$53)</f>
        <v>3.65</v>
      </c>
      <c r="G6881" s="68" t="n">
        <f aca="false">G6880*(1-Pressupostos!$C$53)</f>
        <v>3.65</v>
      </c>
      <c r="H6881" s="2" t="s">
        <v>1239</v>
      </c>
    </row>
    <row r="6882" customFormat="false" ht="15" hidden="false" customHeight="false" outlineLevel="1" collapsed="false">
      <c r="A6882" s="7" t="s">
        <v>144</v>
      </c>
      <c r="B6882" s="8" t="s">
        <v>64</v>
      </c>
      <c r="C6882" s="67" t="n">
        <f aca="false">Pressupostos!$C$54</f>
        <v>0</v>
      </c>
      <c r="D6882" s="67" t="n">
        <f aca="false">Pressupostos!$C$54</f>
        <v>0</v>
      </c>
      <c r="E6882" s="67" t="n">
        <f aca="false">Pressupostos!$C$54</f>
        <v>0</v>
      </c>
      <c r="F6882" s="67" t="n">
        <f aca="false">Pressupostos!$C$54</f>
        <v>0</v>
      </c>
      <c r="G6882" s="67" t="n">
        <f aca="false">Pressupostos!$C$54</f>
        <v>0</v>
      </c>
      <c r="H6882" s="2" t="s">
        <v>1240</v>
      </c>
    </row>
    <row r="6883" customFormat="false" ht="15" hidden="false" customHeight="false" outlineLevel="1" collapsed="false">
      <c r="A6883" s="7" t="s">
        <v>215</v>
      </c>
      <c r="B6883" s="8" t="s">
        <v>64</v>
      </c>
      <c r="C6883" s="67" t="n">
        <f aca="false">Pressupostos!$C$55</f>
        <v>0.04</v>
      </c>
      <c r="D6883" s="67" t="n">
        <f aca="false">Pressupostos!$C$55</f>
        <v>0.04</v>
      </c>
      <c r="E6883" s="67" t="n">
        <f aca="false">Pressupostos!$C$55</f>
        <v>0.04</v>
      </c>
      <c r="F6883" s="67" t="n">
        <f aca="false">Pressupostos!$C$55</f>
        <v>0.04</v>
      </c>
      <c r="G6883" s="67" t="n">
        <f aca="false">Pressupostos!$C$55</f>
        <v>0.04</v>
      </c>
      <c r="H6883" s="2" t="s">
        <v>1241</v>
      </c>
    </row>
    <row r="6884" customFormat="false" ht="15" hidden="false" customHeight="false" outlineLevel="1" collapsed="false">
      <c r="A6884" s="7" t="s">
        <v>117</v>
      </c>
      <c r="B6884" s="8" t="s">
        <v>64</v>
      </c>
      <c r="C6884" s="67" t="n">
        <f aca="false">Pressupostos!$C$56</f>
        <v>0</v>
      </c>
      <c r="D6884" s="67" t="n">
        <f aca="false">Pressupostos!$C$56</f>
        <v>0</v>
      </c>
      <c r="E6884" s="67" t="n">
        <f aca="false">Pressupostos!$C$56</f>
        <v>0</v>
      </c>
      <c r="F6884" s="67" t="n">
        <f aca="false">Pressupostos!$C$56</f>
        <v>0</v>
      </c>
      <c r="G6884" s="67" t="n">
        <f aca="false">Pressupostos!$C$56</f>
        <v>0</v>
      </c>
      <c r="H6884" s="2" t="s">
        <v>1242</v>
      </c>
    </row>
    <row r="6885" customFormat="false" ht="15" hidden="false" customHeight="false" outlineLevel="1" collapsed="false">
      <c r="A6885" s="7" t="s">
        <v>91</v>
      </c>
      <c r="B6885" s="8" t="s">
        <v>79</v>
      </c>
      <c r="C6885" s="69" t="n">
        <f aca="false">Pressupostos!$C$57</f>
        <v>15</v>
      </c>
      <c r="D6885" s="69" t="n">
        <f aca="false">Pressupostos!$C$57</f>
        <v>15</v>
      </c>
      <c r="E6885" s="69" t="n">
        <f aca="false">Pressupostos!$C$57</f>
        <v>15</v>
      </c>
      <c r="F6885" s="69" t="n">
        <f aca="false">Pressupostos!$C$57</f>
        <v>15</v>
      </c>
      <c r="G6885" s="69" t="n">
        <f aca="false">Pressupostos!$C$57</f>
        <v>15</v>
      </c>
      <c r="H6885" s="2" t="s">
        <v>1243</v>
      </c>
    </row>
    <row r="6886" customFormat="false" ht="15" hidden="false" customHeight="false" outlineLevel="1" collapsed="false">
      <c r="A6886" s="7" t="s">
        <v>78</v>
      </c>
      <c r="B6886" s="8" t="s">
        <v>79</v>
      </c>
      <c r="C6886" s="69" t="n">
        <f aca="false">Pressupostos!$C$58</f>
        <v>45</v>
      </c>
      <c r="D6886" s="69" t="n">
        <f aca="false">Pressupostos!$C$58</f>
        <v>45</v>
      </c>
      <c r="E6886" s="69" t="n">
        <f aca="false">Pressupostos!$C$58</f>
        <v>45</v>
      </c>
      <c r="F6886" s="69" t="n">
        <f aca="false">Pressupostos!$C$58</f>
        <v>45</v>
      </c>
      <c r="G6886" s="69" t="n">
        <f aca="false">Pressupostos!$C$58</f>
        <v>45</v>
      </c>
      <c r="H6886" s="2" t="s">
        <v>1244</v>
      </c>
    </row>
    <row r="6887" customFormat="false" ht="15" hidden="false" customHeight="false" outlineLevel="1" collapsed="false">
      <c r="A6887" s="7" t="s">
        <v>490</v>
      </c>
      <c r="B6887" s="8" t="s">
        <v>64</v>
      </c>
      <c r="C6887" s="63" t="n">
        <f aca="false">Pressupostos!$C$66*C6885/30/1000</f>
        <v>0.002</v>
      </c>
      <c r="D6887" s="63" t="n">
        <f aca="false">Pressupostos!$C$66*D6885/30/1000</f>
        <v>0.002</v>
      </c>
      <c r="E6887" s="63" t="n">
        <f aca="false">Pressupostos!$C$66*E6885/30/1000</f>
        <v>0.002</v>
      </c>
      <c r="F6887" s="63" t="n">
        <f aca="false">Pressupostos!$C$66*F6885/30/1000</f>
        <v>0.002</v>
      </c>
      <c r="G6887" s="63" t="n">
        <f aca="false">Pressupostos!$C$66*G6885/30/1000</f>
        <v>0.002</v>
      </c>
      <c r="H6887" s="2" t="s">
        <v>1245</v>
      </c>
    </row>
    <row r="6888" customFormat="false" ht="15" hidden="false" customHeight="false" outlineLevel="1" collapsed="false">
      <c r="A6888" s="7" t="s">
        <v>165</v>
      </c>
      <c r="B6888" s="8" t="s">
        <v>64</v>
      </c>
      <c r="C6888" s="63" t="n">
        <f aca="false">C6879*Pressupostos!$C$67*C6885/365</f>
        <v>0.000287671232876712</v>
      </c>
      <c r="D6888" s="63" t="n">
        <f aca="false">D6879*Pressupostos!$C$67*D6885/365</f>
        <v>0.000287671232876712</v>
      </c>
      <c r="E6888" s="63" t="n">
        <f aca="false">E6879*Pressupostos!$C$67*E6885/365</f>
        <v>0.000287671232876712</v>
      </c>
      <c r="F6888" s="63" t="n">
        <f aca="false">F6879*Pressupostos!$C$67*F6885/365</f>
        <v>0.000287671232876712</v>
      </c>
      <c r="G6888" s="63" t="n">
        <f aca="false">G6879*Pressupostos!$C$67*G6885/365</f>
        <v>0.000287671232876712</v>
      </c>
      <c r="H6888" s="2" t="s">
        <v>1246</v>
      </c>
    </row>
    <row r="6889" customFormat="false" ht="15" hidden="false" customHeight="false" outlineLevel="1" collapsed="false">
      <c r="A6889" s="7" t="s">
        <v>672</v>
      </c>
      <c r="B6889" s="8" t="s">
        <v>64</v>
      </c>
      <c r="C6889" s="63" t="n">
        <f aca="false">Pressupostos!$C$60*Pressupostos!$C$68/(Pressupostos!$C$59*1000)</f>
        <v>0.006</v>
      </c>
      <c r="D6889" s="63" t="n">
        <f aca="false">Pressupostos!$C$60*Pressupostos!$C$68/(Pressupostos!$C$59*1000)</f>
        <v>0.006</v>
      </c>
      <c r="E6889" s="63" t="n">
        <f aca="false">Pressupostos!$C$60*Pressupostos!$C$68/(Pressupostos!$C$59*1000)</f>
        <v>0.006</v>
      </c>
      <c r="F6889" s="63" t="n">
        <f aca="false">Pressupostos!$C$60*Pressupostos!$C$68/(Pressupostos!$C$59*1000)</f>
        <v>0.006</v>
      </c>
      <c r="G6889" s="63" t="n">
        <f aca="false">Pressupostos!$C$60*Pressupostos!$C$68/(Pressupostos!$C$59*1000)</f>
        <v>0.006</v>
      </c>
      <c r="H6889" s="2" t="s">
        <v>1247</v>
      </c>
    </row>
    <row r="6890" customFormat="false" ht="15" hidden="false" customHeight="false" outlineLevel="1" collapsed="false">
      <c r="A6890" s="7" t="s">
        <v>492</v>
      </c>
      <c r="B6890" s="8" t="s">
        <v>64</v>
      </c>
      <c r="C6890" s="63" t="n">
        <f aca="false">Pressupostos!$C$69*C6879</f>
        <v>0.0175</v>
      </c>
      <c r="D6890" s="63" t="n">
        <f aca="false">Pressupostos!$C$69*D6879</f>
        <v>0.0175</v>
      </c>
      <c r="E6890" s="63" t="n">
        <f aca="false">Pressupostos!$C$69*E6879</f>
        <v>0.0175</v>
      </c>
      <c r="F6890" s="63" t="n">
        <f aca="false">Pressupostos!$C$69*F6879</f>
        <v>0.0175</v>
      </c>
      <c r="G6890" s="63" t="n">
        <f aca="false">Pressupostos!$C$69*G6879</f>
        <v>0.0175</v>
      </c>
      <c r="H6890" s="2" t="s">
        <v>1248</v>
      </c>
    </row>
    <row r="6891" customFormat="false" ht="15" hidden="false" customHeight="false" outlineLevel="1" collapsed="false">
      <c r="A6891" s="7" t="s">
        <v>493</v>
      </c>
      <c r="B6891" s="8" t="s">
        <v>64</v>
      </c>
      <c r="C6891" s="63" t="n">
        <f aca="false">Pressupostos!$C$70*Pressupostos!$C$71*C6885/90</f>
        <v>0.0015</v>
      </c>
      <c r="D6891" s="63" t="n">
        <f aca="false">Pressupostos!$C$70*Pressupostos!$C$71*D6885/90</f>
        <v>0.0015</v>
      </c>
      <c r="E6891" s="63" t="n">
        <f aca="false">Pressupostos!$C$70*Pressupostos!$C$71*E6885/90</f>
        <v>0.0015</v>
      </c>
      <c r="F6891" s="63" t="n">
        <f aca="false">Pressupostos!$C$70*Pressupostos!$C$71*F6885/90</f>
        <v>0.0015</v>
      </c>
      <c r="G6891" s="63" t="n">
        <f aca="false">Pressupostos!$C$70*Pressupostos!$C$71*G6885/90</f>
        <v>0.0015</v>
      </c>
      <c r="H6891" s="2" t="s">
        <v>1249</v>
      </c>
    </row>
    <row r="6892" customFormat="false" ht="15" hidden="false" customHeight="false" outlineLevel="1" collapsed="false">
      <c r="A6892" s="7" t="s">
        <v>673</v>
      </c>
      <c r="B6892" s="8" t="s">
        <v>64</v>
      </c>
      <c r="C6892" s="63" t="n">
        <f aca="false">Pressupostos!$C$61/(Pressupostos!$C$59*1000)</f>
        <v>0.012</v>
      </c>
      <c r="D6892" s="63" t="n">
        <f aca="false">Pressupostos!$C$61/(Pressupostos!$C$59*1000)</f>
        <v>0.012</v>
      </c>
      <c r="E6892" s="63" t="n">
        <f aca="false">Pressupostos!$C$61/(Pressupostos!$C$59*1000)</f>
        <v>0.012</v>
      </c>
      <c r="F6892" s="63" t="n">
        <f aca="false">Pressupostos!$C$61/(Pressupostos!$C$59*1000)</f>
        <v>0.012</v>
      </c>
      <c r="G6892" s="63" t="n">
        <f aca="false">Pressupostos!$C$61/(Pressupostos!$C$59*1000)</f>
        <v>0.012</v>
      </c>
      <c r="H6892" s="2" t="s">
        <v>1250</v>
      </c>
    </row>
    <row r="6893" customFormat="false" ht="15" hidden="false" customHeight="false" outlineLevel="1" collapsed="false">
      <c r="A6893" s="7" t="s">
        <v>139</v>
      </c>
      <c r="B6893" s="8" t="s">
        <v>64</v>
      </c>
      <c r="C6893" s="67" t="n">
        <f aca="false">Pressupostos!$C$62</f>
        <v>0.001</v>
      </c>
      <c r="D6893" s="67" t="n">
        <f aca="false">Pressupostos!$C$62</f>
        <v>0.001</v>
      </c>
      <c r="E6893" s="67" t="n">
        <f aca="false">Pressupostos!$C$62</f>
        <v>0.001</v>
      </c>
      <c r="F6893" s="67" t="n">
        <f aca="false">Pressupostos!$C$62</f>
        <v>0.001</v>
      </c>
      <c r="G6893" s="67" t="n">
        <f aca="false">Pressupostos!$C$62</f>
        <v>0.001</v>
      </c>
      <c r="H6893" s="2" t="s">
        <v>1251</v>
      </c>
    </row>
    <row r="6894" customFormat="false" ht="15" hidden="false" customHeight="false" outlineLevel="1" collapsed="false">
      <c r="A6894" s="7" t="s">
        <v>81</v>
      </c>
      <c r="B6894" s="8" t="s">
        <v>64</v>
      </c>
      <c r="C6894" s="63" t="n">
        <f aca="false">Pressupostos!$C$63*C6881</f>
        <v>0.01095</v>
      </c>
      <c r="D6894" s="63" t="n">
        <f aca="false">Pressupostos!$C$63*D6881</f>
        <v>0.01095</v>
      </c>
      <c r="E6894" s="63" t="n">
        <f aca="false">Pressupostos!$C$63*E6881</f>
        <v>0.01095</v>
      </c>
      <c r="F6894" s="63" t="n">
        <f aca="false">Pressupostos!$C$63*F6881</f>
        <v>0.01095</v>
      </c>
      <c r="G6894" s="63" t="n">
        <f aca="false">Pressupostos!$C$63*G6881</f>
        <v>0.01095</v>
      </c>
      <c r="H6894" s="2" t="s">
        <v>1252</v>
      </c>
    </row>
    <row r="6895" customFormat="false" ht="15" hidden="false" customHeight="false" outlineLevel="1" collapsed="false">
      <c r="A6895" s="7" t="s">
        <v>674</v>
      </c>
      <c r="B6895" s="8" t="s">
        <v>64</v>
      </c>
      <c r="C6895" s="63" t="n">
        <f aca="false">Pressupostos!$C$73*C6881</f>
        <v>0</v>
      </c>
      <c r="D6895" s="63" t="n">
        <f aca="false">Pressupostos!$C$73*D6881</f>
        <v>0</v>
      </c>
      <c r="E6895" s="63" t="n">
        <f aca="false">Pressupostos!$C$73*E6881</f>
        <v>0</v>
      </c>
      <c r="F6895" s="63" t="n">
        <f aca="false">Pressupostos!$C$73*F6881</f>
        <v>0</v>
      </c>
      <c r="G6895" s="63" t="n">
        <f aca="false">Pressupostos!$C$73*G6881</f>
        <v>0</v>
      </c>
      <c r="H6895" s="2" t="s">
        <v>1253</v>
      </c>
    </row>
    <row r="6896" customFormat="false" ht="15" hidden="false" customHeight="false" outlineLevel="1" collapsed="false">
      <c r="A6896" s="7" t="s">
        <v>675</v>
      </c>
      <c r="B6896" s="8" t="s">
        <v>64</v>
      </c>
      <c r="C6896" s="63" t="n">
        <f aca="false">(Pressupostos!$C$199)*(C6879+C6882)*(C6885+C6886-Pressupostos!$C$72)/365*Pressupostos!$C$284/Pressupostos!$F$31</f>
        <v>0</v>
      </c>
      <c r="D6896" s="63" t="n">
        <f aca="false">(Pressupostos!$C$199)*(D6879+D6882)*(D6885+D6886-Pressupostos!$C$72)/365*Pressupostos!$D$284/Pressupostos!$F$31</f>
        <v>0.0323630136986301</v>
      </c>
      <c r="E6896" s="63" t="n">
        <f aca="false">(Pressupostos!$C$199)*(E6879+E6882)*(E6885+E6886-Pressupostos!$C$72)/365*Pressupostos!$E$284/Pressupostos!$F$31</f>
        <v>0.0323630136986301</v>
      </c>
      <c r="F6896" s="63" t="n">
        <f aca="false">(Pressupostos!$C$199)*(F6879+F6882)*(F6885+F6886-Pressupostos!$C$72)/365*Pressupostos!$F$284/Pressupostos!$F$31</f>
        <v>0.0323630136986301</v>
      </c>
      <c r="G6896" s="63" t="n">
        <f aca="false">(Pressupostos!$C$199)*(G6879+G6882)*(G6885+G6886-Pressupostos!$C$72)/365*Pressupostos!$G$284/Pressupostos!$F$31</f>
        <v>0.0323630136986301</v>
      </c>
      <c r="H6896" s="2" t="s">
        <v>1254</v>
      </c>
    </row>
    <row r="6897" customFormat="false" ht="15" hidden="false" customHeight="false" outlineLevel="1" collapsed="false">
      <c r="A6897" s="7" t="s">
        <v>676</v>
      </c>
      <c r="B6897" s="8" t="s">
        <v>64</v>
      </c>
      <c r="C6897" s="63" t="n">
        <f aca="false">C6879+C6882+C6883+C6884+C6887+C6888+C6889+C6890+C6891+C6892+C6893+C6894+C6895+C6896</f>
        <v>3.59123767123288</v>
      </c>
      <c r="D6897" s="63" t="n">
        <f aca="false">D6879+D6882+D6883+D6884+D6887+D6888+D6889+D6890+D6891+D6892+D6893+D6894+D6895+D6896</f>
        <v>3.62360068493151</v>
      </c>
      <c r="E6897" s="63" t="n">
        <f aca="false">E6879+E6882+E6883+E6884+E6887+E6888+E6889+E6890+E6891+E6892+E6893+E6894+E6895+E6896</f>
        <v>3.62360068493151</v>
      </c>
      <c r="F6897" s="63" t="n">
        <f aca="false">F6879+F6882+F6883+F6884+F6887+F6888+F6889+F6890+F6891+F6892+F6893+F6894+F6895+F6896</f>
        <v>3.62360068493151</v>
      </c>
      <c r="G6897" s="63" t="n">
        <f aca="false">G6879+G6882+G6883+G6884+G6887+G6888+G6889+G6890+G6891+G6892+G6893+G6894+G6895+G6896</f>
        <v>3.62360068493151</v>
      </c>
      <c r="H6897" s="2" t="s">
        <v>1255</v>
      </c>
    </row>
    <row r="6898" customFormat="false" ht="15" hidden="false" customHeight="false" outlineLevel="1" collapsed="false">
      <c r="A6898" s="56" t="s">
        <v>677</v>
      </c>
      <c r="B6898" s="57" t="s">
        <v>64</v>
      </c>
      <c r="C6898" s="68" t="n">
        <f aca="false">C6881-C6897</f>
        <v>0.058762328767124</v>
      </c>
      <c r="D6898" s="68" t="n">
        <f aca="false">D6881-D6897</f>
        <v>0.026399315068494</v>
      </c>
      <c r="E6898" s="68" t="n">
        <f aca="false">E6881-E6897</f>
        <v>0.026399315068494</v>
      </c>
      <c r="F6898" s="68" t="n">
        <f aca="false">F6881-F6897</f>
        <v>0.026399315068494</v>
      </c>
      <c r="G6898" s="68" t="n">
        <f aca="false">G6881-G6897</f>
        <v>0.026399315068494</v>
      </c>
      <c r="H6898" s="2" t="s">
        <v>1256</v>
      </c>
    </row>
    <row r="6899" customFormat="false" ht="15" hidden="false" customHeight="false" outlineLevel="1" collapsed="false">
      <c r="A6899" s="7" t="s">
        <v>678</v>
      </c>
      <c r="B6899" s="8" t="s">
        <v>76</v>
      </c>
      <c r="C6899" s="59" t="n">
        <f aca="false">IF(C6881&gt;0,C6898/C6881,0)</f>
        <v>0.0160992681553764</v>
      </c>
      <c r="D6899" s="59" t="n">
        <f aca="false">IF(D6881&gt;0,D6898/D6881,0)</f>
        <v>0.00723268905986138</v>
      </c>
      <c r="E6899" s="59" t="n">
        <f aca="false">IF(E6881&gt;0,E6898/E6881,0)</f>
        <v>0.00723268905986138</v>
      </c>
      <c r="F6899" s="59" t="n">
        <f aca="false">IF(F6881&gt;0,F6898/F6881,0)</f>
        <v>0.00723268905986138</v>
      </c>
      <c r="G6899" s="59" t="n">
        <f aca="false">IF(G6881&gt;0,G6898/G6881,0)</f>
        <v>0.00723268905986138</v>
      </c>
      <c r="H6899" s="2" t="s">
        <v>1257</v>
      </c>
    </row>
    <row r="6900" customFormat="false" ht="15" hidden="false" customHeight="false" outlineLevel="1" collapsed="false">
      <c r="A6900" s="7" t="s">
        <v>679</v>
      </c>
      <c r="B6900" s="8" t="s">
        <v>64</v>
      </c>
      <c r="C6900" s="63" t="n">
        <f aca="false">(C6879+C6882)*(C6885-Pressupostos!$C$72)/365+C6881*C6886/365</f>
        <v>0.306164383561644</v>
      </c>
      <c r="D6900" s="63" t="n">
        <f aca="false">(D6879+D6882)*(D6885-Pressupostos!$C$72)/365+D6881*D6886/365</f>
        <v>0.306164383561644</v>
      </c>
      <c r="E6900" s="63" t="n">
        <f aca="false">(E6879+E6882)*(E6885-Pressupostos!$C$72)/365+E6881*E6886/365</f>
        <v>0.306164383561644</v>
      </c>
      <c r="F6900" s="63" t="n">
        <f aca="false">(F6879+F6882)*(F6885-Pressupostos!$C$72)/365+F6881*F6886/365</f>
        <v>0.306164383561644</v>
      </c>
      <c r="G6900" s="63" t="n">
        <f aca="false">(G6879+G6882)*(G6885-Pressupostos!$C$72)/365+G6881*G6886/365</f>
        <v>0.306164383561644</v>
      </c>
      <c r="H6900" s="2" t="s">
        <v>1258</v>
      </c>
    </row>
    <row r="6901" customFormat="false" ht="15" hidden="false" customHeight="false" outlineLevel="0" collapsed="false">
      <c r="A6901" s="3" t="s">
        <v>1259</v>
      </c>
      <c r="B6901" s="4"/>
      <c r="C6901" s="4"/>
      <c r="D6901" s="4"/>
      <c r="E6901" s="4"/>
      <c r="F6901" s="4"/>
      <c r="G6901" s="4"/>
      <c r="H6901" s="4"/>
    </row>
    <row r="6902" customFormat="false" ht="15" hidden="false" customHeight="false" outlineLevel="1" collapsed="false">
      <c r="A6902" s="7" t="s">
        <v>683</v>
      </c>
      <c r="B6902" s="8" t="s">
        <v>64</v>
      </c>
      <c r="C6902" s="63" t="n">
        <f aca="false">Pressupostos!$C$64*Pressupostos!$F$10</f>
        <v>0.02625</v>
      </c>
      <c r="D6902" s="63" t="n">
        <f aca="false">Pressupostos!$C$64*Pressupostos!$F$10</f>
        <v>0.02625</v>
      </c>
      <c r="E6902" s="63" t="n">
        <f aca="false">Pressupostos!$C$64*Pressupostos!$F$10</f>
        <v>0.02625</v>
      </c>
      <c r="F6902" s="63" t="n">
        <f aca="false">Pressupostos!$C$64*Pressupostos!$F$10</f>
        <v>0.02625</v>
      </c>
      <c r="G6902" s="63" t="n">
        <f aca="false">Pressupostos!$C$64*Pressupostos!$F$10</f>
        <v>0.02625</v>
      </c>
      <c r="H6902" s="2" t="s">
        <v>1260</v>
      </c>
    </row>
    <row r="6903" customFormat="false" ht="15" hidden="false" customHeight="false" outlineLevel="1" collapsed="false">
      <c r="A6903" s="7" t="s">
        <v>684</v>
      </c>
      <c r="B6903" s="8" t="s">
        <v>64</v>
      </c>
      <c r="C6903" s="63" t="n">
        <f aca="false">C6892+C6889+C6893</f>
        <v>0.019</v>
      </c>
      <c r="D6903" s="63" t="n">
        <f aca="false">D6892+D6889+D6893</f>
        <v>0.019</v>
      </c>
      <c r="E6903" s="63" t="n">
        <f aca="false">E6892+E6889+E6893</f>
        <v>0.019</v>
      </c>
      <c r="F6903" s="63" t="n">
        <f aca="false">F6892+F6889+F6893</f>
        <v>0.019</v>
      </c>
      <c r="G6903" s="63" t="n">
        <f aca="false">G6892+G6889+G6893</f>
        <v>0.019</v>
      </c>
      <c r="H6903" s="2" t="s">
        <v>1261</v>
      </c>
    </row>
    <row r="6904" customFormat="false" ht="15" hidden="false" customHeight="false" outlineLevel="1" collapsed="false">
      <c r="A6904" s="56" t="s">
        <v>561</v>
      </c>
      <c r="B6904" s="57" t="s">
        <v>64</v>
      </c>
      <c r="C6904" s="68" t="n">
        <f aca="false">C6902-C6903</f>
        <v>0.00725</v>
      </c>
      <c r="D6904" s="68" t="n">
        <f aca="false">D6902-D6903</f>
        <v>0.00725</v>
      </c>
      <c r="E6904" s="68" t="n">
        <f aca="false">E6902-E6903</f>
        <v>0.00725</v>
      </c>
      <c r="F6904" s="68" t="n">
        <f aca="false">F6902-F6903</f>
        <v>0.00725</v>
      </c>
      <c r="G6904" s="68" t="n">
        <f aca="false">G6902-G6903</f>
        <v>0.00725</v>
      </c>
      <c r="H6904" s="2" t="s">
        <v>1262</v>
      </c>
    </row>
    <row r="6905" customFormat="false" ht="15" hidden="false" customHeight="false" outlineLevel="0" collapsed="false">
      <c r="A6905" s="3" t="s">
        <v>1263</v>
      </c>
      <c r="B6905" s="4"/>
      <c r="C6905" s="4"/>
      <c r="D6905" s="4"/>
      <c r="E6905" s="4"/>
      <c r="F6905" s="4"/>
      <c r="G6905" s="4"/>
      <c r="H6905" s="4"/>
    </row>
    <row r="6906" customFormat="false" ht="15" hidden="false" customHeight="false" outlineLevel="1" collapsed="false">
      <c r="A6906" s="7" t="s">
        <v>608</v>
      </c>
      <c r="B6906" s="8" t="s">
        <v>11</v>
      </c>
      <c r="C6906" s="61" t="n">
        <f aca="false">C6815*1000*C6835</f>
        <v>44280</v>
      </c>
      <c r="D6906" s="61" t="n">
        <f aca="false">D6815*1000*D6835</f>
        <v>166050</v>
      </c>
      <c r="E6906" s="61" t="n">
        <f aca="false">E6815*1000*E6835</f>
        <v>442800</v>
      </c>
      <c r="F6906" s="61" t="n">
        <f aca="false">F6815*1000*F6835</f>
        <v>774900</v>
      </c>
      <c r="G6906" s="61" t="n">
        <f aca="false">G6815*1000*G6835</f>
        <v>1107000</v>
      </c>
      <c r="H6906" s="2" t="s">
        <v>1264</v>
      </c>
    </row>
    <row r="6907" customFormat="false" ht="15" hidden="false" customHeight="false" outlineLevel="1" collapsed="false">
      <c r="A6907" s="7" t="s">
        <v>609</v>
      </c>
      <c r="B6907" s="8" t="s">
        <v>11</v>
      </c>
      <c r="C6907" s="61" t="n">
        <f aca="false">C6816*1000*C6858</f>
        <v>231400</v>
      </c>
      <c r="D6907" s="61" t="n">
        <f aca="false">D6816*1000*D6858</f>
        <v>1615350</v>
      </c>
      <c r="E6907" s="61" t="n">
        <f aca="false">E6816*1000*E6858</f>
        <v>3190650</v>
      </c>
      <c r="F6907" s="61" t="n">
        <f aca="false">F6816*1000*F6858</f>
        <v>5264350</v>
      </c>
      <c r="G6907" s="61" t="n">
        <f aca="false">G6816*1000*G6858</f>
        <v>7965500</v>
      </c>
      <c r="H6907" s="2" t="s">
        <v>1265</v>
      </c>
    </row>
    <row r="6908" customFormat="false" ht="15" hidden="false" customHeight="false" outlineLevel="1" collapsed="false">
      <c r="A6908" s="7" t="s">
        <v>610</v>
      </c>
      <c r="B6908" s="8" t="s">
        <v>11</v>
      </c>
      <c r="C6908" s="61" t="n">
        <f aca="false">C6818*1000*C6881</f>
        <v>0</v>
      </c>
      <c r="D6908" s="61" t="n">
        <f aca="false">D6818*1000*D6881</f>
        <v>0</v>
      </c>
      <c r="E6908" s="61" t="n">
        <f aca="false">E6818*1000*E6881</f>
        <v>0</v>
      </c>
      <c r="F6908" s="61" t="n">
        <f aca="false">F6818*1000*F6881</f>
        <v>0</v>
      </c>
      <c r="G6908" s="61" t="n">
        <f aca="false">G6818*1000*G6881</f>
        <v>0</v>
      </c>
      <c r="H6908" s="2" t="s">
        <v>1266</v>
      </c>
    </row>
    <row r="6909" customFormat="false" ht="15" hidden="false" customHeight="false" outlineLevel="1" collapsed="false">
      <c r="A6909" s="7" t="s">
        <v>611</v>
      </c>
      <c r="B6909" s="8" t="s">
        <v>11</v>
      </c>
      <c r="C6909" s="61" t="n">
        <f aca="false">C6906+C6907+C6908</f>
        <v>275680</v>
      </c>
      <c r="D6909" s="61" t="n">
        <f aca="false">D6906+D6907+D6908</f>
        <v>1781400</v>
      </c>
      <c r="E6909" s="61" t="n">
        <f aca="false">E6906+E6907+E6908</f>
        <v>3633450</v>
      </c>
      <c r="F6909" s="61" t="n">
        <f aca="false">F6906+F6907+F6908</f>
        <v>6039250</v>
      </c>
      <c r="G6909" s="61" t="n">
        <f aca="false">G6906+G6907+G6908</f>
        <v>9072500</v>
      </c>
      <c r="H6909" s="2" t="s">
        <v>1267</v>
      </c>
    </row>
    <row r="6910" customFormat="false" ht="15" hidden="false" customHeight="false" outlineLevel="1" collapsed="false">
      <c r="A6910" s="7" t="s">
        <v>612</v>
      </c>
      <c r="B6910" s="8" t="s">
        <v>11</v>
      </c>
      <c r="C6910" s="61" t="n">
        <f aca="false">C6828*1000*Pressupostos!$C$93</f>
        <v>0</v>
      </c>
      <c r="D6910" s="61" t="n">
        <f aca="false">D6828*1000*Pressupostos!$C$93</f>
        <v>0</v>
      </c>
      <c r="E6910" s="61" t="n">
        <f aca="false">E6828*1000*Pressupostos!$C$93</f>
        <v>0</v>
      </c>
      <c r="F6910" s="61" t="n">
        <f aca="false">F6828*1000*Pressupostos!$C$93</f>
        <v>157000</v>
      </c>
      <c r="G6910" s="61" t="n">
        <f aca="false">G6828*1000*Pressupostos!$C$93</f>
        <v>392500</v>
      </c>
      <c r="H6910" s="2" t="s">
        <v>1268</v>
      </c>
    </row>
    <row r="6911" customFormat="false" ht="15" hidden="false" customHeight="false" outlineLevel="1" collapsed="false">
      <c r="A6911" s="2" t="s">
        <v>613</v>
      </c>
      <c r="B6911" s="8" t="s">
        <v>11</v>
      </c>
      <c r="C6911" s="61" t="n">
        <f aca="false">C6826*Pressupostos!$C$80*(1-Pressupostos!$C$81)</f>
        <v>9720</v>
      </c>
      <c r="D6911" s="61" t="n">
        <f aca="false">D6826*Pressupostos!$C$80*(1-Pressupostos!$C$81)</f>
        <v>36450</v>
      </c>
      <c r="E6911" s="61" t="n">
        <f aca="false">E6826*Pressupostos!$C$80*(1-Pressupostos!$C$81)</f>
        <v>97200</v>
      </c>
      <c r="F6911" s="61" t="n">
        <f aca="false">F6826*Pressupostos!$C$80*(1-Pressupostos!$C$81)</f>
        <v>170100</v>
      </c>
      <c r="G6911" s="61" t="n">
        <f aca="false">G6826*Pressupostos!$C$80*(1-Pressupostos!$C$81)</f>
        <v>243000</v>
      </c>
      <c r="H6911" s="2" t="s">
        <v>1269</v>
      </c>
    </row>
    <row r="6912" customFormat="false" ht="15" hidden="false" customHeight="false" outlineLevel="1" collapsed="false">
      <c r="A6912" s="7" t="s">
        <v>614</v>
      </c>
      <c r="B6912" s="8" t="s">
        <v>11</v>
      </c>
      <c r="C6912" s="61" t="n">
        <f aca="false">C6911*Pressupostos!$F$27</f>
        <v>194.4</v>
      </c>
      <c r="D6912" s="61" t="n">
        <f aca="false">D6911*Pressupostos!$F$27</f>
        <v>729</v>
      </c>
      <c r="E6912" s="61" t="n">
        <f aca="false">E6911*Pressupostos!$F$27</f>
        <v>1944</v>
      </c>
      <c r="F6912" s="61" t="n">
        <f aca="false">F6911*Pressupostos!$F$27</f>
        <v>3402</v>
      </c>
      <c r="G6912" s="61" t="n">
        <f aca="false">G6911*Pressupostos!$F$27</f>
        <v>4860</v>
      </c>
      <c r="H6912" s="2" t="s">
        <v>1270</v>
      </c>
    </row>
    <row r="6913" customFormat="false" ht="15" hidden="false" customHeight="false" outlineLevel="1" collapsed="false">
      <c r="A6913" s="7" t="s">
        <v>615</v>
      </c>
      <c r="B6913" s="8" t="s">
        <v>11</v>
      </c>
      <c r="C6913" s="61" t="n">
        <f aca="false">C6819*1000*C6902</f>
        <v>0</v>
      </c>
      <c r="D6913" s="61" t="n">
        <f aca="false">D6819*1000*D6902</f>
        <v>13125</v>
      </c>
      <c r="E6913" s="61" t="n">
        <f aca="false">E6819*1000*E6902</f>
        <v>39375</v>
      </c>
      <c r="F6913" s="61" t="n">
        <f aca="false">F6819*1000*F6902</f>
        <v>65625</v>
      </c>
      <c r="G6913" s="61" t="n">
        <f aca="false">G6819*1000*G6902</f>
        <v>91875</v>
      </c>
      <c r="H6913" s="2" t="s">
        <v>1271</v>
      </c>
    </row>
    <row r="6914" customFormat="false" ht="15" hidden="false" customHeight="false" outlineLevel="1" collapsed="false">
      <c r="A6914" s="7" t="s">
        <v>616</v>
      </c>
      <c r="B6914" s="8" t="s">
        <v>11</v>
      </c>
      <c r="C6914" s="61" t="n">
        <f aca="false">C6830*(Pressupostos!$C$101*Pressupostos!$C$102+Pressupostos!$C$103)</f>
        <v>0</v>
      </c>
      <c r="D6914" s="61" t="n">
        <f aca="false">D6830*(Pressupostos!$C$101*Pressupostos!$C$102+Pressupostos!$C$103)</f>
        <v>10000</v>
      </c>
      <c r="E6914" s="61" t="n">
        <f aca="false">E6830*(Pressupostos!$C$101*Pressupostos!$C$102+Pressupostos!$C$103)</f>
        <v>30000</v>
      </c>
      <c r="F6914" s="61" t="n">
        <f aca="false">F6830*(Pressupostos!$C$101*Pressupostos!$C$102+Pressupostos!$C$103)</f>
        <v>60000</v>
      </c>
      <c r="G6914" s="61" t="n">
        <f aca="false">G6830*(Pressupostos!$C$101*Pressupostos!$C$102+Pressupostos!$C$103)</f>
        <v>100000</v>
      </c>
      <c r="H6914" s="2" t="s">
        <v>1272</v>
      </c>
    </row>
    <row r="6915" customFormat="false" ht="15" hidden="false" customHeight="false" outlineLevel="1" collapsed="false">
      <c r="A6915" s="7" t="s">
        <v>617</v>
      </c>
      <c r="B6915" s="8" t="s">
        <v>11</v>
      </c>
      <c r="C6915" s="53" t="n">
        <f aca="false">Pressupostos!$C$277</f>
        <v>0</v>
      </c>
      <c r="D6915" s="53" t="n">
        <f aca="false">Pressupostos!$D$277</f>
        <v>0</v>
      </c>
      <c r="E6915" s="53" t="n">
        <f aca="false">Pressupostos!$E$277</f>
        <v>0</v>
      </c>
      <c r="F6915" s="53" t="n">
        <f aca="false">Pressupostos!$F$277</f>
        <v>10000</v>
      </c>
      <c r="G6915" s="53" t="n">
        <f aca="false">Pressupostos!$G$277</f>
        <v>30000</v>
      </c>
      <c r="H6915" s="2" t="s">
        <v>1273</v>
      </c>
    </row>
    <row r="6916" customFormat="false" ht="15" hidden="false" customHeight="false" outlineLevel="1" collapsed="false">
      <c r="A6916" s="56" t="s">
        <v>618</v>
      </c>
      <c r="B6916" s="57" t="s">
        <v>11</v>
      </c>
      <c r="C6916" s="62" t="n">
        <f aca="false">C6909+C6910+C6912+C6913+C6914+C6915</f>
        <v>275874.4</v>
      </c>
      <c r="D6916" s="62" t="n">
        <f aca="false">D6909+D6910+D6912+D6913+D6914+D6915</f>
        <v>1805254</v>
      </c>
      <c r="E6916" s="62" t="n">
        <f aca="false">E6909+E6910+E6912+E6913+E6914+E6915</f>
        <v>3704769</v>
      </c>
      <c r="F6916" s="62" t="n">
        <f aca="false">F6909+F6910+F6912+F6913+F6914+F6915</f>
        <v>6335277</v>
      </c>
      <c r="G6916" s="62" t="n">
        <f aca="false">G6909+G6910+G6912+G6913+G6914+G6915</f>
        <v>9691735</v>
      </c>
      <c r="H6916" s="2" t="s">
        <v>1274</v>
      </c>
    </row>
    <row r="6917" customFormat="false" ht="15" hidden="false" customHeight="false" outlineLevel="0" collapsed="false">
      <c r="A6917" s="3" t="s">
        <v>1275</v>
      </c>
      <c r="B6917" s="4"/>
      <c r="C6917" s="4"/>
      <c r="D6917" s="4"/>
      <c r="E6917" s="4"/>
      <c r="F6917" s="4"/>
      <c r="G6917" s="4"/>
      <c r="H6917" s="4"/>
    </row>
    <row r="6918" customFormat="false" ht="15" hidden="false" customHeight="false" outlineLevel="1" collapsed="false">
      <c r="A6918" s="2" t="s">
        <v>620</v>
      </c>
      <c r="B6918" s="8" t="s">
        <v>11</v>
      </c>
      <c r="C6918" s="61" t="n">
        <f aca="false">C6819*1000*Pressupostos!$F$10</f>
        <v>0</v>
      </c>
      <c r="D6918" s="61" t="n">
        <f aca="false">D6819*1000*Pressupostos!$F$10</f>
        <v>1750000</v>
      </c>
      <c r="E6918" s="61" t="n">
        <f aca="false">E6819*1000*Pressupostos!$F$10</f>
        <v>5250000</v>
      </c>
      <c r="F6918" s="61" t="n">
        <f aca="false">F6819*1000*Pressupostos!$F$10</f>
        <v>8750000</v>
      </c>
      <c r="G6918" s="61" t="n">
        <f aca="false">G6819*1000*Pressupostos!$F$10</f>
        <v>12250000</v>
      </c>
      <c r="H6918" s="2" t="s">
        <v>1276</v>
      </c>
    </row>
    <row r="6919" customFormat="false" ht="15" hidden="false" customHeight="false" outlineLevel="1" collapsed="false">
      <c r="A6919" s="56" t="s">
        <v>621</v>
      </c>
      <c r="B6919" s="57" t="s">
        <v>11</v>
      </c>
      <c r="C6919" s="62" t="n">
        <f aca="false">C6909+C6910+C6911+C6918</f>
        <v>285400</v>
      </c>
      <c r="D6919" s="62" t="n">
        <f aca="false">D6909+D6910+D6911+D6918</f>
        <v>3567850</v>
      </c>
      <c r="E6919" s="62" t="n">
        <f aca="false">E6909+E6910+E6911+E6918</f>
        <v>8980650</v>
      </c>
      <c r="F6919" s="62" t="n">
        <f aca="false">F6909+F6910+F6911+F6918</f>
        <v>15116350</v>
      </c>
      <c r="G6919" s="62" t="n">
        <f aca="false">G6909+G6910+G6911+G6918</f>
        <v>21958000</v>
      </c>
      <c r="H6919" s="2" t="s">
        <v>1277</v>
      </c>
    </row>
    <row r="6920" customFormat="false" ht="15" hidden="false" customHeight="false" outlineLevel="1" collapsed="false">
      <c r="A6920" s="7" t="s">
        <v>622</v>
      </c>
      <c r="B6920" s="8" t="s">
        <v>11</v>
      </c>
      <c r="C6920" s="61" t="n">
        <f aca="false">C6919-C6918-C6908</f>
        <v>285400</v>
      </c>
      <c r="D6920" s="61" t="n">
        <f aca="false">D6919-D6918-D6908</f>
        <v>1817850</v>
      </c>
      <c r="E6920" s="61" t="n">
        <f aca="false">E6919-E6918-E6908</f>
        <v>3730650</v>
      </c>
      <c r="F6920" s="61" t="n">
        <f aca="false">F6919-F6918-F6908</f>
        <v>6366350</v>
      </c>
      <c r="G6920" s="61" t="n">
        <f aca="false">G6919-G6918-G6908</f>
        <v>9708000</v>
      </c>
      <c r="H6920" s="2" t="s">
        <v>1278</v>
      </c>
    </row>
    <row r="6921" customFormat="false" ht="15" hidden="false" customHeight="false" outlineLevel="1" collapsed="false">
      <c r="A6921" s="7" t="s">
        <v>623</v>
      </c>
      <c r="B6921" s="8" t="s">
        <v>11</v>
      </c>
      <c r="C6921" s="61" t="n">
        <f aca="false">C6815*1000*(C6833+C6836)+C6816*1000*(C6856+C6859)+C6818*1000*(C6879+C6882)+C6828*1000*Pressupostos!$C$92</f>
        <v>245040</v>
      </c>
      <c r="D6921" s="61" t="n">
        <f aca="false">D6815*1000*(D6833+D6836)+D6816*1000*(D6856+D6859)+D6818*1000*(D6879+D6882)+D6828*1000*Pressupostos!$C$92</f>
        <v>1599300</v>
      </c>
      <c r="E6921" s="61" t="n">
        <f aca="false">E6815*1000*(E6833+E6836)+E6816*1000*(E6856+E6859)+E6818*1000*(E6879+E6882)+E6828*1000*Pressupostos!$C$92</f>
        <v>3248250</v>
      </c>
      <c r="F6921" s="61" t="n">
        <f aca="false">F6815*1000*(F6833+F6836)+F6816*1000*(F6856+F6859)+F6818*1000*(F6879+F6882)+F6828*1000*Pressupostos!$C$92</f>
        <v>5533850</v>
      </c>
      <c r="G6921" s="61" t="n">
        <f aca="false">G6815*1000*(G6833+G6836)+G6816*1000*(G6856+G6859)+G6818*1000*(G6879+G6882)+G6828*1000*Pressupostos!$C$92</f>
        <v>8460500</v>
      </c>
      <c r="H6921" s="2" t="s">
        <v>1279</v>
      </c>
    </row>
    <row r="6922" customFormat="false" ht="15" hidden="false" customHeight="false" outlineLevel="1" collapsed="false">
      <c r="A6922" s="7" t="s">
        <v>624</v>
      </c>
      <c r="B6922" s="8" t="s">
        <v>11</v>
      </c>
      <c r="C6922" s="61" t="n">
        <f aca="false">C6921*Pressupostos!$C$284</f>
        <v>0</v>
      </c>
      <c r="D6922" s="61" t="n">
        <f aca="false">D6921*Pressupostos!$D$284</f>
        <v>1199475</v>
      </c>
      <c r="E6922" s="61" t="n">
        <f aca="false">E6921*Pressupostos!$E$284</f>
        <v>2436187.5</v>
      </c>
      <c r="F6922" s="61" t="n">
        <f aca="false">F6921*Pressupostos!$F$284</f>
        <v>4150387.5</v>
      </c>
      <c r="G6922" s="61" t="n">
        <f aca="false">G6921*Pressupostos!$G$284</f>
        <v>6345375</v>
      </c>
      <c r="H6922" s="2" t="s">
        <v>1280</v>
      </c>
    </row>
    <row r="6923" customFormat="false" ht="15" hidden="false" customHeight="false" outlineLevel="0" collapsed="false">
      <c r="A6923" s="3" t="s">
        <v>1281</v>
      </c>
      <c r="B6923" s="4"/>
      <c r="C6923" s="4"/>
      <c r="D6923" s="4"/>
      <c r="E6923" s="4"/>
      <c r="F6923" s="4"/>
      <c r="G6923" s="4"/>
      <c r="H6923" s="4"/>
    </row>
    <row r="6924" customFormat="false" ht="15" hidden="false" customHeight="false" outlineLevel="1" collapsed="false">
      <c r="A6924" s="7" t="s">
        <v>626</v>
      </c>
      <c r="B6924" s="8" t="s">
        <v>11</v>
      </c>
      <c r="C6924" s="61" t="n">
        <f aca="false">C6815*1000*C6852</f>
        <v>4950.75000000001</v>
      </c>
      <c r="D6924" s="61" t="n">
        <f aca="false">D6815*1000*D6852</f>
        <v>11201.1087328768</v>
      </c>
      <c r="E6924" s="61" t="n">
        <f aca="false">E6815*1000*E6852</f>
        <v>48644.3657534247</v>
      </c>
      <c r="F6924" s="61" t="n">
        <f aca="false">F6815*1000*F6852</f>
        <v>86562.6400684933</v>
      </c>
      <c r="G6924" s="61" t="n">
        <f aca="false">G6815*1000*G6852</f>
        <v>123660.914383562</v>
      </c>
      <c r="H6924" s="2" t="s">
        <v>1282</v>
      </c>
    </row>
    <row r="6925" customFormat="false" ht="15" hidden="false" customHeight="false" outlineLevel="1" collapsed="false">
      <c r="A6925" s="7" t="s">
        <v>627</v>
      </c>
      <c r="B6925" s="8" t="s">
        <v>11</v>
      </c>
      <c r="C6925" s="61" t="n">
        <f aca="false">C6816*1000*C6875</f>
        <v>10195.0273972603</v>
      </c>
      <c r="D6925" s="61" t="n">
        <f aca="false">D6816*1000*D6875</f>
        <v>46247.0702054796</v>
      </c>
      <c r="E6925" s="61" t="n">
        <f aca="false">E6816*1000*E6875</f>
        <v>98517.5188356167</v>
      </c>
      <c r="F6925" s="61" t="n">
        <f aca="false">F6816*1000*F6875</f>
        <v>162547.035958904</v>
      </c>
      <c r="G6925" s="61" t="n">
        <f aca="false">G6816*1000*G6875</f>
        <v>245950.291095891</v>
      </c>
      <c r="H6925" s="2" t="s">
        <v>1283</v>
      </c>
    </row>
    <row r="6926" customFormat="false" ht="15" hidden="false" customHeight="false" outlineLevel="1" collapsed="false">
      <c r="A6926" s="7" t="s">
        <v>628</v>
      </c>
      <c r="B6926" s="8" t="s">
        <v>11</v>
      </c>
      <c r="C6926" s="61" t="n">
        <f aca="false">C6818*1000*C6898+C6819*1000*C6904</f>
        <v>0</v>
      </c>
      <c r="D6926" s="61" t="n">
        <f aca="false">D6818*1000*D6898+D6819*1000*D6904</f>
        <v>3625</v>
      </c>
      <c r="E6926" s="61" t="n">
        <f aca="false">E6818*1000*E6898+E6819*1000*E6904</f>
        <v>10875</v>
      </c>
      <c r="F6926" s="61" t="n">
        <f aca="false">F6818*1000*F6898+F6819*1000*F6904</f>
        <v>18125</v>
      </c>
      <c r="G6926" s="61" t="n">
        <f aca="false">G6818*1000*G6898+G6819*1000*G6904</f>
        <v>25375</v>
      </c>
      <c r="H6926" s="2" t="s">
        <v>1284</v>
      </c>
    </row>
    <row r="6927" customFormat="false" ht="15" hidden="false" customHeight="false" outlineLevel="1" collapsed="false">
      <c r="A6927" s="7" t="s">
        <v>629</v>
      </c>
      <c r="B6927" s="8" t="s">
        <v>11</v>
      </c>
      <c r="C6927" s="61" t="n">
        <f aca="false">C6924+C6925+C6926</f>
        <v>15145.7773972603</v>
      </c>
      <c r="D6927" s="61" t="n">
        <f aca="false">D6924+D6925+D6926</f>
        <v>61073.1789383564</v>
      </c>
      <c r="E6927" s="61" t="n">
        <f aca="false">E6924+E6925+E6926</f>
        <v>158036.884589041</v>
      </c>
      <c r="F6927" s="61" t="n">
        <f aca="false">F6924+F6925+F6926</f>
        <v>267234.676027398</v>
      </c>
      <c r="G6927" s="61" t="n">
        <f aca="false">G6924+G6925+G6926</f>
        <v>394986.205479453</v>
      </c>
      <c r="H6927" s="2" t="s">
        <v>1285</v>
      </c>
    </row>
    <row r="6928" customFormat="false" ht="15" hidden="false" customHeight="false" outlineLevel="1" collapsed="false">
      <c r="A6928" s="7" t="s">
        <v>630</v>
      </c>
      <c r="B6928" s="8" t="s">
        <v>64</v>
      </c>
      <c r="C6928" s="63" t="n">
        <f aca="false">IF(C6820&gt;0,C6927/(C6820*1000),0)</f>
        <v>0.251590986665454</v>
      </c>
      <c r="D6928" s="63" t="n">
        <f aca="false">IF(D6820&gt;0,D6927/(D6820*1000),0)</f>
        <v>0.068333626784175</v>
      </c>
      <c r="E6928" s="63" t="n">
        <f aca="false">IF(E6820&gt;0,E6927/(E6820*1000),0)</f>
        <v>0.0687415765937544</v>
      </c>
      <c r="F6928" s="63" t="n">
        <f aca="false">IF(F6820&gt;0,F6927/(F6820*1000),0)</f>
        <v>0.0698378873715922</v>
      </c>
      <c r="G6928" s="63" t="n">
        <f aca="false">IF(G6820&gt;0,G6927/(G6820*1000),0)</f>
        <v>0.0718810201054509</v>
      </c>
      <c r="H6928" s="2" t="s">
        <v>1286</v>
      </c>
    </row>
    <row r="6929" customFormat="false" ht="15" hidden="false" customHeight="false" outlineLevel="1" collapsed="false">
      <c r="A6929" s="7" t="s">
        <v>631</v>
      </c>
      <c r="B6929" s="8" t="s">
        <v>76</v>
      </c>
      <c r="C6929" s="59" t="n">
        <f aca="false">IF(C6909&gt;0,C6927/C6909,0)</f>
        <v>0.0549397032692263</v>
      </c>
      <c r="D6929" s="59" t="n">
        <f aca="false">IF(D6909&gt;0,D6927/D6909,0)</f>
        <v>0.0342838098901743</v>
      </c>
      <c r="E6929" s="59" t="n">
        <f aca="false">IF(E6909&gt;0,E6927/E6909,0)</f>
        <v>0.0434949936256289</v>
      </c>
      <c r="F6929" s="59" t="n">
        <f aca="false">IF(F6909&gt;0,F6927/F6909,0)</f>
        <v>0.0442496462354428</v>
      </c>
      <c r="G6929" s="59" t="n">
        <f aca="false">IF(G6909&gt;0,G6927/G6909,0)</f>
        <v>0.0435366443074624</v>
      </c>
      <c r="H6929" s="2" t="s">
        <v>1287</v>
      </c>
    </row>
    <row r="6930" customFormat="false" ht="15" hidden="false" customHeight="false" outlineLevel="1" collapsed="false">
      <c r="A6930" s="2" t="s">
        <v>632</v>
      </c>
      <c r="B6930" s="8" t="s">
        <v>64</v>
      </c>
      <c r="C6930" s="63" t="n">
        <f aca="false">(Pressupostos!$C$199)*Pressupostos!$C$92*(Pressupostos!$C$95+Pressupostos!$C$96-Pressupostos!$C$97)/365*Pressupostos!$C$284/Pressupostos!$F$31</f>
        <v>0</v>
      </c>
      <c r="D6930" s="63" t="n">
        <f aca="false">(Pressupostos!$C$199)*Pressupostos!$C$92*(Pressupostos!$C$95+Pressupostos!$C$96-Pressupostos!$C$97)/365*Pressupostos!$D$284/Pressupostos!$F$31</f>
        <v>0.0970890410958904</v>
      </c>
      <c r="E6930" s="63" t="n">
        <f aca="false">(Pressupostos!$C$199)*Pressupostos!$C$92*(Pressupostos!$C$95+Pressupostos!$C$96-Pressupostos!$C$97)/365*Pressupostos!$E$284/Pressupostos!$F$31</f>
        <v>0.0970890410958904</v>
      </c>
      <c r="F6930" s="63" t="n">
        <f aca="false">(Pressupostos!$C$199)*Pressupostos!$C$92*(Pressupostos!$C$95+Pressupostos!$C$96-Pressupostos!$C$97)/365*Pressupostos!$F$284/Pressupostos!$F$31</f>
        <v>0.0970890410958904</v>
      </c>
      <c r="G6930" s="63" t="n">
        <f aca="false">(Pressupostos!$C$199)*Pressupostos!$C$92*(Pressupostos!$C$95+Pressupostos!$C$96-Pressupostos!$C$97)/365*Pressupostos!$G$284/Pressupostos!$F$31</f>
        <v>0.0970890410958904</v>
      </c>
      <c r="H6930" s="2" t="s">
        <v>1288</v>
      </c>
    </row>
    <row r="6931" customFormat="false" ht="15" hidden="false" customHeight="false" outlineLevel="1" collapsed="false">
      <c r="A6931" s="7" t="s">
        <v>600</v>
      </c>
      <c r="B6931" s="8" t="s">
        <v>11</v>
      </c>
      <c r="C6931" s="61" t="n">
        <f aca="false">C6828*1000*(Pressupostos!$C$93-Pressupostos!$C$92-Pressupostos!$C$94-C6930-Pressupostos!$C$98*Pressupostos!$C$93-Pressupostos!$C$99-Pressupostos!$F$29*Pressupostos!$C$92)</f>
        <v>0</v>
      </c>
      <c r="D6931" s="61" t="n">
        <f aca="false">D6828*1000*(Pressupostos!$C$93-Pressupostos!$C$92-Pressupostos!$C$94-D6930-Pressupostos!$C$98*Pressupostos!$C$93-Pressupostos!$C$99-Pressupostos!$F$29*Pressupostos!$C$92)</f>
        <v>0</v>
      </c>
      <c r="E6931" s="61" t="n">
        <f aca="false">E6828*1000*(Pressupostos!$C$93-Pressupostos!$C$92-Pressupostos!$C$94-E6930-Pressupostos!$C$98*Pressupostos!$C$93-Pressupostos!$C$99-Pressupostos!$F$29*Pressupostos!$C$92)</f>
        <v>0</v>
      </c>
      <c r="F6931" s="61" t="n">
        <f aca="false">F6828*1000*(Pressupostos!$C$93-Pressupostos!$C$92-Pressupostos!$C$94-F6930-Pressupostos!$C$98*Pressupostos!$C$93-Pressupostos!$C$99-Pressupostos!$F$29*Pressupostos!$C$92)</f>
        <v>10096.2191780822</v>
      </c>
      <c r="G6931" s="61" t="n">
        <f aca="false">G6828*1000*(Pressupostos!$C$93-Pressupostos!$C$92-Pressupostos!$C$94-G6930-Pressupostos!$C$98*Pressupostos!$C$93-Pressupostos!$C$99-Pressupostos!$F$29*Pressupostos!$C$92)</f>
        <v>25240.5479452055</v>
      </c>
      <c r="H6931" s="2" t="s">
        <v>1289</v>
      </c>
    </row>
    <row r="6932" customFormat="false" ht="15" hidden="false" customHeight="false" outlineLevel="1" collapsed="false">
      <c r="A6932" s="7" t="s">
        <v>633</v>
      </c>
      <c r="B6932" s="8" t="s">
        <v>11</v>
      </c>
      <c r="C6932" s="61" t="n">
        <f aca="false">C6912</f>
        <v>194.4</v>
      </c>
      <c r="D6932" s="61" t="n">
        <f aca="false">D6912</f>
        <v>729</v>
      </c>
      <c r="E6932" s="61" t="n">
        <f aca="false">E6912</f>
        <v>1944</v>
      </c>
      <c r="F6932" s="61" t="n">
        <f aca="false">F6912</f>
        <v>3402</v>
      </c>
      <c r="G6932" s="61" t="n">
        <f aca="false">G6912</f>
        <v>4860</v>
      </c>
      <c r="H6932" s="2" t="s">
        <v>1290</v>
      </c>
    </row>
    <row r="6933" customFormat="false" ht="15" hidden="false" customHeight="false" outlineLevel="1" collapsed="false">
      <c r="A6933" s="7" t="s">
        <v>634</v>
      </c>
      <c r="B6933" s="8" t="s">
        <v>11</v>
      </c>
      <c r="C6933" s="61" t="n">
        <f aca="false">C6914-C6948</f>
        <v>0</v>
      </c>
      <c r="D6933" s="61" t="n">
        <f aca="false">D6914-D6948</f>
        <v>10000</v>
      </c>
      <c r="E6933" s="61" t="n">
        <f aca="false">E6914-E6948</f>
        <v>30000</v>
      </c>
      <c r="F6933" s="61" t="n">
        <f aca="false">F6914-F6948</f>
        <v>60000</v>
      </c>
      <c r="G6933" s="61" t="n">
        <f aca="false">G6914-G6948</f>
        <v>100000</v>
      </c>
      <c r="H6933" s="2" t="s">
        <v>1291</v>
      </c>
    </row>
    <row r="6934" customFormat="false" ht="15" hidden="false" customHeight="false" outlineLevel="1" collapsed="false">
      <c r="A6934" s="7" t="s">
        <v>617</v>
      </c>
      <c r="B6934" s="8" t="s">
        <v>11</v>
      </c>
      <c r="C6934" s="61" t="n">
        <f aca="false">C6915</f>
        <v>0</v>
      </c>
      <c r="D6934" s="61" t="n">
        <f aca="false">D6915</f>
        <v>0</v>
      </c>
      <c r="E6934" s="61" t="n">
        <f aca="false">E6915</f>
        <v>0</v>
      </c>
      <c r="F6934" s="61" t="n">
        <f aca="false">F6915</f>
        <v>10000</v>
      </c>
      <c r="G6934" s="61" t="n">
        <f aca="false">G6915</f>
        <v>30000</v>
      </c>
      <c r="H6934" s="2" t="s">
        <v>1292</v>
      </c>
    </row>
    <row r="6935" customFormat="false" ht="15" hidden="false" customHeight="false" outlineLevel="1" collapsed="false">
      <c r="A6935" s="56" t="s">
        <v>635</v>
      </c>
      <c r="B6935" s="57" t="s">
        <v>11</v>
      </c>
      <c r="C6935" s="62" t="n">
        <f aca="false">C6927+C6931+C6932+C6933+C6934</f>
        <v>15340.1773972603</v>
      </c>
      <c r="D6935" s="62" t="n">
        <f aca="false">D6927+D6931+D6932+D6933+D6934</f>
        <v>71802.1789383564</v>
      </c>
      <c r="E6935" s="62" t="n">
        <f aca="false">E6927+E6931+E6932+E6933+E6934</f>
        <v>189980.884589041</v>
      </c>
      <c r="F6935" s="62" t="n">
        <f aca="false">F6927+F6931+F6932+F6933+F6934</f>
        <v>350732.89520548</v>
      </c>
      <c r="G6935" s="62" t="n">
        <f aca="false">G6927+G6931+G6932+G6933+G6934</f>
        <v>555086.753424658</v>
      </c>
      <c r="H6935" s="2" t="s">
        <v>1293</v>
      </c>
    </row>
    <row r="6936" customFormat="false" ht="15" hidden="false" customHeight="false" outlineLevel="0" collapsed="false">
      <c r="A6936" s="3" t="s">
        <v>1294</v>
      </c>
      <c r="B6936" s="4"/>
      <c r="C6936" s="4"/>
      <c r="D6936" s="4"/>
      <c r="E6936" s="4"/>
      <c r="F6936" s="4"/>
      <c r="G6936" s="4"/>
      <c r="H6936" s="4"/>
    </row>
    <row r="6937" customFormat="false" ht="15" hidden="false" customHeight="false" outlineLevel="1" collapsed="false">
      <c r="A6937" s="7" t="s">
        <v>686</v>
      </c>
      <c r="B6937" s="8" t="s">
        <v>11</v>
      </c>
      <c r="C6937" s="61" t="n">
        <f aca="false">C6815*1000*(C6833+C6836)+C6816*1000*(C6856+C6859)+C6818*1000*(C6879+C6882)</f>
        <v>245040</v>
      </c>
      <c r="D6937" s="61" t="n">
        <f aca="false">D6815*1000*(D6833+D6836)+D6816*1000*(D6856+D6859)+D6818*1000*(D6879+D6882)</f>
        <v>1599300</v>
      </c>
      <c r="E6937" s="61" t="n">
        <f aca="false">E6815*1000*(E6833+E6836)+E6816*1000*(E6856+E6859)+E6818*1000*(E6879+E6882)</f>
        <v>3248250</v>
      </c>
      <c r="F6937" s="61" t="n">
        <f aca="false">F6815*1000*(F6833+F6836)+F6816*1000*(F6856+F6859)+F6818*1000*(F6879+F6882)</f>
        <v>5393850</v>
      </c>
      <c r="G6937" s="61" t="n">
        <f aca="false">G6815*1000*(G6833+G6836)+G6816*1000*(G6856+G6859)+G6818*1000*(G6879+G6882)</f>
        <v>8110500</v>
      </c>
      <c r="H6937" s="2" t="s">
        <v>1295</v>
      </c>
    </row>
    <row r="6938" customFormat="false" ht="15" hidden="false" customHeight="false" outlineLevel="1" collapsed="false">
      <c r="A6938" s="7" t="s">
        <v>687</v>
      </c>
      <c r="B6938" s="8" t="s">
        <v>11</v>
      </c>
      <c r="C6938" s="61" t="n">
        <f aca="false">C6828*1000*Pressupostos!$C$92</f>
        <v>0</v>
      </c>
      <c r="D6938" s="61" t="n">
        <f aca="false">D6828*1000*Pressupostos!$C$92</f>
        <v>0</v>
      </c>
      <c r="E6938" s="61" t="n">
        <f aca="false">E6828*1000*Pressupostos!$C$92</f>
        <v>0</v>
      </c>
      <c r="F6938" s="61" t="n">
        <f aca="false">F6828*1000*Pressupostos!$C$92</f>
        <v>140000</v>
      </c>
      <c r="G6938" s="61" t="n">
        <f aca="false">G6828*1000*Pressupostos!$C$92</f>
        <v>350000</v>
      </c>
      <c r="H6938" s="2" t="s">
        <v>1296</v>
      </c>
    </row>
    <row r="6939" customFormat="false" ht="15" hidden="false" customHeight="false" outlineLevel="1" collapsed="false">
      <c r="A6939" s="7" t="s">
        <v>688</v>
      </c>
      <c r="B6939" s="8" t="s">
        <v>11</v>
      </c>
      <c r="C6939" s="61" t="n">
        <f aca="false">C6937+C6938</f>
        <v>245040</v>
      </c>
      <c r="D6939" s="61" t="n">
        <f aca="false">D6937+D6938</f>
        <v>1599300</v>
      </c>
      <c r="E6939" s="61" t="n">
        <f aca="false">E6937+E6938</f>
        <v>3248250</v>
      </c>
      <c r="F6939" s="61" t="n">
        <f aca="false">F6937+F6938</f>
        <v>5533850</v>
      </c>
      <c r="G6939" s="61" t="n">
        <f aca="false">G6937+G6938</f>
        <v>8460500</v>
      </c>
      <c r="H6939" s="2" t="s">
        <v>1297</v>
      </c>
    </row>
    <row r="6940" customFormat="false" ht="15" hidden="false" customHeight="false" outlineLevel="1" collapsed="false">
      <c r="A6940" s="7" t="s">
        <v>215</v>
      </c>
      <c r="B6940" s="8" t="s">
        <v>11</v>
      </c>
      <c r="C6940" s="61" t="n">
        <f aca="false">C6815*1000*(C6837)+C6816*1000*(C6860)+C6818*1000*(C6883)+C6828*1000*Pressupostos!$C$94</f>
        <v>7660</v>
      </c>
      <c r="D6940" s="61" t="n">
        <f aca="false">D6815*1000*(D6837)+D6816*1000*(D6860)+D6818*1000*(D6883)+D6828*1000*Pressupostos!$C$94</f>
        <v>45525</v>
      </c>
      <c r="E6940" s="61" t="n">
        <f aca="false">E6815*1000*(E6837)+E6816*1000*(E6860)+E6818*1000*(E6883)+E6828*1000*Pressupostos!$C$94</f>
        <v>87490</v>
      </c>
      <c r="F6940" s="61" t="n">
        <f aca="false">F6815*1000*(F6837)+F6816*1000*(F6860)+F6818*1000*(F6883)+F6828*1000*Pressupostos!$C$94</f>
        <v>148215</v>
      </c>
      <c r="G6940" s="61" t="n">
        <f aca="false">G6815*1000*(G6837)+G6816*1000*(G6860)+G6818*1000*(G6883)+G6828*1000*Pressupostos!$C$94</f>
        <v>223950</v>
      </c>
      <c r="H6940" s="2" t="s">
        <v>1298</v>
      </c>
    </row>
    <row r="6941" customFormat="false" ht="15" hidden="false" customHeight="false" outlineLevel="1" collapsed="false">
      <c r="A6941" s="7" t="s">
        <v>117</v>
      </c>
      <c r="B6941" s="8" t="s">
        <v>11</v>
      </c>
      <c r="C6941" s="61" t="n">
        <f aca="false">C6815*1000*(C6838)+C6816*1000*(C6861)+C6818*1000*(C6884)</f>
        <v>492</v>
      </c>
      <c r="D6941" s="61" t="n">
        <f aca="false">D6815*1000*(D6838)+D6816*1000*(D6861)+D6818*1000*(D6884)</f>
        <v>1845</v>
      </c>
      <c r="E6941" s="61" t="n">
        <f aca="false">E6815*1000*(E6838)+E6816*1000*(E6861)+E6818*1000*(E6884)</f>
        <v>4920</v>
      </c>
      <c r="F6941" s="61" t="n">
        <f aca="false">F6815*1000*(F6838)+F6816*1000*(F6861)+F6818*1000*(F6884)</f>
        <v>8610</v>
      </c>
      <c r="G6941" s="61" t="n">
        <f aca="false">G6815*1000*(G6838)+G6816*1000*(G6861)+G6818*1000*(G6884)</f>
        <v>12300</v>
      </c>
      <c r="H6941" s="2" t="s">
        <v>1299</v>
      </c>
    </row>
    <row r="6942" customFormat="false" ht="15" hidden="false" customHeight="false" outlineLevel="1" collapsed="false">
      <c r="A6942" s="7" t="s">
        <v>689</v>
      </c>
      <c r="B6942" s="8" t="s">
        <v>11</v>
      </c>
      <c r="C6942" s="61" t="n">
        <f aca="false">C6815*1000*(C6841+C6842)+C6816*1000*(C6864+C6865)+C6818*1000*(C6887+C6888)</f>
        <v>465.092602739726</v>
      </c>
      <c r="D6942" s="61" t="n">
        <f aca="false">D6815*1000*(D6841+D6842)+D6816*1000*(D6864+D6865)+D6818*1000*(D6887+D6888)</f>
        <v>2515.51643835616</v>
      </c>
      <c r="E6942" s="61" t="n">
        <f aca="false">E6815*1000*(E6841+E6842)+E6816*1000*(E6864+E6865)+E6818*1000*(E6887+E6888)</f>
        <v>3858.10684931507</v>
      </c>
      <c r="F6942" s="61" t="n">
        <f aca="false">F6815*1000*(F6841+F6842)+F6816*1000*(F6864+F6865)+F6818*1000*(F6887+F6888)</f>
        <v>6422.22671232877</v>
      </c>
      <c r="G6942" s="61" t="n">
        <f aca="false">G6815*1000*(G6841+G6842)+G6816*1000*(G6864+G6865)+G6818*1000*(G6887+G6888)</f>
        <v>9633.78767123288</v>
      </c>
      <c r="H6942" s="2" t="s">
        <v>1300</v>
      </c>
    </row>
    <row r="6943" customFormat="false" ht="15" hidden="false" customHeight="false" outlineLevel="1" collapsed="false">
      <c r="A6943" s="7" t="s">
        <v>690</v>
      </c>
      <c r="B6943" s="8" t="s">
        <v>11</v>
      </c>
      <c r="C6943" s="61" t="n">
        <f aca="false">C6815*1000*(C6843+C6844+C6845)+C6816*1000*(C6866+C6867+C6868)+C6818*1000*(C6889+C6890+C6891)</f>
        <v>2675.25</v>
      </c>
      <c r="D6943" s="61" t="n">
        <f aca="false">D6815*1000*(D6843+D6844+D6845)+D6816*1000*(D6866+D6867+D6868)+D6818*1000*(D6889+D6890+D6891)</f>
        <v>16920.1875</v>
      </c>
      <c r="E6943" s="61" t="n">
        <f aca="false">E6815*1000*(E6843+E6844+E6845)+E6816*1000*(E6866+E6867+E6868)+E6818*1000*(E6889+E6890+E6891)</f>
        <v>33722.5</v>
      </c>
      <c r="F6943" s="61" t="n">
        <f aca="false">F6815*1000*(F6843+F6844+F6845)+F6816*1000*(F6866+F6867+F6868)+F6818*1000*(F6889+F6890+F6891)</f>
        <v>56072.625</v>
      </c>
      <c r="G6943" s="61" t="n">
        <f aca="false">G6815*1000*(G6843+G6844+G6845)+G6816*1000*(G6866+G6867+G6868)+G6818*1000*(G6889+G6890+G6891)</f>
        <v>84203.75</v>
      </c>
      <c r="H6943" s="2" t="s">
        <v>1301</v>
      </c>
    </row>
    <row r="6944" customFormat="false" ht="15" hidden="false" customHeight="false" outlineLevel="1" collapsed="false">
      <c r="A6944" s="7" t="s">
        <v>673</v>
      </c>
      <c r="B6944" s="8" t="s">
        <v>11</v>
      </c>
      <c r="C6944" s="61" t="n">
        <f aca="false">C6815*1000*(C6846)+C6816*1000*(C6869)+C6818*1000*(C6892)</f>
        <v>2900</v>
      </c>
      <c r="D6944" s="61" t="n">
        <f aca="false">D6815*1000*(D6846)+D6816*1000*(D6869)+D6818*1000*(D6892)</f>
        <v>17595</v>
      </c>
      <c r="E6944" s="61" t="n">
        <f aca="false">E6815*1000*(E6846)+E6816*1000*(E6869)+E6818*1000*(E6892)</f>
        <v>36880</v>
      </c>
      <c r="F6944" s="61" t="n">
        <f aca="false">F6815*1000*(F6846)+F6816*1000*(F6869)+F6818*1000*(F6892)</f>
        <v>61670</v>
      </c>
      <c r="G6944" s="61" t="n">
        <f aca="false">G6815*1000*(G6846)+G6816*1000*(G6869)+G6818*1000*(G6892)</f>
        <v>92100</v>
      </c>
      <c r="H6944" s="2" t="s">
        <v>1302</v>
      </c>
    </row>
    <row r="6945" customFormat="false" ht="15" hidden="false" customHeight="false" outlineLevel="1" collapsed="false">
      <c r="A6945" s="7" t="s">
        <v>691</v>
      </c>
      <c r="B6945" s="8" t="s">
        <v>11</v>
      </c>
      <c r="C6945" s="61" t="n">
        <f aca="false">C6815*1000*(C6847)+C6816*1000*(C6870)+C6818*1000*(C6893)+C6828*1000*Pressupostos!$C$99</f>
        <v>342</v>
      </c>
      <c r="D6945" s="61" t="n">
        <f aca="false">D6815*1000*(D6847)+D6816*1000*(D6870)+D6818*1000*(D6893)+D6828*1000*Pressupostos!$C$99</f>
        <v>2122.5</v>
      </c>
      <c r="E6945" s="61" t="n">
        <f aca="false">E6815*1000*(E6847)+E6816*1000*(E6870)+E6818*1000*(E6893)+E6828*1000*Pressupostos!$C$99</f>
        <v>4405</v>
      </c>
      <c r="F6945" s="61" t="n">
        <f aca="false">F6815*1000*(F6847)+F6816*1000*(F6870)+F6818*1000*(F6893)+F6828*1000*Pressupostos!$C$99</f>
        <v>7950</v>
      </c>
      <c r="G6945" s="61" t="n">
        <f aca="false">G6815*1000*(G6847)+G6816*1000*(G6870)+G6818*1000*(G6893)+G6828*1000*Pressupostos!$C$99</f>
        <v>12500</v>
      </c>
      <c r="H6945" s="2" t="s">
        <v>1303</v>
      </c>
    </row>
    <row r="6946" customFormat="false" ht="15" hidden="false" customHeight="false" outlineLevel="1" collapsed="false">
      <c r="A6946" s="7" t="s">
        <v>81</v>
      </c>
      <c r="B6946" s="8" t="s">
        <v>11</v>
      </c>
      <c r="C6946" s="61" t="n">
        <f aca="false">C6815*1000*(C6848)+C6816*1000*(C6871)+C6818*1000*(C6894)+C6828*1000*Pressupostos!$C$98*Pressupostos!$C$93</f>
        <v>959.88</v>
      </c>
      <c r="D6946" s="61" t="n">
        <f aca="false">D6815*1000*(D6848)+D6816*1000*(D6871)+D6818*1000*(D6894)+D6828*1000*Pressupostos!$C$98*Pressupostos!$C$93</f>
        <v>5842.35</v>
      </c>
      <c r="E6946" s="61" t="n">
        <f aca="false">E6815*1000*(E6848)+E6816*1000*(E6871)+E6818*1000*(E6894)+E6828*1000*Pressupostos!$C$98*Pressupostos!$C$93</f>
        <v>12228.75</v>
      </c>
      <c r="F6946" s="61" t="n">
        <f aca="false">F6815*1000*(F6848)+F6816*1000*(F6871)+F6818*1000*(F6894)+F6828*1000*Pressupostos!$C$98*Pressupostos!$C$93</f>
        <v>21384.45</v>
      </c>
      <c r="G6946" s="61" t="n">
        <f aca="false">G6815*1000*(G6848)+G6816*1000*(G6871)+G6818*1000*(G6894)+G6828*1000*Pressupostos!$C$98*Pressupostos!$C$93</f>
        <v>32893.5</v>
      </c>
      <c r="H6946" s="2" t="s">
        <v>1304</v>
      </c>
    </row>
    <row r="6947" customFormat="false" ht="15" hidden="false" customHeight="false" outlineLevel="1" collapsed="false">
      <c r="A6947" s="7" t="s">
        <v>692</v>
      </c>
      <c r="B6947" s="8" t="s">
        <v>11</v>
      </c>
      <c r="C6947" s="61" t="n">
        <f aca="false">C6815*1000*(C6849)+C6816*1000*(C6872)+C6818*1000*(C6895)+C6828*1000*Pressupostos!$F$29*Pressupostos!$C$92</f>
        <v>0</v>
      </c>
      <c r="D6947" s="61" t="n">
        <f aca="false">D6815*1000*(D6849)+D6816*1000*(D6872)+D6818*1000*(D6895)+D6828*1000*Pressupostos!$F$29*Pressupostos!$C$92</f>
        <v>0</v>
      </c>
      <c r="E6947" s="61" t="n">
        <f aca="false">E6815*1000*(E6849)+E6816*1000*(E6872)+E6818*1000*(E6895)+E6828*1000*Pressupostos!$F$29*Pressupostos!$C$92</f>
        <v>0</v>
      </c>
      <c r="F6947" s="61" t="n">
        <f aca="false">F6815*1000*(F6849)+F6816*1000*(F6872)+F6818*1000*(F6895)+F6828*1000*Pressupostos!$F$29*Pressupostos!$C$92</f>
        <v>420</v>
      </c>
      <c r="G6947" s="61" t="n">
        <f aca="false">G6815*1000*(G6849)+G6816*1000*(G6872)+G6818*1000*(G6895)+G6828*1000*Pressupostos!$F$29*Pressupostos!$C$92</f>
        <v>1050</v>
      </c>
      <c r="H6947" s="2" t="s">
        <v>1305</v>
      </c>
    </row>
    <row r="6948" customFormat="false" ht="15" hidden="false" customHeight="false" outlineLevel="1" collapsed="false">
      <c r="A6948" s="7" t="s">
        <v>693</v>
      </c>
      <c r="B6948" s="8" t="s">
        <v>11</v>
      </c>
      <c r="C6948" s="61" t="n">
        <f aca="false">C6831*1000*Pressupostos!$C$104*Pressupostos!$F$30</f>
        <v>0</v>
      </c>
      <c r="D6948" s="61" t="n">
        <f aca="false">D6831*1000*Pressupostos!$C$104*Pressupostos!$F$30</f>
        <v>0</v>
      </c>
      <c r="E6948" s="61" t="n">
        <f aca="false">E6831*1000*Pressupostos!$C$104*Pressupostos!$F$30</f>
        <v>0</v>
      </c>
      <c r="F6948" s="61" t="n">
        <f aca="false">F6831*1000*Pressupostos!$C$104*Pressupostos!$F$30</f>
        <v>0</v>
      </c>
      <c r="G6948" s="61" t="n">
        <f aca="false">G6831*1000*Pressupostos!$C$104*Pressupostos!$F$30</f>
        <v>0</v>
      </c>
      <c r="H6948" s="2" t="s">
        <v>1306</v>
      </c>
    </row>
    <row r="6949" customFormat="false" ht="15" hidden="false" customHeight="false" outlineLevel="1" collapsed="false">
      <c r="A6949" s="7" t="s">
        <v>694</v>
      </c>
      <c r="B6949" s="8" t="s">
        <v>11</v>
      </c>
      <c r="C6949" s="61" t="n">
        <f aca="false">C6819*1000*C6903</f>
        <v>0</v>
      </c>
      <c r="D6949" s="61" t="n">
        <f aca="false">D6819*1000*D6903</f>
        <v>9500</v>
      </c>
      <c r="E6949" s="61" t="n">
        <f aca="false">E6819*1000*E6903</f>
        <v>28500</v>
      </c>
      <c r="F6949" s="61" t="n">
        <f aca="false">F6819*1000*F6903</f>
        <v>47500</v>
      </c>
      <c r="G6949" s="61" t="n">
        <f aca="false">G6819*1000*G6903</f>
        <v>66500</v>
      </c>
      <c r="H6949" s="2" t="s">
        <v>1307</v>
      </c>
    </row>
    <row r="6950" customFormat="false" ht="15" hidden="false" customHeight="false" outlineLevel="1" collapsed="false">
      <c r="A6950" s="7" t="s">
        <v>695</v>
      </c>
      <c r="B6950" s="8" t="s">
        <v>11</v>
      </c>
      <c r="C6950" s="61" t="n">
        <f aca="false">C6940+C6941+C6942+C6943+C6944+C6945+C6946+C6947+C6948+C6949</f>
        <v>15494.2226027397</v>
      </c>
      <c r="D6950" s="61" t="n">
        <f aca="false">D6940+D6941+D6942+D6943+D6944+D6945+D6946+D6947+D6948+D6949</f>
        <v>101865.553938356</v>
      </c>
      <c r="E6950" s="61" t="n">
        <f aca="false">E6940+E6941+E6942+E6943+E6944+E6945+E6946+E6947+E6948+E6949</f>
        <v>212004.356849315</v>
      </c>
      <c r="F6950" s="61" t="n">
        <f aca="false">F6940+F6941+F6942+F6943+F6944+F6945+F6946+F6947+F6948+F6949</f>
        <v>358244.301712329</v>
      </c>
      <c r="G6950" s="61" t="n">
        <f aca="false">G6940+G6941+G6942+G6943+G6944+G6945+G6946+G6947+G6948+G6949</f>
        <v>535131.037671233</v>
      </c>
      <c r="H6950" s="2" t="s">
        <v>1308</v>
      </c>
    </row>
    <row r="6951" customFormat="false" ht="15" hidden="false" customHeight="false" outlineLevel="1" collapsed="false">
      <c r="A6951" s="7" t="s">
        <v>696</v>
      </c>
      <c r="B6951" s="8" t="s">
        <v>11</v>
      </c>
      <c r="C6951" s="61" t="n">
        <f aca="false">C6815*1000*(C6850)+C6816*1000*(C6873)+C6818*1000*(C6896)</f>
        <v>0</v>
      </c>
      <c r="D6951" s="61" t="n">
        <f aca="false">D6815*1000*(D6850)+D6816*1000*(D6873)+D6818*1000*(D6896)</f>
        <v>32286.2671232877</v>
      </c>
      <c r="E6951" s="61" t="n">
        <f aca="false">E6815*1000*(E6850)+E6816*1000*(E6873)+E6818*1000*(E6896)</f>
        <v>54533.7585616438</v>
      </c>
      <c r="F6951" s="61" t="n">
        <f aca="false">F6815*1000*(F6850)+F6816*1000*(F6873)+F6818*1000*(F6896)</f>
        <v>90508.022260274</v>
      </c>
      <c r="G6951" s="61" t="n">
        <f aca="false">G6815*1000*(G6850)+G6816*1000*(G6873)+G6818*1000*(G6896)</f>
        <v>136162.756849315</v>
      </c>
      <c r="H6951" s="2" t="s">
        <v>1309</v>
      </c>
    </row>
    <row r="6952" customFormat="false" ht="15" hidden="false" customHeight="false" outlineLevel="1" collapsed="false">
      <c r="A6952" s="7" t="s">
        <v>697</v>
      </c>
      <c r="B6952" s="8" t="s">
        <v>11</v>
      </c>
      <c r="C6952" s="61" t="n">
        <f aca="false">C6828*1000*C6930</f>
        <v>0</v>
      </c>
      <c r="D6952" s="61" t="n">
        <f aca="false">D6828*1000*D6930</f>
        <v>0</v>
      </c>
      <c r="E6952" s="61" t="n">
        <f aca="false">E6828*1000*E6930</f>
        <v>0</v>
      </c>
      <c r="F6952" s="61" t="n">
        <f aca="false">F6828*1000*F6930</f>
        <v>1941.78082191781</v>
      </c>
      <c r="G6952" s="61" t="n">
        <f aca="false">G6828*1000*G6930</f>
        <v>4854.45205479452</v>
      </c>
      <c r="H6952" s="2" t="s">
        <v>1310</v>
      </c>
    </row>
    <row r="6953" customFormat="false" ht="15" hidden="false" customHeight="false" outlineLevel="1" collapsed="false">
      <c r="A6953" s="7" t="s">
        <v>698</v>
      </c>
      <c r="B6953" s="8" t="s">
        <v>11</v>
      </c>
      <c r="C6953" s="61" t="n">
        <f aca="false">C6951+C6952</f>
        <v>0</v>
      </c>
      <c r="D6953" s="61" t="n">
        <f aca="false">D6951+D6952</f>
        <v>32286.2671232877</v>
      </c>
      <c r="E6953" s="61" t="n">
        <f aca="false">E6951+E6952</f>
        <v>54533.7585616438</v>
      </c>
      <c r="F6953" s="61" t="n">
        <f aca="false">F6951+F6952</f>
        <v>92449.8030821918</v>
      </c>
      <c r="G6953" s="61" t="n">
        <f aca="false">G6951+G6952</f>
        <v>141017.20890411</v>
      </c>
      <c r="H6953" s="2" t="s">
        <v>1311</v>
      </c>
    </row>
    <row r="6954" customFormat="false" ht="15" hidden="false" customHeight="false" outlineLevel="1" collapsed="false">
      <c r="A6954" s="8" t="s">
        <v>699</v>
      </c>
      <c r="B6954" s="8" t="s">
        <v>11</v>
      </c>
      <c r="C6954" s="70" t="n">
        <f aca="false">ROUND(C6916-C6939-C6950-C6953-C6935,6)</f>
        <v>0</v>
      </c>
      <c r="D6954" s="70" t="n">
        <f aca="false">ROUND(D6916-D6939-D6950-D6953-D6935,6)</f>
        <v>-0</v>
      </c>
      <c r="E6954" s="70" t="n">
        <f aca="false">ROUND(E6916-E6939-E6950-E6953-E6935,6)</f>
        <v>-0</v>
      </c>
      <c r="F6954" s="70" t="n">
        <f aca="false">ROUND(F6916-F6939-F6950-F6953-F6935,6)</f>
        <v>-0</v>
      </c>
      <c r="G6954" s="70" t="n">
        <f aca="false">ROUND(G6916-G6939-G6950-G6953-G6935,6)</f>
        <v>0</v>
      </c>
      <c r="H6954" s="2" t="s">
        <v>1312</v>
      </c>
    </row>
    <row r="6955" customFormat="false" ht="15" hidden="false" customHeight="false" outlineLevel="0" collapsed="false">
      <c r="A6955" s="3" t="s">
        <v>1313</v>
      </c>
      <c r="B6955" s="4"/>
      <c r="C6955" s="4"/>
      <c r="D6955" s="4"/>
      <c r="E6955" s="4"/>
      <c r="F6955" s="4"/>
      <c r="G6955" s="4"/>
      <c r="H6955" s="4"/>
    </row>
    <row r="6956" customFormat="false" ht="15" hidden="false" customHeight="false" outlineLevel="1" collapsed="false">
      <c r="A6956" s="7" t="s">
        <v>638</v>
      </c>
      <c r="B6956" s="8" t="s">
        <v>432</v>
      </c>
      <c r="C6956" s="64" t="n">
        <f aca="false">Pressupostos!$C$334</f>
        <v>1</v>
      </c>
      <c r="D6956" s="64" t="n">
        <f aca="false">Pressupostos!$D$334</f>
        <v>1</v>
      </c>
      <c r="E6956" s="64" t="n">
        <f aca="false">Pressupostos!$E$334</f>
        <v>1</v>
      </c>
      <c r="F6956" s="64" t="n">
        <f aca="false">Pressupostos!$F$334</f>
        <v>1</v>
      </c>
      <c r="G6956" s="64" t="n">
        <f aca="false">Pressupostos!$G$334</f>
        <v>1</v>
      </c>
      <c r="H6956" s="2" t="s">
        <v>1314</v>
      </c>
    </row>
    <row r="6957" customFormat="false" ht="15" hidden="false" customHeight="false" outlineLevel="1" collapsed="false">
      <c r="A6957" s="7" t="s">
        <v>639</v>
      </c>
      <c r="B6957" s="8" t="s">
        <v>432</v>
      </c>
      <c r="C6957" s="64" t="n">
        <f aca="false">Pressupostos!$C$340</f>
        <v>1</v>
      </c>
      <c r="D6957" s="64" t="n">
        <f aca="false">Pressupostos!$D$340</f>
        <v>1</v>
      </c>
      <c r="E6957" s="64" t="n">
        <f aca="false">Pressupostos!$E$340</f>
        <v>1</v>
      </c>
      <c r="F6957" s="64" t="n">
        <f aca="false">Pressupostos!$F$340</f>
        <v>1</v>
      </c>
      <c r="G6957" s="64" t="n">
        <f aca="false">Pressupostos!$G$340</f>
        <v>1</v>
      </c>
      <c r="H6957" s="2" t="s">
        <v>1315</v>
      </c>
    </row>
    <row r="6958" customFormat="false" ht="15" hidden="false" customHeight="false" outlineLevel="1" collapsed="false">
      <c r="A6958" s="7" t="s">
        <v>640</v>
      </c>
      <c r="B6958" s="8" t="s">
        <v>432</v>
      </c>
      <c r="C6958" s="64" t="n">
        <f aca="false">Pressupostos!$C$346</f>
        <v>0</v>
      </c>
      <c r="D6958" s="64" t="n">
        <f aca="false">Pressupostos!$D$346</f>
        <v>1</v>
      </c>
      <c r="E6958" s="64" t="n">
        <f aca="false">Pressupostos!$E$346</f>
        <v>1</v>
      </c>
      <c r="F6958" s="64" t="n">
        <f aca="false">Pressupostos!$F$346</f>
        <v>1</v>
      </c>
      <c r="G6958" s="64" t="n">
        <f aca="false">Pressupostos!$G$346</f>
        <v>1</v>
      </c>
      <c r="H6958" s="2" t="s">
        <v>1316</v>
      </c>
    </row>
    <row r="6959" customFormat="false" ht="15" hidden="false" customHeight="false" outlineLevel="1" collapsed="false">
      <c r="A6959" s="7" t="s">
        <v>641</v>
      </c>
      <c r="B6959" s="8" t="s">
        <v>432</v>
      </c>
      <c r="C6959" s="64" t="n">
        <f aca="false">Pressupostos!$C$352</f>
        <v>0.5</v>
      </c>
      <c r="D6959" s="64" t="n">
        <f aca="false">Pressupostos!$D$352</f>
        <v>1</v>
      </c>
      <c r="E6959" s="64" t="n">
        <f aca="false">Pressupostos!$E$352</f>
        <v>1</v>
      </c>
      <c r="F6959" s="64" t="n">
        <f aca="false">Pressupostos!$F$352</f>
        <v>1</v>
      </c>
      <c r="G6959" s="64" t="n">
        <f aca="false">Pressupostos!$G$352</f>
        <v>1</v>
      </c>
      <c r="H6959" s="2" t="s">
        <v>1317</v>
      </c>
    </row>
    <row r="6960" customFormat="false" ht="15" hidden="false" customHeight="false" outlineLevel="1" collapsed="false">
      <c r="A6960" s="7" t="s">
        <v>642</v>
      </c>
      <c r="B6960" s="8" t="s">
        <v>432</v>
      </c>
      <c r="C6960" s="64" t="n">
        <f aca="false">Pressupostos!$C$358</f>
        <v>0.5</v>
      </c>
      <c r="D6960" s="64" t="n">
        <f aca="false">Pressupostos!$D$358</f>
        <v>0.5</v>
      </c>
      <c r="E6960" s="64" t="n">
        <f aca="false">Pressupostos!$E$358</f>
        <v>0.5</v>
      </c>
      <c r="F6960" s="64" t="n">
        <f aca="false">Pressupostos!$F$358</f>
        <v>1</v>
      </c>
      <c r="G6960" s="64" t="n">
        <f aca="false">Pressupostos!$G$358</f>
        <v>1</v>
      </c>
      <c r="H6960" s="2" t="s">
        <v>1318</v>
      </c>
    </row>
    <row r="6961" customFormat="false" ht="15" hidden="false" customHeight="false" outlineLevel="1" collapsed="false">
      <c r="A6961" s="7" t="s">
        <v>643</v>
      </c>
      <c r="B6961" s="8" t="s">
        <v>432</v>
      </c>
      <c r="C6961" s="64" t="n">
        <f aca="false">Pressupostos!$C$364</f>
        <v>1</v>
      </c>
      <c r="D6961" s="64" t="n">
        <f aca="false">Pressupostos!$D$364</f>
        <v>1</v>
      </c>
      <c r="E6961" s="64" t="n">
        <f aca="false">Pressupostos!$E$364</f>
        <v>1</v>
      </c>
      <c r="F6961" s="64" t="n">
        <f aca="false">Pressupostos!$F$364</f>
        <v>1</v>
      </c>
      <c r="G6961" s="64" t="n">
        <f aca="false">Pressupostos!$G$364</f>
        <v>1</v>
      </c>
      <c r="H6961" s="2" t="s">
        <v>1319</v>
      </c>
    </row>
    <row r="6962" customFormat="false" ht="15" hidden="false" customHeight="false" outlineLevel="1" collapsed="false">
      <c r="A6962" s="7" t="s">
        <v>644</v>
      </c>
      <c r="B6962" s="8" t="s">
        <v>432</v>
      </c>
      <c r="C6962" s="64" t="n">
        <f aca="false">Pressupostos!$C$370</f>
        <v>0.5</v>
      </c>
      <c r="D6962" s="64" t="n">
        <f aca="false">Pressupostos!$D$370</f>
        <v>1</v>
      </c>
      <c r="E6962" s="64" t="n">
        <f aca="false">Pressupostos!$E$370</f>
        <v>1</v>
      </c>
      <c r="F6962" s="64" t="n">
        <f aca="false">Pressupostos!$F$370</f>
        <v>1</v>
      </c>
      <c r="G6962" s="64" t="n">
        <f aca="false">Pressupostos!$G$370</f>
        <v>1</v>
      </c>
      <c r="H6962" s="2" t="s">
        <v>1320</v>
      </c>
    </row>
    <row r="6963" customFormat="false" ht="15" hidden="false" customHeight="false" outlineLevel="1" collapsed="false">
      <c r="A6963" s="7" t="s">
        <v>645</v>
      </c>
      <c r="B6963" s="8" t="s">
        <v>432</v>
      </c>
      <c r="C6963" s="64" t="n">
        <f aca="false">Pressupostos!$C$376</f>
        <v>1</v>
      </c>
      <c r="D6963" s="64" t="n">
        <f aca="false">Pressupostos!$D$376</f>
        <v>1</v>
      </c>
      <c r="E6963" s="64" t="n">
        <f aca="false">Pressupostos!$E$376</f>
        <v>1</v>
      </c>
      <c r="F6963" s="64" t="n">
        <f aca="false">Pressupostos!$F$376</f>
        <v>2</v>
      </c>
      <c r="G6963" s="64" t="n">
        <f aca="false">Pressupostos!$G$376</f>
        <v>3</v>
      </c>
      <c r="H6963" s="2" t="s">
        <v>1321</v>
      </c>
    </row>
    <row r="6964" customFormat="false" ht="15" hidden="false" customHeight="false" outlineLevel="1" collapsed="false">
      <c r="A6964" s="7" t="s">
        <v>646</v>
      </c>
      <c r="B6964" s="8" t="s">
        <v>432</v>
      </c>
      <c r="C6964" s="64" t="n">
        <f aca="false">Pressupostos!$C$382</f>
        <v>0</v>
      </c>
      <c r="D6964" s="64" t="n">
        <f aca="false">Pressupostos!$D$382</f>
        <v>0</v>
      </c>
      <c r="E6964" s="64" t="n">
        <f aca="false">Pressupostos!$E$382</f>
        <v>0</v>
      </c>
      <c r="F6964" s="64" t="n">
        <f aca="false">Pressupostos!$F$382</f>
        <v>0</v>
      </c>
      <c r="G6964" s="64" t="n">
        <f aca="false">Pressupostos!$G$382</f>
        <v>0</v>
      </c>
      <c r="H6964" s="2" t="s">
        <v>1322</v>
      </c>
    </row>
    <row r="6965" customFormat="false" ht="15" hidden="false" customHeight="false" outlineLevel="1" collapsed="false">
      <c r="A6965" s="7" t="s">
        <v>647</v>
      </c>
      <c r="B6965" s="8" t="s">
        <v>432</v>
      </c>
      <c r="C6965" s="64" t="n">
        <f aca="false">Pressupostos!$C$388</f>
        <v>0</v>
      </c>
      <c r="D6965" s="64" t="n">
        <f aca="false">Pressupostos!$D$388</f>
        <v>0</v>
      </c>
      <c r="E6965" s="64" t="n">
        <f aca="false">Pressupostos!$E$388</f>
        <v>0</v>
      </c>
      <c r="F6965" s="64" t="n">
        <f aca="false">Pressupostos!$F$388</f>
        <v>0</v>
      </c>
      <c r="G6965" s="64" t="n">
        <f aca="false">Pressupostos!$G$388</f>
        <v>0</v>
      </c>
      <c r="H6965" s="2" t="s">
        <v>1323</v>
      </c>
    </row>
    <row r="6966" customFormat="false" ht="15" hidden="false" customHeight="false" outlineLevel="1" collapsed="false">
      <c r="A6966" s="7" t="s">
        <v>648</v>
      </c>
      <c r="B6966" s="8" t="s">
        <v>432</v>
      </c>
      <c r="C6966" s="64" t="n">
        <f aca="false">Pressupostos!$C$394</f>
        <v>0</v>
      </c>
      <c r="D6966" s="64" t="n">
        <f aca="false">Pressupostos!$D$394</f>
        <v>0</v>
      </c>
      <c r="E6966" s="64" t="n">
        <f aca="false">Pressupostos!$E$394</f>
        <v>0</v>
      </c>
      <c r="F6966" s="64" t="n">
        <f aca="false">Pressupostos!$F$394</f>
        <v>1</v>
      </c>
      <c r="G6966" s="64" t="n">
        <f aca="false">Pressupostos!$G$394</f>
        <v>1</v>
      </c>
      <c r="H6966" s="2" t="s">
        <v>1324</v>
      </c>
    </row>
    <row r="6967" customFormat="false" ht="15" hidden="false" customHeight="false" outlineLevel="1" collapsed="false">
      <c r="A6967" s="7" t="s">
        <v>649</v>
      </c>
      <c r="B6967" s="8" t="s">
        <v>432</v>
      </c>
      <c r="C6967" s="64" t="n">
        <f aca="false">Pressupostos!$C$400</f>
        <v>0</v>
      </c>
      <c r="D6967" s="64" t="n">
        <f aca="false">Pressupostos!$D$400</f>
        <v>0</v>
      </c>
      <c r="E6967" s="64" t="n">
        <f aca="false">Pressupostos!$E$400</f>
        <v>1</v>
      </c>
      <c r="F6967" s="64" t="n">
        <f aca="false">Pressupostos!$F$400</f>
        <v>1</v>
      </c>
      <c r="G6967" s="64" t="n">
        <f aca="false">Pressupostos!$G$400</f>
        <v>1</v>
      </c>
      <c r="H6967" s="2" t="s">
        <v>1325</v>
      </c>
    </row>
    <row r="6968" customFormat="false" ht="15" hidden="false" customHeight="false" outlineLevel="1" collapsed="false">
      <c r="A6968" s="56" t="s">
        <v>650</v>
      </c>
      <c r="B6968" s="57" t="s">
        <v>432</v>
      </c>
      <c r="C6968" s="65" t="n">
        <f aca="false">C6956+C6957+C6958+C6959+C6960+C6961+C6962+C6963+C6964+C6965+C6966+C6967</f>
        <v>5.5</v>
      </c>
      <c r="D6968" s="65" t="n">
        <f aca="false">D6956+D6957+D6958+D6959+D6960+D6961+D6962+D6963+D6964+D6965+D6966+D6967</f>
        <v>7.5</v>
      </c>
      <c r="E6968" s="65" t="n">
        <f aca="false">E6956+E6957+E6958+E6959+E6960+E6961+E6962+E6963+E6964+E6965+E6966+E6967</f>
        <v>8.5</v>
      </c>
      <c r="F6968" s="65" t="n">
        <f aca="false">F6956+F6957+F6958+F6959+F6960+F6961+F6962+F6963+F6964+F6965+F6966+F6967</f>
        <v>11</v>
      </c>
      <c r="G6968" s="65" t="n">
        <f aca="false">G6956+G6957+G6958+G6959+G6960+G6961+G6962+G6963+G6964+G6965+G6966+G6967</f>
        <v>12</v>
      </c>
      <c r="H6968" s="2" t="s">
        <v>1326</v>
      </c>
    </row>
    <row r="6969" customFormat="false" ht="15" hidden="false" customHeight="false" outlineLevel="0" collapsed="false">
      <c r="A6969" s="3" t="s">
        <v>1327</v>
      </c>
      <c r="B6969" s="4"/>
      <c r="C6969" s="4"/>
      <c r="D6969" s="4"/>
      <c r="E6969" s="4"/>
      <c r="F6969" s="4"/>
      <c r="G6969" s="4"/>
      <c r="H6969" s="4"/>
    </row>
    <row r="6970" customFormat="false" ht="15" hidden="false" customHeight="false" outlineLevel="1" collapsed="false">
      <c r="A6970" s="7" t="s">
        <v>638</v>
      </c>
      <c r="B6970" s="8" t="s">
        <v>11</v>
      </c>
      <c r="C6970" s="61" t="n">
        <f aca="false">C6956*Pressupostos!$C$131*(1+Pressupostos!$C$127)^0*(1+Pressupostos!$C$132)*Pressupostos!$C$128</f>
        <v>43998</v>
      </c>
      <c r="D6970" s="61" t="n">
        <f aca="false">D6956*Pressupostos!$C$131*(1+Pressupostos!$C$127)^1*(1+Pressupostos!$C$132)</f>
        <v>61800</v>
      </c>
      <c r="E6970" s="61" t="n">
        <f aca="false">E6956*Pressupostos!$C$131*(1+Pressupostos!$C$127)^2*(1+Pressupostos!$C$132)</f>
        <v>63654</v>
      </c>
      <c r="F6970" s="61" t="n">
        <f aca="false">F6956*Pressupostos!$C$131*(1+Pressupostos!$C$127)^3*(1+Pressupostos!$C$132)</f>
        <v>65563.62</v>
      </c>
      <c r="G6970" s="61" t="n">
        <f aca="false">G6956*Pressupostos!$C$131*(1+Pressupostos!$C$127)^4*(1+Pressupostos!$C$132)</f>
        <v>67530.5286</v>
      </c>
      <c r="H6970" s="2" t="s">
        <v>1328</v>
      </c>
    </row>
    <row r="6971" customFormat="false" ht="15" hidden="false" customHeight="false" outlineLevel="1" collapsed="false">
      <c r="A6971" s="7" t="s">
        <v>639</v>
      </c>
      <c r="B6971" s="8" t="s">
        <v>11</v>
      </c>
      <c r="C6971" s="61" t="n">
        <f aca="false">C6957*Pressupostos!$C$133*(1+Pressupostos!$C$127)^0*(1+Pressupostos!$C$134)*Pressupostos!$C$128</f>
        <v>47664.5</v>
      </c>
      <c r="D6971" s="61" t="n">
        <f aca="false">D6957*Pressupostos!$C$133*(1+Pressupostos!$C$127)^1*(1+Pressupostos!$C$134)</f>
        <v>66950</v>
      </c>
      <c r="E6971" s="61" t="n">
        <f aca="false">E6957*Pressupostos!$C$133*(1+Pressupostos!$C$127)^2*(1+Pressupostos!$C$134)</f>
        <v>68958.5</v>
      </c>
      <c r="F6971" s="61" t="n">
        <f aca="false">F6957*Pressupostos!$C$133*(1+Pressupostos!$C$127)^3*(1+Pressupostos!$C$134)</f>
        <v>71027.255</v>
      </c>
      <c r="G6971" s="61" t="n">
        <f aca="false">G6957*Pressupostos!$C$133*(1+Pressupostos!$C$127)^4*(1+Pressupostos!$C$134)</f>
        <v>73158.07265</v>
      </c>
      <c r="H6971" s="2" t="s">
        <v>1329</v>
      </c>
    </row>
    <row r="6972" customFormat="false" ht="15" hidden="false" customHeight="false" outlineLevel="1" collapsed="false">
      <c r="A6972" s="7" t="s">
        <v>640</v>
      </c>
      <c r="B6972" s="8" t="s">
        <v>11</v>
      </c>
      <c r="C6972" s="61" t="n">
        <f aca="false">C6958*Pressupostos!$C$135*(1+Pressupostos!$C$127)^0*(1+Pressupostos!$C$136)</f>
        <v>0</v>
      </c>
      <c r="D6972" s="61" t="n">
        <f aca="false">D6958*Pressupostos!$C$135*(1+Pressupostos!$C$127)^1*(1+Pressupostos!$C$136)</f>
        <v>46350</v>
      </c>
      <c r="E6972" s="61" t="n">
        <f aca="false">E6958*Pressupostos!$C$135*(1+Pressupostos!$C$127)^2*(1+Pressupostos!$C$136)</f>
        <v>47740.5</v>
      </c>
      <c r="F6972" s="61" t="n">
        <f aca="false">F6958*Pressupostos!$C$135*(1+Pressupostos!$C$127)^3*(1+Pressupostos!$C$136)</f>
        <v>49172.715</v>
      </c>
      <c r="G6972" s="61" t="n">
        <f aca="false">G6958*Pressupostos!$C$135*(1+Pressupostos!$C$127)^4*(1+Pressupostos!$C$136)</f>
        <v>50647.89645</v>
      </c>
      <c r="H6972" s="2" t="s">
        <v>1330</v>
      </c>
    </row>
    <row r="6973" customFormat="false" ht="15" hidden="false" customHeight="false" outlineLevel="1" collapsed="false">
      <c r="A6973" s="7" t="s">
        <v>641</v>
      </c>
      <c r="B6973" s="8" t="s">
        <v>11</v>
      </c>
      <c r="C6973" s="61" t="n">
        <f aca="false">C6959*Pressupostos!$C$137*(1+Pressupostos!$C$127)^0*(1+Pressupostos!$C$138)</f>
        <v>30000</v>
      </c>
      <c r="D6973" s="61" t="n">
        <f aca="false">D6959*Pressupostos!$C$137*(1+Pressupostos!$C$127)^1*(1+Pressupostos!$C$138)</f>
        <v>61800</v>
      </c>
      <c r="E6973" s="61" t="n">
        <f aca="false">E6959*Pressupostos!$C$137*(1+Pressupostos!$C$127)^2*(1+Pressupostos!$C$138)</f>
        <v>63654</v>
      </c>
      <c r="F6973" s="61" t="n">
        <f aca="false">F6959*Pressupostos!$C$137*(1+Pressupostos!$C$127)^3*(1+Pressupostos!$C$138)</f>
        <v>65563.62</v>
      </c>
      <c r="G6973" s="61" t="n">
        <f aca="false">G6959*Pressupostos!$C$137*(1+Pressupostos!$C$127)^4*(1+Pressupostos!$C$138)</f>
        <v>67530.5286</v>
      </c>
      <c r="H6973" s="2" t="s">
        <v>1331</v>
      </c>
    </row>
    <row r="6974" customFormat="false" ht="15" hidden="false" customHeight="false" outlineLevel="1" collapsed="false">
      <c r="A6974" s="7" t="s">
        <v>642</v>
      </c>
      <c r="B6974" s="8" t="s">
        <v>11</v>
      </c>
      <c r="C6974" s="61" t="n">
        <f aca="false">C6960*Pressupostos!$C$139*(1+Pressupostos!$C$127)^0*(1+Pressupostos!$C$140)</f>
        <v>22500</v>
      </c>
      <c r="D6974" s="61" t="n">
        <f aca="false">D6960*Pressupostos!$C$139*(1+Pressupostos!$C$127)^1*(1+Pressupostos!$C$140)</f>
        <v>23175</v>
      </c>
      <c r="E6974" s="61" t="n">
        <f aca="false">E6960*Pressupostos!$C$139*(1+Pressupostos!$C$127)^2*(1+Pressupostos!$C$140)</f>
        <v>23870.25</v>
      </c>
      <c r="F6974" s="61" t="n">
        <f aca="false">F6960*Pressupostos!$C$139*(1+Pressupostos!$C$127)^3*(1+Pressupostos!$C$140)</f>
        <v>49172.715</v>
      </c>
      <c r="G6974" s="61" t="n">
        <f aca="false">G6960*Pressupostos!$C$139*(1+Pressupostos!$C$127)^4*(1+Pressupostos!$C$140)</f>
        <v>50647.89645</v>
      </c>
      <c r="H6974" s="2" t="s">
        <v>1332</v>
      </c>
    </row>
    <row r="6975" customFormat="false" ht="15" hidden="false" customHeight="false" outlineLevel="1" collapsed="false">
      <c r="A6975" s="7" t="s">
        <v>643</v>
      </c>
      <c r="B6975" s="8" t="s">
        <v>11</v>
      </c>
      <c r="C6975" s="61" t="n">
        <f aca="false">C6961*Pressupostos!$C$141*(1+Pressupostos!$C$127)^0*(1+Pressupostos!$C$142)</f>
        <v>38000</v>
      </c>
      <c r="D6975" s="61" t="n">
        <f aca="false">D6961*Pressupostos!$C$141*(1+Pressupostos!$C$127)^1*(1+Pressupostos!$C$142)</f>
        <v>39140</v>
      </c>
      <c r="E6975" s="61" t="n">
        <f aca="false">E6961*Pressupostos!$C$141*(1+Pressupostos!$C$127)^2*(1+Pressupostos!$C$142)</f>
        <v>40314.2</v>
      </c>
      <c r="F6975" s="61" t="n">
        <f aca="false">F6961*Pressupostos!$C$141*(1+Pressupostos!$C$127)^3*(1+Pressupostos!$C$142)</f>
        <v>41523.626</v>
      </c>
      <c r="G6975" s="61" t="n">
        <f aca="false">G6961*Pressupostos!$C$141*(1+Pressupostos!$C$127)^4*(1+Pressupostos!$C$142)</f>
        <v>42769.33478</v>
      </c>
      <c r="H6975" s="2" t="s">
        <v>1333</v>
      </c>
    </row>
    <row r="6976" customFormat="false" ht="15" hidden="false" customHeight="false" outlineLevel="1" collapsed="false">
      <c r="A6976" s="7" t="s">
        <v>644</v>
      </c>
      <c r="B6976" s="8" t="s">
        <v>11</v>
      </c>
      <c r="C6976" s="61" t="n">
        <f aca="false">C6962*Pressupostos!$C$143*(1+Pressupostos!$C$127)^0*(1+Pressupostos!$C$144)</f>
        <v>16000</v>
      </c>
      <c r="D6976" s="61" t="n">
        <f aca="false">D6962*Pressupostos!$C$143*(1+Pressupostos!$C$127)^1*(1+Pressupostos!$C$144)</f>
        <v>32960</v>
      </c>
      <c r="E6976" s="61" t="n">
        <f aca="false">E6962*Pressupostos!$C$143*(1+Pressupostos!$C$127)^2*(1+Pressupostos!$C$144)</f>
        <v>33948.8</v>
      </c>
      <c r="F6976" s="61" t="n">
        <f aca="false">F6962*Pressupostos!$C$143*(1+Pressupostos!$C$127)^3*(1+Pressupostos!$C$144)</f>
        <v>34967.264</v>
      </c>
      <c r="G6976" s="61" t="n">
        <f aca="false">G6962*Pressupostos!$C$143*(1+Pressupostos!$C$127)^4*(1+Pressupostos!$C$144)</f>
        <v>36016.28192</v>
      </c>
      <c r="H6976" s="2" t="s">
        <v>1334</v>
      </c>
    </row>
    <row r="6977" customFormat="false" ht="15" hidden="false" customHeight="false" outlineLevel="1" collapsed="false">
      <c r="A6977" s="7" t="s">
        <v>645</v>
      </c>
      <c r="B6977" s="8" t="s">
        <v>11</v>
      </c>
      <c r="C6977" s="61" t="n">
        <f aca="false">C6963*Pressupostos!$C$145*(1+Pressupostos!$C$127)^0*(1+Pressupostos!$C$146)</f>
        <v>34500</v>
      </c>
      <c r="D6977" s="61" t="n">
        <f aca="false">D6963*Pressupostos!$C$145*(1+Pressupostos!$C$127)^1*(1+Pressupostos!$C$146)</f>
        <v>35535</v>
      </c>
      <c r="E6977" s="61" t="n">
        <f aca="false">E6963*Pressupostos!$C$145*(1+Pressupostos!$C$127)^2*(1+Pressupostos!$C$146)</f>
        <v>36601.05</v>
      </c>
      <c r="F6977" s="61" t="n">
        <f aca="false">F6963*Pressupostos!$C$145*(1+Pressupostos!$C$127)^3*(1+Pressupostos!$C$146)</f>
        <v>75398.163</v>
      </c>
      <c r="G6977" s="61" t="n">
        <f aca="false">G6963*Pressupostos!$C$145*(1+Pressupostos!$C$127)^4*(1+Pressupostos!$C$146)</f>
        <v>116490.161835</v>
      </c>
      <c r="H6977" s="2" t="s">
        <v>1335</v>
      </c>
    </row>
    <row r="6978" customFormat="false" ht="15" hidden="false" customHeight="false" outlineLevel="1" collapsed="false">
      <c r="A6978" s="7" t="s">
        <v>646</v>
      </c>
      <c r="B6978" s="8" t="s">
        <v>11</v>
      </c>
      <c r="C6978" s="61" t="n">
        <f aca="false">C6964*Pressupostos!$C$147*(1+Pressupostos!$C$127)^0*(1+Pressupostos!$C$148)</f>
        <v>0</v>
      </c>
      <c r="D6978" s="61" t="n">
        <f aca="false">D6964*Pressupostos!$C$147*(1+Pressupostos!$C$127)^1*(1+Pressupostos!$C$148)</f>
        <v>0</v>
      </c>
      <c r="E6978" s="61" t="n">
        <f aca="false">E6964*Pressupostos!$C$147*(1+Pressupostos!$C$127)^2*(1+Pressupostos!$C$148)</f>
        <v>0</v>
      </c>
      <c r="F6978" s="61" t="n">
        <f aca="false">F6964*Pressupostos!$C$147*(1+Pressupostos!$C$127)^3*(1+Pressupostos!$C$148)</f>
        <v>0</v>
      </c>
      <c r="G6978" s="61" t="n">
        <f aca="false">G6964*Pressupostos!$C$147*(1+Pressupostos!$C$127)^4*(1+Pressupostos!$C$148)</f>
        <v>0</v>
      </c>
      <c r="H6978" s="2" t="s">
        <v>1336</v>
      </c>
    </row>
    <row r="6979" customFormat="false" ht="15" hidden="false" customHeight="false" outlineLevel="1" collapsed="false">
      <c r="A6979" s="7" t="s">
        <v>647</v>
      </c>
      <c r="B6979" s="8" t="s">
        <v>11</v>
      </c>
      <c r="C6979" s="61" t="n">
        <f aca="false">C6965*Pressupostos!$C$149*(1+Pressupostos!$C$127)^0*(1+Pressupostos!$C$150)</f>
        <v>0</v>
      </c>
      <c r="D6979" s="61" t="n">
        <f aca="false">D6965*Pressupostos!$C$149*(1+Pressupostos!$C$127)^1*(1+Pressupostos!$C$150)</f>
        <v>0</v>
      </c>
      <c r="E6979" s="61" t="n">
        <f aca="false">E6965*Pressupostos!$C$149*(1+Pressupostos!$C$127)^2*(1+Pressupostos!$C$150)</f>
        <v>0</v>
      </c>
      <c r="F6979" s="61" t="n">
        <f aca="false">F6965*Pressupostos!$C$149*(1+Pressupostos!$C$127)^3*(1+Pressupostos!$C$150)</f>
        <v>0</v>
      </c>
      <c r="G6979" s="61" t="n">
        <f aca="false">G6965*Pressupostos!$C$149*(1+Pressupostos!$C$127)^4*(1+Pressupostos!$C$150)</f>
        <v>0</v>
      </c>
      <c r="H6979" s="2" t="s">
        <v>1337</v>
      </c>
    </row>
    <row r="6980" customFormat="false" ht="15" hidden="false" customHeight="false" outlineLevel="1" collapsed="false">
      <c r="A6980" s="7" t="s">
        <v>648</v>
      </c>
      <c r="B6980" s="8" t="s">
        <v>11</v>
      </c>
      <c r="C6980" s="61" t="n">
        <f aca="false">C6966*Pressupostos!$C$151*(1+Pressupostos!$C$127)^0*(1+Pressupostos!$C$152)</f>
        <v>0</v>
      </c>
      <c r="D6980" s="61" t="n">
        <f aca="false">D6966*Pressupostos!$C$151*(1+Pressupostos!$C$127)^1*(1+Pressupostos!$C$152)</f>
        <v>0</v>
      </c>
      <c r="E6980" s="61" t="n">
        <f aca="false">E6966*Pressupostos!$C$151*(1+Pressupostos!$C$127)^2*(1+Pressupostos!$C$152)</f>
        <v>0</v>
      </c>
      <c r="F6980" s="61" t="n">
        <f aca="false">F6966*Pressupostos!$C$151*(1+Pressupostos!$C$127)^3*(1+Pressupostos!$C$152)</f>
        <v>26225.448</v>
      </c>
      <c r="G6980" s="61" t="n">
        <f aca="false">G6966*Pressupostos!$C$151*(1+Pressupostos!$C$127)^4*(1+Pressupostos!$C$152)</f>
        <v>27012.21144</v>
      </c>
      <c r="H6980" s="2" t="s">
        <v>1338</v>
      </c>
    </row>
    <row r="6981" customFormat="false" ht="15" hidden="false" customHeight="false" outlineLevel="1" collapsed="false">
      <c r="A6981" s="7" t="s">
        <v>649</v>
      </c>
      <c r="B6981" s="8" t="s">
        <v>11</v>
      </c>
      <c r="C6981" s="61" t="n">
        <f aca="false">C6967*Pressupostos!$C$153*(1+Pressupostos!$C$127)^0*(1+Pressupostos!$C$154)</f>
        <v>0</v>
      </c>
      <c r="D6981" s="61" t="n">
        <f aca="false">D6967*Pressupostos!$C$153*(1+Pressupostos!$C$127)^1*(1+Pressupostos!$C$154)</f>
        <v>0</v>
      </c>
      <c r="E6981" s="61" t="n">
        <f aca="false">E6967*Pressupostos!$C$153*(1+Pressupostos!$C$127)^2*(1+Pressupostos!$C$154)</f>
        <v>54901.575</v>
      </c>
      <c r="F6981" s="61" t="n">
        <f aca="false">F6967*Pressupostos!$C$153*(1+Pressupostos!$C$127)^3*(1+Pressupostos!$C$154)</f>
        <v>56548.62225</v>
      </c>
      <c r="G6981" s="61" t="n">
        <f aca="false">G6967*Pressupostos!$C$153*(1+Pressupostos!$C$127)^4*(1+Pressupostos!$C$154)</f>
        <v>58245.0809175</v>
      </c>
      <c r="H6981" s="2" t="s">
        <v>1339</v>
      </c>
    </row>
    <row r="6982" customFormat="false" ht="15" hidden="false" customHeight="false" outlineLevel="1" collapsed="false">
      <c r="A6982" s="7" t="s">
        <v>652</v>
      </c>
      <c r="B6982" s="8" t="s">
        <v>11</v>
      </c>
      <c r="C6982" s="61" t="n">
        <f aca="false">C6970+C6971+C6972+C6973+C6974+C6975+C6976+C6977+C6978+C6979+C6980+C6981</f>
        <v>232662.5</v>
      </c>
      <c r="D6982" s="61" t="n">
        <f aca="false">D6970+D6971+D6972+D6973+D6974+D6975+D6976+D6977+D6978+D6979+D6980+D6981</f>
        <v>367710</v>
      </c>
      <c r="E6982" s="61" t="n">
        <f aca="false">E6970+E6971+E6972+E6973+E6974+E6975+E6976+E6977+E6978+E6979+E6980+E6981</f>
        <v>433642.875</v>
      </c>
      <c r="F6982" s="61" t="n">
        <f aca="false">F6970+F6971+F6972+F6973+F6974+F6975+F6976+F6977+F6978+F6979+F6980+F6981</f>
        <v>535163.04825</v>
      </c>
      <c r="G6982" s="61" t="n">
        <f aca="false">G6970+G6971+G6972+G6973+G6974+G6975+G6976+G6977+G6978+G6979+G6980+G6981</f>
        <v>590047.9936425</v>
      </c>
      <c r="H6982" s="2" t="s">
        <v>1340</v>
      </c>
    </row>
    <row r="6983" customFormat="false" ht="15" hidden="false" customHeight="false" outlineLevel="1" collapsed="false">
      <c r="A6983" s="7" t="s">
        <v>653</v>
      </c>
      <c r="B6983" s="8" t="s">
        <v>11</v>
      </c>
      <c r="C6983" s="61" t="n">
        <f aca="false">C6982*(Pressupostos!$C$124+Pressupostos!$C$125)</f>
        <v>59910.59375</v>
      </c>
      <c r="D6983" s="61" t="n">
        <f aca="false">D6982*(Pressupostos!$C$124+Pressupostos!$C$125)</f>
        <v>94685.325</v>
      </c>
      <c r="E6983" s="61" t="n">
        <f aca="false">E6982*(Pressupostos!$C$124+Pressupostos!$C$125)</f>
        <v>111663.0403125</v>
      </c>
      <c r="F6983" s="61" t="n">
        <f aca="false">F6982*(Pressupostos!$C$124+Pressupostos!$C$125)</f>
        <v>137804.484924375</v>
      </c>
      <c r="G6983" s="61" t="n">
        <f aca="false">G6982*(Pressupostos!$C$124+Pressupostos!$C$125)</f>
        <v>151937.358362944</v>
      </c>
      <c r="H6983" s="2" t="s">
        <v>1341</v>
      </c>
    </row>
    <row r="6984" customFormat="false" ht="15" hidden="false" customHeight="false" outlineLevel="1" collapsed="false">
      <c r="A6984" s="7" t="s">
        <v>654</v>
      </c>
      <c r="B6984" s="8" t="s">
        <v>11</v>
      </c>
      <c r="C6984" s="61" t="n">
        <f aca="false">C6968*Pressupostos!$C$126*(1+Pressupostos!$C$127)^0</f>
        <v>11000</v>
      </c>
      <c r="D6984" s="61" t="n">
        <f aca="false">D6968*Pressupostos!$C$126*(1+Pressupostos!$C$127)^1</f>
        <v>15450</v>
      </c>
      <c r="E6984" s="61" t="n">
        <f aca="false">E6968*Pressupostos!$C$126*(1+Pressupostos!$C$127)^2</f>
        <v>18035.3</v>
      </c>
      <c r="F6984" s="61" t="n">
        <f aca="false">F6968*Pressupostos!$C$126*(1+Pressupostos!$C$127)^3</f>
        <v>24039.994</v>
      </c>
      <c r="G6984" s="61" t="n">
        <f aca="false">G6968*Pressupostos!$C$126*(1+Pressupostos!$C$127)^4</f>
        <v>27012.21144</v>
      </c>
      <c r="H6984" s="2" t="s">
        <v>1342</v>
      </c>
    </row>
    <row r="6985" customFormat="false" ht="15" hidden="false" customHeight="false" outlineLevel="1" collapsed="false">
      <c r="A6985" s="56" t="s">
        <v>655</v>
      </c>
      <c r="B6985" s="57" t="s">
        <v>11</v>
      </c>
      <c r="C6985" s="62" t="n">
        <f aca="false">C6982+C6983+C6984</f>
        <v>303573.09375</v>
      </c>
      <c r="D6985" s="62" t="n">
        <f aca="false">D6982+D6983+D6984</f>
        <v>477845.325</v>
      </c>
      <c r="E6985" s="62" t="n">
        <f aca="false">E6982+E6983+E6984</f>
        <v>563341.2153125</v>
      </c>
      <c r="F6985" s="62" t="n">
        <f aca="false">F6982+F6983+F6984</f>
        <v>697007.527174375</v>
      </c>
      <c r="G6985" s="62" t="n">
        <f aca="false">G6982+G6983+G6984</f>
        <v>768997.563445444</v>
      </c>
      <c r="H6985" s="2" t="s">
        <v>1343</v>
      </c>
    </row>
    <row r="6986" customFormat="false" ht="15" hidden="false" customHeight="false" outlineLevel="1" collapsed="false">
      <c r="A6986" s="2" t="s">
        <v>656</v>
      </c>
      <c r="B6986" s="8" t="s">
        <v>11</v>
      </c>
      <c r="C6986" s="61" t="n">
        <f aca="false">IF(C6968&gt;0,C6985/C6968,0)</f>
        <v>55195.1079545455</v>
      </c>
      <c r="D6986" s="61" t="n">
        <f aca="false">IF(D6968&gt;0,D6985/D6968,0)</f>
        <v>63712.71</v>
      </c>
      <c r="E6986" s="61" t="n">
        <f aca="false">IF(E6968&gt;0,E6985/E6968,0)</f>
        <v>66275.4370955882</v>
      </c>
      <c r="F6986" s="61" t="n">
        <f aca="false">IF(F6968&gt;0,F6985/F6968,0)</f>
        <v>63364.3206522159</v>
      </c>
      <c r="G6986" s="61" t="n">
        <f aca="false">IF(G6968&gt;0,G6985/G6968,0)</f>
        <v>64083.1302871203</v>
      </c>
      <c r="H6986" s="2" t="s">
        <v>1344</v>
      </c>
    </row>
    <row r="6987" customFormat="false" ht="15" hidden="false" customHeight="false" outlineLevel="0" collapsed="false">
      <c r="A6987" s="3" t="s">
        <v>1345</v>
      </c>
      <c r="B6987" s="4"/>
      <c r="C6987" s="4"/>
      <c r="D6987" s="4"/>
      <c r="E6987" s="4"/>
      <c r="F6987" s="4"/>
      <c r="G6987" s="4"/>
      <c r="H6987" s="4"/>
    </row>
    <row r="6988" customFormat="false" ht="15" hidden="false" customHeight="false" outlineLevel="1" collapsed="false">
      <c r="A6988" s="7" t="s">
        <v>449</v>
      </c>
      <c r="B6988" s="8" t="s">
        <v>11</v>
      </c>
      <c r="C6988" s="61" t="n">
        <f aca="false">Pressupostos!$C$407*(1+Pressupostos!$C$156)*(1+Pressupostos!$C$157)^0</f>
        <v>94500</v>
      </c>
      <c r="D6988" s="61" t="n">
        <f aca="false">Pressupostos!$D$407*(1+Pressupostos!$C$156)*(1+Pressupostos!$C$157)^1</f>
        <v>53550</v>
      </c>
      <c r="E6988" s="61" t="n">
        <f aca="false">Pressupostos!$E$407*(1+Pressupostos!$C$156)*(1+Pressupostos!$C$157)^2</f>
        <v>49158.9</v>
      </c>
      <c r="F6988" s="61" t="n">
        <f aca="false">Pressupostos!$F$407*(1+Pressupostos!$C$156)*(1+Pressupostos!$C$157)^3</f>
        <v>50142.078</v>
      </c>
      <c r="G6988" s="61" t="n">
        <f aca="false">Pressupostos!$G$407*(1+Pressupostos!$C$156)*(1+Pressupostos!$C$157)^4</f>
        <v>51144.91956</v>
      </c>
      <c r="H6988" s="2" t="s">
        <v>1346</v>
      </c>
    </row>
    <row r="6989" customFormat="false" ht="15" hidden="false" customHeight="false" outlineLevel="1" collapsed="false">
      <c r="A6989" s="7" t="s">
        <v>451</v>
      </c>
      <c r="B6989" s="8" t="s">
        <v>11</v>
      </c>
      <c r="C6989" s="61" t="n">
        <f aca="false">Pressupostos!$C$413*(1+Pressupostos!$C$156)*(1+Pressupostos!$C$157)^0</f>
        <v>10500</v>
      </c>
      <c r="D6989" s="61" t="n">
        <f aca="false">Pressupostos!$D$413*(1+Pressupostos!$C$156)*(1+Pressupostos!$C$157)^1</f>
        <v>10710</v>
      </c>
      <c r="E6989" s="61" t="n">
        <f aca="false">Pressupostos!$E$413*(1+Pressupostos!$C$156)*(1+Pressupostos!$C$157)^2</f>
        <v>10924.2</v>
      </c>
      <c r="F6989" s="61" t="n">
        <f aca="false">Pressupostos!$F$413*(1+Pressupostos!$C$156)*(1+Pressupostos!$C$157)^3</f>
        <v>11142.684</v>
      </c>
      <c r="G6989" s="61" t="n">
        <f aca="false">Pressupostos!$G$413*(1+Pressupostos!$C$156)*(1+Pressupostos!$C$157)^4</f>
        <v>11365.53768</v>
      </c>
      <c r="H6989" s="2" t="s">
        <v>1347</v>
      </c>
    </row>
    <row r="6990" customFormat="false" ht="15" hidden="false" customHeight="false" outlineLevel="1" collapsed="false">
      <c r="A6990" s="7" t="s">
        <v>452</v>
      </c>
      <c r="B6990" s="8" t="s">
        <v>11</v>
      </c>
      <c r="C6990" s="61" t="n">
        <f aca="false">Pressupostos!$C$419*(1+Pressupostos!$C$156)*(1+Pressupostos!$C$157)^0</f>
        <v>12600</v>
      </c>
      <c r="D6990" s="61" t="n">
        <f aca="false">Pressupostos!$D$419*(1+Pressupostos!$C$156)*(1+Pressupostos!$C$157)^1</f>
        <v>12852</v>
      </c>
      <c r="E6990" s="61" t="n">
        <f aca="false">Pressupostos!$E$419*(1+Pressupostos!$C$156)*(1+Pressupostos!$C$157)^2</f>
        <v>13109.04</v>
      </c>
      <c r="F6990" s="61" t="n">
        <f aca="false">Pressupostos!$F$419*(1+Pressupostos!$C$156)*(1+Pressupostos!$C$157)^3</f>
        <v>13371.2208</v>
      </c>
      <c r="G6990" s="61" t="n">
        <f aca="false">Pressupostos!$G$419*(1+Pressupostos!$C$156)*(1+Pressupostos!$C$157)^4</f>
        <v>13638.645216</v>
      </c>
      <c r="H6990" s="2" t="s">
        <v>1348</v>
      </c>
    </row>
    <row r="6991" customFormat="false" ht="15" hidden="false" customHeight="false" outlineLevel="1" collapsed="false">
      <c r="A6991" s="7" t="s">
        <v>454</v>
      </c>
      <c r="B6991" s="8" t="s">
        <v>11</v>
      </c>
      <c r="C6991" s="61" t="n">
        <f aca="false">Pressupostos!$C$425*(1+Pressupostos!$C$156)*(1+Pressupostos!$C$157)^0</f>
        <v>31500</v>
      </c>
      <c r="D6991" s="61" t="n">
        <f aca="false">Pressupostos!$D$425*(1+Pressupostos!$C$156)*(1+Pressupostos!$C$157)^1</f>
        <v>37485</v>
      </c>
      <c r="E6991" s="61" t="n">
        <f aca="false">Pressupostos!$E$425*(1+Pressupostos!$C$156)*(1+Pressupostos!$C$157)^2</f>
        <v>49158.9</v>
      </c>
      <c r="F6991" s="61" t="n">
        <f aca="false">Pressupostos!$F$425*(1+Pressupostos!$C$156)*(1+Pressupostos!$C$157)^3</f>
        <v>55713.42</v>
      </c>
      <c r="G6991" s="61" t="n">
        <f aca="false">Pressupostos!$G$425*(1+Pressupostos!$C$156)*(1+Pressupostos!$C$157)^4</f>
        <v>62510.45724</v>
      </c>
      <c r="H6991" s="2" t="s">
        <v>1349</v>
      </c>
    </row>
    <row r="6992" customFormat="false" ht="15" hidden="false" customHeight="false" outlineLevel="1" collapsed="false">
      <c r="A6992" s="7" t="s">
        <v>456</v>
      </c>
      <c r="B6992" s="8" t="s">
        <v>11</v>
      </c>
      <c r="C6992" s="61" t="n">
        <f aca="false">Pressupostos!$C$431*(1+Pressupostos!$C$156)*(1+Pressupostos!$C$157)^0</f>
        <v>15750</v>
      </c>
      <c r="D6992" s="61" t="n">
        <f aca="false">Pressupostos!$D$431*(1+Pressupostos!$C$156)*(1+Pressupostos!$C$157)^1</f>
        <v>16065</v>
      </c>
      <c r="E6992" s="61" t="n">
        <f aca="false">Pressupostos!$E$431*(1+Pressupostos!$C$156)*(1+Pressupostos!$C$157)^2</f>
        <v>38234.7</v>
      </c>
      <c r="F6992" s="61" t="n">
        <f aca="false">Pressupostos!$F$431*(1+Pressupostos!$C$156)*(1+Pressupostos!$C$157)^3</f>
        <v>22285.368</v>
      </c>
      <c r="G6992" s="61" t="n">
        <f aca="false">Pressupostos!$G$431*(1+Pressupostos!$C$156)*(1+Pressupostos!$C$157)^4</f>
        <v>22731.07536</v>
      </c>
      <c r="H6992" s="2" t="s">
        <v>1350</v>
      </c>
    </row>
    <row r="6993" customFormat="false" ht="15" hidden="false" customHeight="false" outlineLevel="1" collapsed="false">
      <c r="A6993" s="7" t="s">
        <v>458</v>
      </c>
      <c r="B6993" s="8" t="s">
        <v>11</v>
      </c>
      <c r="C6993" s="61" t="n">
        <f aca="false">Pressupostos!$C$437*(1+Pressupostos!$C$156)*(1+Pressupostos!$C$157)^0</f>
        <v>10500</v>
      </c>
      <c r="D6993" s="61" t="n">
        <f aca="false">Pressupostos!$D$437*(1+Pressupostos!$C$156)*(1+Pressupostos!$C$157)^1</f>
        <v>12852</v>
      </c>
      <c r="E6993" s="61" t="n">
        <f aca="false">Pressupostos!$E$437*(1+Pressupostos!$C$156)*(1+Pressupostos!$C$157)^2</f>
        <v>16386.3</v>
      </c>
      <c r="F6993" s="61" t="n">
        <f aca="false">Pressupostos!$F$437*(1+Pressupostos!$C$156)*(1+Pressupostos!$C$157)^3</f>
        <v>20056.8312</v>
      </c>
      <c r="G6993" s="61" t="n">
        <f aca="false">Pressupostos!$G$437*(1+Pressupostos!$C$156)*(1+Pressupostos!$C$157)^4</f>
        <v>22731.07536</v>
      </c>
      <c r="H6993" s="2" t="s">
        <v>1351</v>
      </c>
    </row>
    <row r="6994" customFormat="false" ht="15" hidden="false" customHeight="false" outlineLevel="1" collapsed="false">
      <c r="A6994" s="7" t="s">
        <v>459</v>
      </c>
      <c r="B6994" s="8" t="s">
        <v>11</v>
      </c>
      <c r="C6994" s="61" t="n">
        <f aca="false">Pressupostos!$C$443*(1+Pressupostos!$C$156)*(1+Pressupostos!$C$157)^0</f>
        <v>31500</v>
      </c>
      <c r="D6994" s="61" t="n">
        <f aca="false">Pressupostos!$D$443*(1+Pressupostos!$C$156)*(1+Pressupostos!$C$157)^1</f>
        <v>37485</v>
      </c>
      <c r="E6994" s="61" t="n">
        <f aca="false">Pressupostos!$E$443*(1+Pressupostos!$C$156)*(1+Pressupostos!$C$157)^2</f>
        <v>49158.9</v>
      </c>
      <c r="F6994" s="61" t="n">
        <f aca="false">Pressupostos!$F$443*(1+Pressupostos!$C$156)*(1+Pressupostos!$C$157)^3</f>
        <v>55713.42</v>
      </c>
      <c r="G6994" s="61" t="n">
        <f aca="false">Pressupostos!$G$443*(1+Pressupostos!$C$156)*(1+Pressupostos!$C$157)^4</f>
        <v>62510.45724</v>
      </c>
      <c r="H6994" s="2" t="s">
        <v>1352</v>
      </c>
    </row>
    <row r="6995" customFormat="false" ht="15" hidden="false" customHeight="false" outlineLevel="1" collapsed="false">
      <c r="A6995" s="7" t="s">
        <v>461</v>
      </c>
      <c r="B6995" s="8" t="s">
        <v>11</v>
      </c>
      <c r="C6995" s="61" t="n">
        <f aca="false">Pressupostos!$C$449*(1+Pressupostos!$C$156)*(1+Pressupostos!$C$157)^0</f>
        <v>6300</v>
      </c>
      <c r="D6995" s="61" t="n">
        <f aca="false">Pressupostos!$D$449*(1+Pressupostos!$C$156)*(1+Pressupostos!$C$157)^1</f>
        <v>8568</v>
      </c>
      <c r="E6995" s="61" t="n">
        <f aca="false">Pressupostos!$E$449*(1+Pressupostos!$C$156)*(1+Pressupostos!$C$157)^2</f>
        <v>13109.04</v>
      </c>
      <c r="F6995" s="61" t="n">
        <f aca="false">Pressupostos!$F$449*(1+Pressupostos!$C$156)*(1+Pressupostos!$C$157)^3</f>
        <v>16714.026</v>
      </c>
      <c r="G6995" s="61" t="n">
        <f aca="false">Pressupostos!$G$449*(1+Pressupostos!$C$156)*(1+Pressupostos!$C$157)^4</f>
        <v>20457.967824</v>
      </c>
      <c r="H6995" s="2" t="s">
        <v>1353</v>
      </c>
    </row>
    <row r="6996" customFormat="false" ht="15" hidden="false" customHeight="false" outlineLevel="1" collapsed="false">
      <c r="A6996" s="7" t="s">
        <v>463</v>
      </c>
      <c r="B6996" s="8" t="s">
        <v>11</v>
      </c>
      <c r="C6996" s="61" t="n">
        <f aca="false">Pressupostos!$C$455*(1+Pressupostos!$C$156)*(1+Pressupostos!$C$157)^0</f>
        <v>15750</v>
      </c>
      <c r="D6996" s="61" t="n">
        <f aca="false">Pressupostos!$D$455*(1+Pressupostos!$C$156)*(1+Pressupostos!$C$157)^1</f>
        <v>21420</v>
      </c>
      <c r="E6996" s="61" t="n">
        <f aca="false">Pressupostos!$E$455*(1+Pressupostos!$C$156)*(1+Pressupostos!$C$157)^2</f>
        <v>30587.76</v>
      </c>
      <c r="F6996" s="61" t="n">
        <f aca="false">Pressupostos!$F$455*(1+Pressupostos!$C$156)*(1+Pressupostos!$C$157)^3</f>
        <v>35656.5888</v>
      </c>
      <c r="G6996" s="61" t="n">
        <f aca="false">Pressupostos!$G$455*(1+Pressupostos!$C$156)*(1+Pressupostos!$C$157)^4</f>
        <v>40915.935648</v>
      </c>
      <c r="H6996" s="2" t="s">
        <v>1354</v>
      </c>
    </row>
    <row r="6997" customFormat="false" ht="15" hidden="false" customHeight="false" outlineLevel="1" collapsed="false">
      <c r="A6997" s="7" t="s">
        <v>464</v>
      </c>
      <c r="B6997" s="8" t="s">
        <v>11</v>
      </c>
      <c r="C6997" s="61" t="n">
        <f aca="false">Pressupostos!$C$461*(1+Pressupostos!$C$156)*(1+Pressupostos!$C$157)^0</f>
        <v>4200</v>
      </c>
      <c r="D6997" s="61" t="n">
        <f aca="false">Pressupostos!$D$461*(1+Pressupostos!$C$156)*(1+Pressupostos!$C$157)^1</f>
        <v>6426</v>
      </c>
      <c r="E6997" s="61" t="n">
        <f aca="false">Pressupostos!$E$461*(1+Pressupostos!$C$156)*(1+Pressupostos!$C$157)^2</f>
        <v>8739.36</v>
      </c>
      <c r="F6997" s="61" t="n">
        <f aca="false">Pressupostos!$F$461*(1+Pressupostos!$C$156)*(1+Pressupostos!$C$157)^3</f>
        <v>8914.1472</v>
      </c>
      <c r="G6997" s="61" t="n">
        <f aca="false">Pressupostos!$G$461*(1+Pressupostos!$C$156)*(1+Pressupostos!$C$157)^4</f>
        <v>9092.430144</v>
      </c>
      <c r="H6997" s="2" t="s">
        <v>1355</v>
      </c>
    </row>
    <row r="6998" customFormat="false" ht="15" hidden="false" customHeight="false" outlineLevel="1" collapsed="false">
      <c r="A6998" s="7" t="s">
        <v>701</v>
      </c>
      <c r="B6998" s="8" t="s">
        <v>11</v>
      </c>
      <c r="C6998" s="61" t="n">
        <f aca="false">C6988+C6989+C6990+C6991+C6992+C6993+C6994+C6995+C6996+C6997</f>
        <v>233100</v>
      </c>
      <c r="D6998" s="61" t="n">
        <f aca="false">D6988+D6989+D6990+D6991+D6992+D6993+D6994+D6995+D6996+D6997</f>
        <v>217413</v>
      </c>
      <c r="E6998" s="61" t="n">
        <f aca="false">E6988+E6989+E6990+E6991+E6992+E6993+E6994+E6995+E6996+E6997</f>
        <v>278567.1</v>
      </c>
      <c r="F6998" s="61" t="n">
        <f aca="false">F6988+F6989+F6990+F6991+F6992+F6993+F6994+F6995+F6996+F6997</f>
        <v>289709.784</v>
      </c>
      <c r="G6998" s="61" t="n">
        <f aca="false">G6988+G6989+G6990+G6991+G6992+G6993+G6994+G6995+G6996+G6997</f>
        <v>317098.501272</v>
      </c>
      <c r="H6998" s="2" t="s">
        <v>1356</v>
      </c>
    </row>
    <row r="6999" customFormat="false" ht="15" hidden="false" customHeight="false" outlineLevel="1" collapsed="false">
      <c r="A6999" s="7" t="s">
        <v>702</v>
      </c>
      <c r="B6999" s="8" t="s">
        <v>11</v>
      </c>
      <c r="C6999" s="61" t="n">
        <f aca="false">Pressupostos!$C$114+Pressupostos!$C$115+Pressupostos!$C$116*Pressupostos!$C$296+Pressupostos!$C$466+Pressupostos!$C$308</f>
        <v>65000</v>
      </c>
      <c r="D6999" s="61" t="n">
        <f aca="false">Pressupostos!$C$115+Pressupostos!$C$116*Pressupostos!$D$296+Pressupostos!$D$466+Pressupostos!$D$308</f>
        <v>75000</v>
      </c>
      <c r="E6999" s="61" t="n">
        <f aca="false">Pressupostos!$C$115+Pressupostos!$C$116*Pressupostos!$E$296+Pressupostos!$E$466+Pressupostos!$E$308</f>
        <v>80000</v>
      </c>
      <c r="F6999" s="61" t="n">
        <f aca="false">Pressupostos!$C$115+Pressupostos!$C$116*Pressupostos!$F$296+Pressupostos!$F$466+Pressupostos!$F$308</f>
        <v>85000</v>
      </c>
      <c r="G6999" s="61" t="n">
        <f aca="false">Pressupostos!$C$115+Pressupostos!$C$116*Pressupostos!$G$296+Pressupostos!$G$466+Pressupostos!$G$308</f>
        <v>90000</v>
      </c>
      <c r="H6999" s="2" t="s">
        <v>1357</v>
      </c>
    </row>
    <row r="7000" customFormat="false" ht="15" hidden="false" customHeight="false" outlineLevel="1" collapsed="false">
      <c r="A7000" s="7" t="s">
        <v>703</v>
      </c>
      <c r="B7000" s="8" t="s">
        <v>11</v>
      </c>
      <c r="C7000" s="61" t="n">
        <f aca="false">IF(C6812&lt;Pressupostos!$C$120,0,MAX(Pressupostos!$C$302,Pressupostos!$C$118*(C6906+C6907)+Pressupostos!$C$119*C6908))</f>
        <v>0</v>
      </c>
      <c r="D7000" s="61" t="n">
        <f aca="false">IF(D6812&lt;Pressupostos!$C$120,0,MAX(Pressupostos!$D$302,Pressupostos!$C$118*(D6906+D6907)+Pressupostos!$C$119*D6908))</f>
        <v>7125.6</v>
      </c>
      <c r="E7000" s="61" t="n">
        <f aca="false">IF(E6812&lt;Pressupostos!$C$120,0,MAX(Pressupostos!$E$302,Pressupostos!$C$118*(E6906+E6907)+Pressupostos!$C$119*E6908))</f>
        <v>14533.8</v>
      </c>
      <c r="F7000" s="61" t="n">
        <f aca="false">IF(F6812&lt;Pressupostos!$C$120,0,MAX(Pressupostos!$F$302,Pressupostos!$C$118*(F6906+F6907)+Pressupostos!$C$119*F6908))</f>
        <v>24157</v>
      </c>
      <c r="G7000" s="61" t="n">
        <f aca="false">IF(G6812&lt;Pressupostos!$C$120,0,MAX(Pressupostos!$G$302,Pressupostos!$C$118*(G6906+G6907)+Pressupostos!$C$119*G6908))</f>
        <v>36290</v>
      </c>
      <c r="H7000" s="2" t="s">
        <v>1358</v>
      </c>
    </row>
    <row r="7001" customFormat="false" ht="15" hidden="false" customHeight="false" outlineLevel="1" collapsed="false">
      <c r="A7001" s="56" t="s">
        <v>704</v>
      </c>
      <c r="B7001" s="57" t="s">
        <v>11</v>
      </c>
      <c r="C7001" s="62" t="n">
        <f aca="false">C6998+C6999+C7000</f>
        <v>298100</v>
      </c>
      <c r="D7001" s="62" t="n">
        <f aca="false">D6998+D6999+D7000</f>
        <v>299538.6</v>
      </c>
      <c r="E7001" s="62" t="n">
        <f aca="false">E6998+E6999+E7000</f>
        <v>373100.9</v>
      </c>
      <c r="F7001" s="62" t="n">
        <f aca="false">F6998+F6999+F7000</f>
        <v>398866.784</v>
      </c>
      <c r="G7001" s="62" t="n">
        <f aca="false">G6998+G6999+G7000</f>
        <v>443388.501272</v>
      </c>
      <c r="H7001" s="2" t="s">
        <v>1359</v>
      </c>
    </row>
    <row r="7002" customFormat="false" ht="15" hidden="false" customHeight="false" outlineLevel="0" collapsed="false">
      <c r="A7002" s="3" t="s">
        <v>1360</v>
      </c>
      <c r="B7002" s="4"/>
      <c r="C7002" s="4"/>
      <c r="D7002" s="4"/>
      <c r="E7002" s="4"/>
      <c r="F7002" s="4"/>
      <c r="G7002" s="4"/>
      <c r="H7002" s="4"/>
    </row>
    <row r="7003" customFormat="false" ht="15" hidden="false" customHeight="false" outlineLevel="1" collapsed="false">
      <c r="A7003" s="7" t="s">
        <v>706</v>
      </c>
      <c r="B7003" s="8" t="s">
        <v>11</v>
      </c>
      <c r="C7003" s="61" t="n">
        <f aca="false">Pressupostos!$C$165*Pressupostos!$C$315</f>
        <v>18000</v>
      </c>
      <c r="D7003" s="61" t="n">
        <f aca="false">Pressupostos!$C$165*Pressupostos!$D$315</f>
        <v>12000</v>
      </c>
      <c r="E7003" s="61" t="n">
        <f aca="false">Pressupostos!$C$165*Pressupostos!$E$315</f>
        <v>12000</v>
      </c>
      <c r="F7003" s="61" t="n">
        <f aca="false">Pressupostos!$C$165*Pressupostos!$F$315</f>
        <v>12000</v>
      </c>
      <c r="G7003" s="61" t="n">
        <f aca="false">Pressupostos!$C$165*Pressupostos!$G$315</f>
        <v>12000</v>
      </c>
      <c r="H7003" s="2" t="s">
        <v>1361</v>
      </c>
    </row>
    <row r="7004" customFormat="false" ht="15" hidden="false" customHeight="false" outlineLevel="1" collapsed="false">
      <c r="A7004" s="7" t="s">
        <v>707</v>
      </c>
      <c r="B7004" s="8" t="s">
        <v>11</v>
      </c>
      <c r="C7004" s="53" t="n">
        <f aca="false">Pressupostos!$C$321</f>
        <v>60000</v>
      </c>
      <c r="D7004" s="53" t="n">
        <f aca="false">Pressupostos!$D$321</f>
        <v>15000</v>
      </c>
      <c r="E7004" s="53" t="n">
        <f aca="false">Pressupostos!$E$321</f>
        <v>15000</v>
      </c>
      <c r="F7004" s="53" t="n">
        <f aca="false">Pressupostos!$F$321</f>
        <v>10000</v>
      </c>
      <c r="G7004" s="53" t="n">
        <f aca="false">Pressupostos!$G$321</f>
        <v>10000</v>
      </c>
      <c r="H7004" s="2" t="s">
        <v>1362</v>
      </c>
    </row>
    <row r="7005" customFormat="false" ht="15" hidden="false" customHeight="false" outlineLevel="1" collapsed="false">
      <c r="A7005" s="7" t="s">
        <v>708</v>
      </c>
      <c r="B7005" s="8" t="s">
        <v>11</v>
      </c>
      <c r="C7005" s="53" t="n">
        <f aca="false">Pressupostos!$C$327</f>
        <v>0</v>
      </c>
      <c r="D7005" s="53" t="n">
        <f aca="false">Pressupostos!$D$327</f>
        <v>15000</v>
      </c>
      <c r="E7005" s="53" t="n">
        <f aca="false">Pressupostos!$E$327</f>
        <v>15000</v>
      </c>
      <c r="F7005" s="53" t="n">
        <f aca="false">Pressupostos!$F$327</f>
        <v>10000</v>
      </c>
      <c r="G7005" s="53" t="n">
        <f aca="false">Pressupostos!$G$327</f>
        <v>10000</v>
      </c>
      <c r="H7005" s="2" t="s">
        <v>1363</v>
      </c>
    </row>
    <row r="7006" customFormat="false" ht="15" hidden="false" customHeight="false" outlineLevel="1" collapsed="false">
      <c r="A7006" s="7" t="s">
        <v>709</v>
      </c>
      <c r="B7006" s="8" t="s">
        <v>11</v>
      </c>
      <c r="C7006" s="61" t="n">
        <f aca="false">Pressupostos!$C$166*MAX(0,C6968)</f>
        <v>11000</v>
      </c>
      <c r="D7006" s="61" t="n">
        <f aca="false">Pressupostos!$C$166*MAX(0,D6968-C6968)</f>
        <v>4000</v>
      </c>
      <c r="E7006" s="61" t="n">
        <f aca="false">Pressupostos!$C$166*MAX(0,E6968-D6968)</f>
        <v>2000</v>
      </c>
      <c r="F7006" s="61" t="n">
        <f aca="false">Pressupostos!$C$166*MAX(0,F6968-E6968)</f>
        <v>5000</v>
      </c>
      <c r="G7006" s="61" t="n">
        <f aca="false">Pressupostos!$C$166*MAX(0,G6968-F6968)</f>
        <v>2000</v>
      </c>
      <c r="H7006" s="2" t="s">
        <v>1364</v>
      </c>
    </row>
    <row r="7007" customFormat="false" ht="15" hidden="false" customHeight="false" outlineLevel="1" collapsed="false">
      <c r="A7007" s="7" t="s">
        <v>424</v>
      </c>
      <c r="B7007" s="8" t="s">
        <v>11</v>
      </c>
      <c r="C7007" s="61" t="n">
        <f aca="false">C7003+C7004+C7005+C7006</f>
        <v>89000</v>
      </c>
      <c r="D7007" s="61" t="n">
        <f aca="false">D7003+D7004+D7005+D7006</f>
        <v>46000</v>
      </c>
      <c r="E7007" s="61" t="n">
        <f aca="false">E7003+E7004+E7005+E7006</f>
        <v>44000</v>
      </c>
      <c r="F7007" s="61" t="n">
        <f aca="false">F7003+F7004+F7005+F7006</f>
        <v>37000</v>
      </c>
      <c r="G7007" s="61" t="n">
        <f aca="false">G7003+G7004+G7005+G7006</f>
        <v>34000</v>
      </c>
      <c r="H7007" s="2" t="s">
        <v>1365</v>
      </c>
    </row>
    <row r="7008" customFormat="false" ht="15" hidden="false" customHeight="false" outlineLevel="1" collapsed="false">
      <c r="A7008" s="7" t="s">
        <v>710</v>
      </c>
      <c r="B7008" s="8" t="s">
        <v>11</v>
      </c>
      <c r="C7008" s="61" t="n">
        <f aca="false">(C7004*((0)&lt;Pressupostos!$C$167))/Pressupostos!$C$167</f>
        <v>20000</v>
      </c>
      <c r="D7008" s="61" t="n">
        <f aca="false">(C7004*((1)&lt;Pressupostos!$C$167)+D7004*((0)&lt;Pressupostos!$C$167))/Pressupostos!$C$167</f>
        <v>25000</v>
      </c>
      <c r="E7008" s="61" t="n">
        <f aca="false">(C7004*((2)&lt;Pressupostos!$C$167)+D7004*((1)&lt;Pressupostos!$C$167)+E7004*((0)&lt;Pressupostos!$C$167))/Pressupostos!$C$167</f>
        <v>30000</v>
      </c>
      <c r="F7008" s="61" t="n">
        <f aca="false">(C7004*((3)&lt;Pressupostos!$C$167)+D7004*((2)&lt;Pressupostos!$C$167)+E7004*((1)&lt;Pressupostos!$C$167)+F7004*((0)&lt;Pressupostos!$C$167))/Pressupostos!$C$167</f>
        <v>13333.3333333333</v>
      </c>
      <c r="G7008" s="61" t="n">
        <f aca="false">(C7004*((4)&lt;Pressupostos!$C$167)+D7004*((3)&lt;Pressupostos!$C$167)+E7004*((2)&lt;Pressupostos!$C$167)+F7004*((1)&lt;Pressupostos!$C$167)+G7004*((0)&lt;Pressupostos!$C$167))/Pressupostos!$C$167</f>
        <v>11666.6666666667</v>
      </c>
      <c r="H7008" s="2" t="s">
        <v>1366</v>
      </c>
    </row>
    <row r="7009" customFormat="false" ht="15" hidden="false" customHeight="false" outlineLevel="1" collapsed="false">
      <c r="A7009" s="7" t="s">
        <v>711</v>
      </c>
      <c r="B7009" s="8" t="s">
        <v>11</v>
      </c>
      <c r="C7009" s="61" t="n">
        <f aca="false">(C7005*((0)&lt;Pressupostos!$C$167))/Pressupostos!$C$167</f>
        <v>0</v>
      </c>
      <c r="D7009" s="61" t="n">
        <f aca="false">(C7005*((1)&lt;Pressupostos!$C$167)+D7005*((0)&lt;Pressupostos!$C$167))/Pressupostos!$C$167</f>
        <v>5000</v>
      </c>
      <c r="E7009" s="61" t="n">
        <f aca="false">(C7005*((2)&lt;Pressupostos!$C$167)+D7005*((1)&lt;Pressupostos!$C$167)+E7005*((0)&lt;Pressupostos!$C$167))/Pressupostos!$C$167</f>
        <v>10000</v>
      </c>
      <c r="F7009" s="61" t="n">
        <f aca="false">(C7005*((3)&lt;Pressupostos!$C$167)+D7005*((2)&lt;Pressupostos!$C$167)+E7005*((1)&lt;Pressupostos!$C$167)+F7005*((0)&lt;Pressupostos!$C$167))/Pressupostos!$C$167</f>
        <v>13333.3333333333</v>
      </c>
      <c r="G7009" s="61" t="n">
        <f aca="false">(C7005*((4)&lt;Pressupostos!$C$167)+D7005*((3)&lt;Pressupostos!$C$167)+E7005*((2)&lt;Pressupostos!$C$167)+F7005*((1)&lt;Pressupostos!$C$167)+G7005*((0)&lt;Pressupostos!$C$167))/Pressupostos!$C$167</f>
        <v>11666.6666666667</v>
      </c>
      <c r="H7009" s="2" t="s">
        <v>1367</v>
      </c>
    </row>
    <row r="7010" customFormat="false" ht="15" hidden="false" customHeight="false" outlineLevel="1" collapsed="false">
      <c r="A7010" s="7" t="s">
        <v>712</v>
      </c>
      <c r="B7010" s="8" t="s">
        <v>11</v>
      </c>
      <c r="C7010" s="61" t="n">
        <f aca="false">(C7003*((0)&lt;Pressupostos!$C$169))/Pressupostos!$C$169</f>
        <v>3600</v>
      </c>
      <c r="D7010" s="61" t="n">
        <f aca="false">(C7003*((1)&lt;Pressupostos!$C$169)+D7003*((0)&lt;Pressupostos!$C$169))/Pressupostos!$C$169</f>
        <v>6000</v>
      </c>
      <c r="E7010" s="61" t="n">
        <f aca="false">(C7003*((2)&lt;Pressupostos!$C$169)+D7003*((1)&lt;Pressupostos!$C$169)+E7003*((0)&lt;Pressupostos!$C$169))/Pressupostos!$C$169</f>
        <v>8400</v>
      </c>
      <c r="F7010" s="61" t="n">
        <f aca="false">(C7003*((3)&lt;Pressupostos!$C$169)+D7003*((2)&lt;Pressupostos!$C$169)+E7003*((1)&lt;Pressupostos!$C$169)+F7003*((0)&lt;Pressupostos!$C$169))/Pressupostos!$C$169</f>
        <v>10800</v>
      </c>
      <c r="G7010" s="61" t="n">
        <f aca="false">(C7003*((4)&lt;Pressupostos!$C$169)+D7003*((3)&lt;Pressupostos!$C$169)+E7003*((2)&lt;Pressupostos!$C$169)+F7003*((1)&lt;Pressupostos!$C$169)+G7003*((0)&lt;Pressupostos!$C$169))/Pressupostos!$C$169</f>
        <v>13200</v>
      </c>
      <c r="H7010" s="2" t="s">
        <v>1368</v>
      </c>
    </row>
    <row r="7011" customFormat="false" ht="15" hidden="false" customHeight="false" outlineLevel="1" collapsed="false">
      <c r="A7011" s="7" t="s">
        <v>713</v>
      </c>
      <c r="B7011" s="8" t="s">
        <v>11</v>
      </c>
      <c r="C7011" s="61" t="n">
        <f aca="false">(C7006*((0)&lt;Pressupostos!$C$168))/Pressupostos!$C$168</f>
        <v>2750</v>
      </c>
      <c r="D7011" s="61" t="n">
        <f aca="false">(C7006*((1)&lt;Pressupostos!$C$168)+D7006*((0)&lt;Pressupostos!$C$168))/Pressupostos!$C$168</f>
        <v>3750</v>
      </c>
      <c r="E7011" s="61" t="n">
        <f aca="false">(C7006*((2)&lt;Pressupostos!$C$168)+D7006*((1)&lt;Pressupostos!$C$168)+E7006*((0)&lt;Pressupostos!$C$168))/Pressupostos!$C$168</f>
        <v>4250</v>
      </c>
      <c r="F7011" s="61" t="n">
        <f aca="false">(C7006*((3)&lt;Pressupostos!$C$168)+D7006*((2)&lt;Pressupostos!$C$168)+E7006*((1)&lt;Pressupostos!$C$168)+F7006*((0)&lt;Pressupostos!$C$168))/Pressupostos!$C$168</f>
        <v>5500</v>
      </c>
      <c r="G7011" s="61" t="n">
        <f aca="false">(C7006*((4)&lt;Pressupostos!$C$168)+D7006*((3)&lt;Pressupostos!$C$168)+E7006*((2)&lt;Pressupostos!$C$168)+F7006*((1)&lt;Pressupostos!$C$168)+G7006*((0)&lt;Pressupostos!$C$168))/Pressupostos!$C$168</f>
        <v>3250</v>
      </c>
      <c r="H7011" s="2" t="s">
        <v>1369</v>
      </c>
    </row>
    <row r="7012" customFormat="false" ht="15" hidden="false" customHeight="false" outlineLevel="1" collapsed="false">
      <c r="A7012" s="7" t="s">
        <v>714</v>
      </c>
      <c r="B7012" s="8" t="s">
        <v>11</v>
      </c>
      <c r="C7012" s="61" t="n">
        <f aca="false">C7008+C7009+C7010+C7011</f>
        <v>26350</v>
      </c>
      <c r="D7012" s="61" t="n">
        <f aca="false">D7008+D7009+D7010+D7011</f>
        <v>39750</v>
      </c>
      <c r="E7012" s="61" t="n">
        <f aca="false">E7008+E7009+E7010+E7011</f>
        <v>52650</v>
      </c>
      <c r="F7012" s="61" t="n">
        <f aca="false">F7008+F7009+F7010+F7011</f>
        <v>42966.6666666667</v>
      </c>
      <c r="G7012" s="61" t="n">
        <f aca="false">G7008+G7009+G7010+G7011</f>
        <v>39783.3333333333</v>
      </c>
      <c r="H7012" s="2" t="s">
        <v>1370</v>
      </c>
    </row>
    <row r="7013" customFormat="false" ht="15" hidden="false" customHeight="false" outlineLevel="0" collapsed="false">
      <c r="A7013" s="3" t="s">
        <v>1371</v>
      </c>
      <c r="B7013" s="4"/>
      <c r="C7013" s="4"/>
      <c r="D7013" s="4"/>
      <c r="E7013" s="4"/>
      <c r="F7013" s="4"/>
      <c r="G7013" s="4"/>
      <c r="H7013" s="4"/>
    </row>
    <row r="7014" customFormat="false" ht="15" hidden="false" customHeight="false" outlineLevel="1" collapsed="false">
      <c r="A7014" s="56" t="s">
        <v>718</v>
      </c>
      <c r="B7014" s="57" t="s">
        <v>11</v>
      </c>
      <c r="C7014" s="62" t="n">
        <f aca="false">C6916</f>
        <v>275874.4</v>
      </c>
      <c r="D7014" s="62" t="n">
        <f aca="false">D6916</f>
        <v>1805254</v>
      </c>
      <c r="E7014" s="62" t="n">
        <f aca="false">E6916</f>
        <v>3704769</v>
      </c>
      <c r="F7014" s="62" t="n">
        <f aca="false">F6916</f>
        <v>6335277</v>
      </c>
      <c r="G7014" s="62" t="n">
        <f aca="false">G6916</f>
        <v>9691735</v>
      </c>
      <c r="H7014" s="2" t="s">
        <v>1372</v>
      </c>
    </row>
    <row r="7015" customFormat="false" ht="15" hidden="false" customHeight="false" outlineLevel="1" collapsed="false">
      <c r="A7015" s="7" t="s">
        <v>688</v>
      </c>
      <c r="B7015" s="8" t="s">
        <v>11</v>
      </c>
      <c r="C7015" s="61" t="n">
        <f aca="false">-C6939</f>
        <v>-245040</v>
      </c>
      <c r="D7015" s="61" t="n">
        <f aca="false">-D6939</f>
        <v>-1599300</v>
      </c>
      <c r="E7015" s="61" t="n">
        <f aca="false">-E6939</f>
        <v>-3248250</v>
      </c>
      <c r="F7015" s="61" t="n">
        <f aca="false">-F6939</f>
        <v>-5533850</v>
      </c>
      <c r="G7015" s="61" t="n">
        <f aca="false">-G6939</f>
        <v>-8460500</v>
      </c>
      <c r="H7015" s="2" t="s">
        <v>1373</v>
      </c>
    </row>
    <row r="7016" customFormat="false" ht="15" hidden="false" customHeight="false" outlineLevel="1" collapsed="false">
      <c r="A7016" s="56" t="s">
        <v>719</v>
      </c>
      <c r="B7016" s="57" t="s">
        <v>11</v>
      </c>
      <c r="C7016" s="62" t="n">
        <f aca="false">C7014+C7015</f>
        <v>30834.4</v>
      </c>
      <c r="D7016" s="62" t="n">
        <f aca="false">D7014+D7015</f>
        <v>205954</v>
      </c>
      <c r="E7016" s="62" t="n">
        <f aca="false">E7014+E7015</f>
        <v>456519</v>
      </c>
      <c r="F7016" s="62" t="n">
        <f aca="false">F7014+F7015</f>
        <v>801426.999999999</v>
      </c>
      <c r="G7016" s="62" t="n">
        <f aca="false">G7014+G7015</f>
        <v>1231235</v>
      </c>
      <c r="H7016" s="2" t="s">
        <v>1374</v>
      </c>
    </row>
    <row r="7017" customFormat="false" ht="15" hidden="false" customHeight="false" outlineLevel="1" collapsed="false">
      <c r="A7017" s="2" t="s">
        <v>720</v>
      </c>
      <c r="B7017" s="8" t="s">
        <v>76</v>
      </c>
      <c r="C7017" s="59" t="n">
        <f aca="false">IF(C7014&gt;0,C7016/C7014,0)</f>
        <v>0.111769703894236</v>
      </c>
      <c r="D7017" s="59" t="n">
        <f aca="false">IF(D7014&gt;0,D7016/D7014,0)</f>
        <v>0.114085884867171</v>
      </c>
      <c r="E7017" s="59" t="n">
        <f aca="false">IF(E7014&gt;0,E7016/E7014,0)</f>
        <v>0.123224686883312</v>
      </c>
      <c r="F7017" s="59" t="n">
        <f aca="false">IF(F7014&gt;0,F7016/F7014,0)</f>
        <v>0.126502282378497</v>
      </c>
      <c r="G7017" s="59" t="n">
        <f aca="false">IF(G7014&gt;0,G7016/G7014,0)</f>
        <v>0.127039688972098</v>
      </c>
      <c r="H7017" s="2" t="s">
        <v>1375</v>
      </c>
    </row>
    <row r="7018" customFormat="false" ht="15" hidden="false" customHeight="false" outlineLevel="1" collapsed="false">
      <c r="A7018" s="7" t="s">
        <v>721</v>
      </c>
      <c r="B7018" s="8" t="s">
        <v>11</v>
      </c>
      <c r="C7018" s="61" t="n">
        <f aca="false">-C6950</f>
        <v>-15494.2226027397</v>
      </c>
      <c r="D7018" s="61" t="n">
        <f aca="false">-D6950</f>
        <v>-101865.553938356</v>
      </c>
      <c r="E7018" s="61" t="n">
        <f aca="false">-E6950</f>
        <v>-212004.356849315</v>
      </c>
      <c r="F7018" s="61" t="n">
        <f aca="false">-F6950</f>
        <v>-358244.301712329</v>
      </c>
      <c r="G7018" s="61" t="n">
        <f aca="false">-G6950</f>
        <v>-535131.037671233</v>
      </c>
      <c r="H7018" s="2" t="s">
        <v>1376</v>
      </c>
    </row>
    <row r="7019" customFormat="false" ht="15" hidden="false" customHeight="false" outlineLevel="1" collapsed="false">
      <c r="A7019" s="7" t="s">
        <v>698</v>
      </c>
      <c r="B7019" s="8" t="s">
        <v>11</v>
      </c>
      <c r="C7019" s="61" t="n">
        <f aca="false">-C6953</f>
        <v>-0</v>
      </c>
      <c r="D7019" s="61" t="n">
        <f aca="false">-D6953</f>
        <v>-32286.2671232877</v>
      </c>
      <c r="E7019" s="61" t="n">
        <f aca="false">-E6953</f>
        <v>-54533.7585616438</v>
      </c>
      <c r="F7019" s="61" t="n">
        <f aca="false">-F6953</f>
        <v>-92449.8030821918</v>
      </c>
      <c r="G7019" s="61" t="n">
        <f aca="false">-G6953</f>
        <v>-141017.20890411</v>
      </c>
      <c r="H7019" s="2" t="s">
        <v>1377</v>
      </c>
    </row>
    <row r="7020" customFormat="false" ht="15" hidden="false" customHeight="false" outlineLevel="1" collapsed="false">
      <c r="A7020" s="56" t="s">
        <v>677</v>
      </c>
      <c r="B7020" s="57" t="s">
        <v>11</v>
      </c>
      <c r="C7020" s="62" t="n">
        <f aca="false">C7016+C7018+C7019</f>
        <v>15340.1773972603</v>
      </c>
      <c r="D7020" s="62" t="n">
        <f aca="false">D7016+D7018+D7019</f>
        <v>71802.1789383559</v>
      </c>
      <c r="E7020" s="62" t="n">
        <f aca="false">E7016+E7018+E7019</f>
        <v>189980.884589041</v>
      </c>
      <c r="F7020" s="62" t="n">
        <f aca="false">F7016+F7018+F7019</f>
        <v>350732.895205479</v>
      </c>
      <c r="G7020" s="62" t="n">
        <f aca="false">G7016+G7018+G7019</f>
        <v>555086.753424658</v>
      </c>
      <c r="H7020" s="2" t="s">
        <v>1378</v>
      </c>
    </row>
    <row r="7021" customFormat="false" ht="15" hidden="false" customHeight="false" outlineLevel="1" collapsed="false">
      <c r="A7021" s="7" t="s">
        <v>261</v>
      </c>
      <c r="B7021" s="8" t="s">
        <v>11</v>
      </c>
      <c r="C7021" s="61" t="n">
        <f aca="false">-C6985</f>
        <v>-303573.09375</v>
      </c>
      <c r="D7021" s="61" t="n">
        <f aca="false">-D6985</f>
        <v>-477845.325</v>
      </c>
      <c r="E7021" s="61" t="n">
        <f aca="false">-E6985</f>
        <v>-563341.2153125</v>
      </c>
      <c r="F7021" s="61" t="n">
        <f aca="false">-F6985</f>
        <v>-697007.527174375</v>
      </c>
      <c r="G7021" s="61" t="n">
        <f aca="false">-G6985</f>
        <v>-768997.563445444</v>
      </c>
      <c r="H7021" s="2" t="s">
        <v>1379</v>
      </c>
    </row>
    <row r="7022" customFormat="false" ht="15" hidden="false" customHeight="false" outlineLevel="1" collapsed="false">
      <c r="A7022" s="7" t="s">
        <v>722</v>
      </c>
      <c r="B7022" s="8" t="s">
        <v>11</v>
      </c>
      <c r="C7022" s="61" t="n">
        <f aca="false">-C7001</f>
        <v>-298100</v>
      </c>
      <c r="D7022" s="61" t="n">
        <f aca="false">-D7001</f>
        <v>-299538.6</v>
      </c>
      <c r="E7022" s="61" t="n">
        <f aca="false">-E7001</f>
        <v>-373100.9</v>
      </c>
      <c r="F7022" s="61" t="n">
        <f aca="false">-F7001</f>
        <v>-398866.784</v>
      </c>
      <c r="G7022" s="61" t="n">
        <f aca="false">-G7001</f>
        <v>-443388.501272</v>
      </c>
      <c r="H7022" s="2" t="s">
        <v>1380</v>
      </c>
    </row>
    <row r="7023" customFormat="false" ht="15" hidden="false" customHeight="false" outlineLevel="1" collapsed="false">
      <c r="A7023" s="56" t="s">
        <v>723</v>
      </c>
      <c r="B7023" s="57" t="s">
        <v>11</v>
      </c>
      <c r="C7023" s="62" t="n">
        <f aca="false">C7020+C7021+C7022</f>
        <v>-586332.91635274</v>
      </c>
      <c r="D7023" s="62" t="n">
        <f aca="false">D7020+D7021+D7022</f>
        <v>-705581.746061644</v>
      </c>
      <c r="E7023" s="62" t="n">
        <f aca="false">E7020+E7021+E7022</f>
        <v>-746461.230723459</v>
      </c>
      <c r="F7023" s="62" t="n">
        <f aca="false">F7020+F7021+F7022</f>
        <v>-745141.415968896</v>
      </c>
      <c r="G7023" s="62" t="n">
        <f aca="false">G7020+G7021+G7022</f>
        <v>-657299.311292786</v>
      </c>
      <c r="H7023" s="2" t="s">
        <v>1381</v>
      </c>
    </row>
    <row r="7024" customFormat="false" ht="15" hidden="false" customHeight="false" outlineLevel="1" collapsed="false">
      <c r="A7024" s="2" t="s">
        <v>725</v>
      </c>
      <c r="B7024" s="8" t="s">
        <v>76</v>
      </c>
      <c r="C7024" s="59" t="n">
        <f aca="false">IF(C7014&gt;0,C7023/C7014,0)</f>
        <v>-2.12536181810541</v>
      </c>
      <c r="D7024" s="59" t="n">
        <f aca="false">IF(D7014&gt;0,D7023/D7014,0)</f>
        <v>-0.390849014078708</v>
      </c>
      <c r="E7024" s="59" t="n">
        <f aca="false">IF(E7014&gt;0,E7023/E7014,0)</f>
        <v>-0.201486578710699</v>
      </c>
      <c r="F7024" s="59" t="n">
        <f aca="false">IF(F7014&gt;0,F7023/F7014,0)</f>
        <v>-0.117617811497255</v>
      </c>
      <c r="G7024" s="59" t="n">
        <f aca="false">IF(G7014&gt;0,G7023/G7014,0)</f>
        <v>-0.0678206029459933</v>
      </c>
      <c r="H7024" s="2" t="s">
        <v>1382</v>
      </c>
    </row>
    <row r="7025" customFormat="false" ht="15" hidden="false" customHeight="false" outlineLevel="1" collapsed="false">
      <c r="A7025" s="2" t="s">
        <v>726</v>
      </c>
      <c r="B7025" s="8" t="s">
        <v>11</v>
      </c>
      <c r="C7025" s="61" t="n">
        <f aca="false">C7023+C6953</f>
        <v>-586332.91635274</v>
      </c>
      <c r="D7025" s="61" t="n">
        <f aca="false">D7023+D6953</f>
        <v>-673295.478938356</v>
      </c>
      <c r="E7025" s="61" t="n">
        <f aca="false">E7023+E6953</f>
        <v>-691927.472161815</v>
      </c>
      <c r="F7025" s="61" t="n">
        <f aca="false">F7023+F6953</f>
        <v>-652691.612886705</v>
      </c>
      <c r="G7025" s="61" t="n">
        <f aca="false">G7023+G6953</f>
        <v>-516282.102388677</v>
      </c>
      <c r="H7025" s="2" t="s">
        <v>1383</v>
      </c>
    </row>
    <row r="7026" customFormat="false" ht="15" hidden="false" customHeight="false" outlineLevel="1" collapsed="false">
      <c r="A7026" s="7" t="s">
        <v>714</v>
      </c>
      <c r="B7026" s="8" t="s">
        <v>11</v>
      </c>
      <c r="C7026" s="61" t="n">
        <f aca="false">-C7012</f>
        <v>-26350</v>
      </c>
      <c r="D7026" s="61" t="n">
        <f aca="false">-D7012</f>
        <v>-39750</v>
      </c>
      <c r="E7026" s="61" t="n">
        <f aca="false">-E7012</f>
        <v>-52650</v>
      </c>
      <c r="F7026" s="61" t="n">
        <f aca="false">-F7012</f>
        <v>-42966.6666666667</v>
      </c>
      <c r="G7026" s="61" t="n">
        <f aca="false">-G7012</f>
        <v>-39783.3333333333</v>
      </c>
      <c r="H7026" s="2" t="s">
        <v>1384</v>
      </c>
    </row>
    <row r="7027" customFormat="false" ht="15" hidden="false" customHeight="false" outlineLevel="1" collapsed="false">
      <c r="A7027" s="56" t="s">
        <v>727</v>
      </c>
      <c r="B7027" s="57" t="s">
        <v>11</v>
      </c>
      <c r="C7027" s="62" t="n">
        <f aca="false">C7023+C7026</f>
        <v>-612682.91635274</v>
      </c>
      <c r="D7027" s="62" t="n">
        <f aca="false">D7023+D7026</f>
        <v>-745331.746061644</v>
      </c>
      <c r="E7027" s="62" t="n">
        <f aca="false">E7023+E7026</f>
        <v>-799111.230723459</v>
      </c>
      <c r="F7027" s="62" t="n">
        <f aca="false">F7023+F7026</f>
        <v>-788108.082635563</v>
      </c>
      <c r="G7027" s="62" t="n">
        <f aca="false">G7023+G7026</f>
        <v>-697082.64462612</v>
      </c>
      <c r="H7027" s="2" t="s">
        <v>1385</v>
      </c>
    </row>
    <row r="7028" customFormat="false" ht="15" hidden="false" customHeight="false" outlineLevel="0" collapsed="false">
      <c r="A7028" s="3" t="s">
        <v>1386</v>
      </c>
      <c r="B7028" s="4"/>
      <c r="C7028" s="4"/>
      <c r="D7028" s="4"/>
      <c r="E7028" s="4"/>
      <c r="F7028" s="4"/>
      <c r="G7028" s="4"/>
      <c r="H7028" s="4"/>
    </row>
    <row r="7029" customFormat="false" ht="15" hidden="false" customHeight="false" outlineLevel="1" collapsed="false">
      <c r="A7029" s="7" t="s">
        <v>729</v>
      </c>
      <c r="B7029" s="8" t="s">
        <v>11</v>
      </c>
      <c r="C7029" s="61" t="n">
        <f aca="false">C7027</f>
        <v>-612682.91635274</v>
      </c>
      <c r="D7029" s="61" t="n">
        <f aca="false">D7027</f>
        <v>-745331.746061644</v>
      </c>
      <c r="E7029" s="61" t="n">
        <f aca="false">E7027</f>
        <v>-799111.230723459</v>
      </c>
      <c r="F7029" s="61" t="n">
        <f aca="false">F7027</f>
        <v>-788108.082635563</v>
      </c>
      <c r="G7029" s="61" t="n">
        <f aca="false">G7027</f>
        <v>-697082.64462612</v>
      </c>
      <c r="H7029" s="2" t="s">
        <v>1387</v>
      </c>
    </row>
    <row r="7030" customFormat="false" ht="15" hidden="false" customHeight="false" outlineLevel="1" collapsed="false">
      <c r="A7030" s="7" t="s">
        <v>730</v>
      </c>
      <c r="B7030" s="8" t="s">
        <v>11</v>
      </c>
      <c r="C7030" s="61" t="n">
        <f aca="false">0</f>
        <v>0</v>
      </c>
      <c r="D7030" s="61" t="n">
        <f aca="false">C7033</f>
        <v>612682.91635274</v>
      </c>
      <c r="E7030" s="61" t="n">
        <f aca="false">D7033</f>
        <v>1358014.66241438</v>
      </c>
      <c r="F7030" s="61" t="n">
        <f aca="false">E7033</f>
        <v>2157125.89313784</v>
      </c>
      <c r="G7030" s="61" t="n">
        <f aca="false">F7033</f>
        <v>2945233.97577341</v>
      </c>
      <c r="H7030" s="2" t="s">
        <v>1388</v>
      </c>
    </row>
    <row r="7031" customFormat="false" ht="15" hidden="false" customHeight="false" outlineLevel="1" collapsed="false">
      <c r="A7031" s="7" t="s">
        <v>731</v>
      </c>
      <c r="B7031" s="8" t="s">
        <v>11</v>
      </c>
      <c r="C7031" s="61" t="n">
        <f aca="false">MAX(0,-C7029)</f>
        <v>612682.91635274</v>
      </c>
      <c r="D7031" s="61" t="n">
        <f aca="false">MAX(0,-D7029)</f>
        <v>745331.746061644</v>
      </c>
      <c r="E7031" s="61" t="n">
        <f aca="false">MAX(0,-E7029)</f>
        <v>799111.230723459</v>
      </c>
      <c r="F7031" s="61" t="n">
        <f aca="false">MAX(0,-F7029)</f>
        <v>788108.082635563</v>
      </c>
      <c r="G7031" s="61" t="n">
        <f aca="false">MAX(0,-G7029)</f>
        <v>697082.64462612</v>
      </c>
      <c r="H7031" s="2" t="s">
        <v>1389</v>
      </c>
    </row>
    <row r="7032" customFormat="false" ht="15" hidden="false" customHeight="false" outlineLevel="1" collapsed="false">
      <c r="A7032" s="7" t="s">
        <v>732</v>
      </c>
      <c r="B7032" s="8" t="s">
        <v>11</v>
      </c>
      <c r="C7032" s="61" t="n">
        <f aca="false">MIN(C7030,Pressupostos!$C$181*MAX(0,C7029))</f>
        <v>0</v>
      </c>
      <c r="D7032" s="61" t="n">
        <f aca="false">MIN(D7030,Pressupostos!$C$181*MAX(0,D7029))</f>
        <v>0</v>
      </c>
      <c r="E7032" s="61" t="n">
        <f aca="false">MIN(E7030,Pressupostos!$C$181*MAX(0,E7029))</f>
        <v>0</v>
      </c>
      <c r="F7032" s="61" t="n">
        <f aca="false">MIN(F7030,Pressupostos!$C$181*MAX(0,F7029))</f>
        <v>0</v>
      </c>
      <c r="G7032" s="61" t="n">
        <f aca="false">MIN(G7030,Pressupostos!$C$181*MAX(0,G7029))</f>
        <v>0</v>
      </c>
      <c r="H7032" s="2" t="s">
        <v>1390</v>
      </c>
    </row>
    <row r="7033" customFormat="false" ht="15" hidden="false" customHeight="false" outlineLevel="1" collapsed="false">
      <c r="A7033" s="7" t="s">
        <v>733</v>
      </c>
      <c r="B7033" s="8" t="s">
        <v>11</v>
      </c>
      <c r="C7033" s="61" t="n">
        <f aca="false">C7030+C7031-C7032</f>
        <v>612682.91635274</v>
      </c>
      <c r="D7033" s="61" t="n">
        <f aca="false">D7030+D7031-D7032</f>
        <v>1358014.66241438</v>
      </c>
      <c r="E7033" s="61" t="n">
        <f aca="false">E7030+E7031-E7032</f>
        <v>2157125.89313784</v>
      </c>
      <c r="F7033" s="61" t="n">
        <f aca="false">F7030+F7031-F7032</f>
        <v>2945233.97577341</v>
      </c>
      <c r="G7033" s="61" t="n">
        <f aca="false">G7030+G7031-G7032</f>
        <v>3642316.62039953</v>
      </c>
      <c r="H7033" s="2" t="s">
        <v>1391</v>
      </c>
    </row>
    <row r="7034" customFormat="false" ht="15" hidden="false" customHeight="false" outlineLevel="1" collapsed="false">
      <c r="A7034" s="7" t="s">
        <v>734</v>
      </c>
      <c r="B7034" s="8" t="s">
        <v>11</v>
      </c>
      <c r="C7034" s="61" t="n">
        <f aca="false">MAX(0,C7029)-C7032</f>
        <v>0</v>
      </c>
      <c r="D7034" s="61" t="n">
        <f aca="false">MAX(0,D7029)-D7032</f>
        <v>0</v>
      </c>
      <c r="E7034" s="61" t="n">
        <f aca="false">MAX(0,E7029)-E7032</f>
        <v>0</v>
      </c>
      <c r="F7034" s="61" t="n">
        <f aca="false">MAX(0,F7029)-F7032</f>
        <v>0</v>
      </c>
      <c r="G7034" s="61" t="n">
        <f aca="false">MAX(0,G7029)-G7032</f>
        <v>0</v>
      </c>
      <c r="H7034" s="2" t="s">
        <v>1392</v>
      </c>
    </row>
    <row r="7035" customFormat="false" ht="15" hidden="false" customHeight="false" outlineLevel="1" collapsed="false">
      <c r="A7035" s="7" t="s">
        <v>735</v>
      </c>
      <c r="B7035" s="8" t="s">
        <v>11</v>
      </c>
      <c r="C7035" s="61" t="n">
        <f aca="false">Pressupostos!$C$172*MIN(C7034,Pressupostos!$C$173)+Pressupostos!$C$467*MAX(0,C7034-Pressupostos!$C$173)</f>
        <v>0</v>
      </c>
      <c r="D7035" s="61" t="n">
        <f aca="false">Pressupostos!$C$172*MIN(D7034,Pressupostos!$C$173)+Pressupostos!$D$467*MAX(0,D7034-Pressupostos!$C$173)</f>
        <v>0</v>
      </c>
      <c r="E7035" s="61" t="n">
        <f aca="false">Pressupostos!$C$172*MIN(E7034,Pressupostos!$C$173)+Pressupostos!$E$467*MAX(0,E7034-Pressupostos!$C$173)</f>
        <v>0</v>
      </c>
      <c r="F7035" s="61" t="n">
        <f aca="false">Pressupostos!$C$172*MIN(F7034,Pressupostos!$C$173)+Pressupostos!$F$467*MAX(0,F7034-Pressupostos!$C$173)</f>
        <v>0</v>
      </c>
      <c r="G7035" s="61" t="n">
        <f aca="false">Pressupostos!$C$172*MIN(G7034,Pressupostos!$C$173)+Pressupostos!$G$467*MAX(0,G7034-Pressupostos!$C$173)</f>
        <v>0</v>
      </c>
      <c r="H7035" s="2" t="s">
        <v>1393</v>
      </c>
    </row>
    <row r="7036" customFormat="false" ht="15" hidden="false" customHeight="false" outlineLevel="1" collapsed="false">
      <c r="A7036" s="7" t="s">
        <v>736</v>
      </c>
      <c r="B7036" s="8" t="s">
        <v>11</v>
      </c>
      <c r="C7036" s="61" t="n">
        <f aca="false">Pressupostos!$C$174*MAX(0,C7029)</f>
        <v>0</v>
      </c>
      <c r="D7036" s="61" t="n">
        <f aca="false">Pressupostos!$C$174*MAX(0,D7029)</f>
        <v>0</v>
      </c>
      <c r="E7036" s="61" t="n">
        <f aca="false">Pressupostos!$C$174*MAX(0,E7029)</f>
        <v>0</v>
      </c>
      <c r="F7036" s="61" t="n">
        <f aca="false">Pressupostos!$C$174*MAX(0,F7029)</f>
        <v>0</v>
      </c>
      <c r="G7036" s="61" t="n">
        <f aca="false">Pressupostos!$C$174*MAX(0,G7029)</f>
        <v>0</v>
      </c>
      <c r="H7036" s="2" t="s">
        <v>1394</v>
      </c>
    </row>
    <row r="7037" customFormat="false" ht="15" hidden="false" customHeight="false" outlineLevel="1" collapsed="false">
      <c r="A7037" s="7" t="s">
        <v>737</v>
      </c>
      <c r="B7037" s="8" t="s">
        <v>11</v>
      </c>
      <c r="C7037" s="61" t="n">
        <f aca="false">Pressupostos!$C$176*MAX(0,MIN(C7029,Pressupostos!$C$177)-Pressupostos!$C$175)+Pressupostos!$C$178*MAX(0,MIN(C7029,Pressupostos!$C$179)-Pressupostos!$C$177)+Pressupostos!$C$180*MAX(0,C7029-Pressupostos!$C$179)</f>
        <v>0</v>
      </c>
      <c r="D7037" s="61" t="n">
        <f aca="false">Pressupostos!$C$176*MAX(0,MIN(D7029,Pressupostos!$C$177)-Pressupostos!$C$175)+Pressupostos!$C$178*MAX(0,MIN(D7029,Pressupostos!$C$179)-Pressupostos!$C$177)+Pressupostos!$C$180*MAX(0,D7029-Pressupostos!$C$179)</f>
        <v>0</v>
      </c>
      <c r="E7037" s="61" t="n">
        <f aca="false">Pressupostos!$C$176*MAX(0,MIN(E7029,Pressupostos!$C$177)-Pressupostos!$C$175)+Pressupostos!$C$178*MAX(0,MIN(E7029,Pressupostos!$C$179)-Pressupostos!$C$177)+Pressupostos!$C$180*MAX(0,E7029-Pressupostos!$C$179)</f>
        <v>0</v>
      </c>
      <c r="F7037" s="61" t="n">
        <f aca="false">Pressupostos!$C$176*MAX(0,MIN(F7029,Pressupostos!$C$177)-Pressupostos!$C$175)+Pressupostos!$C$178*MAX(0,MIN(F7029,Pressupostos!$C$179)-Pressupostos!$C$177)+Pressupostos!$C$180*MAX(0,F7029-Pressupostos!$C$179)</f>
        <v>0</v>
      </c>
      <c r="G7037" s="61" t="n">
        <f aca="false">Pressupostos!$C$176*MAX(0,MIN(G7029,Pressupostos!$C$177)-Pressupostos!$C$175)+Pressupostos!$C$178*MAX(0,MIN(G7029,Pressupostos!$C$179)-Pressupostos!$C$177)+Pressupostos!$C$180*MAX(0,G7029-Pressupostos!$C$179)</f>
        <v>0</v>
      </c>
      <c r="H7037" s="2" t="s">
        <v>1395</v>
      </c>
    </row>
    <row r="7038" customFormat="false" ht="15" hidden="false" customHeight="false" outlineLevel="1" collapsed="false">
      <c r="A7038" s="7" t="s">
        <v>738</v>
      </c>
      <c r="B7038" s="8" t="s">
        <v>11</v>
      </c>
      <c r="C7038" s="61" t="n">
        <f aca="false">C7035+C7036+C7037</f>
        <v>0</v>
      </c>
      <c r="D7038" s="61" t="n">
        <f aca="false">D7035+D7036+D7037</f>
        <v>0</v>
      </c>
      <c r="E7038" s="61" t="n">
        <f aca="false">E7035+E7036+E7037</f>
        <v>0</v>
      </c>
      <c r="F7038" s="61" t="n">
        <f aca="false">F7035+F7036+F7037</f>
        <v>0</v>
      </c>
      <c r="G7038" s="61" t="n">
        <f aca="false">G7035+G7036+G7037</f>
        <v>0</v>
      </c>
      <c r="H7038" s="2" t="s">
        <v>1396</v>
      </c>
    </row>
    <row r="7039" customFormat="false" ht="15" hidden="false" customHeight="false" outlineLevel="0" collapsed="false">
      <c r="A7039" s="3" t="s">
        <v>1397</v>
      </c>
      <c r="B7039" s="4"/>
      <c r="C7039" s="4"/>
      <c r="D7039" s="4"/>
      <c r="E7039" s="4"/>
      <c r="F7039" s="4"/>
      <c r="G7039" s="4"/>
      <c r="H7039" s="4"/>
    </row>
    <row r="7040" customFormat="false" ht="15" hidden="false" customHeight="false" outlineLevel="1" collapsed="false">
      <c r="A7040" s="7" t="s">
        <v>738</v>
      </c>
      <c r="B7040" s="8" t="s">
        <v>11</v>
      </c>
      <c r="C7040" s="61" t="n">
        <f aca="false">-C7038</f>
        <v>-0</v>
      </c>
      <c r="D7040" s="61" t="n">
        <f aca="false">-D7038</f>
        <v>-0</v>
      </c>
      <c r="E7040" s="61" t="n">
        <f aca="false">-E7038</f>
        <v>-0</v>
      </c>
      <c r="F7040" s="61" t="n">
        <f aca="false">-F7038</f>
        <v>-0</v>
      </c>
      <c r="G7040" s="61" t="n">
        <f aca="false">-G7038</f>
        <v>-0</v>
      </c>
      <c r="H7040" s="2" t="s">
        <v>1398</v>
      </c>
    </row>
    <row r="7041" customFormat="false" ht="15" hidden="false" customHeight="false" outlineLevel="1" collapsed="false">
      <c r="A7041" s="56" t="s">
        <v>740</v>
      </c>
      <c r="B7041" s="57" t="s">
        <v>11</v>
      </c>
      <c r="C7041" s="62" t="n">
        <f aca="false">C7027+C7040</f>
        <v>-612682.91635274</v>
      </c>
      <c r="D7041" s="62" t="n">
        <f aca="false">D7027+D7040</f>
        <v>-745331.746061644</v>
      </c>
      <c r="E7041" s="62" t="n">
        <f aca="false">E7027+E7040</f>
        <v>-799111.230723459</v>
      </c>
      <c r="F7041" s="62" t="n">
        <f aca="false">F7027+F7040</f>
        <v>-788108.082635563</v>
      </c>
      <c r="G7041" s="62" t="n">
        <f aca="false">G7027+G7040</f>
        <v>-697082.64462612</v>
      </c>
      <c r="H7041" s="2" t="s">
        <v>1399</v>
      </c>
    </row>
    <row r="7042" customFormat="false" ht="15" hidden="false" customHeight="false" outlineLevel="0" collapsed="false">
      <c r="A7042" s="3" t="s">
        <v>1400</v>
      </c>
      <c r="B7042" s="4"/>
      <c r="C7042" s="4"/>
      <c r="D7042" s="4"/>
      <c r="E7042" s="4"/>
      <c r="F7042" s="4"/>
      <c r="G7042" s="4"/>
      <c r="H7042" s="4"/>
    </row>
    <row r="7043" customFormat="false" ht="15" hidden="false" customHeight="false" outlineLevel="1" collapsed="false">
      <c r="A7043" s="7" t="s">
        <v>744</v>
      </c>
      <c r="B7043" s="8" t="s">
        <v>11</v>
      </c>
      <c r="C7043" s="61" t="n">
        <f aca="false">C6815*1000*((C6833+C6836)*C6839/365)+C6816*1000*((C6856+C6859)*C6862/365)+C6818*1000*((C6879+C6882)*C6885/365)</f>
        <v>34293.698630137</v>
      </c>
      <c r="D7043" s="61" t="n">
        <f aca="false">D6815*1000*((D6833+D6836)*D6839/365)+D6816*1000*((D6856+D6859)*D6862/365)+D6818*1000*((D6879+D6882)*D6885/365)</f>
        <v>184524.657534247</v>
      </c>
      <c r="E7043" s="61" t="n">
        <f aca="false">E6815*1000*((E6833+E6836)*E6839/365)+E6816*1000*((E6856+E6859)*E6862/365)+E6818*1000*((E6879+E6882)*E6885/365)</f>
        <v>281132.876712329</v>
      </c>
      <c r="F7043" s="61" t="n">
        <f aca="false">F6815*1000*((F6833+F6836)*F6839/365)+F6816*1000*((F6856+F6859)*F6862/365)+F6818*1000*((F6879+F6882)*F6885/365)</f>
        <v>468098.630136986</v>
      </c>
      <c r="G7043" s="61" t="n">
        <f aca="false">G6815*1000*((G6833+G6836)*G6839/365)+G6816*1000*((G6856+G6859)*G6862/365)+G6818*1000*((G6879+G6882)*G6885/365)</f>
        <v>702000</v>
      </c>
      <c r="H7043" s="2" t="s">
        <v>1401</v>
      </c>
    </row>
    <row r="7044" customFormat="false" ht="15" hidden="false" customHeight="false" outlineLevel="1" collapsed="false">
      <c r="A7044" s="7" t="s">
        <v>745</v>
      </c>
      <c r="B7044" s="8" t="s">
        <v>11</v>
      </c>
      <c r="C7044" s="61" t="n">
        <f aca="false">C7043+C6828*1000*Pressupostos!$C$92*Pressupostos!$C$95/365</f>
        <v>34293.698630137</v>
      </c>
      <c r="D7044" s="61" t="n">
        <f aca="false">D7043+D6828*1000*Pressupostos!$C$92*Pressupostos!$C$95/365</f>
        <v>184524.657534247</v>
      </c>
      <c r="E7044" s="61" t="n">
        <f aca="false">E7043+E6828*1000*Pressupostos!$C$92*Pressupostos!$C$95/365</f>
        <v>281132.876712329</v>
      </c>
      <c r="F7044" s="61" t="n">
        <f aca="false">F7043+F6828*1000*Pressupostos!$C$92*Pressupostos!$C$95/365</f>
        <v>485358.904109589</v>
      </c>
      <c r="G7044" s="61" t="n">
        <f aca="false">G7043+G6828*1000*Pressupostos!$C$92*Pressupostos!$C$95/365</f>
        <v>745150.684931507</v>
      </c>
      <c r="H7044" s="2" t="s">
        <v>1402</v>
      </c>
    </row>
    <row r="7045" customFormat="false" ht="15" hidden="false" customHeight="false" outlineLevel="1" collapsed="false">
      <c r="A7045" s="7" t="s">
        <v>746</v>
      </c>
      <c r="B7045" s="8" t="s">
        <v>11</v>
      </c>
      <c r="C7045" s="61" t="n">
        <f aca="false">C6815*1000*(C6835*C6840/365)+C6816*1000*(C6858*C6863/365)+C6818*1000*(C6881*C6886/365)+C6910*Pressupostos!$C$96/365+(C6912+C6913)*Pressupostos!$C$82/365</f>
        <v>39130.498630137</v>
      </c>
      <c r="D7045" s="61" t="n">
        <f aca="false">D6815*1000*(D6835*D6840/365)+D6816*1000*(D6858*D6863/365)+D6818*1000*(D6881*D6886/365)+D6910*Pressupostos!$C$96/365+(D6912+D6913)*Pressupostos!$C$82/365</f>
        <v>260470.191780822</v>
      </c>
      <c r="E7045" s="61" t="n">
        <f aca="false">E6815*1000*(E6835*E6840/365)+E6816*1000*(E6858*E6863/365)+E6818*1000*(E6881*E6886/365)+E6910*Pressupostos!$C$96/365+(E6912+E6913)*Pressupostos!$C$82/365</f>
        <v>526639.232876712</v>
      </c>
      <c r="F7045" s="61" t="n">
        <f aca="false">F6815*1000*(F6835*F6840/365)+F6816*1000*(F6858*F6863/365)+F6818*1000*(F6881*F6886/365)+F6910*Pressupostos!$C$96/365+(F6912+F6913)*Pressupostos!$C$82/365</f>
        <v>886141.260273973</v>
      </c>
      <c r="G7045" s="61" t="n">
        <f aca="false">G6815*1000*(G6835*G6840/365)+G6816*1000*(G6858*G6863/365)+G6818*1000*(G6881*G6886/365)+G6910*Pressupostos!$C$96/365+(G6912+G6913)*Pressupostos!$C$82/365</f>
        <v>1346642.60273973</v>
      </c>
      <c r="H7045" s="2" t="s">
        <v>1403</v>
      </c>
    </row>
    <row r="7046" customFormat="false" ht="15" hidden="false" customHeight="false" outlineLevel="1" collapsed="false">
      <c r="A7046" s="7" t="s">
        <v>747</v>
      </c>
      <c r="B7046" s="8" t="s">
        <v>11</v>
      </c>
      <c r="C7046" s="61" t="n">
        <f aca="false">C6815*1000*((C6833+C6836)*Pressupostos!$C$72/365)+C6816*1000*((C6856+C6859)*Pressupostos!$C$72/365)+C6818*1000*((C6879+C6882)*Pressupostos!$C$72/365)+C6828*1000*Pressupostos!$C$92*Pressupostos!$C$97/365</f>
        <v>20140.2739726027</v>
      </c>
      <c r="D7046" s="61" t="n">
        <f aca="false">D6815*1000*((D6833+D6836)*Pressupostos!$C$72/365)+D6816*1000*((D6856+D6859)*Pressupostos!$C$72/365)+D6818*1000*((D6879+D6882)*Pressupostos!$C$72/365)+D6828*1000*Pressupostos!$C$92*Pressupostos!$C$97/365</f>
        <v>131449.315068493</v>
      </c>
      <c r="E7046" s="61" t="n">
        <f aca="false">E6815*1000*((E6833+E6836)*Pressupostos!$C$72/365)+E6816*1000*((E6856+E6859)*Pressupostos!$C$72/365)+E6818*1000*((E6879+E6882)*Pressupostos!$C$72/365)+E6828*1000*Pressupostos!$C$92*Pressupostos!$C$97/365</f>
        <v>266979.452054795</v>
      </c>
      <c r="F7046" s="61" t="n">
        <f aca="false">F6815*1000*((F6833+F6836)*Pressupostos!$C$72/365)+F6816*1000*((F6856+F6859)*Pressupostos!$C$72/365)+F6818*1000*((F6879+F6882)*Pressupostos!$C$72/365)+F6828*1000*Pressupostos!$C$92*Pressupostos!$C$97/365</f>
        <v>454836.98630137</v>
      </c>
      <c r="G7046" s="61" t="n">
        <f aca="false">G6815*1000*((G6833+G6836)*Pressupostos!$C$72/365)+G6816*1000*((G6856+G6859)*Pressupostos!$C$72/365)+G6818*1000*((G6879+G6882)*Pressupostos!$C$72/365)+G6828*1000*Pressupostos!$C$92*Pressupostos!$C$97/365</f>
        <v>695383.561643836</v>
      </c>
      <c r="H7046" s="2" t="s">
        <v>1404</v>
      </c>
    </row>
    <row r="7047" customFormat="false" ht="15" hidden="false" customHeight="false" outlineLevel="1" collapsed="false">
      <c r="A7047" s="56" t="s">
        <v>748</v>
      </c>
      <c r="B7047" s="57" t="s">
        <v>11</v>
      </c>
      <c r="C7047" s="62" t="n">
        <f aca="false">C7044+C7045-C7046</f>
        <v>53283.9232876712</v>
      </c>
      <c r="D7047" s="62" t="n">
        <f aca="false">D7044+D7045-D7046</f>
        <v>313545.534246575</v>
      </c>
      <c r="E7047" s="62" t="n">
        <f aca="false">E7044+E7045-E7046</f>
        <v>540792.657534246</v>
      </c>
      <c r="F7047" s="62" t="n">
        <f aca="false">F7044+F7045-F7046</f>
        <v>916663.178082192</v>
      </c>
      <c r="G7047" s="62" t="n">
        <f aca="false">G7044+G7045-G7046</f>
        <v>1396409.7260274</v>
      </c>
      <c r="H7047" s="2" t="s">
        <v>1405</v>
      </c>
    </row>
    <row r="7048" customFormat="false" ht="15" hidden="false" customHeight="false" outlineLevel="0" collapsed="false">
      <c r="A7048" s="3" t="s">
        <v>1406</v>
      </c>
      <c r="B7048" s="4"/>
      <c r="C7048" s="4"/>
      <c r="D7048" s="4"/>
      <c r="E7048" s="4"/>
      <c r="F7048" s="4"/>
      <c r="G7048" s="4"/>
      <c r="H7048" s="4"/>
    </row>
    <row r="7049" customFormat="false" ht="15" hidden="false" customHeight="false" outlineLevel="1" collapsed="false">
      <c r="A7049" s="56" t="s">
        <v>750</v>
      </c>
      <c r="B7049" s="57" t="s">
        <v>11</v>
      </c>
      <c r="C7049" s="62" t="n">
        <f aca="false">Pressupostos!$C$284*C7047/Pressupostos!$F$31</f>
        <v>0</v>
      </c>
      <c r="D7049" s="62" t="n">
        <f aca="false">Pressupostos!$D$284*D7047/Pressupostos!$F$31</f>
        <v>293948.938356164</v>
      </c>
      <c r="E7049" s="62" t="n">
        <f aca="false">Pressupostos!$E$284*E7047/Pressupostos!$F$31</f>
        <v>506993.116438356</v>
      </c>
      <c r="F7049" s="62" t="n">
        <f aca="false">Pressupostos!$F$284*F7047/Pressupostos!$F$31</f>
        <v>859371.729452055</v>
      </c>
      <c r="G7049" s="62" t="n">
        <f aca="false">Pressupostos!$G$284*G7047/Pressupostos!$F$31</f>
        <v>1309134.11815068</v>
      </c>
      <c r="H7049" s="2" t="s">
        <v>1407</v>
      </c>
    </row>
    <row r="7050" customFormat="false" ht="15" hidden="false" customHeight="false" outlineLevel="1" collapsed="false">
      <c r="A7050" s="7" t="s">
        <v>751</v>
      </c>
      <c r="B7050" s="8" t="s">
        <v>11</v>
      </c>
      <c r="C7050" s="61" t="n">
        <f aca="false">Pressupostos!$C$284*C7047</f>
        <v>0</v>
      </c>
      <c r="D7050" s="61" t="n">
        <f aca="false">Pressupostos!$D$284*D7047</f>
        <v>235159.150684932</v>
      </c>
      <c r="E7050" s="61" t="n">
        <f aca="false">Pressupostos!$E$284*E7047</f>
        <v>405594.493150685</v>
      </c>
      <c r="F7050" s="61" t="n">
        <f aca="false">Pressupostos!$F$284*F7047</f>
        <v>687497.383561644</v>
      </c>
      <c r="G7050" s="61" t="n">
        <f aca="false">Pressupostos!$G$284*G7047</f>
        <v>1047307.29452055</v>
      </c>
      <c r="H7050" s="2" t="s">
        <v>1408</v>
      </c>
    </row>
    <row r="7051" customFormat="false" ht="15" hidden="false" customHeight="false" outlineLevel="1" collapsed="false">
      <c r="A7051" s="7" t="s">
        <v>752</v>
      </c>
      <c r="B7051" s="8" t="s">
        <v>11</v>
      </c>
      <c r="C7051" s="61" t="n">
        <f aca="false">C7049-C7050</f>
        <v>0</v>
      </c>
      <c r="D7051" s="61" t="n">
        <f aca="false">D7049-D7050</f>
        <v>58789.7876712328</v>
      </c>
      <c r="E7051" s="61" t="n">
        <f aca="false">E7049-E7050</f>
        <v>101398.623287671</v>
      </c>
      <c r="F7051" s="61" t="n">
        <f aca="false">F7049-F7050</f>
        <v>171874.345890411</v>
      </c>
      <c r="G7051" s="61" t="n">
        <f aca="false">G7049-G7050</f>
        <v>261826.823630137</v>
      </c>
      <c r="H7051" s="2" t="s">
        <v>1409</v>
      </c>
    </row>
    <row r="7052" customFormat="false" ht="15" hidden="false" customHeight="false" outlineLevel="1" collapsed="false">
      <c r="A7052" s="7" t="s">
        <v>753</v>
      </c>
      <c r="B7052" s="8" t="s">
        <v>11</v>
      </c>
      <c r="C7052" s="61" t="n">
        <f aca="false">C7047-C7050</f>
        <v>53283.9232876712</v>
      </c>
      <c r="D7052" s="61" t="n">
        <f aca="false">D7047-D7050</f>
        <v>78386.3835616438</v>
      </c>
      <c r="E7052" s="61" t="n">
        <f aca="false">E7047-E7050</f>
        <v>135198.164383562</v>
      </c>
      <c r="F7052" s="61" t="n">
        <f aca="false">F7047-F7050</f>
        <v>229165.794520548</v>
      </c>
      <c r="G7052" s="61" t="n">
        <f aca="false">G7047-G7050</f>
        <v>349102.431506849</v>
      </c>
      <c r="H7052" s="2" t="s">
        <v>1410</v>
      </c>
    </row>
    <row r="7053" customFormat="false" ht="15" hidden="false" customHeight="false" outlineLevel="1" collapsed="false">
      <c r="A7053" s="7" t="s">
        <v>754</v>
      </c>
      <c r="B7053" s="8" t="s">
        <v>11</v>
      </c>
      <c r="C7053" s="61" t="n">
        <f aca="false">MAX(0,Pressupostos!$C$108-C7052)</f>
        <v>0</v>
      </c>
      <c r="D7053" s="61" t="n">
        <f aca="false">MAX(0,Pressupostos!$C$108-D7052)</f>
        <v>0</v>
      </c>
      <c r="E7053" s="61" t="n">
        <f aca="false">MAX(0,Pressupostos!$C$108-E7052)</f>
        <v>0</v>
      </c>
      <c r="F7053" s="61" t="n">
        <f aca="false">MAX(0,Pressupostos!$C$108-F7052)</f>
        <v>0</v>
      </c>
      <c r="G7053" s="61" t="n">
        <f aca="false">MAX(0,Pressupostos!$C$108-G7052)</f>
        <v>0</v>
      </c>
      <c r="H7053" s="2" t="s">
        <v>1411</v>
      </c>
    </row>
    <row r="7054" customFormat="false" ht="15" hidden="false" customHeight="false" outlineLevel="1" collapsed="false">
      <c r="A7054" s="7" t="s">
        <v>755</v>
      </c>
      <c r="B7054" s="8" t="s">
        <v>11</v>
      </c>
      <c r="C7054" s="61" t="n">
        <f aca="false">Pressupostos!$C$109*C7049</f>
        <v>0</v>
      </c>
      <c r="D7054" s="61" t="n">
        <f aca="false">Pressupostos!$C$109*D7049</f>
        <v>14697.4469178082</v>
      </c>
      <c r="E7054" s="61" t="n">
        <f aca="false">Pressupostos!$C$109*E7049</f>
        <v>25349.6558219178</v>
      </c>
      <c r="F7054" s="61" t="n">
        <f aca="false">Pressupostos!$C$109*F7049</f>
        <v>42968.5864726027</v>
      </c>
      <c r="G7054" s="61" t="n">
        <f aca="false">Pressupostos!$C$109*G7049</f>
        <v>65456.7059075342</v>
      </c>
      <c r="H7054" s="2" t="s">
        <v>1412</v>
      </c>
    </row>
    <row r="7055" customFormat="false" ht="15" hidden="false" customHeight="false" outlineLevel="1" collapsed="false">
      <c r="A7055" s="2" t="s">
        <v>756</v>
      </c>
      <c r="B7055" s="8" t="s">
        <v>123</v>
      </c>
      <c r="C7055" s="61" t="n">
        <f aca="false">C7049/Pressupostos!$C$112</f>
        <v>0</v>
      </c>
      <c r="D7055" s="61" t="n">
        <f aca="false">D7049/Pressupostos!$C$112</f>
        <v>5.87897876712329</v>
      </c>
      <c r="E7055" s="61" t="n">
        <f aca="false">E7049/Pressupostos!$C$112</f>
        <v>10.1398623287671</v>
      </c>
      <c r="F7055" s="61" t="n">
        <f aca="false">F7049/Pressupostos!$C$112</f>
        <v>17.1874345890411</v>
      </c>
      <c r="G7055" s="61" t="n">
        <f aca="false">G7049/Pressupostos!$C$112</f>
        <v>26.1826823630137</v>
      </c>
      <c r="H7055" s="2" t="s">
        <v>1413</v>
      </c>
    </row>
    <row r="7056" customFormat="false" ht="15" hidden="false" customHeight="false" outlineLevel="0" collapsed="false">
      <c r="A7056" s="3" t="s">
        <v>1414</v>
      </c>
      <c r="B7056" s="4"/>
      <c r="C7056" s="4"/>
      <c r="D7056" s="4"/>
      <c r="E7056" s="4"/>
      <c r="F7056" s="4"/>
      <c r="G7056" s="4"/>
      <c r="H7056" s="4"/>
    </row>
    <row r="7057" customFormat="false" ht="15" hidden="false" customHeight="false" outlineLevel="1" collapsed="false">
      <c r="A7057" s="7" t="s">
        <v>758</v>
      </c>
      <c r="B7057" s="8" t="s">
        <v>11</v>
      </c>
      <c r="C7057" s="61" t="n">
        <f aca="false">C7023</f>
        <v>-586332.91635274</v>
      </c>
      <c r="D7057" s="61" t="n">
        <f aca="false">D7023</f>
        <v>-705581.746061644</v>
      </c>
      <c r="E7057" s="61" t="n">
        <f aca="false">E7023</f>
        <v>-746461.230723459</v>
      </c>
      <c r="F7057" s="61" t="n">
        <f aca="false">F7023</f>
        <v>-745141.415968896</v>
      </c>
      <c r="G7057" s="61" t="n">
        <f aca="false">G7023</f>
        <v>-657299.311292786</v>
      </c>
      <c r="H7057" s="2" t="s">
        <v>1415</v>
      </c>
    </row>
    <row r="7058" customFormat="false" ht="15" hidden="false" customHeight="false" outlineLevel="1" collapsed="false">
      <c r="A7058" s="7" t="s">
        <v>759</v>
      </c>
      <c r="B7058" s="8" t="s">
        <v>11</v>
      </c>
      <c r="C7058" s="61" t="n">
        <f aca="false">-C7038</f>
        <v>-0</v>
      </c>
      <c r="D7058" s="61" t="n">
        <f aca="false">-D7038</f>
        <v>-0</v>
      </c>
      <c r="E7058" s="61" t="n">
        <f aca="false">-E7038</f>
        <v>-0</v>
      </c>
      <c r="F7058" s="61" t="n">
        <f aca="false">-F7038</f>
        <v>-0</v>
      </c>
      <c r="G7058" s="61" t="n">
        <f aca="false">-G7038</f>
        <v>-0</v>
      </c>
      <c r="H7058" s="2" t="s">
        <v>1416</v>
      </c>
    </row>
    <row r="7059" customFormat="false" ht="15" hidden="false" customHeight="false" outlineLevel="1" collapsed="false">
      <c r="A7059" s="7" t="s">
        <v>760</v>
      </c>
      <c r="B7059" s="8" t="s">
        <v>11</v>
      </c>
      <c r="C7059" s="61" t="n">
        <f aca="false">-C7047</f>
        <v>-53283.9232876712</v>
      </c>
      <c r="D7059" s="61" t="n">
        <f aca="false">-(D7047-C7047)</f>
        <v>-260261.610958904</v>
      </c>
      <c r="E7059" s="61" t="n">
        <f aca="false">-(E7047-D7047)</f>
        <v>-227247.123287671</v>
      </c>
      <c r="F7059" s="61" t="n">
        <f aca="false">-(F7047-E7047)</f>
        <v>-375870.520547945</v>
      </c>
      <c r="G7059" s="61" t="n">
        <f aca="false">-(G7047-F7047)</f>
        <v>-479746.547945205</v>
      </c>
      <c r="H7059" s="2" t="s">
        <v>1417</v>
      </c>
    </row>
    <row r="7060" customFormat="false" ht="15" hidden="false" customHeight="false" outlineLevel="1" collapsed="false">
      <c r="A7060" s="7" t="s">
        <v>424</v>
      </c>
      <c r="B7060" s="8" t="s">
        <v>11</v>
      </c>
      <c r="C7060" s="61" t="n">
        <f aca="false">-C7007</f>
        <v>-89000</v>
      </c>
      <c r="D7060" s="61" t="n">
        <f aca="false">-D7007</f>
        <v>-46000</v>
      </c>
      <c r="E7060" s="61" t="n">
        <f aca="false">-E7007</f>
        <v>-44000</v>
      </c>
      <c r="F7060" s="61" t="n">
        <f aca="false">-F7007</f>
        <v>-37000</v>
      </c>
      <c r="G7060" s="61" t="n">
        <f aca="false">-G7007</f>
        <v>-34000</v>
      </c>
      <c r="H7060" s="2" t="s">
        <v>1418</v>
      </c>
    </row>
    <row r="7061" customFormat="false" ht="15" hidden="false" customHeight="false" outlineLevel="1" collapsed="false">
      <c r="A7061" s="7" t="s">
        <v>761</v>
      </c>
      <c r="B7061" s="8" t="s">
        <v>11</v>
      </c>
      <c r="C7061" s="61" t="n">
        <f aca="false">C7057+C7058+C7059+C7060</f>
        <v>-728616.839640411</v>
      </c>
      <c r="D7061" s="61" t="n">
        <f aca="false">D7057+D7058+D7059+D7060</f>
        <v>-1011843.35702055</v>
      </c>
      <c r="E7061" s="61" t="n">
        <f aca="false">E7057+E7058+E7059+E7060</f>
        <v>-1017708.35401113</v>
      </c>
      <c r="F7061" s="61" t="n">
        <f aca="false">F7057+F7058+F7059+F7060</f>
        <v>-1158011.93651684</v>
      </c>
      <c r="G7061" s="61" t="n">
        <f aca="false">G7057+G7058+G7059+G7060</f>
        <v>-1171045.85923799</v>
      </c>
      <c r="H7061" s="2" t="s">
        <v>1419</v>
      </c>
    </row>
    <row r="7062" customFormat="false" ht="15" hidden="false" customHeight="false" outlineLevel="1" collapsed="false">
      <c r="A7062" s="7" t="s">
        <v>762</v>
      </c>
      <c r="B7062" s="8" t="s">
        <v>11</v>
      </c>
      <c r="C7062" s="61" t="n">
        <f aca="false">C7049</f>
        <v>0</v>
      </c>
      <c r="D7062" s="61" t="n">
        <f aca="false">D7049-C7049</f>
        <v>293948.938356164</v>
      </c>
      <c r="E7062" s="61" t="n">
        <f aca="false">E7049-D7049</f>
        <v>213044.178082192</v>
      </c>
      <c r="F7062" s="61" t="n">
        <f aca="false">F7049-E7049</f>
        <v>352378.613013699</v>
      </c>
      <c r="G7062" s="61" t="n">
        <f aca="false">G7049-F7049</f>
        <v>449762.38869863</v>
      </c>
      <c r="H7062" s="2" t="s">
        <v>1420</v>
      </c>
    </row>
    <row r="7063" customFormat="false" ht="15" hidden="false" customHeight="false" outlineLevel="1" collapsed="false">
      <c r="A7063" s="7" t="s">
        <v>763</v>
      </c>
      <c r="B7063" s="8" t="s">
        <v>11</v>
      </c>
      <c r="C7063" s="61" t="n">
        <f aca="false">-C7051</f>
        <v>-0</v>
      </c>
      <c r="D7063" s="61" t="n">
        <f aca="false">-(D7051-C7051)</f>
        <v>-58789.7876712328</v>
      </c>
      <c r="E7063" s="61" t="n">
        <f aca="false">-(E7051-D7051)</f>
        <v>-42608.8356164384</v>
      </c>
      <c r="F7063" s="61" t="n">
        <f aca="false">-(F7051-E7051)</f>
        <v>-70475.7226027398</v>
      </c>
      <c r="G7063" s="61" t="n">
        <f aca="false">-(G7051-F7051)</f>
        <v>-89952.4777397258</v>
      </c>
      <c r="H7063" s="2" t="s">
        <v>1421</v>
      </c>
    </row>
    <row r="7064" customFormat="false" ht="15" hidden="false" customHeight="false" outlineLevel="1" collapsed="false">
      <c r="A7064" s="7" t="s">
        <v>764</v>
      </c>
      <c r="B7064" s="8" t="s">
        <v>11</v>
      </c>
      <c r="C7064" s="61" t="n">
        <f aca="false">-C7054</f>
        <v>-0</v>
      </c>
      <c r="D7064" s="61" t="n">
        <f aca="false">-(D7054-C7054)</f>
        <v>-14697.4469178082</v>
      </c>
      <c r="E7064" s="61" t="n">
        <f aca="false">-(E7054-D7054)</f>
        <v>-10652.2089041096</v>
      </c>
      <c r="F7064" s="61" t="n">
        <f aca="false">-(F7054-E7054)</f>
        <v>-17618.9306506849</v>
      </c>
      <c r="G7064" s="61" t="n">
        <f aca="false">-(G7054-F7054)</f>
        <v>-22488.1194349315</v>
      </c>
      <c r="H7064" s="2" t="s">
        <v>1422</v>
      </c>
    </row>
    <row r="7065" customFormat="false" ht="15" hidden="false" customHeight="false" outlineLevel="1" collapsed="false">
      <c r="A7065" s="7" t="s">
        <v>765</v>
      </c>
      <c r="B7065" s="8" t="s">
        <v>11</v>
      </c>
      <c r="C7065" s="61" t="n">
        <f aca="false">-(C7053-Pressupostos!$C$108)</f>
        <v>50000</v>
      </c>
      <c r="D7065" s="61" t="n">
        <f aca="false">-(D7053-C7053)</f>
        <v>-0</v>
      </c>
      <c r="E7065" s="61" t="n">
        <f aca="false">-(E7053-D7053)</f>
        <v>-0</v>
      </c>
      <c r="F7065" s="61" t="n">
        <f aca="false">-(F7053-E7053)</f>
        <v>-0</v>
      </c>
      <c r="G7065" s="61" t="n">
        <f aca="false">-(G7053-F7053)</f>
        <v>-0</v>
      </c>
      <c r="H7065" s="2" t="s">
        <v>1423</v>
      </c>
    </row>
    <row r="7066" customFormat="false" ht="15" hidden="false" customHeight="false" outlineLevel="1" collapsed="false">
      <c r="A7066" s="56" t="s">
        <v>766</v>
      </c>
      <c r="B7066" s="57" t="s">
        <v>11</v>
      </c>
      <c r="C7066" s="62" t="n">
        <f aca="false">C7061+C7062+C7063+C7064+C7065</f>
        <v>-678616.839640411</v>
      </c>
      <c r="D7066" s="62" t="n">
        <f aca="false">D7061+D7062+D7063+D7064+D7065</f>
        <v>-791381.653253425</v>
      </c>
      <c r="E7066" s="62" t="n">
        <f aca="false">E7061+E7062+E7063+E7064+E7065</f>
        <v>-857925.220449487</v>
      </c>
      <c r="F7066" s="62" t="n">
        <f aca="false">F7061+F7062+F7063+F7064+F7065</f>
        <v>-893727.976756567</v>
      </c>
      <c r="G7066" s="62" t="n">
        <f aca="false">G7061+G7062+G7063+G7064+G7065</f>
        <v>-833724.067714019</v>
      </c>
      <c r="H7066" s="2" t="s">
        <v>1424</v>
      </c>
    </row>
    <row r="7067" customFormat="false" ht="15" hidden="false" customHeight="false" outlineLevel="1" collapsed="false">
      <c r="A7067" s="56" t="s">
        <v>767</v>
      </c>
      <c r="B7067" s="57" t="s">
        <v>11</v>
      </c>
      <c r="C7067" s="62" t="n">
        <f aca="false">C7066</f>
        <v>-678616.839640411</v>
      </c>
      <c r="D7067" s="62" t="n">
        <f aca="false">C7067+D7066</f>
        <v>-1469998.49289384</v>
      </c>
      <c r="E7067" s="62" t="n">
        <f aca="false">D7067+E7066</f>
        <v>-2327923.71334332</v>
      </c>
      <c r="F7067" s="62" t="n">
        <f aca="false">E7067+F7066</f>
        <v>-3221651.69009989</v>
      </c>
      <c r="G7067" s="62" t="n">
        <f aca="false">F7067+G7066</f>
        <v>-4055375.75781391</v>
      </c>
      <c r="H7067" s="2" t="s">
        <v>1425</v>
      </c>
    </row>
    <row r="7068" customFormat="false" ht="15" hidden="false" customHeight="false" outlineLevel="1" collapsed="false">
      <c r="A7068" s="8" t="s">
        <v>768</v>
      </c>
      <c r="B7068" s="8" t="s">
        <v>11</v>
      </c>
      <c r="C7068" s="70" t="n">
        <f aca="false">ROUND(C7023-C7007-C7038-(MAX(C7052,Pressupostos!$C$108)-Pressupostos!$C$108)-(C7054)-C7066,6)</f>
        <v>0</v>
      </c>
      <c r="D7068" s="70" t="n">
        <f aca="false">ROUND(D7023-D7007-D7038-(MAX(D7052,Pressupostos!$C$108)-MAX(C7052,Pressupostos!$C$108))-(D7054-C7054)-D7066,6)</f>
        <v>0</v>
      </c>
      <c r="E7068" s="70" t="n">
        <f aca="false">ROUND(E7023-E7007-E7038-(MAX(E7052,Pressupostos!$C$108)-MAX(D7052,Pressupostos!$C$108))-(E7054-D7054)-E7066,6)</f>
        <v>0</v>
      </c>
      <c r="F7068" s="70" t="n">
        <f aca="false">ROUND(F7023-F7007-F7038-(MAX(F7052,Pressupostos!$C$108)-MAX(E7052,Pressupostos!$C$108))-(F7054-E7054)-F7066,6)</f>
        <v>0</v>
      </c>
      <c r="G7068" s="70" t="n">
        <f aca="false">ROUND(G7023-G7007-G7038-(MAX(G7052,Pressupostos!$C$108)-MAX(F7052,Pressupostos!$C$108))-(G7054-F7054)-G7066,6)</f>
        <v>0</v>
      </c>
      <c r="H7068" s="2" t="s">
        <v>1426</v>
      </c>
    </row>
    <row r="7069" customFormat="false" ht="15" hidden="false" customHeight="false" outlineLevel="0" collapsed="false">
      <c r="A7069" s="3" t="s">
        <v>1427</v>
      </c>
      <c r="B7069" s="4"/>
      <c r="C7069" s="4"/>
      <c r="D7069" s="4"/>
      <c r="E7069" s="4"/>
      <c r="F7069" s="4"/>
      <c r="G7069" s="4"/>
      <c r="H7069" s="4"/>
    </row>
    <row r="7070" customFormat="false" ht="15" hidden="false" customHeight="false" outlineLevel="1" collapsed="false">
      <c r="A7070" s="7" t="s">
        <v>770</v>
      </c>
      <c r="B7070" s="8" t="s">
        <v>11</v>
      </c>
      <c r="C7070" s="61" t="n">
        <f aca="false">0</f>
        <v>0</v>
      </c>
      <c r="D7070" s="61" t="n">
        <f aca="false">C7075</f>
        <v>276383.160359589</v>
      </c>
      <c r="E7070" s="61" t="n">
        <f aca="false">D7075</f>
        <v>150000</v>
      </c>
      <c r="F7070" s="61" t="n">
        <f aca="false">E7075</f>
        <v>150000</v>
      </c>
      <c r="G7070" s="61" t="n">
        <f aca="false">F7075</f>
        <v>150000</v>
      </c>
      <c r="H7070" s="2" t="s">
        <v>1428</v>
      </c>
    </row>
    <row r="7071" customFormat="false" ht="15" hidden="false" customHeight="false" outlineLevel="1" collapsed="false">
      <c r="A7071" s="7" t="s">
        <v>771</v>
      </c>
      <c r="B7071" s="8" t="s">
        <v>11</v>
      </c>
      <c r="C7071" s="61" t="n">
        <f aca="false">-(Pressupostos!$C$159+Pressupostos!$C$160+Pressupostos!$C$161+Pressupostos!$C$162+Pressupostos!$C$163+Pressupostos!$C$108)</f>
        <v>-145000</v>
      </c>
      <c r="D7071" s="61" t="n">
        <f aca="false">0</f>
        <v>0</v>
      </c>
      <c r="E7071" s="61" t="n">
        <f aca="false">0</f>
        <v>0</v>
      </c>
      <c r="F7071" s="61" t="n">
        <f aca="false">0</f>
        <v>0</v>
      </c>
      <c r="G7071" s="61" t="n">
        <f aca="false">0</f>
        <v>0</v>
      </c>
      <c r="H7071" s="2" t="s">
        <v>1429</v>
      </c>
    </row>
    <row r="7072" customFormat="false" ht="15" hidden="false" customHeight="false" outlineLevel="1" collapsed="false">
      <c r="A7072" s="7" t="s">
        <v>772</v>
      </c>
      <c r="B7072" s="8" t="s">
        <v>11</v>
      </c>
      <c r="C7072" s="53" t="n">
        <f aca="false">Pressupostos!$F$32</f>
        <v>1100000</v>
      </c>
      <c r="D7072" s="61" t="n">
        <f aca="false">0</f>
        <v>0</v>
      </c>
      <c r="E7072" s="61" t="n">
        <f aca="false">0</f>
        <v>0</v>
      </c>
      <c r="F7072" s="61" t="n">
        <f aca="false">0</f>
        <v>0</v>
      </c>
      <c r="G7072" s="61" t="n">
        <f aca="false">0</f>
        <v>0</v>
      </c>
      <c r="H7072" s="2" t="s">
        <v>1430</v>
      </c>
    </row>
    <row r="7073" customFormat="false" ht="15" hidden="false" customHeight="false" outlineLevel="1" collapsed="false">
      <c r="A7073" s="7" t="s">
        <v>773</v>
      </c>
      <c r="B7073" s="8" t="s">
        <v>11</v>
      </c>
      <c r="C7073" s="61" t="n">
        <f aca="false">C7070+C7071+C7072+C7066</f>
        <v>276383.160359589</v>
      </c>
      <c r="D7073" s="61" t="n">
        <f aca="false">D7070+D7071+D7072+D7066</f>
        <v>-514998.492893836</v>
      </c>
      <c r="E7073" s="61" t="n">
        <f aca="false">E7070+E7071+E7072+E7066</f>
        <v>-707925.220449487</v>
      </c>
      <c r="F7073" s="61" t="n">
        <f aca="false">F7070+F7071+F7072+F7066</f>
        <v>-743727.976756567</v>
      </c>
      <c r="G7073" s="61" t="n">
        <f aca="false">G7070+G7071+G7072+G7066</f>
        <v>-683724.067714019</v>
      </c>
      <c r="H7073" s="2" t="s">
        <v>1431</v>
      </c>
    </row>
    <row r="7074" customFormat="false" ht="15" hidden="false" customHeight="false" outlineLevel="1" collapsed="false">
      <c r="A7074" s="56" t="s">
        <v>774</v>
      </c>
      <c r="B7074" s="57" t="s">
        <v>11</v>
      </c>
      <c r="C7074" s="62" t="n">
        <f aca="false">MAX(0,Pressupostos!$C$170-C7073)</f>
        <v>0</v>
      </c>
      <c r="D7074" s="62" t="n">
        <f aca="false">MAX(0,Pressupostos!$C$170-D7073)</f>
        <v>664998.492893836</v>
      </c>
      <c r="E7074" s="62" t="n">
        <f aca="false">MAX(0,Pressupostos!$C$170-E7073)</f>
        <v>857925.220449487</v>
      </c>
      <c r="F7074" s="62" t="n">
        <f aca="false">MAX(0,Pressupostos!$C$170-F7073)</f>
        <v>893727.976756567</v>
      </c>
      <c r="G7074" s="62" t="n">
        <f aca="false">MAX(0,Pressupostos!$C$170-G7073)</f>
        <v>833724.067714019</v>
      </c>
      <c r="H7074" s="2" t="s">
        <v>1432</v>
      </c>
    </row>
    <row r="7075" customFormat="false" ht="15" hidden="false" customHeight="false" outlineLevel="1" collapsed="false">
      <c r="A7075" s="56" t="s">
        <v>775</v>
      </c>
      <c r="B7075" s="57" t="s">
        <v>11</v>
      </c>
      <c r="C7075" s="62" t="n">
        <f aca="false">C7073+C7074</f>
        <v>276383.160359589</v>
      </c>
      <c r="D7075" s="62" t="n">
        <f aca="false">D7073+D7074</f>
        <v>150000</v>
      </c>
      <c r="E7075" s="62" t="n">
        <f aca="false">E7073+E7074</f>
        <v>150000</v>
      </c>
      <c r="F7075" s="62" t="n">
        <f aca="false">F7073+F7074</f>
        <v>150000</v>
      </c>
      <c r="G7075" s="62" t="n">
        <f aca="false">G7073+G7074</f>
        <v>150000</v>
      </c>
      <c r="H7075" s="2" t="s">
        <v>1433</v>
      </c>
    </row>
    <row r="7076" customFormat="false" ht="15" hidden="false" customHeight="false" outlineLevel="1" collapsed="false">
      <c r="A7076" s="7" t="s">
        <v>776</v>
      </c>
      <c r="B7076" s="8" t="s">
        <v>11</v>
      </c>
      <c r="C7076" s="61" t="n">
        <f aca="false">C7051+C7054+C7053</f>
        <v>0</v>
      </c>
      <c r="D7076" s="61" t="n">
        <f aca="false">D7051+D7054+D7053</f>
        <v>73487.2345890411</v>
      </c>
      <c r="E7076" s="61" t="n">
        <f aca="false">E7051+E7054+E7053</f>
        <v>126748.279109589</v>
      </c>
      <c r="F7076" s="61" t="n">
        <f aca="false">F7051+F7054+F7053</f>
        <v>214842.932363014</v>
      </c>
      <c r="G7076" s="61" t="n">
        <f aca="false">G7051+G7054+G7053</f>
        <v>327283.529537671</v>
      </c>
      <c r="H7076" s="2" t="s">
        <v>1434</v>
      </c>
    </row>
    <row r="7077" customFormat="false" ht="15" hidden="false" customHeight="false" outlineLevel="1" collapsed="false">
      <c r="A7077" s="7" t="s">
        <v>777</v>
      </c>
      <c r="B7077" s="8" t="s">
        <v>11</v>
      </c>
      <c r="C7077" s="61" t="n">
        <f aca="false">C7075+C7076</f>
        <v>276383.160359589</v>
      </c>
      <c r="D7077" s="61" t="n">
        <f aca="false">D7075+D7076</f>
        <v>223487.234589041</v>
      </c>
      <c r="E7077" s="61" t="n">
        <f aca="false">E7075+E7076</f>
        <v>276748.279109589</v>
      </c>
      <c r="F7077" s="61" t="n">
        <f aca="false">F7075+F7076</f>
        <v>364842.932363014</v>
      </c>
      <c r="G7077" s="61" t="n">
        <f aca="false">G7075+G7076</f>
        <v>477283.529537671</v>
      </c>
      <c r="H7077" s="2" t="s">
        <v>1435</v>
      </c>
    </row>
    <row r="7078" customFormat="false" ht="15" hidden="false" customHeight="false" outlineLevel="1" collapsed="false">
      <c r="A7078" s="7" t="s">
        <v>778</v>
      </c>
      <c r="B7078" s="8" t="s">
        <v>11</v>
      </c>
      <c r="C7078" s="61" t="n">
        <f aca="false">C7072+C7074</f>
        <v>1100000</v>
      </c>
      <c r="D7078" s="61" t="n">
        <f aca="false">C7078+D7072+D7074</f>
        <v>1764998.49289384</v>
      </c>
      <c r="E7078" s="61" t="n">
        <f aca="false">D7078+E7072+E7074</f>
        <v>2622923.71334332</v>
      </c>
      <c r="F7078" s="61" t="n">
        <f aca="false">E7078+F7072+F7074</f>
        <v>3516651.69009989</v>
      </c>
      <c r="G7078" s="61" t="n">
        <f aca="false">F7078+G7072+G7074</f>
        <v>4350375.75781391</v>
      </c>
      <c r="H7078" s="2" t="s">
        <v>1436</v>
      </c>
    </row>
    <row r="7079" customFormat="false" ht="15" hidden="false" customHeight="false" outlineLevel="0" collapsed="false">
      <c r="A7079" s="3" t="s">
        <v>1437</v>
      </c>
      <c r="B7079" s="4"/>
      <c r="C7079" s="4"/>
      <c r="D7079" s="4"/>
      <c r="E7079" s="4"/>
      <c r="F7079" s="4"/>
      <c r="G7079" s="4"/>
      <c r="H7079" s="4"/>
    </row>
    <row r="7080" customFormat="false" ht="15" hidden="false" customHeight="false" outlineLevel="1" collapsed="false">
      <c r="A7080" s="7" t="s">
        <v>782</v>
      </c>
      <c r="B7080" s="8" t="s">
        <v>11</v>
      </c>
      <c r="C7080" s="72" t="n">
        <f aca="false">Pressupostos!$C$159+Pressupostos!$C$160+Pressupostos!$C$161+Pressupostos!$C$162+Pressupostos!$C$163</f>
        <v>95000</v>
      </c>
      <c r="H7080" s="2" t="s">
        <v>1438</v>
      </c>
    </row>
    <row r="7081" customFormat="false" ht="15" hidden="false" customHeight="false" outlineLevel="1" collapsed="false">
      <c r="A7081" s="7" t="s">
        <v>783</v>
      </c>
      <c r="B7081" s="8" t="s">
        <v>11</v>
      </c>
      <c r="C7081" s="73" t="n">
        <f aca="false">Pressupostos!$C$108</f>
        <v>50000</v>
      </c>
      <c r="H7081" s="2" t="s">
        <v>1439</v>
      </c>
    </row>
    <row r="7082" customFormat="false" ht="15" hidden="false" customHeight="false" outlineLevel="1" collapsed="false">
      <c r="A7082" s="7" t="s">
        <v>322</v>
      </c>
      <c r="B7082" s="8" t="s">
        <v>11</v>
      </c>
      <c r="C7082" s="73" t="n">
        <f aca="false">Pressupostos!$C$170</f>
        <v>150000</v>
      </c>
      <c r="H7082" s="2" t="s">
        <v>1440</v>
      </c>
    </row>
    <row r="7083" customFormat="false" ht="15" hidden="false" customHeight="false" outlineLevel="1" collapsed="false">
      <c r="A7083" s="7" t="s">
        <v>784</v>
      </c>
      <c r="B7083" s="8" t="s">
        <v>11</v>
      </c>
      <c r="C7083" s="72" t="n">
        <f aca="false">MAX(0,-MIN($C$7067:$G$7067))</f>
        <v>4055375.75781391</v>
      </c>
      <c r="H7083" s="2" t="s">
        <v>1441</v>
      </c>
    </row>
    <row r="7084" customFormat="false" ht="15" hidden="false" customHeight="false" outlineLevel="1" collapsed="false">
      <c r="A7084" s="56" t="s">
        <v>785</v>
      </c>
      <c r="B7084" s="57" t="s">
        <v>11</v>
      </c>
      <c r="C7084" s="74" t="n">
        <f aca="false">C7080+C7081+C7082+C7083</f>
        <v>4350375.75781391</v>
      </c>
      <c r="H7084" s="2" t="s">
        <v>1442</v>
      </c>
    </row>
    <row r="7085" customFormat="false" ht="15" hidden="false" customHeight="false" outlineLevel="1" collapsed="false">
      <c r="A7085" s="7" t="s">
        <v>786</v>
      </c>
      <c r="B7085" s="8" t="s">
        <v>20</v>
      </c>
      <c r="C7085" s="75" t="n">
        <f aca="false">INDEX($C$6812:$G$6812,1,MATCH(MIN($C$7067:$G$7067),$C$7067:$G$7067,0))</f>
        <v>2031</v>
      </c>
      <c r="H7085" s="2" t="s">
        <v>1443</v>
      </c>
    </row>
    <row r="7086" customFormat="false" ht="15" hidden="false" customHeight="false" outlineLevel="1" collapsed="false">
      <c r="A7086" s="7" t="s">
        <v>787</v>
      </c>
      <c r="B7086" s="8"/>
      <c r="C7086" s="76" t="str">
        <f aca="false">IF(G7066&lt;0,"sim","não")</f>
        <v>sim</v>
      </c>
      <c r="H7086" s="2" t="s">
        <v>1444</v>
      </c>
    </row>
    <row r="7087" customFormat="false" ht="15" hidden="false" customHeight="false" outlineLevel="1" collapsed="false">
      <c r="A7087" s="7" t="s">
        <v>788</v>
      </c>
      <c r="B7087" s="8" t="s">
        <v>11</v>
      </c>
      <c r="C7087" s="72" t="n">
        <f aca="false">G7078</f>
        <v>4350375.75781391</v>
      </c>
      <c r="H7087" s="2" t="s">
        <v>1445</v>
      </c>
    </row>
    <row r="7088" customFormat="false" ht="15" hidden="false" customHeight="false" outlineLevel="0" collapsed="false">
      <c r="A7088" s="3" t="s">
        <v>1446</v>
      </c>
      <c r="B7088" s="4"/>
      <c r="C7088" s="4"/>
      <c r="D7088" s="4"/>
      <c r="E7088" s="4"/>
      <c r="F7088" s="4"/>
      <c r="G7088" s="4"/>
      <c r="H7088" s="4"/>
    </row>
    <row r="7089" customFormat="false" ht="15" hidden="false" customHeight="false" outlineLevel="1" collapsed="false">
      <c r="A7089" s="7" t="s">
        <v>790</v>
      </c>
      <c r="B7089" s="8" t="s">
        <v>11</v>
      </c>
      <c r="C7089" s="72" t="n">
        <f aca="false">C7080+C7081</f>
        <v>145000</v>
      </c>
      <c r="H7089" s="2" t="s">
        <v>1447</v>
      </c>
    </row>
    <row r="7090" customFormat="false" ht="15" hidden="false" customHeight="false" outlineLevel="1" collapsed="false">
      <c r="A7090" s="7" t="s">
        <v>791</v>
      </c>
      <c r="B7090" s="8" t="s">
        <v>11</v>
      </c>
      <c r="C7090" s="72" t="n">
        <f aca="false">-SUMPRODUCT(($C$6812:$G$6812&lt;=C7085)*$C$7023:$G$7023)</f>
        <v>3440816.62039953</v>
      </c>
      <c r="H7090" s="2" t="s">
        <v>1448</v>
      </c>
    </row>
    <row r="7091" customFormat="false" ht="15" hidden="false" customHeight="false" outlineLevel="1" collapsed="false">
      <c r="A7091" s="7" t="s">
        <v>424</v>
      </c>
      <c r="B7091" s="8" t="s">
        <v>11</v>
      </c>
      <c r="C7091" s="72" t="n">
        <f aca="false">SUMPRODUCT(($C$6812:$G$6812&lt;=C7085)*$C$7007:$G$7007)</f>
        <v>250000</v>
      </c>
      <c r="H7091" s="2" t="s">
        <v>1449</v>
      </c>
    </row>
    <row r="7092" customFormat="false" ht="15" hidden="false" customHeight="false" outlineLevel="1" collapsed="false">
      <c r="A7092" s="7" t="s">
        <v>792</v>
      </c>
      <c r="B7092" s="8" t="s">
        <v>11</v>
      </c>
      <c r="C7092" s="72" t="n">
        <f aca="false">SUMPRODUCT(($C$6812:$G$6812&lt;=C7085)*$C$7038:$G$7038)</f>
        <v>0</v>
      </c>
      <c r="H7092" s="2" t="s">
        <v>1450</v>
      </c>
    </row>
    <row r="7093" customFormat="false" ht="15" hidden="false" customHeight="false" outlineLevel="1" collapsed="false">
      <c r="A7093" s="7" t="s">
        <v>793</v>
      </c>
      <c r="B7093" s="8" t="s">
        <v>11</v>
      </c>
      <c r="C7093" s="72" t="n">
        <f aca="false">C7083-C7090-C7091-C7092</f>
        <v>364559.137414383</v>
      </c>
      <c r="H7093" s="2" t="s">
        <v>1451</v>
      </c>
    </row>
    <row r="7094" customFormat="false" ht="15" hidden="false" customHeight="false" outlineLevel="1" collapsed="false">
      <c r="A7094" s="7" t="s">
        <v>322</v>
      </c>
      <c r="B7094" s="8" t="s">
        <v>11</v>
      </c>
      <c r="C7094" s="72" t="n">
        <f aca="false">C7082</f>
        <v>150000</v>
      </c>
      <c r="H7094" s="2" t="s">
        <v>1452</v>
      </c>
    </row>
    <row r="7095" customFormat="false" ht="15" hidden="false" customHeight="false" outlineLevel="1" collapsed="false">
      <c r="A7095" s="56" t="s">
        <v>794</v>
      </c>
      <c r="B7095" s="57" t="s">
        <v>11</v>
      </c>
      <c r="C7095" s="74" t="n">
        <f aca="false">C7089+C7090+C7091+C7092+C7093+C7094</f>
        <v>4350375.75781391</v>
      </c>
      <c r="H7095" s="2" t="s">
        <v>1453</v>
      </c>
    </row>
    <row r="7096" customFormat="false" ht="15" hidden="false" customHeight="false" outlineLevel="0" collapsed="false">
      <c r="A7096" s="3" t="s">
        <v>1454</v>
      </c>
      <c r="B7096" s="4"/>
      <c r="C7096" s="4"/>
      <c r="D7096" s="4"/>
      <c r="E7096" s="4"/>
      <c r="F7096" s="4"/>
      <c r="G7096" s="4"/>
      <c r="H7096" s="4"/>
    </row>
    <row r="7097" customFormat="false" ht="15" hidden="false" customHeight="false" outlineLevel="1" collapsed="false">
      <c r="A7097" s="7" t="s">
        <v>772</v>
      </c>
      <c r="B7097" s="8" t="s">
        <v>11</v>
      </c>
      <c r="C7097" s="73" t="n">
        <f aca="false">Pressupostos!$F$32</f>
        <v>1100000</v>
      </c>
      <c r="H7097" s="2" t="s">
        <v>1455</v>
      </c>
    </row>
    <row r="7098" customFormat="false" ht="15" hidden="false" customHeight="false" outlineLevel="1" collapsed="false">
      <c r="A7098" s="7" t="s">
        <v>796</v>
      </c>
      <c r="B7098" s="8" t="s">
        <v>11</v>
      </c>
      <c r="C7098" s="72" t="n">
        <f aca="false">C7080+Pressupostos!$C$108+Pressupostos!$C$130/12*((C6982-C6970-C6971+(C6970+C6971)/Pressupostos!$C$128*Pressupostos!$C$129)*(1+Pressupostos!$C$124+Pressupostos!$C$125)+C6968*Pressupostos!$C$126+C7001)+C7007+MAX(0,Pressupostos!$C$183*1000*(C6833+C6836)+Pressupostos!$C$184*1000*(C6856+C6859)-Pressupostos!$C$108)</f>
        <v>652596.666666667</v>
      </c>
      <c r="H7098" s="2" t="s">
        <v>1456</v>
      </c>
    </row>
    <row r="7099" customFormat="false" ht="15" hidden="false" customHeight="false" outlineLevel="1" collapsed="false">
      <c r="A7099" s="7" t="s">
        <v>798</v>
      </c>
      <c r="B7099" s="8" t="s">
        <v>11</v>
      </c>
      <c r="C7099" s="72" t="n">
        <f aca="false">C7080+Pressupostos!$C$108-C7066</f>
        <v>823616.839640411</v>
      </c>
      <c r="H7099" s="2" t="s">
        <v>1457</v>
      </c>
    </row>
    <row r="7100" customFormat="false" ht="15" hidden="false" customHeight="false" outlineLevel="1" collapsed="false">
      <c r="A7100" s="7" t="s">
        <v>799</v>
      </c>
      <c r="B7100" s="8" t="s">
        <v>11</v>
      </c>
      <c r="C7100" s="61" t="n">
        <f aca="false">Pressupostos!$F$32-C7080-Pressupostos!$C$108+C7067</f>
        <v>276383.160359589</v>
      </c>
      <c r="D7100" s="61" t="n">
        <f aca="false">Pressupostos!$F$32-C7080-Pressupostos!$C$108+D7067</f>
        <v>-514998.492893836</v>
      </c>
      <c r="E7100" s="61" t="n">
        <f aca="false">Pressupostos!$F$32-C7080-Pressupostos!$C$108+E7067</f>
        <v>-1372923.71334332</v>
      </c>
      <c r="F7100" s="61" t="n">
        <f aca="false">Pressupostos!$F$32-C7080-Pressupostos!$C$108+F7067</f>
        <v>-2266651.69009989</v>
      </c>
      <c r="G7100" s="61" t="n">
        <f aca="false">Pressupostos!$F$32-C7080-Pressupostos!$C$108+G7067</f>
        <v>-3100375.75781391</v>
      </c>
      <c r="H7100" s="2" t="s">
        <v>1458</v>
      </c>
    </row>
    <row r="7101" customFormat="false" ht="15" hidden="false" customHeight="false" outlineLevel="1" collapsed="false">
      <c r="A7101" s="7" t="s">
        <v>800</v>
      </c>
      <c r="B7101" s="8" t="s">
        <v>18</v>
      </c>
      <c r="C7101" s="77" t="str">
        <f aca="false">IF(AND(Pressupostos!$F$32-C7080-Pressupostos!$C$108&gt;0,C7100&lt;=0),12*(Pressupostos!$F$32-C7080-Pressupostos!$C$108)/(Pressupostos!$F$32-C7080-Pressupostos!$C$108-C7100),"")</f>
        <v/>
      </c>
      <c r="D7101" s="77" t="n">
        <f aca="false">IF(AND(C7100&gt;0,D7100&lt;=0),12+12*C7100/(C7100-D7100),"")</f>
        <v>16.1908956452052</v>
      </c>
      <c r="E7101" s="77" t="str">
        <f aca="false">IF(AND(D7100&gt;0,E7100&lt;=0),24+12*D7100/(D7100-E7100),"")</f>
        <v/>
      </c>
      <c r="F7101" s="77" t="str">
        <f aca="false">IF(AND(E7100&gt;0,F7100&lt;=0),36+12*E7100/(E7100-F7100),"")</f>
        <v/>
      </c>
      <c r="G7101" s="77" t="str">
        <f aca="false">IF(AND(F7100&gt;0,G7100&lt;=0),48+12*F7100/(F7100-G7100),"")</f>
        <v/>
      </c>
      <c r="H7101" s="2" t="s">
        <v>1459</v>
      </c>
    </row>
    <row r="7102" customFormat="false" ht="15" hidden="false" customHeight="false" outlineLevel="1" collapsed="false">
      <c r="A7102" s="56" t="s">
        <v>801</v>
      </c>
      <c r="B7102" s="57" t="s">
        <v>274</v>
      </c>
      <c r="C7102" s="78" t="n">
        <f aca="false">IF(COUNT($C$7101:$G$7101)=0,"&gt; 60",MIN($C$7101:$G$7101))</f>
        <v>16.1908956452052</v>
      </c>
      <c r="H7102" s="2" t="s">
        <v>1460</v>
      </c>
    </row>
    <row r="7103" customFormat="false" ht="15" hidden="false" customHeight="false" outlineLevel="0" collapsed="false">
      <c r="A7103" s="3" t="s">
        <v>1461</v>
      </c>
      <c r="B7103" s="4"/>
      <c r="C7103" s="4"/>
      <c r="D7103" s="4"/>
      <c r="E7103" s="4"/>
      <c r="F7103" s="4"/>
      <c r="G7103" s="4"/>
      <c r="H7103" s="4"/>
    </row>
    <row r="7104" customFormat="false" ht="15" hidden="false" customHeight="false" outlineLevel="1" collapsed="false">
      <c r="A7104" s="7" t="s">
        <v>803</v>
      </c>
      <c r="B7104" s="8" t="s">
        <v>18</v>
      </c>
      <c r="C7104" s="77" t="str">
        <f aca="false">IF(C7023&gt;=0,1,"")</f>
        <v/>
      </c>
      <c r="D7104" s="77" t="str">
        <f aca="false">IF(AND(C7023&lt;0,D7023&gt;=0),6.5+12*(-C7023)/(D7023-C7023),"")</f>
        <v/>
      </c>
      <c r="E7104" s="77" t="str">
        <f aca="false">IF(AND(D7023&lt;0,E7023&gt;=0),18.5+12*(-D7023)/(E7023-D7023),"")</f>
        <v/>
      </c>
      <c r="F7104" s="77" t="str">
        <f aca="false">IF(AND(E7023&lt;0,F7023&gt;=0),30.5+12*(-E7023)/(F7023-E7023),"")</f>
        <v/>
      </c>
      <c r="G7104" s="77" t="str">
        <f aca="false">IF(AND(F7023&lt;0,G7023&gt;=0),42.5+12*(-F7023)/(G7023-F7023),"")</f>
        <v/>
      </c>
      <c r="H7104" s="2" t="s">
        <v>1462</v>
      </c>
    </row>
    <row r="7105" customFormat="false" ht="15" hidden="false" customHeight="false" outlineLevel="1" collapsed="false">
      <c r="A7105" s="7" t="s">
        <v>804</v>
      </c>
      <c r="B7105" s="8" t="s">
        <v>18</v>
      </c>
      <c r="C7105" s="79" t="str">
        <f aca="false">IF(COUNT($C$7104:$G$7104)=0,"não atinge até 2031",ROUNDUP(MIN($C$7104:$G$7104),0))</f>
        <v>não atinge até 2031</v>
      </c>
      <c r="H7105" s="2" t="s">
        <v>1463</v>
      </c>
    </row>
    <row r="7106" customFormat="false" ht="15" hidden="false" customHeight="false" outlineLevel="1" collapsed="false">
      <c r="A7106" s="56" t="s">
        <v>805</v>
      </c>
      <c r="B7106" s="57" t="s">
        <v>806</v>
      </c>
      <c r="C7106" s="80" t="str">
        <f aca="false">IF(ISNUMBER(C7105),DATE(2027,C7105,1),"não atinge até 2031")</f>
        <v>não atinge até 2031</v>
      </c>
      <c r="H7106" s="2" t="s">
        <v>1464</v>
      </c>
    </row>
    <row r="7107" customFormat="false" ht="15" hidden="false" customHeight="false" outlineLevel="1" collapsed="false">
      <c r="A7107" s="7" t="s">
        <v>807</v>
      </c>
      <c r="B7107" s="8" t="s">
        <v>20</v>
      </c>
      <c r="C7107" s="81" t="str">
        <f aca="false">IF(C7023&gt;=0,C6812,"")</f>
        <v/>
      </c>
      <c r="D7107" s="81" t="str">
        <f aca="false">IF(D7023&gt;=0,D6812,"")</f>
        <v/>
      </c>
      <c r="E7107" s="81" t="str">
        <f aca="false">IF(E7023&gt;=0,E6812,"")</f>
        <v/>
      </c>
      <c r="F7107" s="81" t="str">
        <f aca="false">IF(F7023&gt;=0,F6812,"")</f>
        <v/>
      </c>
      <c r="G7107" s="81" t="str">
        <f aca="false">IF(G7023&gt;=0,G6812,"")</f>
        <v/>
      </c>
      <c r="H7107" s="2" t="s">
        <v>1465</v>
      </c>
    </row>
    <row r="7108" customFormat="false" ht="15" hidden="false" customHeight="false" outlineLevel="1" collapsed="false">
      <c r="A7108" s="7" t="s">
        <v>808</v>
      </c>
      <c r="B7108" s="8" t="s">
        <v>20</v>
      </c>
      <c r="C7108" s="75" t="str">
        <f aca="false">IF(COUNT($C$7107:$G$7107)=0,"não atinge até 2031",MIN($C$7107:$G$7107))</f>
        <v>não atinge até 2031</v>
      </c>
      <c r="H7108" s="2" t="s">
        <v>1466</v>
      </c>
    </row>
    <row r="7109" customFormat="false" ht="15" hidden="false" customHeight="false" outlineLevel="1" collapsed="false">
      <c r="A7109" s="7" t="s">
        <v>809</v>
      </c>
      <c r="B7109" s="8" t="s">
        <v>20</v>
      </c>
      <c r="C7109" s="81" t="str">
        <f aca="false">IF(C7041&gt;=0,C6812,"")</f>
        <v/>
      </c>
      <c r="D7109" s="81" t="str">
        <f aca="false">IF(D7041&gt;=0,D6812,"")</f>
        <v/>
      </c>
      <c r="E7109" s="81" t="str">
        <f aca="false">IF(E7041&gt;=0,E6812,"")</f>
        <v/>
      </c>
      <c r="F7109" s="81" t="str">
        <f aca="false">IF(F7041&gt;=0,F6812,"")</f>
        <v/>
      </c>
      <c r="G7109" s="81" t="str">
        <f aca="false">IF(G7041&gt;=0,G6812,"")</f>
        <v/>
      </c>
      <c r="H7109" s="2" t="s">
        <v>1467</v>
      </c>
    </row>
    <row r="7110" customFormat="false" ht="15" hidden="false" customHeight="false" outlineLevel="1" collapsed="false">
      <c r="A7110" s="7" t="s">
        <v>810</v>
      </c>
      <c r="B7110" s="8" t="s">
        <v>20</v>
      </c>
      <c r="C7110" s="75" t="str">
        <f aca="false">IF(COUNT($C$7109:$G$7109)=0,"não atinge até 2031",MIN($C$7109:$G$7109))</f>
        <v>não atinge até 2031</v>
      </c>
      <c r="H7110" s="2" t="s">
        <v>1468</v>
      </c>
    </row>
    <row r="7111" customFormat="false" ht="15" hidden="false" customHeight="false" outlineLevel="1" collapsed="false">
      <c r="A7111" s="7" t="s">
        <v>811</v>
      </c>
      <c r="B7111" s="8" t="s">
        <v>20</v>
      </c>
      <c r="C7111" s="81" t="str">
        <f aca="false">IF(C7066&gt;=0,C6812,"")</f>
        <v/>
      </c>
      <c r="D7111" s="81" t="str">
        <f aca="false">IF(D7066&gt;=0,D6812,"")</f>
        <v/>
      </c>
      <c r="E7111" s="81" t="str">
        <f aca="false">IF(E7066&gt;=0,E6812,"")</f>
        <v/>
      </c>
      <c r="F7111" s="81" t="str">
        <f aca="false">IF(F7066&gt;=0,F6812,"")</f>
        <v/>
      </c>
      <c r="G7111" s="81" t="str">
        <f aca="false">IF(G7066&gt;=0,G6812,"")</f>
        <v/>
      </c>
      <c r="H7111" s="2" t="s">
        <v>1469</v>
      </c>
    </row>
    <row r="7112" customFormat="false" ht="15" hidden="false" customHeight="false" outlineLevel="1" collapsed="false">
      <c r="A7112" s="7" t="s">
        <v>19</v>
      </c>
      <c r="B7112" s="8" t="s">
        <v>20</v>
      </c>
      <c r="C7112" s="75" t="str">
        <f aca="false">IF(COUNT($C$7111:$G$7111)=0,"não atinge até 2031",MIN($C$7111:$G$7111))</f>
        <v>não atinge até 2031</v>
      </c>
      <c r="H7112" s="2" t="s">
        <v>1470</v>
      </c>
    </row>
    <row r="7113" customFormat="false" ht="15" hidden="false" customHeight="false" outlineLevel="0" collapsed="false">
      <c r="A7113" s="3" t="s">
        <v>1471</v>
      </c>
      <c r="B7113" s="4"/>
      <c r="C7113" s="4"/>
      <c r="D7113" s="4"/>
      <c r="E7113" s="4"/>
      <c r="F7113" s="4"/>
      <c r="G7113" s="4"/>
      <c r="H7113" s="4"/>
    </row>
    <row r="7114" customFormat="false" ht="15" hidden="false" customHeight="false" outlineLevel="1" collapsed="false">
      <c r="A7114" s="7" t="s">
        <v>813</v>
      </c>
      <c r="B7114" s="8" t="s">
        <v>11</v>
      </c>
      <c r="C7114" s="61" t="n">
        <f aca="false">C7049</f>
        <v>0</v>
      </c>
      <c r="D7114" s="61" t="n">
        <f aca="false">D7049</f>
        <v>293948.938356164</v>
      </c>
      <c r="E7114" s="61" t="n">
        <f aca="false">E7049</f>
        <v>506993.116438356</v>
      </c>
      <c r="F7114" s="61" t="n">
        <f aca="false">F7049</f>
        <v>859371.729452055</v>
      </c>
      <c r="G7114" s="61" t="n">
        <f aca="false">G7049</f>
        <v>1309134.11815068</v>
      </c>
      <c r="H7114" s="2" t="s">
        <v>1472</v>
      </c>
    </row>
    <row r="7115" customFormat="false" ht="15" hidden="false" customHeight="false" outlineLevel="1" collapsed="false">
      <c r="A7115" s="7" t="s">
        <v>509</v>
      </c>
      <c r="B7115" s="8" t="s">
        <v>76</v>
      </c>
      <c r="C7115" s="60" t="n">
        <f aca="false">(Pressupostos!$C$199)</f>
        <v>0.12</v>
      </c>
      <c r="D7115" s="60" t="n">
        <f aca="false">(Pressupostos!$C$199)</f>
        <v>0.12</v>
      </c>
      <c r="E7115" s="60" t="n">
        <f aca="false">(Pressupostos!$C$199)</f>
        <v>0.12</v>
      </c>
      <c r="F7115" s="60" t="n">
        <f aca="false">(Pressupostos!$C$199)</f>
        <v>0.12</v>
      </c>
      <c r="G7115" s="60" t="n">
        <f aca="false">(Pressupostos!$C$199)</f>
        <v>0.12</v>
      </c>
      <c r="H7115" s="2" t="s">
        <v>1473</v>
      </c>
    </row>
    <row r="7116" customFormat="false" ht="15" hidden="false" customHeight="false" outlineLevel="1" collapsed="false">
      <c r="A7116" s="7" t="s">
        <v>814</v>
      </c>
      <c r="B7116" s="8" t="s">
        <v>76</v>
      </c>
      <c r="C7116" s="60" t="n">
        <f aca="false">(Pressupostos!$C$199)*(1-Pressupostos!$C$111)</f>
        <v>0.0864</v>
      </c>
      <c r="D7116" s="60" t="n">
        <f aca="false">(Pressupostos!$C$199)*(1-Pressupostos!$C$111)</f>
        <v>0.0864</v>
      </c>
      <c r="E7116" s="60" t="n">
        <f aca="false">(Pressupostos!$C$199)*(1-Pressupostos!$C$111)</f>
        <v>0.0864</v>
      </c>
      <c r="F7116" s="60" t="n">
        <f aca="false">(Pressupostos!$C$199)*(1-Pressupostos!$C$111)</f>
        <v>0.0864</v>
      </c>
      <c r="G7116" s="60" t="n">
        <f aca="false">(Pressupostos!$C$199)*(1-Pressupostos!$C$111)</f>
        <v>0.0864</v>
      </c>
      <c r="H7116" s="2" t="s">
        <v>1474</v>
      </c>
    </row>
    <row r="7117" customFormat="false" ht="15" hidden="false" customHeight="false" outlineLevel="1" collapsed="false">
      <c r="A7117" s="7" t="s">
        <v>815</v>
      </c>
      <c r="B7117" s="8" t="s">
        <v>11</v>
      </c>
      <c r="C7117" s="61" t="n">
        <f aca="false">C6953</f>
        <v>0</v>
      </c>
      <c r="D7117" s="61" t="n">
        <f aca="false">D6953</f>
        <v>32286.2671232877</v>
      </c>
      <c r="E7117" s="61" t="n">
        <f aca="false">E6953</f>
        <v>54533.7585616438</v>
      </c>
      <c r="F7117" s="61" t="n">
        <f aca="false">F6953</f>
        <v>92449.8030821918</v>
      </c>
      <c r="G7117" s="61" t="n">
        <f aca="false">G6953</f>
        <v>141017.20890411</v>
      </c>
      <c r="H7117" s="2" t="s">
        <v>1475</v>
      </c>
    </row>
    <row r="7118" customFormat="false" ht="15" hidden="false" customHeight="false" outlineLevel="1" collapsed="false">
      <c r="A7118" s="7" t="s">
        <v>816</v>
      </c>
      <c r="B7118" s="8" t="s">
        <v>76</v>
      </c>
      <c r="C7118" s="59" t="n">
        <f aca="false">IF(C7049&gt;0,(C7052+C7054)/C7049,0)</f>
        <v>0</v>
      </c>
      <c r="D7118" s="59" t="n">
        <f aca="false">IF(D7049&gt;0,(D7052+D7054)/D7049,0)</f>
        <v>0.316666666666667</v>
      </c>
      <c r="E7118" s="59" t="n">
        <f aca="false">IF(E7049&gt;0,(E7052+E7054)/E7049,0)</f>
        <v>0.316666666666667</v>
      </c>
      <c r="F7118" s="59" t="n">
        <f aca="false">IF(F7049&gt;0,(F7052+F7054)/F7049,0)</f>
        <v>0.316666666666667</v>
      </c>
      <c r="G7118" s="59" t="n">
        <f aca="false">IF(G7049&gt;0,(G7052+G7054)/G7049,0)</f>
        <v>0.316666666666667</v>
      </c>
      <c r="H7118" s="2" t="s">
        <v>1476</v>
      </c>
    </row>
    <row r="7119" customFormat="false" ht="15" hidden="false" customHeight="false" outlineLevel="1" collapsed="false">
      <c r="A7119" s="7" t="s">
        <v>817</v>
      </c>
      <c r="B7119" s="8" t="s">
        <v>123</v>
      </c>
      <c r="C7119" s="61" t="n">
        <f aca="false">C7055</f>
        <v>0</v>
      </c>
      <c r="D7119" s="61" t="n">
        <f aca="false">D7055</f>
        <v>5.87897876712329</v>
      </c>
      <c r="E7119" s="61" t="n">
        <f aca="false">E7055</f>
        <v>10.1398623287671</v>
      </c>
      <c r="F7119" s="61" t="n">
        <f aca="false">F7055</f>
        <v>17.1874345890411</v>
      </c>
      <c r="G7119" s="61" t="n">
        <f aca="false">G7055</f>
        <v>26.1826823630137</v>
      </c>
      <c r="H7119" s="2" t="s">
        <v>1477</v>
      </c>
    </row>
    <row r="7120" customFormat="false" ht="15" hidden="false" customHeight="false" outlineLevel="1" collapsed="false">
      <c r="A7120" s="7" t="s">
        <v>818</v>
      </c>
      <c r="B7120" s="8" t="s">
        <v>11</v>
      </c>
      <c r="C7120" s="61" t="n">
        <f aca="false">C6953+C6999</f>
        <v>65000</v>
      </c>
      <c r="D7120" s="61" t="n">
        <f aca="false">D6953+D6999</f>
        <v>107286.267123288</v>
      </c>
      <c r="E7120" s="61" t="n">
        <f aca="false">E6953+E6999</f>
        <v>134533.758561644</v>
      </c>
      <c r="F7120" s="61" t="n">
        <f aca="false">F6953+F6999</f>
        <v>177449.803082192</v>
      </c>
      <c r="G7120" s="61" t="n">
        <f aca="false">G6953+G6999</f>
        <v>231017.20890411</v>
      </c>
      <c r="H7120" s="2" t="s">
        <v>1478</v>
      </c>
    </row>
    <row r="7121" customFormat="false" ht="15" hidden="false" customHeight="false" outlineLevel="1" collapsed="false">
      <c r="A7121" s="7" t="s">
        <v>819</v>
      </c>
      <c r="B7121" s="8" t="s">
        <v>76</v>
      </c>
      <c r="C7121" s="59" t="str">
        <f aca="false">IF(C7049&gt;0,C7120/C7049,"")</f>
        <v/>
      </c>
      <c r="D7121" s="59" t="n">
        <f aca="false">IF(D7049&gt;0,D7120/D7049,"")</f>
        <v>0.364982665776101</v>
      </c>
      <c r="E7121" s="59" t="n">
        <f aca="false">IF(E7049&gt;0,E7120/E7049,"")</f>
        <v>0.265356183742194</v>
      </c>
      <c r="F7121" s="59" t="n">
        <f aca="false">IF(F7049&gt;0,F7120/F7049,"")</f>
        <v>0.206487829423172</v>
      </c>
      <c r="G7121" s="59" t="n">
        <f aca="false">IF(G7049&gt;0,G7120/G7049,"")</f>
        <v>0.176465654436117</v>
      </c>
      <c r="H7121" s="2" t="s">
        <v>1479</v>
      </c>
    </row>
    <row r="7122" customFormat="false" ht="15" hidden="false" customHeight="false" outlineLevel="0" collapsed="false">
      <c r="A7122" s="3" t="s">
        <v>1480</v>
      </c>
      <c r="B7122" s="4"/>
      <c r="C7122" s="4"/>
      <c r="D7122" s="4"/>
      <c r="E7122" s="4"/>
      <c r="F7122" s="4"/>
      <c r="G7122" s="4"/>
      <c r="H7122" s="4"/>
    </row>
    <row r="7123" customFormat="false" ht="15" hidden="false" customHeight="false" outlineLevel="1" collapsed="false">
      <c r="A7123" s="7" t="s">
        <v>821</v>
      </c>
      <c r="B7123" s="8" t="s">
        <v>11</v>
      </c>
      <c r="C7123" s="61" t="n">
        <f aca="false">MAX(0,-C7023)</f>
        <v>586332.91635274</v>
      </c>
      <c r="D7123" s="61" t="n">
        <f aca="false">MAX(0,-D7023)</f>
        <v>705581.746061644</v>
      </c>
      <c r="E7123" s="61" t="n">
        <f aca="false">MAX(0,-E7023)</f>
        <v>746461.230723459</v>
      </c>
      <c r="F7123" s="61" t="n">
        <f aca="false">MAX(0,-F7023)</f>
        <v>745141.415968896</v>
      </c>
      <c r="G7123" s="61" t="n">
        <f aca="false">MAX(0,-G7023)</f>
        <v>657299.311292786</v>
      </c>
      <c r="H7123" s="2" t="s">
        <v>1481</v>
      </c>
    </row>
    <row r="7124" customFormat="false" ht="15" hidden="false" customHeight="false" outlineLevel="1" collapsed="false">
      <c r="A7124" s="2" t="s">
        <v>822</v>
      </c>
      <c r="B7124" s="8"/>
      <c r="C7124" s="61" t="n">
        <f aca="false">IF(AND(C6812&gt;=Pressupostos!$C$120,Pressupostos!$C$118*(C6906+C6907)+Pressupostos!$C$119*C6908&gt;Pressupostos!$C$302),1,0)</f>
        <v>0</v>
      </c>
      <c r="D7124" s="61" t="n">
        <f aca="false">IF(AND(D6812&gt;=Pressupostos!$C$120,Pressupostos!$C$118*(D6906+D6907)+Pressupostos!$C$119*D6908&gt;Pressupostos!$D$302),1,0)</f>
        <v>1</v>
      </c>
      <c r="E7124" s="61" t="n">
        <f aca="false">IF(AND(E6812&gt;=Pressupostos!$C$120,Pressupostos!$C$118*(E6906+E6907)+Pressupostos!$C$119*E6908&gt;Pressupostos!$E$302),1,0)</f>
        <v>1</v>
      </c>
      <c r="F7124" s="61" t="n">
        <f aca="false">IF(AND(F6812&gt;=Pressupostos!$C$120,Pressupostos!$C$118*(F6906+F6907)+Pressupostos!$C$119*F6908&gt;Pressupostos!$F$302),1,0)</f>
        <v>1</v>
      </c>
      <c r="G7124" s="61" t="n">
        <f aca="false">IF(AND(G6812&gt;=Pressupostos!$C$120,Pressupostos!$C$118*(G6906+G6907)+Pressupostos!$C$119*G6908&gt;Pressupostos!$G$302),1,0)</f>
        <v>1</v>
      </c>
      <c r="H7124" s="2" t="s">
        <v>1482</v>
      </c>
    </row>
    <row r="7125" customFormat="false" ht="15" hidden="false" customHeight="false" outlineLevel="1" collapsed="false">
      <c r="A7125" s="7" t="s">
        <v>823</v>
      </c>
      <c r="B7125" s="8" t="s">
        <v>64</v>
      </c>
      <c r="C7125" s="63" t="n">
        <f aca="false">IF(C6816&gt;0,C7123/(C6816*1000*(1-Pressupostos!$F$22)*(1-Pressupostos!$F$25-C7124*Pressupostos!$C$118)),"n/a")</f>
        <v>11.309561691859</v>
      </c>
      <c r="D7125" s="63" t="n">
        <f aca="false">IF(D6816&gt;0,D7123/(D6816*1000*(1-Pressupostos!$F$22)*(1-Pressupostos!$F$25-D7124*Pressupostos!$C$118)),"n/a")</f>
        <v>1.95745354135046</v>
      </c>
      <c r="E7125" s="63" t="n">
        <f aca="false">IF(E6816&gt;0,E7123/(E6816*1000*(1-Pressupostos!$F$22)*(1-Pressupostos!$F$25-E7124*Pressupostos!$C$118)),"n/a")</f>
        <v>1.04842858267771</v>
      </c>
      <c r="F7125" s="63" t="n">
        <f aca="false">IF(F6816&gt;0,F7123/(F6816*1000*(1-Pressupostos!$F$22)*(1-Pressupostos!$F$25-F7124*Pressupostos!$C$118)),"n/a")</f>
        <v>0.634314602870045</v>
      </c>
      <c r="G7125" s="63" t="n">
        <f aca="false">IF(G6816&gt;0,G7123/(G6816*1000*(1-Pressupostos!$F$22)*(1-Pressupostos!$F$25-G7124*Pressupostos!$C$118)),"n/a")</f>
        <v>0.369794883341371</v>
      </c>
      <c r="H7125" s="2" t="s">
        <v>1483</v>
      </c>
    </row>
    <row r="7126" customFormat="false" ht="15" hidden="false" customHeight="false" outlineLevel="1" collapsed="false">
      <c r="A7126" s="7" t="s">
        <v>824</v>
      </c>
      <c r="B7126" s="8" t="s">
        <v>64</v>
      </c>
      <c r="C7126" s="63" t="n">
        <f aca="false">IF(C6815&gt;0,Pressupostos!$F$15+C7123/(C6815*1000*(1-Pressupostos!$F$16)*(1-Pressupostos!$F$18-C7124*Pressupostos!$C$118)),"n/a")</f>
        <v>85.9284755078901</v>
      </c>
      <c r="D7126" s="63" t="n">
        <f aca="false">IF(D6815&gt;0,Pressupostos!$F$15+D7123/(D6815*1000*(1-Pressupostos!$F$16)*(1-Pressupostos!$F$18-D7124*Pressupostos!$C$118)),"n/a")</f>
        <v>31.7528034112268</v>
      </c>
      <c r="E7126" s="63" t="n">
        <f aca="false">IF(E6815&gt;0,Pressupostos!$F$15+E7123/(E6815*1000*(1-Pressupostos!$F$16)*(1-Pressupostos!$F$18-E7124*Pressupostos!$C$118)),"n/a")</f>
        <v>16.2168190129405</v>
      </c>
      <c r="F7126" s="63" t="n">
        <f aca="false">IF(F6815&gt;0,Pressupostos!$F$15+F7123/(F6815*1000*(1-Pressupostos!$F$16)*(1-Pressupostos!$F$18-F7124*Pressupostos!$C$118)),"n/a")</f>
        <v>11.8278598291775</v>
      </c>
      <c r="G7126" s="63" t="n">
        <f aca="false">IF(G6815&gt;0,Pressupostos!$F$15+G7123/(G6815*1000*(1-Pressupostos!$F$16)*(1-Pressupostos!$F$18-G7124*Pressupostos!$C$118)),"n/a")</f>
        <v>9.59858373049074</v>
      </c>
      <c r="H7126" s="2" t="s">
        <v>1484</v>
      </c>
    </row>
    <row r="7127" customFormat="false" ht="15" hidden="false" customHeight="false" outlineLevel="1" collapsed="false">
      <c r="A7127" s="7" t="s">
        <v>825</v>
      </c>
      <c r="B7127" s="8" t="s">
        <v>64</v>
      </c>
      <c r="C7127" s="63" t="n">
        <f aca="false">IF(Pressupostos!$F$33=1,C6898-C7124*Pressupostos!$C$119*C6881,C6904)</f>
        <v>0.00725</v>
      </c>
      <c r="D7127" s="63" t="n">
        <f aca="false">IF(Pressupostos!$F$33=1,D6898-D7124*Pressupostos!$C$119*D6881,D6904)</f>
        <v>0.00725</v>
      </c>
      <c r="E7127" s="63" t="n">
        <f aca="false">IF(Pressupostos!$F$33=1,E6898-E7124*Pressupostos!$C$119*E6881,E6904)</f>
        <v>0.00725</v>
      </c>
      <c r="F7127" s="63" t="n">
        <f aca="false">IF(Pressupostos!$F$33=1,F6898-F7124*Pressupostos!$C$119*F6881,F6904)</f>
        <v>0.00725</v>
      </c>
      <c r="G7127" s="63" t="n">
        <f aca="false">IF(Pressupostos!$F$33=1,G6898-G7124*Pressupostos!$C$119*G6881,G6904)</f>
        <v>0.00725</v>
      </c>
      <c r="H7127" s="2" t="s">
        <v>1485</v>
      </c>
    </row>
    <row r="7128" customFormat="false" ht="15" hidden="false" customHeight="false" outlineLevel="1" collapsed="false">
      <c r="A7128" s="7" t="s">
        <v>826</v>
      </c>
      <c r="B7128" s="8" t="s">
        <v>120</v>
      </c>
      <c r="C7128" s="55" t="n">
        <f aca="false">IF(C7127&gt;0,C6817+C7123/(C7127*1000),"n/a")</f>
        <v>80873.5057038262</v>
      </c>
      <c r="D7128" s="55" t="n">
        <f aca="false">IF(D7127&gt;0,D6817+D7123/(D7127*1000),"n/a")</f>
        <v>97821.6201464337</v>
      </c>
      <c r="E7128" s="55" t="n">
        <f aca="false">IF(E7127&gt;0,E6817+E7123/(E7127*1000),"n/a")</f>
        <v>104460.16975496</v>
      </c>
      <c r="F7128" s="55" t="n">
        <f aca="false">IF(F7127&gt;0,F6817+F7123/(F7127*1000),"n/a")</f>
        <v>105278.126340537</v>
      </c>
      <c r="G7128" s="55" t="n">
        <f aca="false">IF(G7127&gt;0,G6817+G7123/(G7127*1000),"n/a")</f>
        <v>94161.9739714188</v>
      </c>
      <c r="H7128" s="2" t="s">
        <v>1486</v>
      </c>
    </row>
    <row r="7129" customFormat="false" ht="15" hidden="false" customHeight="false" outlineLevel="1" collapsed="false">
      <c r="A7129" s="7" t="s">
        <v>827</v>
      </c>
      <c r="B7129" s="8" t="s">
        <v>76</v>
      </c>
      <c r="C7129" s="59" t="n">
        <f aca="false">C7123/(C6985+C6998+C6999)</f>
        <v>0.974504132631807</v>
      </c>
      <c r="D7129" s="59" t="n">
        <f aca="false">D7123/(D6985+D6998+D6999)</f>
        <v>0.916032612905085</v>
      </c>
      <c r="E7129" s="59" t="n">
        <f aca="false">E7123/(E6985+E6998+E6999)</f>
        <v>0.809691395906794</v>
      </c>
      <c r="F7129" s="59" t="n">
        <f aca="false">F7123/(F6985+F6998+F6999)</f>
        <v>0.69527795081744</v>
      </c>
      <c r="G7129" s="59" t="n">
        <f aca="false">G7123/(G6985+G6998+G6999)</f>
        <v>0.558882331989353</v>
      </c>
      <c r="H7129" s="2" t="s">
        <v>1487</v>
      </c>
    </row>
    <row r="7130" customFormat="false" ht="15" hidden="false" customHeight="false" outlineLevel="1" collapsed="false">
      <c r="A7130" s="2" t="s">
        <v>828</v>
      </c>
      <c r="B7130" s="8" t="s">
        <v>76</v>
      </c>
      <c r="C7130" s="60" t="n">
        <f aca="false">Pressupostos!$C$101*Pressupostos!$C$102+Pressupostos!$C$103-Pressupostos!$F$30*Pressupostos!$C$104*Pressupostos!$C$102/(Pressupostos!$C$105*Pressupostos!$C$106)</f>
        <v>0.02</v>
      </c>
      <c r="D7130" s="60" t="n">
        <f aca="false">Pressupostos!$C$101*Pressupostos!$C$102+Pressupostos!$C$103-Pressupostos!$F$30*Pressupostos!$C$104*Pressupostos!$C$102/(Pressupostos!$C$105*Pressupostos!$C$106)</f>
        <v>0.02</v>
      </c>
      <c r="E7130" s="60" t="n">
        <f aca="false">Pressupostos!$C$101*Pressupostos!$C$102+Pressupostos!$C$103-Pressupostos!$F$30*Pressupostos!$C$104*Pressupostos!$C$102/(Pressupostos!$C$105*Pressupostos!$C$106)</f>
        <v>0.02</v>
      </c>
      <c r="F7130" s="60" t="n">
        <f aca="false">Pressupostos!$C$101*Pressupostos!$C$102+Pressupostos!$C$103-Pressupostos!$F$30*Pressupostos!$C$104*Pressupostos!$C$102/(Pressupostos!$C$105*Pressupostos!$C$106)</f>
        <v>0.02</v>
      </c>
      <c r="G7130" s="60" t="n">
        <f aca="false">Pressupostos!$C$101*Pressupostos!$C$102+Pressupostos!$C$103-Pressupostos!$F$30*Pressupostos!$C$104*Pressupostos!$C$102/(Pressupostos!$C$105*Pressupostos!$C$106)</f>
        <v>0.02</v>
      </c>
      <c r="H7130" s="2" t="s">
        <v>1488</v>
      </c>
    </row>
    <row r="7131" customFormat="false" ht="15" hidden="false" customHeight="false" outlineLevel="1" collapsed="false">
      <c r="A7131" s="7" t="s">
        <v>829</v>
      </c>
      <c r="B7131" s="8" t="s">
        <v>11</v>
      </c>
      <c r="C7131" s="61" t="n">
        <f aca="false">IF(C7130&gt;0,C6830+C7123/C7130,"n/a")</f>
        <v>29316645.817637</v>
      </c>
      <c r="D7131" s="61" t="n">
        <f aca="false">IF(D7130&gt;0,D6830+D7123/D7130,"n/a")</f>
        <v>35779087.3030822</v>
      </c>
      <c r="E7131" s="61" t="n">
        <f aca="false">IF(E7130&gt;0,E6830+E7123/E7130,"n/a")</f>
        <v>38823061.536173</v>
      </c>
      <c r="F7131" s="61" t="n">
        <f aca="false">IF(F7130&gt;0,F6830+F7123/F7130,"n/a")</f>
        <v>40257070.7984448</v>
      </c>
      <c r="G7131" s="61" t="n">
        <f aca="false">IF(G7130&gt;0,G6830+G7123/G7130,"n/a")</f>
        <v>37864965.5646393</v>
      </c>
      <c r="H7131" s="2" t="s">
        <v>1489</v>
      </c>
    </row>
    <row r="7134" customFormat="false" ht="15" hidden="false" customHeight="false" outlineLevel="0" collapsed="false">
      <c r="A7134" s="111" t="s">
        <v>1511</v>
      </c>
      <c r="B7134" s="112"/>
      <c r="C7134" s="112"/>
      <c r="D7134" s="112"/>
      <c r="E7134" s="112"/>
      <c r="F7134" s="112"/>
      <c r="G7134" s="112"/>
      <c r="H7134" s="112"/>
    </row>
    <row r="7135" customFormat="false" ht="15" hidden="false" customHeight="false" outlineLevel="0" collapsed="false">
      <c r="A7135" s="3" t="s">
        <v>1170</v>
      </c>
      <c r="B7135" s="4"/>
      <c r="C7135" s="4"/>
      <c r="D7135" s="4"/>
      <c r="E7135" s="4"/>
      <c r="F7135" s="4"/>
      <c r="G7135" s="4"/>
      <c r="H7135" s="4"/>
    </row>
    <row r="7136" customFormat="false" ht="15" hidden="false" customHeight="false" outlineLevel="1" collapsed="false">
      <c r="A7136" s="7" t="s">
        <v>588</v>
      </c>
      <c r="B7136" s="8"/>
      <c r="C7136" s="52" t="n">
        <v>2027</v>
      </c>
      <c r="D7136" s="52" t="n">
        <v>2028</v>
      </c>
      <c r="E7136" s="52" t="n">
        <v>2029</v>
      </c>
      <c r="F7136" s="52" t="n">
        <v>2030</v>
      </c>
      <c r="G7136" s="52" t="n">
        <v>2031</v>
      </c>
      <c r="H7136" s="2" t="s">
        <v>20</v>
      </c>
    </row>
    <row r="7137" customFormat="false" ht="15" hidden="false" customHeight="false" outlineLevel="0" collapsed="false">
      <c r="A7137" s="3" t="s">
        <v>1171</v>
      </c>
      <c r="B7137" s="4"/>
      <c r="C7137" s="4"/>
      <c r="D7137" s="4"/>
      <c r="E7137" s="4"/>
      <c r="F7137" s="4"/>
      <c r="G7137" s="4"/>
      <c r="H7137" s="4"/>
    </row>
    <row r="7138" customFormat="false" ht="15" hidden="false" customHeight="false" outlineLevel="1" collapsed="false">
      <c r="A7138" s="7" t="s">
        <v>387</v>
      </c>
      <c r="B7138" s="8" t="s">
        <v>123</v>
      </c>
      <c r="C7138" s="53" t="n">
        <f aca="false">Pressupostos!$C$215</f>
        <v>40</v>
      </c>
      <c r="D7138" s="53" t="n">
        <f aca="false">Pressupostos!$D$215</f>
        <v>150</v>
      </c>
      <c r="E7138" s="53" t="n">
        <f aca="false">Pressupostos!$E$215</f>
        <v>400</v>
      </c>
      <c r="F7138" s="53" t="n">
        <f aca="false">Pressupostos!$F$215</f>
        <v>700</v>
      </c>
      <c r="G7138" s="53" t="n">
        <f aca="false">Pressupostos!$G$215</f>
        <v>1000</v>
      </c>
      <c r="H7138" s="2" t="s">
        <v>1172</v>
      </c>
    </row>
    <row r="7139" customFormat="false" ht="15" hidden="false" customHeight="false" outlineLevel="1" collapsed="false">
      <c r="A7139" s="7" t="s">
        <v>590</v>
      </c>
      <c r="B7139" s="8" t="s">
        <v>120</v>
      </c>
      <c r="C7139" s="54" t="n">
        <f aca="false">Pressupostos!$C$221</f>
        <v>8.2</v>
      </c>
      <c r="D7139" s="54" t="n">
        <f aca="false">Pressupostos!$D$221</f>
        <v>30.75</v>
      </c>
      <c r="E7139" s="54" t="n">
        <f aca="false">Pressupostos!$E$221</f>
        <v>82</v>
      </c>
      <c r="F7139" s="54" t="n">
        <f aca="false">Pressupostos!$F$221</f>
        <v>143.5</v>
      </c>
      <c r="G7139" s="54" t="n">
        <f aca="false">Pressupostos!$G$221</f>
        <v>205</v>
      </c>
      <c r="H7139" s="2" t="s">
        <v>1173</v>
      </c>
    </row>
    <row r="7140" customFormat="false" ht="15" hidden="false" customHeight="false" outlineLevel="1" collapsed="false">
      <c r="A7140" s="7" t="s">
        <v>591</v>
      </c>
      <c r="B7140" s="8" t="s">
        <v>120</v>
      </c>
      <c r="C7140" s="54" t="n">
        <f aca="false">Pressupostos!$C$227</f>
        <v>52</v>
      </c>
      <c r="D7140" s="54" t="n">
        <f aca="false">Pressupostos!$D$227</f>
        <v>363</v>
      </c>
      <c r="E7140" s="54" t="n">
        <f aca="false">Pressupostos!$E$227</f>
        <v>717</v>
      </c>
      <c r="F7140" s="54" t="n">
        <f aca="false">Pressupostos!$F$227</f>
        <v>1183</v>
      </c>
      <c r="G7140" s="54" t="n">
        <f aca="false">Pressupostos!$G$227</f>
        <v>1790</v>
      </c>
      <c r="H7140" s="2" t="s">
        <v>1174</v>
      </c>
    </row>
    <row r="7141" customFormat="false" ht="15" hidden="false" customHeight="false" outlineLevel="1" collapsed="false">
      <c r="A7141" s="7" t="s">
        <v>398</v>
      </c>
      <c r="B7141" s="8" t="s">
        <v>120</v>
      </c>
      <c r="C7141" s="54" t="n">
        <f aca="false">Pressupostos!$C$233</f>
        <v>0</v>
      </c>
      <c r="D7141" s="54" t="n">
        <f aca="false">Pressupostos!$D$233</f>
        <v>500</v>
      </c>
      <c r="E7141" s="54" t="n">
        <f aca="false">Pressupostos!$E$233</f>
        <v>1500</v>
      </c>
      <c r="F7141" s="54" t="n">
        <f aca="false">Pressupostos!$F$233</f>
        <v>2500</v>
      </c>
      <c r="G7141" s="54" t="n">
        <f aca="false">Pressupostos!$G$233</f>
        <v>3500</v>
      </c>
      <c r="H7141" s="2" t="s">
        <v>1175</v>
      </c>
    </row>
    <row r="7142" customFormat="false" ht="15" hidden="false" customHeight="false" outlineLevel="1" collapsed="false">
      <c r="A7142" s="7" t="s">
        <v>592</v>
      </c>
      <c r="B7142" s="8" t="s">
        <v>120</v>
      </c>
      <c r="C7142" s="55" t="n">
        <f aca="false">C7141*Pressupostos!$F$33</f>
        <v>0</v>
      </c>
      <c r="D7142" s="55" t="n">
        <f aca="false">D7141*Pressupostos!$F$33</f>
        <v>0</v>
      </c>
      <c r="E7142" s="55" t="n">
        <f aca="false">E7141*Pressupostos!$F$33</f>
        <v>0</v>
      </c>
      <c r="F7142" s="55" t="n">
        <f aca="false">F7141*Pressupostos!$F$33</f>
        <v>0</v>
      </c>
      <c r="G7142" s="55" t="n">
        <f aca="false">G7141*Pressupostos!$F$33</f>
        <v>0</v>
      </c>
      <c r="H7142" s="2" t="s">
        <v>1176</v>
      </c>
    </row>
    <row r="7143" customFormat="false" ht="15" hidden="false" customHeight="false" outlineLevel="1" collapsed="false">
      <c r="A7143" s="7" t="s">
        <v>593</v>
      </c>
      <c r="B7143" s="8" t="s">
        <v>120</v>
      </c>
      <c r="C7143" s="55" t="n">
        <f aca="false">C7141-C7142</f>
        <v>0</v>
      </c>
      <c r="D7143" s="55" t="n">
        <f aca="false">D7141-D7142</f>
        <v>500</v>
      </c>
      <c r="E7143" s="55" t="n">
        <f aca="false">E7141-E7142</f>
        <v>1500</v>
      </c>
      <c r="F7143" s="55" t="n">
        <f aca="false">F7141-F7142</f>
        <v>2500</v>
      </c>
      <c r="G7143" s="55" t="n">
        <f aca="false">G7141-G7142</f>
        <v>3500</v>
      </c>
      <c r="H7143" s="2" t="s">
        <v>1177</v>
      </c>
    </row>
    <row r="7144" customFormat="false" ht="15" hidden="false" customHeight="false" outlineLevel="1" collapsed="false">
      <c r="A7144" s="56" t="s">
        <v>594</v>
      </c>
      <c r="B7144" s="57" t="s">
        <v>120</v>
      </c>
      <c r="C7144" s="58" t="n">
        <f aca="false">C7139+C7140+C7141</f>
        <v>60.2</v>
      </c>
      <c r="D7144" s="58" t="n">
        <f aca="false">D7139+D7140+D7141</f>
        <v>893.75</v>
      </c>
      <c r="E7144" s="58" t="n">
        <f aca="false">E7139+E7140+E7141</f>
        <v>2299</v>
      </c>
      <c r="F7144" s="58" t="n">
        <f aca="false">F7139+F7140+F7141</f>
        <v>3826.5</v>
      </c>
      <c r="G7144" s="58" t="n">
        <f aca="false">G7139+G7140+G7141</f>
        <v>5495</v>
      </c>
      <c r="H7144" s="2" t="s">
        <v>1178</v>
      </c>
    </row>
    <row r="7145" customFormat="false" ht="15" hidden="false" customHeight="false" outlineLevel="1" collapsed="false">
      <c r="A7145" s="7" t="s">
        <v>595</v>
      </c>
      <c r="B7145" s="8" t="s">
        <v>76</v>
      </c>
      <c r="C7145" s="59" t="n">
        <f aca="false">IF(C7144&gt;0,C7139/C7144,0)</f>
        <v>0.136212624584718</v>
      </c>
      <c r="D7145" s="59" t="n">
        <f aca="false">IF(D7144&gt;0,D7139/D7144,0)</f>
        <v>0.0344055944055944</v>
      </c>
      <c r="E7145" s="59" t="n">
        <f aca="false">IF(E7144&gt;0,E7139/E7144,0)</f>
        <v>0.035667681600696</v>
      </c>
      <c r="F7145" s="59" t="n">
        <f aca="false">IF(F7144&gt;0,F7139/F7144,0)</f>
        <v>0.0375016333464001</v>
      </c>
      <c r="G7145" s="59" t="n">
        <f aca="false">IF(G7144&gt;0,G7139/G7144,0)</f>
        <v>0.0373066424021838</v>
      </c>
      <c r="H7145" s="2" t="s">
        <v>1179</v>
      </c>
    </row>
    <row r="7146" customFormat="false" ht="15" hidden="false" customHeight="false" outlineLevel="1" collapsed="false">
      <c r="A7146" s="7" t="s">
        <v>596</v>
      </c>
      <c r="B7146" s="8" t="s">
        <v>76</v>
      </c>
      <c r="C7146" s="60" t="n">
        <f aca="false">C7144/(Pressupostos!$C$76*1000)</f>
        <v>0.000355162241887906</v>
      </c>
      <c r="D7146" s="60" t="n">
        <f aca="false">D7144/(Pressupostos!$C$76*1000)</f>
        <v>0.00527286135693215</v>
      </c>
      <c r="E7146" s="60" t="n">
        <f aca="false">E7144/(Pressupostos!$C$76*1000)</f>
        <v>0.0135634218289086</v>
      </c>
      <c r="F7146" s="60" t="n">
        <f aca="false">F7144/(Pressupostos!$C$76*1000)</f>
        <v>0.0225752212389381</v>
      </c>
      <c r="G7146" s="60" t="n">
        <f aca="false">G7144/(Pressupostos!$C$76*1000)</f>
        <v>0.0324188790560472</v>
      </c>
      <c r="H7146" s="2" t="s">
        <v>1180</v>
      </c>
    </row>
    <row r="7147" customFormat="false" ht="15" hidden="false" customHeight="false" outlineLevel="1" collapsed="false">
      <c r="A7147" s="7" t="s">
        <v>597</v>
      </c>
      <c r="B7147" s="8" t="s">
        <v>123</v>
      </c>
      <c r="C7147" s="55" t="n">
        <f aca="false">C7139/Pressupostos!$C$40+C7140/Pressupostos!$C$47+C7141/Pressupostos!$C$59</f>
        <v>2.14333333333333</v>
      </c>
      <c r="D7147" s="55" t="n">
        <f aca="false">D7139/Pressupostos!$C$40+D7140/Pressupostos!$C$47+D7141/Pressupostos!$C$59</f>
        <v>18.6375</v>
      </c>
      <c r="E7147" s="55" t="n">
        <f aca="false">E7139/Pressupostos!$C$40+E7140/Pressupostos!$C$47+E7141/Pressupostos!$C$59</f>
        <v>43</v>
      </c>
      <c r="F7147" s="55" t="n">
        <f aca="false">F7139/Pressupostos!$C$40+F7140/Pressupostos!$C$47+F7141/Pressupostos!$C$59</f>
        <v>71.6083333333333</v>
      </c>
      <c r="G7147" s="55" t="n">
        <f aca="false">G7139/Pressupostos!$C$40+G7140/Pressupostos!$C$47+G7141/Pressupostos!$C$59</f>
        <v>104.916666666667</v>
      </c>
      <c r="H7147" s="2" t="s">
        <v>1181</v>
      </c>
    </row>
    <row r="7148" customFormat="false" ht="15" hidden="false" customHeight="false" outlineLevel="0" collapsed="false">
      <c r="A7148" s="3" t="s">
        <v>1182</v>
      </c>
      <c r="B7148" s="4"/>
      <c r="C7148" s="4"/>
      <c r="D7148" s="4"/>
      <c r="E7148" s="4"/>
      <c r="F7148" s="4"/>
      <c r="G7148" s="4"/>
      <c r="H7148" s="4"/>
    </row>
    <row r="7149" customFormat="false" ht="15" hidden="false" customHeight="false" outlineLevel="1" collapsed="false">
      <c r="A7149" s="7" t="s">
        <v>599</v>
      </c>
      <c r="B7149" s="8" t="s">
        <v>202</v>
      </c>
      <c r="C7149" s="53" t="n">
        <f aca="false">Pressupostos!$C$259</f>
        <v>36</v>
      </c>
      <c r="D7149" s="53" t="n">
        <f aca="false">Pressupostos!$D$259</f>
        <v>135</v>
      </c>
      <c r="E7149" s="53" t="n">
        <f aca="false">Pressupostos!$E$259</f>
        <v>360</v>
      </c>
      <c r="F7149" s="53" t="n">
        <f aca="false">Pressupostos!$F$259</f>
        <v>630</v>
      </c>
      <c r="G7149" s="53" t="n">
        <f aca="false">Pressupostos!$G$259</f>
        <v>900</v>
      </c>
      <c r="H7149" s="2" t="s">
        <v>1183</v>
      </c>
    </row>
    <row r="7150" customFormat="false" ht="15" hidden="false" customHeight="false" outlineLevel="1" collapsed="false">
      <c r="A7150" s="7" t="s">
        <v>599</v>
      </c>
      <c r="B7150" s="8" t="s">
        <v>189</v>
      </c>
      <c r="C7150" s="61" t="n">
        <f aca="false">C7149*Pressupostos!$C$78</f>
        <v>27000</v>
      </c>
      <c r="D7150" s="61" t="n">
        <f aca="false">D7149*Pressupostos!$C$78</f>
        <v>101250</v>
      </c>
      <c r="E7150" s="61" t="n">
        <f aca="false">E7149*Pressupostos!$C$78</f>
        <v>270000</v>
      </c>
      <c r="F7150" s="61" t="n">
        <f aca="false">F7149*Pressupostos!$C$78</f>
        <v>472500</v>
      </c>
      <c r="G7150" s="61" t="n">
        <f aca="false">G7149*Pressupostos!$C$78</f>
        <v>675000</v>
      </c>
      <c r="H7150" s="2" t="s">
        <v>1184</v>
      </c>
    </row>
    <row r="7151" customFormat="false" ht="15" hidden="false" customHeight="false" outlineLevel="0" collapsed="false">
      <c r="A7151" s="3" t="s">
        <v>1185</v>
      </c>
      <c r="B7151" s="4"/>
      <c r="C7151" s="4"/>
      <c r="D7151" s="4"/>
      <c r="E7151" s="4"/>
      <c r="F7151" s="4"/>
      <c r="G7151" s="4"/>
      <c r="H7151" s="4"/>
    </row>
    <row r="7152" customFormat="false" ht="15" hidden="false" customHeight="false" outlineLevel="1" collapsed="false">
      <c r="A7152" s="7" t="s">
        <v>601</v>
      </c>
      <c r="B7152" s="8" t="s">
        <v>120</v>
      </c>
      <c r="C7152" s="55" t="n">
        <f aca="false">IF(C7136&lt;Pressupostos!$F$28,0,Pressupostos!$C$265)</f>
        <v>0</v>
      </c>
      <c r="D7152" s="55" t="n">
        <f aca="false">IF(D7136&lt;Pressupostos!$F$28,0,Pressupostos!$D$265)</f>
        <v>0</v>
      </c>
      <c r="E7152" s="55" t="n">
        <f aca="false">IF(E7136&lt;Pressupostos!$F$28,0,Pressupostos!$E$265)</f>
        <v>0</v>
      </c>
      <c r="F7152" s="55" t="n">
        <f aca="false">IF(F7136&lt;Pressupostos!$F$28,0,Pressupostos!$F$265)</f>
        <v>20</v>
      </c>
      <c r="G7152" s="55" t="n">
        <f aca="false">IF(G7136&lt;Pressupostos!$F$28,0,Pressupostos!$G$265)</f>
        <v>50</v>
      </c>
      <c r="H7152" s="2" t="s">
        <v>1186</v>
      </c>
    </row>
    <row r="7153" customFormat="false" ht="15" hidden="false" customHeight="false" outlineLevel="0" collapsed="false">
      <c r="A7153" s="3" t="s">
        <v>1187</v>
      </c>
      <c r="B7153" s="4"/>
      <c r="C7153" s="4"/>
      <c r="D7153" s="4"/>
      <c r="E7153" s="4"/>
      <c r="F7153" s="4"/>
      <c r="G7153" s="4"/>
      <c r="H7153" s="4"/>
    </row>
    <row r="7154" customFormat="false" ht="15" hidden="false" customHeight="false" outlineLevel="1" collapsed="false">
      <c r="A7154" s="7" t="s">
        <v>603</v>
      </c>
      <c r="B7154" s="8" t="s">
        <v>11</v>
      </c>
      <c r="C7154" s="61" t="n">
        <f aca="false">(0)</f>
        <v>0</v>
      </c>
      <c r="D7154" s="61" t="n">
        <f aca="false">(0)</f>
        <v>0</v>
      </c>
      <c r="E7154" s="61" t="n">
        <f aca="false">(0)</f>
        <v>0</v>
      </c>
      <c r="F7154" s="61" t="n">
        <f aca="false">(0)</f>
        <v>0</v>
      </c>
      <c r="G7154" s="61" t="n">
        <f aca="false">(0)</f>
        <v>0</v>
      </c>
      <c r="H7154" s="2" t="s">
        <v>1188</v>
      </c>
    </row>
    <row r="7155" customFormat="false" ht="15" hidden="false" customHeight="false" outlineLevel="1" collapsed="false">
      <c r="A7155" s="7" t="s">
        <v>604</v>
      </c>
      <c r="B7155" s="8" t="s">
        <v>120</v>
      </c>
      <c r="C7155" s="55" t="n">
        <f aca="false">C7154/(Pressupostos!$C$105*Pressupostos!$C$106)*Pressupostos!$C$102/1000</f>
        <v>0</v>
      </c>
      <c r="D7155" s="55" t="n">
        <f aca="false">D7154/(Pressupostos!$C$105*Pressupostos!$C$106)*Pressupostos!$C$102/1000</f>
        <v>0</v>
      </c>
      <c r="E7155" s="55" t="n">
        <f aca="false">E7154/(Pressupostos!$C$105*Pressupostos!$C$106)*Pressupostos!$C$102/1000</f>
        <v>0</v>
      </c>
      <c r="F7155" s="55" t="n">
        <f aca="false">F7154/(Pressupostos!$C$105*Pressupostos!$C$106)*Pressupostos!$C$102/1000</f>
        <v>0</v>
      </c>
      <c r="G7155" s="55" t="n">
        <f aca="false">G7154/(Pressupostos!$C$105*Pressupostos!$C$106)*Pressupostos!$C$102/1000</f>
        <v>0</v>
      </c>
      <c r="H7155" s="2" t="s">
        <v>1189</v>
      </c>
    </row>
    <row r="7156" customFormat="false" ht="15" hidden="false" customHeight="false" outlineLevel="0" collapsed="false">
      <c r="A7156" s="3" t="s">
        <v>1190</v>
      </c>
      <c r="B7156" s="4"/>
      <c r="C7156" s="4"/>
      <c r="D7156" s="4"/>
      <c r="E7156" s="4"/>
      <c r="F7156" s="4"/>
      <c r="G7156" s="4"/>
      <c r="H7156" s="4"/>
    </row>
    <row r="7157" customFormat="false" ht="15" hidden="false" customHeight="false" outlineLevel="1" collapsed="false">
      <c r="A7157" s="7" t="s">
        <v>669</v>
      </c>
      <c r="B7157" s="8" t="s">
        <v>64</v>
      </c>
      <c r="C7157" s="63" t="n">
        <f aca="false">Pressupostos!$F$10+Pressupostos!$F$11</f>
        <v>3.65</v>
      </c>
      <c r="D7157" s="63" t="n">
        <f aca="false">Pressupostos!$F$10+Pressupostos!$F$11</f>
        <v>3.65</v>
      </c>
      <c r="E7157" s="63" t="n">
        <f aca="false">Pressupostos!$F$10+Pressupostos!$F$11</f>
        <v>3.65</v>
      </c>
      <c r="F7157" s="63" t="n">
        <f aca="false">Pressupostos!$F$10+Pressupostos!$F$11</f>
        <v>3.65</v>
      </c>
      <c r="G7157" s="63" t="n">
        <f aca="false">Pressupostos!$F$10+Pressupostos!$F$11</f>
        <v>3.65</v>
      </c>
      <c r="H7157" s="2" t="s">
        <v>1191</v>
      </c>
    </row>
    <row r="7158" customFormat="false" ht="15" hidden="false" customHeight="false" outlineLevel="1" collapsed="false">
      <c r="A7158" s="7" t="s">
        <v>670</v>
      </c>
      <c r="B7158" s="8" t="s">
        <v>64</v>
      </c>
      <c r="C7158" s="63" t="n">
        <f aca="false">(Pressupostos!$D$15)</f>
        <v>5.65</v>
      </c>
      <c r="D7158" s="63" t="n">
        <f aca="false">(Pressupostos!$D$15)</f>
        <v>5.65</v>
      </c>
      <c r="E7158" s="63" t="n">
        <f aca="false">(Pressupostos!$D$15)</f>
        <v>5.65</v>
      </c>
      <c r="F7158" s="63" t="n">
        <f aca="false">(Pressupostos!$D$15)</f>
        <v>5.65</v>
      </c>
      <c r="G7158" s="63" t="n">
        <f aca="false">(Pressupostos!$D$15)</f>
        <v>5.65</v>
      </c>
      <c r="H7158" s="2" t="s">
        <v>1192</v>
      </c>
    </row>
    <row r="7159" customFormat="false" ht="15" hidden="false" customHeight="false" outlineLevel="1" collapsed="false">
      <c r="A7159" s="56" t="s">
        <v>671</v>
      </c>
      <c r="B7159" s="57" t="s">
        <v>64</v>
      </c>
      <c r="C7159" s="68" t="n">
        <f aca="false">C7158*(1-Pressupostos!$F$16)</f>
        <v>5.085</v>
      </c>
      <c r="D7159" s="68" t="n">
        <f aca="false">D7158*(1-Pressupostos!$F$16)</f>
        <v>5.085</v>
      </c>
      <c r="E7159" s="68" t="n">
        <f aca="false">E7158*(1-Pressupostos!$F$16)</f>
        <v>5.085</v>
      </c>
      <c r="F7159" s="68" t="n">
        <f aca="false">F7158*(1-Pressupostos!$F$16)</f>
        <v>5.085</v>
      </c>
      <c r="G7159" s="68" t="n">
        <f aca="false">G7158*(1-Pressupostos!$F$16)</f>
        <v>5.085</v>
      </c>
      <c r="H7159" s="2" t="s">
        <v>1193</v>
      </c>
    </row>
    <row r="7160" customFormat="false" ht="15" hidden="false" customHeight="false" outlineLevel="1" collapsed="false">
      <c r="A7160" s="7" t="s">
        <v>144</v>
      </c>
      <c r="B7160" s="8" t="s">
        <v>64</v>
      </c>
      <c r="C7160" s="67" t="n">
        <f aca="false">Pressupostos!$C$38</f>
        <v>0.55</v>
      </c>
      <c r="D7160" s="67" t="n">
        <f aca="false">Pressupostos!$C$38</f>
        <v>0.55</v>
      </c>
      <c r="E7160" s="67" t="n">
        <f aca="false">Pressupostos!$C$38</f>
        <v>0.55</v>
      </c>
      <c r="F7160" s="67" t="n">
        <f aca="false">Pressupostos!$C$38</f>
        <v>0.55</v>
      </c>
      <c r="G7160" s="67" t="n">
        <f aca="false">Pressupostos!$C$38</f>
        <v>0.55</v>
      </c>
      <c r="H7160" s="2" t="s">
        <v>1194</v>
      </c>
    </row>
    <row r="7161" customFormat="false" ht="15" hidden="false" customHeight="false" outlineLevel="1" collapsed="false">
      <c r="A7161" s="7" t="s">
        <v>215</v>
      </c>
      <c r="B7161" s="8" t="s">
        <v>64</v>
      </c>
      <c r="C7161" s="67" t="n">
        <f aca="false">Pressupostos!$C$240</f>
        <v>0.3</v>
      </c>
      <c r="D7161" s="67" t="n">
        <f aca="false">Pressupostos!$D$240</f>
        <v>0.3</v>
      </c>
      <c r="E7161" s="67" t="n">
        <f aca="false">Pressupostos!$E$240</f>
        <v>0.28</v>
      </c>
      <c r="F7161" s="67" t="n">
        <f aca="false">Pressupostos!$F$240</f>
        <v>0.27</v>
      </c>
      <c r="G7161" s="67" t="n">
        <f aca="false">Pressupostos!$G$240</f>
        <v>0.27</v>
      </c>
      <c r="H7161" s="2" t="s">
        <v>1195</v>
      </c>
    </row>
    <row r="7162" customFormat="false" ht="15" hidden="false" customHeight="false" outlineLevel="1" collapsed="false">
      <c r="A7162" s="7" t="s">
        <v>117</v>
      </c>
      <c r="B7162" s="8" t="s">
        <v>64</v>
      </c>
      <c r="C7162" s="67" t="n">
        <f aca="false">Pressupostos!$C$39</f>
        <v>0.06</v>
      </c>
      <c r="D7162" s="67" t="n">
        <f aca="false">Pressupostos!$C$39</f>
        <v>0.06</v>
      </c>
      <c r="E7162" s="67" t="n">
        <f aca="false">Pressupostos!$C$39</f>
        <v>0.06</v>
      </c>
      <c r="F7162" s="67" t="n">
        <f aca="false">Pressupostos!$C$39</f>
        <v>0.06</v>
      </c>
      <c r="G7162" s="67" t="n">
        <f aca="false">Pressupostos!$C$39</f>
        <v>0.06</v>
      </c>
      <c r="H7162" s="2" t="s">
        <v>1196</v>
      </c>
    </row>
    <row r="7163" customFormat="false" ht="15" hidden="false" customHeight="false" outlineLevel="1" collapsed="false">
      <c r="A7163" s="7" t="s">
        <v>91</v>
      </c>
      <c r="B7163" s="8" t="s">
        <v>79</v>
      </c>
      <c r="C7163" s="69" t="n">
        <f aca="false">Pressupostos!$C$246</f>
        <v>180</v>
      </c>
      <c r="D7163" s="69" t="n">
        <f aca="false">Pressupostos!$D$246</f>
        <v>180</v>
      </c>
      <c r="E7163" s="69" t="n">
        <f aca="false">Pressupostos!$E$246</f>
        <v>45</v>
      </c>
      <c r="F7163" s="69" t="n">
        <f aca="false">Pressupostos!$F$246</f>
        <v>45</v>
      </c>
      <c r="G7163" s="69" t="n">
        <f aca="false">Pressupostos!$G$246</f>
        <v>45</v>
      </c>
      <c r="H7163" s="2" t="s">
        <v>1197</v>
      </c>
    </row>
    <row r="7164" customFormat="false" ht="15" hidden="false" customHeight="false" outlineLevel="1" collapsed="false">
      <c r="A7164" s="7" t="s">
        <v>78</v>
      </c>
      <c r="B7164" s="8" t="s">
        <v>79</v>
      </c>
      <c r="C7164" s="69" t="n">
        <f aca="false">Pressupostos!$F$17</f>
        <v>35</v>
      </c>
      <c r="D7164" s="69" t="n">
        <f aca="false">Pressupostos!$F$17</f>
        <v>35</v>
      </c>
      <c r="E7164" s="69" t="n">
        <f aca="false">Pressupostos!$F$17</f>
        <v>35</v>
      </c>
      <c r="F7164" s="69" t="n">
        <f aca="false">Pressupostos!$F$17</f>
        <v>35</v>
      </c>
      <c r="G7164" s="69" t="n">
        <f aca="false">Pressupostos!$F$17</f>
        <v>35</v>
      </c>
      <c r="H7164" s="2" t="s">
        <v>1198</v>
      </c>
    </row>
    <row r="7165" customFormat="false" ht="15" hidden="false" customHeight="false" outlineLevel="1" collapsed="false">
      <c r="A7165" s="7" t="s">
        <v>490</v>
      </c>
      <c r="B7165" s="8" t="s">
        <v>64</v>
      </c>
      <c r="C7165" s="63" t="n">
        <f aca="false">Pressupostos!$C$66*C7163/30/1000</f>
        <v>0.024</v>
      </c>
      <c r="D7165" s="63" t="n">
        <f aca="false">Pressupostos!$C$66*D7163/30/1000</f>
        <v>0.024</v>
      </c>
      <c r="E7165" s="63" t="n">
        <f aca="false">Pressupostos!$C$66*E7163/30/1000</f>
        <v>0.006</v>
      </c>
      <c r="F7165" s="63" t="n">
        <f aca="false">Pressupostos!$C$66*F7163/30/1000</f>
        <v>0.006</v>
      </c>
      <c r="G7165" s="63" t="n">
        <f aca="false">Pressupostos!$C$66*G7163/30/1000</f>
        <v>0.006</v>
      </c>
      <c r="H7165" s="2" t="s">
        <v>1199</v>
      </c>
    </row>
    <row r="7166" customFormat="false" ht="15" hidden="false" customHeight="false" outlineLevel="1" collapsed="false">
      <c r="A7166" s="7" t="s">
        <v>165</v>
      </c>
      <c r="B7166" s="8" t="s">
        <v>64</v>
      </c>
      <c r="C7166" s="63" t="n">
        <f aca="false">C7157*Pressupostos!$C$67*C7163/365</f>
        <v>0.0036</v>
      </c>
      <c r="D7166" s="63" t="n">
        <f aca="false">D7157*Pressupostos!$C$67*D7163/365</f>
        <v>0.0036</v>
      </c>
      <c r="E7166" s="63" t="n">
        <f aca="false">E7157*Pressupostos!$C$67*E7163/365</f>
        <v>0.0009</v>
      </c>
      <c r="F7166" s="63" t="n">
        <f aca="false">F7157*Pressupostos!$C$67*F7163/365</f>
        <v>0.0009</v>
      </c>
      <c r="G7166" s="63" t="n">
        <f aca="false">G7157*Pressupostos!$C$67*G7163/365</f>
        <v>0.0009</v>
      </c>
      <c r="H7166" s="2" t="s">
        <v>1200</v>
      </c>
    </row>
    <row r="7167" customFormat="false" ht="15" hidden="false" customHeight="false" outlineLevel="1" collapsed="false">
      <c r="A7167" s="7" t="s">
        <v>672</v>
      </c>
      <c r="B7167" s="8" t="s">
        <v>64</v>
      </c>
      <c r="C7167" s="63" t="n">
        <f aca="false">Pressupostos!$C$41*Pressupostos!$C$68/(Pressupostos!$C$40*1000)</f>
        <v>0.03</v>
      </c>
      <c r="D7167" s="63" t="n">
        <f aca="false">Pressupostos!$C$41*Pressupostos!$C$68/(Pressupostos!$C$40*1000)</f>
        <v>0.03</v>
      </c>
      <c r="E7167" s="63" t="n">
        <f aca="false">Pressupostos!$C$41*Pressupostos!$C$68/(Pressupostos!$C$40*1000)</f>
        <v>0.03</v>
      </c>
      <c r="F7167" s="63" t="n">
        <f aca="false">Pressupostos!$C$41*Pressupostos!$C$68/(Pressupostos!$C$40*1000)</f>
        <v>0.03</v>
      </c>
      <c r="G7167" s="63" t="n">
        <f aca="false">Pressupostos!$C$41*Pressupostos!$C$68/(Pressupostos!$C$40*1000)</f>
        <v>0.03</v>
      </c>
      <c r="H7167" s="2" t="s">
        <v>1201</v>
      </c>
    </row>
    <row r="7168" customFormat="false" ht="15" hidden="false" customHeight="false" outlineLevel="1" collapsed="false">
      <c r="A7168" s="7" t="s">
        <v>492</v>
      </c>
      <c r="B7168" s="8" t="s">
        <v>64</v>
      </c>
      <c r="C7168" s="63" t="n">
        <f aca="false">Pressupostos!$C$69*C7157</f>
        <v>0.01825</v>
      </c>
      <c r="D7168" s="63" t="n">
        <f aca="false">Pressupostos!$C$69*D7157</f>
        <v>0.01825</v>
      </c>
      <c r="E7168" s="63" t="n">
        <f aca="false">Pressupostos!$C$69*E7157</f>
        <v>0.01825</v>
      </c>
      <c r="F7168" s="63" t="n">
        <f aca="false">Pressupostos!$C$69*F7157</f>
        <v>0.01825</v>
      </c>
      <c r="G7168" s="63" t="n">
        <f aca="false">Pressupostos!$C$69*G7157</f>
        <v>0.01825</v>
      </c>
      <c r="H7168" s="2" t="s">
        <v>1202</v>
      </c>
    </row>
    <row r="7169" customFormat="false" ht="15" hidden="false" customHeight="false" outlineLevel="1" collapsed="false">
      <c r="A7169" s="7" t="s">
        <v>493</v>
      </c>
      <c r="B7169" s="8" t="s">
        <v>64</v>
      </c>
      <c r="C7169" s="63" t="n">
        <f aca="false">Pressupostos!$C$70*Pressupostos!$C$71*C7163/90</f>
        <v>0.018</v>
      </c>
      <c r="D7169" s="63" t="n">
        <f aca="false">Pressupostos!$C$70*Pressupostos!$C$71*D7163/90</f>
        <v>0.018</v>
      </c>
      <c r="E7169" s="63" t="n">
        <f aca="false">Pressupostos!$C$70*Pressupostos!$C$71*E7163/90</f>
        <v>0.0045</v>
      </c>
      <c r="F7169" s="63" t="n">
        <f aca="false">Pressupostos!$C$70*Pressupostos!$C$71*F7163/90</f>
        <v>0.0045</v>
      </c>
      <c r="G7169" s="63" t="n">
        <f aca="false">Pressupostos!$C$70*Pressupostos!$C$71*G7163/90</f>
        <v>0.0045</v>
      </c>
      <c r="H7169" s="2" t="s">
        <v>1203</v>
      </c>
    </row>
    <row r="7170" customFormat="false" ht="15" hidden="false" customHeight="false" outlineLevel="1" collapsed="false">
      <c r="A7170" s="7" t="s">
        <v>673</v>
      </c>
      <c r="B7170" s="8" t="s">
        <v>64</v>
      </c>
      <c r="C7170" s="63" t="n">
        <f aca="false">Pressupostos!$C$42/(Pressupostos!$C$40*1000)</f>
        <v>0.1</v>
      </c>
      <c r="D7170" s="63" t="n">
        <f aca="false">Pressupostos!$C$42/(Pressupostos!$C$40*1000)</f>
        <v>0.1</v>
      </c>
      <c r="E7170" s="63" t="n">
        <f aca="false">Pressupostos!$C$42/(Pressupostos!$C$40*1000)</f>
        <v>0.1</v>
      </c>
      <c r="F7170" s="63" t="n">
        <f aca="false">Pressupostos!$C$42/(Pressupostos!$C$40*1000)</f>
        <v>0.1</v>
      </c>
      <c r="G7170" s="63" t="n">
        <f aca="false">Pressupostos!$C$42/(Pressupostos!$C$40*1000)</f>
        <v>0.1</v>
      </c>
      <c r="H7170" s="2" t="s">
        <v>1204</v>
      </c>
    </row>
    <row r="7171" customFormat="false" ht="15" hidden="false" customHeight="false" outlineLevel="1" collapsed="false">
      <c r="A7171" s="7" t="s">
        <v>139</v>
      </c>
      <c r="B7171" s="8" t="s">
        <v>64</v>
      </c>
      <c r="C7171" s="67" t="n">
        <f aca="false">Pressupostos!$C$43</f>
        <v>0.01</v>
      </c>
      <c r="D7171" s="67" t="n">
        <f aca="false">Pressupostos!$C$43</f>
        <v>0.01</v>
      </c>
      <c r="E7171" s="67" t="n">
        <f aca="false">Pressupostos!$C$43</f>
        <v>0.01</v>
      </c>
      <c r="F7171" s="67" t="n">
        <f aca="false">Pressupostos!$C$43</f>
        <v>0.01</v>
      </c>
      <c r="G7171" s="67" t="n">
        <f aca="false">Pressupostos!$C$43</f>
        <v>0.01</v>
      </c>
      <c r="H7171" s="2" t="s">
        <v>1205</v>
      </c>
    </row>
    <row r="7172" customFormat="false" ht="15" hidden="false" customHeight="false" outlineLevel="1" collapsed="false">
      <c r="A7172" s="7" t="s">
        <v>81</v>
      </c>
      <c r="B7172" s="8" t="s">
        <v>64</v>
      </c>
      <c r="C7172" s="63" t="n">
        <f aca="false">Pressupostos!$F$18*C7159</f>
        <v>0.03051</v>
      </c>
      <c r="D7172" s="63" t="n">
        <f aca="false">Pressupostos!$F$18*D7159</f>
        <v>0.03051</v>
      </c>
      <c r="E7172" s="63" t="n">
        <f aca="false">Pressupostos!$F$18*E7159</f>
        <v>0.03051</v>
      </c>
      <c r="F7172" s="63" t="n">
        <f aca="false">Pressupostos!$F$18*F7159</f>
        <v>0.03051</v>
      </c>
      <c r="G7172" s="63" t="n">
        <f aca="false">Pressupostos!$F$18*G7159</f>
        <v>0.03051</v>
      </c>
      <c r="H7172" s="2" t="s">
        <v>1206</v>
      </c>
    </row>
    <row r="7173" customFormat="false" ht="15" hidden="false" customHeight="false" outlineLevel="1" collapsed="false">
      <c r="A7173" s="7" t="s">
        <v>674</v>
      </c>
      <c r="B7173" s="8" t="s">
        <v>64</v>
      </c>
      <c r="C7173" s="63" t="n">
        <f aca="false">Pressupostos!$C$73*C7159</f>
        <v>0</v>
      </c>
      <c r="D7173" s="63" t="n">
        <f aca="false">Pressupostos!$C$73*D7159</f>
        <v>0</v>
      </c>
      <c r="E7173" s="63" t="n">
        <f aca="false">Pressupostos!$C$73*E7159</f>
        <v>0</v>
      </c>
      <c r="F7173" s="63" t="n">
        <f aca="false">Pressupostos!$C$73*F7159</f>
        <v>0</v>
      </c>
      <c r="G7173" s="63" t="n">
        <f aca="false">Pressupostos!$C$73*G7159</f>
        <v>0</v>
      </c>
      <c r="H7173" s="2" t="s">
        <v>1207</v>
      </c>
    </row>
    <row r="7174" customFormat="false" ht="15" hidden="false" customHeight="false" outlineLevel="1" collapsed="false">
      <c r="A7174" s="7" t="s">
        <v>675</v>
      </c>
      <c r="B7174" s="8" t="s">
        <v>64</v>
      </c>
      <c r="C7174" s="63" t="n">
        <f aca="false">Pressupostos!$C$290*(C7157+C7160)*(C7163+C7164-Pressupostos!$C$72)/365*Pressupostos!$C$284/Pressupostos!$F$31</f>
        <v>0</v>
      </c>
      <c r="D7174" s="63" t="n">
        <f aca="false">Pressupostos!$D$290*(D7157+D7160)*(D7163+D7164-Pressupostos!$C$72)/365*Pressupostos!$D$284/Pressupostos!$F$31</f>
        <v>0.159657534246575</v>
      </c>
      <c r="E7174" s="63" t="n">
        <f aca="false">Pressupostos!$E$290*(E7157+E7160)*(E7163+E7164-Pressupostos!$C$72)/365*Pressupostos!$E$284/Pressupostos!$F$31</f>
        <v>0.0404537671232877</v>
      </c>
      <c r="F7174" s="63" t="n">
        <f aca="false">Pressupostos!$F$290*(F7157+F7160)*(F7163+F7164-Pressupostos!$C$72)/365*Pressupostos!$F$284/Pressupostos!$F$31</f>
        <v>0.0377568493150685</v>
      </c>
      <c r="G7174" s="63" t="n">
        <f aca="false">Pressupostos!$G$290*(G7157+G7160)*(G7163+G7164-Pressupostos!$C$72)/365*Pressupostos!$G$284/Pressupostos!$F$31</f>
        <v>0.0377568493150685</v>
      </c>
      <c r="H7174" s="2" t="s">
        <v>1208</v>
      </c>
    </row>
    <row r="7175" customFormat="false" ht="15" hidden="false" customHeight="false" outlineLevel="1" collapsed="false">
      <c r="A7175" s="7" t="s">
        <v>676</v>
      </c>
      <c r="B7175" s="8" t="s">
        <v>64</v>
      </c>
      <c r="C7175" s="63" t="n">
        <f aca="false">C7157+C7160+C7161+C7162+C7165+C7166+C7167+C7168+C7169+C7170+C7171+C7172+C7173+C7174</f>
        <v>4.79436</v>
      </c>
      <c r="D7175" s="63" t="n">
        <f aca="false">D7157+D7160+D7161+D7162+D7165+D7166+D7167+D7168+D7169+D7170+D7171+D7172+D7173+D7174</f>
        <v>4.95401753424657</v>
      </c>
      <c r="E7175" s="63" t="n">
        <f aca="false">E7157+E7160+E7161+E7162+E7165+E7166+E7167+E7168+E7169+E7170+E7171+E7172+E7173+E7174</f>
        <v>4.78061376712329</v>
      </c>
      <c r="F7175" s="63" t="n">
        <f aca="false">F7157+F7160+F7161+F7162+F7165+F7166+F7167+F7168+F7169+F7170+F7171+F7172+F7173+F7174</f>
        <v>4.76791684931507</v>
      </c>
      <c r="G7175" s="63" t="n">
        <f aca="false">G7157+G7160+G7161+G7162+G7165+G7166+G7167+G7168+G7169+G7170+G7171+G7172+G7173+G7174</f>
        <v>4.76791684931507</v>
      </c>
      <c r="H7175" s="2" t="s">
        <v>1209</v>
      </c>
    </row>
    <row r="7176" customFormat="false" ht="15" hidden="false" customHeight="false" outlineLevel="1" collapsed="false">
      <c r="A7176" s="56" t="s">
        <v>677</v>
      </c>
      <c r="B7176" s="57" t="s">
        <v>64</v>
      </c>
      <c r="C7176" s="68" t="n">
        <f aca="false">C7159-C7175</f>
        <v>0.290640000000002</v>
      </c>
      <c r="D7176" s="68" t="n">
        <f aca="false">D7159-D7175</f>
        <v>0.130982465753427</v>
      </c>
      <c r="E7176" s="68" t="n">
        <f aca="false">E7159-E7175</f>
        <v>0.304386232876714</v>
      </c>
      <c r="F7176" s="68" t="n">
        <f aca="false">F7159-F7175</f>
        <v>0.317083150684932</v>
      </c>
      <c r="G7176" s="68" t="n">
        <f aca="false">G7159-G7175</f>
        <v>0.317083150684932</v>
      </c>
      <c r="H7176" s="2" t="s">
        <v>1210</v>
      </c>
    </row>
    <row r="7177" customFormat="false" ht="15" hidden="false" customHeight="false" outlineLevel="1" collapsed="false">
      <c r="A7177" s="7" t="s">
        <v>678</v>
      </c>
      <c r="B7177" s="8" t="s">
        <v>76</v>
      </c>
      <c r="C7177" s="59" t="n">
        <f aca="false">IF(C7159&gt;0,C7176/C7159,0)</f>
        <v>0.0571563421828913</v>
      </c>
      <c r="D7177" s="59" t="n">
        <f aca="false">IF(D7159&gt;0,D7176/D7159,0)</f>
        <v>0.0257585970016573</v>
      </c>
      <c r="E7177" s="59" t="n">
        <f aca="false">IF(E7159&gt;0,E7176/E7159,0)</f>
        <v>0.0598596328174461</v>
      </c>
      <c r="F7177" s="59" t="n">
        <f aca="false">IF(F7159&gt;0,F7176/F7159,0)</f>
        <v>0.0623565684729464</v>
      </c>
      <c r="G7177" s="59" t="n">
        <f aca="false">IF(G7159&gt;0,G7176/G7159,0)</f>
        <v>0.0623565684729464</v>
      </c>
      <c r="H7177" s="2" t="s">
        <v>1211</v>
      </c>
    </row>
    <row r="7178" customFormat="false" ht="15" hidden="false" customHeight="false" outlineLevel="1" collapsed="false">
      <c r="A7178" s="7" t="s">
        <v>679</v>
      </c>
      <c r="B7178" s="8" t="s">
        <v>64</v>
      </c>
      <c r="C7178" s="63" t="n">
        <f aca="false">(C7157+C7160)*(C7163-Pressupostos!$C$72)/365+C7159*C7164/365</f>
        <v>2.2136301369863</v>
      </c>
      <c r="D7178" s="63" t="n">
        <f aca="false">(D7157+D7160)*(D7163-Pressupostos!$C$72)/365+D7159*D7164/365</f>
        <v>2.2136301369863</v>
      </c>
      <c r="E7178" s="63" t="n">
        <f aca="false">(E7157+E7160)*(E7163-Pressupostos!$C$72)/365+E7159*E7164/365</f>
        <v>0.660205479452055</v>
      </c>
      <c r="F7178" s="63" t="n">
        <f aca="false">(F7157+F7160)*(F7163-Pressupostos!$C$72)/365+F7159*F7164/365</f>
        <v>0.660205479452055</v>
      </c>
      <c r="G7178" s="63" t="n">
        <f aca="false">(G7157+G7160)*(G7163-Pressupostos!$C$72)/365+G7159*G7164/365</f>
        <v>0.660205479452055</v>
      </c>
      <c r="H7178" s="2" t="s">
        <v>1212</v>
      </c>
    </row>
    <row r="7179" customFormat="false" ht="15" hidden="false" customHeight="false" outlineLevel="0" collapsed="false">
      <c r="A7179" s="3" t="s">
        <v>1213</v>
      </c>
      <c r="B7179" s="4"/>
      <c r="C7179" s="4"/>
      <c r="D7179" s="4"/>
      <c r="E7179" s="4"/>
      <c r="F7179" s="4"/>
      <c r="G7179" s="4"/>
      <c r="H7179" s="4"/>
    </row>
    <row r="7180" customFormat="false" ht="15" hidden="false" customHeight="false" outlineLevel="1" collapsed="false">
      <c r="A7180" s="7" t="s">
        <v>669</v>
      </c>
      <c r="B7180" s="8" t="s">
        <v>64</v>
      </c>
      <c r="C7180" s="63" t="n">
        <f aca="false">Pressupostos!$F$10+Pressupostos!$F$12</f>
        <v>3.6</v>
      </c>
      <c r="D7180" s="63" t="n">
        <f aca="false">Pressupostos!$F$10+Pressupostos!$F$12</f>
        <v>3.6</v>
      </c>
      <c r="E7180" s="63" t="n">
        <f aca="false">Pressupostos!$F$10+Pressupostos!$F$12</f>
        <v>3.6</v>
      </c>
      <c r="F7180" s="63" t="n">
        <f aca="false">Pressupostos!$F$10+Pressupostos!$F$12</f>
        <v>3.6</v>
      </c>
      <c r="G7180" s="63" t="n">
        <f aca="false">Pressupostos!$F$10+Pressupostos!$F$12</f>
        <v>3.6</v>
      </c>
      <c r="H7180" s="2" t="s">
        <v>1214</v>
      </c>
    </row>
    <row r="7181" customFormat="false" ht="15" hidden="false" customHeight="false" outlineLevel="1" collapsed="false">
      <c r="A7181" s="7" t="s">
        <v>670</v>
      </c>
      <c r="B7181" s="8" t="s">
        <v>64</v>
      </c>
      <c r="C7181" s="63" t="n">
        <f aca="false">Pressupostos!$F$20+(0)</f>
        <v>4.35</v>
      </c>
      <c r="D7181" s="63" t="n">
        <f aca="false">Pressupostos!$F$20+(0)</f>
        <v>4.35</v>
      </c>
      <c r="E7181" s="63" t="n">
        <f aca="false">Pressupostos!$F$20+(0)</f>
        <v>4.35</v>
      </c>
      <c r="F7181" s="63" t="n">
        <f aca="false">Pressupostos!$F$20+(0)</f>
        <v>4.35</v>
      </c>
      <c r="G7181" s="63" t="n">
        <f aca="false">Pressupostos!$F$20+(0)</f>
        <v>4.35</v>
      </c>
      <c r="H7181" s="2" t="s">
        <v>1215</v>
      </c>
    </row>
    <row r="7182" customFormat="false" ht="15" hidden="false" customHeight="false" outlineLevel="1" collapsed="false">
      <c r="A7182" s="56" t="s">
        <v>671</v>
      </c>
      <c r="B7182" s="57" t="s">
        <v>64</v>
      </c>
      <c r="C7182" s="68" t="n">
        <f aca="false">C7181*(1-Pressupostos!$F$22)</f>
        <v>4.35</v>
      </c>
      <c r="D7182" s="68" t="n">
        <f aca="false">D7181*(1-Pressupostos!$F$22)</f>
        <v>4.35</v>
      </c>
      <c r="E7182" s="68" t="n">
        <f aca="false">E7181*(1-Pressupostos!$F$22)</f>
        <v>4.35</v>
      </c>
      <c r="F7182" s="68" t="n">
        <f aca="false">F7181*(1-Pressupostos!$F$22)</f>
        <v>4.35</v>
      </c>
      <c r="G7182" s="68" t="n">
        <f aca="false">G7181*(1-Pressupostos!$F$22)</f>
        <v>4.35</v>
      </c>
      <c r="H7182" s="2" t="s">
        <v>1216</v>
      </c>
    </row>
    <row r="7183" customFormat="false" ht="15" hidden="false" customHeight="false" outlineLevel="1" collapsed="false">
      <c r="A7183" s="7" t="s">
        <v>144</v>
      </c>
      <c r="B7183" s="8" t="s">
        <v>64</v>
      </c>
      <c r="C7183" s="67" t="n">
        <f aca="false">Pressupostos!$C$45</f>
        <v>0.45</v>
      </c>
      <c r="D7183" s="67" t="n">
        <f aca="false">Pressupostos!$C$45</f>
        <v>0.45</v>
      </c>
      <c r="E7183" s="67" t="n">
        <f aca="false">Pressupostos!$C$45</f>
        <v>0.45</v>
      </c>
      <c r="F7183" s="67" t="n">
        <f aca="false">Pressupostos!$C$45</f>
        <v>0.45</v>
      </c>
      <c r="G7183" s="67" t="n">
        <f aca="false">Pressupostos!$C$45</f>
        <v>0.45</v>
      </c>
      <c r="H7183" s="2" t="s">
        <v>1217</v>
      </c>
    </row>
    <row r="7184" customFormat="false" ht="15" hidden="false" customHeight="false" outlineLevel="1" collapsed="false">
      <c r="A7184" s="7" t="s">
        <v>215</v>
      </c>
      <c r="B7184" s="8" t="s">
        <v>64</v>
      </c>
      <c r="C7184" s="67" t="n">
        <f aca="false">Pressupostos!$C$252</f>
        <v>0.1</v>
      </c>
      <c r="D7184" s="67" t="n">
        <f aca="false">Pressupostos!$D$252</f>
        <v>0.1</v>
      </c>
      <c r="E7184" s="67" t="n">
        <f aca="false">Pressupostos!$E$252</f>
        <v>0.09</v>
      </c>
      <c r="F7184" s="67" t="n">
        <f aca="false">Pressupostos!$F$252</f>
        <v>0.09</v>
      </c>
      <c r="G7184" s="67" t="n">
        <f aca="false">Pressupostos!$G$252</f>
        <v>0.09</v>
      </c>
      <c r="H7184" s="2" t="s">
        <v>1218</v>
      </c>
    </row>
    <row r="7185" customFormat="false" ht="15" hidden="false" customHeight="false" outlineLevel="1" collapsed="false">
      <c r="A7185" s="7" t="s">
        <v>117</v>
      </c>
      <c r="B7185" s="8" t="s">
        <v>64</v>
      </c>
      <c r="C7185" s="67" t="n">
        <f aca="false">Pressupostos!$C$46</f>
        <v>0</v>
      </c>
      <c r="D7185" s="67" t="n">
        <f aca="false">Pressupostos!$C$46</f>
        <v>0</v>
      </c>
      <c r="E7185" s="67" t="n">
        <f aca="false">Pressupostos!$C$46</f>
        <v>0</v>
      </c>
      <c r="F7185" s="67" t="n">
        <f aca="false">Pressupostos!$C$46</f>
        <v>0</v>
      </c>
      <c r="G7185" s="67" t="n">
        <f aca="false">Pressupostos!$C$46</f>
        <v>0</v>
      </c>
      <c r="H7185" s="2" t="s">
        <v>1219</v>
      </c>
    </row>
    <row r="7186" customFormat="false" ht="15" hidden="false" customHeight="false" outlineLevel="1" collapsed="false">
      <c r="A7186" s="7" t="s">
        <v>91</v>
      </c>
      <c r="B7186" s="8" t="s">
        <v>79</v>
      </c>
      <c r="C7186" s="69" t="n">
        <f aca="false">Pressupostos!$F$23</f>
        <v>30</v>
      </c>
      <c r="D7186" s="69" t="n">
        <f aca="false">Pressupostos!$F$23</f>
        <v>30</v>
      </c>
      <c r="E7186" s="69" t="n">
        <f aca="false">Pressupostos!$F$23</f>
        <v>30</v>
      </c>
      <c r="F7186" s="69" t="n">
        <f aca="false">Pressupostos!$F$23</f>
        <v>30</v>
      </c>
      <c r="G7186" s="69" t="n">
        <f aca="false">Pressupostos!$F$23</f>
        <v>30</v>
      </c>
      <c r="H7186" s="2" t="s">
        <v>1220</v>
      </c>
    </row>
    <row r="7187" customFormat="false" ht="15" hidden="false" customHeight="false" outlineLevel="1" collapsed="false">
      <c r="A7187" s="7" t="s">
        <v>78</v>
      </c>
      <c r="B7187" s="8" t="s">
        <v>79</v>
      </c>
      <c r="C7187" s="69" t="n">
        <f aca="false">Pressupostos!$F$24</f>
        <v>55</v>
      </c>
      <c r="D7187" s="69" t="n">
        <f aca="false">Pressupostos!$F$24</f>
        <v>55</v>
      </c>
      <c r="E7187" s="69" t="n">
        <f aca="false">Pressupostos!$F$24</f>
        <v>55</v>
      </c>
      <c r="F7187" s="69" t="n">
        <f aca="false">Pressupostos!$F$24</f>
        <v>55</v>
      </c>
      <c r="G7187" s="69" t="n">
        <f aca="false">Pressupostos!$F$24</f>
        <v>55</v>
      </c>
      <c r="H7187" s="2" t="s">
        <v>1221</v>
      </c>
    </row>
    <row r="7188" customFormat="false" ht="15" hidden="false" customHeight="false" outlineLevel="1" collapsed="false">
      <c r="A7188" s="7" t="s">
        <v>490</v>
      </c>
      <c r="B7188" s="8" t="s">
        <v>64</v>
      </c>
      <c r="C7188" s="63" t="n">
        <f aca="false">Pressupostos!$C$66*C7186/30/1000</f>
        <v>0.004</v>
      </c>
      <c r="D7188" s="63" t="n">
        <f aca="false">Pressupostos!$C$66*D7186/30/1000</f>
        <v>0.004</v>
      </c>
      <c r="E7188" s="63" t="n">
        <f aca="false">Pressupostos!$C$66*E7186/30/1000</f>
        <v>0.004</v>
      </c>
      <c r="F7188" s="63" t="n">
        <f aca="false">Pressupostos!$C$66*F7186/30/1000</f>
        <v>0.004</v>
      </c>
      <c r="G7188" s="63" t="n">
        <f aca="false">Pressupostos!$C$66*G7186/30/1000</f>
        <v>0.004</v>
      </c>
      <c r="H7188" s="2" t="s">
        <v>1222</v>
      </c>
    </row>
    <row r="7189" customFormat="false" ht="15" hidden="false" customHeight="false" outlineLevel="1" collapsed="false">
      <c r="A7189" s="7" t="s">
        <v>165</v>
      </c>
      <c r="B7189" s="8" t="s">
        <v>64</v>
      </c>
      <c r="C7189" s="63" t="n">
        <f aca="false">C7180*Pressupostos!$C$67*C7186/365</f>
        <v>0.000591780821917808</v>
      </c>
      <c r="D7189" s="63" t="n">
        <f aca="false">D7180*Pressupostos!$C$67*D7186/365</f>
        <v>0.000591780821917808</v>
      </c>
      <c r="E7189" s="63" t="n">
        <f aca="false">E7180*Pressupostos!$C$67*E7186/365</f>
        <v>0.000591780821917808</v>
      </c>
      <c r="F7189" s="63" t="n">
        <f aca="false">F7180*Pressupostos!$C$67*F7186/365</f>
        <v>0.000591780821917808</v>
      </c>
      <c r="G7189" s="63" t="n">
        <f aca="false">G7180*Pressupostos!$C$67*G7186/365</f>
        <v>0.000591780821917808</v>
      </c>
      <c r="H7189" s="2" t="s">
        <v>1223</v>
      </c>
    </row>
    <row r="7190" customFormat="false" ht="15" hidden="false" customHeight="false" outlineLevel="1" collapsed="false">
      <c r="A7190" s="7" t="s">
        <v>672</v>
      </c>
      <c r="B7190" s="8" t="s">
        <v>64</v>
      </c>
      <c r="C7190" s="63" t="n">
        <f aca="false">Pressupostos!$C$48*Pressupostos!$C$68/(Pressupostos!$C$47*1000)</f>
        <v>0.02</v>
      </c>
      <c r="D7190" s="63" t="n">
        <f aca="false">Pressupostos!$C$48*Pressupostos!$C$68/(Pressupostos!$C$47*1000)</f>
        <v>0.02</v>
      </c>
      <c r="E7190" s="63" t="n">
        <f aca="false">Pressupostos!$C$48*Pressupostos!$C$68/(Pressupostos!$C$47*1000)</f>
        <v>0.02</v>
      </c>
      <c r="F7190" s="63" t="n">
        <f aca="false">Pressupostos!$C$48*Pressupostos!$C$68/(Pressupostos!$C$47*1000)</f>
        <v>0.02</v>
      </c>
      <c r="G7190" s="63" t="n">
        <f aca="false">Pressupostos!$C$48*Pressupostos!$C$68/(Pressupostos!$C$47*1000)</f>
        <v>0.02</v>
      </c>
      <c r="H7190" s="2" t="s">
        <v>1224</v>
      </c>
    </row>
    <row r="7191" customFormat="false" ht="15" hidden="false" customHeight="false" outlineLevel="1" collapsed="false">
      <c r="A7191" s="7" t="s">
        <v>492</v>
      </c>
      <c r="B7191" s="8" t="s">
        <v>64</v>
      </c>
      <c r="C7191" s="63" t="n">
        <f aca="false">Pressupostos!$C$69*C7180</f>
        <v>0.018</v>
      </c>
      <c r="D7191" s="63" t="n">
        <f aca="false">Pressupostos!$C$69*D7180</f>
        <v>0.018</v>
      </c>
      <c r="E7191" s="63" t="n">
        <f aca="false">Pressupostos!$C$69*E7180</f>
        <v>0.018</v>
      </c>
      <c r="F7191" s="63" t="n">
        <f aca="false">Pressupostos!$C$69*F7180</f>
        <v>0.018</v>
      </c>
      <c r="G7191" s="63" t="n">
        <f aca="false">Pressupostos!$C$69*G7180</f>
        <v>0.018</v>
      </c>
      <c r="H7191" s="2" t="s">
        <v>1225</v>
      </c>
    </row>
    <row r="7192" customFormat="false" ht="15" hidden="false" customHeight="false" outlineLevel="1" collapsed="false">
      <c r="A7192" s="7" t="s">
        <v>493</v>
      </c>
      <c r="B7192" s="8" t="s">
        <v>64</v>
      </c>
      <c r="C7192" s="63" t="n">
        <f aca="false">Pressupostos!$C$70*Pressupostos!$C$71*C7186/90</f>
        <v>0.003</v>
      </c>
      <c r="D7192" s="63" t="n">
        <f aca="false">Pressupostos!$C$70*Pressupostos!$C$71*D7186/90</f>
        <v>0.003</v>
      </c>
      <c r="E7192" s="63" t="n">
        <f aca="false">Pressupostos!$C$70*Pressupostos!$C$71*E7186/90</f>
        <v>0.003</v>
      </c>
      <c r="F7192" s="63" t="n">
        <f aca="false">Pressupostos!$C$70*Pressupostos!$C$71*F7186/90</f>
        <v>0.003</v>
      </c>
      <c r="G7192" s="63" t="n">
        <f aca="false">Pressupostos!$C$70*Pressupostos!$C$71*G7186/90</f>
        <v>0.003</v>
      </c>
      <c r="H7192" s="2" t="s">
        <v>1226</v>
      </c>
    </row>
    <row r="7193" customFormat="false" ht="15" hidden="false" customHeight="false" outlineLevel="1" collapsed="false">
      <c r="A7193" s="7" t="s">
        <v>673</v>
      </c>
      <c r="B7193" s="8" t="s">
        <v>64</v>
      </c>
      <c r="C7193" s="63" t="n">
        <f aca="false">Pressupostos!$C$49/(Pressupostos!$C$47*1000)</f>
        <v>0.04</v>
      </c>
      <c r="D7193" s="63" t="n">
        <f aca="false">Pressupostos!$C$49/(Pressupostos!$C$47*1000)</f>
        <v>0.04</v>
      </c>
      <c r="E7193" s="63" t="n">
        <f aca="false">Pressupostos!$C$49/(Pressupostos!$C$47*1000)</f>
        <v>0.04</v>
      </c>
      <c r="F7193" s="63" t="n">
        <f aca="false">Pressupostos!$C$49/(Pressupostos!$C$47*1000)</f>
        <v>0.04</v>
      </c>
      <c r="G7193" s="63" t="n">
        <f aca="false">Pressupostos!$C$49/(Pressupostos!$C$47*1000)</f>
        <v>0.04</v>
      </c>
      <c r="H7193" s="2" t="s">
        <v>1227</v>
      </c>
    </row>
    <row r="7194" customFormat="false" ht="15" hidden="false" customHeight="false" outlineLevel="1" collapsed="false">
      <c r="A7194" s="7" t="s">
        <v>139</v>
      </c>
      <c r="B7194" s="8" t="s">
        <v>64</v>
      </c>
      <c r="C7194" s="67" t="n">
        <f aca="false">Pressupostos!$C$50</f>
        <v>0.005</v>
      </c>
      <c r="D7194" s="67" t="n">
        <f aca="false">Pressupostos!$C$50</f>
        <v>0.005</v>
      </c>
      <c r="E7194" s="67" t="n">
        <f aca="false">Pressupostos!$C$50</f>
        <v>0.005</v>
      </c>
      <c r="F7194" s="67" t="n">
        <f aca="false">Pressupostos!$C$50</f>
        <v>0.005</v>
      </c>
      <c r="G7194" s="67" t="n">
        <f aca="false">Pressupostos!$C$50</f>
        <v>0.005</v>
      </c>
      <c r="H7194" s="2" t="s">
        <v>1228</v>
      </c>
    </row>
    <row r="7195" customFormat="false" ht="15" hidden="false" customHeight="false" outlineLevel="1" collapsed="false">
      <c r="A7195" s="7" t="s">
        <v>81</v>
      </c>
      <c r="B7195" s="8" t="s">
        <v>64</v>
      </c>
      <c r="C7195" s="63" t="n">
        <f aca="false">Pressupostos!$F$25*C7182</f>
        <v>0.01305</v>
      </c>
      <c r="D7195" s="63" t="n">
        <f aca="false">Pressupostos!$F$25*D7182</f>
        <v>0.01305</v>
      </c>
      <c r="E7195" s="63" t="n">
        <f aca="false">Pressupostos!$F$25*E7182</f>
        <v>0.01305</v>
      </c>
      <c r="F7195" s="63" t="n">
        <f aca="false">Pressupostos!$F$25*F7182</f>
        <v>0.01305</v>
      </c>
      <c r="G7195" s="63" t="n">
        <f aca="false">Pressupostos!$F$25*G7182</f>
        <v>0.01305</v>
      </c>
      <c r="H7195" s="2" t="s">
        <v>1229</v>
      </c>
    </row>
    <row r="7196" customFormat="false" ht="15" hidden="false" customHeight="false" outlineLevel="1" collapsed="false">
      <c r="A7196" s="7" t="s">
        <v>674</v>
      </c>
      <c r="B7196" s="8" t="s">
        <v>64</v>
      </c>
      <c r="C7196" s="63" t="n">
        <f aca="false">Pressupostos!$C$73*C7182</f>
        <v>0</v>
      </c>
      <c r="D7196" s="63" t="n">
        <f aca="false">Pressupostos!$C$73*D7182</f>
        <v>0</v>
      </c>
      <c r="E7196" s="63" t="n">
        <f aca="false">Pressupostos!$C$73*E7182</f>
        <v>0</v>
      </c>
      <c r="F7196" s="63" t="n">
        <f aca="false">Pressupostos!$C$73*F7182</f>
        <v>0</v>
      </c>
      <c r="G7196" s="63" t="n">
        <f aca="false">Pressupostos!$C$73*G7182</f>
        <v>0</v>
      </c>
      <c r="H7196" s="2" t="s">
        <v>1230</v>
      </c>
    </row>
    <row r="7197" customFormat="false" ht="15" hidden="false" customHeight="false" outlineLevel="1" collapsed="false">
      <c r="A7197" s="7" t="s">
        <v>675</v>
      </c>
      <c r="B7197" s="8" t="s">
        <v>64</v>
      </c>
      <c r="C7197" s="63" t="n">
        <f aca="false">Pressupostos!$C$290*(C7180+C7183)*(C7186+C7187-Pressupostos!$C$72)/365*Pressupostos!$C$284/Pressupostos!$F$31</f>
        <v>0</v>
      </c>
      <c r="D7197" s="63" t="n">
        <f aca="false">Pressupostos!$D$290*(D7180+D7183)*(D7186+D7187-Pressupostos!$C$72)/365*Pressupostos!$D$284/Pressupostos!$F$31</f>
        <v>0.0457705479452055</v>
      </c>
      <c r="E7197" s="63" t="n">
        <f aca="false">Pressupostos!$E$290*(E7180+E7183)*(E7186+E7187-Pressupostos!$C$72)/365*Pressupostos!$E$284/Pressupostos!$F$31</f>
        <v>0.0429098886986301</v>
      </c>
      <c r="F7197" s="63" t="n">
        <f aca="false">Pressupostos!$F$290*(F7180+F7183)*(F7186+F7187-Pressupostos!$C$72)/365*Pressupostos!$F$284/Pressupostos!$F$31</f>
        <v>0.0400492294520548</v>
      </c>
      <c r="G7197" s="63" t="n">
        <f aca="false">Pressupostos!$G$290*(G7180+G7183)*(G7186+G7187-Pressupostos!$C$72)/365*Pressupostos!$G$284/Pressupostos!$F$31</f>
        <v>0.0400492294520548</v>
      </c>
      <c r="H7197" s="2" t="s">
        <v>1231</v>
      </c>
    </row>
    <row r="7198" customFormat="false" ht="15" hidden="false" customHeight="false" outlineLevel="1" collapsed="false">
      <c r="A7198" s="7" t="s">
        <v>676</v>
      </c>
      <c r="B7198" s="8" t="s">
        <v>64</v>
      </c>
      <c r="C7198" s="63" t="n">
        <f aca="false">C7180+C7183+C7184+C7185+C7188+C7189+C7190+C7191+C7192+C7193+C7194+C7195+C7196+C7197</f>
        <v>4.25364178082192</v>
      </c>
      <c r="D7198" s="63" t="n">
        <f aca="false">D7180+D7183+D7184+D7185+D7188+D7189+D7190+D7191+D7192+D7193+D7194+D7195+D7196+D7197</f>
        <v>4.29941232876712</v>
      </c>
      <c r="E7198" s="63" t="n">
        <f aca="false">E7180+E7183+E7184+E7185+E7188+E7189+E7190+E7191+E7192+E7193+E7194+E7195+E7196+E7197</f>
        <v>4.28655166952055</v>
      </c>
      <c r="F7198" s="63" t="n">
        <f aca="false">F7180+F7183+F7184+F7185+F7188+F7189+F7190+F7191+F7192+F7193+F7194+F7195+F7196+F7197</f>
        <v>4.28369101027397</v>
      </c>
      <c r="G7198" s="63" t="n">
        <f aca="false">G7180+G7183+G7184+G7185+G7188+G7189+G7190+G7191+G7192+G7193+G7194+G7195+G7196+G7197</f>
        <v>4.28369101027397</v>
      </c>
      <c r="H7198" s="2" t="s">
        <v>1232</v>
      </c>
    </row>
    <row r="7199" customFormat="false" ht="15" hidden="false" customHeight="false" outlineLevel="1" collapsed="false">
      <c r="A7199" s="56" t="s">
        <v>677</v>
      </c>
      <c r="B7199" s="57" t="s">
        <v>64</v>
      </c>
      <c r="C7199" s="68" t="n">
        <f aca="false">C7182-C7198</f>
        <v>0.0963582191780832</v>
      </c>
      <c r="D7199" s="68" t="n">
        <f aca="false">D7182-D7198</f>
        <v>0.0505876712328774</v>
      </c>
      <c r="E7199" s="68" t="n">
        <f aca="false">E7182-E7198</f>
        <v>0.0634483304794529</v>
      </c>
      <c r="F7199" s="68" t="n">
        <f aca="false">F7182-F7198</f>
        <v>0.0663089897260285</v>
      </c>
      <c r="G7199" s="68" t="n">
        <f aca="false">G7182-G7198</f>
        <v>0.0663089897260285</v>
      </c>
      <c r="H7199" s="2" t="s">
        <v>1233</v>
      </c>
    </row>
    <row r="7200" customFormat="false" ht="15" hidden="false" customHeight="false" outlineLevel="1" collapsed="false">
      <c r="A7200" s="7" t="s">
        <v>678</v>
      </c>
      <c r="B7200" s="8" t="s">
        <v>76</v>
      </c>
      <c r="C7200" s="59" t="n">
        <f aca="false">IF(C7182&gt;0,C7199/C7182,0)</f>
        <v>0.0221513147535823</v>
      </c>
      <c r="D7200" s="59" t="n">
        <f aca="false">IF(D7182&gt;0,D7199/D7182,0)</f>
        <v>0.0116293497087075</v>
      </c>
      <c r="E7200" s="59" t="n">
        <f aca="false">IF(E7182&gt;0,E7199/E7182,0)</f>
        <v>0.0145858230987248</v>
      </c>
      <c r="F7200" s="59" t="n">
        <f aca="false">IF(F7182&gt;0,F7199/F7182,0)</f>
        <v>0.0152434459140295</v>
      </c>
      <c r="G7200" s="59" t="n">
        <f aca="false">IF(G7182&gt;0,G7199/G7182,0)</f>
        <v>0.0152434459140295</v>
      </c>
      <c r="H7200" s="2" t="s">
        <v>1234</v>
      </c>
    </row>
    <row r="7201" customFormat="false" ht="15" hidden="false" customHeight="false" outlineLevel="1" collapsed="false">
      <c r="A7201" s="7" t="s">
        <v>679</v>
      </c>
      <c r="B7201" s="8" t="s">
        <v>64</v>
      </c>
      <c r="C7201" s="63" t="n">
        <f aca="false">(C7180+C7183)*(C7186-Pressupostos!$C$72)/365+C7182*C7187/365</f>
        <v>0.655479452054794</v>
      </c>
      <c r="D7201" s="63" t="n">
        <f aca="false">(D7180+D7183)*(D7186-Pressupostos!$C$72)/365+D7182*D7187/365</f>
        <v>0.655479452054794</v>
      </c>
      <c r="E7201" s="63" t="n">
        <f aca="false">(E7180+E7183)*(E7186-Pressupostos!$C$72)/365+E7182*E7187/365</f>
        <v>0.655479452054794</v>
      </c>
      <c r="F7201" s="63" t="n">
        <f aca="false">(F7180+F7183)*(F7186-Pressupostos!$C$72)/365+F7182*F7187/365</f>
        <v>0.655479452054794</v>
      </c>
      <c r="G7201" s="63" t="n">
        <f aca="false">(G7180+G7183)*(G7186-Pressupostos!$C$72)/365+G7182*G7187/365</f>
        <v>0.655479452054794</v>
      </c>
      <c r="H7201" s="2" t="s">
        <v>1235</v>
      </c>
    </row>
    <row r="7202" customFormat="false" ht="15" hidden="false" customHeight="false" outlineLevel="0" collapsed="false">
      <c r="A7202" s="3" t="s">
        <v>1236</v>
      </c>
      <c r="B7202" s="4"/>
      <c r="C7202" s="4"/>
      <c r="D7202" s="4"/>
      <c r="E7202" s="4"/>
      <c r="F7202" s="4"/>
      <c r="G7202" s="4"/>
      <c r="H7202" s="4"/>
    </row>
    <row r="7203" customFormat="false" ht="15" hidden="false" customHeight="false" outlineLevel="1" collapsed="false">
      <c r="A7203" s="7" t="s">
        <v>669</v>
      </c>
      <c r="B7203" s="8" t="s">
        <v>64</v>
      </c>
      <c r="C7203" s="63" t="n">
        <f aca="false">Pressupostos!$F$10+Pressupostos!$F$13</f>
        <v>3.5</v>
      </c>
      <c r="D7203" s="63" t="n">
        <f aca="false">Pressupostos!$F$10+Pressupostos!$F$13</f>
        <v>3.5</v>
      </c>
      <c r="E7203" s="63" t="n">
        <f aca="false">Pressupostos!$F$10+Pressupostos!$F$13</f>
        <v>3.5</v>
      </c>
      <c r="F7203" s="63" t="n">
        <f aca="false">Pressupostos!$F$10+Pressupostos!$F$13</f>
        <v>3.5</v>
      </c>
      <c r="G7203" s="63" t="n">
        <f aca="false">Pressupostos!$F$10+Pressupostos!$F$13</f>
        <v>3.5</v>
      </c>
      <c r="H7203" s="2" t="s">
        <v>1237</v>
      </c>
    </row>
    <row r="7204" customFormat="false" ht="15" hidden="false" customHeight="false" outlineLevel="1" collapsed="false">
      <c r="A7204" s="7" t="s">
        <v>670</v>
      </c>
      <c r="B7204" s="8" t="s">
        <v>64</v>
      </c>
      <c r="C7204" s="63" t="n">
        <f aca="false">Pressupostos!$F$10+Pressupostos!$C$52</f>
        <v>3.65</v>
      </c>
      <c r="D7204" s="63" t="n">
        <f aca="false">Pressupostos!$F$10+Pressupostos!$C$52</f>
        <v>3.65</v>
      </c>
      <c r="E7204" s="63" t="n">
        <f aca="false">Pressupostos!$F$10+Pressupostos!$C$52</f>
        <v>3.65</v>
      </c>
      <c r="F7204" s="63" t="n">
        <f aca="false">Pressupostos!$F$10+Pressupostos!$C$52</f>
        <v>3.65</v>
      </c>
      <c r="G7204" s="63" t="n">
        <f aca="false">Pressupostos!$F$10+Pressupostos!$C$52</f>
        <v>3.65</v>
      </c>
      <c r="H7204" s="2" t="s">
        <v>1238</v>
      </c>
    </row>
    <row r="7205" customFormat="false" ht="15" hidden="false" customHeight="false" outlineLevel="1" collapsed="false">
      <c r="A7205" s="56" t="s">
        <v>671</v>
      </c>
      <c r="B7205" s="57" t="s">
        <v>64</v>
      </c>
      <c r="C7205" s="68" t="n">
        <f aca="false">C7204*(1-Pressupostos!$C$53)</f>
        <v>3.65</v>
      </c>
      <c r="D7205" s="68" t="n">
        <f aca="false">D7204*(1-Pressupostos!$C$53)</f>
        <v>3.65</v>
      </c>
      <c r="E7205" s="68" t="n">
        <f aca="false">E7204*(1-Pressupostos!$C$53)</f>
        <v>3.65</v>
      </c>
      <c r="F7205" s="68" t="n">
        <f aca="false">F7204*(1-Pressupostos!$C$53)</f>
        <v>3.65</v>
      </c>
      <c r="G7205" s="68" t="n">
        <f aca="false">G7204*(1-Pressupostos!$C$53)</f>
        <v>3.65</v>
      </c>
      <c r="H7205" s="2" t="s">
        <v>1239</v>
      </c>
    </row>
    <row r="7206" customFormat="false" ht="15" hidden="false" customHeight="false" outlineLevel="1" collapsed="false">
      <c r="A7206" s="7" t="s">
        <v>144</v>
      </c>
      <c r="B7206" s="8" t="s">
        <v>64</v>
      </c>
      <c r="C7206" s="67" t="n">
        <f aca="false">Pressupostos!$C$54</f>
        <v>0</v>
      </c>
      <c r="D7206" s="67" t="n">
        <f aca="false">Pressupostos!$C$54</f>
        <v>0</v>
      </c>
      <c r="E7206" s="67" t="n">
        <f aca="false">Pressupostos!$C$54</f>
        <v>0</v>
      </c>
      <c r="F7206" s="67" t="n">
        <f aca="false">Pressupostos!$C$54</f>
        <v>0</v>
      </c>
      <c r="G7206" s="67" t="n">
        <f aca="false">Pressupostos!$C$54</f>
        <v>0</v>
      </c>
      <c r="H7206" s="2" t="s">
        <v>1240</v>
      </c>
    </row>
    <row r="7207" customFormat="false" ht="15" hidden="false" customHeight="false" outlineLevel="1" collapsed="false">
      <c r="A7207" s="7" t="s">
        <v>215</v>
      </c>
      <c r="B7207" s="8" t="s">
        <v>64</v>
      </c>
      <c r="C7207" s="67" t="n">
        <f aca="false">Pressupostos!$C$55</f>
        <v>0.04</v>
      </c>
      <c r="D7207" s="67" t="n">
        <f aca="false">Pressupostos!$C$55</f>
        <v>0.04</v>
      </c>
      <c r="E7207" s="67" t="n">
        <f aca="false">Pressupostos!$C$55</f>
        <v>0.04</v>
      </c>
      <c r="F7207" s="67" t="n">
        <f aca="false">Pressupostos!$C$55</f>
        <v>0.04</v>
      </c>
      <c r="G7207" s="67" t="n">
        <f aca="false">Pressupostos!$C$55</f>
        <v>0.04</v>
      </c>
      <c r="H7207" s="2" t="s">
        <v>1241</v>
      </c>
    </row>
    <row r="7208" customFormat="false" ht="15" hidden="false" customHeight="false" outlineLevel="1" collapsed="false">
      <c r="A7208" s="7" t="s">
        <v>117</v>
      </c>
      <c r="B7208" s="8" t="s">
        <v>64</v>
      </c>
      <c r="C7208" s="67" t="n">
        <f aca="false">Pressupostos!$C$56</f>
        <v>0</v>
      </c>
      <c r="D7208" s="67" t="n">
        <f aca="false">Pressupostos!$C$56</f>
        <v>0</v>
      </c>
      <c r="E7208" s="67" t="n">
        <f aca="false">Pressupostos!$C$56</f>
        <v>0</v>
      </c>
      <c r="F7208" s="67" t="n">
        <f aca="false">Pressupostos!$C$56</f>
        <v>0</v>
      </c>
      <c r="G7208" s="67" t="n">
        <f aca="false">Pressupostos!$C$56</f>
        <v>0</v>
      </c>
      <c r="H7208" s="2" t="s">
        <v>1242</v>
      </c>
    </row>
    <row r="7209" customFormat="false" ht="15" hidden="false" customHeight="false" outlineLevel="1" collapsed="false">
      <c r="A7209" s="7" t="s">
        <v>91</v>
      </c>
      <c r="B7209" s="8" t="s">
        <v>79</v>
      </c>
      <c r="C7209" s="69" t="n">
        <f aca="false">Pressupostos!$C$57</f>
        <v>15</v>
      </c>
      <c r="D7209" s="69" t="n">
        <f aca="false">Pressupostos!$C$57</f>
        <v>15</v>
      </c>
      <c r="E7209" s="69" t="n">
        <f aca="false">Pressupostos!$C$57</f>
        <v>15</v>
      </c>
      <c r="F7209" s="69" t="n">
        <f aca="false">Pressupostos!$C$57</f>
        <v>15</v>
      </c>
      <c r="G7209" s="69" t="n">
        <f aca="false">Pressupostos!$C$57</f>
        <v>15</v>
      </c>
      <c r="H7209" s="2" t="s">
        <v>1243</v>
      </c>
    </row>
    <row r="7210" customFormat="false" ht="15" hidden="false" customHeight="false" outlineLevel="1" collapsed="false">
      <c r="A7210" s="7" t="s">
        <v>78</v>
      </c>
      <c r="B7210" s="8" t="s">
        <v>79</v>
      </c>
      <c r="C7210" s="69" t="n">
        <f aca="false">Pressupostos!$C$58</f>
        <v>45</v>
      </c>
      <c r="D7210" s="69" t="n">
        <f aca="false">Pressupostos!$C$58</f>
        <v>45</v>
      </c>
      <c r="E7210" s="69" t="n">
        <f aca="false">Pressupostos!$C$58</f>
        <v>45</v>
      </c>
      <c r="F7210" s="69" t="n">
        <f aca="false">Pressupostos!$C$58</f>
        <v>45</v>
      </c>
      <c r="G7210" s="69" t="n">
        <f aca="false">Pressupostos!$C$58</f>
        <v>45</v>
      </c>
      <c r="H7210" s="2" t="s">
        <v>1244</v>
      </c>
    </row>
    <row r="7211" customFormat="false" ht="15" hidden="false" customHeight="false" outlineLevel="1" collapsed="false">
      <c r="A7211" s="7" t="s">
        <v>490</v>
      </c>
      <c r="B7211" s="8" t="s">
        <v>64</v>
      </c>
      <c r="C7211" s="63" t="n">
        <f aca="false">Pressupostos!$C$66*C7209/30/1000</f>
        <v>0.002</v>
      </c>
      <c r="D7211" s="63" t="n">
        <f aca="false">Pressupostos!$C$66*D7209/30/1000</f>
        <v>0.002</v>
      </c>
      <c r="E7211" s="63" t="n">
        <f aca="false">Pressupostos!$C$66*E7209/30/1000</f>
        <v>0.002</v>
      </c>
      <c r="F7211" s="63" t="n">
        <f aca="false">Pressupostos!$C$66*F7209/30/1000</f>
        <v>0.002</v>
      </c>
      <c r="G7211" s="63" t="n">
        <f aca="false">Pressupostos!$C$66*G7209/30/1000</f>
        <v>0.002</v>
      </c>
      <c r="H7211" s="2" t="s">
        <v>1245</v>
      </c>
    </row>
    <row r="7212" customFormat="false" ht="15" hidden="false" customHeight="false" outlineLevel="1" collapsed="false">
      <c r="A7212" s="7" t="s">
        <v>165</v>
      </c>
      <c r="B7212" s="8" t="s">
        <v>64</v>
      </c>
      <c r="C7212" s="63" t="n">
        <f aca="false">C7203*Pressupostos!$C$67*C7209/365</f>
        <v>0.000287671232876712</v>
      </c>
      <c r="D7212" s="63" t="n">
        <f aca="false">D7203*Pressupostos!$C$67*D7209/365</f>
        <v>0.000287671232876712</v>
      </c>
      <c r="E7212" s="63" t="n">
        <f aca="false">E7203*Pressupostos!$C$67*E7209/365</f>
        <v>0.000287671232876712</v>
      </c>
      <c r="F7212" s="63" t="n">
        <f aca="false">F7203*Pressupostos!$C$67*F7209/365</f>
        <v>0.000287671232876712</v>
      </c>
      <c r="G7212" s="63" t="n">
        <f aca="false">G7203*Pressupostos!$C$67*G7209/365</f>
        <v>0.000287671232876712</v>
      </c>
      <c r="H7212" s="2" t="s">
        <v>1246</v>
      </c>
    </row>
    <row r="7213" customFormat="false" ht="15" hidden="false" customHeight="false" outlineLevel="1" collapsed="false">
      <c r="A7213" s="7" t="s">
        <v>672</v>
      </c>
      <c r="B7213" s="8" t="s">
        <v>64</v>
      </c>
      <c r="C7213" s="63" t="n">
        <f aca="false">Pressupostos!$C$60*Pressupostos!$C$68/(Pressupostos!$C$59*1000)</f>
        <v>0.006</v>
      </c>
      <c r="D7213" s="63" t="n">
        <f aca="false">Pressupostos!$C$60*Pressupostos!$C$68/(Pressupostos!$C$59*1000)</f>
        <v>0.006</v>
      </c>
      <c r="E7213" s="63" t="n">
        <f aca="false">Pressupostos!$C$60*Pressupostos!$C$68/(Pressupostos!$C$59*1000)</f>
        <v>0.006</v>
      </c>
      <c r="F7213" s="63" t="n">
        <f aca="false">Pressupostos!$C$60*Pressupostos!$C$68/(Pressupostos!$C$59*1000)</f>
        <v>0.006</v>
      </c>
      <c r="G7213" s="63" t="n">
        <f aca="false">Pressupostos!$C$60*Pressupostos!$C$68/(Pressupostos!$C$59*1000)</f>
        <v>0.006</v>
      </c>
      <c r="H7213" s="2" t="s">
        <v>1247</v>
      </c>
    </row>
    <row r="7214" customFormat="false" ht="15" hidden="false" customHeight="false" outlineLevel="1" collapsed="false">
      <c r="A7214" s="7" t="s">
        <v>492</v>
      </c>
      <c r="B7214" s="8" t="s">
        <v>64</v>
      </c>
      <c r="C7214" s="63" t="n">
        <f aca="false">Pressupostos!$C$69*C7203</f>
        <v>0.0175</v>
      </c>
      <c r="D7214" s="63" t="n">
        <f aca="false">Pressupostos!$C$69*D7203</f>
        <v>0.0175</v>
      </c>
      <c r="E7214" s="63" t="n">
        <f aca="false">Pressupostos!$C$69*E7203</f>
        <v>0.0175</v>
      </c>
      <c r="F7214" s="63" t="n">
        <f aca="false">Pressupostos!$C$69*F7203</f>
        <v>0.0175</v>
      </c>
      <c r="G7214" s="63" t="n">
        <f aca="false">Pressupostos!$C$69*G7203</f>
        <v>0.0175</v>
      </c>
      <c r="H7214" s="2" t="s">
        <v>1248</v>
      </c>
    </row>
    <row r="7215" customFormat="false" ht="15" hidden="false" customHeight="false" outlineLevel="1" collapsed="false">
      <c r="A7215" s="7" t="s">
        <v>493</v>
      </c>
      <c r="B7215" s="8" t="s">
        <v>64</v>
      </c>
      <c r="C7215" s="63" t="n">
        <f aca="false">Pressupostos!$C$70*Pressupostos!$C$71*C7209/90</f>
        <v>0.0015</v>
      </c>
      <c r="D7215" s="63" t="n">
        <f aca="false">Pressupostos!$C$70*Pressupostos!$C$71*D7209/90</f>
        <v>0.0015</v>
      </c>
      <c r="E7215" s="63" t="n">
        <f aca="false">Pressupostos!$C$70*Pressupostos!$C$71*E7209/90</f>
        <v>0.0015</v>
      </c>
      <c r="F7215" s="63" t="n">
        <f aca="false">Pressupostos!$C$70*Pressupostos!$C$71*F7209/90</f>
        <v>0.0015</v>
      </c>
      <c r="G7215" s="63" t="n">
        <f aca="false">Pressupostos!$C$70*Pressupostos!$C$71*G7209/90</f>
        <v>0.0015</v>
      </c>
      <c r="H7215" s="2" t="s">
        <v>1249</v>
      </c>
    </row>
    <row r="7216" customFormat="false" ht="15" hidden="false" customHeight="false" outlineLevel="1" collapsed="false">
      <c r="A7216" s="7" t="s">
        <v>673</v>
      </c>
      <c r="B7216" s="8" t="s">
        <v>64</v>
      </c>
      <c r="C7216" s="63" t="n">
        <f aca="false">Pressupostos!$C$61/(Pressupostos!$C$59*1000)</f>
        <v>0.012</v>
      </c>
      <c r="D7216" s="63" t="n">
        <f aca="false">Pressupostos!$C$61/(Pressupostos!$C$59*1000)</f>
        <v>0.012</v>
      </c>
      <c r="E7216" s="63" t="n">
        <f aca="false">Pressupostos!$C$61/(Pressupostos!$C$59*1000)</f>
        <v>0.012</v>
      </c>
      <c r="F7216" s="63" t="n">
        <f aca="false">Pressupostos!$C$61/(Pressupostos!$C$59*1000)</f>
        <v>0.012</v>
      </c>
      <c r="G7216" s="63" t="n">
        <f aca="false">Pressupostos!$C$61/(Pressupostos!$C$59*1000)</f>
        <v>0.012</v>
      </c>
      <c r="H7216" s="2" t="s">
        <v>1250</v>
      </c>
    </row>
    <row r="7217" customFormat="false" ht="15" hidden="false" customHeight="false" outlineLevel="1" collapsed="false">
      <c r="A7217" s="7" t="s">
        <v>139</v>
      </c>
      <c r="B7217" s="8" t="s">
        <v>64</v>
      </c>
      <c r="C7217" s="67" t="n">
        <f aca="false">Pressupostos!$C$62</f>
        <v>0.001</v>
      </c>
      <c r="D7217" s="67" t="n">
        <f aca="false">Pressupostos!$C$62</f>
        <v>0.001</v>
      </c>
      <c r="E7217" s="67" t="n">
        <f aca="false">Pressupostos!$C$62</f>
        <v>0.001</v>
      </c>
      <c r="F7217" s="67" t="n">
        <f aca="false">Pressupostos!$C$62</f>
        <v>0.001</v>
      </c>
      <c r="G7217" s="67" t="n">
        <f aca="false">Pressupostos!$C$62</f>
        <v>0.001</v>
      </c>
      <c r="H7217" s="2" t="s">
        <v>1251</v>
      </c>
    </row>
    <row r="7218" customFormat="false" ht="15" hidden="false" customHeight="false" outlineLevel="1" collapsed="false">
      <c r="A7218" s="7" t="s">
        <v>81</v>
      </c>
      <c r="B7218" s="8" t="s">
        <v>64</v>
      </c>
      <c r="C7218" s="63" t="n">
        <f aca="false">Pressupostos!$C$63*C7205</f>
        <v>0.01095</v>
      </c>
      <c r="D7218" s="63" t="n">
        <f aca="false">Pressupostos!$C$63*D7205</f>
        <v>0.01095</v>
      </c>
      <c r="E7218" s="63" t="n">
        <f aca="false">Pressupostos!$C$63*E7205</f>
        <v>0.01095</v>
      </c>
      <c r="F7218" s="63" t="n">
        <f aca="false">Pressupostos!$C$63*F7205</f>
        <v>0.01095</v>
      </c>
      <c r="G7218" s="63" t="n">
        <f aca="false">Pressupostos!$C$63*G7205</f>
        <v>0.01095</v>
      </c>
      <c r="H7218" s="2" t="s">
        <v>1252</v>
      </c>
    </row>
    <row r="7219" customFormat="false" ht="15" hidden="false" customHeight="false" outlineLevel="1" collapsed="false">
      <c r="A7219" s="7" t="s">
        <v>674</v>
      </c>
      <c r="B7219" s="8" t="s">
        <v>64</v>
      </c>
      <c r="C7219" s="63" t="n">
        <f aca="false">Pressupostos!$C$73*C7205</f>
        <v>0</v>
      </c>
      <c r="D7219" s="63" t="n">
        <f aca="false">Pressupostos!$C$73*D7205</f>
        <v>0</v>
      </c>
      <c r="E7219" s="63" t="n">
        <f aca="false">Pressupostos!$C$73*E7205</f>
        <v>0</v>
      </c>
      <c r="F7219" s="63" t="n">
        <f aca="false">Pressupostos!$C$73*F7205</f>
        <v>0</v>
      </c>
      <c r="G7219" s="63" t="n">
        <f aca="false">Pressupostos!$C$73*G7205</f>
        <v>0</v>
      </c>
      <c r="H7219" s="2" t="s">
        <v>1253</v>
      </c>
    </row>
    <row r="7220" customFormat="false" ht="15" hidden="false" customHeight="false" outlineLevel="1" collapsed="false">
      <c r="A7220" s="7" t="s">
        <v>675</v>
      </c>
      <c r="B7220" s="8" t="s">
        <v>64</v>
      </c>
      <c r="C7220" s="63" t="n">
        <f aca="false">Pressupostos!$C$290*(C7203+C7206)*(C7209+C7210-Pressupostos!$C$72)/365*Pressupostos!$C$284/Pressupostos!$F$31</f>
        <v>0</v>
      </c>
      <c r="D7220" s="63" t="n">
        <f aca="false">Pressupostos!$D$290*(D7203+D7206)*(D7209+D7210-Pressupostos!$C$72)/365*Pressupostos!$D$284/Pressupostos!$F$31</f>
        <v>0.0215753424657534</v>
      </c>
      <c r="E7220" s="63" t="n">
        <f aca="false">Pressupostos!$E$290*(E7203+E7206)*(E7209+E7210-Pressupostos!$C$72)/365*Pressupostos!$E$284/Pressupostos!$F$31</f>
        <v>0.0202268835616438</v>
      </c>
      <c r="F7220" s="63" t="n">
        <f aca="false">Pressupostos!$F$290*(F7203+F7206)*(F7209+F7210-Pressupostos!$C$72)/365*Pressupostos!$F$284/Pressupostos!$F$31</f>
        <v>0.0188784246575342</v>
      </c>
      <c r="G7220" s="63" t="n">
        <f aca="false">Pressupostos!$G$290*(G7203+G7206)*(G7209+G7210-Pressupostos!$C$72)/365*Pressupostos!$G$284/Pressupostos!$F$31</f>
        <v>0.0188784246575342</v>
      </c>
      <c r="H7220" s="2" t="s">
        <v>1254</v>
      </c>
    </row>
    <row r="7221" customFormat="false" ht="15" hidden="false" customHeight="false" outlineLevel="1" collapsed="false">
      <c r="A7221" s="7" t="s">
        <v>676</v>
      </c>
      <c r="B7221" s="8" t="s">
        <v>64</v>
      </c>
      <c r="C7221" s="63" t="n">
        <f aca="false">C7203+C7206+C7207+C7208+C7211+C7212+C7213+C7214+C7215+C7216+C7217+C7218+C7219+C7220</f>
        <v>3.59123767123288</v>
      </c>
      <c r="D7221" s="63" t="n">
        <f aca="false">D7203+D7206+D7207+D7208+D7211+D7212+D7213+D7214+D7215+D7216+D7217+D7218+D7219+D7220</f>
        <v>3.61281301369863</v>
      </c>
      <c r="E7221" s="63" t="n">
        <f aca="false">E7203+E7206+E7207+E7208+E7211+E7212+E7213+E7214+E7215+E7216+E7217+E7218+E7219+E7220</f>
        <v>3.61146455479452</v>
      </c>
      <c r="F7221" s="63" t="n">
        <f aca="false">F7203+F7206+F7207+F7208+F7211+F7212+F7213+F7214+F7215+F7216+F7217+F7218+F7219+F7220</f>
        <v>3.61011609589041</v>
      </c>
      <c r="G7221" s="63" t="n">
        <f aca="false">G7203+G7206+G7207+G7208+G7211+G7212+G7213+G7214+G7215+G7216+G7217+G7218+G7219+G7220</f>
        <v>3.61011609589041</v>
      </c>
      <c r="H7221" s="2" t="s">
        <v>1255</v>
      </c>
    </row>
    <row r="7222" customFormat="false" ht="15" hidden="false" customHeight="false" outlineLevel="1" collapsed="false">
      <c r="A7222" s="56" t="s">
        <v>677</v>
      </c>
      <c r="B7222" s="57" t="s">
        <v>64</v>
      </c>
      <c r="C7222" s="68" t="n">
        <f aca="false">C7205-C7221</f>
        <v>0.058762328767124</v>
      </c>
      <c r="D7222" s="68" t="n">
        <f aca="false">D7205-D7221</f>
        <v>0.0371869863013705</v>
      </c>
      <c r="E7222" s="68" t="n">
        <f aca="false">E7205-E7221</f>
        <v>0.03853544520548</v>
      </c>
      <c r="F7222" s="68" t="n">
        <f aca="false">F7205-F7221</f>
        <v>0.0398839041095895</v>
      </c>
      <c r="G7222" s="68" t="n">
        <f aca="false">G7205-G7221</f>
        <v>0.0398839041095895</v>
      </c>
      <c r="H7222" s="2" t="s">
        <v>1256</v>
      </c>
    </row>
    <row r="7223" customFormat="false" ht="15" hidden="false" customHeight="false" outlineLevel="1" collapsed="false">
      <c r="A7223" s="7" t="s">
        <v>678</v>
      </c>
      <c r="B7223" s="8" t="s">
        <v>76</v>
      </c>
      <c r="C7223" s="59" t="n">
        <f aca="false">IF(C7205&gt;0,C7222/C7205,0)</f>
        <v>0.0160992681553764</v>
      </c>
      <c r="D7223" s="59" t="n">
        <f aca="false">IF(D7205&gt;0,D7222/D7205,0)</f>
        <v>0.010188215425033</v>
      </c>
      <c r="E7223" s="59" t="n">
        <f aca="false">IF(E7205&gt;0,E7222/E7205,0)</f>
        <v>0.0105576562206795</v>
      </c>
      <c r="F7223" s="59" t="n">
        <f aca="false">IF(F7205&gt;0,F7222/F7205,0)</f>
        <v>0.0109270970163259</v>
      </c>
      <c r="G7223" s="59" t="n">
        <f aca="false">IF(G7205&gt;0,G7222/G7205,0)</f>
        <v>0.0109270970163259</v>
      </c>
      <c r="H7223" s="2" t="s">
        <v>1257</v>
      </c>
    </row>
    <row r="7224" customFormat="false" ht="15" hidden="false" customHeight="false" outlineLevel="1" collapsed="false">
      <c r="A7224" s="7" t="s">
        <v>679</v>
      </c>
      <c r="B7224" s="8" t="s">
        <v>64</v>
      </c>
      <c r="C7224" s="63" t="n">
        <f aca="false">(C7203+C7206)*(C7209-Pressupostos!$C$72)/365+C7205*C7210/365</f>
        <v>0.306164383561644</v>
      </c>
      <c r="D7224" s="63" t="n">
        <f aca="false">(D7203+D7206)*(D7209-Pressupostos!$C$72)/365+D7205*D7210/365</f>
        <v>0.306164383561644</v>
      </c>
      <c r="E7224" s="63" t="n">
        <f aca="false">(E7203+E7206)*(E7209-Pressupostos!$C$72)/365+E7205*E7210/365</f>
        <v>0.306164383561644</v>
      </c>
      <c r="F7224" s="63" t="n">
        <f aca="false">(F7203+F7206)*(F7209-Pressupostos!$C$72)/365+F7205*F7210/365</f>
        <v>0.306164383561644</v>
      </c>
      <c r="G7224" s="63" t="n">
        <f aca="false">(G7203+G7206)*(G7209-Pressupostos!$C$72)/365+G7205*G7210/365</f>
        <v>0.306164383561644</v>
      </c>
      <c r="H7224" s="2" t="s">
        <v>1258</v>
      </c>
    </row>
    <row r="7225" customFormat="false" ht="15" hidden="false" customHeight="false" outlineLevel="0" collapsed="false">
      <c r="A7225" s="3" t="s">
        <v>1259</v>
      </c>
      <c r="B7225" s="4"/>
      <c r="C7225" s="4"/>
      <c r="D7225" s="4"/>
      <c r="E7225" s="4"/>
      <c r="F7225" s="4"/>
      <c r="G7225" s="4"/>
      <c r="H7225" s="4"/>
    </row>
    <row r="7226" customFormat="false" ht="15" hidden="false" customHeight="false" outlineLevel="1" collapsed="false">
      <c r="A7226" s="7" t="s">
        <v>683</v>
      </c>
      <c r="B7226" s="8" t="s">
        <v>64</v>
      </c>
      <c r="C7226" s="63" t="n">
        <f aca="false">Pressupostos!$C$64*Pressupostos!$F$10</f>
        <v>0.02625</v>
      </c>
      <c r="D7226" s="63" t="n">
        <f aca="false">Pressupostos!$C$64*Pressupostos!$F$10</f>
        <v>0.02625</v>
      </c>
      <c r="E7226" s="63" t="n">
        <f aca="false">Pressupostos!$C$64*Pressupostos!$F$10</f>
        <v>0.02625</v>
      </c>
      <c r="F7226" s="63" t="n">
        <f aca="false">Pressupostos!$C$64*Pressupostos!$F$10</f>
        <v>0.02625</v>
      </c>
      <c r="G7226" s="63" t="n">
        <f aca="false">Pressupostos!$C$64*Pressupostos!$F$10</f>
        <v>0.02625</v>
      </c>
      <c r="H7226" s="2" t="s">
        <v>1260</v>
      </c>
    </row>
    <row r="7227" customFormat="false" ht="15" hidden="false" customHeight="false" outlineLevel="1" collapsed="false">
      <c r="A7227" s="7" t="s">
        <v>684</v>
      </c>
      <c r="B7227" s="8" t="s">
        <v>64</v>
      </c>
      <c r="C7227" s="63" t="n">
        <f aca="false">C7216+C7213+C7217</f>
        <v>0.019</v>
      </c>
      <c r="D7227" s="63" t="n">
        <f aca="false">D7216+D7213+D7217</f>
        <v>0.019</v>
      </c>
      <c r="E7227" s="63" t="n">
        <f aca="false">E7216+E7213+E7217</f>
        <v>0.019</v>
      </c>
      <c r="F7227" s="63" t="n">
        <f aca="false">F7216+F7213+F7217</f>
        <v>0.019</v>
      </c>
      <c r="G7227" s="63" t="n">
        <f aca="false">G7216+G7213+G7217</f>
        <v>0.019</v>
      </c>
      <c r="H7227" s="2" t="s">
        <v>1261</v>
      </c>
    </row>
    <row r="7228" customFormat="false" ht="15" hidden="false" customHeight="false" outlineLevel="1" collapsed="false">
      <c r="A7228" s="56" t="s">
        <v>561</v>
      </c>
      <c r="B7228" s="57" t="s">
        <v>64</v>
      </c>
      <c r="C7228" s="68" t="n">
        <f aca="false">C7226-C7227</f>
        <v>0.00725</v>
      </c>
      <c r="D7228" s="68" t="n">
        <f aca="false">D7226-D7227</f>
        <v>0.00725</v>
      </c>
      <c r="E7228" s="68" t="n">
        <f aca="false">E7226-E7227</f>
        <v>0.00725</v>
      </c>
      <c r="F7228" s="68" t="n">
        <f aca="false">F7226-F7227</f>
        <v>0.00725</v>
      </c>
      <c r="G7228" s="68" t="n">
        <f aca="false">G7226-G7227</f>
        <v>0.00725</v>
      </c>
      <c r="H7228" s="2" t="s">
        <v>1262</v>
      </c>
    </row>
    <row r="7229" customFormat="false" ht="15" hidden="false" customHeight="false" outlineLevel="0" collapsed="false">
      <c r="A7229" s="3" t="s">
        <v>1263</v>
      </c>
      <c r="B7229" s="4"/>
      <c r="C7229" s="4"/>
      <c r="D7229" s="4"/>
      <c r="E7229" s="4"/>
      <c r="F7229" s="4"/>
      <c r="G7229" s="4"/>
      <c r="H7229" s="4"/>
    </row>
    <row r="7230" customFormat="false" ht="15" hidden="false" customHeight="false" outlineLevel="1" collapsed="false">
      <c r="A7230" s="7" t="s">
        <v>608</v>
      </c>
      <c r="B7230" s="8" t="s">
        <v>11</v>
      </c>
      <c r="C7230" s="61" t="n">
        <f aca="false">C7139*1000*C7159</f>
        <v>41697</v>
      </c>
      <c r="D7230" s="61" t="n">
        <f aca="false">D7139*1000*D7159</f>
        <v>156363.75</v>
      </c>
      <c r="E7230" s="61" t="n">
        <f aca="false">E7139*1000*E7159</f>
        <v>416970</v>
      </c>
      <c r="F7230" s="61" t="n">
        <f aca="false">F7139*1000*F7159</f>
        <v>729697.5</v>
      </c>
      <c r="G7230" s="61" t="n">
        <f aca="false">G7139*1000*G7159</f>
        <v>1042425</v>
      </c>
      <c r="H7230" s="2" t="s">
        <v>1264</v>
      </c>
    </row>
    <row r="7231" customFormat="false" ht="15" hidden="false" customHeight="false" outlineLevel="1" collapsed="false">
      <c r="A7231" s="7" t="s">
        <v>609</v>
      </c>
      <c r="B7231" s="8" t="s">
        <v>11</v>
      </c>
      <c r="C7231" s="61" t="n">
        <f aca="false">C7140*1000*C7182</f>
        <v>226200</v>
      </c>
      <c r="D7231" s="61" t="n">
        <f aca="false">D7140*1000*D7182</f>
        <v>1579050</v>
      </c>
      <c r="E7231" s="61" t="n">
        <f aca="false">E7140*1000*E7182</f>
        <v>3118950</v>
      </c>
      <c r="F7231" s="61" t="n">
        <f aca="false">F7140*1000*F7182</f>
        <v>5146050</v>
      </c>
      <c r="G7231" s="61" t="n">
        <f aca="false">G7140*1000*G7182</f>
        <v>7786500</v>
      </c>
      <c r="H7231" s="2" t="s">
        <v>1265</v>
      </c>
    </row>
    <row r="7232" customFormat="false" ht="15" hidden="false" customHeight="false" outlineLevel="1" collapsed="false">
      <c r="A7232" s="7" t="s">
        <v>610</v>
      </c>
      <c r="B7232" s="8" t="s">
        <v>11</v>
      </c>
      <c r="C7232" s="61" t="n">
        <f aca="false">C7142*1000*C7205</f>
        <v>0</v>
      </c>
      <c r="D7232" s="61" t="n">
        <f aca="false">D7142*1000*D7205</f>
        <v>0</v>
      </c>
      <c r="E7232" s="61" t="n">
        <f aca="false">E7142*1000*E7205</f>
        <v>0</v>
      </c>
      <c r="F7232" s="61" t="n">
        <f aca="false">F7142*1000*F7205</f>
        <v>0</v>
      </c>
      <c r="G7232" s="61" t="n">
        <f aca="false">G7142*1000*G7205</f>
        <v>0</v>
      </c>
      <c r="H7232" s="2" t="s">
        <v>1266</v>
      </c>
    </row>
    <row r="7233" customFormat="false" ht="15" hidden="false" customHeight="false" outlineLevel="1" collapsed="false">
      <c r="A7233" s="7" t="s">
        <v>611</v>
      </c>
      <c r="B7233" s="8" t="s">
        <v>11</v>
      </c>
      <c r="C7233" s="61" t="n">
        <f aca="false">C7230+C7231+C7232</f>
        <v>267897</v>
      </c>
      <c r="D7233" s="61" t="n">
        <f aca="false">D7230+D7231+D7232</f>
        <v>1735413.75</v>
      </c>
      <c r="E7233" s="61" t="n">
        <f aca="false">E7230+E7231+E7232</f>
        <v>3535920</v>
      </c>
      <c r="F7233" s="61" t="n">
        <f aca="false">F7230+F7231+F7232</f>
        <v>5875747.5</v>
      </c>
      <c r="G7233" s="61" t="n">
        <f aca="false">G7230+G7231+G7232</f>
        <v>8828925</v>
      </c>
      <c r="H7233" s="2" t="s">
        <v>1267</v>
      </c>
    </row>
    <row r="7234" customFormat="false" ht="15" hidden="false" customHeight="false" outlineLevel="1" collapsed="false">
      <c r="A7234" s="7" t="s">
        <v>612</v>
      </c>
      <c r="B7234" s="8" t="s">
        <v>11</v>
      </c>
      <c r="C7234" s="61" t="n">
        <f aca="false">C7152*1000*Pressupostos!$C$93</f>
        <v>0</v>
      </c>
      <c r="D7234" s="61" t="n">
        <f aca="false">D7152*1000*Pressupostos!$C$93</f>
        <v>0</v>
      </c>
      <c r="E7234" s="61" t="n">
        <f aca="false">E7152*1000*Pressupostos!$C$93</f>
        <v>0</v>
      </c>
      <c r="F7234" s="61" t="n">
        <f aca="false">F7152*1000*Pressupostos!$C$93</f>
        <v>157000</v>
      </c>
      <c r="G7234" s="61" t="n">
        <f aca="false">G7152*1000*Pressupostos!$C$93</f>
        <v>392500</v>
      </c>
      <c r="H7234" s="2" t="s">
        <v>1268</v>
      </c>
    </row>
    <row r="7235" customFormat="false" ht="15" hidden="false" customHeight="false" outlineLevel="1" collapsed="false">
      <c r="A7235" s="2" t="s">
        <v>613</v>
      </c>
      <c r="B7235" s="8" t="s">
        <v>11</v>
      </c>
      <c r="C7235" s="61" t="n">
        <f aca="false">C7150*Pressupostos!$C$80*(1-Pressupostos!$C$81)</f>
        <v>9720</v>
      </c>
      <c r="D7235" s="61" t="n">
        <f aca="false">D7150*Pressupostos!$C$80*(1-Pressupostos!$C$81)</f>
        <v>36450</v>
      </c>
      <c r="E7235" s="61" t="n">
        <f aca="false">E7150*Pressupostos!$C$80*(1-Pressupostos!$C$81)</f>
        <v>97200</v>
      </c>
      <c r="F7235" s="61" t="n">
        <f aca="false">F7150*Pressupostos!$C$80*(1-Pressupostos!$C$81)</f>
        <v>170100</v>
      </c>
      <c r="G7235" s="61" t="n">
        <f aca="false">G7150*Pressupostos!$C$80*(1-Pressupostos!$C$81)</f>
        <v>243000</v>
      </c>
      <c r="H7235" s="2" t="s">
        <v>1269</v>
      </c>
    </row>
    <row r="7236" customFormat="false" ht="15" hidden="false" customHeight="false" outlineLevel="1" collapsed="false">
      <c r="A7236" s="7" t="s">
        <v>614</v>
      </c>
      <c r="B7236" s="8" t="s">
        <v>11</v>
      </c>
      <c r="C7236" s="61" t="n">
        <f aca="false">C7235*Pressupostos!$F$27</f>
        <v>194.4</v>
      </c>
      <c r="D7236" s="61" t="n">
        <f aca="false">D7235*Pressupostos!$F$27</f>
        <v>729</v>
      </c>
      <c r="E7236" s="61" t="n">
        <f aca="false">E7235*Pressupostos!$F$27</f>
        <v>1944</v>
      </c>
      <c r="F7236" s="61" t="n">
        <f aca="false">F7235*Pressupostos!$F$27</f>
        <v>3402</v>
      </c>
      <c r="G7236" s="61" t="n">
        <f aca="false">G7235*Pressupostos!$F$27</f>
        <v>4860</v>
      </c>
      <c r="H7236" s="2" t="s">
        <v>1270</v>
      </c>
    </row>
    <row r="7237" customFormat="false" ht="15" hidden="false" customHeight="false" outlineLevel="1" collapsed="false">
      <c r="A7237" s="7" t="s">
        <v>615</v>
      </c>
      <c r="B7237" s="8" t="s">
        <v>11</v>
      </c>
      <c r="C7237" s="61" t="n">
        <f aca="false">C7143*1000*C7226</f>
        <v>0</v>
      </c>
      <c r="D7237" s="61" t="n">
        <f aca="false">D7143*1000*D7226</f>
        <v>13125</v>
      </c>
      <c r="E7237" s="61" t="n">
        <f aca="false">E7143*1000*E7226</f>
        <v>39375</v>
      </c>
      <c r="F7237" s="61" t="n">
        <f aca="false">F7143*1000*F7226</f>
        <v>65625</v>
      </c>
      <c r="G7237" s="61" t="n">
        <f aca="false">G7143*1000*G7226</f>
        <v>91875</v>
      </c>
      <c r="H7237" s="2" t="s">
        <v>1271</v>
      </c>
    </row>
    <row r="7238" customFormat="false" ht="15" hidden="false" customHeight="false" outlineLevel="1" collapsed="false">
      <c r="A7238" s="7" t="s">
        <v>616</v>
      </c>
      <c r="B7238" s="8" t="s">
        <v>11</v>
      </c>
      <c r="C7238" s="61" t="n">
        <f aca="false">C7154*(Pressupostos!$C$101*Pressupostos!$C$102+Pressupostos!$C$103)</f>
        <v>0</v>
      </c>
      <c r="D7238" s="61" t="n">
        <f aca="false">D7154*(Pressupostos!$C$101*Pressupostos!$C$102+Pressupostos!$C$103)</f>
        <v>0</v>
      </c>
      <c r="E7238" s="61" t="n">
        <f aca="false">E7154*(Pressupostos!$C$101*Pressupostos!$C$102+Pressupostos!$C$103)</f>
        <v>0</v>
      </c>
      <c r="F7238" s="61" t="n">
        <f aca="false">F7154*(Pressupostos!$C$101*Pressupostos!$C$102+Pressupostos!$C$103)</f>
        <v>0</v>
      </c>
      <c r="G7238" s="61" t="n">
        <f aca="false">G7154*(Pressupostos!$C$101*Pressupostos!$C$102+Pressupostos!$C$103)</f>
        <v>0</v>
      </c>
      <c r="H7238" s="2" t="s">
        <v>1272</v>
      </c>
    </row>
    <row r="7239" customFormat="false" ht="15" hidden="false" customHeight="false" outlineLevel="1" collapsed="false">
      <c r="A7239" s="7" t="s">
        <v>617</v>
      </c>
      <c r="B7239" s="8" t="s">
        <v>11</v>
      </c>
      <c r="C7239" s="61" t="n">
        <f aca="false">(0)</f>
        <v>0</v>
      </c>
      <c r="D7239" s="61" t="n">
        <f aca="false">(0)</f>
        <v>0</v>
      </c>
      <c r="E7239" s="61" t="n">
        <f aca="false">(0)</f>
        <v>0</v>
      </c>
      <c r="F7239" s="61" t="n">
        <f aca="false">(0)</f>
        <v>0</v>
      </c>
      <c r="G7239" s="61" t="n">
        <f aca="false">(0)</f>
        <v>0</v>
      </c>
      <c r="H7239" s="2" t="s">
        <v>1273</v>
      </c>
    </row>
    <row r="7240" customFormat="false" ht="15" hidden="false" customHeight="false" outlineLevel="1" collapsed="false">
      <c r="A7240" s="56" t="s">
        <v>618</v>
      </c>
      <c r="B7240" s="57" t="s">
        <v>11</v>
      </c>
      <c r="C7240" s="62" t="n">
        <f aca="false">C7233+C7234+C7236+C7237+C7238+C7239</f>
        <v>268091.4</v>
      </c>
      <c r="D7240" s="62" t="n">
        <f aca="false">D7233+D7234+D7236+D7237+D7238+D7239</f>
        <v>1749267.75</v>
      </c>
      <c r="E7240" s="62" t="n">
        <f aca="false">E7233+E7234+E7236+E7237+E7238+E7239</f>
        <v>3577239</v>
      </c>
      <c r="F7240" s="62" t="n">
        <f aca="false">F7233+F7234+F7236+F7237+F7238+F7239</f>
        <v>6101774.5</v>
      </c>
      <c r="G7240" s="62" t="n">
        <f aca="false">G7233+G7234+G7236+G7237+G7238+G7239</f>
        <v>9318160</v>
      </c>
      <c r="H7240" s="2" t="s">
        <v>1274</v>
      </c>
    </row>
    <row r="7241" customFormat="false" ht="15" hidden="false" customHeight="false" outlineLevel="0" collapsed="false">
      <c r="A7241" s="3" t="s">
        <v>1275</v>
      </c>
      <c r="B7241" s="4"/>
      <c r="C7241" s="4"/>
      <c r="D7241" s="4"/>
      <c r="E7241" s="4"/>
      <c r="F7241" s="4"/>
      <c r="G7241" s="4"/>
      <c r="H7241" s="4"/>
    </row>
    <row r="7242" customFormat="false" ht="15" hidden="false" customHeight="false" outlineLevel="1" collapsed="false">
      <c r="A7242" s="2" t="s">
        <v>620</v>
      </c>
      <c r="B7242" s="8" t="s">
        <v>11</v>
      </c>
      <c r="C7242" s="61" t="n">
        <f aca="false">C7143*1000*Pressupostos!$F$10</f>
        <v>0</v>
      </c>
      <c r="D7242" s="61" t="n">
        <f aca="false">D7143*1000*Pressupostos!$F$10</f>
        <v>1750000</v>
      </c>
      <c r="E7242" s="61" t="n">
        <f aca="false">E7143*1000*Pressupostos!$F$10</f>
        <v>5250000</v>
      </c>
      <c r="F7242" s="61" t="n">
        <f aca="false">F7143*1000*Pressupostos!$F$10</f>
        <v>8750000</v>
      </c>
      <c r="G7242" s="61" t="n">
        <f aca="false">G7143*1000*Pressupostos!$F$10</f>
        <v>12250000</v>
      </c>
      <c r="H7242" s="2" t="s">
        <v>1276</v>
      </c>
    </row>
    <row r="7243" customFormat="false" ht="15" hidden="false" customHeight="false" outlineLevel="1" collapsed="false">
      <c r="A7243" s="56" t="s">
        <v>621</v>
      </c>
      <c r="B7243" s="57" t="s">
        <v>11</v>
      </c>
      <c r="C7243" s="62" t="n">
        <f aca="false">C7233+C7234+C7235+C7242</f>
        <v>277617</v>
      </c>
      <c r="D7243" s="62" t="n">
        <f aca="false">D7233+D7234+D7235+D7242</f>
        <v>3521863.75</v>
      </c>
      <c r="E7243" s="62" t="n">
        <f aca="false">E7233+E7234+E7235+E7242</f>
        <v>8883120</v>
      </c>
      <c r="F7243" s="62" t="n">
        <f aca="false">F7233+F7234+F7235+F7242</f>
        <v>14952847.5</v>
      </c>
      <c r="G7243" s="62" t="n">
        <f aca="false">G7233+G7234+G7235+G7242</f>
        <v>21714425</v>
      </c>
      <c r="H7243" s="2" t="s">
        <v>1277</v>
      </c>
    </row>
    <row r="7244" customFormat="false" ht="15" hidden="false" customHeight="false" outlineLevel="1" collapsed="false">
      <c r="A7244" s="7" t="s">
        <v>622</v>
      </c>
      <c r="B7244" s="8" t="s">
        <v>11</v>
      </c>
      <c r="C7244" s="61" t="n">
        <f aca="false">C7243-C7242-C7232</f>
        <v>277617</v>
      </c>
      <c r="D7244" s="61" t="n">
        <f aca="false">D7243-D7242-D7232</f>
        <v>1771863.75</v>
      </c>
      <c r="E7244" s="61" t="n">
        <f aca="false">E7243-E7242-E7232</f>
        <v>3633120</v>
      </c>
      <c r="F7244" s="61" t="n">
        <f aca="false">F7243-F7242-F7232</f>
        <v>6202847.5</v>
      </c>
      <c r="G7244" s="61" t="n">
        <f aca="false">G7243-G7242-G7232</f>
        <v>9464425</v>
      </c>
      <c r="H7244" s="2" t="s">
        <v>1278</v>
      </c>
    </row>
    <row r="7245" customFormat="false" ht="15" hidden="false" customHeight="false" outlineLevel="1" collapsed="false">
      <c r="A7245" s="7" t="s">
        <v>623</v>
      </c>
      <c r="B7245" s="8" t="s">
        <v>11</v>
      </c>
      <c r="C7245" s="61" t="n">
        <f aca="false">C7139*1000*(C7157+C7160)+C7140*1000*(C7180+C7183)+C7142*1000*(C7203+C7206)+C7152*1000*Pressupostos!$C$92</f>
        <v>245040</v>
      </c>
      <c r="D7245" s="61" t="n">
        <f aca="false">D7139*1000*(D7157+D7160)+D7140*1000*(D7180+D7183)+D7142*1000*(D7203+D7206)+D7152*1000*Pressupostos!$C$92</f>
        <v>1599300</v>
      </c>
      <c r="E7245" s="61" t="n">
        <f aca="false">E7139*1000*(E7157+E7160)+E7140*1000*(E7180+E7183)+E7142*1000*(E7203+E7206)+E7152*1000*Pressupostos!$C$92</f>
        <v>3248250</v>
      </c>
      <c r="F7245" s="61" t="n">
        <f aca="false">F7139*1000*(F7157+F7160)+F7140*1000*(F7180+F7183)+F7142*1000*(F7203+F7206)+F7152*1000*Pressupostos!$C$92</f>
        <v>5533850</v>
      </c>
      <c r="G7245" s="61" t="n">
        <f aca="false">G7139*1000*(G7157+G7160)+G7140*1000*(G7180+G7183)+G7142*1000*(G7203+G7206)+G7152*1000*Pressupostos!$C$92</f>
        <v>8460500</v>
      </c>
      <c r="H7245" s="2" t="s">
        <v>1279</v>
      </c>
    </row>
    <row r="7246" customFormat="false" ht="15" hidden="false" customHeight="false" outlineLevel="1" collapsed="false">
      <c r="A7246" s="7" t="s">
        <v>624</v>
      </c>
      <c r="B7246" s="8" t="s">
        <v>11</v>
      </c>
      <c r="C7246" s="61" t="n">
        <f aca="false">C7245*Pressupostos!$C$284</f>
        <v>0</v>
      </c>
      <c r="D7246" s="61" t="n">
        <f aca="false">D7245*Pressupostos!$D$284</f>
        <v>1199475</v>
      </c>
      <c r="E7246" s="61" t="n">
        <f aca="false">E7245*Pressupostos!$E$284</f>
        <v>2436187.5</v>
      </c>
      <c r="F7246" s="61" t="n">
        <f aca="false">F7245*Pressupostos!$F$284</f>
        <v>4150387.5</v>
      </c>
      <c r="G7246" s="61" t="n">
        <f aca="false">G7245*Pressupostos!$G$284</f>
        <v>6345375</v>
      </c>
      <c r="H7246" s="2" t="s">
        <v>1280</v>
      </c>
    </row>
    <row r="7247" customFormat="false" ht="15" hidden="false" customHeight="false" outlineLevel="0" collapsed="false">
      <c r="A7247" s="3" t="s">
        <v>1281</v>
      </c>
      <c r="B7247" s="4"/>
      <c r="C7247" s="4"/>
      <c r="D7247" s="4"/>
      <c r="E7247" s="4"/>
      <c r="F7247" s="4"/>
      <c r="G7247" s="4"/>
      <c r="H7247" s="4"/>
    </row>
    <row r="7248" customFormat="false" ht="15" hidden="false" customHeight="false" outlineLevel="1" collapsed="false">
      <c r="A7248" s="7" t="s">
        <v>626</v>
      </c>
      <c r="B7248" s="8" t="s">
        <v>11</v>
      </c>
      <c r="C7248" s="61" t="n">
        <f aca="false">C7139*1000*C7176</f>
        <v>2383.24800000002</v>
      </c>
      <c r="D7248" s="61" t="n">
        <f aca="false">D7139*1000*D7176</f>
        <v>4027.71082191789</v>
      </c>
      <c r="E7248" s="61" t="n">
        <f aca="false">E7139*1000*E7176</f>
        <v>24959.6710958905</v>
      </c>
      <c r="F7248" s="61" t="n">
        <f aca="false">F7139*1000*F7176</f>
        <v>45501.4321232878</v>
      </c>
      <c r="G7248" s="61" t="n">
        <f aca="false">G7139*1000*G7176</f>
        <v>65002.0458904111</v>
      </c>
      <c r="H7248" s="2" t="s">
        <v>1282</v>
      </c>
    </row>
    <row r="7249" customFormat="false" ht="15" hidden="false" customHeight="false" outlineLevel="1" collapsed="false">
      <c r="A7249" s="7" t="s">
        <v>627</v>
      </c>
      <c r="B7249" s="8" t="s">
        <v>11</v>
      </c>
      <c r="C7249" s="61" t="n">
        <f aca="false">C7140*1000*C7199</f>
        <v>5010.62739726033</v>
      </c>
      <c r="D7249" s="61" t="n">
        <f aca="false">D7140*1000*D7199</f>
        <v>18363.3246575345</v>
      </c>
      <c r="E7249" s="61" t="n">
        <f aca="false">E7140*1000*E7199</f>
        <v>45492.4529537677</v>
      </c>
      <c r="F7249" s="61" t="n">
        <f aca="false">F7140*1000*F7199</f>
        <v>78443.5348458917</v>
      </c>
      <c r="G7249" s="61" t="n">
        <f aca="false">G7140*1000*G7199</f>
        <v>118693.091609591</v>
      </c>
      <c r="H7249" s="2" t="s">
        <v>1283</v>
      </c>
    </row>
    <row r="7250" customFormat="false" ht="15" hidden="false" customHeight="false" outlineLevel="1" collapsed="false">
      <c r="A7250" s="7" t="s">
        <v>628</v>
      </c>
      <c r="B7250" s="8" t="s">
        <v>11</v>
      </c>
      <c r="C7250" s="61" t="n">
        <f aca="false">C7142*1000*C7222+C7143*1000*C7228</f>
        <v>0</v>
      </c>
      <c r="D7250" s="61" t="n">
        <f aca="false">D7142*1000*D7222+D7143*1000*D7228</f>
        <v>3625</v>
      </c>
      <c r="E7250" s="61" t="n">
        <f aca="false">E7142*1000*E7222+E7143*1000*E7228</f>
        <v>10875</v>
      </c>
      <c r="F7250" s="61" t="n">
        <f aca="false">F7142*1000*F7222+F7143*1000*F7228</f>
        <v>18125</v>
      </c>
      <c r="G7250" s="61" t="n">
        <f aca="false">G7142*1000*G7222+G7143*1000*G7228</f>
        <v>25375</v>
      </c>
      <c r="H7250" s="2" t="s">
        <v>1284</v>
      </c>
    </row>
    <row r="7251" customFormat="false" ht="15" hidden="false" customHeight="false" outlineLevel="1" collapsed="false">
      <c r="A7251" s="7" t="s">
        <v>629</v>
      </c>
      <c r="B7251" s="8" t="s">
        <v>11</v>
      </c>
      <c r="C7251" s="61" t="n">
        <f aca="false">C7248+C7249+C7250</f>
        <v>7393.87539726035</v>
      </c>
      <c r="D7251" s="61" t="n">
        <f aca="false">D7248+D7249+D7250</f>
        <v>26016.0354794524</v>
      </c>
      <c r="E7251" s="61" t="n">
        <f aca="false">E7248+E7249+E7250</f>
        <v>81327.1240496582</v>
      </c>
      <c r="F7251" s="61" t="n">
        <f aca="false">F7248+F7249+F7250</f>
        <v>142069.966969179</v>
      </c>
      <c r="G7251" s="61" t="n">
        <f aca="false">G7248+G7249+G7250</f>
        <v>209070.137500002</v>
      </c>
      <c r="H7251" s="2" t="s">
        <v>1285</v>
      </c>
    </row>
    <row r="7252" customFormat="false" ht="15" hidden="false" customHeight="false" outlineLevel="1" collapsed="false">
      <c r="A7252" s="7" t="s">
        <v>630</v>
      </c>
      <c r="B7252" s="8" t="s">
        <v>64</v>
      </c>
      <c r="C7252" s="63" t="n">
        <f aca="false">IF(C7144&gt;0,C7251/(C7144*1000),0)</f>
        <v>0.12282185045283</v>
      </c>
      <c r="D7252" s="63" t="n">
        <f aca="false">IF(D7144&gt;0,D7251/(D7144*1000),0)</f>
        <v>0.0291088508861006</v>
      </c>
      <c r="E7252" s="63" t="n">
        <f aca="false">IF(E7144&gt;0,E7251/(E7144*1000),0)</f>
        <v>0.0353749995866282</v>
      </c>
      <c r="F7252" s="63" t="n">
        <f aca="false">IF(F7144&gt;0,F7251/(F7144*1000),0)</f>
        <v>0.0371279150579327</v>
      </c>
      <c r="G7252" s="63" t="n">
        <f aca="false">IF(G7144&gt;0,G7251/(G7144*1000),0)</f>
        <v>0.0380473407643316</v>
      </c>
      <c r="H7252" s="2" t="s">
        <v>1286</v>
      </c>
    </row>
    <row r="7253" customFormat="false" ht="15" hidden="false" customHeight="false" outlineLevel="1" collapsed="false">
      <c r="A7253" s="7" t="s">
        <v>631</v>
      </c>
      <c r="B7253" s="8" t="s">
        <v>76</v>
      </c>
      <c r="C7253" s="59" t="n">
        <f aca="false">IF(C7233&gt;0,C7251/C7233,0)</f>
        <v>0.0275996946485416</v>
      </c>
      <c r="D7253" s="59" t="n">
        <f aca="false">IF(D7233&gt;0,D7251/D7233,0)</f>
        <v>0.0149912581247281</v>
      </c>
      <c r="E7253" s="59" t="n">
        <f aca="false">IF(E7233&gt;0,E7251/E7233,0)</f>
        <v>0.0230002726446464</v>
      </c>
      <c r="F7253" s="59" t="n">
        <f aca="false">IF(F7233&gt;0,F7251/F7233,0)</f>
        <v>0.0241790456395853</v>
      </c>
      <c r="G7253" s="59" t="n">
        <f aca="false">IF(G7233&gt;0,G7251/G7233,0)</f>
        <v>0.0236801351806706</v>
      </c>
      <c r="H7253" s="2" t="s">
        <v>1287</v>
      </c>
    </row>
    <row r="7254" customFormat="false" ht="15" hidden="false" customHeight="false" outlineLevel="1" collapsed="false">
      <c r="A7254" s="2" t="s">
        <v>632</v>
      </c>
      <c r="B7254" s="8" t="s">
        <v>64</v>
      </c>
      <c r="C7254" s="63" t="n">
        <f aca="false">Pressupostos!$C$290*Pressupostos!$C$92*(Pressupostos!$C$95+Pressupostos!$C$96-Pressupostos!$C$97)/365*Pressupostos!$C$284/Pressupostos!$F$31</f>
        <v>0</v>
      </c>
      <c r="D7254" s="63" t="n">
        <f aca="false">Pressupostos!$D$290*Pressupostos!$C$92*(Pressupostos!$C$95+Pressupostos!$C$96-Pressupostos!$C$97)/365*Pressupostos!$D$284/Pressupostos!$F$31</f>
        <v>0.0647260273972603</v>
      </c>
      <c r="E7254" s="63" t="n">
        <f aca="false">Pressupostos!$E$290*Pressupostos!$C$92*(Pressupostos!$C$95+Pressupostos!$C$96-Pressupostos!$C$97)/365*Pressupostos!$E$284/Pressupostos!$F$31</f>
        <v>0.0606806506849315</v>
      </c>
      <c r="F7254" s="63" t="n">
        <f aca="false">Pressupostos!$F$290*Pressupostos!$C$92*(Pressupostos!$C$95+Pressupostos!$C$96-Pressupostos!$C$97)/365*Pressupostos!$F$284/Pressupostos!$F$31</f>
        <v>0.0566352739726028</v>
      </c>
      <c r="G7254" s="63" t="n">
        <f aca="false">Pressupostos!$G$290*Pressupostos!$C$92*(Pressupostos!$C$95+Pressupostos!$C$96-Pressupostos!$C$97)/365*Pressupostos!$G$284/Pressupostos!$F$31</f>
        <v>0.0566352739726028</v>
      </c>
      <c r="H7254" s="2" t="s">
        <v>1288</v>
      </c>
    </row>
    <row r="7255" customFormat="false" ht="15" hidden="false" customHeight="false" outlineLevel="1" collapsed="false">
      <c r="A7255" s="7" t="s">
        <v>600</v>
      </c>
      <c r="B7255" s="8" t="s">
        <v>11</v>
      </c>
      <c r="C7255" s="61" t="n">
        <f aca="false">C7152*1000*(Pressupostos!$C$93-Pressupostos!$C$92-Pressupostos!$C$94-C7254-Pressupostos!$C$98*Pressupostos!$C$93-Pressupostos!$C$99-Pressupostos!$F$29*Pressupostos!$C$92)</f>
        <v>0</v>
      </c>
      <c r="D7255" s="61" t="n">
        <f aca="false">D7152*1000*(Pressupostos!$C$93-Pressupostos!$C$92-Pressupostos!$C$94-D7254-Pressupostos!$C$98*Pressupostos!$C$93-Pressupostos!$C$99-Pressupostos!$F$29*Pressupostos!$C$92)</f>
        <v>0</v>
      </c>
      <c r="E7255" s="61" t="n">
        <f aca="false">E7152*1000*(Pressupostos!$C$93-Pressupostos!$C$92-Pressupostos!$C$94-E7254-Pressupostos!$C$98*Pressupostos!$C$93-Pressupostos!$C$99-Pressupostos!$F$29*Pressupostos!$C$92)</f>
        <v>0</v>
      </c>
      <c r="F7255" s="61" t="n">
        <f aca="false">F7152*1000*(Pressupostos!$C$93-Pressupostos!$C$92-Pressupostos!$C$94-F7254-Pressupostos!$C$98*Pressupostos!$C$93-Pressupostos!$C$99-Pressupostos!$F$29*Pressupostos!$C$92)</f>
        <v>10905.2945205479</v>
      </c>
      <c r="G7255" s="61" t="n">
        <f aca="false">G7152*1000*(Pressupostos!$C$93-Pressupostos!$C$92-Pressupostos!$C$94-G7254-Pressupostos!$C$98*Pressupostos!$C$93-Pressupostos!$C$99-Pressupostos!$F$29*Pressupostos!$C$92)</f>
        <v>27263.2363013698</v>
      </c>
      <c r="H7255" s="2" t="s">
        <v>1289</v>
      </c>
    </row>
    <row r="7256" customFormat="false" ht="15" hidden="false" customHeight="false" outlineLevel="1" collapsed="false">
      <c r="A7256" s="7" t="s">
        <v>633</v>
      </c>
      <c r="B7256" s="8" t="s">
        <v>11</v>
      </c>
      <c r="C7256" s="61" t="n">
        <f aca="false">C7236</f>
        <v>194.4</v>
      </c>
      <c r="D7256" s="61" t="n">
        <f aca="false">D7236</f>
        <v>729</v>
      </c>
      <c r="E7256" s="61" t="n">
        <f aca="false">E7236</f>
        <v>1944</v>
      </c>
      <c r="F7256" s="61" t="n">
        <f aca="false">F7236</f>
        <v>3402</v>
      </c>
      <c r="G7256" s="61" t="n">
        <f aca="false">G7236</f>
        <v>4860</v>
      </c>
      <c r="H7256" s="2" t="s">
        <v>1290</v>
      </c>
    </row>
    <row r="7257" customFormat="false" ht="15" hidden="false" customHeight="false" outlineLevel="1" collapsed="false">
      <c r="A7257" s="7" t="s">
        <v>634</v>
      </c>
      <c r="B7257" s="8" t="s">
        <v>11</v>
      </c>
      <c r="C7257" s="61" t="n">
        <f aca="false">C7238-C7272</f>
        <v>0</v>
      </c>
      <c r="D7257" s="61" t="n">
        <f aca="false">D7238-D7272</f>
        <v>0</v>
      </c>
      <c r="E7257" s="61" t="n">
        <f aca="false">E7238-E7272</f>
        <v>0</v>
      </c>
      <c r="F7257" s="61" t="n">
        <f aca="false">F7238-F7272</f>
        <v>0</v>
      </c>
      <c r="G7257" s="61" t="n">
        <f aca="false">G7238-G7272</f>
        <v>0</v>
      </c>
      <c r="H7257" s="2" t="s">
        <v>1291</v>
      </c>
    </row>
    <row r="7258" customFormat="false" ht="15" hidden="false" customHeight="false" outlineLevel="1" collapsed="false">
      <c r="A7258" s="7" t="s">
        <v>617</v>
      </c>
      <c r="B7258" s="8" t="s">
        <v>11</v>
      </c>
      <c r="C7258" s="61" t="n">
        <f aca="false">C7239</f>
        <v>0</v>
      </c>
      <c r="D7258" s="61" t="n">
        <f aca="false">D7239</f>
        <v>0</v>
      </c>
      <c r="E7258" s="61" t="n">
        <f aca="false">E7239</f>
        <v>0</v>
      </c>
      <c r="F7258" s="61" t="n">
        <f aca="false">F7239</f>
        <v>0</v>
      </c>
      <c r="G7258" s="61" t="n">
        <f aca="false">G7239</f>
        <v>0</v>
      </c>
      <c r="H7258" s="2" t="s">
        <v>1292</v>
      </c>
    </row>
    <row r="7259" customFormat="false" ht="15" hidden="false" customHeight="false" outlineLevel="1" collapsed="false">
      <c r="A7259" s="56" t="s">
        <v>635</v>
      </c>
      <c r="B7259" s="57" t="s">
        <v>11</v>
      </c>
      <c r="C7259" s="62" t="n">
        <f aca="false">C7251+C7255+C7256+C7257+C7258</f>
        <v>7588.27539726035</v>
      </c>
      <c r="D7259" s="62" t="n">
        <f aca="false">D7251+D7255+D7256+D7257+D7258</f>
        <v>26745.0354794524</v>
      </c>
      <c r="E7259" s="62" t="n">
        <f aca="false">E7251+E7255+E7256+E7257+E7258</f>
        <v>83271.1240496582</v>
      </c>
      <c r="F7259" s="62" t="n">
        <f aca="false">F7251+F7255+F7256+F7257+F7258</f>
        <v>156377.261489727</v>
      </c>
      <c r="G7259" s="62" t="n">
        <f aca="false">G7251+G7255+G7256+G7257+G7258</f>
        <v>241193.373801372</v>
      </c>
      <c r="H7259" s="2" t="s">
        <v>1293</v>
      </c>
    </row>
    <row r="7260" customFormat="false" ht="15" hidden="false" customHeight="false" outlineLevel="0" collapsed="false">
      <c r="A7260" s="3" t="s">
        <v>1294</v>
      </c>
      <c r="B7260" s="4"/>
      <c r="C7260" s="4"/>
      <c r="D7260" s="4"/>
      <c r="E7260" s="4"/>
      <c r="F7260" s="4"/>
      <c r="G7260" s="4"/>
      <c r="H7260" s="4"/>
    </row>
    <row r="7261" customFormat="false" ht="15" hidden="false" customHeight="false" outlineLevel="1" collapsed="false">
      <c r="A7261" s="7" t="s">
        <v>686</v>
      </c>
      <c r="B7261" s="8" t="s">
        <v>11</v>
      </c>
      <c r="C7261" s="61" t="n">
        <f aca="false">C7139*1000*(C7157+C7160)+C7140*1000*(C7180+C7183)+C7142*1000*(C7203+C7206)</f>
        <v>245040</v>
      </c>
      <c r="D7261" s="61" t="n">
        <f aca="false">D7139*1000*(D7157+D7160)+D7140*1000*(D7180+D7183)+D7142*1000*(D7203+D7206)</f>
        <v>1599300</v>
      </c>
      <c r="E7261" s="61" t="n">
        <f aca="false">E7139*1000*(E7157+E7160)+E7140*1000*(E7180+E7183)+E7142*1000*(E7203+E7206)</f>
        <v>3248250</v>
      </c>
      <c r="F7261" s="61" t="n">
        <f aca="false">F7139*1000*(F7157+F7160)+F7140*1000*(F7180+F7183)+F7142*1000*(F7203+F7206)</f>
        <v>5393850</v>
      </c>
      <c r="G7261" s="61" t="n">
        <f aca="false">G7139*1000*(G7157+G7160)+G7140*1000*(G7180+G7183)+G7142*1000*(G7203+G7206)</f>
        <v>8110500</v>
      </c>
      <c r="H7261" s="2" t="s">
        <v>1295</v>
      </c>
    </row>
    <row r="7262" customFormat="false" ht="15" hidden="false" customHeight="false" outlineLevel="1" collapsed="false">
      <c r="A7262" s="7" t="s">
        <v>687</v>
      </c>
      <c r="B7262" s="8" t="s">
        <v>11</v>
      </c>
      <c r="C7262" s="61" t="n">
        <f aca="false">C7152*1000*Pressupostos!$C$92</f>
        <v>0</v>
      </c>
      <c r="D7262" s="61" t="n">
        <f aca="false">D7152*1000*Pressupostos!$C$92</f>
        <v>0</v>
      </c>
      <c r="E7262" s="61" t="n">
        <f aca="false">E7152*1000*Pressupostos!$C$92</f>
        <v>0</v>
      </c>
      <c r="F7262" s="61" t="n">
        <f aca="false">F7152*1000*Pressupostos!$C$92</f>
        <v>140000</v>
      </c>
      <c r="G7262" s="61" t="n">
        <f aca="false">G7152*1000*Pressupostos!$C$92</f>
        <v>350000</v>
      </c>
      <c r="H7262" s="2" t="s">
        <v>1296</v>
      </c>
    </row>
    <row r="7263" customFormat="false" ht="15" hidden="false" customHeight="false" outlineLevel="1" collapsed="false">
      <c r="A7263" s="7" t="s">
        <v>688</v>
      </c>
      <c r="B7263" s="8" t="s">
        <v>11</v>
      </c>
      <c r="C7263" s="61" t="n">
        <f aca="false">C7261+C7262</f>
        <v>245040</v>
      </c>
      <c r="D7263" s="61" t="n">
        <f aca="false">D7261+D7262</f>
        <v>1599300</v>
      </c>
      <c r="E7263" s="61" t="n">
        <f aca="false">E7261+E7262</f>
        <v>3248250</v>
      </c>
      <c r="F7263" s="61" t="n">
        <f aca="false">F7261+F7262</f>
        <v>5533850</v>
      </c>
      <c r="G7263" s="61" t="n">
        <f aca="false">G7261+G7262</f>
        <v>8460500</v>
      </c>
      <c r="H7263" s="2" t="s">
        <v>1297</v>
      </c>
    </row>
    <row r="7264" customFormat="false" ht="15" hidden="false" customHeight="false" outlineLevel="1" collapsed="false">
      <c r="A7264" s="7" t="s">
        <v>215</v>
      </c>
      <c r="B7264" s="8" t="s">
        <v>11</v>
      </c>
      <c r="C7264" s="61" t="n">
        <f aca="false">C7139*1000*(C7161)+C7140*1000*(C7184)+C7142*1000*(C7207)+C7152*1000*Pressupostos!$C$94</f>
        <v>7660</v>
      </c>
      <c r="D7264" s="61" t="n">
        <f aca="false">D7139*1000*(D7161)+D7140*1000*(D7184)+D7142*1000*(D7207)+D7152*1000*Pressupostos!$C$94</f>
        <v>45525</v>
      </c>
      <c r="E7264" s="61" t="n">
        <f aca="false">E7139*1000*(E7161)+E7140*1000*(E7184)+E7142*1000*(E7207)+E7152*1000*Pressupostos!$C$94</f>
        <v>87490</v>
      </c>
      <c r="F7264" s="61" t="n">
        <f aca="false">F7139*1000*(F7161)+F7140*1000*(F7184)+F7142*1000*(F7207)+F7152*1000*Pressupostos!$C$94</f>
        <v>148215</v>
      </c>
      <c r="G7264" s="61" t="n">
        <f aca="false">G7139*1000*(G7161)+G7140*1000*(G7184)+G7142*1000*(G7207)+G7152*1000*Pressupostos!$C$94</f>
        <v>223950</v>
      </c>
      <c r="H7264" s="2" t="s">
        <v>1298</v>
      </c>
    </row>
    <row r="7265" customFormat="false" ht="15" hidden="false" customHeight="false" outlineLevel="1" collapsed="false">
      <c r="A7265" s="7" t="s">
        <v>117</v>
      </c>
      <c r="B7265" s="8" t="s">
        <v>11</v>
      </c>
      <c r="C7265" s="61" t="n">
        <f aca="false">C7139*1000*(C7162)+C7140*1000*(C7185)+C7142*1000*(C7208)</f>
        <v>492</v>
      </c>
      <c r="D7265" s="61" t="n">
        <f aca="false">D7139*1000*(D7162)+D7140*1000*(D7185)+D7142*1000*(D7208)</f>
        <v>1845</v>
      </c>
      <c r="E7265" s="61" t="n">
        <f aca="false">E7139*1000*(E7162)+E7140*1000*(E7185)+E7142*1000*(E7208)</f>
        <v>4920</v>
      </c>
      <c r="F7265" s="61" t="n">
        <f aca="false">F7139*1000*(F7162)+F7140*1000*(F7185)+F7142*1000*(F7208)</f>
        <v>8610</v>
      </c>
      <c r="G7265" s="61" t="n">
        <f aca="false">G7139*1000*(G7162)+G7140*1000*(G7185)+G7142*1000*(G7208)</f>
        <v>12300</v>
      </c>
      <c r="H7265" s="2" t="s">
        <v>1299</v>
      </c>
    </row>
    <row r="7266" customFormat="false" ht="15" hidden="false" customHeight="false" outlineLevel="1" collapsed="false">
      <c r="A7266" s="7" t="s">
        <v>689</v>
      </c>
      <c r="B7266" s="8" t="s">
        <v>11</v>
      </c>
      <c r="C7266" s="61" t="n">
        <f aca="false">C7139*1000*(C7165+C7166)+C7140*1000*(C7188+C7189)+C7142*1000*(C7211+C7212)</f>
        <v>465.092602739726</v>
      </c>
      <c r="D7266" s="61" t="n">
        <f aca="false">D7139*1000*(D7165+D7166)+D7140*1000*(D7188+D7189)+D7142*1000*(D7211+D7212)</f>
        <v>2515.51643835616</v>
      </c>
      <c r="E7266" s="61" t="n">
        <f aca="false">E7139*1000*(E7165+E7166)+E7140*1000*(E7188+E7189)+E7142*1000*(E7211+E7212)</f>
        <v>3858.10684931507</v>
      </c>
      <c r="F7266" s="61" t="n">
        <f aca="false">F7139*1000*(F7165+F7166)+F7140*1000*(F7188+F7189)+F7142*1000*(F7211+F7212)</f>
        <v>6422.22671232877</v>
      </c>
      <c r="G7266" s="61" t="n">
        <f aca="false">G7139*1000*(G7165+G7166)+G7140*1000*(G7188+G7189)+G7142*1000*(G7211+G7212)</f>
        <v>9633.78767123288</v>
      </c>
      <c r="H7266" s="2" t="s">
        <v>1300</v>
      </c>
    </row>
    <row r="7267" customFormat="false" ht="15" hidden="false" customHeight="false" outlineLevel="1" collapsed="false">
      <c r="A7267" s="7" t="s">
        <v>690</v>
      </c>
      <c r="B7267" s="8" t="s">
        <v>11</v>
      </c>
      <c r="C7267" s="61" t="n">
        <f aca="false">C7139*1000*(C7167+C7168+C7169)+C7140*1000*(C7190+C7191+C7192)+C7142*1000*(C7213+C7214+C7215)</f>
        <v>2675.25</v>
      </c>
      <c r="D7267" s="61" t="n">
        <f aca="false">D7139*1000*(D7167+D7168+D7169)+D7140*1000*(D7190+D7191+D7192)+D7142*1000*(D7213+D7214+D7215)</f>
        <v>16920.1875</v>
      </c>
      <c r="E7267" s="61" t="n">
        <f aca="false">E7139*1000*(E7167+E7168+E7169)+E7140*1000*(E7190+E7191+E7192)+E7142*1000*(E7213+E7214+E7215)</f>
        <v>33722.5</v>
      </c>
      <c r="F7267" s="61" t="n">
        <f aca="false">F7139*1000*(F7167+F7168+F7169)+F7140*1000*(F7190+F7191+F7192)+F7142*1000*(F7213+F7214+F7215)</f>
        <v>56072.625</v>
      </c>
      <c r="G7267" s="61" t="n">
        <f aca="false">G7139*1000*(G7167+G7168+G7169)+G7140*1000*(G7190+G7191+G7192)+G7142*1000*(G7213+G7214+G7215)</f>
        <v>84203.75</v>
      </c>
      <c r="H7267" s="2" t="s">
        <v>1301</v>
      </c>
    </row>
    <row r="7268" customFormat="false" ht="15" hidden="false" customHeight="false" outlineLevel="1" collapsed="false">
      <c r="A7268" s="7" t="s">
        <v>673</v>
      </c>
      <c r="B7268" s="8" t="s">
        <v>11</v>
      </c>
      <c r="C7268" s="61" t="n">
        <f aca="false">C7139*1000*(C7170)+C7140*1000*(C7193)+C7142*1000*(C7216)</f>
        <v>2900</v>
      </c>
      <c r="D7268" s="61" t="n">
        <f aca="false">D7139*1000*(D7170)+D7140*1000*(D7193)+D7142*1000*(D7216)</f>
        <v>17595</v>
      </c>
      <c r="E7268" s="61" t="n">
        <f aca="false">E7139*1000*(E7170)+E7140*1000*(E7193)+E7142*1000*(E7216)</f>
        <v>36880</v>
      </c>
      <c r="F7268" s="61" t="n">
        <f aca="false">F7139*1000*(F7170)+F7140*1000*(F7193)+F7142*1000*(F7216)</f>
        <v>61670</v>
      </c>
      <c r="G7268" s="61" t="n">
        <f aca="false">G7139*1000*(G7170)+G7140*1000*(G7193)+G7142*1000*(G7216)</f>
        <v>92100</v>
      </c>
      <c r="H7268" s="2" t="s">
        <v>1302</v>
      </c>
    </row>
    <row r="7269" customFormat="false" ht="15" hidden="false" customHeight="false" outlineLevel="1" collapsed="false">
      <c r="A7269" s="7" t="s">
        <v>691</v>
      </c>
      <c r="B7269" s="8" t="s">
        <v>11</v>
      </c>
      <c r="C7269" s="61" t="n">
        <f aca="false">C7139*1000*(C7171)+C7140*1000*(C7194)+C7142*1000*(C7217)+C7152*1000*Pressupostos!$C$99</f>
        <v>342</v>
      </c>
      <c r="D7269" s="61" t="n">
        <f aca="false">D7139*1000*(D7171)+D7140*1000*(D7194)+D7142*1000*(D7217)+D7152*1000*Pressupostos!$C$99</f>
        <v>2122.5</v>
      </c>
      <c r="E7269" s="61" t="n">
        <f aca="false">E7139*1000*(E7171)+E7140*1000*(E7194)+E7142*1000*(E7217)+E7152*1000*Pressupostos!$C$99</f>
        <v>4405</v>
      </c>
      <c r="F7269" s="61" t="n">
        <f aca="false">F7139*1000*(F7171)+F7140*1000*(F7194)+F7142*1000*(F7217)+F7152*1000*Pressupostos!$C$99</f>
        <v>7950</v>
      </c>
      <c r="G7269" s="61" t="n">
        <f aca="false">G7139*1000*(G7171)+G7140*1000*(G7194)+G7142*1000*(G7217)+G7152*1000*Pressupostos!$C$99</f>
        <v>12500</v>
      </c>
      <c r="H7269" s="2" t="s">
        <v>1303</v>
      </c>
    </row>
    <row r="7270" customFormat="false" ht="15" hidden="false" customHeight="false" outlineLevel="1" collapsed="false">
      <c r="A7270" s="7" t="s">
        <v>81</v>
      </c>
      <c r="B7270" s="8" t="s">
        <v>11</v>
      </c>
      <c r="C7270" s="61" t="n">
        <f aca="false">C7139*1000*(C7172)+C7140*1000*(C7195)+C7142*1000*(C7218)+C7152*1000*Pressupostos!$C$98*Pressupostos!$C$93</f>
        <v>928.782</v>
      </c>
      <c r="D7270" s="61" t="n">
        <f aca="false">D7139*1000*(D7172)+D7140*1000*(D7195)+D7142*1000*(D7218)+D7152*1000*Pressupostos!$C$98*Pressupostos!$C$93</f>
        <v>5675.3325</v>
      </c>
      <c r="E7270" s="61" t="n">
        <f aca="false">E7139*1000*(E7172)+E7140*1000*(E7195)+E7142*1000*(E7218)+E7152*1000*Pressupostos!$C$98*Pressupostos!$C$93</f>
        <v>11858.67</v>
      </c>
      <c r="F7270" s="61" t="n">
        <f aca="false">F7139*1000*(F7172)+F7140*1000*(F7195)+F7142*1000*(F7218)+F7152*1000*Pressupostos!$C$98*Pressupostos!$C$93</f>
        <v>20758.335</v>
      </c>
      <c r="G7270" s="61" t="n">
        <f aca="false">G7139*1000*(G7172)+G7140*1000*(G7195)+G7142*1000*(G7218)+G7152*1000*Pressupostos!$C$98*Pressupostos!$C$93</f>
        <v>31969.05</v>
      </c>
      <c r="H7270" s="2" t="s">
        <v>1304</v>
      </c>
    </row>
    <row r="7271" customFormat="false" ht="15" hidden="false" customHeight="false" outlineLevel="1" collapsed="false">
      <c r="A7271" s="7" t="s">
        <v>692</v>
      </c>
      <c r="B7271" s="8" t="s">
        <v>11</v>
      </c>
      <c r="C7271" s="61" t="n">
        <f aca="false">C7139*1000*(C7173)+C7140*1000*(C7196)+C7142*1000*(C7219)+C7152*1000*Pressupostos!$F$29*Pressupostos!$C$92</f>
        <v>0</v>
      </c>
      <c r="D7271" s="61" t="n">
        <f aca="false">D7139*1000*(D7173)+D7140*1000*(D7196)+D7142*1000*(D7219)+D7152*1000*Pressupostos!$F$29*Pressupostos!$C$92</f>
        <v>0</v>
      </c>
      <c r="E7271" s="61" t="n">
        <f aca="false">E7139*1000*(E7173)+E7140*1000*(E7196)+E7142*1000*(E7219)+E7152*1000*Pressupostos!$F$29*Pressupostos!$C$92</f>
        <v>0</v>
      </c>
      <c r="F7271" s="61" t="n">
        <f aca="false">F7139*1000*(F7173)+F7140*1000*(F7196)+F7142*1000*(F7219)+F7152*1000*Pressupostos!$F$29*Pressupostos!$C$92</f>
        <v>420</v>
      </c>
      <c r="G7271" s="61" t="n">
        <f aca="false">G7139*1000*(G7173)+G7140*1000*(G7196)+G7142*1000*(G7219)+G7152*1000*Pressupostos!$F$29*Pressupostos!$C$92</f>
        <v>1050</v>
      </c>
      <c r="H7271" s="2" t="s">
        <v>1305</v>
      </c>
    </row>
    <row r="7272" customFormat="false" ht="15" hidden="false" customHeight="false" outlineLevel="1" collapsed="false">
      <c r="A7272" s="7" t="s">
        <v>693</v>
      </c>
      <c r="B7272" s="8" t="s">
        <v>11</v>
      </c>
      <c r="C7272" s="61" t="n">
        <f aca="false">C7155*1000*Pressupostos!$C$104*Pressupostos!$F$30</f>
        <v>0</v>
      </c>
      <c r="D7272" s="61" t="n">
        <f aca="false">D7155*1000*Pressupostos!$C$104*Pressupostos!$F$30</f>
        <v>0</v>
      </c>
      <c r="E7272" s="61" t="n">
        <f aca="false">E7155*1000*Pressupostos!$C$104*Pressupostos!$F$30</f>
        <v>0</v>
      </c>
      <c r="F7272" s="61" t="n">
        <f aca="false">F7155*1000*Pressupostos!$C$104*Pressupostos!$F$30</f>
        <v>0</v>
      </c>
      <c r="G7272" s="61" t="n">
        <f aca="false">G7155*1000*Pressupostos!$C$104*Pressupostos!$F$30</f>
        <v>0</v>
      </c>
      <c r="H7272" s="2" t="s">
        <v>1306</v>
      </c>
    </row>
    <row r="7273" customFormat="false" ht="15" hidden="false" customHeight="false" outlineLevel="1" collapsed="false">
      <c r="A7273" s="7" t="s">
        <v>694</v>
      </c>
      <c r="B7273" s="8" t="s">
        <v>11</v>
      </c>
      <c r="C7273" s="61" t="n">
        <f aca="false">C7143*1000*C7227</f>
        <v>0</v>
      </c>
      <c r="D7273" s="61" t="n">
        <f aca="false">D7143*1000*D7227</f>
        <v>9500</v>
      </c>
      <c r="E7273" s="61" t="n">
        <f aca="false">E7143*1000*E7227</f>
        <v>28500</v>
      </c>
      <c r="F7273" s="61" t="n">
        <f aca="false">F7143*1000*F7227</f>
        <v>47500</v>
      </c>
      <c r="G7273" s="61" t="n">
        <f aca="false">G7143*1000*G7227</f>
        <v>66500</v>
      </c>
      <c r="H7273" s="2" t="s">
        <v>1307</v>
      </c>
    </row>
    <row r="7274" customFormat="false" ht="15" hidden="false" customHeight="false" outlineLevel="1" collapsed="false">
      <c r="A7274" s="7" t="s">
        <v>695</v>
      </c>
      <c r="B7274" s="8" t="s">
        <v>11</v>
      </c>
      <c r="C7274" s="61" t="n">
        <f aca="false">C7264+C7265+C7266+C7267+C7268+C7269+C7270+C7271+C7272+C7273</f>
        <v>15463.1246027397</v>
      </c>
      <c r="D7274" s="61" t="n">
        <f aca="false">D7264+D7265+D7266+D7267+D7268+D7269+D7270+D7271+D7272+D7273</f>
        <v>101698.536438356</v>
      </c>
      <c r="E7274" s="61" t="n">
        <f aca="false">E7264+E7265+E7266+E7267+E7268+E7269+E7270+E7271+E7272+E7273</f>
        <v>211634.276849315</v>
      </c>
      <c r="F7274" s="61" t="n">
        <f aca="false">F7264+F7265+F7266+F7267+F7268+F7269+F7270+F7271+F7272+F7273</f>
        <v>357618.186712329</v>
      </c>
      <c r="G7274" s="61" t="n">
        <f aca="false">G7264+G7265+G7266+G7267+G7268+G7269+G7270+G7271+G7272+G7273</f>
        <v>534206.587671233</v>
      </c>
      <c r="H7274" s="2" t="s">
        <v>1308</v>
      </c>
    </row>
    <row r="7275" customFormat="false" ht="15" hidden="false" customHeight="false" outlineLevel="1" collapsed="false">
      <c r="A7275" s="7" t="s">
        <v>696</v>
      </c>
      <c r="B7275" s="8" t="s">
        <v>11</v>
      </c>
      <c r="C7275" s="61" t="n">
        <f aca="false">C7139*1000*(C7174)+C7140*1000*(C7197)+C7142*1000*(C7220)</f>
        <v>0</v>
      </c>
      <c r="D7275" s="61" t="n">
        <f aca="false">D7139*1000*(D7174)+D7140*1000*(D7197)+D7142*1000*(D7220)</f>
        <v>21524.1780821918</v>
      </c>
      <c r="E7275" s="61" t="n">
        <f aca="false">E7139*1000*(E7174)+E7140*1000*(E7197)+E7142*1000*(E7220)</f>
        <v>34083.5991010274</v>
      </c>
      <c r="F7275" s="61" t="n">
        <f aca="false">F7139*1000*(F7174)+F7140*1000*(F7197)+F7142*1000*(F7220)</f>
        <v>52796.3463184931</v>
      </c>
      <c r="G7275" s="61" t="n">
        <f aca="false">G7139*1000*(G7174)+G7140*1000*(G7197)+G7142*1000*(G7220)</f>
        <v>79428.2748287671</v>
      </c>
      <c r="H7275" s="2" t="s">
        <v>1309</v>
      </c>
    </row>
    <row r="7276" customFormat="false" ht="15" hidden="false" customHeight="false" outlineLevel="1" collapsed="false">
      <c r="A7276" s="7" t="s">
        <v>697</v>
      </c>
      <c r="B7276" s="8" t="s">
        <v>11</v>
      </c>
      <c r="C7276" s="61" t="n">
        <f aca="false">C7152*1000*C7254</f>
        <v>0</v>
      </c>
      <c r="D7276" s="61" t="n">
        <f aca="false">D7152*1000*D7254</f>
        <v>0</v>
      </c>
      <c r="E7276" s="61" t="n">
        <f aca="false">E7152*1000*E7254</f>
        <v>0</v>
      </c>
      <c r="F7276" s="61" t="n">
        <f aca="false">F7152*1000*F7254</f>
        <v>1132.70547945206</v>
      </c>
      <c r="G7276" s="61" t="n">
        <f aca="false">G7152*1000*G7254</f>
        <v>2831.76369863014</v>
      </c>
      <c r="H7276" s="2" t="s">
        <v>1310</v>
      </c>
    </row>
    <row r="7277" customFormat="false" ht="15" hidden="false" customHeight="false" outlineLevel="1" collapsed="false">
      <c r="A7277" s="7" t="s">
        <v>698</v>
      </c>
      <c r="B7277" s="8" t="s">
        <v>11</v>
      </c>
      <c r="C7277" s="61" t="n">
        <f aca="false">C7275+C7276</f>
        <v>0</v>
      </c>
      <c r="D7277" s="61" t="n">
        <f aca="false">D7275+D7276</f>
        <v>21524.1780821918</v>
      </c>
      <c r="E7277" s="61" t="n">
        <f aca="false">E7275+E7276</f>
        <v>34083.5991010274</v>
      </c>
      <c r="F7277" s="61" t="n">
        <f aca="false">F7275+F7276</f>
        <v>53929.0517979452</v>
      </c>
      <c r="G7277" s="61" t="n">
        <f aca="false">G7275+G7276</f>
        <v>82260.0385273973</v>
      </c>
      <c r="H7277" s="2" t="s">
        <v>1311</v>
      </c>
    </row>
    <row r="7278" customFormat="false" ht="15" hidden="false" customHeight="false" outlineLevel="1" collapsed="false">
      <c r="A7278" s="8" t="s">
        <v>699</v>
      </c>
      <c r="B7278" s="8" t="s">
        <v>11</v>
      </c>
      <c r="C7278" s="70" t="n">
        <f aca="false">ROUND(C7240-C7263-C7274-C7277-C7259,6)</f>
        <v>-0</v>
      </c>
      <c r="D7278" s="70" t="n">
        <f aca="false">ROUND(D7240-D7263-D7274-D7277-D7259,6)</f>
        <v>-0</v>
      </c>
      <c r="E7278" s="70" t="n">
        <f aca="false">ROUND(E7240-E7263-E7274-E7277-E7259,6)</f>
        <v>-0</v>
      </c>
      <c r="F7278" s="70" t="n">
        <f aca="false">ROUND(F7240-F7263-F7274-F7277-F7259,6)</f>
        <v>-0</v>
      </c>
      <c r="G7278" s="70" t="n">
        <f aca="false">ROUND(G7240-G7263-G7274-G7277-G7259,6)</f>
        <v>-0</v>
      </c>
      <c r="H7278" s="2" t="s">
        <v>1312</v>
      </c>
    </row>
    <row r="7279" customFormat="false" ht="15" hidden="false" customHeight="false" outlineLevel="0" collapsed="false">
      <c r="A7279" s="3" t="s">
        <v>1313</v>
      </c>
      <c r="B7279" s="4"/>
      <c r="C7279" s="4"/>
      <c r="D7279" s="4"/>
      <c r="E7279" s="4"/>
      <c r="F7279" s="4"/>
      <c r="G7279" s="4"/>
      <c r="H7279" s="4"/>
    </row>
    <row r="7280" customFormat="false" ht="15" hidden="false" customHeight="false" outlineLevel="1" collapsed="false">
      <c r="A7280" s="7" t="s">
        <v>638</v>
      </c>
      <c r="B7280" s="8" t="s">
        <v>432</v>
      </c>
      <c r="C7280" s="64" t="n">
        <f aca="false">Pressupostos!$C$334</f>
        <v>1</v>
      </c>
      <c r="D7280" s="64" t="n">
        <f aca="false">Pressupostos!$D$334</f>
        <v>1</v>
      </c>
      <c r="E7280" s="64" t="n">
        <f aca="false">Pressupostos!$E$334</f>
        <v>1</v>
      </c>
      <c r="F7280" s="64" t="n">
        <f aca="false">Pressupostos!$F$334</f>
        <v>1</v>
      </c>
      <c r="G7280" s="64" t="n">
        <f aca="false">Pressupostos!$G$334</f>
        <v>1</v>
      </c>
      <c r="H7280" s="2" t="s">
        <v>1314</v>
      </c>
    </row>
    <row r="7281" customFormat="false" ht="15" hidden="false" customHeight="false" outlineLevel="1" collapsed="false">
      <c r="A7281" s="7" t="s">
        <v>639</v>
      </c>
      <c r="B7281" s="8" t="s">
        <v>432</v>
      </c>
      <c r="C7281" s="64" t="n">
        <f aca="false">Pressupostos!$C$340</f>
        <v>1</v>
      </c>
      <c r="D7281" s="64" t="n">
        <f aca="false">Pressupostos!$D$340</f>
        <v>1</v>
      </c>
      <c r="E7281" s="64" t="n">
        <f aca="false">Pressupostos!$E$340</f>
        <v>1</v>
      </c>
      <c r="F7281" s="64" t="n">
        <f aca="false">Pressupostos!$F$340</f>
        <v>1</v>
      </c>
      <c r="G7281" s="64" t="n">
        <f aca="false">Pressupostos!$G$340</f>
        <v>1</v>
      </c>
      <c r="H7281" s="2" t="s">
        <v>1315</v>
      </c>
    </row>
    <row r="7282" customFormat="false" ht="15" hidden="false" customHeight="false" outlineLevel="1" collapsed="false">
      <c r="A7282" s="7" t="s">
        <v>640</v>
      </c>
      <c r="B7282" s="8" t="s">
        <v>432</v>
      </c>
      <c r="C7282" s="64" t="n">
        <f aca="false">Pressupostos!$C$346</f>
        <v>0</v>
      </c>
      <c r="D7282" s="64" t="n">
        <f aca="false">Pressupostos!$D$346</f>
        <v>1</v>
      </c>
      <c r="E7282" s="64" t="n">
        <f aca="false">Pressupostos!$E$346</f>
        <v>1</v>
      </c>
      <c r="F7282" s="64" t="n">
        <f aca="false">Pressupostos!$F$346</f>
        <v>1</v>
      </c>
      <c r="G7282" s="64" t="n">
        <f aca="false">Pressupostos!$G$346</f>
        <v>1</v>
      </c>
      <c r="H7282" s="2" t="s">
        <v>1316</v>
      </c>
    </row>
    <row r="7283" customFormat="false" ht="15" hidden="false" customHeight="false" outlineLevel="1" collapsed="false">
      <c r="A7283" s="7" t="s">
        <v>641</v>
      </c>
      <c r="B7283" s="8" t="s">
        <v>432</v>
      </c>
      <c r="C7283" s="64" t="n">
        <f aca="false">Pressupostos!$C$352</f>
        <v>0.5</v>
      </c>
      <c r="D7283" s="64" t="n">
        <f aca="false">Pressupostos!$D$352</f>
        <v>1</v>
      </c>
      <c r="E7283" s="64" t="n">
        <f aca="false">Pressupostos!$E$352</f>
        <v>1</v>
      </c>
      <c r="F7283" s="64" t="n">
        <f aca="false">Pressupostos!$F$352</f>
        <v>1</v>
      </c>
      <c r="G7283" s="64" t="n">
        <f aca="false">Pressupostos!$G$352</f>
        <v>1</v>
      </c>
      <c r="H7283" s="2" t="s">
        <v>1317</v>
      </c>
    </row>
    <row r="7284" customFormat="false" ht="15" hidden="false" customHeight="false" outlineLevel="1" collapsed="false">
      <c r="A7284" s="7" t="s">
        <v>642</v>
      </c>
      <c r="B7284" s="8" t="s">
        <v>432</v>
      </c>
      <c r="C7284" s="64" t="n">
        <f aca="false">Pressupostos!$C$358</f>
        <v>0.5</v>
      </c>
      <c r="D7284" s="64" t="n">
        <f aca="false">Pressupostos!$D$358</f>
        <v>0.5</v>
      </c>
      <c r="E7284" s="64" t="n">
        <f aca="false">Pressupostos!$E$358</f>
        <v>0.5</v>
      </c>
      <c r="F7284" s="64" t="n">
        <f aca="false">Pressupostos!$F$358</f>
        <v>1</v>
      </c>
      <c r="G7284" s="64" t="n">
        <f aca="false">Pressupostos!$G$358</f>
        <v>1</v>
      </c>
      <c r="H7284" s="2" t="s">
        <v>1318</v>
      </c>
    </row>
    <row r="7285" customFormat="false" ht="15" hidden="false" customHeight="false" outlineLevel="1" collapsed="false">
      <c r="A7285" s="7" t="s">
        <v>643</v>
      </c>
      <c r="B7285" s="8" t="s">
        <v>432</v>
      </c>
      <c r="C7285" s="64" t="n">
        <f aca="false">Pressupostos!$C$364</f>
        <v>1</v>
      </c>
      <c r="D7285" s="64" t="n">
        <f aca="false">Pressupostos!$D$364</f>
        <v>1</v>
      </c>
      <c r="E7285" s="64" t="n">
        <f aca="false">Pressupostos!$E$364</f>
        <v>1</v>
      </c>
      <c r="F7285" s="64" t="n">
        <f aca="false">Pressupostos!$F$364</f>
        <v>1</v>
      </c>
      <c r="G7285" s="64" t="n">
        <f aca="false">Pressupostos!$G$364</f>
        <v>1</v>
      </c>
      <c r="H7285" s="2" t="s">
        <v>1319</v>
      </c>
    </row>
    <row r="7286" customFormat="false" ht="15" hidden="false" customHeight="false" outlineLevel="1" collapsed="false">
      <c r="A7286" s="7" t="s">
        <v>644</v>
      </c>
      <c r="B7286" s="8" t="s">
        <v>432</v>
      </c>
      <c r="C7286" s="64" t="n">
        <f aca="false">Pressupostos!$C$370</f>
        <v>0.5</v>
      </c>
      <c r="D7286" s="64" t="n">
        <f aca="false">Pressupostos!$D$370</f>
        <v>1</v>
      </c>
      <c r="E7286" s="64" t="n">
        <f aca="false">Pressupostos!$E$370</f>
        <v>1</v>
      </c>
      <c r="F7286" s="64" t="n">
        <f aca="false">Pressupostos!$F$370</f>
        <v>1</v>
      </c>
      <c r="G7286" s="64" t="n">
        <f aca="false">Pressupostos!$G$370</f>
        <v>1</v>
      </c>
      <c r="H7286" s="2" t="s">
        <v>1320</v>
      </c>
    </row>
    <row r="7287" customFormat="false" ht="15" hidden="false" customHeight="false" outlineLevel="1" collapsed="false">
      <c r="A7287" s="7" t="s">
        <v>645</v>
      </c>
      <c r="B7287" s="8" t="s">
        <v>432</v>
      </c>
      <c r="C7287" s="64" t="n">
        <f aca="false">Pressupostos!$C$376</f>
        <v>1</v>
      </c>
      <c r="D7287" s="64" t="n">
        <f aca="false">Pressupostos!$D$376</f>
        <v>1</v>
      </c>
      <c r="E7287" s="64" t="n">
        <f aca="false">Pressupostos!$E$376</f>
        <v>1</v>
      </c>
      <c r="F7287" s="64" t="n">
        <f aca="false">Pressupostos!$F$376</f>
        <v>2</v>
      </c>
      <c r="G7287" s="64" t="n">
        <f aca="false">Pressupostos!$G$376</f>
        <v>3</v>
      </c>
      <c r="H7287" s="2" t="s">
        <v>1321</v>
      </c>
    </row>
    <row r="7288" customFormat="false" ht="15" hidden="false" customHeight="false" outlineLevel="1" collapsed="false">
      <c r="A7288" s="7" t="s">
        <v>646</v>
      </c>
      <c r="B7288" s="8" t="s">
        <v>432</v>
      </c>
      <c r="C7288" s="64" t="n">
        <f aca="false">Pressupostos!$C$382</f>
        <v>0</v>
      </c>
      <c r="D7288" s="64" t="n">
        <f aca="false">Pressupostos!$D$382</f>
        <v>0</v>
      </c>
      <c r="E7288" s="64" t="n">
        <f aca="false">Pressupostos!$E$382</f>
        <v>0</v>
      </c>
      <c r="F7288" s="64" t="n">
        <f aca="false">Pressupostos!$F$382</f>
        <v>0</v>
      </c>
      <c r="G7288" s="64" t="n">
        <f aca="false">Pressupostos!$G$382</f>
        <v>0</v>
      </c>
      <c r="H7288" s="2" t="s">
        <v>1322</v>
      </c>
    </row>
    <row r="7289" customFormat="false" ht="15" hidden="false" customHeight="false" outlineLevel="1" collapsed="false">
      <c r="A7289" s="7" t="s">
        <v>647</v>
      </c>
      <c r="B7289" s="8" t="s">
        <v>432</v>
      </c>
      <c r="C7289" s="64" t="n">
        <f aca="false">Pressupostos!$C$388</f>
        <v>0</v>
      </c>
      <c r="D7289" s="64" t="n">
        <f aca="false">Pressupostos!$D$388</f>
        <v>0</v>
      </c>
      <c r="E7289" s="64" t="n">
        <f aca="false">Pressupostos!$E$388</f>
        <v>0</v>
      </c>
      <c r="F7289" s="64" t="n">
        <f aca="false">Pressupostos!$F$388</f>
        <v>0</v>
      </c>
      <c r="G7289" s="64" t="n">
        <f aca="false">Pressupostos!$G$388</f>
        <v>0</v>
      </c>
      <c r="H7289" s="2" t="s">
        <v>1323</v>
      </c>
    </row>
    <row r="7290" customFormat="false" ht="15" hidden="false" customHeight="false" outlineLevel="1" collapsed="false">
      <c r="A7290" s="7" t="s">
        <v>648</v>
      </c>
      <c r="B7290" s="8" t="s">
        <v>432</v>
      </c>
      <c r="C7290" s="64" t="n">
        <f aca="false">Pressupostos!$C$394</f>
        <v>0</v>
      </c>
      <c r="D7290" s="64" t="n">
        <f aca="false">Pressupostos!$D$394</f>
        <v>0</v>
      </c>
      <c r="E7290" s="64" t="n">
        <f aca="false">Pressupostos!$E$394</f>
        <v>0</v>
      </c>
      <c r="F7290" s="64" t="n">
        <f aca="false">Pressupostos!$F$394</f>
        <v>1</v>
      </c>
      <c r="G7290" s="64" t="n">
        <f aca="false">Pressupostos!$G$394</f>
        <v>1</v>
      </c>
      <c r="H7290" s="2" t="s">
        <v>1324</v>
      </c>
    </row>
    <row r="7291" customFormat="false" ht="15" hidden="false" customHeight="false" outlineLevel="1" collapsed="false">
      <c r="A7291" s="7" t="s">
        <v>649</v>
      </c>
      <c r="B7291" s="8" t="s">
        <v>432</v>
      </c>
      <c r="C7291" s="64" t="n">
        <f aca="false">Pressupostos!$C$400</f>
        <v>0</v>
      </c>
      <c r="D7291" s="64" t="n">
        <f aca="false">Pressupostos!$D$400</f>
        <v>0</v>
      </c>
      <c r="E7291" s="64" t="n">
        <f aca="false">Pressupostos!$E$400</f>
        <v>1</v>
      </c>
      <c r="F7291" s="64" t="n">
        <f aca="false">Pressupostos!$F$400</f>
        <v>1</v>
      </c>
      <c r="G7291" s="64" t="n">
        <f aca="false">Pressupostos!$G$400</f>
        <v>1</v>
      </c>
      <c r="H7291" s="2" t="s">
        <v>1325</v>
      </c>
    </row>
    <row r="7292" customFormat="false" ht="15" hidden="false" customHeight="false" outlineLevel="1" collapsed="false">
      <c r="A7292" s="56" t="s">
        <v>650</v>
      </c>
      <c r="B7292" s="57" t="s">
        <v>432</v>
      </c>
      <c r="C7292" s="65" t="n">
        <f aca="false">C7280+C7281+C7282+C7283+C7284+C7285+C7286+C7287+C7288+C7289+C7290+C7291</f>
        <v>5.5</v>
      </c>
      <c r="D7292" s="65" t="n">
        <f aca="false">D7280+D7281+D7282+D7283+D7284+D7285+D7286+D7287+D7288+D7289+D7290+D7291</f>
        <v>7.5</v>
      </c>
      <c r="E7292" s="65" t="n">
        <f aca="false">E7280+E7281+E7282+E7283+E7284+E7285+E7286+E7287+E7288+E7289+E7290+E7291</f>
        <v>8.5</v>
      </c>
      <c r="F7292" s="65" t="n">
        <f aca="false">F7280+F7281+F7282+F7283+F7284+F7285+F7286+F7287+F7288+F7289+F7290+F7291</f>
        <v>11</v>
      </c>
      <c r="G7292" s="65" t="n">
        <f aca="false">G7280+G7281+G7282+G7283+G7284+G7285+G7286+G7287+G7288+G7289+G7290+G7291</f>
        <v>12</v>
      </c>
      <c r="H7292" s="2" t="s">
        <v>1326</v>
      </c>
    </row>
    <row r="7293" customFormat="false" ht="15" hidden="false" customHeight="false" outlineLevel="0" collapsed="false">
      <c r="A7293" s="3" t="s">
        <v>1327</v>
      </c>
      <c r="B7293" s="4"/>
      <c r="C7293" s="4"/>
      <c r="D7293" s="4"/>
      <c r="E7293" s="4"/>
      <c r="F7293" s="4"/>
      <c r="G7293" s="4"/>
      <c r="H7293" s="4"/>
    </row>
    <row r="7294" customFormat="false" ht="15" hidden="false" customHeight="false" outlineLevel="1" collapsed="false">
      <c r="A7294" s="7" t="s">
        <v>638</v>
      </c>
      <c r="B7294" s="8" t="s">
        <v>11</v>
      </c>
      <c r="C7294" s="61" t="n">
        <f aca="false">C7280*Pressupostos!$C$131*(1+Pressupostos!$C$127)^0*(1+Pressupostos!$C$132)*Pressupostos!$C$128</f>
        <v>43998</v>
      </c>
      <c r="D7294" s="61" t="n">
        <f aca="false">D7280*Pressupostos!$C$131*(1+Pressupostos!$C$127)^1*(1+Pressupostos!$C$132)</f>
        <v>61800</v>
      </c>
      <c r="E7294" s="61" t="n">
        <f aca="false">E7280*Pressupostos!$C$131*(1+Pressupostos!$C$127)^2*(1+Pressupostos!$C$132)</f>
        <v>63654</v>
      </c>
      <c r="F7294" s="61" t="n">
        <f aca="false">F7280*Pressupostos!$C$131*(1+Pressupostos!$C$127)^3*(1+Pressupostos!$C$132)</f>
        <v>65563.62</v>
      </c>
      <c r="G7294" s="61" t="n">
        <f aca="false">G7280*Pressupostos!$C$131*(1+Pressupostos!$C$127)^4*(1+Pressupostos!$C$132)</f>
        <v>67530.5286</v>
      </c>
      <c r="H7294" s="2" t="s">
        <v>1328</v>
      </c>
    </row>
    <row r="7295" customFormat="false" ht="15" hidden="false" customHeight="false" outlineLevel="1" collapsed="false">
      <c r="A7295" s="7" t="s">
        <v>639</v>
      </c>
      <c r="B7295" s="8" t="s">
        <v>11</v>
      </c>
      <c r="C7295" s="61" t="n">
        <f aca="false">C7281*Pressupostos!$C$133*(1+Pressupostos!$C$127)^0*(1+Pressupostos!$C$134)*Pressupostos!$C$128</f>
        <v>47664.5</v>
      </c>
      <c r="D7295" s="61" t="n">
        <f aca="false">D7281*Pressupostos!$C$133*(1+Pressupostos!$C$127)^1*(1+Pressupostos!$C$134)</f>
        <v>66950</v>
      </c>
      <c r="E7295" s="61" t="n">
        <f aca="false">E7281*Pressupostos!$C$133*(1+Pressupostos!$C$127)^2*(1+Pressupostos!$C$134)</f>
        <v>68958.5</v>
      </c>
      <c r="F7295" s="61" t="n">
        <f aca="false">F7281*Pressupostos!$C$133*(1+Pressupostos!$C$127)^3*(1+Pressupostos!$C$134)</f>
        <v>71027.255</v>
      </c>
      <c r="G7295" s="61" t="n">
        <f aca="false">G7281*Pressupostos!$C$133*(1+Pressupostos!$C$127)^4*(1+Pressupostos!$C$134)</f>
        <v>73158.07265</v>
      </c>
      <c r="H7295" s="2" t="s">
        <v>1329</v>
      </c>
    </row>
    <row r="7296" customFormat="false" ht="15" hidden="false" customHeight="false" outlineLevel="1" collapsed="false">
      <c r="A7296" s="7" t="s">
        <v>640</v>
      </c>
      <c r="B7296" s="8" t="s">
        <v>11</v>
      </c>
      <c r="C7296" s="61" t="n">
        <f aca="false">C7282*Pressupostos!$C$135*(1+Pressupostos!$C$127)^0*(1+Pressupostos!$C$136)</f>
        <v>0</v>
      </c>
      <c r="D7296" s="61" t="n">
        <f aca="false">D7282*Pressupostos!$C$135*(1+Pressupostos!$C$127)^1*(1+Pressupostos!$C$136)</f>
        <v>46350</v>
      </c>
      <c r="E7296" s="61" t="n">
        <f aca="false">E7282*Pressupostos!$C$135*(1+Pressupostos!$C$127)^2*(1+Pressupostos!$C$136)</f>
        <v>47740.5</v>
      </c>
      <c r="F7296" s="61" t="n">
        <f aca="false">F7282*Pressupostos!$C$135*(1+Pressupostos!$C$127)^3*(1+Pressupostos!$C$136)</f>
        <v>49172.715</v>
      </c>
      <c r="G7296" s="61" t="n">
        <f aca="false">G7282*Pressupostos!$C$135*(1+Pressupostos!$C$127)^4*(1+Pressupostos!$C$136)</f>
        <v>50647.89645</v>
      </c>
      <c r="H7296" s="2" t="s">
        <v>1330</v>
      </c>
    </row>
    <row r="7297" customFormat="false" ht="15" hidden="false" customHeight="false" outlineLevel="1" collapsed="false">
      <c r="A7297" s="7" t="s">
        <v>641</v>
      </c>
      <c r="B7297" s="8" t="s">
        <v>11</v>
      </c>
      <c r="C7297" s="61" t="n">
        <f aca="false">C7283*Pressupostos!$C$137*(1+Pressupostos!$C$127)^0*(1+Pressupostos!$C$138)</f>
        <v>30000</v>
      </c>
      <c r="D7297" s="61" t="n">
        <f aca="false">D7283*Pressupostos!$C$137*(1+Pressupostos!$C$127)^1*(1+Pressupostos!$C$138)</f>
        <v>61800</v>
      </c>
      <c r="E7297" s="61" t="n">
        <f aca="false">E7283*Pressupostos!$C$137*(1+Pressupostos!$C$127)^2*(1+Pressupostos!$C$138)</f>
        <v>63654</v>
      </c>
      <c r="F7297" s="61" t="n">
        <f aca="false">F7283*Pressupostos!$C$137*(1+Pressupostos!$C$127)^3*(1+Pressupostos!$C$138)</f>
        <v>65563.62</v>
      </c>
      <c r="G7297" s="61" t="n">
        <f aca="false">G7283*Pressupostos!$C$137*(1+Pressupostos!$C$127)^4*(1+Pressupostos!$C$138)</f>
        <v>67530.5286</v>
      </c>
      <c r="H7297" s="2" t="s">
        <v>1331</v>
      </c>
    </row>
    <row r="7298" customFormat="false" ht="15" hidden="false" customHeight="false" outlineLevel="1" collapsed="false">
      <c r="A7298" s="7" t="s">
        <v>642</v>
      </c>
      <c r="B7298" s="8" t="s">
        <v>11</v>
      </c>
      <c r="C7298" s="61" t="n">
        <f aca="false">C7284*Pressupostos!$C$139*(1+Pressupostos!$C$127)^0*(1+Pressupostos!$C$140)</f>
        <v>22500</v>
      </c>
      <c r="D7298" s="61" t="n">
        <f aca="false">D7284*Pressupostos!$C$139*(1+Pressupostos!$C$127)^1*(1+Pressupostos!$C$140)</f>
        <v>23175</v>
      </c>
      <c r="E7298" s="61" t="n">
        <f aca="false">E7284*Pressupostos!$C$139*(1+Pressupostos!$C$127)^2*(1+Pressupostos!$C$140)</f>
        <v>23870.25</v>
      </c>
      <c r="F7298" s="61" t="n">
        <f aca="false">F7284*Pressupostos!$C$139*(1+Pressupostos!$C$127)^3*(1+Pressupostos!$C$140)</f>
        <v>49172.715</v>
      </c>
      <c r="G7298" s="61" t="n">
        <f aca="false">G7284*Pressupostos!$C$139*(1+Pressupostos!$C$127)^4*(1+Pressupostos!$C$140)</f>
        <v>50647.89645</v>
      </c>
      <c r="H7298" s="2" t="s">
        <v>1332</v>
      </c>
    </row>
    <row r="7299" customFormat="false" ht="15" hidden="false" customHeight="false" outlineLevel="1" collapsed="false">
      <c r="A7299" s="7" t="s">
        <v>643</v>
      </c>
      <c r="B7299" s="8" t="s">
        <v>11</v>
      </c>
      <c r="C7299" s="61" t="n">
        <f aca="false">C7285*Pressupostos!$C$141*(1+Pressupostos!$C$127)^0*(1+Pressupostos!$C$142)</f>
        <v>38000</v>
      </c>
      <c r="D7299" s="61" t="n">
        <f aca="false">D7285*Pressupostos!$C$141*(1+Pressupostos!$C$127)^1*(1+Pressupostos!$C$142)</f>
        <v>39140</v>
      </c>
      <c r="E7299" s="61" t="n">
        <f aca="false">E7285*Pressupostos!$C$141*(1+Pressupostos!$C$127)^2*(1+Pressupostos!$C$142)</f>
        <v>40314.2</v>
      </c>
      <c r="F7299" s="61" t="n">
        <f aca="false">F7285*Pressupostos!$C$141*(1+Pressupostos!$C$127)^3*(1+Pressupostos!$C$142)</f>
        <v>41523.626</v>
      </c>
      <c r="G7299" s="61" t="n">
        <f aca="false">G7285*Pressupostos!$C$141*(1+Pressupostos!$C$127)^4*(1+Pressupostos!$C$142)</f>
        <v>42769.33478</v>
      </c>
      <c r="H7299" s="2" t="s">
        <v>1333</v>
      </c>
    </row>
    <row r="7300" customFormat="false" ht="15" hidden="false" customHeight="false" outlineLevel="1" collapsed="false">
      <c r="A7300" s="7" t="s">
        <v>644</v>
      </c>
      <c r="B7300" s="8" t="s">
        <v>11</v>
      </c>
      <c r="C7300" s="61" t="n">
        <f aca="false">C7286*Pressupostos!$C$143*(1+Pressupostos!$C$127)^0*(1+Pressupostos!$C$144)</f>
        <v>16000</v>
      </c>
      <c r="D7300" s="61" t="n">
        <f aca="false">D7286*Pressupostos!$C$143*(1+Pressupostos!$C$127)^1*(1+Pressupostos!$C$144)</f>
        <v>32960</v>
      </c>
      <c r="E7300" s="61" t="n">
        <f aca="false">E7286*Pressupostos!$C$143*(1+Pressupostos!$C$127)^2*(1+Pressupostos!$C$144)</f>
        <v>33948.8</v>
      </c>
      <c r="F7300" s="61" t="n">
        <f aca="false">F7286*Pressupostos!$C$143*(1+Pressupostos!$C$127)^3*(1+Pressupostos!$C$144)</f>
        <v>34967.264</v>
      </c>
      <c r="G7300" s="61" t="n">
        <f aca="false">G7286*Pressupostos!$C$143*(1+Pressupostos!$C$127)^4*(1+Pressupostos!$C$144)</f>
        <v>36016.28192</v>
      </c>
      <c r="H7300" s="2" t="s">
        <v>1334</v>
      </c>
    </row>
    <row r="7301" customFormat="false" ht="15" hidden="false" customHeight="false" outlineLevel="1" collapsed="false">
      <c r="A7301" s="7" t="s">
        <v>645</v>
      </c>
      <c r="B7301" s="8" t="s">
        <v>11</v>
      </c>
      <c r="C7301" s="61" t="n">
        <f aca="false">C7287*Pressupostos!$C$145*(1+Pressupostos!$C$127)^0*(1+Pressupostos!$C$146)</f>
        <v>34500</v>
      </c>
      <c r="D7301" s="61" t="n">
        <f aca="false">D7287*Pressupostos!$C$145*(1+Pressupostos!$C$127)^1*(1+Pressupostos!$C$146)</f>
        <v>35535</v>
      </c>
      <c r="E7301" s="61" t="n">
        <f aca="false">E7287*Pressupostos!$C$145*(1+Pressupostos!$C$127)^2*(1+Pressupostos!$C$146)</f>
        <v>36601.05</v>
      </c>
      <c r="F7301" s="61" t="n">
        <f aca="false">F7287*Pressupostos!$C$145*(1+Pressupostos!$C$127)^3*(1+Pressupostos!$C$146)</f>
        <v>75398.163</v>
      </c>
      <c r="G7301" s="61" t="n">
        <f aca="false">G7287*Pressupostos!$C$145*(1+Pressupostos!$C$127)^4*(1+Pressupostos!$C$146)</f>
        <v>116490.161835</v>
      </c>
      <c r="H7301" s="2" t="s">
        <v>1335</v>
      </c>
    </row>
    <row r="7302" customFormat="false" ht="15" hidden="false" customHeight="false" outlineLevel="1" collapsed="false">
      <c r="A7302" s="7" t="s">
        <v>646</v>
      </c>
      <c r="B7302" s="8" t="s">
        <v>11</v>
      </c>
      <c r="C7302" s="61" t="n">
        <f aca="false">C7288*Pressupostos!$C$147*(1+Pressupostos!$C$127)^0*(1+Pressupostos!$C$148)</f>
        <v>0</v>
      </c>
      <c r="D7302" s="61" t="n">
        <f aca="false">D7288*Pressupostos!$C$147*(1+Pressupostos!$C$127)^1*(1+Pressupostos!$C$148)</f>
        <v>0</v>
      </c>
      <c r="E7302" s="61" t="n">
        <f aca="false">E7288*Pressupostos!$C$147*(1+Pressupostos!$C$127)^2*(1+Pressupostos!$C$148)</f>
        <v>0</v>
      </c>
      <c r="F7302" s="61" t="n">
        <f aca="false">F7288*Pressupostos!$C$147*(1+Pressupostos!$C$127)^3*(1+Pressupostos!$C$148)</f>
        <v>0</v>
      </c>
      <c r="G7302" s="61" t="n">
        <f aca="false">G7288*Pressupostos!$C$147*(1+Pressupostos!$C$127)^4*(1+Pressupostos!$C$148)</f>
        <v>0</v>
      </c>
      <c r="H7302" s="2" t="s">
        <v>1336</v>
      </c>
    </row>
    <row r="7303" customFormat="false" ht="15" hidden="false" customHeight="false" outlineLevel="1" collapsed="false">
      <c r="A7303" s="7" t="s">
        <v>647</v>
      </c>
      <c r="B7303" s="8" t="s">
        <v>11</v>
      </c>
      <c r="C7303" s="61" t="n">
        <f aca="false">C7289*Pressupostos!$C$149*(1+Pressupostos!$C$127)^0*(1+Pressupostos!$C$150)</f>
        <v>0</v>
      </c>
      <c r="D7303" s="61" t="n">
        <f aca="false">D7289*Pressupostos!$C$149*(1+Pressupostos!$C$127)^1*(1+Pressupostos!$C$150)</f>
        <v>0</v>
      </c>
      <c r="E7303" s="61" t="n">
        <f aca="false">E7289*Pressupostos!$C$149*(1+Pressupostos!$C$127)^2*(1+Pressupostos!$C$150)</f>
        <v>0</v>
      </c>
      <c r="F7303" s="61" t="n">
        <f aca="false">F7289*Pressupostos!$C$149*(1+Pressupostos!$C$127)^3*(1+Pressupostos!$C$150)</f>
        <v>0</v>
      </c>
      <c r="G7303" s="61" t="n">
        <f aca="false">G7289*Pressupostos!$C$149*(1+Pressupostos!$C$127)^4*(1+Pressupostos!$C$150)</f>
        <v>0</v>
      </c>
      <c r="H7303" s="2" t="s">
        <v>1337</v>
      </c>
    </row>
    <row r="7304" customFormat="false" ht="15" hidden="false" customHeight="false" outlineLevel="1" collapsed="false">
      <c r="A7304" s="7" t="s">
        <v>648</v>
      </c>
      <c r="B7304" s="8" t="s">
        <v>11</v>
      </c>
      <c r="C7304" s="61" t="n">
        <f aca="false">C7290*Pressupostos!$C$151*(1+Pressupostos!$C$127)^0*(1+Pressupostos!$C$152)</f>
        <v>0</v>
      </c>
      <c r="D7304" s="61" t="n">
        <f aca="false">D7290*Pressupostos!$C$151*(1+Pressupostos!$C$127)^1*(1+Pressupostos!$C$152)</f>
        <v>0</v>
      </c>
      <c r="E7304" s="61" t="n">
        <f aca="false">E7290*Pressupostos!$C$151*(1+Pressupostos!$C$127)^2*(1+Pressupostos!$C$152)</f>
        <v>0</v>
      </c>
      <c r="F7304" s="61" t="n">
        <f aca="false">F7290*Pressupostos!$C$151*(1+Pressupostos!$C$127)^3*(1+Pressupostos!$C$152)</f>
        <v>26225.448</v>
      </c>
      <c r="G7304" s="61" t="n">
        <f aca="false">G7290*Pressupostos!$C$151*(1+Pressupostos!$C$127)^4*(1+Pressupostos!$C$152)</f>
        <v>27012.21144</v>
      </c>
      <c r="H7304" s="2" t="s">
        <v>1338</v>
      </c>
    </row>
    <row r="7305" customFormat="false" ht="15" hidden="false" customHeight="false" outlineLevel="1" collapsed="false">
      <c r="A7305" s="7" t="s">
        <v>649</v>
      </c>
      <c r="B7305" s="8" t="s">
        <v>11</v>
      </c>
      <c r="C7305" s="61" t="n">
        <f aca="false">C7291*Pressupostos!$C$153*(1+Pressupostos!$C$127)^0*(1+Pressupostos!$C$154)</f>
        <v>0</v>
      </c>
      <c r="D7305" s="61" t="n">
        <f aca="false">D7291*Pressupostos!$C$153*(1+Pressupostos!$C$127)^1*(1+Pressupostos!$C$154)</f>
        <v>0</v>
      </c>
      <c r="E7305" s="61" t="n">
        <f aca="false">E7291*Pressupostos!$C$153*(1+Pressupostos!$C$127)^2*(1+Pressupostos!$C$154)</f>
        <v>54901.575</v>
      </c>
      <c r="F7305" s="61" t="n">
        <f aca="false">F7291*Pressupostos!$C$153*(1+Pressupostos!$C$127)^3*(1+Pressupostos!$C$154)</f>
        <v>56548.62225</v>
      </c>
      <c r="G7305" s="61" t="n">
        <f aca="false">G7291*Pressupostos!$C$153*(1+Pressupostos!$C$127)^4*(1+Pressupostos!$C$154)</f>
        <v>58245.0809175</v>
      </c>
      <c r="H7305" s="2" t="s">
        <v>1339</v>
      </c>
    </row>
    <row r="7306" customFormat="false" ht="15" hidden="false" customHeight="false" outlineLevel="1" collapsed="false">
      <c r="A7306" s="7" t="s">
        <v>652</v>
      </c>
      <c r="B7306" s="8" t="s">
        <v>11</v>
      </c>
      <c r="C7306" s="61" t="n">
        <f aca="false">C7294+C7295+C7296+C7297+C7298+C7299+C7300+C7301+C7302+C7303+C7304+C7305</f>
        <v>232662.5</v>
      </c>
      <c r="D7306" s="61" t="n">
        <f aca="false">D7294+D7295+D7296+D7297+D7298+D7299+D7300+D7301+D7302+D7303+D7304+D7305</f>
        <v>367710</v>
      </c>
      <c r="E7306" s="61" t="n">
        <f aca="false">E7294+E7295+E7296+E7297+E7298+E7299+E7300+E7301+E7302+E7303+E7304+E7305</f>
        <v>433642.875</v>
      </c>
      <c r="F7306" s="61" t="n">
        <f aca="false">F7294+F7295+F7296+F7297+F7298+F7299+F7300+F7301+F7302+F7303+F7304+F7305</f>
        <v>535163.04825</v>
      </c>
      <c r="G7306" s="61" t="n">
        <f aca="false">G7294+G7295+G7296+G7297+G7298+G7299+G7300+G7301+G7302+G7303+G7304+G7305</f>
        <v>590047.9936425</v>
      </c>
      <c r="H7306" s="2" t="s">
        <v>1340</v>
      </c>
    </row>
    <row r="7307" customFormat="false" ht="15" hidden="false" customHeight="false" outlineLevel="1" collapsed="false">
      <c r="A7307" s="7" t="s">
        <v>653</v>
      </c>
      <c r="B7307" s="8" t="s">
        <v>11</v>
      </c>
      <c r="C7307" s="61" t="n">
        <f aca="false">C7306*(Pressupostos!$C$124+Pressupostos!$C$125)</f>
        <v>59910.59375</v>
      </c>
      <c r="D7307" s="61" t="n">
        <f aca="false">D7306*(Pressupostos!$C$124+Pressupostos!$C$125)</f>
        <v>94685.325</v>
      </c>
      <c r="E7307" s="61" t="n">
        <f aca="false">E7306*(Pressupostos!$C$124+Pressupostos!$C$125)</f>
        <v>111663.0403125</v>
      </c>
      <c r="F7307" s="61" t="n">
        <f aca="false">F7306*(Pressupostos!$C$124+Pressupostos!$C$125)</f>
        <v>137804.484924375</v>
      </c>
      <c r="G7307" s="61" t="n">
        <f aca="false">G7306*(Pressupostos!$C$124+Pressupostos!$C$125)</f>
        <v>151937.358362944</v>
      </c>
      <c r="H7307" s="2" t="s">
        <v>1341</v>
      </c>
    </row>
    <row r="7308" customFormat="false" ht="15" hidden="false" customHeight="false" outlineLevel="1" collapsed="false">
      <c r="A7308" s="7" t="s">
        <v>654</v>
      </c>
      <c r="B7308" s="8" t="s">
        <v>11</v>
      </c>
      <c r="C7308" s="61" t="n">
        <f aca="false">C7292*Pressupostos!$C$126*(1+Pressupostos!$C$127)^0</f>
        <v>11000</v>
      </c>
      <c r="D7308" s="61" t="n">
        <f aca="false">D7292*Pressupostos!$C$126*(1+Pressupostos!$C$127)^1</f>
        <v>15450</v>
      </c>
      <c r="E7308" s="61" t="n">
        <f aca="false">E7292*Pressupostos!$C$126*(1+Pressupostos!$C$127)^2</f>
        <v>18035.3</v>
      </c>
      <c r="F7308" s="61" t="n">
        <f aca="false">F7292*Pressupostos!$C$126*(1+Pressupostos!$C$127)^3</f>
        <v>24039.994</v>
      </c>
      <c r="G7308" s="61" t="n">
        <f aca="false">G7292*Pressupostos!$C$126*(1+Pressupostos!$C$127)^4</f>
        <v>27012.21144</v>
      </c>
      <c r="H7308" s="2" t="s">
        <v>1342</v>
      </c>
    </row>
    <row r="7309" customFormat="false" ht="15" hidden="false" customHeight="false" outlineLevel="1" collapsed="false">
      <c r="A7309" s="56" t="s">
        <v>655</v>
      </c>
      <c r="B7309" s="57" t="s">
        <v>11</v>
      </c>
      <c r="C7309" s="62" t="n">
        <f aca="false">C7306+C7307+C7308</f>
        <v>303573.09375</v>
      </c>
      <c r="D7309" s="62" t="n">
        <f aca="false">D7306+D7307+D7308</f>
        <v>477845.325</v>
      </c>
      <c r="E7309" s="62" t="n">
        <f aca="false">E7306+E7307+E7308</f>
        <v>563341.2153125</v>
      </c>
      <c r="F7309" s="62" t="n">
        <f aca="false">F7306+F7307+F7308</f>
        <v>697007.527174375</v>
      </c>
      <c r="G7309" s="62" t="n">
        <f aca="false">G7306+G7307+G7308</f>
        <v>768997.563445444</v>
      </c>
      <c r="H7309" s="2" t="s">
        <v>1343</v>
      </c>
    </row>
    <row r="7310" customFormat="false" ht="15" hidden="false" customHeight="false" outlineLevel="1" collapsed="false">
      <c r="A7310" s="2" t="s">
        <v>656</v>
      </c>
      <c r="B7310" s="8" t="s">
        <v>11</v>
      </c>
      <c r="C7310" s="61" t="n">
        <f aca="false">IF(C7292&gt;0,C7309/C7292,0)</f>
        <v>55195.1079545455</v>
      </c>
      <c r="D7310" s="61" t="n">
        <f aca="false">IF(D7292&gt;0,D7309/D7292,0)</f>
        <v>63712.71</v>
      </c>
      <c r="E7310" s="61" t="n">
        <f aca="false">IF(E7292&gt;0,E7309/E7292,0)</f>
        <v>66275.4370955882</v>
      </c>
      <c r="F7310" s="61" t="n">
        <f aca="false">IF(F7292&gt;0,F7309/F7292,0)</f>
        <v>63364.3206522159</v>
      </c>
      <c r="G7310" s="61" t="n">
        <f aca="false">IF(G7292&gt;0,G7309/G7292,0)</f>
        <v>64083.1302871203</v>
      </c>
      <c r="H7310" s="2" t="s">
        <v>1344</v>
      </c>
    </row>
    <row r="7311" customFormat="false" ht="15" hidden="false" customHeight="false" outlineLevel="0" collapsed="false">
      <c r="A7311" s="3" t="s">
        <v>1345</v>
      </c>
      <c r="B7311" s="4"/>
      <c r="C7311" s="4"/>
      <c r="D7311" s="4"/>
      <c r="E7311" s="4"/>
      <c r="F7311" s="4"/>
      <c r="G7311" s="4"/>
      <c r="H7311" s="4"/>
    </row>
    <row r="7312" customFormat="false" ht="15" hidden="false" customHeight="false" outlineLevel="1" collapsed="false">
      <c r="A7312" s="7" t="s">
        <v>449</v>
      </c>
      <c r="B7312" s="8" t="s">
        <v>11</v>
      </c>
      <c r="C7312" s="61" t="n">
        <f aca="false">Pressupostos!$C$407*(1+Pressupostos!$C$156)*(1+Pressupostos!$C$157)^0</f>
        <v>94500</v>
      </c>
      <c r="D7312" s="61" t="n">
        <f aca="false">Pressupostos!$D$407*(1+Pressupostos!$C$156)*(1+Pressupostos!$C$157)^1</f>
        <v>53550</v>
      </c>
      <c r="E7312" s="61" t="n">
        <f aca="false">Pressupostos!$E$407*(1+Pressupostos!$C$156)*(1+Pressupostos!$C$157)^2</f>
        <v>49158.9</v>
      </c>
      <c r="F7312" s="61" t="n">
        <f aca="false">Pressupostos!$F$407*(1+Pressupostos!$C$156)*(1+Pressupostos!$C$157)^3</f>
        <v>50142.078</v>
      </c>
      <c r="G7312" s="61" t="n">
        <f aca="false">Pressupostos!$G$407*(1+Pressupostos!$C$156)*(1+Pressupostos!$C$157)^4</f>
        <v>51144.91956</v>
      </c>
      <c r="H7312" s="2" t="s">
        <v>1346</v>
      </c>
    </row>
    <row r="7313" customFormat="false" ht="15" hidden="false" customHeight="false" outlineLevel="1" collapsed="false">
      <c r="A7313" s="7" t="s">
        <v>451</v>
      </c>
      <c r="B7313" s="8" t="s">
        <v>11</v>
      </c>
      <c r="C7313" s="61" t="n">
        <f aca="false">Pressupostos!$C$413*(1+Pressupostos!$C$156)*(1+Pressupostos!$C$157)^0</f>
        <v>10500</v>
      </c>
      <c r="D7313" s="61" t="n">
        <f aca="false">Pressupostos!$D$413*(1+Pressupostos!$C$156)*(1+Pressupostos!$C$157)^1</f>
        <v>10710</v>
      </c>
      <c r="E7313" s="61" t="n">
        <f aca="false">Pressupostos!$E$413*(1+Pressupostos!$C$156)*(1+Pressupostos!$C$157)^2</f>
        <v>10924.2</v>
      </c>
      <c r="F7313" s="61" t="n">
        <f aca="false">Pressupostos!$F$413*(1+Pressupostos!$C$156)*(1+Pressupostos!$C$157)^3</f>
        <v>11142.684</v>
      </c>
      <c r="G7313" s="61" t="n">
        <f aca="false">Pressupostos!$G$413*(1+Pressupostos!$C$156)*(1+Pressupostos!$C$157)^4</f>
        <v>11365.53768</v>
      </c>
      <c r="H7313" s="2" t="s">
        <v>1347</v>
      </c>
    </row>
    <row r="7314" customFormat="false" ht="15" hidden="false" customHeight="false" outlineLevel="1" collapsed="false">
      <c r="A7314" s="7" t="s">
        <v>452</v>
      </c>
      <c r="B7314" s="8" t="s">
        <v>11</v>
      </c>
      <c r="C7314" s="61" t="n">
        <f aca="false">Pressupostos!$C$419*(1+Pressupostos!$C$156)*(1+Pressupostos!$C$157)^0</f>
        <v>12600</v>
      </c>
      <c r="D7314" s="61" t="n">
        <f aca="false">Pressupostos!$D$419*(1+Pressupostos!$C$156)*(1+Pressupostos!$C$157)^1</f>
        <v>12852</v>
      </c>
      <c r="E7314" s="61" t="n">
        <f aca="false">Pressupostos!$E$419*(1+Pressupostos!$C$156)*(1+Pressupostos!$C$157)^2</f>
        <v>13109.04</v>
      </c>
      <c r="F7314" s="61" t="n">
        <f aca="false">Pressupostos!$F$419*(1+Pressupostos!$C$156)*(1+Pressupostos!$C$157)^3</f>
        <v>13371.2208</v>
      </c>
      <c r="G7314" s="61" t="n">
        <f aca="false">Pressupostos!$G$419*(1+Pressupostos!$C$156)*(1+Pressupostos!$C$157)^4</f>
        <v>13638.645216</v>
      </c>
      <c r="H7314" s="2" t="s">
        <v>1348</v>
      </c>
    </row>
    <row r="7315" customFormat="false" ht="15" hidden="false" customHeight="false" outlineLevel="1" collapsed="false">
      <c r="A7315" s="7" t="s">
        <v>454</v>
      </c>
      <c r="B7315" s="8" t="s">
        <v>11</v>
      </c>
      <c r="C7315" s="61" t="n">
        <f aca="false">Pressupostos!$C$425*(1+Pressupostos!$C$156)*(1+Pressupostos!$C$157)^0</f>
        <v>31500</v>
      </c>
      <c r="D7315" s="61" t="n">
        <f aca="false">Pressupostos!$D$425*(1+Pressupostos!$C$156)*(1+Pressupostos!$C$157)^1</f>
        <v>37485</v>
      </c>
      <c r="E7315" s="61" t="n">
        <f aca="false">Pressupostos!$E$425*(1+Pressupostos!$C$156)*(1+Pressupostos!$C$157)^2</f>
        <v>49158.9</v>
      </c>
      <c r="F7315" s="61" t="n">
        <f aca="false">Pressupostos!$F$425*(1+Pressupostos!$C$156)*(1+Pressupostos!$C$157)^3</f>
        <v>55713.42</v>
      </c>
      <c r="G7315" s="61" t="n">
        <f aca="false">Pressupostos!$G$425*(1+Pressupostos!$C$156)*(1+Pressupostos!$C$157)^4</f>
        <v>62510.45724</v>
      </c>
      <c r="H7315" s="2" t="s">
        <v>1349</v>
      </c>
    </row>
    <row r="7316" customFormat="false" ht="15" hidden="false" customHeight="false" outlineLevel="1" collapsed="false">
      <c r="A7316" s="7" t="s">
        <v>456</v>
      </c>
      <c r="B7316" s="8" t="s">
        <v>11</v>
      </c>
      <c r="C7316" s="61" t="n">
        <f aca="false">Pressupostos!$C$431*(1+Pressupostos!$C$156)*(1+Pressupostos!$C$157)^0</f>
        <v>15750</v>
      </c>
      <c r="D7316" s="61" t="n">
        <f aca="false">Pressupostos!$D$431*(1+Pressupostos!$C$156)*(1+Pressupostos!$C$157)^1</f>
        <v>16065</v>
      </c>
      <c r="E7316" s="61" t="n">
        <f aca="false">Pressupostos!$E$431*(1+Pressupostos!$C$156)*(1+Pressupostos!$C$157)^2</f>
        <v>38234.7</v>
      </c>
      <c r="F7316" s="61" t="n">
        <f aca="false">Pressupostos!$F$431*(1+Pressupostos!$C$156)*(1+Pressupostos!$C$157)^3</f>
        <v>22285.368</v>
      </c>
      <c r="G7316" s="61" t="n">
        <f aca="false">Pressupostos!$G$431*(1+Pressupostos!$C$156)*(1+Pressupostos!$C$157)^4</f>
        <v>22731.07536</v>
      </c>
      <c r="H7316" s="2" t="s">
        <v>1350</v>
      </c>
    </row>
    <row r="7317" customFormat="false" ht="15" hidden="false" customHeight="false" outlineLevel="1" collapsed="false">
      <c r="A7317" s="7" t="s">
        <v>458</v>
      </c>
      <c r="B7317" s="8" t="s">
        <v>11</v>
      </c>
      <c r="C7317" s="61" t="n">
        <f aca="false">Pressupostos!$C$437*(1+Pressupostos!$C$156)*(1+Pressupostos!$C$157)^0</f>
        <v>10500</v>
      </c>
      <c r="D7317" s="61" t="n">
        <f aca="false">Pressupostos!$D$437*(1+Pressupostos!$C$156)*(1+Pressupostos!$C$157)^1</f>
        <v>12852</v>
      </c>
      <c r="E7317" s="61" t="n">
        <f aca="false">Pressupostos!$E$437*(1+Pressupostos!$C$156)*(1+Pressupostos!$C$157)^2</f>
        <v>16386.3</v>
      </c>
      <c r="F7317" s="61" t="n">
        <f aca="false">Pressupostos!$F$437*(1+Pressupostos!$C$156)*(1+Pressupostos!$C$157)^3</f>
        <v>20056.8312</v>
      </c>
      <c r="G7317" s="61" t="n">
        <f aca="false">Pressupostos!$G$437*(1+Pressupostos!$C$156)*(1+Pressupostos!$C$157)^4</f>
        <v>22731.07536</v>
      </c>
      <c r="H7317" s="2" t="s">
        <v>1351</v>
      </c>
    </row>
    <row r="7318" customFormat="false" ht="15" hidden="false" customHeight="false" outlineLevel="1" collapsed="false">
      <c r="A7318" s="7" t="s">
        <v>459</v>
      </c>
      <c r="B7318" s="8" t="s">
        <v>11</v>
      </c>
      <c r="C7318" s="61" t="n">
        <f aca="false">Pressupostos!$C$443*(1+Pressupostos!$C$156)*(1+Pressupostos!$C$157)^0</f>
        <v>31500</v>
      </c>
      <c r="D7318" s="61" t="n">
        <f aca="false">Pressupostos!$D$443*(1+Pressupostos!$C$156)*(1+Pressupostos!$C$157)^1</f>
        <v>37485</v>
      </c>
      <c r="E7318" s="61" t="n">
        <f aca="false">Pressupostos!$E$443*(1+Pressupostos!$C$156)*(1+Pressupostos!$C$157)^2</f>
        <v>49158.9</v>
      </c>
      <c r="F7318" s="61" t="n">
        <f aca="false">Pressupostos!$F$443*(1+Pressupostos!$C$156)*(1+Pressupostos!$C$157)^3</f>
        <v>55713.42</v>
      </c>
      <c r="G7318" s="61" t="n">
        <f aca="false">Pressupostos!$G$443*(1+Pressupostos!$C$156)*(1+Pressupostos!$C$157)^4</f>
        <v>62510.45724</v>
      </c>
      <c r="H7318" s="2" t="s">
        <v>1352</v>
      </c>
    </row>
    <row r="7319" customFormat="false" ht="15" hidden="false" customHeight="false" outlineLevel="1" collapsed="false">
      <c r="A7319" s="7" t="s">
        <v>461</v>
      </c>
      <c r="B7319" s="8" t="s">
        <v>11</v>
      </c>
      <c r="C7319" s="61" t="n">
        <f aca="false">Pressupostos!$C$449*(1+Pressupostos!$C$156)*(1+Pressupostos!$C$157)^0</f>
        <v>6300</v>
      </c>
      <c r="D7319" s="61" t="n">
        <f aca="false">Pressupostos!$D$449*(1+Pressupostos!$C$156)*(1+Pressupostos!$C$157)^1</f>
        <v>8568</v>
      </c>
      <c r="E7319" s="61" t="n">
        <f aca="false">Pressupostos!$E$449*(1+Pressupostos!$C$156)*(1+Pressupostos!$C$157)^2</f>
        <v>13109.04</v>
      </c>
      <c r="F7319" s="61" t="n">
        <f aca="false">Pressupostos!$F$449*(1+Pressupostos!$C$156)*(1+Pressupostos!$C$157)^3</f>
        <v>16714.026</v>
      </c>
      <c r="G7319" s="61" t="n">
        <f aca="false">Pressupostos!$G$449*(1+Pressupostos!$C$156)*(1+Pressupostos!$C$157)^4</f>
        <v>20457.967824</v>
      </c>
      <c r="H7319" s="2" t="s">
        <v>1353</v>
      </c>
    </row>
    <row r="7320" customFormat="false" ht="15" hidden="false" customHeight="false" outlineLevel="1" collapsed="false">
      <c r="A7320" s="7" t="s">
        <v>463</v>
      </c>
      <c r="B7320" s="8" t="s">
        <v>11</v>
      </c>
      <c r="C7320" s="61" t="n">
        <f aca="false">Pressupostos!$C$455*(1+Pressupostos!$C$156)*(1+Pressupostos!$C$157)^0</f>
        <v>15750</v>
      </c>
      <c r="D7320" s="61" t="n">
        <f aca="false">Pressupostos!$D$455*(1+Pressupostos!$C$156)*(1+Pressupostos!$C$157)^1</f>
        <v>21420</v>
      </c>
      <c r="E7320" s="61" t="n">
        <f aca="false">Pressupostos!$E$455*(1+Pressupostos!$C$156)*(1+Pressupostos!$C$157)^2</f>
        <v>30587.76</v>
      </c>
      <c r="F7320" s="61" t="n">
        <f aca="false">Pressupostos!$F$455*(1+Pressupostos!$C$156)*(1+Pressupostos!$C$157)^3</f>
        <v>35656.5888</v>
      </c>
      <c r="G7320" s="61" t="n">
        <f aca="false">Pressupostos!$G$455*(1+Pressupostos!$C$156)*(1+Pressupostos!$C$157)^4</f>
        <v>40915.935648</v>
      </c>
      <c r="H7320" s="2" t="s">
        <v>1354</v>
      </c>
    </row>
    <row r="7321" customFormat="false" ht="15" hidden="false" customHeight="false" outlineLevel="1" collapsed="false">
      <c r="A7321" s="7" t="s">
        <v>464</v>
      </c>
      <c r="B7321" s="8" t="s">
        <v>11</v>
      </c>
      <c r="C7321" s="61" t="n">
        <f aca="false">Pressupostos!$C$461*(1+Pressupostos!$C$156)*(1+Pressupostos!$C$157)^0</f>
        <v>4200</v>
      </c>
      <c r="D7321" s="61" t="n">
        <f aca="false">Pressupostos!$D$461*(1+Pressupostos!$C$156)*(1+Pressupostos!$C$157)^1</f>
        <v>6426</v>
      </c>
      <c r="E7321" s="61" t="n">
        <f aca="false">Pressupostos!$E$461*(1+Pressupostos!$C$156)*(1+Pressupostos!$C$157)^2</f>
        <v>8739.36</v>
      </c>
      <c r="F7321" s="61" t="n">
        <f aca="false">Pressupostos!$F$461*(1+Pressupostos!$C$156)*(1+Pressupostos!$C$157)^3</f>
        <v>8914.1472</v>
      </c>
      <c r="G7321" s="61" t="n">
        <f aca="false">Pressupostos!$G$461*(1+Pressupostos!$C$156)*(1+Pressupostos!$C$157)^4</f>
        <v>9092.430144</v>
      </c>
      <c r="H7321" s="2" t="s">
        <v>1355</v>
      </c>
    </row>
    <row r="7322" customFormat="false" ht="15" hidden="false" customHeight="false" outlineLevel="1" collapsed="false">
      <c r="A7322" s="7" t="s">
        <v>701</v>
      </c>
      <c r="B7322" s="8" t="s">
        <v>11</v>
      </c>
      <c r="C7322" s="61" t="n">
        <f aca="false">C7312+C7313+C7314+C7315+C7316+C7317+C7318+C7319+C7320+C7321</f>
        <v>233100</v>
      </c>
      <c r="D7322" s="61" t="n">
        <f aca="false">D7312+D7313+D7314+D7315+D7316+D7317+D7318+D7319+D7320+D7321</f>
        <v>217413</v>
      </c>
      <c r="E7322" s="61" t="n">
        <f aca="false">E7312+E7313+E7314+E7315+E7316+E7317+E7318+E7319+E7320+E7321</f>
        <v>278567.1</v>
      </c>
      <c r="F7322" s="61" t="n">
        <f aca="false">F7312+F7313+F7314+F7315+F7316+F7317+F7318+F7319+F7320+F7321</f>
        <v>289709.784</v>
      </c>
      <c r="G7322" s="61" t="n">
        <f aca="false">G7312+G7313+G7314+G7315+G7316+G7317+G7318+G7319+G7320+G7321</f>
        <v>317098.501272</v>
      </c>
      <c r="H7322" s="2" t="s">
        <v>1356</v>
      </c>
    </row>
    <row r="7323" customFormat="false" ht="15" hidden="false" customHeight="false" outlineLevel="1" collapsed="false">
      <c r="A7323" s="7" t="s">
        <v>702</v>
      </c>
      <c r="B7323" s="8" t="s">
        <v>11</v>
      </c>
      <c r="C7323" s="61" t="n">
        <f aca="false">Pressupostos!$C$114+Pressupostos!$C$115+Pressupostos!$C$116*Pressupostos!$C$296+Pressupostos!$C$466+Pressupostos!$C$308</f>
        <v>65000</v>
      </c>
      <c r="D7323" s="61" t="n">
        <f aca="false">Pressupostos!$C$115+Pressupostos!$C$116*Pressupostos!$D$296+Pressupostos!$D$466+Pressupostos!$D$308</f>
        <v>75000</v>
      </c>
      <c r="E7323" s="61" t="n">
        <f aca="false">Pressupostos!$C$115+Pressupostos!$C$116*Pressupostos!$E$296+Pressupostos!$E$466+Pressupostos!$E$308</f>
        <v>80000</v>
      </c>
      <c r="F7323" s="61" t="n">
        <f aca="false">Pressupostos!$C$115+Pressupostos!$C$116*Pressupostos!$F$296+Pressupostos!$F$466+Pressupostos!$F$308</f>
        <v>85000</v>
      </c>
      <c r="G7323" s="61" t="n">
        <f aca="false">Pressupostos!$C$115+Pressupostos!$C$116*Pressupostos!$G$296+Pressupostos!$G$466+Pressupostos!$G$308</f>
        <v>90000</v>
      </c>
      <c r="H7323" s="2" t="s">
        <v>1357</v>
      </c>
    </row>
    <row r="7324" customFormat="false" ht="15" hidden="false" customHeight="false" outlineLevel="1" collapsed="false">
      <c r="A7324" s="7" t="s">
        <v>703</v>
      </c>
      <c r="B7324" s="8" t="s">
        <v>11</v>
      </c>
      <c r="C7324" s="61" t="n">
        <f aca="false">IF(C7136&lt;Pressupostos!$C$120,0,MAX(Pressupostos!$C$302,Pressupostos!$C$118*(C7230+C7231)+Pressupostos!$C$119*C7232))</f>
        <v>0</v>
      </c>
      <c r="D7324" s="61" t="n">
        <f aca="false">IF(D7136&lt;Pressupostos!$C$120,0,MAX(Pressupostos!$D$302,Pressupostos!$C$118*(D7230+D7231)+Pressupostos!$C$119*D7232))</f>
        <v>6941.655</v>
      </c>
      <c r="E7324" s="61" t="n">
        <f aca="false">IF(E7136&lt;Pressupostos!$C$120,0,MAX(Pressupostos!$E$302,Pressupostos!$C$118*(E7230+E7231)+Pressupostos!$C$119*E7232))</f>
        <v>14143.68</v>
      </c>
      <c r="F7324" s="61" t="n">
        <f aca="false">IF(F7136&lt;Pressupostos!$C$120,0,MAX(Pressupostos!$F$302,Pressupostos!$C$118*(F7230+F7231)+Pressupostos!$C$119*F7232))</f>
        <v>23502.99</v>
      </c>
      <c r="G7324" s="61" t="n">
        <f aca="false">IF(G7136&lt;Pressupostos!$C$120,0,MAX(Pressupostos!$G$302,Pressupostos!$C$118*(G7230+G7231)+Pressupostos!$C$119*G7232))</f>
        <v>35315.7</v>
      </c>
      <c r="H7324" s="2" t="s">
        <v>1358</v>
      </c>
    </row>
    <row r="7325" customFormat="false" ht="15" hidden="false" customHeight="false" outlineLevel="1" collapsed="false">
      <c r="A7325" s="56" t="s">
        <v>704</v>
      </c>
      <c r="B7325" s="57" t="s">
        <v>11</v>
      </c>
      <c r="C7325" s="62" t="n">
        <f aca="false">C7322+C7323+C7324</f>
        <v>298100</v>
      </c>
      <c r="D7325" s="62" t="n">
        <f aca="false">D7322+D7323+D7324</f>
        <v>299354.655</v>
      </c>
      <c r="E7325" s="62" t="n">
        <f aca="false">E7322+E7323+E7324</f>
        <v>372710.78</v>
      </c>
      <c r="F7325" s="62" t="n">
        <f aca="false">F7322+F7323+F7324</f>
        <v>398212.774</v>
      </c>
      <c r="G7325" s="62" t="n">
        <f aca="false">G7322+G7323+G7324</f>
        <v>442414.201272</v>
      </c>
      <c r="H7325" s="2" t="s">
        <v>1359</v>
      </c>
    </row>
    <row r="7326" customFormat="false" ht="15" hidden="false" customHeight="false" outlineLevel="0" collapsed="false">
      <c r="A7326" s="3" t="s">
        <v>1360</v>
      </c>
      <c r="B7326" s="4"/>
      <c r="C7326" s="4"/>
      <c r="D7326" s="4"/>
      <c r="E7326" s="4"/>
      <c r="F7326" s="4"/>
      <c r="G7326" s="4"/>
      <c r="H7326" s="4"/>
    </row>
    <row r="7327" customFormat="false" ht="15" hidden="false" customHeight="false" outlineLevel="1" collapsed="false">
      <c r="A7327" s="7" t="s">
        <v>706</v>
      </c>
      <c r="B7327" s="8" t="s">
        <v>11</v>
      </c>
      <c r="C7327" s="61" t="n">
        <f aca="false">Pressupostos!$C$165*Pressupostos!$C$315</f>
        <v>18000</v>
      </c>
      <c r="D7327" s="61" t="n">
        <f aca="false">Pressupostos!$C$165*Pressupostos!$D$315</f>
        <v>12000</v>
      </c>
      <c r="E7327" s="61" t="n">
        <f aca="false">Pressupostos!$C$165*Pressupostos!$E$315</f>
        <v>12000</v>
      </c>
      <c r="F7327" s="61" t="n">
        <f aca="false">Pressupostos!$C$165*Pressupostos!$F$315</f>
        <v>12000</v>
      </c>
      <c r="G7327" s="61" t="n">
        <f aca="false">Pressupostos!$C$165*Pressupostos!$G$315</f>
        <v>12000</v>
      </c>
      <c r="H7327" s="2" t="s">
        <v>1361</v>
      </c>
    </row>
    <row r="7328" customFormat="false" ht="15" hidden="false" customHeight="false" outlineLevel="1" collapsed="false">
      <c r="A7328" s="7" t="s">
        <v>707</v>
      </c>
      <c r="B7328" s="8" t="s">
        <v>11</v>
      </c>
      <c r="C7328" s="53" t="n">
        <f aca="false">Pressupostos!$C$321</f>
        <v>60000</v>
      </c>
      <c r="D7328" s="53" t="n">
        <f aca="false">Pressupostos!$D$321</f>
        <v>15000</v>
      </c>
      <c r="E7328" s="53" t="n">
        <f aca="false">Pressupostos!$E$321</f>
        <v>15000</v>
      </c>
      <c r="F7328" s="53" t="n">
        <f aca="false">Pressupostos!$F$321</f>
        <v>10000</v>
      </c>
      <c r="G7328" s="53" t="n">
        <f aca="false">Pressupostos!$G$321</f>
        <v>10000</v>
      </c>
      <c r="H7328" s="2" t="s">
        <v>1362</v>
      </c>
    </row>
    <row r="7329" customFormat="false" ht="15" hidden="false" customHeight="false" outlineLevel="1" collapsed="false">
      <c r="A7329" s="7" t="s">
        <v>708</v>
      </c>
      <c r="B7329" s="8" t="s">
        <v>11</v>
      </c>
      <c r="C7329" s="53" t="n">
        <f aca="false">Pressupostos!$C$327</f>
        <v>0</v>
      </c>
      <c r="D7329" s="53" t="n">
        <f aca="false">Pressupostos!$D$327</f>
        <v>15000</v>
      </c>
      <c r="E7329" s="53" t="n">
        <f aca="false">Pressupostos!$E$327</f>
        <v>15000</v>
      </c>
      <c r="F7329" s="53" t="n">
        <f aca="false">Pressupostos!$F$327</f>
        <v>10000</v>
      </c>
      <c r="G7329" s="53" t="n">
        <f aca="false">Pressupostos!$G$327</f>
        <v>10000</v>
      </c>
      <c r="H7329" s="2" t="s">
        <v>1363</v>
      </c>
    </row>
    <row r="7330" customFormat="false" ht="15" hidden="false" customHeight="false" outlineLevel="1" collapsed="false">
      <c r="A7330" s="7" t="s">
        <v>709</v>
      </c>
      <c r="B7330" s="8" t="s">
        <v>11</v>
      </c>
      <c r="C7330" s="61" t="n">
        <f aca="false">Pressupostos!$C$166*MAX(0,C7292)</f>
        <v>11000</v>
      </c>
      <c r="D7330" s="61" t="n">
        <f aca="false">Pressupostos!$C$166*MAX(0,D7292-C7292)</f>
        <v>4000</v>
      </c>
      <c r="E7330" s="61" t="n">
        <f aca="false">Pressupostos!$C$166*MAX(0,E7292-D7292)</f>
        <v>2000</v>
      </c>
      <c r="F7330" s="61" t="n">
        <f aca="false">Pressupostos!$C$166*MAX(0,F7292-E7292)</f>
        <v>5000</v>
      </c>
      <c r="G7330" s="61" t="n">
        <f aca="false">Pressupostos!$C$166*MAX(0,G7292-F7292)</f>
        <v>2000</v>
      </c>
      <c r="H7330" s="2" t="s">
        <v>1364</v>
      </c>
    </row>
    <row r="7331" customFormat="false" ht="15" hidden="false" customHeight="false" outlineLevel="1" collapsed="false">
      <c r="A7331" s="7" t="s">
        <v>424</v>
      </c>
      <c r="B7331" s="8" t="s">
        <v>11</v>
      </c>
      <c r="C7331" s="61" t="n">
        <f aca="false">C7327+C7328+C7329+C7330</f>
        <v>89000</v>
      </c>
      <c r="D7331" s="61" t="n">
        <f aca="false">D7327+D7328+D7329+D7330</f>
        <v>46000</v>
      </c>
      <c r="E7331" s="61" t="n">
        <f aca="false">E7327+E7328+E7329+E7330</f>
        <v>44000</v>
      </c>
      <c r="F7331" s="61" t="n">
        <f aca="false">F7327+F7328+F7329+F7330</f>
        <v>37000</v>
      </c>
      <c r="G7331" s="61" t="n">
        <f aca="false">G7327+G7328+G7329+G7330</f>
        <v>34000</v>
      </c>
      <c r="H7331" s="2" t="s">
        <v>1365</v>
      </c>
    </row>
    <row r="7332" customFormat="false" ht="15" hidden="false" customHeight="false" outlineLevel="1" collapsed="false">
      <c r="A7332" s="7" t="s">
        <v>710</v>
      </c>
      <c r="B7332" s="8" t="s">
        <v>11</v>
      </c>
      <c r="C7332" s="61" t="n">
        <f aca="false">(C7328*((0)&lt;Pressupostos!$C$167))/Pressupostos!$C$167</f>
        <v>20000</v>
      </c>
      <c r="D7332" s="61" t="n">
        <f aca="false">(C7328*((1)&lt;Pressupostos!$C$167)+D7328*((0)&lt;Pressupostos!$C$167))/Pressupostos!$C$167</f>
        <v>25000</v>
      </c>
      <c r="E7332" s="61" t="n">
        <f aca="false">(C7328*((2)&lt;Pressupostos!$C$167)+D7328*((1)&lt;Pressupostos!$C$167)+E7328*((0)&lt;Pressupostos!$C$167))/Pressupostos!$C$167</f>
        <v>30000</v>
      </c>
      <c r="F7332" s="61" t="n">
        <f aca="false">(C7328*((3)&lt;Pressupostos!$C$167)+D7328*((2)&lt;Pressupostos!$C$167)+E7328*((1)&lt;Pressupostos!$C$167)+F7328*((0)&lt;Pressupostos!$C$167))/Pressupostos!$C$167</f>
        <v>13333.3333333333</v>
      </c>
      <c r="G7332" s="61" t="n">
        <f aca="false">(C7328*((4)&lt;Pressupostos!$C$167)+D7328*((3)&lt;Pressupostos!$C$167)+E7328*((2)&lt;Pressupostos!$C$167)+F7328*((1)&lt;Pressupostos!$C$167)+G7328*((0)&lt;Pressupostos!$C$167))/Pressupostos!$C$167</f>
        <v>11666.6666666667</v>
      </c>
      <c r="H7332" s="2" t="s">
        <v>1366</v>
      </c>
    </row>
    <row r="7333" customFormat="false" ht="15" hidden="false" customHeight="false" outlineLevel="1" collapsed="false">
      <c r="A7333" s="7" t="s">
        <v>711</v>
      </c>
      <c r="B7333" s="8" t="s">
        <v>11</v>
      </c>
      <c r="C7333" s="61" t="n">
        <f aca="false">(C7329*((0)&lt;Pressupostos!$C$167))/Pressupostos!$C$167</f>
        <v>0</v>
      </c>
      <c r="D7333" s="61" t="n">
        <f aca="false">(C7329*((1)&lt;Pressupostos!$C$167)+D7329*((0)&lt;Pressupostos!$C$167))/Pressupostos!$C$167</f>
        <v>5000</v>
      </c>
      <c r="E7333" s="61" t="n">
        <f aca="false">(C7329*((2)&lt;Pressupostos!$C$167)+D7329*((1)&lt;Pressupostos!$C$167)+E7329*((0)&lt;Pressupostos!$C$167))/Pressupostos!$C$167</f>
        <v>10000</v>
      </c>
      <c r="F7333" s="61" t="n">
        <f aca="false">(C7329*((3)&lt;Pressupostos!$C$167)+D7329*((2)&lt;Pressupostos!$C$167)+E7329*((1)&lt;Pressupostos!$C$167)+F7329*((0)&lt;Pressupostos!$C$167))/Pressupostos!$C$167</f>
        <v>13333.3333333333</v>
      </c>
      <c r="G7333" s="61" t="n">
        <f aca="false">(C7329*((4)&lt;Pressupostos!$C$167)+D7329*((3)&lt;Pressupostos!$C$167)+E7329*((2)&lt;Pressupostos!$C$167)+F7329*((1)&lt;Pressupostos!$C$167)+G7329*((0)&lt;Pressupostos!$C$167))/Pressupostos!$C$167</f>
        <v>11666.6666666667</v>
      </c>
      <c r="H7333" s="2" t="s">
        <v>1367</v>
      </c>
    </row>
    <row r="7334" customFormat="false" ht="15" hidden="false" customHeight="false" outlineLevel="1" collapsed="false">
      <c r="A7334" s="7" t="s">
        <v>712</v>
      </c>
      <c r="B7334" s="8" t="s">
        <v>11</v>
      </c>
      <c r="C7334" s="61" t="n">
        <f aca="false">(C7327*((0)&lt;Pressupostos!$C$169))/Pressupostos!$C$169</f>
        <v>3600</v>
      </c>
      <c r="D7334" s="61" t="n">
        <f aca="false">(C7327*((1)&lt;Pressupostos!$C$169)+D7327*((0)&lt;Pressupostos!$C$169))/Pressupostos!$C$169</f>
        <v>6000</v>
      </c>
      <c r="E7334" s="61" t="n">
        <f aca="false">(C7327*((2)&lt;Pressupostos!$C$169)+D7327*((1)&lt;Pressupostos!$C$169)+E7327*((0)&lt;Pressupostos!$C$169))/Pressupostos!$C$169</f>
        <v>8400</v>
      </c>
      <c r="F7334" s="61" t="n">
        <f aca="false">(C7327*((3)&lt;Pressupostos!$C$169)+D7327*((2)&lt;Pressupostos!$C$169)+E7327*((1)&lt;Pressupostos!$C$169)+F7327*((0)&lt;Pressupostos!$C$169))/Pressupostos!$C$169</f>
        <v>10800</v>
      </c>
      <c r="G7334" s="61" t="n">
        <f aca="false">(C7327*((4)&lt;Pressupostos!$C$169)+D7327*((3)&lt;Pressupostos!$C$169)+E7327*((2)&lt;Pressupostos!$C$169)+F7327*((1)&lt;Pressupostos!$C$169)+G7327*((0)&lt;Pressupostos!$C$169))/Pressupostos!$C$169</f>
        <v>13200</v>
      </c>
      <c r="H7334" s="2" t="s">
        <v>1368</v>
      </c>
    </row>
    <row r="7335" customFormat="false" ht="15" hidden="false" customHeight="false" outlineLevel="1" collapsed="false">
      <c r="A7335" s="7" t="s">
        <v>713</v>
      </c>
      <c r="B7335" s="8" t="s">
        <v>11</v>
      </c>
      <c r="C7335" s="61" t="n">
        <f aca="false">(C7330*((0)&lt;Pressupostos!$C$168))/Pressupostos!$C$168</f>
        <v>2750</v>
      </c>
      <c r="D7335" s="61" t="n">
        <f aca="false">(C7330*((1)&lt;Pressupostos!$C$168)+D7330*((0)&lt;Pressupostos!$C$168))/Pressupostos!$C$168</f>
        <v>3750</v>
      </c>
      <c r="E7335" s="61" t="n">
        <f aca="false">(C7330*((2)&lt;Pressupostos!$C$168)+D7330*((1)&lt;Pressupostos!$C$168)+E7330*((0)&lt;Pressupostos!$C$168))/Pressupostos!$C$168</f>
        <v>4250</v>
      </c>
      <c r="F7335" s="61" t="n">
        <f aca="false">(C7330*((3)&lt;Pressupostos!$C$168)+D7330*((2)&lt;Pressupostos!$C$168)+E7330*((1)&lt;Pressupostos!$C$168)+F7330*((0)&lt;Pressupostos!$C$168))/Pressupostos!$C$168</f>
        <v>5500</v>
      </c>
      <c r="G7335" s="61" t="n">
        <f aca="false">(C7330*((4)&lt;Pressupostos!$C$168)+D7330*((3)&lt;Pressupostos!$C$168)+E7330*((2)&lt;Pressupostos!$C$168)+F7330*((1)&lt;Pressupostos!$C$168)+G7330*((0)&lt;Pressupostos!$C$168))/Pressupostos!$C$168</f>
        <v>3250</v>
      </c>
      <c r="H7335" s="2" t="s">
        <v>1369</v>
      </c>
    </row>
    <row r="7336" customFormat="false" ht="15" hidden="false" customHeight="false" outlineLevel="1" collapsed="false">
      <c r="A7336" s="7" t="s">
        <v>714</v>
      </c>
      <c r="B7336" s="8" t="s">
        <v>11</v>
      </c>
      <c r="C7336" s="61" t="n">
        <f aca="false">C7332+C7333+C7334+C7335</f>
        <v>26350</v>
      </c>
      <c r="D7336" s="61" t="n">
        <f aca="false">D7332+D7333+D7334+D7335</f>
        <v>39750</v>
      </c>
      <c r="E7336" s="61" t="n">
        <f aca="false">E7332+E7333+E7334+E7335</f>
        <v>52650</v>
      </c>
      <c r="F7336" s="61" t="n">
        <f aca="false">F7332+F7333+F7334+F7335</f>
        <v>42966.6666666667</v>
      </c>
      <c r="G7336" s="61" t="n">
        <f aca="false">G7332+G7333+G7334+G7335</f>
        <v>39783.3333333333</v>
      </c>
      <c r="H7336" s="2" t="s">
        <v>1370</v>
      </c>
    </row>
    <row r="7337" customFormat="false" ht="15" hidden="false" customHeight="false" outlineLevel="0" collapsed="false">
      <c r="A7337" s="3" t="s">
        <v>1371</v>
      </c>
      <c r="B7337" s="4"/>
      <c r="C7337" s="4"/>
      <c r="D7337" s="4"/>
      <c r="E7337" s="4"/>
      <c r="F7337" s="4"/>
      <c r="G7337" s="4"/>
      <c r="H7337" s="4"/>
    </row>
    <row r="7338" customFormat="false" ht="15" hidden="false" customHeight="false" outlineLevel="1" collapsed="false">
      <c r="A7338" s="56" t="s">
        <v>718</v>
      </c>
      <c r="B7338" s="57" t="s">
        <v>11</v>
      </c>
      <c r="C7338" s="62" t="n">
        <f aca="false">C7240</f>
        <v>268091.4</v>
      </c>
      <c r="D7338" s="62" t="n">
        <f aca="false">D7240</f>
        <v>1749267.75</v>
      </c>
      <c r="E7338" s="62" t="n">
        <f aca="false">E7240</f>
        <v>3577239</v>
      </c>
      <c r="F7338" s="62" t="n">
        <f aca="false">F7240</f>
        <v>6101774.5</v>
      </c>
      <c r="G7338" s="62" t="n">
        <f aca="false">G7240</f>
        <v>9318160</v>
      </c>
      <c r="H7338" s="2" t="s">
        <v>1372</v>
      </c>
    </row>
    <row r="7339" customFormat="false" ht="15" hidden="false" customHeight="false" outlineLevel="1" collapsed="false">
      <c r="A7339" s="7" t="s">
        <v>688</v>
      </c>
      <c r="B7339" s="8" t="s">
        <v>11</v>
      </c>
      <c r="C7339" s="61" t="n">
        <f aca="false">-C7263</f>
        <v>-245040</v>
      </c>
      <c r="D7339" s="61" t="n">
        <f aca="false">-D7263</f>
        <v>-1599300</v>
      </c>
      <c r="E7339" s="61" t="n">
        <f aca="false">-E7263</f>
        <v>-3248250</v>
      </c>
      <c r="F7339" s="61" t="n">
        <f aca="false">-F7263</f>
        <v>-5533850</v>
      </c>
      <c r="G7339" s="61" t="n">
        <f aca="false">-G7263</f>
        <v>-8460500</v>
      </c>
      <c r="H7339" s="2" t="s">
        <v>1373</v>
      </c>
    </row>
    <row r="7340" customFormat="false" ht="15" hidden="false" customHeight="false" outlineLevel="1" collapsed="false">
      <c r="A7340" s="56" t="s">
        <v>719</v>
      </c>
      <c r="B7340" s="57" t="s">
        <v>11</v>
      </c>
      <c r="C7340" s="62" t="n">
        <f aca="false">C7338+C7339</f>
        <v>23051.4</v>
      </c>
      <c r="D7340" s="62" t="n">
        <f aca="false">D7338+D7339</f>
        <v>149967.75</v>
      </c>
      <c r="E7340" s="62" t="n">
        <f aca="false">E7338+E7339</f>
        <v>328989</v>
      </c>
      <c r="F7340" s="62" t="n">
        <f aca="false">F7338+F7339</f>
        <v>567924.5</v>
      </c>
      <c r="G7340" s="62" t="n">
        <f aca="false">G7338+G7339</f>
        <v>857660</v>
      </c>
      <c r="H7340" s="2" t="s">
        <v>1374</v>
      </c>
    </row>
    <row r="7341" customFormat="false" ht="15" hidden="false" customHeight="false" outlineLevel="1" collapsed="false">
      <c r="A7341" s="2" t="s">
        <v>720</v>
      </c>
      <c r="B7341" s="8" t="s">
        <v>76</v>
      </c>
      <c r="C7341" s="59" t="n">
        <f aca="false">IF(C7338&gt;0,C7340/C7338,0)</f>
        <v>0.0859833623905878</v>
      </c>
      <c r="D7341" s="59" t="n">
        <f aca="false">IF(D7338&gt;0,D7340/D7338,0)</f>
        <v>0.0857317297480616</v>
      </c>
      <c r="E7341" s="59" t="n">
        <f aca="false">IF(E7338&gt;0,E7340/E7338,0)</f>
        <v>0.0919672965658709</v>
      </c>
      <c r="F7341" s="59" t="n">
        <f aca="false">IF(F7338&gt;0,F7340/F7338,0)</f>
        <v>0.0930753012914522</v>
      </c>
      <c r="G7341" s="59" t="n">
        <f aca="false">IF(G7338&gt;0,G7340/G7338,0)</f>
        <v>0.092041776488062</v>
      </c>
      <c r="H7341" s="2" t="s">
        <v>1375</v>
      </c>
    </row>
    <row r="7342" customFormat="false" ht="15" hidden="false" customHeight="false" outlineLevel="1" collapsed="false">
      <c r="A7342" s="7" t="s">
        <v>721</v>
      </c>
      <c r="B7342" s="8" t="s">
        <v>11</v>
      </c>
      <c r="C7342" s="61" t="n">
        <f aca="false">-C7274</f>
        <v>-15463.1246027397</v>
      </c>
      <c r="D7342" s="61" t="n">
        <f aca="false">-D7274</f>
        <v>-101698.536438356</v>
      </c>
      <c r="E7342" s="61" t="n">
        <f aca="false">-E7274</f>
        <v>-211634.276849315</v>
      </c>
      <c r="F7342" s="61" t="n">
        <f aca="false">-F7274</f>
        <v>-357618.186712329</v>
      </c>
      <c r="G7342" s="61" t="n">
        <f aca="false">-G7274</f>
        <v>-534206.587671233</v>
      </c>
      <c r="H7342" s="2" t="s">
        <v>1376</v>
      </c>
    </row>
    <row r="7343" customFormat="false" ht="15" hidden="false" customHeight="false" outlineLevel="1" collapsed="false">
      <c r="A7343" s="7" t="s">
        <v>698</v>
      </c>
      <c r="B7343" s="8" t="s">
        <v>11</v>
      </c>
      <c r="C7343" s="61" t="n">
        <f aca="false">-C7277</f>
        <v>-0</v>
      </c>
      <c r="D7343" s="61" t="n">
        <f aca="false">-D7277</f>
        <v>-21524.1780821918</v>
      </c>
      <c r="E7343" s="61" t="n">
        <f aca="false">-E7277</f>
        <v>-34083.5991010274</v>
      </c>
      <c r="F7343" s="61" t="n">
        <f aca="false">-F7277</f>
        <v>-53929.0517979452</v>
      </c>
      <c r="G7343" s="61" t="n">
        <f aca="false">-G7277</f>
        <v>-82260.0385273973</v>
      </c>
      <c r="H7343" s="2" t="s">
        <v>1377</v>
      </c>
    </row>
    <row r="7344" customFormat="false" ht="15" hidden="false" customHeight="false" outlineLevel="1" collapsed="false">
      <c r="A7344" s="56" t="s">
        <v>677</v>
      </c>
      <c r="B7344" s="57" t="s">
        <v>11</v>
      </c>
      <c r="C7344" s="62" t="n">
        <f aca="false">C7340+C7342+C7343</f>
        <v>7588.2753972603</v>
      </c>
      <c r="D7344" s="62" t="n">
        <f aca="false">D7340+D7342+D7343</f>
        <v>26745.0354794518</v>
      </c>
      <c r="E7344" s="62" t="n">
        <f aca="false">E7340+E7342+E7343</f>
        <v>83271.1240496571</v>
      </c>
      <c r="F7344" s="62" t="n">
        <f aca="false">F7340+F7342+F7343</f>
        <v>156377.261489726</v>
      </c>
      <c r="G7344" s="62" t="n">
        <f aca="false">G7340+G7342+G7343</f>
        <v>241193.37380137</v>
      </c>
      <c r="H7344" s="2" t="s">
        <v>1378</v>
      </c>
    </row>
    <row r="7345" customFormat="false" ht="15" hidden="false" customHeight="false" outlineLevel="1" collapsed="false">
      <c r="A7345" s="7" t="s">
        <v>261</v>
      </c>
      <c r="B7345" s="8" t="s">
        <v>11</v>
      </c>
      <c r="C7345" s="61" t="n">
        <f aca="false">-C7309</f>
        <v>-303573.09375</v>
      </c>
      <c r="D7345" s="61" t="n">
        <f aca="false">-D7309</f>
        <v>-477845.325</v>
      </c>
      <c r="E7345" s="61" t="n">
        <f aca="false">-E7309</f>
        <v>-563341.2153125</v>
      </c>
      <c r="F7345" s="61" t="n">
        <f aca="false">-F7309</f>
        <v>-697007.527174375</v>
      </c>
      <c r="G7345" s="61" t="n">
        <f aca="false">-G7309</f>
        <v>-768997.563445444</v>
      </c>
      <c r="H7345" s="2" t="s">
        <v>1379</v>
      </c>
    </row>
    <row r="7346" customFormat="false" ht="15" hidden="false" customHeight="false" outlineLevel="1" collapsed="false">
      <c r="A7346" s="7" t="s">
        <v>722</v>
      </c>
      <c r="B7346" s="8" t="s">
        <v>11</v>
      </c>
      <c r="C7346" s="61" t="n">
        <f aca="false">-C7325</f>
        <v>-298100</v>
      </c>
      <c r="D7346" s="61" t="n">
        <f aca="false">-D7325</f>
        <v>-299354.655</v>
      </c>
      <c r="E7346" s="61" t="n">
        <f aca="false">-E7325</f>
        <v>-372710.78</v>
      </c>
      <c r="F7346" s="61" t="n">
        <f aca="false">-F7325</f>
        <v>-398212.774</v>
      </c>
      <c r="G7346" s="61" t="n">
        <f aca="false">-G7325</f>
        <v>-442414.201272</v>
      </c>
      <c r="H7346" s="2" t="s">
        <v>1380</v>
      </c>
    </row>
    <row r="7347" customFormat="false" ht="15" hidden="false" customHeight="false" outlineLevel="1" collapsed="false">
      <c r="A7347" s="56" t="s">
        <v>723</v>
      </c>
      <c r="B7347" s="57" t="s">
        <v>11</v>
      </c>
      <c r="C7347" s="62" t="n">
        <f aca="false">C7344+C7345+C7346</f>
        <v>-594084.81835274</v>
      </c>
      <c r="D7347" s="62" t="n">
        <f aca="false">D7344+D7345+D7346</f>
        <v>-750454.944520548</v>
      </c>
      <c r="E7347" s="62" t="n">
        <f aca="false">E7344+E7345+E7346</f>
        <v>-852780.871262843</v>
      </c>
      <c r="F7347" s="62" t="n">
        <f aca="false">F7344+F7345+F7346</f>
        <v>-938843.039684649</v>
      </c>
      <c r="G7347" s="62" t="n">
        <f aca="false">G7344+G7345+G7346</f>
        <v>-970218.390916074</v>
      </c>
      <c r="H7347" s="2" t="s">
        <v>1381</v>
      </c>
    </row>
    <row r="7348" customFormat="false" ht="15" hidden="false" customHeight="false" outlineLevel="1" collapsed="false">
      <c r="A7348" s="2" t="s">
        <v>725</v>
      </c>
      <c r="B7348" s="8" t="s">
        <v>76</v>
      </c>
      <c r="C7348" s="59" t="n">
        <f aca="false">IF(C7338&gt;0,C7347/C7338,0)</f>
        <v>-2.21597864889638</v>
      </c>
      <c r="D7348" s="59" t="n">
        <f aca="false">IF(D7338&gt;0,D7347/D7338,0)</f>
        <v>-0.429010907289949</v>
      </c>
      <c r="E7348" s="59" t="n">
        <f aca="false">IF(E7338&gt;0,E7347/E7338,0)</f>
        <v>-0.238390801191322</v>
      </c>
      <c r="F7348" s="59" t="n">
        <f aca="false">IF(F7338&gt;0,F7347/F7338,0)</f>
        <v>-0.153863935759122</v>
      </c>
      <c r="G7348" s="59" t="n">
        <f aca="false">IF(G7338&gt;0,G7347/G7338,0)</f>
        <v>-0.104121241845608</v>
      </c>
      <c r="H7348" s="2" t="s">
        <v>1382</v>
      </c>
    </row>
    <row r="7349" customFormat="false" ht="15" hidden="false" customHeight="false" outlineLevel="1" collapsed="false">
      <c r="A7349" s="2" t="s">
        <v>726</v>
      </c>
      <c r="B7349" s="8" t="s">
        <v>11</v>
      </c>
      <c r="C7349" s="61" t="n">
        <f aca="false">C7347+C7277</f>
        <v>-594084.81835274</v>
      </c>
      <c r="D7349" s="61" t="n">
        <f aca="false">D7347+D7277</f>
        <v>-728930.766438357</v>
      </c>
      <c r="E7349" s="61" t="n">
        <f aca="false">E7347+E7277</f>
        <v>-818697.272161816</v>
      </c>
      <c r="F7349" s="61" t="n">
        <f aca="false">F7347+F7277</f>
        <v>-884913.987886704</v>
      </c>
      <c r="G7349" s="61" t="n">
        <f aca="false">G7347+G7277</f>
        <v>-887958.352388677</v>
      </c>
      <c r="H7349" s="2" t="s">
        <v>1383</v>
      </c>
    </row>
    <row r="7350" customFormat="false" ht="15" hidden="false" customHeight="false" outlineLevel="1" collapsed="false">
      <c r="A7350" s="7" t="s">
        <v>714</v>
      </c>
      <c r="B7350" s="8" t="s">
        <v>11</v>
      </c>
      <c r="C7350" s="61" t="n">
        <f aca="false">-C7336</f>
        <v>-26350</v>
      </c>
      <c r="D7350" s="61" t="n">
        <f aca="false">-D7336</f>
        <v>-39750</v>
      </c>
      <c r="E7350" s="61" t="n">
        <f aca="false">-E7336</f>
        <v>-52650</v>
      </c>
      <c r="F7350" s="61" t="n">
        <f aca="false">-F7336</f>
        <v>-42966.6666666667</v>
      </c>
      <c r="G7350" s="61" t="n">
        <f aca="false">-G7336</f>
        <v>-39783.3333333333</v>
      </c>
      <c r="H7350" s="2" t="s">
        <v>1384</v>
      </c>
    </row>
    <row r="7351" customFormat="false" ht="15" hidden="false" customHeight="false" outlineLevel="1" collapsed="false">
      <c r="A7351" s="56" t="s">
        <v>727</v>
      </c>
      <c r="B7351" s="57" t="s">
        <v>11</v>
      </c>
      <c r="C7351" s="62" t="n">
        <f aca="false">C7347+C7350</f>
        <v>-620434.81835274</v>
      </c>
      <c r="D7351" s="62" t="n">
        <f aca="false">D7347+D7350</f>
        <v>-790204.944520548</v>
      </c>
      <c r="E7351" s="62" t="n">
        <f aca="false">E7347+E7350</f>
        <v>-905430.871262843</v>
      </c>
      <c r="F7351" s="62" t="n">
        <f aca="false">F7347+F7350</f>
        <v>-981809.706351316</v>
      </c>
      <c r="G7351" s="62" t="n">
        <f aca="false">G7347+G7350</f>
        <v>-1010001.72424941</v>
      </c>
      <c r="H7351" s="2" t="s">
        <v>1385</v>
      </c>
    </row>
    <row r="7352" customFormat="false" ht="15" hidden="false" customHeight="false" outlineLevel="0" collapsed="false">
      <c r="A7352" s="3" t="s">
        <v>1386</v>
      </c>
      <c r="B7352" s="4"/>
      <c r="C7352" s="4"/>
      <c r="D7352" s="4"/>
      <c r="E7352" s="4"/>
      <c r="F7352" s="4"/>
      <c r="G7352" s="4"/>
      <c r="H7352" s="4"/>
    </row>
    <row r="7353" customFormat="false" ht="15" hidden="false" customHeight="false" outlineLevel="1" collapsed="false">
      <c r="A7353" s="7" t="s">
        <v>729</v>
      </c>
      <c r="B7353" s="8" t="s">
        <v>11</v>
      </c>
      <c r="C7353" s="61" t="n">
        <f aca="false">C7351</f>
        <v>-620434.81835274</v>
      </c>
      <c r="D7353" s="61" t="n">
        <f aca="false">D7351</f>
        <v>-790204.944520548</v>
      </c>
      <c r="E7353" s="61" t="n">
        <f aca="false">E7351</f>
        <v>-905430.871262843</v>
      </c>
      <c r="F7353" s="61" t="n">
        <f aca="false">F7351</f>
        <v>-981809.706351316</v>
      </c>
      <c r="G7353" s="61" t="n">
        <f aca="false">G7351</f>
        <v>-1010001.72424941</v>
      </c>
      <c r="H7353" s="2" t="s">
        <v>1387</v>
      </c>
    </row>
    <row r="7354" customFormat="false" ht="15" hidden="false" customHeight="false" outlineLevel="1" collapsed="false">
      <c r="A7354" s="7" t="s">
        <v>730</v>
      </c>
      <c r="B7354" s="8" t="s">
        <v>11</v>
      </c>
      <c r="C7354" s="61" t="n">
        <f aca="false">0</f>
        <v>0</v>
      </c>
      <c r="D7354" s="61" t="n">
        <f aca="false">C7357</f>
        <v>620434.81835274</v>
      </c>
      <c r="E7354" s="61" t="n">
        <f aca="false">D7357</f>
        <v>1410639.76287329</v>
      </c>
      <c r="F7354" s="61" t="n">
        <f aca="false">E7357</f>
        <v>2316070.63413613</v>
      </c>
      <c r="G7354" s="61" t="n">
        <f aca="false">F7357</f>
        <v>3297880.34048745</v>
      </c>
      <c r="H7354" s="2" t="s">
        <v>1388</v>
      </c>
    </row>
    <row r="7355" customFormat="false" ht="15" hidden="false" customHeight="false" outlineLevel="1" collapsed="false">
      <c r="A7355" s="7" t="s">
        <v>731</v>
      </c>
      <c r="B7355" s="8" t="s">
        <v>11</v>
      </c>
      <c r="C7355" s="61" t="n">
        <f aca="false">MAX(0,-C7353)</f>
        <v>620434.81835274</v>
      </c>
      <c r="D7355" s="61" t="n">
        <f aca="false">MAX(0,-D7353)</f>
        <v>790204.944520548</v>
      </c>
      <c r="E7355" s="61" t="n">
        <f aca="false">MAX(0,-E7353)</f>
        <v>905430.871262843</v>
      </c>
      <c r="F7355" s="61" t="n">
        <f aca="false">MAX(0,-F7353)</f>
        <v>981809.706351316</v>
      </c>
      <c r="G7355" s="61" t="n">
        <f aca="false">MAX(0,-G7353)</f>
        <v>1010001.72424941</v>
      </c>
      <c r="H7355" s="2" t="s">
        <v>1389</v>
      </c>
    </row>
    <row r="7356" customFormat="false" ht="15" hidden="false" customHeight="false" outlineLevel="1" collapsed="false">
      <c r="A7356" s="7" t="s">
        <v>732</v>
      </c>
      <c r="B7356" s="8" t="s">
        <v>11</v>
      </c>
      <c r="C7356" s="61" t="n">
        <f aca="false">MIN(C7354,Pressupostos!$C$181*MAX(0,C7353))</f>
        <v>0</v>
      </c>
      <c r="D7356" s="61" t="n">
        <f aca="false">MIN(D7354,Pressupostos!$C$181*MAX(0,D7353))</f>
        <v>0</v>
      </c>
      <c r="E7356" s="61" t="n">
        <f aca="false">MIN(E7354,Pressupostos!$C$181*MAX(0,E7353))</f>
        <v>0</v>
      </c>
      <c r="F7356" s="61" t="n">
        <f aca="false">MIN(F7354,Pressupostos!$C$181*MAX(0,F7353))</f>
        <v>0</v>
      </c>
      <c r="G7356" s="61" t="n">
        <f aca="false">MIN(G7354,Pressupostos!$C$181*MAX(0,G7353))</f>
        <v>0</v>
      </c>
      <c r="H7356" s="2" t="s">
        <v>1390</v>
      </c>
    </row>
    <row r="7357" customFormat="false" ht="15" hidden="false" customHeight="false" outlineLevel="1" collapsed="false">
      <c r="A7357" s="7" t="s">
        <v>733</v>
      </c>
      <c r="B7357" s="8" t="s">
        <v>11</v>
      </c>
      <c r="C7357" s="61" t="n">
        <f aca="false">C7354+C7355-C7356</f>
        <v>620434.81835274</v>
      </c>
      <c r="D7357" s="61" t="n">
        <f aca="false">D7354+D7355-D7356</f>
        <v>1410639.76287329</v>
      </c>
      <c r="E7357" s="61" t="n">
        <f aca="false">E7354+E7355-E7356</f>
        <v>2316070.63413613</v>
      </c>
      <c r="F7357" s="61" t="n">
        <f aca="false">F7354+F7355-F7356</f>
        <v>3297880.34048745</v>
      </c>
      <c r="G7357" s="61" t="n">
        <f aca="false">G7354+G7355-G7356</f>
        <v>4307882.06473685</v>
      </c>
      <c r="H7357" s="2" t="s">
        <v>1391</v>
      </c>
    </row>
    <row r="7358" customFormat="false" ht="15" hidden="false" customHeight="false" outlineLevel="1" collapsed="false">
      <c r="A7358" s="7" t="s">
        <v>734</v>
      </c>
      <c r="B7358" s="8" t="s">
        <v>11</v>
      </c>
      <c r="C7358" s="61" t="n">
        <f aca="false">MAX(0,C7353)-C7356</f>
        <v>0</v>
      </c>
      <c r="D7358" s="61" t="n">
        <f aca="false">MAX(0,D7353)-D7356</f>
        <v>0</v>
      </c>
      <c r="E7358" s="61" t="n">
        <f aca="false">MAX(0,E7353)-E7356</f>
        <v>0</v>
      </c>
      <c r="F7358" s="61" t="n">
        <f aca="false">MAX(0,F7353)-F7356</f>
        <v>0</v>
      </c>
      <c r="G7358" s="61" t="n">
        <f aca="false">MAX(0,G7353)-G7356</f>
        <v>0</v>
      </c>
      <c r="H7358" s="2" t="s">
        <v>1392</v>
      </c>
    </row>
    <row r="7359" customFormat="false" ht="15" hidden="false" customHeight="false" outlineLevel="1" collapsed="false">
      <c r="A7359" s="7" t="s">
        <v>735</v>
      </c>
      <c r="B7359" s="8" t="s">
        <v>11</v>
      </c>
      <c r="C7359" s="61" t="n">
        <f aca="false">Pressupostos!$C$172*MIN(C7358,Pressupostos!$C$173)+Pressupostos!$C$467*MAX(0,C7358-Pressupostos!$C$173)</f>
        <v>0</v>
      </c>
      <c r="D7359" s="61" t="n">
        <f aca="false">Pressupostos!$C$172*MIN(D7358,Pressupostos!$C$173)+Pressupostos!$D$467*MAX(0,D7358-Pressupostos!$C$173)</f>
        <v>0</v>
      </c>
      <c r="E7359" s="61" t="n">
        <f aca="false">Pressupostos!$C$172*MIN(E7358,Pressupostos!$C$173)+Pressupostos!$E$467*MAX(0,E7358-Pressupostos!$C$173)</f>
        <v>0</v>
      </c>
      <c r="F7359" s="61" t="n">
        <f aca="false">Pressupostos!$C$172*MIN(F7358,Pressupostos!$C$173)+Pressupostos!$F$467*MAX(0,F7358-Pressupostos!$C$173)</f>
        <v>0</v>
      </c>
      <c r="G7359" s="61" t="n">
        <f aca="false">Pressupostos!$C$172*MIN(G7358,Pressupostos!$C$173)+Pressupostos!$G$467*MAX(0,G7358-Pressupostos!$C$173)</f>
        <v>0</v>
      </c>
      <c r="H7359" s="2" t="s">
        <v>1393</v>
      </c>
    </row>
    <row r="7360" customFormat="false" ht="15" hidden="false" customHeight="false" outlineLevel="1" collapsed="false">
      <c r="A7360" s="7" t="s">
        <v>736</v>
      </c>
      <c r="B7360" s="8" t="s">
        <v>11</v>
      </c>
      <c r="C7360" s="61" t="n">
        <f aca="false">Pressupostos!$C$174*MAX(0,C7353)</f>
        <v>0</v>
      </c>
      <c r="D7360" s="61" t="n">
        <f aca="false">Pressupostos!$C$174*MAX(0,D7353)</f>
        <v>0</v>
      </c>
      <c r="E7360" s="61" t="n">
        <f aca="false">Pressupostos!$C$174*MAX(0,E7353)</f>
        <v>0</v>
      </c>
      <c r="F7360" s="61" t="n">
        <f aca="false">Pressupostos!$C$174*MAX(0,F7353)</f>
        <v>0</v>
      </c>
      <c r="G7360" s="61" t="n">
        <f aca="false">Pressupostos!$C$174*MAX(0,G7353)</f>
        <v>0</v>
      </c>
      <c r="H7360" s="2" t="s">
        <v>1394</v>
      </c>
    </row>
    <row r="7361" customFormat="false" ht="15" hidden="false" customHeight="false" outlineLevel="1" collapsed="false">
      <c r="A7361" s="7" t="s">
        <v>737</v>
      </c>
      <c r="B7361" s="8" t="s">
        <v>11</v>
      </c>
      <c r="C7361" s="61" t="n">
        <f aca="false">Pressupostos!$C$176*MAX(0,MIN(C7353,Pressupostos!$C$177)-Pressupostos!$C$175)+Pressupostos!$C$178*MAX(0,MIN(C7353,Pressupostos!$C$179)-Pressupostos!$C$177)+Pressupostos!$C$180*MAX(0,C7353-Pressupostos!$C$179)</f>
        <v>0</v>
      </c>
      <c r="D7361" s="61" t="n">
        <f aca="false">Pressupostos!$C$176*MAX(0,MIN(D7353,Pressupostos!$C$177)-Pressupostos!$C$175)+Pressupostos!$C$178*MAX(0,MIN(D7353,Pressupostos!$C$179)-Pressupostos!$C$177)+Pressupostos!$C$180*MAX(0,D7353-Pressupostos!$C$179)</f>
        <v>0</v>
      </c>
      <c r="E7361" s="61" t="n">
        <f aca="false">Pressupostos!$C$176*MAX(0,MIN(E7353,Pressupostos!$C$177)-Pressupostos!$C$175)+Pressupostos!$C$178*MAX(0,MIN(E7353,Pressupostos!$C$179)-Pressupostos!$C$177)+Pressupostos!$C$180*MAX(0,E7353-Pressupostos!$C$179)</f>
        <v>0</v>
      </c>
      <c r="F7361" s="61" t="n">
        <f aca="false">Pressupostos!$C$176*MAX(0,MIN(F7353,Pressupostos!$C$177)-Pressupostos!$C$175)+Pressupostos!$C$178*MAX(0,MIN(F7353,Pressupostos!$C$179)-Pressupostos!$C$177)+Pressupostos!$C$180*MAX(0,F7353-Pressupostos!$C$179)</f>
        <v>0</v>
      </c>
      <c r="G7361" s="61" t="n">
        <f aca="false">Pressupostos!$C$176*MAX(0,MIN(G7353,Pressupostos!$C$177)-Pressupostos!$C$175)+Pressupostos!$C$178*MAX(0,MIN(G7353,Pressupostos!$C$179)-Pressupostos!$C$177)+Pressupostos!$C$180*MAX(0,G7353-Pressupostos!$C$179)</f>
        <v>0</v>
      </c>
      <c r="H7361" s="2" t="s">
        <v>1395</v>
      </c>
    </row>
    <row r="7362" customFormat="false" ht="15" hidden="false" customHeight="false" outlineLevel="1" collapsed="false">
      <c r="A7362" s="7" t="s">
        <v>738</v>
      </c>
      <c r="B7362" s="8" t="s">
        <v>11</v>
      </c>
      <c r="C7362" s="61" t="n">
        <f aca="false">C7359+C7360+C7361</f>
        <v>0</v>
      </c>
      <c r="D7362" s="61" t="n">
        <f aca="false">D7359+D7360+D7361</f>
        <v>0</v>
      </c>
      <c r="E7362" s="61" t="n">
        <f aca="false">E7359+E7360+E7361</f>
        <v>0</v>
      </c>
      <c r="F7362" s="61" t="n">
        <f aca="false">F7359+F7360+F7361</f>
        <v>0</v>
      </c>
      <c r="G7362" s="61" t="n">
        <f aca="false">G7359+G7360+G7361</f>
        <v>0</v>
      </c>
      <c r="H7362" s="2" t="s">
        <v>1396</v>
      </c>
    </row>
    <row r="7363" customFormat="false" ht="15" hidden="false" customHeight="false" outlineLevel="0" collapsed="false">
      <c r="A7363" s="3" t="s">
        <v>1397</v>
      </c>
      <c r="B7363" s="4"/>
      <c r="C7363" s="4"/>
      <c r="D7363" s="4"/>
      <c r="E7363" s="4"/>
      <c r="F7363" s="4"/>
      <c r="G7363" s="4"/>
      <c r="H7363" s="4"/>
    </row>
    <row r="7364" customFormat="false" ht="15" hidden="false" customHeight="false" outlineLevel="1" collapsed="false">
      <c r="A7364" s="7" t="s">
        <v>738</v>
      </c>
      <c r="B7364" s="8" t="s">
        <v>11</v>
      </c>
      <c r="C7364" s="61" t="n">
        <f aca="false">-C7362</f>
        <v>-0</v>
      </c>
      <c r="D7364" s="61" t="n">
        <f aca="false">-D7362</f>
        <v>-0</v>
      </c>
      <c r="E7364" s="61" t="n">
        <f aca="false">-E7362</f>
        <v>-0</v>
      </c>
      <c r="F7364" s="61" t="n">
        <f aca="false">-F7362</f>
        <v>-0</v>
      </c>
      <c r="G7364" s="61" t="n">
        <f aca="false">-G7362</f>
        <v>-0</v>
      </c>
      <c r="H7364" s="2" t="s">
        <v>1398</v>
      </c>
    </row>
    <row r="7365" customFormat="false" ht="15" hidden="false" customHeight="false" outlineLevel="1" collapsed="false">
      <c r="A7365" s="56" t="s">
        <v>740</v>
      </c>
      <c r="B7365" s="57" t="s">
        <v>11</v>
      </c>
      <c r="C7365" s="62" t="n">
        <f aca="false">C7351+C7364</f>
        <v>-620434.81835274</v>
      </c>
      <c r="D7365" s="62" t="n">
        <f aca="false">D7351+D7364</f>
        <v>-790204.944520548</v>
      </c>
      <c r="E7365" s="62" t="n">
        <f aca="false">E7351+E7364</f>
        <v>-905430.871262843</v>
      </c>
      <c r="F7365" s="62" t="n">
        <f aca="false">F7351+F7364</f>
        <v>-981809.706351316</v>
      </c>
      <c r="G7365" s="62" t="n">
        <f aca="false">G7351+G7364</f>
        <v>-1010001.72424941</v>
      </c>
      <c r="H7365" s="2" t="s">
        <v>1399</v>
      </c>
    </row>
    <row r="7366" customFormat="false" ht="15" hidden="false" customHeight="false" outlineLevel="0" collapsed="false">
      <c r="A7366" s="3" t="s">
        <v>1400</v>
      </c>
      <c r="B7366" s="4"/>
      <c r="C7366" s="4"/>
      <c r="D7366" s="4"/>
      <c r="E7366" s="4"/>
      <c r="F7366" s="4"/>
      <c r="G7366" s="4"/>
      <c r="H7366" s="4"/>
    </row>
    <row r="7367" customFormat="false" ht="15" hidden="false" customHeight="false" outlineLevel="1" collapsed="false">
      <c r="A7367" s="7" t="s">
        <v>744</v>
      </c>
      <c r="B7367" s="8" t="s">
        <v>11</v>
      </c>
      <c r="C7367" s="61" t="n">
        <f aca="false">C7139*1000*((C7157+C7160)*C7163/365)+C7140*1000*((C7180+C7183)*C7186/365)+C7142*1000*((C7203+C7206)*C7209/365)</f>
        <v>34293.698630137</v>
      </c>
      <c r="D7367" s="61" t="n">
        <f aca="false">D7139*1000*((D7157+D7160)*D7163/365)+D7140*1000*((D7180+D7183)*D7186/365)+D7142*1000*((D7203+D7206)*D7209/365)</f>
        <v>184524.657534247</v>
      </c>
      <c r="E7367" s="61" t="n">
        <f aca="false">E7139*1000*((E7157+E7160)*E7163/365)+E7140*1000*((E7180+E7183)*E7186/365)+E7142*1000*((E7203+E7206)*E7209/365)</f>
        <v>281132.876712329</v>
      </c>
      <c r="F7367" s="61" t="n">
        <f aca="false">F7139*1000*((F7157+F7160)*F7163/365)+F7140*1000*((F7180+F7183)*F7186/365)+F7142*1000*((F7203+F7206)*F7209/365)</f>
        <v>468098.630136986</v>
      </c>
      <c r="G7367" s="61" t="n">
        <f aca="false">G7139*1000*((G7157+G7160)*G7163/365)+G7140*1000*((G7180+G7183)*G7186/365)+G7142*1000*((G7203+G7206)*G7209/365)</f>
        <v>702000</v>
      </c>
      <c r="H7367" s="2" t="s">
        <v>1401</v>
      </c>
    </row>
    <row r="7368" customFormat="false" ht="15" hidden="false" customHeight="false" outlineLevel="1" collapsed="false">
      <c r="A7368" s="7" t="s">
        <v>745</v>
      </c>
      <c r="B7368" s="8" t="s">
        <v>11</v>
      </c>
      <c r="C7368" s="61" t="n">
        <f aca="false">C7367+C7152*1000*Pressupostos!$C$92*Pressupostos!$C$95/365</f>
        <v>34293.698630137</v>
      </c>
      <c r="D7368" s="61" t="n">
        <f aca="false">D7367+D7152*1000*Pressupostos!$C$92*Pressupostos!$C$95/365</f>
        <v>184524.657534247</v>
      </c>
      <c r="E7368" s="61" t="n">
        <f aca="false">E7367+E7152*1000*Pressupostos!$C$92*Pressupostos!$C$95/365</f>
        <v>281132.876712329</v>
      </c>
      <c r="F7368" s="61" t="n">
        <f aca="false">F7367+F7152*1000*Pressupostos!$C$92*Pressupostos!$C$95/365</f>
        <v>485358.904109589</v>
      </c>
      <c r="G7368" s="61" t="n">
        <f aca="false">G7367+G7152*1000*Pressupostos!$C$92*Pressupostos!$C$95/365</f>
        <v>745150.684931507</v>
      </c>
      <c r="H7368" s="2" t="s">
        <v>1402</v>
      </c>
    </row>
    <row r="7369" customFormat="false" ht="15" hidden="false" customHeight="false" outlineLevel="1" collapsed="false">
      <c r="A7369" s="7" t="s">
        <v>746</v>
      </c>
      <c r="B7369" s="8" t="s">
        <v>11</v>
      </c>
      <c r="C7369" s="61" t="n">
        <f aca="false">C7139*1000*(C7159*C7164/365)+C7140*1000*(C7182*C7187/365)+C7142*1000*(C7205*C7210/365)+C7234*Pressupostos!$C$96/365+(C7236+C7237)*Pressupostos!$C$82/365</f>
        <v>38099.2520547945</v>
      </c>
      <c r="D7369" s="61" t="n">
        <f aca="false">D7139*1000*(D7159*D7164/365)+D7140*1000*(D7182*D7187/365)+D7142*1000*(D7205*D7210/365)+D7234*Pressupostos!$C$96/365+(D7236+D7237)*Pressupostos!$C$82/365</f>
        <v>254071.510273973</v>
      </c>
      <c r="E7369" s="61" t="n">
        <f aca="false">E7139*1000*(E7159*E7164/365)+E7140*1000*(E7182*E7187/365)+E7142*1000*(E7205*E7210/365)+E7234*Pressupostos!$C$96/365+(E7236+E7237)*Pressupostos!$C$82/365</f>
        <v>513358.273972603</v>
      </c>
      <c r="F7369" s="61" t="n">
        <f aca="false">F7139*1000*(F7159*F7164/365)+F7140*1000*(F7182*F7187/365)+F7142*1000*(F7205*F7210/365)+F7234*Pressupostos!$C$96/365+(F7236+F7237)*Pressupostos!$C$82/365</f>
        <v>863980.746575342</v>
      </c>
      <c r="G7369" s="61" t="n">
        <f aca="false">G7139*1000*(G7159*G7164/365)+G7140*1000*(G7182*G7187/365)+G7142*1000*(G7205*G7210/365)+G7234*Pressupostos!$C$96/365+(G7236+G7237)*Pressupostos!$C$82/365</f>
        <v>1313477.87671233</v>
      </c>
      <c r="H7369" s="2" t="s">
        <v>1403</v>
      </c>
    </row>
    <row r="7370" customFormat="false" ht="15" hidden="false" customHeight="false" outlineLevel="1" collapsed="false">
      <c r="A7370" s="7" t="s">
        <v>747</v>
      </c>
      <c r="B7370" s="8" t="s">
        <v>11</v>
      </c>
      <c r="C7370" s="61" t="n">
        <f aca="false">C7139*1000*((C7157+C7160)*Pressupostos!$C$72/365)+C7140*1000*((C7180+C7183)*Pressupostos!$C$72/365)+C7142*1000*((C7203+C7206)*Pressupostos!$C$72/365)+C7152*1000*Pressupostos!$C$92*Pressupostos!$C$97/365</f>
        <v>20140.2739726027</v>
      </c>
      <c r="D7370" s="61" t="n">
        <f aca="false">D7139*1000*((D7157+D7160)*Pressupostos!$C$72/365)+D7140*1000*((D7180+D7183)*Pressupostos!$C$72/365)+D7142*1000*((D7203+D7206)*Pressupostos!$C$72/365)+D7152*1000*Pressupostos!$C$92*Pressupostos!$C$97/365</f>
        <v>131449.315068493</v>
      </c>
      <c r="E7370" s="61" t="n">
        <f aca="false">E7139*1000*((E7157+E7160)*Pressupostos!$C$72/365)+E7140*1000*((E7180+E7183)*Pressupostos!$C$72/365)+E7142*1000*((E7203+E7206)*Pressupostos!$C$72/365)+E7152*1000*Pressupostos!$C$92*Pressupostos!$C$97/365</f>
        <v>266979.452054795</v>
      </c>
      <c r="F7370" s="61" t="n">
        <f aca="false">F7139*1000*((F7157+F7160)*Pressupostos!$C$72/365)+F7140*1000*((F7180+F7183)*Pressupostos!$C$72/365)+F7142*1000*((F7203+F7206)*Pressupostos!$C$72/365)+F7152*1000*Pressupostos!$C$92*Pressupostos!$C$97/365</f>
        <v>454836.98630137</v>
      </c>
      <c r="G7370" s="61" t="n">
        <f aca="false">G7139*1000*((G7157+G7160)*Pressupostos!$C$72/365)+G7140*1000*((G7180+G7183)*Pressupostos!$C$72/365)+G7142*1000*((G7203+G7206)*Pressupostos!$C$72/365)+G7152*1000*Pressupostos!$C$92*Pressupostos!$C$97/365</f>
        <v>695383.561643836</v>
      </c>
      <c r="H7370" s="2" t="s">
        <v>1404</v>
      </c>
    </row>
    <row r="7371" customFormat="false" ht="15" hidden="false" customHeight="false" outlineLevel="1" collapsed="false">
      <c r="A7371" s="56" t="s">
        <v>748</v>
      </c>
      <c r="B7371" s="57" t="s">
        <v>11</v>
      </c>
      <c r="C7371" s="62" t="n">
        <f aca="false">C7368+C7369-C7370</f>
        <v>52252.6767123288</v>
      </c>
      <c r="D7371" s="62" t="n">
        <f aca="false">D7368+D7369-D7370</f>
        <v>307146.852739726</v>
      </c>
      <c r="E7371" s="62" t="n">
        <f aca="false">E7368+E7369-E7370</f>
        <v>527511.698630137</v>
      </c>
      <c r="F7371" s="62" t="n">
        <f aca="false">F7368+F7369-F7370</f>
        <v>894502.664383561</v>
      </c>
      <c r="G7371" s="62" t="n">
        <f aca="false">G7368+G7369-G7370</f>
        <v>1363245</v>
      </c>
      <c r="H7371" s="2" t="s">
        <v>1405</v>
      </c>
    </row>
    <row r="7372" customFormat="false" ht="15" hidden="false" customHeight="false" outlineLevel="0" collapsed="false">
      <c r="A7372" s="3" t="s">
        <v>1406</v>
      </c>
      <c r="B7372" s="4"/>
      <c r="C7372" s="4"/>
      <c r="D7372" s="4"/>
      <c r="E7372" s="4"/>
      <c r="F7372" s="4"/>
      <c r="G7372" s="4"/>
      <c r="H7372" s="4"/>
    </row>
    <row r="7373" customFormat="false" ht="15" hidden="false" customHeight="false" outlineLevel="1" collapsed="false">
      <c r="A7373" s="56" t="s">
        <v>750</v>
      </c>
      <c r="B7373" s="57" t="s">
        <v>11</v>
      </c>
      <c r="C7373" s="62" t="n">
        <f aca="false">Pressupostos!$C$284*C7371/Pressupostos!$F$31</f>
        <v>0</v>
      </c>
      <c r="D7373" s="62" t="n">
        <f aca="false">Pressupostos!$D$284*D7371/Pressupostos!$F$31</f>
        <v>287950.174443493</v>
      </c>
      <c r="E7373" s="62" t="n">
        <f aca="false">Pressupostos!$E$284*E7371/Pressupostos!$F$31</f>
        <v>494542.217465754</v>
      </c>
      <c r="F7373" s="62" t="n">
        <f aca="false">Pressupostos!$F$284*F7371/Pressupostos!$F$31</f>
        <v>838596.247859589</v>
      </c>
      <c r="G7373" s="62" t="n">
        <f aca="false">Pressupostos!$G$284*G7371/Pressupostos!$F$31</f>
        <v>1278042.1875</v>
      </c>
      <c r="H7373" s="2" t="s">
        <v>1407</v>
      </c>
    </row>
    <row r="7374" customFormat="false" ht="15" hidden="false" customHeight="false" outlineLevel="1" collapsed="false">
      <c r="A7374" s="7" t="s">
        <v>751</v>
      </c>
      <c r="B7374" s="8" t="s">
        <v>11</v>
      </c>
      <c r="C7374" s="61" t="n">
        <f aca="false">Pressupostos!$C$284*C7371</f>
        <v>0</v>
      </c>
      <c r="D7374" s="61" t="n">
        <f aca="false">Pressupostos!$D$284*D7371</f>
        <v>230360.139554794</v>
      </c>
      <c r="E7374" s="61" t="n">
        <f aca="false">Pressupostos!$E$284*E7371</f>
        <v>395633.773972603</v>
      </c>
      <c r="F7374" s="61" t="n">
        <f aca="false">Pressupostos!$F$284*F7371</f>
        <v>670876.998287671</v>
      </c>
      <c r="G7374" s="61" t="n">
        <f aca="false">Pressupostos!$G$284*G7371</f>
        <v>1022433.75</v>
      </c>
      <c r="H7374" s="2" t="s">
        <v>1408</v>
      </c>
    </row>
    <row r="7375" customFormat="false" ht="15" hidden="false" customHeight="false" outlineLevel="1" collapsed="false">
      <c r="A7375" s="7" t="s">
        <v>752</v>
      </c>
      <c r="B7375" s="8" t="s">
        <v>11</v>
      </c>
      <c r="C7375" s="61" t="n">
        <f aca="false">C7373-C7374</f>
        <v>0</v>
      </c>
      <c r="D7375" s="61" t="n">
        <f aca="false">D7373-D7374</f>
        <v>57590.0348886986</v>
      </c>
      <c r="E7375" s="61" t="n">
        <f aca="false">E7373-E7374</f>
        <v>98908.4434931507</v>
      </c>
      <c r="F7375" s="61" t="n">
        <f aca="false">F7373-F7374</f>
        <v>167719.249571918</v>
      </c>
      <c r="G7375" s="61" t="n">
        <f aca="false">G7373-G7374</f>
        <v>255608.4375</v>
      </c>
      <c r="H7375" s="2" t="s">
        <v>1409</v>
      </c>
    </row>
    <row r="7376" customFormat="false" ht="15" hidden="false" customHeight="false" outlineLevel="1" collapsed="false">
      <c r="A7376" s="7" t="s">
        <v>753</v>
      </c>
      <c r="B7376" s="8" t="s">
        <v>11</v>
      </c>
      <c r="C7376" s="61" t="n">
        <f aca="false">C7371-C7374</f>
        <v>52252.6767123288</v>
      </c>
      <c r="D7376" s="61" t="n">
        <f aca="false">D7371-D7374</f>
        <v>76786.7131849315</v>
      </c>
      <c r="E7376" s="61" t="n">
        <f aca="false">E7371-E7374</f>
        <v>131877.924657534</v>
      </c>
      <c r="F7376" s="61" t="n">
        <f aca="false">F7371-F7374</f>
        <v>223625.66609589</v>
      </c>
      <c r="G7376" s="61" t="n">
        <f aca="false">G7371-G7374</f>
        <v>340811.25</v>
      </c>
      <c r="H7376" s="2" t="s">
        <v>1410</v>
      </c>
    </row>
    <row r="7377" customFormat="false" ht="15" hidden="false" customHeight="false" outlineLevel="1" collapsed="false">
      <c r="A7377" s="7" t="s">
        <v>754</v>
      </c>
      <c r="B7377" s="8" t="s">
        <v>11</v>
      </c>
      <c r="C7377" s="61" t="n">
        <f aca="false">MAX(0,Pressupostos!$C$108-C7376)</f>
        <v>0</v>
      </c>
      <c r="D7377" s="61" t="n">
        <f aca="false">MAX(0,Pressupostos!$C$108-D7376)</f>
        <v>0</v>
      </c>
      <c r="E7377" s="61" t="n">
        <f aca="false">MAX(0,Pressupostos!$C$108-E7376)</f>
        <v>0</v>
      </c>
      <c r="F7377" s="61" t="n">
        <f aca="false">MAX(0,Pressupostos!$C$108-F7376)</f>
        <v>0</v>
      </c>
      <c r="G7377" s="61" t="n">
        <f aca="false">MAX(0,Pressupostos!$C$108-G7376)</f>
        <v>0</v>
      </c>
      <c r="H7377" s="2" t="s">
        <v>1411</v>
      </c>
    </row>
    <row r="7378" customFormat="false" ht="15" hidden="false" customHeight="false" outlineLevel="1" collapsed="false">
      <c r="A7378" s="7" t="s">
        <v>755</v>
      </c>
      <c r="B7378" s="8" t="s">
        <v>11</v>
      </c>
      <c r="C7378" s="61" t="n">
        <f aca="false">Pressupostos!$C$109*C7373</f>
        <v>0</v>
      </c>
      <c r="D7378" s="61" t="n">
        <f aca="false">Pressupostos!$C$109*D7373</f>
        <v>14397.5087221747</v>
      </c>
      <c r="E7378" s="61" t="n">
        <f aca="false">Pressupostos!$C$109*E7373</f>
        <v>24727.1108732877</v>
      </c>
      <c r="F7378" s="61" t="n">
        <f aca="false">Pressupostos!$C$109*F7373</f>
        <v>41929.8123929794</v>
      </c>
      <c r="G7378" s="61" t="n">
        <f aca="false">Pressupostos!$C$109*G7373</f>
        <v>63902.109375</v>
      </c>
      <c r="H7378" s="2" t="s">
        <v>1412</v>
      </c>
    </row>
    <row r="7379" customFormat="false" ht="15" hidden="false" customHeight="false" outlineLevel="1" collapsed="false">
      <c r="A7379" s="2" t="s">
        <v>756</v>
      </c>
      <c r="B7379" s="8" t="s">
        <v>123</v>
      </c>
      <c r="C7379" s="61" t="n">
        <f aca="false">C7373/Pressupostos!$C$112</f>
        <v>0</v>
      </c>
      <c r="D7379" s="61" t="n">
        <f aca="false">D7373/Pressupostos!$C$112</f>
        <v>5.75900348886986</v>
      </c>
      <c r="E7379" s="61" t="n">
        <f aca="false">E7373/Pressupostos!$C$112</f>
        <v>9.89084434931507</v>
      </c>
      <c r="F7379" s="61" t="n">
        <f aca="false">F7373/Pressupostos!$C$112</f>
        <v>16.7719249571918</v>
      </c>
      <c r="G7379" s="61" t="n">
        <f aca="false">G7373/Pressupostos!$C$112</f>
        <v>25.56084375</v>
      </c>
      <c r="H7379" s="2" t="s">
        <v>1413</v>
      </c>
    </row>
    <row r="7380" customFormat="false" ht="15" hidden="false" customHeight="false" outlineLevel="0" collapsed="false">
      <c r="A7380" s="3" t="s">
        <v>1414</v>
      </c>
      <c r="B7380" s="4"/>
      <c r="C7380" s="4"/>
      <c r="D7380" s="4"/>
      <c r="E7380" s="4"/>
      <c r="F7380" s="4"/>
      <c r="G7380" s="4"/>
      <c r="H7380" s="4"/>
    </row>
    <row r="7381" customFormat="false" ht="15" hidden="false" customHeight="false" outlineLevel="1" collapsed="false">
      <c r="A7381" s="7" t="s">
        <v>758</v>
      </c>
      <c r="B7381" s="8" t="s">
        <v>11</v>
      </c>
      <c r="C7381" s="61" t="n">
        <f aca="false">C7347</f>
        <v>-594084.81835274</v>
      </c>
      <c r="D7381" s="61" t="n">
        <f aca="false">D7347</f>
        <v>-750454.944520548</v>
      </c>
      <c r="E7381" s="61" t="n">
        <f aca="false">E7347</f>
        <v>-852780.871262843</v>
      </c>
      <c r="F7381" s="61" t="n">
        <f aca="false">F7347</f>
        <v>-938843.039684649</v>
      </c>
      <c r="G7381" s="61" t="n">
        <f aca="false">G7347</f>
        <v>-970218.390916074</v>
      </c>
      <c r="H7381" s="2" t="s">
        <v>1415</v>
      </c>
    </row>
    <row r="7382" customFormat="false" ht="15" hidden="false" customHeight="false" outlineLevel="1" collapsed="false">
      <c r="A7382" s="7" t="s">
        <v>759</v>
      </c>
      <c r="B7382" s="8" t="s">
        <v>11</v>
      </c>
      <c r="C7382" s="61" t="n">
        <f aca="false">-C7362</f>
        <v>-0</v>
      </c>
      <c r="D7382" s="61" t="n">
        <f aca="false">-D7362</f>
        <v>-0</v>
      </c>
      <c r="E7382" s="61" t="n">
        <f aca="false">-E7362</f>
        <v>-0</v>
      </c>
      <c r="F7382" s="61" t="n">
        <f aca="false">-F7362</f>
        <v>-0</v>
      </c>
      <c r="G7382" s="61" t="n">
        <f aca="false">-G7362</f>
        <v>-0</v>
      </c>
      <c r="H7382" s="2" t="s">
        <v>1416</v>
      </c>
    </row>
    <row r="7383" customFormat="false" ht="15" hidden="false" customHeight="false" outlineLevel="1" collapsed="false">
      <c r="A7383" s="7" t="s">
        <v>760</v>
      </c>
      <c r="B7383" s="8" t="s">
        <v>11</v>
      </c>
      <c r="C7383" s="61" t="n">
        <f aca="false">-C7371</f>
        <v>-52252.6767123288</v>
      </c>
      <c r="D7383" s="61" t="n">
        <f aca="false">-(D7371-C7371)</f>
        <v>-254894.176027397</v>
      </c>
      <c r="E7383" s="61" t="n">
        <f aca="false">-(E7371-D7371)</f>
        <v>-220364.845890411</v>
      </c>
      <c r="F7383" s="61" t="n">
        <f aca="false">-(F7371-E7371)</f>
        <v>-366990.965753424</v>
      </c>
      <c r="G7383" s="61" t="n">
        <f aca="false">-(G7371-F7371)</f>
        <v>-468742.335616438</v>
      </c>
      <c r="H7383" s="2" t="s">
        <v>1417</v>
      </c>
    </row>
    <row r="7384" customFormat="false" ht="15" hidden="false" customHeight="false" outlineLevel="1" collapsed="false">
      <c r="A7384" s="7" t="s">
        <v>424</v>
      </c>
      <c r="B7384" s="8" t="s">
        <v>11</v>
      </c>
      <c r="C7384" s="61" t="n">
        <f aca="false">-C7331</f>
        <v>-89000</v>
      </c>
      <c r="D7384" s="61" t="n">
        <f aca="false">-D7331</f>
        <v>-46000</v>
      </c>
      <c r="E7384" s="61" t="n">
        <f aca="false">-E7331</f>
        <v>-44000</v>
      </c>
      <c r="F7384" s="61" t="n">
        <f aca="false">-F7331</f>
        <v>-37000</v>
      </c>
      <c r="G7384" s="61" t="n">
        <f aca="false">-G7331</f>
        <v>-34000</v>
      </c>
      <c r="H7384" s="2" t="s">
        <v>1418</v>
      </c>
    </row>
    <row r="7385" customFormat="false" ht="15" hidden="false" customHeight="false" outlineLevel="1" collapsed="false">
      <c r="A7385" s="7" t="s">
        <v>761</v>
      </c>
      <c r="B7385" s="8" t="s">
        <v>11</v>
      </c>
      <c r="C7385" s="61" t="n">
        <f aca="false">C7381+C7382+C7383+C7384</f>
        <v>-735337.495065069</v>
      </c>
      <c r="D7385" s="61" t="n">
        <f aca="false">D7381+D7382+D7383+D7384</f>
        <v>-1051349.12054795</v>
      </c>
      <c r="E7385" s="61" t="n">
        <f aca="false">E7381+E7382+E7383+E7384</f>
        <v>-1117145.71715325</v>
      </c>
      <c r="F7385" s="61" t="n">
        <f aca="false">F7381+F7382+F7383+F7384</f>
        <v>-1342834.00543807</v>
      </c>
      <c r="G7385" s="61" t="n">
        <f aca="false">G7381+G7382+G7383+G7384</f>
        <v>-1472960.72653251</v>
      </c>
      <c r="H7385" s="2" t="s">
        <v>1419</v>
      </c>
    </row>
    <row r="7386" customFormat="false" ht="15" hidden="false" customHeight="false" outlineLevel="1" collapsed="false">
      <c r="A7386" s="7" t="s">
        <v>762</v>
      </c>
      <c r="B7386" s="8" t="s">
        <v>11</v>
      </c>
      <c r="C7386" s="61" t="n">
        <f aca="false">C7373</f>
        <v>0</v>
      </c>
      <c r="D7386" s="61" t="n">
        <f aca="false">D7373-C7373</f>
        <v>287950.174443493</v>
      </c>
      <c r="E7386" s="61" t="n">
        <f aca="false">E7373-D7373</f>
        <v>206592.04302226</v>
      </c>
      <c r="F7386" s="61" t="n">
        <f aca="false">F7373-E7373</f>
        <v>344054.030393835</v>
      </c>
      <c r="G7386" s="61" t="n">
        <f aca="false">G7373-F7373</f>
        <v>439445.939640411</v>
      </c>
      <c r="H7386" s="2" t="s">
        <v>1420</v>
      </c>
    </row>
    <row r="7387" customFormat="false" ht="15" hidden="false" customHeight="false" outlineLevel="1" collapsed="false">
      <c r="A7387" s="7" t="s">
        <v>763</v>
      </c>
      <c r="B7387" s="8" t="s">
        <v>11</v>
      </c>
      <c r="C7387" s="61" t="n">
        <f aca="false">-C7375</f>
        <v>-0</v>
      </c>
      <c r="D7387" s="61" t="n">
        <f aca="false">-(D7375-C7375)</f>
        <v>-57590.0348886986</v>
      </c>
      <c r="E7387" s="61" t="n">
        <f aca="false">-(E7375-D7375)</f>
        <v>-41318.4086044521</v>
      </c>
      <c r="F7387" s="61" t="n">
        <f aca="false">-(F7375-E7375)</f>
        <v>-68810.806078767</v>
      </c>
      <c r="G7387" s="61" t="n">
        <f aca="false">-(G7375-F7375)</f>
        <v>-87889.1879280821</v>
      </c>
      <c r="H7387" s="2" t="s">
        <v>1421</v>
      </c>
    </row>
    <row r="7388" customFormat="false" ht="15" hidden="false" customHeight="false" outlineLevel="1" collapsed="false">
      <c r="A7388" s="7" t="s">
        <v>764</v>
      </c>
      <c r="B7388" s="8" t="s">
        <v>11</v>
      </c>
      <c r="C7388" s="61" t="n">
        <f aca="false">-C7378</f>
        <v>-0</v>
      </c>
      <c r="D7388" s="61" t="n">
        <f aca="false">-(D7378-C7378)</f>
        <v>-14397.5087221747</v>
      </c>
      <c r="E7388" s="61" t="n">
        <f aca="false">-(E7378-D7378)</f>
        <v>-10329.602151113</v>
      </c>
      <c r="F7388" s="61" t="n">
        <f aca="false">-(F7378-E7378)</f>
        <v>-17202.7015196918</v>
      </c>
      <c r="G7388" s="61" t="n">
        <f aca="false">-(G7378-F7378)</f>
        <v>-21972.2969820205</v>
      </c>
      <c r="H7388" s="2" t="s">
        <v>1422</v>
      </c>
    </row>
    <row r="7389" customFormat="false" ht="15" hidden="false" customHeight="false" outlineLevel="1" collapsed="false">
      <c r="A7389" s="7" t="s">
        <v>765</v>
      </c>
      <c r="B7389" s="8" t="s">
        <v>11</v>
      </c>
      <c r="C7389" s="61" t="n">
        <f aca="false">-(C7377-Pressupostos!$C$108)</f>
        <v>50000</v>
      </c>
      <c r="D7389" s="61" t="n">
        <f aca="false">-(D7377-C7377)</f>
        <v>-0</v>
      </c>
      <c r="E7389" s="61" t="n">
        <f aca="false">-(E7377-D7377)</f>
        <v>-0</v>
      </c>
      <c r="F7389" s="61" t="n">
        <f aca="false">-(F7377-E7377)</f>
        <v>-0</v>
      </c>
      <c r="G7389" s="61" t="n">
        <f aca="false">-(G7377-F7377)</f>
        <v>-0</v>
      </c>
      <c r="H7389" s="2" t="s">
        <v>1423</v>
      </c>
    </row>
    <row r="7390" customFormat="false" ht="15" hidden="false" customHeight="false" outlineLevel="1" collapsed="false">
      <c r="A7390" s="56" t="s">
        <v>766</v>
      </c>
      <c r="B7390" s="57" t="s">
        <v>11</v>
      </c>
      <c r="C7390" s="62" t="n">
        <f aca="false">C7385+C7386+C7387+C7388+C7389</f>
        <v>-685337.495065069</v>
      </c>
      <c r="D7390" s="62" t="n">
        <f aca="false">D7385+D7386+D7387+D7388+D7389</f>
        <v>-835386.489715326</v>
      </c>
      <c r="E7390" s="62" t="n">
        <f aca="false">E7385+E7386+E7387+E7388+E7389</f>
        <v>-962201.684886559</v>
      </c>
      <c r="F7390" s="62" t="n">
        <f aca="false">F7385+F7386+F7387+F7388+F7389</f>
        <v>-1084793.4826427</v>
      </c>
      <c r="G7390" s="62" t="n">
        <f aca="false">G7385+G7386+G7387+G7388+G7389</f>
        <v>-1143376.2718022</v>
      </c>
      <c r="H7390" s="2" t="s">
        <v>1424</v>
      </c>
    </row>
    <row r="7391" customFormat="false" ht="15" hidden="false" customHeight="false" outlineLevel="1" collapsed="false">
      <c r="A7391" s="56" t="s">
        <v>767</v>
      </c>
      <c r="B7391" s="57" t="s">
        <v>11</v>
      </c>
      <c r="C7391" s="62" t="n">
        <f aca="false">C7390</f>
        <v>-685337.495065069</v>
      </c>
      <c r="D7391" s="62" t="n">
        <f aca="false">C7391+D7390</f>
        <v>-1520723.98478039</v>
      </c>
      <c r="E7391" s="62" t="n">
        <f aca="false">D7391+E7390</f>
        <v>-2482925.66966695</v>
      </c>
      <c r="F7391" s="62" t="n">
        <f aca="false">E7391+F7390</f>
        <v>-3567719.15230965</v>
      </c>
      <c r="G7391" s="62" t="n">
        <f aca="false">F7391+G7390</f>
        <v>-4711095.42411185</v>
      </c>
      <c r="H7391" s="2" t="s">
        <v>1425</v>
      </c>
    </row>
    <row r="7392" customFormat="false" ht="15" hidden="false" customHeight="false" outlineLevel="1" collapsed="false">
      <c r="A7392" s="8" t="s">
        <v>768</v>
      </c>
      <c r="B7392" s="8" t="s">
        <v>11</v>
      </c>
      <c r="C7392" s="70" t="n">
        <f aca="false">ROUND(C7347-C7331-C7362-(MAX(C7376,Pressupostos!$C$108)-Pressupostos!$C$108)-(C7378)-C7390,6)</f>
        <v>0</v>
      </c>
      <c r="D7392" s="70" t="n">
        <f aca="false">ROUND(D7347-D7331-D7362-(MAX(D7376,Pressupostos!$C$108)-MAX(C7376,Pressupostos!$C$108))-(D7378-C7378)-D7390,6)</f>
        <v>0</v>
      </c>
      <c r="E7392" s="70" t="n">
        <f aca="false">ROUND(E7347-E7331-E7362-(MAX(E7376,Pressupostos!$C$108)-MAX(D7376,Pressupostos!$C$108))-(E7378-D7378)-E7390,6)</f>
        <v>0</v>
      </c>
      <c r="F7392" s="70" t="n">
        <f aca="false">ROUND(F7347-F7331-F7362-(MAX(F7376,Pressupostos!$C$108)-MAX(E7376,Pressupostos!$C$108))-(F7378-E7378)-F7390,6)</f>
        <v>0</v>
      </c>
      <c r="G7392" s="70" t="n">
        <f aca="false">ROUND(G7347-G7331-G7362-(MAX(G7376,Pressupostos!$C$108)-MAX(F7376,Pressupostos!$C$108))-(G7378-F7378)-G7390,6)</f>
        <v>0</v>
      </c>
      <c r="H7392" s="2" t="s">
        <v>1426</v>
      </c>
    </row>
    <row r="7393" customFormat="false" ht="15" hidden="false" customHeight="false" outlineLevel="0" collapsed="false">
      <c r="A7393" s="3" t="s">
        <v>1427</v>
      </c>
      <c r="B7393" s="4"/>
      <c r="C7393" s="4"/>
      <c r="D7393" s="4"/>
      <c r="E7393" s="4"/>
      <c r="F7393" s="4"/>
      <c r="G7393" s="4"/>
      <c r="H7393" s="4"/>
    </row>
    <row r="7394" customFormat="false" ht="15" hidden="false" customHeight="false" outlineLevel="1" collapsed="false">
      <c r="A7394" s="7" t="s">
        <v>770</v>
      </c>
      <c r="B7394" s="8" t="s">
        <v>11</v>
      </c>
      <c r="C7394" s="61" t="n">
        <f aca="false">0</f>
        <v>0</v>
      </c>
      <c r="D7394" s="61" t="n">
        <f aca="false">C7399</f>
        <v>269662.504934932</v>
      </c>
      <c r="E7394" s="61" t="n">
        <f aca="false">D7399</f>
        <v>150000</v>
      </c>
      <c r="F7394" s="61" t="n">
        <f aca="false">E7399</f>
        <v>150000</v>
      </c>
      <c r="G7394" s="61" t="n">
        <f aca="false">F7399</f>
        <v>150000</v>
      </c>
      <c r="H7394" s="2" t="s">
        <v>1428</v>
      </c>
    </row>
    <row r="7395" customFormat="false" ht="15" hidden="false" customHeight="false" outlineLevel="1" collapsed="false">
      <c r="A7395" s="7" t="s">
        <v>771</v>
      </c>
      <c r="B7395" s="8" t="s">
        <v>11</v>
      </c>
      <c r="C7395" s="61" t="n">
        <f aca="false">-(Pressupostos!$C$159+Pressupostos!$C$160+Pressupostos!$C$161+Pressupostos!$C$162+Pressupostos!$C$163+Pressupostos!$C$108)</f>
        <v>-145000</v>
      </c>
      <c r="D7395" s="61" t="n">
        <f aca="false">0</f>
        <v>0</v>
      </c>
      <c r="E7395" s="61" t="n">
        <f aca="false">0</f>
        <v>0</v>
      </c>
      <c r="F7395" s="61" t="n">
        <f aca="false">0</f>
        <v>0</v>
      </c>
      <c r="G7395" s="61" t="n">
        <f aca="false">0</f>
        <v>0</v>
      </c>
      <c r="H7395" s="2" t="s">
        <v>1429</v>
      </c>
    </row>
    <row r="7396" customFormat="false" ht="15" hidden="false" customHeight="false" outlineLevel="1" collapsed="false">
      <c r="A7396" s="7" t="s">
        <v>772</v>
      </c>
      <c r="B7396" s="8" t="s">
        <v>11</v>
      </c>
      <c r="C7396" s="53" t="n">
        <f aca="false">Pressupostos!$F$32</f>
        <v>1100000</v>
      </c>
      <c r="D7396" s="61" t="n">
        <f aca="false">0</f>
        <v>0</v>
      </c>
      <c r="E7396" s="61" t="n">
        <f aca="false">0</f>
        <v>0</v>
      </c>
      <c r="F7396" s="61" t="n">
        <f aca="false">0</f>
        <v>0</v>
      </c>
      <c r="G7396" s="61" t="n">
        <f aca="false">0</f>
        <v>0</v>
      </c>
      <c r="H7396" s="2" t="s">
        <v>1430</v>
      </c>
    </row>
    <row r="7397" customFormat="false" ht="15" hidden="false" customHeight="false" outlineLevel="1" collapsed="false">
      <c r="A7397" s="7" t="s">
        <v>773</v>
      </c>
      <c r="B7397" s="8" t="s">
        <v>11</v>
      </c>
      <c r="C7397" s="61" t="n">
        <f aca="false">C7394+C7395+C7396+C7390</f>
        <v>269662.504934932</v>
      </c>
      <c r="D7397" s="61" t="n">
        <f aca="false">D7394+D7395+D7396+D7390</f>
        <v>-565723.984780394</v>
      </c>
      <c r="E7397" s="61" t="n">
        <f aca="false">E7394+E7395+E7396+E7390</f>
        <v>-812201.684886559</v>
      </c>
      <c r="F7397" s="61" t="n">
        <f aca="false">F7394+F7395+F7396+F7390</f>
        <v>-934793.482642697</v>
      </c>
      <c r="G7397" s="61" t="n">
        <f aca="false">G7394+G7395+G7396+G7390</f>
        <v>-993376.271802204</v>
      </c>
      <c r="H7397" s="2" t="s">
        <v>1431</v>
      </c>
    </row>
    <row r="7398" customFormat="false" ht="15" hidden="false" customHeight="false" outlineLevel="1" collapsed="false">
      <c r="A7398" s="56" t="s">
        <v>774</v>
      </c>
      <c r="B7398" s="57" t="s">
        <v>11</v>
      </c>
      <c r="C7398" s="62" t="n">
        <f aca="false">MAX(0,Pressupostos!$C$170-C7397)</f>
        <v>0</v>
      </c>
      <c r="D7398" s="62" t="n">
        <f aca="false">MAX(0,Pressupostos!$C$170-D7397)</f>
        <v>715723.984780394</v>
      </c>
      <c r="E7398" s="62" t="n">
        <f aca="false">MAX(0,Pressupostos!$C$170-E7397)</f>
        <v>962201.684886559</v>
      </c>
      <c r="F7398" s="62" t="n">
        <f aca="false">MAX(0,Pressupostos!$C$170-F7397)</f>
        <v>1084793.4826427</v>
      </c>
      <c r="G7398" s="62" t="n">
        <f aca="false">MAX(0,Pressupostos!$C$170-G7397)</f>
        <v>1143376.2718022</v>
      </c>
      <c r="H7398" s="2" t="s">
        <v>1432</v>
      </c>
    </row>
    <row r="7399" customFormat="false" ht="15" hidden="false" customHeight="false" outlineLevel="1" collapsed="false">
      <c r="A7399" s="56" t="s">
        <v>775</v>
      </c>
      <c r="B7399" s="57" t="s">
        <v>11</v>
      </c>
      <c r="C7399" s="62" t="n">
        <f aca="false">C7397+C7398</f>
        <v>269662.504934932</v>
      </c>
      <c r="D7399" s="62" t="n">
        <f aca="false">D7397+D7398</f>
        <v>150000</v>
      </c>
      <c r="E7399" s="62" t="n">
        <f aca="false">E7397+E7398</f>
        <v>150000</v>
      </c>
      <c r="F7399" s="62" t="n">
        <f aca="false">F7397+F7398</f>
        <v>150000</v>
      </c>
      <c r="G7399" s="62" t="n">
        <f aca="false">G7397+G7398</f>
        <v>150000</v>
      </c>
      <c r="H7399" s="2" t="s">
        <v>1433</v>
      </c>
    </row>
    <row r="7400" customFormat="false" ht="15" hidden="false" customHeight="false" outlineLevel="1" collapsed="false">
      <c r="A7400" s="7" t="s">
        <v>776</v>
      </c>
      <c r="B7400" s="8" t="s">
        <v>11</v>
      </c>
      <c r="C7400" s="61" t="n">
        <f aca="false">C7375+C7378+C7377</f>
        <v>0</v>
      </c>
      <c r="D7400" s="61" t="n">
        <f aca="false">D7375+D7378+D7377</f>
        <v>71987.5436108733</v>
      </c>
      <c r="E7400" s="61" t="n">
        <f aca="false">E7375+E7378+E7377</f>
        <v>123635.554366438</v>
      </c>
      <c r="F7400" s="61" t="n">
        <f aca="false">F7375+F7378+F7377</f>
        <v>209649.061964897</v>
      </c>
      <c r="G7400" s="61" t="n">
        <f aca="false">G7375+G7378+G7377</f>
        <v>319510.546875</v>
      </c>
      <c r="H7400" s="2" t="s">
        <v>1434</v>
      </c>
    </row>
    <row r="7401" customFormat="false" ht="15" hidden="false" customHeight="false" outlineLevel="1" collapsed="false">
      <c r="A7401" s="7" t="s">
        <v>777</v>
      </c>
      <c r="B7401" s="8" t="s">
        <v>11</v>
      </c>
      <c r="C7401" s="61" t="n">
        <f aca="false">C7399+C7400</f>
        <v>269662.504934932</v>
      </c>
      <c r="D7401" s="61" t="n">
        <f aca="false">D7399+D7400</f>
        <v>221987.543610873</v>
      </c>
      <c r="E7401" s="61" t="n">
        <f aca="false">E7399+E7400</f>
        <v>273635.554366438</v>
      </c>
      <c r="F7401" s="61" t="n">
        <f aca="false">F7399+F7400</f>
        <v>359649.061964897</v>
      </c>
      <c r="G7401" s="61" t="n">
        <f aca="false">G7399+G7400</f>
        <v>469510.546875</v>
      </c>
      <c r="H7401" s="2" t="s">
        <v>1435</v>
      </c>
    </row>
    <row r="7402" customFormat="false" ht="15" hidden="false" customHeight="false" outlineLevel="1" collapsed="false">
      <c r="A7402" s="7" t="s">
        <v>778</v>
      </c>
      <c r="B7402" s="8" t="s">
        <v>11</v>
      </c>
      <c r="C7402" s="61" t="n">
        <f aca="false">C7396+C7398</f>
        <v>1100000</v>
      </c>
      <c r="D7402" s="61" t="n">
        <f aca="false">C7402+D7396+D7398</f>
        <v>1815723.98478039</v>
      </c>
      <c r="E7402" s="61" t="n">
        <f aca="false">D7402+E7396+E7398</f>
        <v>2777925.66966695</v>
      </c>
      <c r="F7402" s="61" t="n">
        <f aca="false">E7402+F7396+F7398</f>
        <v>3862719.15230965</v>
      </c>
      <c r="G7402" s="61" t="n">
        <f aca="false">F7402+G7396+G7398</f>
        <v>5006095.42411185</v>
      </c>
      <c r="H7402" s="2" t="s">
        <v>1436</v>
      </c>
    </row>
    <row r="7403" customFormat="false" ht="15" hidden="false" customHeight="false" outlineLevel="0" collapsed="false">
      <c r="A7403" s="3" t="s">
        <v>1437</v>
      </c>
      <c r="B7403" s="4"/>
      <c r="C7403" s="4"/>
      <c r="D7403" s="4"/>
      <c r="E7403" s="4"/>
      <c r="F7403" s="4"/>
      <c r="G7403" s="4"/>
      <c r="H7403" s="4"/>
    </row>
    <row r="7404" customFormat="false" ht="15" hidden="false" customHeight="false" outlineLevel="1" collapsed="false">
      <c r="A7404" s="7" t="s">
        <v>782</v>
      </c>
      <c r="B7404" s="8" t="s">
        <v>11</v>
      </c>
      <c r="C7404" s="72" t="n">
        <f aca="false">Pressupostos!$C$159+Pressupostos!$C$160+Pressupostos!$C$161+Pressupostos!$C$162+Pressupostos!$C$163</f>
        <v>95000</v>
      </c>
      <c r="H7404" s="2" t="s">
        <v>1438</v>
      </c>
    </row>
    <row r="7405" customFormat="false" ht="15" hidden="false" customHeight="false" outlineLevel="1" collapsed="false">
      <c r="A7405" s="7" t="s">
        <v>783</v>
      </c>
      <c r="B7405" s="8" t="s">
        <v>11</v>
      </c>
      <c r="C7405" s="73" t="n">
        <f aca="false">Pressupostos!$C$108</f>
        <v>50000</v>
      </c>
      <c r="H7405" s="2" t="s">
        <v>1439</v>
      </c>
    </row>
    <row r="7406" customFormat="false" ht="15" hidden="false" customHeight="false" outlineLevel="1" collapsed="false">
      <c r="A7406" s="7" t="s">
        <v>322</v>
      </c>
      <c r="B7406" s="8" t="s">
        <v>11</v>
      </c>
      <c r="C7406" s="73" t="n">
        <f aca="false">Pressupostos!$C$170</f>
        <v>150000</v>
      </c>
      <c r="H7406" s="2" t="s">
        <v>1440</v>
      </c>
    </row>
    <row r="7407" customFormat="false" ht="15" hidden="false" customHeight="false" outlineLevel="1" collapsed="false">
      <c r="A7407" s="7" t="s">
        <v>784</v>
      </c>
      <c r="B7407" s="8" t="s">
        <v>11</v>
      </c>
      <c r="C7407" s="72" t="n">
        <f aca="false">MAX(0,-MIN($C$7391:$G$7391))</f>
        <v>4711095.42411185</v>
      </c>
      <c r="H7407" s="2" t="s">
        <v>1441</v>
      </c>
    </row>
    <row r="7408" customFormat="false" ht="15" hidden="false" customHeight="false" outlineLevel="1" collapsed="false">
      <c r="A7408" s="56" t="s">
        <v>785</v>
      </c>
      <c r="B7408" s="57" t="s">
        <v>11</v>
      </c>
      <c r="C7408" s="74" t="n">
        <f aca="false">C7404+C7405+C7406+C7407</f>
        <v>5006095.42411185</v>
      </c>
      <c r="H7408" s="2" t="s">
        <v>1442</v>
      </c>
    </row>
    <row r="7409" customFormat="false" ht="15" hidden="false" customHeight="false" outlineLevel="1" collapsed="false">
      <c r="A7409" s="7" t="s">
        <v>786</v>
      </c>
      <c r="B7409" s="8" t="s">
        <v>20</v>
      </c>
      <c r="C7409" s="75" t="n">
        <f aca="false">INDEX($C$7136:$G$7136,1,MATCH(MIN($C$7391:$G$7391),$C$7391:$G$7391,0))</f>
        <v>2031</v>
      </c>
      <c r="H7409" s="2" t="s">
        <v>1443</v>
      </c>
    </row>
    <row r="7410" customFormat="false" ht="15" hidden="false" customHeight="false" outlineLevel="1" collapsed="false">
      <c r="A7410" s="7" t="s">
        <v>787</v>
      </c>
      <c r="B7410" s="8"/>
      <c r="C7410" s="76" t="str">
        <f aca="false">IF(G7390&lt;0,"sim","não")</f>
        <v>sim</v>
      </c>
      <c r="H7410" s="2" t="s">
        <v>1444</v>
      </c>
    </row>
    <row r="7411" customFormat="false" ht="15" hidden="false" customHeight="false" outlineLevel="1" collapsed="false">
      <c r="A7411" s="7" t="s">
        <v>788</v>
      </c>
      <c r="B7411" s="8" t="s">
        <v>11</v>
      </c>
      <c r="C7411" s="72" t="n">
        <f aca="false">G7402</f>
        <v>5006095.42411185</v>
      </c>
      <c r="H7411" s="2" t="s">
        <v>1445</v>
      </c>
    </row>
    <row r="7412" customFormat="false" ht="15" hidden="false" customHeight="false" outlineLevel="0" collapsed="false">
      <c r="A7412" s="3" t="s">
        <v>1446</v>
      </c>
      <c r="B7412" s="4"/>
      <c r="C7412" s="4"/>
      <c r="D7412" s="4"/>
      <c r="E7412" s="4"/>
      <c r="F7412" s="4"/>
      <c r="G7412" s="4"/>
      <c r="H7412" s="4"/>
    </row>
    <row r="7413" customFormat="false" ht="15" hidden="false" customHeight="false" outlineLevel="1" collapsed="false">
      <c r="A7413" s="7" t="s">
        <v>790</v>
      </c>
      <c r="B7413" s="8" t="s">
        <v>11</v>
      </c>
      <c r="C7413" s="72" t="n">
        <f aca="false">C7404+C7405</f>
        <v>145000</v>
      </c>
      <c r="H7413" s="2" t="s">
        <v>1447</v>
      </c>
    </row>
    <row r="7414" customFormat="false" ht="15" hidden="false" customHeight="false" outlineLevel="1" collapsed="false">
      <c r="A7414" s="7" t="s">
        <v>791</v>
      </c>
      <c r="B7414" s="8" t="s">
        <v>11</v>
      </c>
      <c r="C7414" s="72" t="n">
        <f aca="false">-SUMPRODUCT(($C$7136:$G$7136&lt;=C7409)*$C$7347:$G$7347)</f>
        <v>4106382.06473685</v>
      </c>
      <c r="H7414" s="2" t="s">
        <v>1448</v>
      </c>
    </row>
    <row r="7415" customFormat="false" ht="15" hidden="false" customHeight="false" outlineLevel="1" collapsed="false">
      <c r="A7415" s="7" t="s">
        <v>424</v>
      </c>
      <c r="B7415" s="8" t="s">
        <v>11</v>
      </c>
      <c r="C7415" s="72" t="n">
        <f aca="false">SUMPRODUCT(($C$7136:$G$7136&lt;=C7409)*$C$7331:$G$7331)</f>
        <v>250000</v>
      </c>
      <c r="H7415" s="2" t="s">
        <v>1449</v>
      </c>
    </row>
    <row r="7416" customFormat="false" ht="15" hidden="false" customHeight="false" outlineLevel="1" collapsed="false">
      <c r="A7416" s="7" t="s">
        <v>792</v>
      </c>
      <c r="B7416" s="8" t="s">
        <v>11</v>
      </c>
      <c r="C7416" s="72" t="n">
        <f aca="false">SUMPRODUCT(($C$7136:$G$7136&lt;=C7409)*$C$7362:$G$7362)</f>
        <v>0</v>
      </c>
      <c r="H7416" s="2" t="s">
        <v>1450</v>
      </c>
    </row>
    <row r="7417" customFormat="false" ht="15" hidden="false" customHeight="false" outlineLevel="1" collapsed="false">
      <c r="A7417" s="7" t="s">
        <v>793</v>
      </c>
      <c r="B7417" s="8" t="s">
        <v>11</v>
      </c>
      <c r="C7417" s="72" t="n">
        <f aca="false">C7407-C7414-C7415-C7416</f>
        <v>354713.359375</v>
      </c>
      <c r="H7417" s="2" t="s">
        <v>1451</v>
      </c>
    </row>
    <row r="7418" customFormat="false" ht="15" hidden="false" customHeight="false" outlineLevel="1" collapsed="false">
      <c r="A7418" s="7" t="s">
        <v>322</v>
      </c>
      <c r="B7418" s="8" t="s">
        <v>11</v>
      </c>
      <c r="C7418" s="72" t="n">
        <f aca="false">C7406</f>
        <v>150000</v>
      </c>
      <c r="H7418" s="2" t="s">
        <v>1452</v>
      </c>
    </row>
    <row r="7419" customFormat="false" ht="15" hidden="false" customHeight="false" outlineLevel="1" collapsed="false">
      <c r="A7419" s="56" t="s">
        <v>794</v>
      </c>
      <c r="B7419" s="57" t="s">
        <v>11</v>
      </c>
      <c r="C7419" s="74" t="n">
        <f aca="false">C7413+C7414+C7415+C7416+C7417+C7418</f>
        <v>5006095.42411185</v>
      </c>
      <c r="H7419" s="2" t="s">
        <v>1453</v>
      </c>
    </row>
    <row r="7420" customFormat="false" ht="15" hidden="false" customHeight="false" outlineLevel="0" collapsed="false">
      <c r="A7420" s="3" t="s">
        <v>1454</v>
      </c>
      <c r="B7420" s="4"/>
      <c r="C7420" s="4"/>
      <c r="D7420" s="4"/>
      <c r="E7420" s="4"/>
      <c r="F7420" s="4"/>
      <c r="G7420" s="4"/>
      <c r="H7420" s="4"/>
    </row>
    <row r="7421" customFormat="false" ht="15" hidden="false" customHeight="false" outlineLevel="1" collapsed="false">
      <c r="A7421" s="7" t="s">
        <v>772</v>
      </c>
      <c r="B7421" s="8" t="s">
        <v>11</v>
      </c>
      <c r="C7421" s="73" t="n">
        <f aca="false">Pressupostos!$F$32</f>
        <v>1100000</v>
      </c>
      <c r="H7421" s="2" t="s">
        <v>1455</v>
      </c>
    </row>
    <row r="7422" customFormat="false" ht="15" hidden="false" customHeight="false" outlineLevel="1" collapsed="false">
      <c r="A7422" s="7" t="s">
        <v>796</v>
      </c>
      <c r="B7422" s="8" t="s">
        <v>11</v>
      </c>
      <c r="C7422" s="72" t="n">
        <f aca="false">C7404+Pressupostos!$C$108+Pressupostos!$C$130/12*((C7306-C7294-C7295+(C7294+C7295)/Pressupostos!$C$128*Pressupostos!$C$129)*(1+Pressupostos!$C$124+Pressupostos!$C$125)+C7292*Pressupostos!$C$126+C7325)+C7331+MAX(0,Pressupostos!$C$183*1000*(C7157+C7160)+Pressupostos!$C$184*1000*(C7180+C7183)-Pressupostos!$C$108)</f>
        <v>652596.666666667</v>
      </c>
      <c r="H7422" s="2" t="s">
        <v>1456</v>
      </c>
    </row>
    <row r="7423" customFormat="false" ht="15" hidden="false" customHeight="false" outlineLevel="1" collapsed="false">
      <c r="A7423" s="7" t="s">
        <v>798</v>
      </c>
      <c r="B7423" s="8" t="s">
        <v>11</v>
      </c>
      <c r="C7423" s="72" t="n">
        <f aca="false">C7404+Pressupostos!$C$108-C7390</f>
        <v>830337.495065069</v>
      </c>
      <c r="H7423" s="2" t="s">
        <v>1457</v>
      </c>
    </row>
    <row r="7424" customFormat="false" ht="15" hidden="false" customHeight="false" outlineLevel="1" collapsed="false">
      <c r="A7424" s="7" t="s">
        <v>799</v>
      </c>
      <c r="B7424" s="8" t="s">
        <v>11</v>
      </c>
      <c r="C7424" s="61" t="n">
        <f aca="false">Pressupostos!$F$32-C7404-Pressupostos!$C$108+C7391</f>
        <v>269662.504934932</v>
      </c>
      <c r="D7424" s="61" t="n">
        <f aca="false">Pressupostos!$F$32-C7404-Pressupostos!$C$108+D7391</f>
        <v>-565723.984780394</v>
      </c>
      <c r="E7424" s="61" t="n">
        <f aca="false">Pressupostos!$F$32-C7404-Pressupostos!$C$108+E7391</f>
        <v>-1527925.66966695</v>
      </c>
      <c r="F7424" s="61" t="n">
        <f aca="false">Pressupostos!$F$32-C7404-Pressupostos!$C$108+F7391</f>
        <v>-2612719.15230965</v>
      </c>
      <c r="G7424" s="61" t="n">
        <f aca="false">Pressupostos!$F$32-C7404-Pressupostos!$C$108+G7391</f>
        <v>-3756095.42411185</v>
      </c>
      <c r="H7424" s="2" t="s">
        <v>1458</v>
      </c>
    </row>
    <row r="7425" customFormat="false" ht="15" hidden="false" customHeight="false" outlineLevel="1" collapsed="false">
      <c r="A7425" s="7" t="s">
        <v>800</v>
      </c>
      <c r="B7425" s="8" t="s">
        <v>18</v>
      </c>
      <c r="C7425" s="77" t="str">
        <f aca="false">IF(AND(Pressupostos!$F$32-C7404-Pressupostos!$C$108&gt;0,C7424&lt;=0),12*(Pressupostos!$F$32-C7404-Pressupostos!$C$108)/(Pressupostos!$F$32-C7404-Pressupostos!$C$108-C7424),"")</f>
        <v/>
      </c>
      <c r="D7425" s="77" t="n">
        <f aca="false">IF(AND(C7424&gt;0,D7424&lt;=0),12+12*C7424/(C7424-D7424),"")</f>
        <v>15.8735963521769</v>
      </c>
      <c r="E7425" s="77" t="str">
        <f aca="false">IF(AND(D7424&gt;0,E7424&lt;=0),24+12*D7424/(D7424-E7424),"")</f>
        <v/>
      </c>
      <c r="F7425" s="77" t="str">
        <f aca="false">IF(AND(E7424&gt;0,F7424&lt;=0),36+12*E7424/(E7424-F7424),"")</f>
        <v/>
      </c>
      <c r="G7425" s="77" t="str">
        <f aca="false">IF(AND(F7424&gt;0,G7424&lt;=0),48+12*F7424/(F7424-G7424),"")</f>
        <v/>
      </c>
      <c r="H7425" s="2" t="s">
        <v>1459</v>
      </c>
    </row>
    <row r="7426" customFormat="false" ht="15" hidden="false" customHeight="false" outlineLevel="1" collapsed="false">
      <c r="A7426" s="56" t="s">
        <v>801</v>
      </c>
      <c r="B7426" s="57" t="s">
        <v>274</v>
      </c>
      <c r="C7426" s="78" t="n">
        <f aca="false">IF(COUNT($C$7425:$G$7425)=0,"&gt; 60",MIN($C$7425:$G$7425))</f>
        <v>15.8735963521769</v>
      </c>
      <c r="H7426" s="2" t="s">
        <v>1460</v>
      </c>
    </row>
    <row r="7427" customFormat="false" ht="15" hidden="false" customHeight="false" outlineLevel="0" collapsed="false">
      <c r="A7427" s="3" t="s">
        <v>1461</v>
      </c>
      <c r="B7427" s="4"/>
      <c r="C7427" s="4"/>
      <c r="D7427" s="4"/>
      <c r="E7427" s="4"/>
      <c r="F7427" s="4"/>
      <c r="G7427" s="4"/>
      <c r="H7427" s="4"/>
    </row>
    <row r="7428" customFormat="false" ht="15" hidden="false" customHeight="false" outlineLevel="1" collapsed="false">
      <c r="A7428" s="7" t="s">
        <v>803</v>
      </c>
      <c r="B7428" s="8" t="s">
        <v>18</v>
      </c>
      <c r="C7428" s="77" t="str">
        <f aca="false">IF(C7347&gt;=0,1,"")</f>
        <v/>
      </c>
      <c r="D7428" s="77" t="str">
        <f aca="false">IF(AND(C7347&lt;0,D7347&gt;=0),6.5+12*(-C7347)/(D7347-C7347),"")</f>
        <v/>
      </c>
      <c r="E7428" s="77" t="str">
        <f aca="false">IF(AND(D7347&lt;0,E7347&gt;=0),18.5+12*(-D7347)/(E7347-D7347),"")</f>
        <v/>
      </c>
      <c r="F7428" s="77" t="str">
        <f aca="false">IF(AND(E7347&lt;0,F7347&gt;=0),30.5+12*(-E7347)/(F7347-E7347),"")</f>
        <v/>
      </c>
      <c r="G7428" s="77" t="str">
        <f aca="false">IF(AND(F7347&lt;0,G7347&gt;=0),42.5+12*(-F7347)/(G7347-F7347),"")</f>
        <v/>
      </c>
      <c r="H7428" s="2" t="s">
        <v>1462</v>
      </c>
    </row>
    <row r="7429" customFormat="false" ht="15" hidden="false" customHeight="false" outlineLevel="1" collapsed="false">
      <c r="A7429" s="7" t="s">
        <v>804</v>
      </c>
      <c r="B7429" s="8" t="s">
        <v>18</v>
      </c>
      <c r="C7429" s="79" t="str">
        <f aca="false">IF(COUNT($C$7428:$G$7428)=0,"não atinge até 2031",ROUNDUP(MIN($C$7428:$G$7428),0))</f>
        <v>não atinge até 2031</v>
      </c>
      <c r="H7429" s="2" t="s">
        <v>1463</v>
      </c>
    </row>
    <row r="7430" customFormat="false" ht="15" hidden="false" customHeight="false" outlineLevel="1" collapsed="false">
      <c r="A7430" s="56" t="s">
        <v>805</v>
      </c>
      <c r="B7430" s="57" t="s">
        <v>806</v>
      </c>
      <c r="C7430" s="80" t="str">
        <f aca="false">IF(ISNUMBER(C7429),DATE(2027,C7429,1),"não atinge até 2031")</f>
        <v>não atinge até 2031</v>
      </c>
      <c r="H7430" s="2" t="s">
        <v>1464</v>
      </c>
    </row>
    <row r="7431" customFormat="false" ht="15" hidden="false" customHeight="false" outlineLevel="1" collapsed="false">
      <c r="A7431" s="7" t="s">
        <v>807</v>
      </c>
      <c r="B7431" s="8" t="s">
        <v>20</v>
      </c>
      <c r="C7431" s="81" t="str">
        <f aca="false">IF(C7347&gt;=0,C7136,"")</f>
        <v/>
      </c>
      <c r="D7431" s="81" t="str">
        <f aca="false">IF(D7347&gt;=0,D7136,"")</f>
        <v/>
      </c>
      <c r="E7431" s="81" t="str">
        <f aca="false">IF(E7347&gt;=0,E7136,"")</f>
        <v/>
      </c>
      <c r="F7431" s="81" t="str">
        <f aca="false">IF(F7347&gt;=0,F7136,"")</f>
        <v/>
      </c>
      <c r="G7431" s="81" t="str">
        <f aca="false">IF(G7347&gt;=0,G7136,"")</f>
        <v/>
      </c>
      <c r="H7431" s="2" t="s">
        <v>1465</v>
      </c>
    </row>
    <row r="7432" customFormat="false" ht="15" hidden="false" customHeight="false" outlineLevel="1" collapsed="false">
      <c r="A7432" s="7" t="s">
        <v>808</v>
      </c>
      <c r="B7432" s="8" t="s">
        <v>20</v>
      </c>
      <c r="C7432" s="75" t="str">
        <f aca="false">IF(COUNT($C$7431:$G$7431)=0,"não atinge até 2031",MIN($C$7431:$G$7431))</f>
        <v>não atinge até 2031</v>
      </c>
      <c r="H7432" s="2" t="s">
        <v>1466</v>
      </c>
    </row>
    <row r="7433" customFormat="false" ht="15" hidden="false" customHeight="false" outlineLevel="1" collapsed="false">
      <c r="A7433" s="7" t="s">
        <v>809</v>
      </c>
      <c r="B7433" s="8" t="s">
        <v>20</v>
      </c>
      <c r="C7433" s="81" t="str">
        <f aca="false">IF(C7365&gt;=0,C7136,"")</f>
        <v/>
      </c>
      <c r="D7433" s="81" t="str">
        <f aca="false">IF(D7365&gt;=0,D7136,"")</f>
        <v/>
      </c>
      <c r="E7433" s="81" t="str">
        <f aca="false">IF(E7365&gt;=0,E7136,"")</f>
        <v/>
      </c>
      <c r="F7433" s="81" t="str">
        <f aca="false">IF(F7365&gt;=0,F7136,"")</f>
        <v/>
      </c>
      <c r="G7433" s="81" t="str">
        <f aca="false">IF(G7365&gt;=0,G7136,"")</f>
        <v/>
      </c>
      <c r="H7433" s="2" t="s">
        <v>1467</v>
      </c>
    </row>
    <row r="7434" customFormat="false" ht="15" hidden="false" customHeight="false" outlineLevel="1" collapsed="false">
      <c r="A7434" s="7" t="s">
        <v>810</v>
      </c>
      <c r="B7434" s="8" t="s">
        <v>20</v>
      </c>
      <c r="C7434" s="75" t="str">
        <f aca="false">IF(COUNT($C$7433:$G$7433)=0,"não atinge até 2031",MIN($C$7433:$G$7433))</f>
        <v>não atinge até 2031</v>
      </c>
      <c r="H7434" s="2" t="s">
        <v>1468</v>
      </c>
    </row>
    <row r="7435" customFormat="false" ht="15" hidden="false" customHeight="false" outlineLevel="1" collapsed="false">
      <c r="A7435" s="7" t="s">
        <v>811</v>
      </c>
      <c r="B7435" s="8" t="s">
        <v>20</v>
      </c>
      <c r="C7435" s="81" t="str">
        <f aca="false">IF(C7390&gt;=0,C7136,"")</f>
        <v/>
      </c>
      <c r="D7435" s="81" t="str">
        <f aca="false">IF(D7390&gt;=0,D7136,"")</f>
        <v/>
      </c>
      <c r="E7435" s="81" t="str">
        <f aca="false">IF(E7390&gt;=0,E7136,"")</f>
        <v/>
      </c>
      <c r="F7435" s="81" t="str">
        <f aca="false">IF(F7390&gt;=0,F7136,"")</f>
        <v/>
      </c>
      <c r="G7435" s="81" t="str">
        <f aca="false">IF(G7390&gt;=0,G7136,"")</f>
        <v/>
      </c>
      <c r="H7435" s="2" t="s">
        <v>1469</v>
      </c>
    </row>
    <row r="7436" customFormat="false" ht="15" hidden="false" customHeight="false" outlineLevel="1" collapsed="false">
      <c r="A7436" s="7" t="s">
        <v>19</v>
      </c>
      <c r="B7436" s="8" t="s">
        <v>20</v>
      </c>
      <c r="C7436" s="75" t="str">
        <f aca="false">IF(COUNT($C$7435:$G$7435)=0,"não atinge até 2031",MIN($C$7435:$G$7435))</f>
        <v>não atinge até 2031</v>
      </c>
      <c r="H7436" s="2" t="s">
        <v>1470</v>
      </c>
    </row>
    <row r="7437" customFormat="false" ht="15" hidden="false" customHeight="false" outlineLevel="0" collapsed="false">
      <c r="A7437" s="3" t="s">
        <v>1471</v>
      </c>
      <c r="B7437" s="4"/>
      <c r="C7437" s="4"/>
      <c r="D7437" s="4"/>
      <c r="E7437" s="4"/>
      <c r="F7437" s="4"/>
      <c r="G7437" s="4"/>
      <c r="H7437" s="4"/>
    </row>
    <row r="7438" customFormat="false" ht="15" hidden="false" customHeight="false" outlineLevel="1" collapsed="false">
      <c r="A7438" s="7" t="s">
        <v>813</v>
      </c>
      <c r="B7438" s="8" t="s">
        <v>11</v>
      </c>
      <c r="C7438" s="61" t="n">
        <f aca="false">C7373</f>
        <v>0</v>
      </c>
      <c r="D7438" s="61" t="n">
        <f aca="false">D7373</f>
        <v>287950.174443493</v>
      </c>
      <c r="E7438" s="61" t="n">
        <f aca="false">E7373</f>
        <v>494542.217465754</v>
      </c>
      <c r="F7438" s="61" t="n">
        <f aca="false">F7373</f>
        <v>838596.247859589</v>
      </c>
      <c r="G7438" s="61" t="n">
        <f aca="false">G7373</f>
        <v>1278042.1875</v>
      </c>
      <c r="H7438" s="2" t="s">
        <v>1472</v>
      </c>
    </row>
    <row r="7439" customFormat="false" ht="15" hidden="false" customHeight="false" outlineLevel="1" collapsed="false">
      <c r="A7439" s="7" t="s">
        <v>509</v>
      </c>
      <c r="B7439" s="8" t="s">
        <v>76</v>
      </c>
      <c r="C7439" s="82" t="n">
        <f aca="false">Pressupostos!$C$290</f>
        <v>0.08</v>
      </c>
      <c r="D7439" s="82" t="n">
        <f aca="false">Pressupostos!$D$290</f>
        <v>0.08</v>
      </c>
      <c r="E7439" s="82" t="n">
        <f aca="false">Pressupostos!$E$290</f>
        <v>0.075</v>
      </c>
      <c r="F7439" s="82" t="n">
        <f aca="false">Pressupostos!$F$290</f>
        <v>0.07</v>
      </c>
      <c r="G7439" s="82" t="n">
        <f aca="false">Pressupostos!$G$290</f>
        <v>0.07</v>
      </c>
      <c r="H7439" s="2" t="s">
        <v>1473</v>
      </c>
    </row>
    <row r="7440" customFormat="false" ht="15" hidden="false" customHeight="false" outlineLevel="1" collapsed="false">
      <c r="A7440" s="7" t="s">
        <v>814</v>
      </c>
      <c r="B7440" s="8" t="s">
        <v>76</v>
      </c>
      <c r="C7440" s="60" t="n">
        <f aca="false">Pressupostos!$C$290*(1-Pressupostos!$C$111)</f>
        <v>0.0576</v>
      </c>
      <c r="D7440" s="60" t="n">
        <f aca="false">Pressupostos!$D$290*(1-Pressupostos!$C$111)</f>
        <v>0.0576</v>
      </c>
      <c r="E7440" s="60" t="n">
        <f aca="false">Pressupostos!$E$290*(1-Pressupostos!$C$111)</f>
        <v>0.054</v>
      </c>
      <c r="F7440" s="60" t="n">
        <f aca="false">Pressupostos!$F$290*(1-Pressupostos!$C$111)</f>
        <v>0.0504</v>
      </c>
      <c r="G7440" s="60" t="n">
        <f aca="false">Pressupostos!$G$290*(1-Pressupostos!$C$111)</f>
        <v>0.0504</v>
      </c>
      <c r="H7440" s="2" t="s">
        <v>1474</v>
      </c>
    </row>
    <row r="7441" customFormat="false" ht="15" hidden="false" customHeight="false" outlineLevel="1" collapsed="false">
      <c r="A7441" s="7" t="s">
        <v>815</v>
      </c>
      <c r="B7441" s="8" t="s">
        <v>11</v>
      </c>
      <c r="C7441" s="61" t="n">
        <f aca="false">C7277</f>
        <v>0</v>
      </c>
      <c r="D7441" s="61" t="n">
        <f aca="false">D7277</f>
        <v>21524.1780821918</v>
      </c>
      <c r="E7441" s="61" t="n">
        <f aca="false">E7277</f>
        <v>34083.5991010274</v>
      </c>
      <c r="F7441" s="61" t="n">
        <f aca="false">F7277</f>
        <v>53929.0517979452</v>
      </c>
      <c r="G7441" s="61" t="n">
        <f aca="false">G7277</f>
        <v>82260.0385273973</v>
      </c>
      <c r="H7441" s="2" t="s">
        <v>1475</v>
      </c>
    </row>
    <row r="7442" customFormat="false" ht="15" hidden="false" customHeight="false" outlineLevel="1" collapsed="false">
      <c r="A7442" s="7" t="s">
        <v>816</v>
      </c>
      <c r="B7442" s="8" t="s">
        <v>76</v>
      </c>
      <c r="C7442" s="59" t="n">
        <f aca="false">IF(C7373&gt;0,(C7376+C7378)/C7373,0)</f>
        <v>0</v>
      </c>
      <c r="D7442" s="59" t="n">
        <f aca="false">IF(D7373&gt;0,(D7376+D7378)/D7373,0)</f>
        <v>0.316666666666667</v>
      </c>
      <c r="E7442" s="59" t="n">
        <f aca="false">IF(E7373&gt;0,(E7376+E7378)/E7373,0)</f>
        <v>0.316666666666667</v>
      </c>
      <c r="F7442" s="59" t="n">
        <f aca="false">IF(F7373&gt;0,(F7376+F7378)/F7373,0)</f>
        <v>0.316666666666667</v>
      </c>
      <c r="G7442" s="59" t="n">
        <f aca="false">IF(G7373&gt;0,(G7376+G7378)/G7373,0)</f>
        <v>0.316666666666667</v>
      </c>
      <c r="H7442" s="2" t="s">
        <v>1476</v>
      </c>
    </row>
    <row r="7443" customFormat="false" ht="15" hidden="false" customHeight="false" outlineLevel="1" collapsed="false">
      <c r="A7443" s="7" t="s">
        <v>817</v>
      </c>
      <c r="B7443" s="8" t="s">
        <v>123</v>
      </c>
      <c r="C7443" s="61" t="n">
        <f aca="false">C7379</f>
        <v>0</v>
      </c>
      <c r="D7443" s="61" t="n">
        <f aca="false">D7379</f>
        <v>5.75900348886986</v>
      </c>
      <c r="E7443" s="61" t="n">
        <f aca="false">E7379</f>
        <v>9.89084434931507</v>
      </c>
      <c r="F7443" s="61" t="n">
        <f aca="false">F7379</f>
        <v>16.7719249571918</v>
      </c>
      <c r="G7443" s="61" t="n">
        <f aca="false">G7379</f>
        <v>25.56084375</v>
      </c>
      <c r="H7443" s="2" t="s">
        <v>1477</v>
      </c>
    </row>
    <row r="7444" customFormat="false" ht="15" hidden="false" customHeight="false" outlineLevel="1" collapsed="false">
      <c r="A7444" s="7" t="s">
        <v>818</v>
      </c>
      <c r="B7444" s="8" t="s">
        <v>11</v>
      </c>
      <c r="C7444" s="61" t="n">
        <f aca="false">C7277+C7323</f>
        <v>65000</v>
      </c>
      <c r="D7444" s="61" t="n">
        <f aca="false">D7277+D7323</f>
        <v>96524.1780821918</v>
      </c>
      <c r="E7444" s="61" t="n">
        <f aca="false">E7277+E7323</f>
        <v>114083.599101027</v>
      </c>
      <c r="F7444" s="61" t="n">
        <f aca="false">F7277+F7323</f>
        <v>138929.051797945</v>
      </c>
      <c r="G7444" s="61" t="n">
        <f aca="false">G7277+G7323</f>
        <v>172260.038527397</v>
      </c>
      <c r="H7444" s="2" t="s">
        <v>1478</v>
      </c>
    </row>
    <row r="7445" customFormat="false" ht="15" hidden="false" customHeight="false" outlineLevel="1" collapsed="false">
      <c r="A7445" s="7" t="s">
        <v>819</v>
      </c>
      <c r="B7445" s="8" t="s">
        <v>76</v>
      </c>
      <c r="C7445" s="59" t="str">
        <f aca="false">IF(C7373&gt;0,C7444/C7373,"")</f>
        <v/>
      </c>
      <c r="D7445" s="59" t="n">
        <f aca="false">IF(D7373&gt;0,D7444/D7373,"")</f>
        <v>0.335211389500768</v>
      </c>
      <c r="E7445" s="59" t="n">
        <f aca="false">IF(E7373&gt;0,E7444/E7373,"")</f>
        <v>0.230685258147708</v>
      </c>
      <c r="F7445" s="59" t="n">
        <f aca="false">IF(F7373&gt;0,F7444/F7373,"")</f>
        <v>0.165668582649331</v>
      </c>
      <c r="G7445" s="59" t="n">
        <f aca="false">IF(G7373&gt;0,G7444/G7373,"")</f>
        <v>0.134784313234885</v>
      </c>
      <c r="H7445" s="2" t="s">
        <v>1479</v>
      </c>
    </row>
    <row r="7446" customFormat="false" ht="15" hidden="false" customHeight="false" outlineLevel="0" collapsed="false">
      <c r="A7446" s="3" t="s">
        <v>1480</v>
      </c>
      <c r="B7446" s="4"/>
      <c r="C7446" s="4"/>
      <c r="D7446" s="4"/>
      <c r="E7446" s="4"/>
      <c r="F7446" s="4"/>
      <c r="G7446" s="4"/>
      <c r="H7446" s="4"/>
    </row>
    <row r="7447" customFormat="false" ht="15" hidden="false" customHeight="false" outlineLevel="1" collapsed="false">
      <c r="A7447" s="7" t="s">
        <v>821</v>
      </c>
      <c r="B7447" s="8" t="s">
        <v>11</v>
      </c>
      <c r="C7447" s="61" t="n">
        <f aca="false">MAX(0,-C7347)</f>
        <v>594084.81835274</v>
      </c>
      <c r="D7447" s="61" t="n">
        <f aca="false">MAX(0,-D7347)</f>
        <v>750454.944520548</v>
      </c>
      <c r="E7447" s="61" t="n">
        <f aca="false">MAX(0,-E7347)</f>
        <v>852780.871262843</v>
      </c>
      <c r="F7447" s="61" t="n">
        <f aca="false">MAX(0,-F7347)</f>
        <v>938843.039684649</v>
      </c>
      <c r="G7447" s="61" t="n">
        <f aca="false">MAX(0,-G7347)</f>
        <v>970218.390916074</v>
      </c>
      <c r="H7447" s="2" t="s">
        <v>1481</v>
      </c>
    </row>
    <row r="7448" customFormat="false" ht="15" hidden="false" customHeight="false" outlineLevel="1" collapsed="false">
      <c r="A7448" s="2" t="s">
        <v>822</v>
      </c>
      <c r="B7448" s="8"/>
      <c r="C7448" s="61" t="n">
        <f aca="false">IF(AND(C7136&gt;=Pressupostos!$C$120,Pressupostos!$C$118*(C7230+C7231)+Pressupostos!$C$119*C7232&gt;Pressupostos!$C$302),1,0)</f>
        <v>0</v>
      </c>
      <c r="D7448" s="61" t="n">
        <f aca="false">IF(AND(D7136&gt;=Pressupostos!$C$120,Pressupostos!$C$118*(D7230+D7231)+Pressupostos!$C$119*D7232&gt;Pressupostos!$D$302),1,0)</f>
        <v>1</v>
      </c>
      <c r="E7448" s="61" t="n">
        <f aca="false">IF(AND(E7136&gt;=Pressupostos!$C$120,Pressupostos!$C$118*(E7230+E7231)+Pressupostos!$C$119*E7232&gt;Pressupostos!$E$302),1,0)</f>
        <v>1</v>
      </c>
      <c r="F7448" s="61" t="n">
        <f aca="false">IF(AND(F7136&gt;=Pressupostos!$C$120,Pressupostos!$C$118*(F7230+F7231)+Pressupostos!$C$119*F7232&gt;Pressupostos!$F$302),1,0)</f>
        <v>1</v>
      </c>
      <c r="G7448" s="61" t="n">
        <f aca="false">IF(AND(G7136&gt;=Pressupostos!$C$120,Pressupostos!$C$118*(G7230+G7231)+Pressupostos!$C$119*G7232&gt;Pressupostos!$G$302),1,0)</f>
        <v>1</v>
      </c>
      <c r="H7448" s="2" t="s">
        <v>1482</v>
      </c>
    </row>
    <row r="7449" customFormat="false" ht="15" hidden="false" customHeight="false" outlineLevel="1" collapsed="false">
      <c r="A7449" s="7" t="s">
        <v>823</v>
      </c>
      <c r="B7449" s="8" t="s">
        <v>64</v>
      </c>
      <c r="C7449" s="63" t="n">
        <f aca="false">IF(C7140&gt;0,C7447/(C7140*1000*(1-Pressupostos!$F$22)*(1-Pressupostos!$F$25-C7448*Pressupostos!$C$118)),"n/a")</f>
        <v>11.4590853011484</v>
      </c>
      <c r="D7449" s="63" t="n">
        <f aca="false">IF(D7140&gt;0,D7447/(D7140*1000*(1-Pressupostos!$F$22)*(1-Pressupostos!$F$25-D7448*Pressupostos!$C$118)),"n/a")</f>
        <v>2.08194259130872</v>
      </c>
      <c r="E7449" s="63" t="n">
        <f aca="false">IF(E7140&gt;0,E7447/(E7140*1000*(1-Pressupostos!$F$22)*(1-Pressupostos!$F$25-E7448*Pressupostos!$C$118)),"n/a")</f>
        <v>1.19775790542563</v>
      </c>
      <c r="F7449" s="63" t="n">
        <f aca="false">IF(F7140&gt;0,F7447/(F7140*1000*(1-Pressupostos!$F$22)*(1-Pressupostos!$F$25-F7448*Pressupostos!$C$118)),"n/a")</f>
        <v>0.799206482303129</v>
      </c>
      <c r="G7449" s="63" t="n">
        <f aca="false">IF(G7140&gt;0,G7447/(G7140*1000*(1-Pressupostos!$F$22)*(1-Pressupostos!$F$25-G7448*Pressupostos!$C$118)),"n/a")</f>
        <v>0.54584234384607</v>
      </c>
      <c r="H7449" s="2" t="s">
        <v>1483</v>
      </c>
    </row>
    <row r="7450" customFormat="false" ht="15" hidden="false" customHeight="false" outlineLevel="1" collapsed="false">
      <c r="A7450" s="7" t="s">
        <v>824</v>
      </c>
      <c r="B7450" s="8" t="s">
        <v>64</v>
      </c>
      <c r="C7450" s="63" t="n">
        <f aca="false">IF(C7139&gt;0,(Pressupostos!$D$15)+C7447/(C7139*1000*(1-Pressupostos!$F$16)*(1-Pressupostos!$F$18-C7448*Pressupostos!$C$118)),"n/a")</f>
        <v>86.6352091345825</v>
      </c>
      <c r="D7450" s="63" t="n">
        <f aca="false">IF(D7139&gt;0,(Pressupostos!$D$15)+D7447/(D7139*1000*(1-Pressupostos!$F$16)*(1-Pressupostos!$F$18-D7448*Pressupostos!$C$118)),"n/a")</f>
        <v>33.0406159889974</v>
      </c>
      <c r="E7450" s="63" t="n">
        <f aca="false">IF(E7139&gt;0,(Pressupostos!$D$15)+E7447/(E7139*1000*(1-Pressupostos!$F$16)*(1-Pressupostos!$F$18-E7448*Pressupostos!$C$118)),"n/a")</f>
        <v>17.3220165238132</v>
      </c>
      <c r="F7450" s="63" t="n">
        <f aca="false">IF(F7139&gt;0,(Pressupostos!$D$15)+F7447/(F7139*1000*(1-Pressupostos!$F$16)*(1-Pressupostos!$F$18-F7448*Pressupostos!$C$118)),"n/a")</f>
        <v>12.9928285149963</v>
      </c>
      <c r="G7450" s="63" t="n">
        <f aca="false">IF(G7139&gt;0,(Pressupostos!$D$15)+G7447/(G7139*1000*(1-Pressupostos!$F$16)*(1-Pressupostos!$F$18-G7448*Pressupostos!$C$118)),"n/a")</f>
        <v>10.9617538031594</v>
      </c>
      <c r="H7450" s="2" t="s">
        <v>1484</v>
      </c>
    </row>
    <row r="7451" customFormat="false" ht="15" hidden="false" customHeight="false" outlineLevel="1" collapsed="false">
      <c r="A7451" s="7" t="s">
        <v>825</v>
      </c>
      <c r="B7451" s="8" t="s">
        <v>64</v>
      </c>
      <c r="C7451" s="63" t="n">
        <f aca="false">IF(Pressupostos!$F$33=1,C7222-C7448*Pressupostos!$C$119*C7205,C7228)</f>
        <v>0.00725</v>
      </c>
      <c r="D7451" s="63" t="n">
        <f aca="false">IF(Pressupostos!$F$33=1,D7222-D7448*Pressupostos!$C$119*D7205,D7228)</f>
        <v>0.00725</v>
      </c>
      <c r="E7451" s="63" t="n">
        <f aca="false">IF(Pressupostos!$F$33=1,E7222-E7448*Pressupostos!$C$119*E7205,E7228)</f>
        <v>0.00725</v>
      </c>
      <c r="F7451" s="63" t="n">
        <f aca="false">IF(Pressupostos!$F$33=1,F7222-F7448*Pressupostos!$C$119*F7205,F7228)</f>
        <v>0.00725</v>
      </c>
      <c r="G7451" s="63" t="n">
        <f aca="false">IF(Pressupostos!$F$33=1,G7222-G7448*Pressupostos!$C$119*G7205,G7228)</f>
        <v>0.00725</v>
      </c>
      <c r="H7451" s="2" t="s">
        <v>1485</v>
      </c>
    </row>
    <row r="7452" customFormat="false" ht="15" hidden="false" customHeight="false" outlineLevel="1" collapsed="false">
      <c r="A7452" s="7" t="s">
        <v>826</v>
      </c>
      <c r="B7452" s="8" t="s">
        <v>120</v>
      </c>
      <c r="C7452" s="55" t="n">
        <f aca="false">IF(C7451&gt;0,C7141+C7447/(C7451*1000),"n/a")</f>
        <v>81942.7335658952</v>
      </c>
      <c r="D7452" s="55" t="n">
        <f aca="false">IF(D7451&gt;0,D7141+D7447/(D7451*1000),"n/a")</f>
        <v>104011.026830421</v>
      </c>
      <c r="E7452" s="55" t="n">
        <f aca="false">IF(E7451&gt;0,E7141+E7447/(E7451*1000),"n/a")</f>
        <v>119124.947760392</v>
      </c>
      <c r="F7452" s="55" t="n">
        <f aca="false">IF(F7451&gt;0,F7141+F7447/(F7451*1000),"n/a")</f>
        <v>131995.591680641</v>
      </c>
      <c r="G7452" s="55" t="n">
        <f aca="false">IF(G7451&gt;0,G7141+G7447/(G7451*1000),"n/a")</f>
        <v>137323.226333252</v>
      </c>
      <c r="H7452" s="2" t="s">
        <v>1486</v>
      </c>
    </row>
    <row r="7453" customFormat="false" ht="15" hidden="false" customHeight="false" outlineLevel="1" collapsed="false">
      <c r="A7453" s="7" t="s">
        <v>827</v>
      </c>
      <c r="B7453" s="8" t="s">
        <v>76</v>
      </c>
      <c r="C7453" s="59" t="n">
        <f aca="false">C7447/(C7309+C7322+C7323)</f>
        <v>0.987388042649597</v>
      </c>
      <c r="D7453" s="59" t="n">
        <f aca="false">D7447/(D7309+D7322+D7323)</f>
        <v>0.974289949440726</v>
      </c>
      <c r="E7453" s="59" t="n">
        <f aca="false">E7447/(E7309+E7322+E7323)</f>
        <v>0.925017007763701</v>
      </c>
      <c r="F7453" s="59" t="n">
        <f aca="false">F7447/(F7309+F7322+F7323)</f>
        <v>0.876017425393526</v>
      </c>
      <c r="G7453" s="59" t="n">
        <f aca="false">G7447/(G7309+G7322+G7323)</f>
        <v>0.824948250421336</v>
      </c>
      <c r="H7453" s="2" t="s">
        <v>1487</v>
      </c>
    </row>
    <row r="7454" customFormat="false" ht="15" hidden="false" customHeight="false" outlineLevel="1" collapsed="false">
      <c r="A7454" s="2" t="s">
        <v>828</v>
      </c>
      <c r="B7454" s="8" t="s">
        <v>76</v>
      </c>
      <c r="C7454" s="60" t="n">
        <f aca="false">Pressupostos!$C$101*Pressupostos!$C$102+Pressupostos!$C$103-Pressupostos!$F$30*Pressupostos!$C$104*Pressupostos!$C$102/(Pressupostos!$C$105*Pressupostos!$C$106)</f>
        <v>0.02</v>
      </c>
      <c r="D7454" s="60" t="n">
        <f aca="false">Pressupostos!$C$101*Pressupostos!$C$102+Pressupostos!$C$103-Pressupostos!$F$30*Pressupostos!$C$104*Pressupostos!$C$102/(Pressupostos!$C$105*Pressupostos!$C$106)</f>
        <v>0.02</v>
      </c>
      <c r="E7454" s="60" t="n">
        <f aca="false">Pressupostos!$C$101*Pressupostos!$C$102+Pressupostos!$C$103-Pressupostos!$F$30*Pressupostos!$C$104*Pressupostos!$C$102/(Pressupostos!$C$105*Pressupostos!$C$106)</f>
        <v>0.02</v>
      </c>
      <c r="F7454" s="60" t="n">
        <f aca="false">Pressupostos!$C$101*Pressupostos!$C$102+Pressupostos!$C$103-Pressupostos!$F$30*Pressupostos!$C$104*Pressupostos!$C$102/(Pressupostos!$C$105*Pressupostos!$C$106)</f>
        <v>0.02</v>
      </c>
      <c r="G7454" s="60" t="n">
        <f aca="false">Pressupostos!$C$101*Pressupostos!$C$102+Pressupostos!$C$103-Pressupostos!$F$30*Pressupostos!$C$104*Pressupostos!$C$102/(Pressupostos!$C$105*Pressupostos!$C$106)</f>
        <v>0.02</v>
      </c>
      <c r="H7454" s="2" t="s">
        <v>1488</v>
      </c>
    </row>
    <row r="7455" customFormat="false" ht="15" hidden="false" customHeight="false" outlineLevel="1" collapsed="false">
      <c r="A7455" s="7" t="s">
        <v>829</v>
      </c>
      <c r="B7455" s="8" t="s">
        <v>11</v>
      </c>
      <c r="C7455" s="61" t="n">
        <f aca="false">IF(C7454&gt;0,C7154+C7447/C7454,"n/a")</f>
        <v>29704240.917637</v>
      </c>
      <c r="D7455" s="61" t="n">
        <f aca="false">IF(D7454&gt;0,D7154+D7447/D7454,"n/a")</f>
        <v>37522747.2260274</v>
      </c>
      <c r="E7455" s="61" t="n">
        <f aca="false">IF(E7454&gt;0,E7154+E7447/E7454,"n/a")</f>
        <v>42639043.5631422</v>
      </c>
      <c r="F7455" s="61" t="n">
        <f aca="false">IF(F7454&gt;0,F7154+F7447/F7454,"n/a")</f>
        <v>46942151.9842324</v>
      </c>
      <c r="G7455" s="61" t="n">
        <f aca="false">IF(G7454&gt;0,G7154+G7447/G7454,"n/a")</f>
        <v>48510919.5458037</v>
      </c>
      <c r="H7455" s="2" t="s">
        <v>1489</v>
      </c>
    </row>
    <row r="7458" customFormat="false" ht="15" hidden="false" customHeight="false" outlineLevel="0" collapsed="false">
      <c r="A7458" s="111" t="s">
        <v>1512</v>
      </c>
      <c r="B7458" s="112"/>
      <c r="C7458" s="112"/>
      <c r="D7458" s="112"/>
      <c r="E7458" s="112"/>
      <c r="F7458" s="112"/>
      <c r="G7458" s="112"/>
      <c r="H7458" s="112"/>
    </row>
    <row r="7459" customFormat="false" ht="15" hidden="false" customHeight="false" outlineLevel="0" collapsed="false">
      <c r="A7459" s="3" t="s">
        <v>1170</v>
      </c>
      <c r="B7459" s="4"/>
      <c r="C7459" s="4"/>
      <c r="D7459" s="4"/>
      <c r="E7459" s="4"/>
      <c r="F7459" s="4"/>
      <c r="G7459" s="4"/>
      <c r="H7459" s="4"/>
    </row>
    <row r="7460" customFormat="false" ht="15" hidden="false" customHeight="false" outlineLevel="1" collapsed="false">
      <c r="A7460" s="7" t="s">
        <v>588</v>
      </c>
      <c r="B7460" s="8"/>
      <c r="C7460" s="52" t="n">
        <v>2027</v>
      </c>
      <c r="D7460" s="52" t="n">
        <v>2028</v>
      </c>
      <c r="E7460" s="52" t="n">
        <v>2029</v>
      </c>
      <c r="F7460" s="52" t="n">
        <v>2030</v>
      </c>
      <c r="G7460" s="52" t="n">
        <v>2031</v>
      </c>
      <c r="H7460" s="2" t="s">
        <v>20</v>
      </c>
    </row>
    <row r="7461" customFormat="false" ht="15" hidden="false" customHeight="false" outlineLevel="0" collapsed="false">
      <c r="A7461" s="3" t="s">
        <v>1171</v>
      </c>
      <c r="B7461" s="4"/>
      <c r="C7461" s="4"/>
      <c r="D7461" s="4"/>
      <c r="E7461" s="4"/>
      <c r="F7461" s="4"/>
      <c r="G7461" s="4"/>
      <c r="H7461" s="4"/>
    </row>
    <row r="7462" customFormat="false" ht="15" hidden="false" customHeight="false" outlineLevel="1" collapsed="false">
      <c r="A7462" s="7" t="s">
        <v>387</v>
      </c>
      <c r="B7462" s="8" t="s">
        <v>123</v>
      </c>
      <c r="C7462" s="53" t="n">
        <f aca="false">Pressupostos!$C$215</f>
        <v>40</v>
      </c>
      <c r="D7462" s="53" t="n">
        <f aca="false">Pressupostos!$D$215</f>
        <v>150</v>
      </c>
      <c r="E7462" s="53" t="n">
        <f aca="false">Pressupostos!$E$215</f>
        <v>400</v>
      </c>
      <c r="F7462" s="53" t="n">
        <f aca="false">Pressupostos!$F$215</f>
        <v>700</v>
      </c>
      <c r="G7462" s="53" t="n">
        <f aca="false">Pressupostos!$G$215</f>
        <v>1000</v>
      </c>
      <c r="H7462" s="2" t="s">
        <v>1172</v>
      </c>
    </row>
    <row r="7463" customFormat="false" ht="15" hidden="false" customHeight="false" outlineLevel="1" collapsed="false">
      <c r="A7463" s="7" t="s">
        <v>590</v>
      </c>
      <c r="B7463" s="8" t="s">
        <v>120</v>
      </c>
      <c r="C7463" s="54" t="n">
        <f aca="false">Pressupostos!$C$221</f>
        <v>8.2</v>
      </c>
      <c r="D7463" s="54" t="n">
        <f aca="false">Pressupostos!$D$221</f>
        <v>30.75</v>
      </c>
      <c r="E7463" s="54" t="n">
        <f aca="false">Pressupostos!$E$221</f>
        <v>82</v>
      </c>
      <c r="F7463" s="54" t="n">
        <f aca="false">Pressupostos!$F$221</f>
        <v>143.5</v>
      </c>
      <c r="G7463" s="54" t="n">
        <f aca="false">Pressupostos!$G$221</f>
        <v>205</v>
      </c>
      <c r="H7463" s="2" t="s">
        <v>1173</v>
      </c>
    </row>
    <row r="7464" customFormat="false" ht="15" hidden="false" customHeight="false" outlineLevel="1" collapsed="false">
      <c r="A7464" s="7" t="s">
        <v>591</v>
      </c>
      <c r="B7464" s="8" t="s">
        <v>120</v>
      </c>
      <c r="C7464" s="54" t="n">
        <f aca="false">Pressupostos!$C$227</f>
        <v>52</v>
      </c>
      <c r="D7464" s="54" t="n">
        <f aca="false">Pressupostos!$D$227</f>
        <v>363</v>
      </c>
      <c r="E7464" s="54" t="n">
        <f aca="false">Pressupostos!$E$227</f>
        <v>717</v>
      </c>
      <c r="F7464" s="54" t="n">
        <f aca="false">Pressupostos!$F$227</f>
        <v>1183</v>
      </c>
      <c r="G7464" s="54" t="n">
        <f aca="false">Pressupostos!$G$227</f>
        <v>1790</v>
      </c>
      <c r="H7464" s="2" t="s">
        <v>1174</v>
      </c>
    </row>
    <row r="7465" customFormat="false" ht="15" hidden="false" customHeight="false" outlineLevel="1" collapsed="false">
      <c r="A7465" s="7" t="s">
        <v>398</v>
      </c>
      <c r="B7465" s="8" t="s">
        <v>120</v>
      </c>
      <c r="C7465" s="54" t="n">
        <f aca="false">Pressupostos!$C$233</f>
        <v>0</v>
      </c>
      <c r="D7465" s="54" t="n">
        <f aca="false">Pressupostos!$D$233</f>
        <v>500</v>
      </c>
      <c r="E7465" s="54" t="n">
        <f aca="false">Pressupostos!$E$233</f>
        <v>1500</v>
      </c>
      <c r="F7465" s="54" t="n">
        <f aca="false">Pressupostos!$F$233</f>
        <v>2500</v>
      </c>
      <c r="G7465" s="54" t="n">
        <f aca="false">Pressupostos!$G$233</f>
        <v>3500</v>
      </c>
      <c r="H7465" s="2" t="s">
        <v>1175</v>
      </c>
    </row>
    <row r="7466" customFormat="false" ht="15" hidden="false" customHeight="false" outlineLevel="1" collapsed="false">
      <c r="A7466" s="7" t="s">
        <v>592</v>
      </c>
      <c r="B7466" s="8" t="s">
        <v>120</v>
      </c>
      <c r="C7466" s="55" t="n">
        <f aca="false">C7465*(1)</f>
        <v>0</v>
      </c>
      <c r="D7466" s="55" t="n">
        <f aca="false">D7465*(1)</f>
        <v>500</v>
      </c>
      <c r="E7466" s="55" t="n">
        <f aca="false">E7465*(1)</f>
        <v>1500</v>
      </c>
      <c r="F7466" s="55" t="n">
        <f aca="false">F7465*(1)</f>
        <v>2500</v>
      </c>
      <c r="G7466" s="55" t="n">
        <f aca="false">G7465*(1)</f>
        <v>3500</v>
      </c>
      <c r="H7466" s="2" t="s">
        <v>1176</v>
      </c>
    </row>
    <row r="7467" customFormat="false" ht="15" hidden="false" customHeight="false" outlineLevel="1" collapsed="false">
      <c r="A7467" s="7" t="s">
        <v>593</v>
      </c>
      <c r="B7467" s="8" t="s">
        <v>120</v>
      </c>
      <c r="C7467" s="55" t="n">
        <f aca="false">C7465-C7466</f>
        <v>0</v>
      </c>
      <c r="D7467" s="55" t="n">
        <f aca="false">D7465-D7466</f>
        <v>0</v>
      </c>
      <c r="E7467" s="55" t="n">
        <f aca="false">E7465-E7466</f>
        <v>0</v>
      </c>
      <c r="F7467" s="55" t="n">
        <f aca="false">F7465-F7466</f>
        <v>0</v>
      </c>
      <c r="G7467" s="55" t="n">
        <f aca="false">G7465-G7466</f>
        <v>0</v>
      </c>
      <c r="H7467" s="2" t="s">
        <v>1177</v>
      </c>
    </row>
    <row r="7468" customFormat="false" ht="15" hidden="false" customHeight="false" outlineLevel="1" collapsed="false">
      <c r="A7468" s="56" t="s">
        <v>594</v>
      </c>
      <c r="B7468" s="57" t="s">
        <v>120</v>
      </c>
      <c r="C7468" s="58" t="n">
        <f aca="false">C7463+C7464+C7465</f>
        <v>60.2</v>
      </c>
      <c r="D7468" s="58" t="n">
        <f aca="false">D7463+D7464+D7465</f>
        <v>893.75</v>
      </c>
      <c r="E7468" s="58" t="n">
        <f aca="false">E7463+E7464+E7465</f>
        <v>2299</v>
      </c>
      <c r="F7468" s="58" t="n">
        <f aca="false">F7463+F7464+F7465</f>
        <v>3826.5</v>
      </c>
      <c r="G7468" s="58" t="n">
        <f aca="false">G7463+G7464+G7465</f>
        <v>5495</v>
      </c>
      <c r="H7468" s="2" t="s">
        <v>1178</v>
      </c>
    </row>
    <row r="7469" customFormat="false" ht="15" hidden="false" customHeight="false" outlineLevel="1" collapsed="false">
      <c r="A7469" s="7" t="s">
        <v>595</v>
      </c>
      <c r="B7469" s="8" t="s">
        <v>76</v>
      </c>
      <c r="C7469" s="59" t="n">
        <f aca="false">IF(C7468&gt;0,C7463/C7468,0)</f>
        <v>0.136212624584718</v>
      </c>
      <c r="D7469" s="59" t="n">
        <f aca="false">IF(D7468&gt;0,D7463/D7468,0)</f>
        <v>0.0344055944055944</v>
      </c>
      <c r="E7469" s="59" t="n">
        <f aca="false">IF(E7468&gt;0,E7463/E7468,0)</f>
        <v>0.035667681600696</v>
      </c>
      <c r="F7469" s="59" t="n">
        <f aca="false">IF(F7468&gt;0,F7463/F7468,0)</f>
        <v>0.0375016333464001</v>
      </c>
      <c r="G7469" s="59" t="n">
        <f aca="false">IF(G7468&gt;0,G7463/G7468,0)</f>
        <v>0.0373066424021838</v>
      </c>
      <c r="H7469" s="2" t="s">
        <v>1179</v>
      </c>
    </row>
    <row r="7470" customFormat="false" ht="15" hidden="false" customHeight="false" outlineLevel="1" collapsed="false">
      <c r="A7470" s="7" t="s">
        <v>596</v>
      </c>
      <c r="B7470" s="8" t="s">
        <v>76</v>
      </c>
      <c r="C7470" s="60" t="n">
        <f aca="false">C7468/(Pressupostos!$C$76*1000)</f>
        <v>0.000355162241887906</v>
      </c>
      <c r="D7470" s="60" t="n">
        <f aca="false">D7468/(Pressupostos!$C$76*1000)</f>
        <v>0.00527286135693215</v>
      </c>
      <c r="E7470" s="60" t="n">
        <f aca="false">E7468/(Pressupostos!$C$76*1000)</f>
        <v>0.0135634218289086</v>
      </c>
      <c r="F7470" s="60" t="n">
        <f aca="false">F7468/(Pressupostos!$C$76*1000)</f>
        <v>0.0225752212389381</v>
      </c>
      <c r="G7470" s="60" t="n">
        <f aca="false">G7468/(Pressupostos!$C$76*1000)</f>
        <v>0.0324188790560472</v>
      </c>
      <c r="H7470" s="2" t="s">
        <v>1180</v>
      </c>
    </row>
    <row r="7471" customFormat="false" ht="15" hidden="false" customHeight="false" outlineLevel="1" collapsed="false">
      <c r="A7471" s="7" t="s">
        <v>597</v>
      </c>
      <c r="B7471" s="8" t="s">
        <v>123</v>
      </c>
      <c r="C7471" s="55" t="n">
        <f aca="false">C7463/Pressupostos!$C$40+C7464/Pressupostos!$C$47+C7465/Pressupostos!$C$59</f>
        <v>2.14333333333333</v>
      </c>
      <c r="D7471" s="55" t="n">
        <f aca="false">D7463/Pressupostos!$C$40+D7464/Pressupostos!$C$47+D7465/Pressupostos!$C$59</f>
        <v>18.6375</v>
      </c>
      <c r="E7471" s="55" t="n">
        <f aca="false">E7463/Pressupostos!$C$40+E7464/Pressupostos!$C$47+E7465/Pressupostos!$C$59</f>
        <v>43</v>
      </c>
      <c r="F7471" s="55" t="n">
        <f aca="false">F7463/Pressupostos!$C$40+F7464/Pressupostos!$C$47+F7465/Pressupostos!$C$59</f>
        <v>71.6083333333333</v>
      </c>
      <c r="G7471" s="55" t="n">
        <f aca="false">G7463/Pressupostos!$C$40+G7464/Pressupostos!$C$47+G7465/Pressupostos!$C$59</f>
        <v>104.916666666667</v>
      </c>
      <c r="H7471" s="2" t="s">
        <v>1181</v>
      </c>
    </row>
    <row r="7472" customFormat="false" ht="15" hidden="false" customHeight="false" outlineLevel="0" collapsed="false">
      <c r="A7472" s="3" t="s">
        <v>1182</v>
      </c>
      <c r="B7472" s="4"/>
      <c r="C7472" s="4"/>
      <c r="D7472" s="4"/>
      <c r="E7472" s="4"/>
      <c r="F7472" s="4"/>
      <c r="G7472" s="4"/>
      <c r="H7472" s="4"/>
    </row>
    <row r="7473" customFormat="false" ht="15" hidden="false" customHeight="false" outlineLevel="1" collapsed="false">
      <c r="A7473" s="7" t="s">
        <v>599</v>
      </c>
      <c r="B7473" s="8" t="s">
        <v>202</v>
      </c>
      <c r="C7473" s="53" t="n">
        <f aca="false">Pressupostos!$C$259</f>
        <v>36</v>
      </c>
      <c r="D7473" s="53" t="n">
        <f aca="false">Pressupostos!$D$259</f>
        <v>135</v>
      </c>
      <c r="E7473" s="53" t="n">
        <f aca="false">Pressupostos!$E$259</f>
        <v>360</v>
      </c>
      <c r="F7473" s="53" t="n">
        <f aca="false">Pressupostos!$F$259</f>
        <v>630</v>
      </c>
      <c r="G7473" s="53" t="n">
        <f aca="false">Pressupostos!$G$259</f>
        <v>900</v>
      </c>
      <c r="H7473" s="2" t="s">
        <v>1183</v>
      </c>
    </row>
    <row r="7474" customFormat="false" ht="15" hidden="false" customHeight="false" outlineLevel="1" collapsed="false">
      <c r="A7474" s="7" t="s">
        <v>599</v>
      </c>
      <c r="B7474" s="8" t="s">
        <v>189</v>
      </c>
      <c r="C7474" s="61" t="n">
        <f aca="false">C7473*Pressupostos!$C$78</f>
        <v>27000</v>
      </c>
      <c r="D7474" s="61" t="n">
        <f aca="false">D7473*Pressupostos!$C$78</f>
        <v>101250</v>
      </c>
      <c r="E7474" s="61" t="n">
        <f aca="false">E7473*Pressupostos!$C$78</f>
        <v>270000</v>
      </c>
      <c r="F7474" s="61" t="n">
        <f aca="false">F7473*Pressupostos!$C$78</f>
        <v>472500</v>
      </c>
      <c r="G7474" s="61" t="n">
        <f aca="false">G7473*Pressupostos!$C$78</f>
        <v>675000</v>
      </c>
      <c r="H7474" s="2" t="s">
        <v>1184</v>
      </c>
    </row>
    <row r="7475" customFormat="false" ht="15" hidden="false" customHeight="false" outlineLevel="0" collapsed="false">
      <c r="A7475" s="3" t="s">
        <v>1185</v>
      </c>
      <c r="B7475" s="4"/>
      <c r="C7475" s="4"/>
      <c r="D7475" s="4"/>
      <c r="E7475" s="4"/>
      <c r="F7475" s="4"/>
      <c r="G7475" s="4"/>
      <c r="H7475" s="4"/>
    </row>
    <row r="7476" customFormat="false" ht="15" hidden="false" customHeight="false" outlineLevel="1" collapsed="false">
      <c r="A7476" s="7" t="s">
        <v>601</v>
      </c>
      <c r="B7476" s="8" t="s">
        <v>120</v>
      </c>
      <c r="C7476" s="55" t="n">
        <f aca="false">IF(C7460&lt;Pressupostos!$F$28,0,Pressupostos!$C$265)</f>
        <v>0</v>
      </c>
      <c r="D7476" s="55" t="n">
        <f aca="false">IF(D7460&lt;Pressupostos!$F$28,0,Pressupostos!$D$265)</f>
        <v>0</v>
      </c>
      <c r="E7476" s="55" t="n">
        <f aca="false">IF(E7460&lt;Pressupostos!$F$28,0,Pressupostos!$E$265)</f>
        <v>0</v>
      </c>
      <c r="F7476" s="55" t="n">
        <f aca="false">IF(F7460&lt;Pressupostos!$F$28,0,Pressupostos!$F$265)</f>
        <v>20</v>
      </c>
      <c r="G7476" s="55" t="n">
        <f aca="false">IF(G7460&lt;Pressupostos!$F$28,0,Pressupostos!$G$265)</f>
        <v>50</v>
      </c>
      <c r="H7476" s="2" t="s">
        <v>1186</v>
      </c>
    </row>
    <row r="7477" customFormat="false" ht="15" hidden="false" customHeight="false" outlineLevel="0" collapsed="false">
      <c r="A7477" s="3" t="s">
        <v>1187</v>
      </c>
      <c r="B7477" s="4"/>
      <c r="C7477" s="4"/>
      <c r="D7477" s="4"/>
      <c r="E7477" s="4"/>
      <c r="F7477" s="4"/>
      <c r="G7477" s="4"/>
      <c r="H7477" s="4"/>
    </row>
    <row r="7478" customFormat="false" ht="15" hidden="false" customHeight="false" outlineLevel="1" collapsed="false">
      <c r="A7478" s="7" t="s">
        <v>603</v>
      </c>
      <c r="B7478" s="8" t="s">
        <v>11</v>
      </c>
      <c r="C7478" s="53" t="n">
        <f aca="false">Pressupostos!$C$271</f>
        <v>0</v>
      </c>
      <c r="D7478" s="53" t="n">
        <f aca="false">Pressupostos!$D$271</f>
        <v>500000</v>
      </c>
      <c r="E7478" s="53" t="n">
        <f aca="false">Pressupostos!$E$271</f>
        <v>1500000</v>
      </c>
      <c r="F7478" s="53" t="n">
        <f aca="false">Pressupostos!$F$271</f>
        <v>3000000</v>
      </c>
      <c r="G7478" s="53" t="n">
        <f aca="false">Pressupostos!$G$271</f>
        <v>5000000</v>
      </c>
      <c r="H7478" s="2" t="s">
        <v>1188</v>
      </c>
    </row>
    <row r="7479" customFormat="false" ht="15" hidden="false" customHeight="false" outlineLevel="1" collapsed="false">
      <c r="A7479" s="7" t="s">
        <v>604</v>
      </c>
      <c r="B7479" s="8" t="s">
        <v>120</v>
      </c>
      <c r="C7479" s="55" t="n">
        <f aca="false">C7478/(Pressupostos!$C$105*Pressupostos!$C$106)*Pressupostos!$C$102/1000</f>
        <v>0</v>
      </c>
      <c r="D7479" s="55" t="n">
        <f aca="false">D7478/(Pressupostos!$C$105*Pressupostos!$C$106)*Pressupostos!$C$102/1000</f>
        <v>457.142857142857</v>
      </c>
      <c r="E7479" s="55" t="n">
        <f aca="false">E7478/(Pressupostos!$C$105*Pressupostos!$C$106)*Pressupostos!$C$102/1000</f>
        <v>1371.42857142857</v>
      </c>
      <c r="F7479" s="55" t="n">
        <f aca="false">F7478/(Pressupostos!$C$105*Pressupostos!$C$106)*Pressupostos!$C$102/1000</f>
        <v>2742.85714285714</v>
      </c>
      <c r="G7479" s="55" t="n">
        <f aca="false">G7478/(Pressupostos!$C$105*Pressupostos!$C$106)*Pressupostos!$C$102/1000</f>
        <v>4571.42857142857</v>
      </c>
      <c r="H7479" s="2" t="s">
        <v>1189</v>
      </c>
    </row>
    <row r="7480" customFormat="false" ht="15" hidden="false" customHeight="false" outlineLevel="0" collapsed="false">
      <c r="A7480" s="3" t="s">
        <v>1190</v>
      </c>
      <c r="B7480" s="4"/>
      <c r="C7480" s="4"/>
      <c r="D7480" s="4"/>
      <c r="E7480" s="4"/>
      <c r="F7480" s="4"/>
      <c r="G7480" s="4"/>
      <c r="H7480" s="4"/>
    </row>
    <row r="7481" customFormat="false" ht="15" hidden="false" customHeight="false" outlineLevel="1" collapsed="false">
      <c r="A7481" s="7" t="s">
        <v>669</v>
      </c>
      <c r="B7481" s="8" t="s">
        <v>64</v>
      </c>
      <c r="C7481" s="63" t="n">
        <f aca="false">Pressupostos!$F$10+Pressupostos!$F$11</f>
        <v>3.65</v>
      </c>
      <c r="D7481" s="63" t="n">
        <f aca="false">Pressupostos!$F$10+Pressupostos!$F$11</f>
        <v>3.65</v>
      </c>
      <c r="E7481" s="63" t="n">
        <f aca="false">Pressupostos!$F$10+Pressupostos!$F$11</f>
        <v>3.65</v>
      </c>
      <c r="F7481" s="63" t="n">
        <f aca="false">Pressupostos!$F$10+Pressupostos!$F$11</f>
        <v>3.65</v>
      </c>
      <c r="G7481" s="63" t="n">
        <f aca="false">Pressupostos!$F$10+Pressupostos!$F$11</f>
        <v>3.65</v>
      </c>
      <c r="H7481" s="2" t="s">
        <v>1191</v>
      </c>
    </row>
    <row r="7482" customFormat="false" ht="15" hidden="false" customHeight="false" outlineLevel="1" collapsed="false">
      <c r="A7482" s="7" t="s">
        <v>670</v>
      </c>
      <c r="B7482" s="8" t="s">
        <v>64</v>
      </c>
      <c r="C7482" s="67" t="n">
        <f aca="false">Pressupostos!$F$15</f>
        <v>6</v>
      </c>
      <c r="D7482" s="67" t="n">
        <f aca="false">Pressupostos!$F$15</f>
        <v>6</v>
      </c>
      <c r="E7482" s="67" t="n">
        <f aca="false">Pressupostos!$F$15</f>
        <v>6</v>
      </c>
      <c r="F7482" s="67" t="n">
        <f aca="false">Pressupostos!$F$15</f>
        <v>6</v>
      </c>
      <c r="G7482" s="67" t="n">
        <f aca="false">Pressupostos!$F$15</f>
        <v>6</v>
      </c>
      <c r="H7482" s="2" t="s">
        <v>1192</v>
      </c>
    </row>
    <row r="7483" customFormat="false" ht="15" hidden="false" customHeight="false" outlineLevel="1" collapsed="false">
      <c r="A7483" s="56" t="s">
        <v>671</v>
      </c>
      <c r="B7483" s="57" t="s">
        <v>64</v>
      </c>
      <c r="C7483" s="68" t="n">
        <f aca="false">C7482*(1-Pressupostos!$F$16)</f>
        <v>5.4</v>
      </c>
      <c r="D7483" s="68" t="n">
        <f aca="false">D7482*(1-Pressupostos!$F$16)</f>
        <v>5.4</v>
      </c>
      <c r="E7483" s="68" t="n">
        <f aca="false">E7482*(1-Pressupostos!$F$16)</f>
        <v>5.4</v>
      </c>
      <c r="F7483" s="68" t="n">
        <f aca="false">F7482*(1-Pressupostos!$F$16)</f>
        <v>5.4</v>
      </c>
      <c r="G7483" s="68" t="n">
        <f aca="false">G7482*(1-Pressupostos!$F$16)</f>
        <v>5.4</v>
      </c>
      <c r="H7483" s="2" t="s">
        <v>1193</v>
      </c>
    </row>
    <row r="7484" customFormat="false" ht="15" hidden="false" customHeight="false" outlineLevel="1" collapsed="false">
      <c r="A7484" s="7" t="s">
        <v>144</v>
      </c>
      <c r="B7484" s="8" t="s">
        <v>64</v>
      </c>
      <c r="C7484" s="67" t="n">
        <f aca="false">Pressupostos!$C$38</f>
        <v>0.55</v>
      </c>
      <c r="D7484" s="67" t="n">
        <f aca="false">Pressupostos!$C$38</f>
        <v>0.55</v>
      </c>
      <c r="E7484" s="67" t="n">
        <f aca="false">Pressupostos!$C$38</f>
        <v>0.55</v>
      </c>
      <c r="F7484" s="67" t="n">
        <f aca="false">Pressupostos!$C$38</f>
        <v>0.55</v>
      </c>
      <c r="G7484" s="67" t="n">
        <f aca="false">Pressupostos!$C$38</f>
        <v>0.55</v>
      </c>
      <c r="H7484" s="2" t="s">
        <v>1194</v>
      </c>
    </row>
    <row r="7485" customFormat="false" ht="15" hidden="false" customHeight="false" outlineLevel="1" collapsed="false">
      <c r="A7485" s="7" t="s">
        <v>215</v>
      </c>
      <c r="B7485" s="8" t="s">
        <v>64</v>
      </c>
      <c r="C7485" s="67" t="n">
        <f aca="false">Pressupostos!$C$240</f>
        <v>0.3</v>
      </c>
      <c r="D7485" s="67" t="n">
        <f aca="false">Pressupostos!$D$240</f>
        <v>0.3</v>
      </c>
      <c r="E7485" s="67" t="n">
        <f aca="false">Pressupostos!$E$240</f>
        <v>0.28</v>
      </c>
      <c r="F7485" s="67" t="n">
        <f aca="false">Pressupostos!$F$240</f>
        <v>0.27</v>
      </c>
      <c r="G7485" s="67" t="n">
        <f aca="false">Pressupostos!$G$240</f>
        <v>0.27</v>
      </c>
      <c r="H7485" s="2" t="s">
        <v>1195</v>
      </c>
    </row>
    <row r="7486" customFormat="false" ht="15" hidden="false" customHeight="false" outlineLevel="1" collapsed="false">
      <c r="A7486" s="7" t="s">
        <v>117</v>
      </c>
      <c r="B7486" s="8" t="s">
        <v>64</v>
      </c>
      <c r="C7486" s="67" t="n">
        <f aca="false">Pressupostos!$C$39</f>
        <v>0.06</v>
      </c>
      <c r="D7486" s="67" t="n">
        <f aca="false">Pressupostos!$C$39</f>
        <v>0.06</v>
      </c>
      <c r="E7486" s="67" t="n">
        <f aca="false">Pressupostos!$C$39</f>
        <v>0.06</v>
      </c>
      <c r="F7486" s="67" t="n">
        <f aca="false">Pressupostos!$C$39</f>
        <v>0.06</v>
      </c>
      <c r="G7486" s="67" t="n">
        <f aca="false">Pressupostos!$C$39</f>
        <v>0.06</v>
      </c>
      <c r="H7486" s="2" t="s">
        <v>1196</v>
      </c>
    </row>
    <row r="7487" customFormat="false" ht="15" hidden="false" customHeight="false" outlineLevel="1" collapsed="false">
      <c r="A7487" s="7" t="s">
        <v>91</v>
      </c>
      <c r="B7487" s="8" t="s">
        <v>79</v>
      </c>
      <c r="C7487" s="69" t="n">
        <f aca="false">Pressupostos!$C$246</f>
        <v>180</v>
      </c>
      <c r="D7487" s="69" t="n">
        <f aca="false">Pressupostos!$D$246</f>
        <v>180</v>
      </c>
      <c r="E7487" s="69" t="n">
        <f aca="false">Pressupostos!$E$246</f>
        <v>45</v>
      </c>
      <c r="F7487" s="69" t="n">
        <f aca="false">Pressupostos!$F$246</f>
        <v>45</v>
      </c>
      <c r="G7487" s="69" t="n">
        <f aca="false">Pressupostos!$G$246</f>
        <v>45</v>
      </c>
      <c r="H7487" s="2" t="s">
        <v>1197</v>
      </c>
    </row>
    <row r="7488" customFormat="false" ht="15" hidden="false" customHeight="false" outlineLevel="1" collapsed="false">
      <c r="A7488" s="7" t="s">
        <v>78</v>
      </c>
      <c r="B7488" s="8" t="s">
        <v>79</v>
      </c>
      <c r="C7488" s="69" t="n">
        <f aca="false">Pressupostos!$F$17</f>
        <v>35</v>
      </c>
      <c r="D7488" s="69" t="n">
        <f aca="false">Pressupostos!$F$17</f>
        <v>35</v>
      </c>
      <c r="E7488" s="69" t="n">
        <f aca="false">Pressupostos!$F$17</f>
        <v>35</v>
      </c>
      <c r="F7488" s="69" t="n">
        <f aca="false">Pressupostos!$F$17</f>
        <v>35</v>
      </c>
      <c r="G7488" s="69" t="n">
        <f aca="false">Pressupostos!$F$17</f>
        <v>35</v>
      </c>
      <c r="H7488" s="2" t="s">
        <v>1198</v>
      </c>
    </row>
    <row r="7489" customFormat="false" ht="15" hidden="false" customHeight="false" outlineLevel="1" collapsed="false">
      <c r="A7489" s="7" t="s">
        <v>490</v>
      </c>
      <c r="B7489" s="8" t="s">
        <v>64</v>
      </c>
      <c r="C7489" s="63" t="n">
        <f aca="false">Pressupostos!$C$66*C7487/30/1000</f>
        <v>0.024</v>
      </c>
      <c r="D7489" s="63" t="n">
        <f aca="false">Pressupostos!$C$66*D7487/30/1000</f>
        <v>0.024</v>
      </c>
      <c r="E7489" s="63" t="n">
        <f aca="false">Pressupostos!$C$66*E7487/30/1000</f>
        <v>0.006</v>
      </c>
      <c r="F7489" s="63" t="n">
        <f aca="false">Pressupostos!$C$66*F7487/30/1000</f>
        <v>0.006</v>
      </c>
      <c r="G7489" s="63" t="n">
        <f aca="false">Pressupostos!$C$66*G7487/30/1000</f>
        <v>0.006</v>
      </c>
      <c r="H7489" s="2" t="s">
        <v>1199</v>
      </c>
    </row>
    <row r="7490" customFormat="false" ht="15" hidden="false" customHeight="false" outlineLevel="1" collapsed="false">
      <c r="A7490" s="7" t="s">
        <v>165</v>
      </c>
      <c r="B7490" s="8" t="s">
        <v>64</v>
      </c>
      <c r="C7490" s="63" t="n">
        <f aca="false">C7481*Pressupostos!$C$67*C7487/365</f>
        <v>0.0036</v>
      </c>
      <c r="D7490" s="63" t="n">
        <f aca="false">D7481*Pressupostos!$C$67*D7487/365</f>
        <v>0.0036</v>
      </c>
      <c r="E7490" s="63" t="n">
        <f aca="false">E7481*Pressupostos!$C$67*E7487/365</f>
        <v>0.0009</v>
      </c>
      <c r="F7490" s="63" t="n">
        <f aca="false">F7481*Pressupostos!$C$67*F7487/365</f>
        <v>0.0009</v>
      </c>
      <c r="G7490" s="63" t="n">
        <f aca="false">G7481*Pressupostos!$C$67*G7487/365</f>
        <v>0.0009</v>
      </c>
      <c r="H7490" s="2" t="s">
        <v>1200</v>
      </c>
    </row>
    <row r="7491" customFormat="false" ht="15" hidden="false" customHeight="false" outlineLevel="1" collapsed="false">
      <c r="A7491" s="7" t="s">
        <v>672</v>
      </c>
      <c r="B7491" s="8" t="s">
        <v>64</v>
      </c>
      <c r="C7491" s="63" t="n">
        <f aca="false">Pressupostos!$C$41*Pressupostos!$C$68/(Pressupostos!$C$40*1000)</f>
        <v>0.03</v>
      </c>
      <c r="D7491" s="63" t="n">
        <f aca="false">Pressupostos!$C$41*Pressupostos!$C$68/(Pressupostos!$C$40*1000)</f>
        <v>0.03</v>
      </c>
      <c r="E7491" s="63" t="n">
        <f aca="false">Pressupostos!$C$41*Pressupostos!$C$68/(Pressupostos!$C$40*1000)</f>
        <v>0.03</v>
      </c>
      <c r="F7491" s="63" t="n">
        <f aca="false">Pressupostos!$C$41*Pressupostos!$C$68/(Pressupostos!$C$40*1000)</f>
        <v>0.03</v>
      </c>
      <c r="G7491" s="63" t="n">
        <f aca="false">Pressupostos!$C$41*Pressupostos!$C$68/(Pressupostos!$C$40*1000)</f>
        <v>0.03</v>
      </c>
      <c r="H7491" s="2" t="s">
        <v>1201</v>
      </c>
    </row>
    <row r="7492" customFormat="false" ht="15" hidden="false" customHeight="false" outlineLevel="1" collapsed="false">
      <c r="A7492" s="7" t="s">
        <v>492</v>
      </c>
      <c r="B7492" s="8" t="s">
        <v>64</v>
      </c>
      <c r="C7492" s="63" t="n">
        <f aca="false">Pressupostos!$C$69*C7481</f>
        <v>0.01825</v>
      </c>
      <c r="D7492" s="63" t="n">
        <f aca="false">Pressupostos!$C$69*D7481</f>
        <v>0.01825</v>
      </c>
      <c r="E7492" s="63" t="n">
        <f aca="false">Pressupostos!$C$69*E7481</f>
        <v>0.01825</v>
      </c>
      <c r="F7492" s="63" t="n">
        <f aca="false">Pressupostos!$C$69*F7481</f>
        <v>0.01825</v>
      </c>
      <c r="G7492" s="63" t="n">
        <f aca="false">Pressupostos!$C$69*G7481</f>
        <v>0.01825</v>
      </c>
      <c r="H7492" s="2" t="s">
        <v>1202</v>
      </c>
    </row>
    <row r="7493" customFormat="false" ht="15" hidden="false" customHeight="false" outlineLevel="1" collapsed="false">
      <c r="A7493" s="7" t="s">
        <v>493</v>
      </c>
      <c r="B7493" s="8" t="s">
        <v>64</v>
      </c>
      <c r="C7493" s="63" t="n">
        <f aca="false">Pressupostos!$C$70*Pressupostos!$C$71*C7487/90</f>
        <v>0.018</v>
      </c>
      <c r="D7493" s="63" t="n">
        <f aca="false">Pressupostos!$C$70*Pressupostos!$C$71*D7487/90</f>
        <v>0.018</v>
      </c>
      <c r="E7493" s="63" t="n">
        <f aca="false">Pressupostos!$C$70*Pressupostos!$C$71*E7487/90</f>
        <v>0.0045</v>
      </c>
      <c r="F7493" s="63" t="n">
        <f aca="false">Pressupostos!$C$70*Pressupostos!$C$71*F7487/90</f>
        <v>0.0045</v>
      </c>
      <c r="G7493" s="63" t="n">
        <f aca="false">Pressupostos!$C$70*Pressupostos!$C$71*G7487/90</f>
        <v>0.0045</v>
      </c>
      <c r="H7493" s="2" t="s">
        <v>1203</v>
      </c>
    </row>
    <row r="7494" customFormat="false" ht="15" hidden="false" customHeight="false" outlineLevel="1" collapsed="false">
      <c r="A7494" s="7" t="s">
        <v>673</v>
      </c>
      <c r="B7494" s="8" t="s">
        <v>64</v>
      </c>
      <c r="C7494" s="63" t="n">
        <f aca="false">Pressupostos!$C$42/(Pressupostos!$C$40*1000)</f>
        <v>0.1</v>
      </c>
      <c r="D7494" s="63" t="n">
        <f aca="false">Pressupostos!$C$42/(Pressupostos!$C$40*1000)</f>
        <v>0.1</v>
      </c>
      <c r="E7494" s="63" t="n">
        <f aca="false">Pressupostos!$C$42/(Pressupostos!$C$40*1000)</f>
        <v>0.1</v>
      </c>
      <c r="F7494" s="63" t="n">
        <f aca="false">Pressupostos!$C$42/(Pressupostos!$C$40*1000)</f>
        <v>0.1</v>
      </c>
      <c r="G7494" s="63" t="n">
        <f aca="false">Pressupostos!$C$42/(Pressupostos!$C$40*1000)</f>
        <v>0.1</v>
      </c>
      <c r="H7494" s="2" t="s">
        <v>1204</v>
      </c>
    </row>
    <row r="7495" customFormat="false" ht="15" hidden="false" customHeight="false" outlineLevel="1" collapsed="false">
      <c r="A7495" s="7" t="s">
        <v>139</v>
      </c>
      <c r="B7495" s="8" t="s">
        <v>64</v>
      </c>
      <c r="C7495" s="67" t="n">
        <f aca="false">Pressupostos!$C$43</f>
        <v>0.01</v>
      </c>
      <c r="D7495" s="67" t="n">
        <f aca="false">Pressupostos!$C$43</f>
        <v>0.01</v>
      </c>
      <c r="E7495" s="67" t="n">
        <f aca="false">Pressupostos!$C$43</f>
        <v>0.01</v>
      </c>
      <c r="F7495" s="67" t="n">
        <f aca="false">Pressupostos!$C$43</f>
        <v>0.01</v>
      </c>
      <c r="G7495" s="67" t="n">
        <f aca="false">Pressupostos!$C$43</f>
        <v>0.01</v>
      </c>
      <c r="H7495" s="2" t="s">
        <v>1205</v>
      </c>
    </row>
    <row r="7496" customFormat="false" ht="15" hidden="false" customHeight="false" outlineLevel="1" collapsed="false">
      <c r="A7496" s="7" t="s">
        <v>81</v>
      </c>
      <c r="B7496" s="8" t="s">
        <v>64</v>
      </c>
      <c r="C7496" s="63" t="n">
        <f aca="false">Pressupostos!$F$18*C7483</f>
        <v>0.0324</v>
      </c>
      <c r="D7496" s="63" t="n">
        <f aca="false">Pressupostos!$F$18*D7483</f>
        <v>0.0324</v>
      </c>
      <c r="E7496" s="63" t="n">
        <f aca="false">Pressupostos!$F$18*E7483</f>
        <v>0.0324</v>
      </c>
      <c r="F7496" s="63" t="n">
        <f aca="false">Pressupostos!$F$18*F7483</f>
        <v>0.0324</v>
      </c>
      <c r="G7496" s="63" t="n">
        <f aca="false">Pressupostos!$F$18*G7483</f>
        <v>0.0324</v>
      </c>
      <c r="H7496" s="2" t="s">
        <v>1206</v>
      </c>
    </row>
    <row r="7497" customFormat="false" ht="15" hidden="false" customHeight="false" outlineLevel="1" collapsed="false">
      <c r="A7497" s="7" t="s">
        <v>674</v>
      </c>
      <c r="B7497" s="8" t="s">
        <v>64</v>
      </c>
      <c r="C7497" s="63" t="n">
        <f aca="false">Pressupostos!$C$73*C7483</f>
        <v>0</v>
      </c>
      <c r="D7497" s="63" t="n">
        <f aca="false">Pressupostos!$C$73*D7483</f>
        <v>0</v>
      </c>
      <c r="E7497" s="63" t="n">
        <f aca="false">Pressupostos!$C$73*E7483</f>
        <v>0</v>
      </c>
      <c r="F7497" s="63" t="n">
        <f aca="false">Pressupostos!$C$73*F7483</f>
        <v>0</v>
      </c>
      <c r="G7497" s="63" t="n">
        <f aca="false">Pressupostos!$C$73*G7483</f>
        <v>0</v>
      </c>
      <c r="H7497" s="2" t="s">
        <v>1207</v>
      </c>
    </row>
    <row r="7498" customFormat="false" ht="15" hidden="false" customHeight="false" outlineLevel="1" collapsed="false">
      <c r="A7498" s="7" t="s">
        <v>675</v>
      </c>
      <c r="B7498" s="8" t="s">
        <v>64</v>
      </c>
      <c r="C7498" s="63" t="n">
        <f aca="false">Pressupostos!$C$290*(C7481+C7484)*(C7487+C7488-Pressupostos!$C$72)/365*Pressupostos!$C$284/Pressupostos!$F$31</f>
        <v>0</v>
      </c>
      <c r="D7498" s="63" t="n">
        <f aca="false">Pressupostos!$D$290*(D7481+D7484)*(D7487+D7488-Pressupostos!$C$72)/365*Pressupostos!$D$284/Pressupostos!$F$31</f>
        <v>0.159657534246575</v>
      </c>
      <c r="E7498" s="63" t="n">
        <f aca="false">Pressupostos!$E$290*(E7481+E7484)*(E7487+E7488-Pressupostos!$C$72)/365*Pressupostos!$E$284/Pressupostos!$F$31</f>
        <v>0.0404537671232877</v>
      </c>
      <c r="F7498" s="63" t="n">
        <f aca="false">Pressupostos!$F$290*(F7481+F7484)*(F7487+F7488-Pressupostos!$C$72)/365*Pressupostos!$F$284/Pressupostos!$F$31</f>
        <v>0.0377568493150685</v>
      </c>
      <c r="G7498" s="63" t="n">
        <f aca="false">Pressupostos!$G$290*(G7481+G7484)*(G7487+G7488-Pressupostos!$C$72)/365*Pressupostos!$G$284/Pressupostos!$F$31</f>
        <v>0.0377568493150685</v>
      </c>
      <c r="H7498" s="2" t="s">
        <v>1208</v>
      </c>
    </row>
    <row r="7499" customFormat="false" ht="15" hidden="false" customHeight="false" outlineLevel="1" collapsed="false">
      <c r="A7499" s="7" t="s">
        <v>676</v>
      </c>
      <c r="B7499" s="8" t="s">
        <v>64</v>
      </c>
      <c r="C7499" s="63" t="n">
        <f aca="false">C7481+C7484+C7485+C7486+C7489+C7490+C7491+C7492+C7493+C7494+C7495+C7496+C7497+C7498</f>
        <v>4.79625</v>
      </c>
      <c r="D7499" s="63" t="n">
        <f aca="false">D7481+D7484+D7485+D7486+D7489+D7490+D7491+D7492+D7493+D7494+D7495+D7496+D7497+D7498</f>
        <v>4.95590753424657</v>
      </c>
      <c r="E7499" s="63" t="n">
        <f aca="false">E7481+E7484+E7485+E7486+E7489+E7490+E7491+E7492+E7493+E7494+E7495+E7496+E7497+E7498</f>
        <v>4.78250376712329</v>
      </c>
      <c r="F7499" s="63" t="n">
        <f aca="false">F7481+F7484+F7485+F7486+F7489+F7490+F7491+F7492+F7493+F7494+F7495+F7496+F7497+F7498</f>
        <v>4.76980684931507</v>
      </c>
      <c r="G7499" s="63" t="n">
        <f aca="false">G7481+G7484+G7485+G7486+G7489+G7490+G7491+G7492+G7493+G7494+G7495+G7496+G7497+G7498</f>
        <v>4.76980684931507</v>
      </c>
      <c r="H7499" s="2" t="s">
        <v>1209</v>
      </c>
    </row>
    <row r="7500" customFormat="false" ht="15" hidden="false" customHeight="false" outlineLevel="1" collapsed="false">
      <c r="A7500" s="56" t="s">
        <v>677</v>
      </c>
      <c r="B7500" s="57" t="s">
        <v>64</v>
      </c>
      <c r="C7500" s="68" t="n">
        <f aca="false">C7483-C7499</f>
        <v>0.603750000000002</v>
      </c>
      <c r="D7500" s="68" t="n">
        <f aca="false">D7483-D7499</f>
        <v>0.444092465753426</v>
      </c>
      <c r="E7500" s="68" t="n">
        <f aca="false">E7483-E7499</f>
        <v>0.617496232876713</v>
      </c>
      <c r="F7500" s="68" t="n">
        <f aca="false">F7483-F7499</f>
        <v>0.630193150684931</v>
      </c>
      <c r="G7500" s="68" t="n">
        <f aca="false">G7483-G7499</f>
        <v>0.630193150684931</v>
      </c>
      <c r="H7500" s="2" t="s">
        <v>1210</v>
      </c>
    </row>
    <row r="7501" customFormat="false" ht="15" hidden="false" customHeight="false" outlineLevel="1" collapsed="false">
      <c r="A7501" s="7" t="s">
        <v>678</v>
      </c>
      <c r="B7501" s="8" t="s">
        <v>76</v>
      </c>
      <c r="C7501" s="59" t="n">
        <f aca="false">IF(C7483&gt;0,C7500/C7483,0)</f>
        <v>0.111805555555556</v>
      </c>
      <c r="D7501" s="59" t="n">
        <f aca="false">IF(D7483&gt;0,D7500/D7483,0)</f>
        <v>0.0822393455098938</v>
      </c>
      <c r="E7501" s="59" t="n">
        <f aca="false">IF(E7483&gt;0,E7500/E7483,0)</f>
        <v>0.114351154236428</v>
      </c>
      <c r="F7501" s="59" t="n">
        <f aca="false">IF(F7483&gt;0,F7500/F7483,0)</f>
        <v>0.116702435312024</v>
      </c>
      <c r="G7501" s="59" t="n">
        <f aca="false">IF(G7483&gt;0,G7500/G7483,0)</f>
        <v>0.116702435312024</v>
      </c>
      <c r="H7501" s="2" t="s">
        <v>1211</v>
      </c>
    </row>
    <row r="7502" customFormat="false" ht="15" hidden="false" customHeight="false" outlineLevel="1" collapsed="false">
      <c r="A7502" s="7" t="s">
        <v>679</v>
      </c>
      <c r="B7502" s="8" t="s">
        <v>64</v>
      </c>
      <c r="C7502" s="63" t="n">
        <f aca="false">(C7481+C7484)*(C7487-Pressupostos!$C$72)/365+C7483*C7488/365</f>
        <v>2.24383561643836</v>
      </c>
      <c r="D7502" s="63" t="n">
        <f aca="false">(D7481+D7484)*(D7487-Pressupostos!$C$72)/365+D7483*D7488/365</f>
        <v>2.24383561643836</v>
      </c>
      <c r="E7502" s="63" t="n">
        <f aca="false">(E7481+E7484)*(E7487-Pressupostos!$C$72)/365+E7483*E7488/365</f>
        <v>0.69041095890411</v>
      </c>
      <c r="F7502" s="63" t="n">
        <f aca="false">(F7481+F7484)*(F7487-Pressupostos!$C$72)/365+F7483*F7488/365</f>
        <v>0.69041095890411</v>
      </c>
      <c r="G7502" s="63" t="n">
        <f aca="false">(G7481+G7484)*(G7487-Pressupostos!$C$72)/365+G7483*G7488/365</f>
        <v>0.69041095890411</v>
      </c>
      <c r="H7502" s="2" t="s">
        <v>1212</v>
      </c>
    </row>
    <row r="7503" customFormat="false" ht="15" hidden="false" customHeight="false" outlineLevel="0" collapsed="false">
      <c r="A7503" s="3" t="s">
        <v>1213</v>
      </c>
      <c r="B7503" s="4"/>
      <c r="C7503" s="4"/>
      <c r="D7503" s="4"/>
      <c r="E7503" s="4"/>
      <c r="F7503" s="4"/>
      <c r="G7503" s="4"/>
      <c r="H7503" s="4"/>
    </row>
    <row r="7504" customFormat="false" ht="15" hidden="false" customHeight="false" outlineLevel="1" collapsed="false">
      <c r="A7504" s="7" t="s">
        <v>669</v>
      </c>
      <c r="B7504" s="8" t="s">
        <v>64</v>
      </c>
      <c r="C7504" s="63" t="n">
        <f aca="false">Pressupostos!$F$10+Pressupostos!$F$12</f>
        <v>3.6</v>
      </c>
      <c r="D7504" s="63" t="n">
        <f aca="false">Pressupostos!$F$10+Pressupostos!$F$12</f>
        <v>3.6</v>
      </c>
      <c r="E7504" s="63" t="n">
        <f aca="false">Pressupostos!$F$10+Pressupostos!$F$12</f>
        <v>3.6</v>
      </c>
      <c r="F7504" s="63" t="n">
        <f aca="false">Pressupostos!$F$10+Pressupostos!$F$12</f>
        <v>3.6</v>
      </c>
      <c r="G7504" s="63" t="n">
        <f aca="false">Pressupostos!$F$10+Pressupostos!$F$12</f>
        <v>3.6</v>
      </c>
      <c r="H7504" s="2" t="s">
        <v>1214</v>
      </c>
    </row>
    <row r="7505" customFormat="false" ht="15" hidden="false" customHeight="false" outlineLevel="1" collapsed="false">
      <c r="A7505" s="7" t="s">
        <v>670</v>
      </c>
      <c r="B7505" s="8" t="s">
        <v>64</v>
      </c>
      <c r="C7505" s="63" t="n">
        <f aca="false">Pressupostos!$F$20+Pressupostos!$F$21</f>
        <v>4.45</v>
      </c>
      <c r="D7505" s="63" t="n">
        <f aca="false">Pressupostos!$F$20+Pressupostos!$F$21</f>
        <v>4.45</v>
      </c>
      <c r="E7505" s="63" t="n">
        <f aca="false">Pressupostos!$F$20+Pressupostos!$F$21</f>
        <v>4.45</v>
      </c>
      <c r="F7505" s="63" t="n">
        <f aca="false">Pressupostos!$F$20+Pressupostos!$F$21</f>
        <v>4.45</v>
      </c>
      <c r="G7505" s="63" t="n">
        <f aca="false">Pressupostos!$F$20+Pressupostos!$F$21</f>
        <v>4.45</v>
      </c>
      <c r="H7505" s="2" t="s">
        <v>1215</v>
      </c>
    </row>
    <row r="7506" customFormat="false" ht="15" hidden="false" customHeight="false" outlineLevel="1" collapsed="false">
      <c r="A7506" s="56" t="s">
        <v>671</v>
      </c>
      <c r="B7506" s="57" t="s">
        <v>64</v>
      </c>
      <c r="C7506" s="68" t="n">
        <f aca="false">C7505*(1-Pressupostos!$F$22)</f>
        <v>4.45</v>
      </c>
      <c r="D7506" s="68" t="n">
        <f aca="false">D7505*(1-Pressupostos!$F$22)</f>
        <v>4.45</v>
      </c>
      <c r="E7506" s="68" t="n">
        <f aca="false">E7505*(1-Pressupostos!$F$22)</f>
        <v>4.45</v>
      </c>
      <c r="F7506" s="68" t="n">
        <f aca="false">F7505*(1-Pressupostos!$F$22)</f>
        <v>4.45</v>
      </c>
      <c r="G7506" s="68" t="n">
        <f aca="false">G7505*(1-Pressupostos!$F$22)</f>
        <v>4.45</v>
      </c>
      <c r="H7506" s="2" t="s">
        <v>1216</v>
      </c>
    </row>
    <row r="7507" customFormat="false" ht="15" hidden="false" customHeight="false" outlineLevel="1" collapsed="false">
      <c r="A7507" s="7" t="s">
        <v>144</v>
      </c>
      <c r="B7507" s="8" t="s">
        <v>64</v>
      </c>
      <c r="C7507" s="67" t="n">
        <f aca="false">Pressupostos!$C$45</f>
        <v>0.45</v>
      </c>
      <c r="D7507" s="67" t="n">
        <f aca="false">Pressupostos!$C$45</f>
        <v>0.45</v>
      </c>
      <c r="E7507" s="67" t="n">
        <f aca="false">Pressupostos!$C$45</f>
        <v>0.45</v>
      </c>
      <c r="F7507" s="67" t="n">
        <f aca="false">Pressupostos!$C$45</f>
        <v>0.45</v>
      </c>
      <c r="G7507" s="67" t="n">
        <f aca="false">Pressupostos!$C$45</f>
        <v>0.45</v>
      </c>
      <c r="H7507" s="2" t="s">
        <v>1217</v>
      </c>
    </row>
    <row r="7508" customFormat="false" ht="15" hidden="false" customHeight="false" outlineLevel="1" collapsed="false">
      <c r="A7508" s="7" t="s">
        <v>215</v>
      </c>
      <c r="B7508" s="8" t="s">
        <v>64</v>
      </c>
      <c r="C7508" s="67" t="n">
        <f aca="false">Pressupostos!$C$252</f>
        <v>0.1</v>
      </c>
      <c r="D7508" s="67" t="n">
        <f aca="false">Pressupostos!$D$252</f>
        <v>0.1</v>
      </c>
      <c r="E7508" s="67" t="n">
        <f aca="false">Pressupostos!$E$252</f>
        <v>0.09</v>
      </c>
      <c r="F7508" s="67" t="n">
        <f aca="false">Pressupostos!$F$252</f>
        <v>0.09</v>
      </c>
      <c r="G7508" s="67" t="n">
        <f aca="false">Pressupostos!$G$252</f>
        <v>0.09</v>
      </c>
      <c r="H7508" s="2" t="s">
        <v>1218</v>
      </c>
    </row>
    <row r="7509" customFormat="false" ht="15" hidden="false" customHeight="false" outlineLevel="1" collapsed="false">
      <c r="A7509" s="7" t="s">
        <v>117</v>
      </c>
      <c r="B7509" s="8" t="s">
        <v>64</v>
      </c>
      <c r="C7509" s="67" t="n">
        <f aca="false">Pressupostos!$C$46</f>
        <v>0</v>
      </c>
      <c r="D7509" s="67" t="n">
        <f aca="false">Pressupostos!$C$46</f>
        <v>0</v>
      </c>
      <c r="E7509" s="67" t="n">
        <f aca="false">Pressupostos!$C$46</f>
        <v>0</v>
      </c>
      <c r="F7509" s="67" t="n">
        <f aca="false">Pressupostos!$C$46</f>
        <v>0</v>
      </c>
      <c r="G7509" s="67" t="n">
        <f aca="false">Pressupostos!$C$46</f>
        <v>0</v>
      </c>
      <c r="H7509" s="2" t="s">
        <v>1219</v>
      </c>
    </row>
    <row r="7510" customFormat="false" ht="15" hidden="false" customHeight="false" outlineLevel="1" collapsed="false">
      <c r="A7510" s="7" t="s">
        <v>91</v>
      </c>
      <c r="B7510" s="8" t="s">
        <v>79</v>
      </c>
      <c r="C7510" s="69" t="n">
        <f aca="false">Pressupostos!$F$23</f>
        <v>30</v>
      </c>
      <c r="D7510" s="69" t="n">
        <f aca="false">Pressupostos!$F$23</f>
        <v>30</v>
      </c>
      <c r="E7510" s="69" t="n">
        <f aca="false">Pressupostos!$F$23</f>
        <v>30</v>
      </c>
      <c r="F7510" s="69" t="n">
        <f aca="false">Pressupostos!$F$23</f>
        <v>30</v>
      </c>
      <c r="G7510" s="69" t="n">
        <f aca="false">Pressupostos!$F$23</f>
        <v>30</v>
      </c>
      <c r="H7510" s="2" t="s">
        <v>1220</v>
      </c>
    </row>
    <row r="7511" customFormat="false" ht="15" hidden="false" customHeight="false" outlineLevel="1" collapsed="false">
      <c r="A7511" s="7" t="s">
        <v>78</v>
      </c>
      <c r="B7511" s="8" t="s">
        <v>79</v>
      </c>
      <c r="C7511" s="69" t="n">
        <f aca="false">Pressupostos!$F$24</f>
        <v>55</v>
      </c>
      <c r="D7511" s="69" t="n">
        <f aca="false">Pressupostos!$F$24</f>
        <v>55</v>
      </c>
      <c r="E7511" s="69" t="n">
        <f aca="false">Pressupostos!$F$24</f>
        <v>55</v>
      </c>
      <c r="F7511" s="69" t="n">
        <f aca="false">Pressupostos!$F$24</f>
        <v>55</v>
      </c>
      <c r="G7511" s="69" t="n">
        <f aca="false">Pressupostos!$F$24</f>
        <v>55</v>
      </c>
      <c r="H7511" s="2" t="s">
        <v>1221</v>
      </c>
    </row>
    <row r="7512" customFormat="false" ht="15" hidden="false" customHeight="false" outlineLevel="1" collapsed="false">
      <c r="A7512" s="7" t="s">
        <v>490</v>
      </c>
      <c r="B7512" s="8" t="s">
        <v>64</v>
      </c>
      <c r="C7512" s="63" t="n">
        <f aca="false">Pressupostos!$C$66*C7510/30/1000</f>
        <v>0.004</v>
      </c>
      <c r="D7512" s="63" t="n">
        <f aca="false">Pressupostos!$C$66*D7510/30/1000</f>
        <v>0.004</v>
      </c>
      <c r="E7512" s="63" t="n">
        <f aca="false">Pressupostos!$C$66*E7510/30/1000</f>
        <v>0.004</v>
      </c>
      <c r="F7512" s="63" t="n">
        <f aca="false">Pressupostos!$C$66*F7510/30/1000</f>
        <v>0.004</v>
      </c>
      <c r="G7512" s="63" t="n">
        <f aca="false">Pressupostos!$C$66*G7510/30/1000</f>
        <v>0.004</v>
      </c>
      <c r="H7512" s="2" t="s">
        <v>1222</v>
      </c>
    </row>
    <row r="7513" customFormat="false" ht="15" hidden="false" customHeight="false" outlineLevel="1" collapsed="false">
      <c r="A7513" s="7" t="s">
        <v>165</v>
      </c>
      <c r="B7513" s="8" t="s">
        <v>64</v>
      </c>
      <c r="C7513" s="63" t="n">
        <f aca="false">C7504*Pressupostos!$C$67*C7510/365</f>
        <v>0.000591780821917808</v>
      </c>
      <c r="D7513" s="63" t="n">
        <f aca="false">D7504*Pressupostos!$C$67*D7510/365</f>
        <v>0.000591780821917808</v>
      </c>
      <c r="E7513" s="63" t="n">
        <f aca="false">E7504*Pressupostos!$C$67*E7510/365</f>
        <v>0.000591780821917808</v>
      </c>
      <c r="F7513" s="63" t="n">
        <f aca="false">F7504*Pressupostos!$C$67*F7510/365</f>
        <v>0.000591780821917808</v>
      </c>
      <c r="G7513" s="63" t="n">
        <f aca="false">G7504*Pressupostos!$C$67*G7510/365</f>
        <v>0.000591780821917808</v>
      </c>
      <c r="H7513" s="2" t="s">
        <v>1223</v>
      </c>
    </row>
    <row r="7514" customFormat="false" ht="15" hidden="false" customHeight="false" outlineLevel="1" collapsed="false">
      <c r="A7514" s="7" t="s">
        <v>672</v>
      </c>
      <c r="B7514" s="8" t="s">
        <v>64</v>
      </c>
      <c r="C7514" s="63" t="n">
        <f aca="false">Pressupostos!$C$48*Pressupostos!$C$68/(Pressupostos!$C$47*1000)</f>
        <v>0.02</v>
      </c>
      <c r="D7514" s="63" t="n">
        <f aca="false">Pressupostos!$C$48*Pressupostos!$C$68/(Pressupostos!$C$47*1000)</f>
        <v>0.02</v>
      </c>
      <c r="E7514" s="63" t="n">
        <f aca="false">Pressupostos!$C$48*Pressupostos!$C$68/(Pressupostos!$C$47*1000)</f>
        <v>0.02</v>
      </c>
      <c r="F7514" s="63" t="n">
        <f aca="false">Pressupostos!$C$48*Pressupostos!$C$68/(Pressupostos!$C$47*1000)</f>
        <v>0.02</v>
      </c>
      <c r="G7514" s="63" t="n">
        <f aca="false">Pressupostos!$C$48*Pressupostos!$C$68/(Pressupostos!$C$47*1000)</f>
        <v>0.02</v>
      </c>
      <c r="H7514" s="2" t="s">
        <v>1224</v>
      </c>
    </row>
    <row r="7515" customFormat="false" ht="15" hidden="false" customHeight="false" outlineLevel="1" collapsed="false">
      <c r="A7515" s="7" t="s">
        <v>492</v>
      </c>
      <c r="B7515" s="8" t="s">
        <v>64</v>
      </c>
      <c r="C7515" s="63" t="n">
        <f aca="false">Pressupostos!$C$69*C7504</f>
        <v>0.018</v>
      </c>
      <c r="D7515" s="63" t="n">
        <f aca="false">Pressupostos!$C$69*D7504</f>
        <v>0.018</v>
      </c>
      <c r="E7515" s="63" t="n">
        <f aca="false">Pressupostos!$C$69*E7504</f>
        <v>0.018</v>
      </c>
      <c r="F7515" s="63" t="n">
        <f aca="false">Pressupostos!$C$69*F7504</f>
        <v>0.018</v>
      </c>
      <c r="G7515" s="63" t="n">
        <f aca="false">Pressupostos!$C$69*G7504</f>
        <v>0.018</v>
      </c>
      <c r="H7515" s="2" t="s">
        <v>1225</v>
      </c>
    </row>
    <row r="7516" customFormat="false" ht="15" hidden="false" customHeight="false" outlineLevel="1" collapsed="false">
      <c r="A7516" s="7" t="s">
        <v>493</v>
      </c>
      <c r="B7516" s="8" t="s">
        <v>64</v>
      </c>
      <c r="C7516" s="63" t="n">
        <f aca="false">Pressupostos!$C$70*Pressupostos!$C$71*C7510/90</f>
        <v>0.003</v>
      </c>
      <c r="D7516" s="63" t="n">
        <f aca="false">Pressupostos!$C$70*Pressupostos!$C$71*D7510/90</f>
        <v>0.003</v>
      </c>
      <c r="E7516" s="63" t="n">
        <f aca="false">Pressupostos!$C$70*Pressupostos!$C$71*E7510/90</f>
        <v>0.003</v>
      </c>
      <c r="F7516" s="63" t="n">
        <f aca="false">Pressupostos!$C$70*Pressupostos!$C$71*F7510/90</f>
        <v>0.003</v>
      </c>
      <c r="G7516" s="63" t="n">
        <f aca="false">Pressupostos!$C$70*Pressupostos!$C$71*G7510/90</f>
        <v>0.003</v>
      </c>
      <c r="H7516" s="2" t="s">
        <v>1226</v>
      </c>
    </row>
    <row r="7517" customFormat="false" ht="15" hidden="false" customHeight="false" outlineLevel="1" collapsed="false">
      <c r="A7517" s="7" t="s">
        <v>673</v>
      </c>
      <c r="B7517" s="8" t="s">
        <v>64</v>
      </c>
      <c r="C7517" s="63" t="n">
        <f aca="false">Pressupostos!$C$49/(Pressupostos!$C$47*1000)</f>
        <v>0.04</v>
      </c>
      <c r="D7517" s="63" t="n">
        <f aca="false">Pressupostos!$C$49/(Pressupostos!$C$47*1000)</f>
        <v>0.04</v>
      </c>
      <c r="E7517" s="63" t="n">
        <f aca="false">Pressupostos!$C$49/(Pressupostos!$C$47*1000)</f>
        <v>0.04</v>
      </c>
      <c r="F7517" s="63" t="n">
        <f aca="false">Pressupostos!$C$49/(Pressupostos!$C$47*1000)</f>
        <v>0.04</v>
      </c>
      <c r="G7517" s="63" t="n">
        <f aca="false">Pressupostos!$C$49/(Pressupostos!$C$47*1000)</f>
        <v>0.04</v>
      </c>
      <c r="H7517" s="2" t="s">
        <v>1227</v>
      </c>
    </row>
    <row r="7518" customFormat="false" ht="15" hidden="false" customHeight="false" outlineLevel="1" collapsed="false">
      <c r="A7518" s="7" t="s">
        <v>139</v>
      </c>
      <c r="B7518" s="8" t="s">
        <v>64</v>
      </c>
      <c r="C7518" s="67" t="n">
        <f aca="false">Pressupostos!$C$50</f>
        <v>0.005</v>
      </c>
      <c r="D7518" s="67" t="n">
        <f aca="false">Pressupostos!$C$50</f>
        <v>0.005</v>
      </c>
      <c r="E7518" s="67" t="n">
        <f aca="false">Pressupostos!$C$50</f>
        <v>0.005</v>
      </c>
      <c r="F7518" s="67" t="n">
        <f aca="false">Pressupostos!$C$50</f>
        <v>0.005</v>
      </c>
      <c r="G7518" s="67" t="n">
        <f aca="false">Pressupostos!$C$50</f>
        <v>0.005</v>
      </c>
      <c r="H7518" s="2" t="s">
        <v>1228</v>
      </c>
    </row>
    <row r="7519" customFormat="false" ht="15" hidden="false" customHeight="false" outlineLevel="1" collapsed="false">
      <c r="A7519" s="7" t="s">
        <v>81</v>
      </c>
      <c r="B7519" s="8" t="s">
        <v>64</v>
      </c>
      <c r="C7519" s="63" t="n">
        <f aca="false">Pressupostos!$F$25*C7506</f>
        <v>0.01335</v>
      </c>
      <c r="D7519" s="63" t="n">
        <f aca="false">Pressupostos!$F$25*D7506</f>
        <v>0.01335</v>
      </c>
      <c r="E7519" s="63" t="n">
        <f aca="false">Pressupostos!$F$25*E7506</f>
        <v>0.01335</v>
      </c>
      <c r="F7519" s="63" t="n">
        <f aca="false">Pressupostos!$F$25*F7506</f>
        <v>0.01335</v>
      </c>
      <c r="G7519" s="63" t="n">
        <f aca="false">Pressupostos!$F$25*G7506</f>
        <v>0.01335</v>
      </c>
      <c r="H7519" s="2" t="s">
        <v>1229</v>
      </c>
    </row>
    <row r="7520" customFormat="false" ht="15" hidden="false" customHeight="false" outlineLevel="1" collapsed="false">
      <c r="A7520" s="7" t="s">
        <v>674</v>
      </c>
      <c r="B7520" s="8" t="s">
        <v>64</v>
      </c>
      <c r="C7520" s="63" t="n">
        <f aca="false">Pressupostos!$C$73*C7506</f>
        <v>0</v>
      </c>
      <c r="D7520" s="63" t="n">
        <f aca="false">Pressupostos!$C$73*D7506</f>
        <v>0</v>
      </c>
      <c r="E7520" s="63" t="n">
        <f aca="false">Pressupostos!$C$73*E7506</f>
        <v>0</v>
      </c>
      <c r="F7520" s="63" t="n">
        <f aca="false">Pressupostos!$C$73*F7506</f>
        <v>0</v>
      </c>
      <c r="G7520" s="63" t="n">
        <f aca="false">Pressupostos!$C$73*G7506</f>
        <v>0</v>
      </c>
      <c r="H7520" s="2" t="s">
        <v>1230</v>
      </c>
    </row>
    <row r="7521" customFormat="false" ht="15" hidden="false" customHeight="false" outlineLevel="1" collapsed="false">
      <c r="A7521" s="7" t="s">
        <v>675</v>
      </c>
      <c r="B7521" s="8" t="s">
        <v>64</v>
      </c>
      <c r="C7521" s="63" t="n">
        <f aca="false">Pressupostos!$C$290*(C7504+C7507)*(C7510+C7511-Pressupostos!$C$72)/365*Pressupostos!$C$284/Pressupostos!$F$31</f>
        <v>0</v>
      </c>
      <c r="D7521" s="63" t="n">
        <f aca="false">Pressupostos!$D$290*(D7504+D7507)*(D7510+D7511-Pressupostos!$C$72)/365*Pressupostos!$D$284/Pressupostos!$F$31</f>
        <v>0.0457705479452055</v>
      </c>
      <c r="E7521" s="63" t="n">
        <f aca="false">Pressupostos!$E$290*(E7504+E7507)*(E7510+E7511-Pressupostos!$C$72)/365*Pressupostos!$E$284/Pressupostos!$F$31</f>
        <v>0.0429098886986301</v>
      </c>
      <c r="F7521" s="63" t="n">
        <f aca="false">Pressupostos!$F$290*(F7504+F7507)*(F7510+F7511-Pressupostos!$C$72)/365*Pressupostos!$F$284/Pressupostos!$F$31</f>
        <v>0.0400492294520548</v>
      </c>
      <c r="G7521" s="63" t="n">
        <f aca="false">Pressupostos!$G$290*(G7504+G7507)*(G7510+G7511-Pressupostos!$C$72)/365*Pressupostos!$G$284/Pressupostos!$F$31</f>
        <v>0.0400492294520548</v>
      </c>
      <c r="H7521" s="2" t="s">
        <v>1231</v>
      </c>
    </row>
    <row r="7522" customFormat="false" ht="15" hidden="false" customHeight="false" outlineLevel="1" collapsed="false">
      <c r="A7522" s="7" t="s">
        <v>676</v>
      </c>
      <c r="B7522" s="8" t="s">
        <v>64</v>
      </c>
      <c r="C7522" s="63" t="n">
        <f aca="false">C7504+C7507+C7508+C7509+C7512+C7513+C7514+C7515+C7516+C7517+C7518+C7519+C7520+C7521</f>
        <v>4.25394178082192</v>
      </c>
      <c r="D7522" s="63" t="n">
        <f aca="false">D7504+D7507+D7508+D7509+D7512+D7513+D7514+D7515+D7516+D7517+D7518+D7519+D7520+D7521</f>
        <v>4.29971232876712</v>
      </c>
      <c r="E7522" s="63" t="n">
        <f aca="false">E7504+E7507+E7508+E7509+E7512+E7513+E7514+E7515+E7516+E7517+E7518+E7519+E7520+E7521</f>
        <v>4.28685166952055</v>
      </c>
      <c r="F7522" s="63" t="n">
        <f aca="false">F7504+F7507+F7508+F7509+F7512+F7513+F7514+F7515+F7516+F7517+F7518+F7519+F7520+F7521</f>
        <v>4.28399101027397</v>
      </c>
      <c r="G7522" s="63" t="n">
        <f aca="false">G7504+G7507+G7508+G7509+G7512+G7513+G7514+G7515+G7516+G7517+G7518+G7519+G7520+G7521</f>
        <v>4.28399101027397</v>
      </c>
      <c r="H7522" s="2" t="s">
        <v>1232</v>
      </c>
    </row>
    <row r="7523" customFormat="false" ht="15" hidden="false" customHeight="false" outlineLevel="1" collapsed="false">
      <c r="A7523" s="56" t="s">
        <v>677</v>
      </c>
      <c r="B7523" s="57" t="s">
        <v>64</v>
      </c>
      <c r="C7523" s="68" t="n">
        <f aca="false">C7506-C7522</f>
        <v>0.196058219178083</v>
      </c>
      <c r="D7523" s="68" t="n">
        <f aca="false">D7506-D7522</f>
        <v>0.150287671232877</v>
      </c>
      <c r="E7523" s="68" t="n">
        <f aca="false">E7506-E7522</f>
        <v>0.163148330479452</v>
      </c>
      <c r="F7523" s="68" t="n">
        <f aca="false">F7506-F7522</f>
        <v>0.166008989726028</v>
      </c>
      <c r="G7523" s="68" t="n">
        <f aca="false">G7506-G7522</f>
        <v>0.166008989726028</v>
      </c>
      <c r="H7523" s="2" t="s">
        <v>1233</v>
      </c>
    </row>
    <row r="7524" customFormat="false" ht="15" hidden="false" customHeight="false" outlineLevel="1" collapsed="false">
      <c r="A7524" s="7" t="s">
        <v>678</v>
      </c>
      <c r="B7524" s="8" t="s">
        <v>76</v>
      </c>
      <c r="C7524" s="59" t="n">
        <f aca="false">IF(C7506&gt;0,C7523/C7506,0)</f>
        <v>0.0440580267815916</v>
      </c>
      <c r="D7524" s="59" t="n">
        <f aca="false">IF(D7506&gt;0,D7523/D7506,0)</f>
        <v>0.0337725103894105</v>
      </c>
      <c r="E7524" s="59" t="n">
        <f aca="false">IF(E7506&gt;0,E7523/E7506,0)</f>
        <v>0.0366625461751578</v>
      </c>
      <c r="F7524" s="59" t="n">
        <f aca="false">IF(F7506&gt;0,F7523/F7506,0)</f>
        <v>0.0373053909496692</v>
      </c>
      <c r="G7524" s="59" t="n">
        <f aca="false">IF(G7506&gt;0,G7523/G7506,0)</f>
        <v>0.0373053909496692</v>
      </c>
      <c r="H7524" s="2" t="s">
        <v>1234</v>
      </c>
    </row>
    <row r="7525" customFormat="false" ht="15" hidden="false" customHeight="false" outlineLevel="1" collapsed="false">
      <c r="A7525" s="7" t="s">
        <v>679</v>
      </c>
      <c r="B7525" s="8" t="s">
        <v>64</v>
      </c>
      <c r="C7525" s="63" t="n">
        <f aca="false">(C7504+C7507)*(C7510-Pressupostos!$C$72)/365+C7506*C7511/365</f>
        <v>0.670547945205479</v>
      </c>
      <c r="D7525" s="63" t="n">
        <f aca="false">(D7504+D7507)*(D7510-Pressupostos!$C$72)/365+D7506*D7511/365</f>
        <v>0.670547945205479</v>
      </c>
      <c r="E7525" s="63" t="n">
        <f aca="false">(E7504+E7507)*(E7510-Pressupostos!$C$72)/365+E7506*E7511/365</f>
        <v>0.670547945205479</v>
      </c>
      <c r="F7525" s="63" t="n">
        <f aca="false">(F7504+F7507)*(F7510-Pressupostos!$C$72)/365+F7506*F7511/365</f>
        <v>0.670547945205479</v>
      </c>
      <c r="G7525" s="63" t="n">
        <f aca="false">(G7504+G7507)*(G7510-Pressupostos!$C$72)/365+G7506*G7511/365</f>
        <v>0.670547945205479</v>
      </c>
      <c r="H7525" s="2" t="s">
        <v>1235</v>
      </c>
    </row>
    <row r="7526" customFormat="false" ht="15" hidden="false" customHeight="false" outlineLevel="0" collapsed="false">
      <c r="A7526" s="3" t="s">
        <v>1236</v>
      </c>
      <c r="B7526" s="4"/>
      <c r="C7526" s="4"/>
      <c r="D7526" s="4"/>
      <c r="E7526" s="4"/>
      <c r="F7526" s="4"/>
      <c r="G7526" s="4"/>
      <c r="H7526" s="4"/>
    </row>
    <row r="7527" customFormat="false" ht="15" hidden="false" customHeight="false" outlineLevel="1" collapsed="false">
      <c r="A7527" s="7" t="s">
        <v>669</v>
      </c>
      <c r="B7527" s="8" t="s">
        <v>64</v>
      </c>
      <c r="C7527" s="63" t="n">
        <f aca="false">Pressupostos!$F$10+Pressupostos!$F$13</f>
        <v>3.5</v>
      </c>
      <c r="D7527" s="63" t="n">
        <f aca="false">Pressupostos!$F$10+Pressupostos!$F$13</f>
        <v>3.5</v>
      </c>
      <c r="E7527" s="63" t="n">
        <f aca="false">Pressupostos!$F$10+Pressupostos!$F$13</f>
        <v>3.5</v>
      </c>
      <c r="F7527" s="63" t="n">
        <f aca="false">Pressupostos!$F$10+Pressupostos!$F$13</f>
        <v>3.5</v>
      </c>
      <c r="G7527" s="63" t="n">
        <f aca="false">Pressupostos!$F$10+Pressupostos!$F$13</f>
        <v>3.5</v>
      </c>
      <c r="H7527" s="2" t="s">
        <v>1237</v>
      </c>
    </row>
    <row r="7528" customFormat="false" ht="15" hidden="false" customHeight="false" outlineLevel="1" collapsed="false">
      <c r="A7528" s="7" t="s">
        <v>670</v>
      </c>
      <c r="B7528" s="8" t="s">
        <v>64</v>
      </c>
      <c r="C7528" s="63" t="n">
        <f aca="false">Pressupostos!$F$10+Pressupostos!$C$52</f>
        <v>3.65</v>
      </c>
      <c r="D7528" s="63" t="n">
        <f aca="false">Pressupostos!$F$10+Pressupostos!$C$52</f>
        <v>3.65</v>
      </c>
      <c r="E7528" s="63" t="n">
        <f aca="false">Pressupostos!$F$10+Pressupostos!$C$52</f>
        <v>3.65</v>
      </c>
      <c r="F7528" s="63" t="n">
        <f aca="false">Pressupostos!$F$10+Pressupostos!$C$52</f>
        <v>3.65</v>
      </c>
      <c r="G7528" s="63" t="n">
        <f aca="false">Pressupostos!$F$10+Pressupostos!$C$52</f>
        <v>3.65</v>
      </c>
      <c r="H7528" s="2" t="s">
        <v>1238</v>
      </c>
    </row>
    <row r="7529" customFormat="false" ht="15" hidden="false" customHeight="false" outlineLevel="1" collapsed="false">
      <c r="A7529" s="56" t="s">
        <v>671</v>
      </c>
      <c r="B7529" s="57" t="s">
        <v>64</v>
      </c>
      <c r="C7529" s="68" t="n">
        <f aca="false">C7528*(1-Pressupostos!$C$53)</f>
        <v>3.65</v>
      </c>
      <c r="D7529" s="68" t="n">
        <f aca="false">D7528*(1-Pressupostos!$C$53)</f>
        <v>3.65</v>
      </c>
      <c r="E7529" s="68" t="n">
        <f aca="false">E7528*(1-Pressupostos!$C$53)</f>
        <v>3.65</v>
      </c>
      <c r="F7529" s="68" t="n">
        <f aca="false">F7528*(1-Pressupostos!$C$53)</f>
        <v>3.65</v>
      </c>
      <c r="G7529" s="68" t="n">
        <f aca="false">G7528*(1-Pressupostos!$C$53)</f>
        <v>3.65</v>
      </c>
      <c r="H7529" s="2" t="s">
        <v>1239</v>
      </c>
    </row>
    <row r="7530" customFormat="false" ht="15" hidden="false" customHeight="false" outlineLevel="1" collapsed="false">
      <c r="A7530" s="7" t="s">
        <v>144</v>
      </c>
      <c r="B7530" s="8" t="s">
        <v>64</v>
      </c>
      <c r="C7530" s="67" t="n">
        <f aca="false">Pressupostos!$C$54</f>
        <v>0</v>
      </c>
      <c r="D7530" s="67" t="n">
        <f aca="false">Pressupostos!$C$54</f>
        <v>0</v>
      </c>
      <c r="E7530" s="67" t="n">
        <f aca="false">Pressupostos!$C$54</f>
        <v>0</v>
      </c>
      <c r="F7530" s="67" t="n">
        <f aca="false">Pressupostos!$C$54</f>
        <v>0</v>
      </c>
      <c r="G7530" s="67" t="n">
        <f aca="false">Pressupostos!$C$54</f>
        <v>0</v>
      </c>
      <c r="H7530" s="2" t="s">
        <v>1240</v>
      </c>
    </row>
    <row r="7531" customFormat="false" ht="15" hidden="false" customHeight="false" outlineLevel="1" collapsed="false">
      <c r="A7531" s="7" t="s">
        <v>215</v>
      </c>
      <c r="B7531" s="8" t="s">
        <v>64</v>
      </c>
      <c r="C7531" s="67" t="n">
        <f aca="false">Pressupostos!$C$55</f>
        <v>0.04</v>
      </c>
      <c r="D7531" s="67" t="n">
        <f aca="false">Pressupostos!$C$55</f>
        <v>0.04</v>
      </c>
      <c r="E7531" s="67" t="n">
        <f aca="false">Pressupostos!$C$55</f>
        <v>0.04</v>
      </c>
      <c r="F7531" s="67" t="n">
        <f aca="false">Pressupostos!$C$55</f>
        <v>0.04</v>
      </c>
      <c r="G7531" s="67" t="n">
        <f aca="false">Pressupostos!$C$55</f>
        <v>0.04</v>
      </c>
      <c r="H7531" s="2" t="s">
        <v>1241</v>
      </c>
    </row>
    <row r="7532" customFormat="false" ht="15" hidden="false" customHeight="false" outlineLevel="1" collapsed="false">
      <c r="A7532" s="7" t="s">
        <v>117</v>
      </c>
      <c r="B7532" s="8" t="s">
        <v>64</v>
      </c>
      <c r="C7532" s="67" t="n">
        <f aca="false">Pressupostos!$C$56</f>
        <v>0</v>
      </c>
      <c r="D7532" s="67" t="n">
        <f aca="false">Pressupostos!$C$56</f>
        <v>0</v>
      </c>
      <c r="E7532" s="67" t="n">
        <f aca="false">Pressupostos!$C$56</f>
        <v>0</v>
      </c>
      <c r="F7532" s="67" t="n">
        <f aca="false">Pressupostos!$C$56</f>
        <v>0</v>
      </c>
      <c r="G7532" s="67" t="n">
        <f aca="false">Pressupostos!$C$56</f>
        <v>0</v>
      </c>
      <c r="H7532" s="2" t="s">
        <v>1242</v>
      </c>
    </row>
    <row r="7533" customFormat="false" ht="15" hidden="false" customHeight="false" outlineLevel="1" collapsed="false">
      <c r="A7533" s="7" t="s">
        <v>91</v>
      </c>
      <c r="B7533" s="8" t="s">
        <v>79</v>
      </c>
      <c r="C7533" s="69" t="n">
        <f aca="false">Pressupostos!$C$57</f>
        <v>15</v>
      </c>
      <c r="D7533" s="69" t="n">
        <f aca="false">Pressupostos!$C$57</f>
        <v>15</v>
      </c>
      <c r="E7533" s="69" t="n">
        <f aca="false">Pressupostos!$C$57</f>
        <v>15</v>
      </c>
      <c r="F7533" s="69" t="n">
        <f aca="false">Pressupostos!$C$57</f>
        <v>15</v>
      </c>
      <c r="G7533" s="69" t="n">
        <f aca="false">Pressupostos!$C$57</f>
        <v>15</v>
      </c>
      <c r="H7533" s="2" t="s">
        <v>1243</v>
      </c>
    </row>
    <row r="7534" customFormat="false" ht="15" hidden="false" customHeight="false" outlineLevel="1" collapsed="false">
      <c r="A7534" s="7" t="s">
        <v>78</v>
      </c>
      <c r="B7534" s="8" t="s">
        <v>79</v>
      </c>
      <c r="C7534" s="69" t="n">
        <f aca="false">Pressupostos!$C$58</f>
        <v>45</v>
      </c>
      <c r="D7534" s="69" t="n">
        <f aca="false">Pressupostos!$C$58</f>
        <v>45</v>
      </c>
      <c r="E7534" s="69" t="n">
        <f aca="false">Pressupostos!$C$58</f>
        <v>45</v>
      </c>
      <c r="F7534" s="69" t="n">
        <f aca="false">Pressupostos!$C$58</f>
        <v>45</v>
      </c>
      <c r="G7534" s="69" t="n">
        <f aca="false">Pressupostos!$C$58</f>
        <v>45</v>
      </c>
      <c r="H7534" s="2" t="s">
        <v>1244</v>
      </c>
    </row>
    <row r="7535" customFormat="false" ht="15" hidden="false" customHeight="false" outlineLevel="1" collapsed="false">
      <c r="A7535" s="7" t="s">
        <v>490</v>
      </c>
      <c r="B7535" s="8" t="s">
        <v>64</v>
      </c>
      <c r="C7535" s="63" t="n">
        <f aca="false">Pressupostos!$C$66*C7533/30/1000</f>
        <v>0.002</v>
      </c>
      <c r="D7535" s="63" t="n">
        <f aca="false">Pressupostos!$C$66*D7533/30/1000</f>
        <v>0.002</v>
      </c>
      <c r="E7535" s="63" t="n">
        <f aca="false">Pressupostos!$C$66*E7533/30/1000</f>
        <v>0.002</v>
      </c>
      <c r="F7535" s="63" t="n">
        <f aca="false">Pressupostos!$C$66*F7533/30/1000</f>
        <v>0.002</v>
      </c>
      <c r="G7535" s="63" t="n">
        <f aca="false">Pressupostos!$C$66*G7533/30/1000</f>
        <v>0.002</v>
      </c>
      <c r="H7535" s="2" t="s">
        <v>1245</v>
      </c>
    </row>
    <row r="7536" customFormat="false" ht="15" hidden="false" customHeight="false" outlineLevel="1" collapsed="false">
      <c r="A7536" s="7" t="s">
        <v>165</v>
      </c>
      <c r="B7536" s="8" t="s">
        <v>64</v>
      </c>
      <c r="C7536" s="63" t="n">
        <f aca="false">C7527*Pressupostos!$C$67*C7533/365</f>
        <v>0.000287671232876712</v>
      </c>
      <c r="D7536" s="63" t="n">
        <f aca="false">D7527*Pressupostos!$C$67*D7533/365</f>
        <v>0.000287671232876712</v>
      </c>
      <c r="E7536" s="63" t="n">
        <f aca="false">E7527*Pressupostos!$C$67*E7533/365</f>
        <v>0.000287671232876712</v>
      </c>
      <c r="F7536" s="63" t="n">
        <f aca="false">F7527*Pressupostos!$C$67*F7533/365</f>
        <v>0.000287671232876712</v>
      </c>
      <c r="G7536" s="63" t="n">
        <f aca="false">G7527*Pressupostos!$C$67*G7533/365</f>
        <v>0.000287671232876712</v>
      </c>
      <c r="H7536" s="2" t="s">
        <v>1246</v>
      </c>
    </row>
    <row r="7537" customFormat="false" ht="15" hidden="false" customHeight="false" outlineLevel="1" collapsed="false">
      <c r="A7537" s="7" t="s">
        <v>672</v>
      </c>
      <c r="B7537" s="8" t="s">
        <v>64</v>
      </c>
      <c r="C7537" s="63" t="n">
        <f aca="false">Pressupostos!$C$60*Pressupostos!$C$68/(Pressupostos!$C$59*1000)</f>
        <v>0.006</v>
      </c>
      <c r="D7537" s="63" t="n">
        <f aca="false">Pressupostos!$C$60*Pressupostos!$C$68/(Pressupostos!$C$59*1000)</f>
        <v>0.006</v>
      </c>
      <c r="E7537" s="63" t="n">
        <f aca="false">Pressupostos!$C$60*Pressupostos!$C$68/(Pressupostos!$C$59*1000)</f>
        <v>0.006</v>
      </c>
      <c r="F7537" s="63" t="n">
        <f aca="false">Pressupostos!$C$60*Pressupostos!$C$68/(Pressupostos!$C$59*1000)</f>
        <v>0.006</v>
      </c>
      <c r="G7537" s="63" t="n">
        <f aca="false">Pressupostos!$C$60*Pressupostos!$C$68/(Pressupostos!$C$59*1000)</f>
        <v>0.006</v>
      </c>
      <c r="H7537" s="2" t="s">
        <v>1247</v>
      </c>
    </row>
    <row r="7538" customFormat="false" ht="15" hidden="false" customHeight="false" outlineLevel="1" collapsed="false">
      <c r="A7538" s="7" t="s">
        <v>492</v>
      </c>
      <c r="B7538" s="8" t="s">
        <v>64</v>
      </c>
      <c r="C7538" s="63" t="n">
        <f aca="false">Pressupostos!$C$69*C7527</f>
        <v>0.0175</v>
      </c>
      <c r="D7538" s="63" t="n">
        <f aca="false">Pressupostos!$C$69*D7527</f>
        <v>0.0175</v>
      </c>
      <c r="E7538" s="63" t="n">
        <f aca="false">Pressupostos!$C$69*E7527</f>
        <v>0.0175</v>
      </c>
      <c r="F7538" s="63" t="n">
        <f aca="false">Pressupostos!$C$69*F7527</f>
        <v>0.0175</v>
      </c>
      <c r="G7538" s="63" t="n">
        <f aca="false">Pressupostos!$C$69*G7527</f>
        <v>0.0175</v>
      </c>
      <c r="H7538" s="2" t="s">
        <v>1248</v>
      </c>
    </row>
    <row r="7539" customFormat="false" ht="15" hidden="false" customHeight="false" outlineLevel="1" collapsed="false">
      <c r="A7539" s="7" t="s">
        <v>493</v>
      </c>
      <c r="B7539" s="8" t="s">
        <v>64</v>
      </c>
      <c r="C7539" s="63" t="n">
        <f aca="false">Pressupostos!$C$70*Pressupostos!$C$71*C7533/90</f>
        <v>0.0015</v>
      </c>
      <c r="D7539" s="63" t="n">
        <f aca="false">Pressupostos!$C$70*Pressupostos!$C$71*D7533/90</f>
        <v>0.0015</v>
      </c>
      <c r="E7539" s="63" t="n">
        <f aca="false">Pressupostos!$C$70*Pressupostos!$C$71*E7533/90</f>
        <v>0.0015</v>
      </c>
      <c r="F7539" s="63" t="n">
        <f aca="false">Pressupostos!$C$70*Pressupostos!$C$71*F7533/90</f>
        <v>0.0015</v>
      </c>
      <c r="G7539" s="63" t="n">
        <f aca="false">Pressupostos!$C$70*Pressupostos!$C$71*G7533/90</f>
        <v>0.0015</v>
      </c>
      <c r="H7539" s="2" t="s">
        <v>1249</v>
      </c>
    </row>
    <row r="7540" customFormat="false" ht="15" hidden="false" customHeight="false" outlineLevel="1" collapsed="false">
      <c r="A7540" s="7" t="s">
        <v>673</v>
      </c>
      <c r="B7540" s="8" t="s">
        <v>64</v>
      </c>
      <c r="C7540" s="63" t="n">
        <f aca="false">Pressupostos!$C$61/(Pressupostos!$C$59*1000)</f>
        <v>0.012</v>
      </c>
      <c r="D7540" s="63" t="n">
        <f aca="false">Pressupostos!$C$61/(Pressupostos!$C$59*1000)</f>
        <v>0.012</v>
      </c>
      <c r="E7540" s="63" t="n">
        <f aca="false">Pressupostos!$C$61/(Pressupostos!$C$59*1000)</f>
        <v>0.012</v>
      </c>
      <c r="F7540" s="63" t="n">
        <f aca="false">Pressupostos!$C$61/(Pressupostos!$C$59*1000)</f>
        <v>0.012</v>
      </c>
      <c r="G7540" s="63" t="n">
        <f aca="false">Pressupostos!$C$61/(Pressupostos!$C$59*1000)</f>
        <v>0.012</v>
      </c>
      <c r="H7540" s="2" t="s">
        <v>1250</v>
      </c>
    </row>
    <row r="7541" customFormat="false" ht="15" hidden="false" customHeight="false" outlineLevel="1" collapsed="false">
      <c r="A7541" s="7" t="s">
        <v>139</v>
      </c>
      <c r="B7541" s="8" t="s">
        <v>64</v>
      </c>
      <c r="C7541" s="67" t="n">
        <f aca="false">Pressupostos!$C$62</f>
        <v>0.001</v>
      </c>
      <c r="D7541" s="67" t="n">
        <f aca="false">Pressupostos!$C$62</f>
        <v>0.001</v>
      </c>
      <c r="E7541" s="67" t="n">
        <f aca="false">Pressupostos!$C$62</f>
        <v>0.001</v>
      </c>
      <c r="F7541" s="67" t="n">
        <f aca="false">Pressupostos!$C$62</f>
        <v>0.001</v>
      </c>
      <c r="G7541" s="67" t="n">
        <f aca="false">Pressupostos!$C$62</f>
        <v>0.001</v>
      </c>
      <c r="H7541" s="2" t="s">
        <v>1251</v>
      </c>
    </row>
    <row r="7542" customFormat="false" ht="15" hidden="false" customHeight="false" outlineLevel="1" collapsed="false">
      <c r="A7542" s="7" t="s">
        <v>81</v>
      </c>
      <c r="B7542" s="8" t="s">
        <v>64</v>
      </c>
      <c r="C7542" s="63" t="n">
        <f aca="false">Pressupostos!$C$63*C7529</f>
        <v>0.01095</v>
      </c>
      <c r="D7542" s="63" t="n">
        <f aca="false">Pressupostos!$C$63*D7529</f>
        <v>0.01095</v>
      </c>
      <c r="E7542" s="63" t="n">
        <f aca="false">Pressupostos!$C$63*E7529</f>
        <v>0.01095</v>
      </c>
      <c r="F7542" s="63" t="n">
        <f aca="false">Pressupostos!$C$63*F7529</f>
        <v>0.01095</v>
      </c>
      <c r="G7542" s="63" t="n">
        <f aca="false">Pressupostos!$C$63*G7529</f>
        <v>0.01095</v>
      </c>
      <c r="H7542" s="2" t="s">
        <v>1252</v>
      </c>
    </row>
    <row r="7543" customFormat="false" ht="15" hidden="false" customHeight="false" outlineLevel="1" collapsed="false">
      <c r="A7543" s="7" t="s">
        <v>674</v>
      </c>
      <c r="B7543" s="8" t="s">
        <v>64</v>
      </c>
      <c r="C7543" s="63" t="n">
        <f aca="false">Pressupostos!$C$73*C7529</f>
        <v>0</v>
      </c>
      <c r="D7543" s="63" t="n">
        <f aca="false">Pressupostos!$C$73*D7529</f>
        <v>0</v>
      </c>
      <c r="E7543" s="63" t="n">
        <f aca="false">Pressupostos!$C$73*E7529</f>
        <v>0</v>
      </c>
      <c r="F7543" s="63" t="n">
        <f aca="false">Pressupostos!$C$73*F7529</f>
        <v>0</v>
      </c>
      <c r="G7543" s="63" t="n">
        <f aca="false">Pressupostos!$C$73*G7529</f>
        <v>0</v>
      </c>
      <c r="H7543" s="2" t="s">
        <v>1253</v>
      </c>
    </row>
    <row r="7544" customFormat="false" ht="15" hidden="false" customHeight="false" outlineLevel="1" collapsed="false">
      <c r="A7544" s="7" t="s">
        <v>675</v>
      </c>
      <c r="B7544" s="8" t="s">
        <v>64</v>
      </c>
      <c r="C7544" s="63" t="n">
        <f aca="false">Pressupostos!$C$290*(C7527+C7530)*(C7533+C7534-Pressupostos!$C$72)/365*Pressupostos!$C$284/Pressupostos!$F$31</f>
        <v>0</v>
      </c>
      <c r="D7544" s="63" t="n">
        <f aca="false">Pressupostos!$D$290*(D7527+D7530)*(D7533+D7534-Pressupostos!$C$72)/365*Pressupostos!$D$284/Pressupostos!$F$31</f>
        <v>0.0215753424657534</v>
      </c>
      <c r="E7544" s="63" t="n">
        <f aca="false">Pressupostos!$E$290*(E7527+E7530)*(E7533+E7534-Pressupostos!$C$72)/365*Pressupostos!$E$284/Pressupostos!$F$31</f>
        <v>0.0202268835616438</v>
      </c>
      <c r="F7544" s="63" t="n">
        <f aca="false">Pressupostos!$F$290*(F7527+F7530)*(F7533+F7534-Pressupostos!$C$72)/365*Pressupostos!$F$284/Pressupostos!$F$31</f>
        <v>0.0188784246575342</v>
      </c>
      <c r="G7544" s="63" t="n">
        <f aca="false">Pressupostos!$G$290*(G7527+G7530)*(G7533+G7534-Pressupostos!$C$72)/365*Pressupostos!$G$284/Pressupostos!$F$31</f>
        <v>0.0188784246575342</v>
      </c>
      <c r="H7544" s="2" t="s">
        <v>1254</v>
      </c>
    </row>
    <row r="7545" customFormat="false" ht="15" hidden="false" customHeight="false" outlineLevel="1" collapsed="false">
      <c r="A7545" s="7" t="s">
        <v>676</v>
      </c>
      <c r="B7545" s="8" t="s">
        <v>64</v>
      </c>
      <c r="C7545" s="63" t="n">
        <f aca="false">C7527+C7530+C7531+C7532+C7535+C7536+C7537+C7538+C7539+C7540+C7541+C7542+C7543+C7544</f>
        <v>3.59123767123288</v>
      </c>
      <c r="D7545" s="63" t="n">
        <f aca="false">D7527+D7530+D7531+D7532+D7535+D7536+D7537+D7538+D7539+D7540+D7541+D7542+D7543+D7544</f>
        <v>3.61281301369863</v>
      </c>
      <c r="E7545" s="63" t="n">
        <f aca="false">E7527+E7530+E7531+E7532+E7535+E7536+E7537+E7538+E7539+E7540+E7541+E7542+E7543+E7544</f>
        <v>3.61146455479452</v>
      </c>
      <c r="F7545" s="63" t="n">
        <f aca="false">F7527+F7530+F7531+F7532+F7535+F7536+F7537+F7538+F7539+F7540+F7541+F7542+F7543+F7544</f>
        <v>3.61011609589041</v>
      </c>
      <c r="G7545" s="63" t="n">
        <f aca="false">G7527+G7530+G7531+G7532+G7535+G7536+G7537+G7538+G7539+G7540+G7541+G7542+G7543+G7544</f>
        <v>3.61011609589041</v>
      </c>
      <c r="H7545" s="2" t="s">
        <v>1255</v>
      </c>
    </row>
    <row r="7546" customFormat="false" ht="15" hidden="false" customHeight="false" outlineLevel="1" collapsed="false">
      <c r="A7546" s="56" t="s">
        <v>677</v>
      </c>
      <c r="B7546" s="57" t="s">
        <v>64</v>
      </c>
      <c r="C7546" s="68" t="n">
        <f aca="false">C7529-C7545</f>
        <v>0.058762328767124</v>
      </c>
      <c r="D7546" s="68" t="n">
        <f aca="false">D7529-D7545</f>
        <v>0.0371869863013705</v>
      </c>
      <c r="E7546" s="68" t="n">
        <f aca="false">E7529-E7545</f>
        <v>0.03853544520548</v>
      </c>
      <c r="F7546" s="68" t="n">
        <f aca="false">F7529-F7545</f>
        <v>0.0398839041095895</v>
      </c>
      <c r="G7546" s="68" t="n">
        <f aca="false">G7529-G7545</f>
        <v>0.0398839041095895</v>
      </c>
      <c r="H7546" s="2" t="s">
        <v>1256</v>
      </c>
    </row>
    <row r="7547" customFormat="false" ht="15" hidden="false" customHeight="false" outlineLevel="1" collapsed="false">
      <c r="A7547" s="7" t="s">
        <v>678</v>
      </c>
      <c r="B7547" s="8" t="s">
        <v>76</v>
      </c>
      <c r="C7547" s="59" t="n">
        <f aca="false">IF(C7529&gt;0,C7546/C7529,0)</f>
        <v>0.0160992681553764</v>
      </c>
      <c r="D7547" s="59" t="n">
        <f aca="false">IF(D7529&gt;0,D7546/D7529,0)</f>
        <v>0.010188215425033</v>
      </c>
      <c r="E7547" s="59" t="n">
        <f aca="false">IF(E7529&gt;0,E7546/E7529,0)</f>
        <v>0.0105576562206795</v>
      </c>
      <c r="F7547" s="59" t="n">
        <f aca="false">IF(F7529&gt;0,F7546/F7529,0)</f>
        <v>0.0109270970163259</v>
      </c>
      <c r="G7547" s="59" t="n">
        <f aca="false">IF(G7529&gt;0,G7546/G7529,0)</f>
        <v>0.0109270970163259</v>
      </c>
      <c r="H7547" s="2" t="s">
        <v>1257</v>
      </c>
    </row>
    <row r="7548" customFormat="false" ht="15" hidden="false" customHeight="false" outlineLevel="1" collapsed="false">
      <c r="A7548" s="7" t="s">
        <v>679</v>
      </c>
      <c r="B7548" s="8" t="s">
        <v>64</v>
      </c>
      <c r="C7548" s="63" t="n">
        <f aca="false">(C7527+C7530)*(C7533-Pressupostos!$C$72)/365+C7529*C7534/365</f>
        <v>0.306164383561644</v>
      </c>
      <c r="D7548" s="63" t="n">
        <f aca="false">(D7527+D7530)*(D7533-Pressupostos!$C$72)/365+D7529*D7534/365</f>
        <v>0.306164383561644</v>
      </c>
      <c r="E7548" s="63" t="n">
        <f aca="false">(E7527+E7530)*(E7533-Pressupostos!$C$72)/365+E7529*E7534/365</f>
        <v>0.306164383561644</v>
      </c>
      <c r="F7548" s="63" t="n">
        <f aca="false">(F7527+F7530)*(F7533-Pressupostos!$C$72)/365+F7529*F7534/365</f>
        <v>0.306164383561644</v>
      </c>
      <c r="G7548" s="63" t="n">
        <f aca="false">(G7527+G7530)*(G7533-Pressupostos!$C$72)/365+G7529*G7534/365</f>
        <v>0.306164383561644</v>
      </c>
      <c r="H7548" s="2" t="s">
        <v>1258</v>
      </c>
    </row>
    <row r="7549" customFormat="false" ht="15" hidden="false" customHeight="false" outlineLevel="0" collapsed="false">
      <c r="A7549" s="3" t="s">
        <v>1259</v>
      </c>
      <c r="B7549" s="4"/>
      <c r="C7549" s="4"/>
      <c r="D7549" s="4"/>
      <c r="E7549" s="4"/>
      <c r="F7549" s="4"/>
      <c r="G7549" s="4"/>
      <c r="H7549" s="4"/>
    </row>
    <row r="7550" customFormat="false" ht="15" hidden="false" customHeight="false" outlineLevel="1" collapsed="false">
      <c r="A7550" s="7" t="s">
        <v>683</v>
      </c>
      <c r="B7550" s="8" t="s">
        <v>64</v>
      </c>
      <c r="C7550" s="63" t="n">
        <f aca="false">Pressupostos!$C$64*Pressupostos!$F$10</f>
        <v>0.02625</v>
      </c>
      <c r="D7550" s="63" t="n">
        <f aca="false">Pressupostos!$C$64*Pressupostos!$F$10</f>
        <v>0.02625</v>
      </c>
      <c r="E7550" s="63" t="n">
        <f aca="false">Pressupostos!$C$64*Pressupostos!$F$10</f>
        <v>0.02625</v>
      </c>
      <c r="F7550" s="63" t="n">
        <f aca="false">Pressupostos!$C$64*Pressupostos!$F$10</f>
        <v>0.02625</v>
      </c>
      <c r="G7550" s="63" t="n">
        <f aca="false">Pressupostos!$C$64*Pressupostos!$F$10</f>
        <v>0.02625</v>
      </c>
      <c r="H7550" s="2" t="s">
        <v>1260</v>
      </c>
    </row>
    <row r="7551" customFormat="false" ht="15" hidden="false" customHeight="false" outlineLevel="1" collapsed="false">
      <c r="A7551" s="7" t="s">
        <v>684</v>
      </c>
      <c r="B7551" s="8" t="s">
        <v>64</v>
      </c>
      <c r="C7551" s="63" t="n">
        <f aca="false">C7540+C7537+C7541</f>
        <v>0.019</v>
      </c>
      <c r="D7551" s="63" t="n">
        <f aca="false">D7540+D7537+D7541</f>
        <v>0.019</v>
      </c>
      <c r="E7551" s="63" t="n">
        <f aca="false">E7540+E7537+E7541</f>
        <v>0.019</v>
      </c>
      <c r="F7551" s="63" t="n">
        <f aca="false">F7540+F7537+F7541</f>
        <v>0.019</v>
      </c>
      <c r="G7551" s="63" t="n">
        <f aca="false">G7540+G7537+G7541</f>
        <v>0.019</v>
      </c>
      <c r="H7551" s="2" t="s">
        <v>1261</v>
      </c>
    </row>
    <row r="7552" customFormat="false" ht="15" hidden="false" customHeight="false" outlineLevel="1" collapsed="false">
      <c r="A7552" s="56" t="s">
        <v>561</v>
      </c>
      <c r="B7552" s="57" t="s">
        <v>64</v>
      </c>
      <c r="C7552" s="68" t="n">
        <f aca="false">C7550-C7551</f>
        <v>0.00725</v>
      </c>
      <c r="D7552" s="68" t="n">
        <f aca="false">D7550-D7551</f>
        <v>0.00725</v>
      </c>
      <c r="E7552" s="68" t="n">
        <f aca="false">E7550-E7551</f>
        <v>0.00725</v>
      </c>
      <c r="F7552" s="68" t="n">
        <f aca="false">F7550-F7551</f>
        <v>0.00725</v>
      </c>
      <c r="G7552" s="68" t="n">
        <f aca="false">G7550-G7551</f>
        <v>0.00725</v>
      </c>
      <c r="H7552" s="2" t="s">
        <v>1262</v>
      </c>
    </row>
    <row r="7553" customFormat="false" ht="15" hidden="false" customHeight="false" outlineLevel="0" collapsed="false">
      <c r="A7553" s="3" t="s">
        <v>1263</v>
      </c>
      <c r="B7553" s="4"/>
      <c r="C7553" s="4"/>
      <c r="D7553" s="4"/>
      <c r="E7553" s="4"/>
      <c r="F7553" s="4"/>
      <c r="G7553" s="4"/>
      <c r="H7553" s="4"/>
    </row>
    <row r="7554" customFormat="false" ht="15" hidden="false" customHeight="false" outlineLevel="1" collapsed="false">
      <c r="A7554" s="7" t="s">
        <v>608</v>
      </c>
      <c r="B7554" s="8" t="s">
        <v>11</v>
      </c>
      <c r="C7554" s="61" t="n">
        <f aca="false">C7463*1000*C7483</f>
        <v>44280</v>
      </c>
      <c r="D7554" s="61" t="n">
        <f aca="false">D7463*1000*D7483</f>
        <v>166050</v>
      </c>
      <c r="E7554" s="61" t="n">
        <f aca="false">E7463*1000*E7483</f>
        <v>442800</v>
      </c>
      <c r="F7554" s="61" t="n">
        <f aca="false">F7463*1000*F7483</f>
        <v>774900</v>
      </c>
      <c r="G7554" s="61" t="n">
        <f aca="false">G7463*1000*G7483</f>
        <v>1107000</v>
      </c>
      <c r="H7554" s="2" t="s">
        <v>1264</v>
      </c>
    </row>
    <row r="7555" customFormat="false" ht="15" hidden="false" customHeight="false" outlineLevel="1" collapsed="false">
      <c r="A7555" s="7" t="s">
        <v>609</v>
      </c>
      <c r="B7555" s="8" t="s">
        <v>11</v>
      </c>
      <c r="C7555" s="61" t="n">
        <f aca="false">C7464*1000*C7506</f>
        <v>231400</v>
      </c>
      <c r="D7555" s="61" t="n">
        <f aca="false">D7464*1000*D7506</f>
        <v>1615350</v>
      </c>
      <c r="E7555" s="61" t="n">
        <f aca="false">E7464*1000*E7506</f>
        <v>3190650</v>
      </c>
      <c r="F7555" s="61" t="n">
        <f aca="false">F7464*1000*F7506</f>
        <v>5264350</v>
      </c>
      <c r="G7555" s="61" t="n">
        <f aca="false">G7464*1000*G7506</f>
        <v>7965500</v>
      </c>
      <c r="H7555" s="2" t="s">
        <v>1265</v>
      </c>
    </row>
    <row r="7556" customFormat="false" ht="15" hidden="false" customHeight="false" outlineLevel="1" collapsed="false">
      <c r="A7556" s="7" t="s">
        <v>610</v>
      </c>
      <c r="B7556" s="8" t="s">
        <v>11</v>
      </c>
      <c r="C7556" s="61" t="n">
        <f aca="false">C7466*1000*C7529</f>
        <v>0</v>
      </c>
      <c r="D7556" s="61" t="n">
        <f aca="false">D7466*1000*D7529</f>
        <v>1825000</v>
      </c>
      <c r="E7556" s="61" t="n">
        <f aca="false">E7466*1000*E7529</f>
        <v>5475000</v>
      </c>
      <c r="F7556" s="61" t="n">
        <f aca="false">F7466*1000*F7529</f>
        <v>9125000</v>
      </c>
      <c r="G7556" s="61" t="n">
        <f aca="false">G7466*1000*G7529</f>
        <v>12775000</v>
      </c>
      <c r="H7556" s="2" t="s">
        <v>1266</v>
      </c>
    </row>
    <row r="7557" customFormat="false" ht="15" hidden="false" customHeight="false" outlineLevel="1" collapsed="false">
      <c r="A7557" s="7" t="s">
        <v>611</v>
      </c>
      <c r="B7557" s="8" t="s">
        <v>11</v>
      </c>
      <c r="C7557" s="61" t="n">
        <f aca="false">C7554+C7555+C7556</f>
        <v>275680</v>
      </c>
      <c r="D7557" s="61" t="n">
        <f aca="false">D7554+D7555+D7556</f>
        <v>3606400</v>
      </c>
      <c r="E7557" s="61" t="n">
        <f aca="false">E7554+E7555+E7556</f>
        <v>9108450</v>
      </c>
      <c r="F7557" s="61" t="n">
        <f aca="false">F7554+F7555+F7556</f>
        <v>15164250</v>
      </c>
      <c r="G7557" s="61" t="n">
        <f aca="false">G7554+G7555+G7556</f>
        <v>21847500</v>
      </c>
      <c r="H7557" s="2" t="s">
        <v>1267</v>
      </c>
    </row>
    <row r="7558" customFormat="false" ht="15" hidden="false" customHeight="false" outlineLevel="1" collapsed="false">
      <c r="A7558" s="7" t="s">
        <v>612</v>
      </c>
      <c r="B7558" s="8" t="s">
        <v>11</v>
      </c>
      <c r="C7558" s="61" t="n">
        <f aca="false">C7476*1000*Pressupostos!$C$93</f>
        <v>0</v>
      </c>
      <c r="D7558" s="61" t="n">
        <f aca="false">D7476*1000*Pressupostos!$C$93</f>
        <v>0</v>
      </c>
      <c r="E7558" s="61" t="n">
        <f aca="false">E7476*1000*Pressupostos!$C$93</f>
        <v>0</v>
      </c>
      <c r="F7558" s="61" t="n">
        <f aca="false">F7476*1000*Pressupostos!$C$93</f>
        <v>157000</v>
      </c>
      <c r="G7558" s="61" t="n">
        <f aca="false">G7476*1000*Pressupostos!$C$93</f>
        <v>392500</v>
      </c>
      <c r="H7558" s="2" t="s">
        <v>1268</v>
      </c>
    </row>
    <row r="7559" customFormat="false" ht="15" hidden="false" customHeight="false" outlineLevel="1" collapsed="false">
      <c r="A7559" s="2" t="s">
        <v>613</v>
      </c>
      <c r="B7559" s="8" t="s">
        <v>11</v>
      </c>
      <c r="C7559" s="61" t="n">
        <f aca="false">C7474*Pressupostos!$C$80*(1-Pressupostos!$C$81)</f>
        <v>9720</v>
      </c>
      <c r="D7559" s="61" t="n">
        <f aca="false">D7474*Pressupostos!$C$80*(1-Pressupostos!$C$81)</f>
        <v>36450</v>
      </c>
      <c r="E7559" s="61" t="n">
        <f aca="false">E7474*Pressupostos!$C$80*(1-Pressupostos!$C$81)</f>
        <v>97200</v>
      </c>
      <c r="F7559" s="61" t="n">
        <f aca="false">F7474*Pressupostos!$C$80*(1-Pressupostos!$C$81)</f>
        <v>170100</v>
      </c>
      <c r="G7559" s="61" t="n">
        <f aca="false">G7474*Pressupostos!$C$80*(1-Pressupostos!$C$81)</f>
        <v>243000</v>
      </c>
      <c r="H7559" s="2" t="s">
        <v>1269</v>
      </c>
    </row>
    <row r="7560" customFormat="false" ht="15" hidden="false" customHeight="false" outlineLevel="1" collapsed="false">
      <c r="A7560" s="7" t="s">
        <v>614</v>
      </c>
      <c r="B7560" s="8" t="s">
        <v>11</v>
      </c>
      <c r="C7560" s="61" t="n">
        <f aca="false">C7559*Pressupostos!$F$27</f>
        <v>194.4</v>
      </c>
      <c r="D7560" s="61" t="n">
        <f aca="false">D7559*Pressupostos!$F$27</f>
        <v>729</v>
      </c>
      <c r="E7560" s="61" t="n">
        <f aca="false">E7559*Pressupostos!$F$27</f>
        <v>1944</v>
      </c>
      <c r="F7560" s="61" t="n">
        <f aca="false">F7559*Pressupostos!$F$27</f>
        <v>3402</v>
      </c>
      <c r="G7560" s="61" t="n">
        <f aca="false">G7559*Pressupostos!$F$27</f>
        <v>4860</v>
      </c>
      <c r="H7560" s="2" t="s">
        <v>1270</v>
      </c>
    </row>
    <row r="7561" customFormat="false" ht="15" hidden="false" customHeight="false" outlineLevel="1" collapsed="false">
      <c r="A7561" s="7" t="s">
        <v>615</v>
      </c>
      <c r="B7561" s="8" t="s">
        <v>11</v>
      </c>
      <c r="C7561" s="61" t="n">
        <f aca="false">C7467*1000*C7550</f>
        <v>0</v>
      </c>
      <c r="D7561" s="61" t="n">
        <f aca="false">D7467*1000*D7550</f>
        <v>0</v>
      </c>
      <c r="E7561" s="61" t="n">
        <f aca="false">E7467*1000*E7550</f>
        <v>0</v>
      </c>
      <c r="F7561" s="61" t="n">
        <f aca="false">F7467*1000*F7550</f>
        <v>0</v>
      </c>
      <c r="G7561" s="61" t="n">
        <f aca="false">G7467*1000*G7550</f>
        <v>0</v>
      </c>
      <c r="H7561" s="2" t="s">
        <v>1271</v>
      </c>
    </row>
    <row r="7562" customFormat="false" ht="15" hidden="false" customHeight="false" outlineLevel="1" collapsed="false">
      <c r="A7562" s="7" t="s">
        <v>616</v>
      </c>
      <c r="B7562" s="8" t="s">
        <v>11</v>
      </c>
      <c r="C7562" s="61" t="n">
        <f aca="false">C7478*(Pressupostos!$C$101*Pressupostos!$C$102+Pressupostos!$C$103)</f>
        <v>0</v>
      </c>
      <c r="D7562" s="61" t="n">
        <f aca="false">D7478*(Pressupostos!$C$101*Pressupostos!$C$102+Pressupostos!$C$103)</f>
        <v>10000</v>
      </c>
      <c r="E7562" s="61" t="n">
        <f aca="false">E7478*(Pressupostos!$C$101*Pressupostos!$C$102+Pressupostos!$C$103)</f>
        <v>30000</v>
      </c>
      <c r="F7562" s="61" t="n">
        <f aca="false">F7478*(Pressupostos!$C$101*Pressupostos!$C$102+Pressupostos!$C$103)</f>
        <v>60000</v>
      </c>
      <c r="G7562" s="61" t="n">
        <f aca="false">G7478*(Pressupostos!$C$101*Pressupostos!$C$102+Pressupostos!$C$103)</f>
        <v>100000</v>
      </c>
      <c r="H7562" s="2" t="s">
        <v>1272</v>
      </c>
    </row>
    <row r="7563" customFormat="false" ht="15" hidden="false" customHeight="false" outlineLevel="1" collapsed="false">
      <c r="A7563" s="7" t="s">
        <v>617</v>
      </c>
      <c r="B7563" s="8" t="s">
        <v>11</v>
      </c>
      <c r="C7563" s="53" t="n">
        <f aca="false">Pressupostos!$C$277</f>
        <v>0</v>
      </c>
      <c r="D7563" s="53" t="n">
        <f aca="false">Pressupostos!$D$277</f>
        <v>0</v>
      </c>
      <c r="E7563" s="53" t="n">
        <f aca="false">Pressupostos!$E$277</f>
        <v>0</v>
      </c>
      <c r="F7563" s="53" t="n">
        <f aca="false">Pressupostos!$F$277</f>
        <v>10000</v>
      </c>
      <c r="G7563" s="53" t="n">
        <f aca="false">Pressupostos!$G$277</f>
        <v>30000</v>
      </c>
      <c r="H7563" s="2" t="s">
        <v>1273</v>
      </c>
    </row>
    <row r="7564" customFormat="false" ht="15" hidden="false" customHeight="false" outlineLevel="1" collapsed="false">
      <c r="A7564" s="56" t="s">
        <v>618</v>
      </c>
      <c r="B7564" s="57" t="s">
        <v>11</v>
      </c>
      <c r="C7564" s="62" t="n">
        <f aca="false">C7557+C7558+C7560+C7561+C7562+C7563</f>
        <v>275874.4</v>
      </c>
      <c r="D7564" s="62" t="n">
        <f aca="false">D7557+D7558+D7560+D7561+D7562+D7563</f>
        <v>3617129</v>
      </c>
      <c r="E7564" s="62" t="n">
        <f aca="false">E7557+E7558+E7560+E7561+E7562+E7563</f>
        <v>9140394</v>
      </c>
      <c r="F7564" s="62" t="n">
        <f aca="false">F7557+F7558+F7560+F7561+F7562+F7563</f>
        <v>15394652</v>
      </c>
      <c r="G7564" s="62" t="n">
        <f aca="false">G7557+G7558+G7560+G7561+G7562+G7563</f>
        <v>22374860</v>
      </c>
      <c r="H7564" s="2" t="s">
        <v>1274</v>
      </c>
    </row>
    <row r="7565" customFormat="false" ht="15" hidden="false" customHeight="false" outlineLevel="0" collapsed="false">
      <c r="A7565" s="3" t="s">
        <v>1275</v>
      </c>
      <c r="B7565" s="4"/>
      <c r="C7565" s="4"/>
      <c r="D7565" s="4"/>
      <c r="E7565" s="4"/>
      <c r="F7565" s="4"/>
      <c r="G7565" s="4"/>
      <c r="H7565" s="4"/>
    </row>
    <row r="7566" customFormat="false" ht="15" hidden="false" customHeight="false" outlineLevel="1" collapsed="false">
      <c r="A7566" s="2" t="s">
        <v>620</v>
      </c>
      <c r="B7566" s="8" t="s">
        <v>11</v>
      </c>
      <c r="C7566" s="61" t="n">
        <f aca="false">C7467*1000*Pressupostos!$F$10</f>
        <v>0</v>
      </c>
      <c r="D7566" s="61" t="n">
        <f aca="false">D7467*1000*Pressupostos!$F$10</f>
        <v>0</v>
      </c>
      <c r="E7566" s="61" t="n">
        <f aca="false">E7467*1000*Pressupostos!$F$10</f>
        <v>0</v>
      </c>
      <c r="F7566" s="61" t="n">
        <f aca="false">F7467*1000*Pressupostos!$F$10</f>
        <v>0</v>
      </c>
      <c r="G7566" s="61" t="n">
        <f aca="false">G7467*1000*Pressupostos!$F$10</f>
        <v>0</v>
      </c>
      <c r="H7566" s="2" t="s">
        <v>1276</v>
      </c>
    </row>
    <row r="7567" customFormat="false" ht="15" hidden="false" customHeight="false" outlineLevel="1" collapsed="false">
      <c r="A7567" s="56" t="s">
        <v>621</v>
      </c>
      <c r="B7567" s="57" t="s">
        <v>11</v>
      </c>
      <c r="C7567" s="62" t="n">
        <f aca="false">C7557+C7558+C7559+C7566</f>
        <v>285400</v>
      </c>
      <c r="D7567" s="62" t="n">
        <f aca="false">D7557+D7558+D7559+D7566</f>
        <v>3642850</v>
      </c>
      <c r="E7567" s="62" t="n">
        <f aca="false">E7557+E7558+E7559+E7566</f>
        <v>9205650</v>
      </c>
      <c r="F7567" s="62" t="n">
        <f aca="false">F7557+F7558+F7559+F7566</f>
        <v>15491350</v>
      </c>
      <c r="G7567" s="62" t="n">
        <f aca="false">G7557+G7558+G7559+G7566</f>
        <v>22483000</v>
      </c>
      <c r="H7567" s="2" t="s">
        <v>1277</v>
      </c>
    </row>
    <row r="7568" customFormat="false" ht="15" hidden="false" customHeight="false" outlineLevel="1" collapsed="false">
      <c r="A7568" s="7" t="s">
        <v>622</v>
      </c>
      <c r="B7568" s="8" t="s">
        <v>11</v>
      </c>
      <c r="C7568" s="61" t="n">
        <f aca="false">C7567-C7566-C7556</f>
        <v>285400</v>
      </c>
      <c r="D7568" s="61" t="n">
        <f aca="false">D7567-D7566-D7556</f>
        <v>1817850</v>
      </c>
      <c r="E7568" s="61" t="n">
        <f aca="false">E7567-E7566-E7556</f>
        <v>3730650</v>
      </c>
      <c r="F7568" s="61" t="n">
        <f aca="false">F7567-F7566-F7556</f>
        <v>6366350</v>
      </c>
      <c r="G7568" s="61" t="n">
        <f aca="false">G7567-G7566-G7556</f>
        <v>9708000</v>
      </c>
      <c r="H7568" s="2" t="s">
        <v>1278</v>
      </c>
    </row>
    <row r="7569" customFormat="false" ht="15" hidden="false" customHeight="false" outlineLevel="1" collapsed="false">
      <c r="A7569" s="7" t="s">
        <v>623</v>
      </c>
      <c r="B7569" s="8" t="s">
        <v>11</v>
      </c>
      <c r="C7569" s="61" t="n">
        <f aca="false">C7463*1000*(C7481+C7484)+C7464*1000*(C7504+C7507)+C7466*1000*(C7527+C7530)+C7476*1000*Pressupostos!$C$92</f>
        <v>245040</v>
      </c>
      <c r="D7569" s="61" t="n">
        <f aca="false">D7463*1000*(D7481+D7484)+D7464*1000*(D7504+D7507)+D7466*1000*(D7527+D7530)+D7476*1000*Pressupostos!$C$92</f>
        <v>3349300</v>
      </c>
      <c r="E7569" s="61" t="n">
        <f aca="false">E7463*1000*(E7481+E7484)+E7464*1000*(E7504+E7507)+E7466*1000*(E7527+E7530)+E7476*1000*Pressupostos!$C$92</f>
        <v>8498250</v>
      </c>
      <c r="F7569" s="61" t="n">
        <f aca="false">F7463*1000*(F7481+F7484)+F7464*1000*(F7504+F7507)+F7466*1000*(F7527+F7530)+F7476*1000*Pressupostos!$C$92</f>
        <v>14283850</v>
      </c>
      <c r="G7569" s="61" t="n">
        <f aca="false">G7463*1000*(G7481+G7484)+G7464*1000*(G7504+G7507)+G7466*1000*(G7527+G7530)+G7476*1000*Pressupostos!$C$92</f>
        <v>20710500</v>
      </c>
      <c r="H7569" s="2" t="s">
        <v>1279</v>
      </c>
    </row>
    <row r="7570" customFormat="false" ht="15" hidden="false" customHeight="false" outlineLevel="1" collapsed="false">
      <c r="A7570" s="7" t="s">
        <v>624</v>
      </c>
      <c r="B7570" s="8" t="s">
        <v>11</v>
      </c>
      <c r="C7570" s="61" t="n">
        <f aca="false">C7569*Pressupostos!$C$284</f>
        <v>0</v>
      </c>
      <c r="D7570" s="61" t="n">
        <f aca="false">D7569*Pressupostos!$D$284</f>
        <v>2511975</v>
      </c>
      <c r="E7570" s="61" t="n">
        <f aca="false">E7569*Pressupostos!$E$284</f>
        <v>6373687.5</v>
      </c>
      <c r="F7570" s="61" t="n">
        <f aca="false">F7569*Pressupostos!$F$284</f>
        <v>10712887.5</v>
      </c>
      <c r="G7570" s="61" t="n">
        <f aca="false">G7569*Pressupostos!$G$284</f>
        <v>15532875</v>
      </c>
      <c r="H7570" s="2" t="s">
        <v>1280</v>
      </c>
    </row>
    <row r="7571" customFormat="false" ht="15" hidden="false" customHeight="false" outlineLevel="0" collapsed="false">
      <c r="A7571" s="3" t="s">
        <v>1281</v>
      </c>
      <c r="B7571" s="4"/>
      <c r="C7571" s="4"/>
      <c r="D7571" s="4"/>
      <c r="E7571" s="4"/>
      <c r="F7571" s="4"/>
      <c r="G7571" s="4"/>
      <c r="H7571" s="4"/>
    </row>
    <row r="7572" customFormat="false" ht="15" hidden="false" customHeight="false" outlineLevel="1" collapsed="false">
      <c r="A7572" s="7" t="s">
        <v>626</v>
      </c>
      <c r="B7572" s="8" t="s">
        <v>11</v>
      </c>
      <c r="C7572" s="61" t="n">
        <f aca="false">C7463*1000*C7500</f>
        <v>4950.75000000001</v>
      </c>
      <c r="D7572" s="61" t="n">
        <f aca="false">D7463*1000*D7500</f>
        <v>13655.8433219179</v>
      </c>
      <c r="E7572" s="61" t="n">
        <f aca="false">E7463*1000*E7500</f>
        <v>50634.6910958904</v>
      </c>
      <c r="F7572" s="61" t="n">
        <f aca="false">F7463*1000*F7500</f>
        <v>90432.7171232877</v>
      </c>
      <c r="G7572" s="61" t="n">
        <f aca="false">G7463*1000*G7500</f>
        <v>129189.595890411</v>
      </c>
      <c r="H7572" s="2" t="s">
        <v>1282</v>
      </c>
    </row>
    <row r="7573" customFormat="false" ht="15" hidden="false" customHeight="false" outlineLevel="1" collapsed="false">
      <c r="A7573" s="7" t="s">
        <v>627</v>
      </c>
      <c r="B7573" s="8" t="s">
        <v>11</v>
      </c>
      <c r="C7573" s="61" t="n">
        <f aca="false">C7464*1000*C7523</f>
        <v>10195.0273972603</v>
      </c>
      <c r="D7573" s="61" t="n">
        <f aca="false">D7464*1000*D7523</f>
        <v>54554.4246575343</v>
      </c>
      <c r="E7573" s="61" t="n">
        <f aca="false">E7464*1000*E7523</f>
        <v>116977.352953767</v>
      </c>
      <c r="F7573" s="61" t="n">
        <f aca="false">F7464*1000*F7523</f>
        <v>196388.634845891</v>
      </c>
      <c r="G7573" s="61" t="n">
        <f aca="false">G7464*1000*G7523</f>
        <v>297156.09160959</v>
      </c>
      <c r="H7573" s="2" t="s">
        <v>1283</v>
      </c>
    </row>
    <row r="7574" customFormat="false" ht="15" hidden="false" customHeight="false" outlineLevel="1" collapsed="false">
      <c r="A7574" s="7" t="s">
        <v>628</v>
      </c>
      <c r="B7574" s="8" t="s">
        <v>11</v>
      </c>
      <c r="C7574" s="61" t="n">
        <f aca="false">C7466*1000*C7546+C7467*1000*C7552</f>
        <v>0</v>
      </c>
      <c r="D7574" s="61" t="n">
        <f aca="false">D7466*1000*D7546+D7467*1000*D7552</f>
        <v>18593.4931506853</v>
      </c>
      <c r="E7574" s="61" t="n">
        <f aca="false">E7466*1000*E7546+E7467*1000*E7552</f>
        <v>57803.16780822</v>
      </c>
      <c r="F7574" s="61" t="n">
        <f aca="false">F7466*1000*F7546+F7467*1000*F7552</f>
        <v>99709.7602739738</v>
      </c>
      <c r="G7574" s="61" t="n">
        <f aca="false">G7466*1000*G7546+G7467*1000*G7552</f>
        <v>139593.664383563</v>
      </c>
      <c r="H7574" s="2" t="s">
        <v>1284</v>
      </c>
    </row>
    <row r="7575" customFormat="false" ht="15" hidden="false" customHeight="false" outlineLevel="1" collapsed="false">
      <c r="A7575" s="7" t="s">
        <v>629</v>
      </c>
      <c r="B7575" s="8" t="s">
        <v>11</v>
      </c>
      <c r="C7575" s="61" t="n">
        <f aca="false">C7572+C7573+C7574</f>
        <v>15145.7773972603</v>
      </c>
      <c r="D7575" s="61" t="n">
        <f aca="false">D7572+D7573+D7574</f>
        <v>86803.7611301374</v>
      </c>
      <c r="E7575" s="61" t="n">
        <f aca="false">E7572+E7573+E7574</f>
        <v>225415.211857878</v>
      </c>
      <c r="F7575" s="61" t="n">
        <f aca="false">F7572+F7573+F7574</f>
        <v>386531.112243153</v>
      </c>
      <c r="G7575" s="61" t="n">
        <f aca="false">G7572+G7573+G7574</f>
        <v>565939.351883564</v>
      </c>
      <c r="H7575" s="2" t="s">
        <v>1285</v>
      </c>
    </row>
    <row r="7576" customFormat="false" ht="15" hidden="false" customHeight="false" outlineLevel="1" collapsed="false">
      <c r="A7576" s="7" t="s">
        <v>630</v>
      </c>
      <c r="B7576" s="8" t="s">
        <v>64</v>
      </c>
      <c r="C7576" s="63" t="n">
        <f aca="false">IF(C7468&gt;0,C7575/(C7468*1000),0)</f>
        <v>0.251590986665454</v>
      </c>
      <c r="D7576" s="63" t="n">
        <f aca="false">IF(D7468&gt;0,D7575/(D7468*1000),0)</f>
        <v>0.0971230893763776</v>
      </c>
      <c r="E7576" s="63" t="n">
        <f aca="false">IF(E7468&gt;0,E7575/(E7468*1000),0)</f>
        <v>0.0980492439573196</v>
      </c>
      <c r="F7576" s="63" t="n">
        <f aca="false">IF(F7468&gt;0,F7575/(F7468*1000),0)</f>
        <v>0.101014272113721</v>
      </c>
      <c r="G7576" s="63" t="n">
        <f aca="false">IF(G7468&gt;0,G7575/(G7468*1000),0)</f>
        <v>0.102991692790458</v>
      </c>
      <c r="H7576" s="2" t="s">
        <v>1286</v>
      </c>
    </row>
    <row r="7577" customFormat="false" ht="15" hidden="false" customHeight="false" outlineLevel="1" collapsed="false">
      <c r="A7577" s="7" t="s">
        <v>631</v>
      </c>
      <c r="B7577" s="8" t="s">
        <v>76</v>
      </c>
      <c r="C7577" s="59" t="n">
        <f aca="false">IF(C7557&gt;0,C7575/C7557,0)</f>
        <v>0.0549397032692263</v>
      </c>
      <c r="D7577" s="59" t="n">
        <f aca="false">IF(D7557&gt;0,D7575/D7557,0)</f>
        <v>0.0240693658856858</v>
      </c>
      <c r="E7577" s="59" t="n">
        <f aca="false">IF(E7557&gt;0,E7575/E7557,0)</f>
        <v>0.0247479221885038</v>
      </c>
      <c r="F7577" s="59" t="n">
        <f aca="false">IF(F7557&gt;0,F7575/F7557,0)</f>
        <v>0.0254896293745588</v>
      </c>
      <c r="G7577" s="59" t="n">
        <f aca="false">IF(G7557&gt;0,G7575/G7557,0)</f>
        <v>0.0259040783560391</v>
      </c>
      <c r="H7577" s="2" t="s">
        <v>1287</v>
      </c>
    </row>
    <row r="7578" customFormat="false" ht="15" hidden="false" customHeight="false" outlineLevel="1" collapsed="false">
      <c r="A7578" s="2" t="s">
        <v>632</v>
      </c>
      <c r="B7578" s="8" t="s">
        <v>64</v>
      </c>
      <c r="C7578" s="63" t="n">
        <f aca="false">Pressupostos!$C$290*Pressupostos!$C$92*(Pressupostos!$C$95+Pressupostos!$C$96-Pressupostos!$C$97)/365*Pressupostos!$C$284/Pressupostos!$F$31</f>
        <v>0</v>
      </c>
      <c r="D7578" s="63" t="n">
        <f aca="false">Pressupostos!$D$290*Pressupostos!$C$92*(Pressupostos!$C$95+Pressupostos!$C$96-Pressupostos!$C$97)/365*Pressupostos!$D$284/Pressupostos!$F$31</f>
        <v>0.0647260273972603</v>
      </c>
      <c r="E7578" s="63" t="n">
        <f aca="false">Pressupostos!$E$290*Pressupostos!$C$92*(Pressupostos!$C$95+Pressupostos!$C$96-Pressupostos!$C$97)/365*Pressupostos!$E$284/Pressupostos!$F$31</f>
        <v>0.0606806506849315</v>
      </c>
      <c r="F7578" s="63" t="n">
        <f aca="false">Pressupostos!$F$290*Pressupostos!$C$92*(Pressupostos!$C$95+Pressupostos!$C$96-Pressupostos!$C$97)/365*Pressupostos!$F$284/Pressupostos!$F$31</f>
        <v>0.0566352739726028</v>
      </c>
      <c r="G7578" s="63" t="n">
        <f aca="false">Pressupostos!$G$290*Pressupostos!$C$92*(Pressupostos!$C$95+Pressupostos!$C$96-Pressupostos!$C$97)/365*Pressupostos!$G$284/Pressupostos!$F$31</f>
        <v>0.0566352739726028</v>
      </c>
      <c r="H7578" s="2" t="s">
        <v>1288</v>
      </c>
    </row>
    <row r="7579" customFormat="false" ht="15" hidden="false" customHeight="false" outlineLevel="1" collapsed="false">
      <c r="A7579" s="7" t="s">
        <v>600</v>
      </c>
      <c r="B7579" s="8" t="s">
        <v>11</v>
      </c>
      <c r="C7579" s="61" t="n">
        <f aca="false">C7476*1000*(Pressupostos!$C$93-Pressupostos!$C$92-Pressupostos!$C$94-C7578-Pressupostos!$C$98*Pressupostos!$C$93-Pressupostos!$C$99-Pressupostos!$F$29*Pressupostos!$C$92)</f>
        <v>0</v>
      </c>
      <c r="D7579" s="61" t="n">
        <f aca="false">D7476*1000*(Pressupostos!$C$93-Pressupostos!$C$92-Pressupostos!$C$94-D7578-Pressupostos!$C$98*Pressupostos!$C$93-Pressupostos!$C$99-Pressupostos!$F$29*Pressupostos!$C$92)</f>
        <v>0</v>
      </c>
      <c r="E7579" s="61" t="n">
        <f aca="false">E7476*1000*(Pressupostos!$C$93-Pressupostos!$C$92-Pressupostos!$C$94-E7578-Pressupostos!$C$98*Pressupostos!$C$93-Pressupostos!$C$99-Pressupostos!$F$29*Pressupostos!$C$92)</f>
        <v>0</v>
      </c>
      <c r="F7579" s="61" t="n">
        <f aca="false">F7476*1000*(Pressupostos!$C$93-Pressupostos!$C$92-Pressupostos!$C$94-F7578-Pressupostos!$C$98*Pressupostos!$C$93-Pressupostos!$C$99-Pressupostos!$F$29*Pressupostos!$C$92)</f>
        <v>10905.2945205479</v>
      </c>
      <c r="G7579" s="61" t="n">
        <f aca="false">G7476*1000*(Pressupostos!$C$93-Pressupostos!$C$92-Pressupostos!$C$94-G7578-Pressupostos!$C$98*Pressupostos!$C$93-Pressupostos!$C$99-Pressupostos!$F$29*Pressupostos!$C$92)</f>
        <v>27263.2363013698</v>
      </c>
      <c r="H7579" s="2" t="s">
        <v>1289</v>
      </c>
    </row>
    <row r="7580" customFormat="false" ht="15" hidden="false" customHeight="false" outlineLevel="1" collapsed="false">
      <c r="A7580" s="7" t="s">
        <v>633</v>
      </c>
      <c r="B7580" s="8" t="s">
        <v>11</v>
      </c>
      <c r="C7580" s="61" t="n">
        <f aca="false">C7560</f>
        <v>194.4</v>
      </c>
      <c r="D7580" s="61" t="n">
        <f aca="false">D7560</f>
        <v>729</v>
      </c>
      <c r="E7580" s="61" t="n">
        <f aca="false">E7560</f>
        <v>1944</v>
      </c>
      <c r="F7580" s="61" t="n">
        <f aca="false">F7560</f>
        <v>3402</v>
      </c>
      <c r="G7580" s="61" t="n">
        <f aca="false">G7560</f>
        <v>4860</v>
      </c>
      <c r="H7580" s="2" t="s">
        <v>1290</v>
      </c>
    </row>
    <row r="7581" customFormat="false" ht="15" hidden="false" customHeight="false" outlineLevel="1" collapsed="false">
      <c r="A7581" s="7" t="s">
        <v>634</v>
      </c>
      <c r="B7581" s="8" t="s">
        <v>11</v>
      </c>
      <c r="C7581" s="61" t="n">
        <f aca="false">C7562-C7596</f>
        <v>0</v>
      </c>
      <c r="D7581" s="61" t="n">
        <f aca="false">D7562-D7596</f>
        <v>10000</v>
      </c>
      <c r="E7581" s="61" t="n">
        <f aca="false">E7562-E7596</f>
        <v>30000</v>
      </c>
      <c r="F7581" s="61" t="n">
        <f aca="false">F7562-F7596</f>
        <v>60000</v>
      </c>
      <c r="G7581" s="61" t="n">
        <f aca="false">G7562-G7596</f>
        <v>100000</v>
      </c>
      <c r="H7581" s="2" t="s">
        <v>1291</v>
      </c>
    </row>
    <row r="7582" customFormat="false" ht="15" hidden="false" customHeight="false" outlineLevel="1" collapsed="false">
      <c r="A7582" s="7" t="s">
        <v>617</v>
      </c>
      <c r="B7582" s="8" t="s">
        <v>11</v>
      </c>
      <c r="C7582" s="61" t="n">
        <f aca="false">C7563</f>
        <v>0</v>
      </c>
      <c r="D7582" s="61" t="n">
        <f aca="false">D7563</f>
        <v>0</v>
      </c>
      <c r="E7582" s="61" t="n">
        <f aca="false">E7563</f>
        <v>0</v>
      </c>
      <c r="F7582" s="61" t="n">
        <f aca="false">F7563</f>
        <v>10000</v>
      </c>
      <c r="G7582" s="61" t="n">
        <f aca="false">G7563</f>
        <v>30000</v>
      </c>
      <c r="H7582" s="2" t="s">
        <v>1292</v>
      </c>
    </row>
    <row r="7583" customFormat="false" ht="15" hidden="false" customHeight="false" outlineLevel="1" collapsed="false">
      <c r="A7583" s="56" t="s">
        <v>635</v>
      </c>
      <c r="B7583" s="57" t="s">
        <v>11</v>
      </c>
      <c r="C7583" s="62" t="n">
        <f aca="false">C7575+C7579+C7580+C7581+C7582</f>
        <v>15340.1773972603</v>
      </c>
      <c r="D7583" s="62" t="n">
        <f aca="false">D7575+D7579+D7580+D7581+D7582</f>
        <v>97532.7611301374</v>
      </c>
      <c r="E7583" s="62" t="n">
        <f aca="false">E7575+E7579+E7580+E7581+E7582</f>
        <v>257359.211857878</v>
      </c>
      <c r="F7583" s="62" t="n">
        <f aca="false">F7575+F7579+F7580+F7581+F7582</f>
        <v>470838.406763701</v>
      </c>
      <c r="G7583" s="62" t="n">
        <f aca="false">G7575+G7579+G7580+G7581+G7582</f>
        <v>728062.588184934</v>
      </c>
      <c r="H7583" s="2" t="s">
        <v>1293</v>
      </c>
    </row>
    <row r="7584" customFormat="false" ht="15" hidden="false" customHeight="false" outlineLevel="0" collapsed="false">
      <c r="A7584" s="3" t="s">
        <v>1294</v>
      </c>
      <c r="B7584" s="4"/>
      <c r="C7584" s="4"/>
      <c r="D7584" s="4"/>
      <c r="E7584" s="4"/>
      <c r="F7584" s="4"/>
      <c r="G7584" s="4"/>
      <c r="H7584" s="4"/>
    </row>
    <row r="7585" customFormat="false" ht="15" hidden="false" customHeight="false" outlineLevel="1" collapsed="false">
      <c r="A7585" s="7" t="s">
        <v>686</v>
      </c>
      <c r="B7585" s="8" t="s">
        <v>11</v>
      </c>
      <c r="C7585" s="61" t="n">
        <f aca="false">C7463*1000*(C7481+C7484)+C7464*1000*(C7504+C7507)+C7466*1000*(C7527+C7530)</f>
        <v>245040</v>
      </c>
      <c r="D7585" s="61" t="n">
        <f aca="false">D7463*1000*(D7481+D7484)+D7464*1000*(D7504+D7507)+D7466*1000*(D7527+D7530)</f>
        <v>3349300</v>
      </c>
      <c r="E7585" s="61" t="n">
        <f aca="false">E7463*1000*(E7481+E7484)+E7464*1000*(E7504+E7507)+E7466*1000*(E7527+E7530)</f>
        <v>8498250</v>
      </c>
      <c r="F7585" s="61" t="n">
        <f aca="false">F7463*1000*(F7481+F7484)+F7464*1000*(F7504+F7507)+F7466*1000*(F7527+F7530)</f>
        <v>14143850</v>
      </c>
      <c r="G7585" s="61" t="n">
        <f aca="false">G7463*1000*(G7481+G7484)+G7464*1000*(G7504+G7507)+G7466*1000*(G7527+G7530)</f>
        <v>20360500</v>
      </c>
      <c r="H7585" s="2" t="s">
        <v>1295</v>
      </c>
    </row>
    <row r="7586" customFormat="false" ht="15" hidden="false" customHeight="false" outlineLevel="1" collapsed="false">
      <c r="A7586" s="7" t="s">
        <v>687</v>
      </c>
      <c r="B7586" s="8" t="s">
        <v>11</v>
      </c>
      <c r="C7586" s="61" t="n">
        <f aca="false">C7476*1000*Pressupostos!$C$92</f>
        <v>0</v>
      </c>
      <c r="D7586" s="61" t="n">
        <f aca="false">D7476*1000*Pressupostos!$C$92</f>
        <v>0</v>
      </c>
      <c r="E7586" s="61" t="n">
        <f aca="false">E7476*1000*Pressupostos!$C$92</f>
        <v>0</v>
      </c>
      <c r="F7586" s="61" t="n">
        <f aca="false">F7476*1000*Pressupostos!$C$92</f>
        <v>140000</v>
      </c>
      <c r="G7586" s="61" t="n">
        <f aca="false">G7476*1000*Pressupostos!$C$92</f>
        <v>350000</v>
      </c>
      <c r="H7586" s="2" t="s">
        <v>1296</v>
      </c>
    </row>
    <row r="7587" customFormat="false" ht="15" hidden="false" customHeight="false" outlineLevel="1" collapsed="false">
      <c r="A7587" s="7" t="s">
        <v>688</v>
      </c>
      <c r="B7587" s="8" t="s">
        <v>11</v>
      </c>
      <c r="C7587" s="61" t="n">
        <f aca="false">C7585+C7586</f>
        <v>245040</v>
      </c>
      <c r="D7587" s="61" t="n">
        <f aca="false">D7585+D7586</f>
        <v>3349300</v>
      </c>
      <c r="E7587" s="61" t="n">
        <f aca="false">E7585+E7586</f>
        <v>8498250</v>
      </c>
      <c r="F7587" s="61" t="n">
        <f aca="false">F7585+F7586</f>
        <v>14283850</v>
      </c>
      <c r="G7587" s="61" t="n">
        <f aca="false">G7585+G7586</f>
        <v>20710500</v>
      </c>
      <c r="H7587" s="2" t="s">
        <v>1297</v>
      </c>
    </row>
    <row r="7588" customFormat="false" ht="15" hidden="false" customHeight="false" outlineLevel="1" collapsed="false">
      <c r="A7588" s="7" t="s">
        <v>215</v>
      </c>
      <c r="B7588" s="8" t="s">
        <v>11</v>
      </c>
      <c r="C7588" s="61" t="n">
        <f aca="false">C7463*1000*(C7485)+C7464*1000*(C7508)+C7466*1000*(C7531)+C7476*1000*Pressupostos!$C$94</f>
        <v>7660</v>
      </c>
      <c r="D7588" s="61" t="n">
        <f aca="false">D7463*1000*(D7485)+D7464*1000*(D7508)+D7466*1000*(D7531)+D7476*1000*Pressupostos!$C$94</f>
        <v>65525</v>
      </c>
      <c r="E7588" s="61" t="n">
        <f aca="false">E7463*1000*(E7485)+E7464*1000*(E7508)+E7466*1000*(E7531)+E7476*1000*Pressupostos!$C$94</f>
        <v>147490</v>
      </c>
      <c r="F7588" s="61" t="n">
        <f aca="false">F7463*1000*(F7485)+F7464*1000*(F7508)+F7466*1000*(F7531)+F7476*1000*Pressupostos!$C$94</f>
        <v>248215</v>
      </c>
      <c r="G7588" s="61" t="n">
        <f aca="false">G7463*1000*(G7485)+G7464*1000*(G7508)+G7466*1000*(G7531)+G7476*1000*Pressupostos!$C$94</f>
        <v>363950</v>
      </c>
      <c r="H7588" s="2" t="s">
        <v>1298</v>
      </c>
    </row>
    <row r="7589" customFormat="false" ht="15" hidden="false" customHeight="false" outlineLevel="1" collapsed="false">
      <c r="A7589" s="7" t="s">
        <v>117</v>
      </c>
      <c r="B7589" s="8" t="s">
        <v>11</v>
      </c>
      <c r="C7589" s="61" t="n">
        <f aca="false">C7463*1000*(C7486)+C7464*1000*(C7509)+C7466*1000*(C7532)</f>
        <v>492</v>
      </c>
      <c r="D7589" s="61" t="n">
        <f aca="false">D7463*1000*(D7486)+D7464*1000*(D7509)+D7466*1000*(D7532)</f>
        <v>1845</v>
      </c>
      <c r="E7589" s="61" t="n">
        <f aca="false">E7463*1000*(E7486)+E7464*1000*(E7509)+E7466*1000*(E7532)</f>
        <v>4920</v>
      </c>
      <c r="F7589" s="61" t="n">
        <f aca="false">F7463*1000*(F7486)+F7464*1000*(F7509)+F7466*1000*(F7532)</f>
        <v>8610</v>
      </c>
      <c r="G7589" s="61" t="n">
        <f aca="false">G7463*1000*(G7486)+G7464*1000*(G7509)+G7466*1000*(G7532)</f>
        <v>12300</v>
      </c>
      <c r="H7589" s="2" t="s">
        <v>1299</v>
      </c>
    </row>
    <row r="7590" customFormat="false" ht="15" hidden="false" customHeight="false" outlineLevel="1" collapsed="false">
      <c r="A7590" s="7" t="s">
        <v>689</v>
      </c>
      <c r="B7590" s="8" t="s">
        <v>11</v>
      </c>
      <c r="C7590" s="61" t="n">
        <f aca="false">C7463*1000*(C7489+C7490)+C7464*1000*(C7512+C7513)+C7466*1000*(C7535+C7536)</f>
        <v>465.092602739726</v>
      </c>
      <c r="D7590" s="61" t="n">
        <f aca="false">D7463*1000*(D7489+D7490)+D7464*1000*(D7512+D7513)+D7466*1000*(D7535+D7536)</f>
        <v>3659.35205479452</v>
      </c>
      <c r="E7590" s="61" t="n">
        <f aca="false">E7463*1000*(E7489+E7490)+E7464*1000*(E7512+E7513)+E7466*1000*(E7535+E7536)</f>
        <v>7289.61369863014</v>
      </c>
      <c r="F7590" s="61" t="n">
        <f aca="false">F7463*1000*(F7489+F7490)+F7464*1000*(F7512+F7513)+F7466*1000*(F7535+F7536)</f>
        <v>12141.4047945205</v>
      </c>
      <c r="G7590" s="61" t="n">
        <f aca="false">G7463*1000*(G7489+G7490)+G7464*1000*(G7512+G7513)+G7466*1000*(G7535+G7536)</f>
        <v>17640.6369863014</v>
      </c>
      <c r="H7590" s="2" t="s">
        <v>1300</v>
      </c>
    </row>
    <row r="7591" customFormat="false" ht="15" hidden="false" customHeight="false" outlineLevel="1" collapsed="false">
      <c r="A7591" s="7" t="s">
        <v>690</v>
      </c>
      <c r="B7591" s="8" t="s">
        <v>11</v>
      </c>
      <c r="C7591" s="61" t="n">
        <f aca="false">C7463*1000*(C7491+C7492+C7493)+C7464*1000*(C7514+C7515+C7516)+C7466*1000*(C7537+C7538+C7539)</f>
        <v>2675.25</v>
      </c>
      <c r="D7591" s="61" t="n">
        <f aca="false">D7463*1000*(D7491+D7492+D7493)+D7464*1000*(D7514+D7515+D7516)+D7466*1000*(D7537+D7538+D7539)</f>
        <v>29420.1875</v>
      </c>
      <c r="E7591" s="61" t="n">
        <f aca="false">E7463*1000*(E7491+E7492+E7493)+E7464*1000*(E7514+E7515+E7516)+E7466*1000*(E7537+E7538+E7539)</f>
        <v>71222.5</v>
      </c>
      <c r="F7591" s="61" t="n">
        <f aca="false">F7463*1000*(F7491+F7492+F7493)+F7464*1000*(F7514+F7515+F7516)+F7466*1000*(F7537+F7538+F7539)</f>
        <v>118572.625</v>
      </c>
      <c r="G7591" s="61" t="n">
        <f aca="false">G7463*1000*(G7491+G7492+G7493)+G7464*1000*(G7514+G7515+G7516)+G7466*1000*(G7537+G7538+G7539)</f>
        <v>171703.75</v>
      </c>
      <c r="H7591" s="2" t="s">
        <v>1301</v>
      </c>
    </row>
    <row r="7592" customFormat="false" ht="15" hidden="false" customHeight="false" outlineLevel="1" collapsed="false">
      <c r="A7592" s="7" t="s">
        <v>673</v>
      </c>
      <c r="B7592" s="8" t="s">
        <v>11</v>
      </c>
      <c r="C7592" s="61" t="n">
        <f aca="false">C7463*1000*(C7494)+C7464*1000*(C7517)+C7466*1000*(C7540)</f>
        <v>2900</v>
      </c>
      <c r="D7592" s="61" t="n">
        <f aca="false">D7463*1000*(D7494)+D7464*1000*(D7517)+D7466*1000*(D7540)</f>
        <v>23595</v>
      </c>
      <c r="E7592" s="61" t="n">
        <f aca="false">E7463*1000*(E7494)+E7464*1000*(E7517)+E7466*1000*(E7540)</f>
        <v>54880</v>
      </c>
      <c r="F7592" s="61" t="n">
        <f aca="false">F7463*1000*(F7494)+F7464*1000*(F7517)+F7466*1000*(F7540)</f>
        <v>91670</v>
      </c>
      <c r="G7592" s="61" t="n">
        <f aca="false">G7463*1000*(G7494)+G7464*1000*(G7517)+G7466*1000*(G7540)</f>
        <v>134100</v>
      </c>
      <c r="H7592" s="2" t="s">
        <v>1302</v>
      </c>
    </row>
    <row r="7593" customFormat="false" ht="15" hidden="false" customHeight="false" outlineLevel="1" collapsed="false">
      <c r="A7593" s="7" t="s">
        <v>691</v>
      </c>
      <c r="B7593" s="8" t="s">
        <v>11</v>
      </c>
      <c r="C7593" s="61" t="n">
        <f aca="false">C7463*1000*(C7495)+C7464*1000*(C7518)+C7466*1000*(C7541)+C7476*1000*Pressupostos!$C$99</f>
        <v>342</v>
      </c>
      <c r="D7593" s="61" t="n">
        <f aca="false">D7463*1000*(D7495)+D7464*1000*(D7518)+D7466*1000*(D7541)+D7476*1000*Pressupostos!$C$99</f>
        <v>2622.5</v>
      </c>
      <c r="E7593" s="61" t="n">
        <f aca="false">E7463*1000*(E7495)+E7464*1000*(E7518)+E7466*1000*(E7541)+E7476*1000*Pressupostos!$C$99</f>
        <v>5905</v>
      </c>
      <c r="F7593" s="61" t="n">
        <f aca="false">F7463*1000*(F7495)+F7464*1000*(F7518)+F7466*1000*(F7541)+F7476*1000*Pressupostos!$C$99</f>
        <v>10450</v>
      </c>
      <c r="G7593" s="61" t="n">
        <f aca="false">G7463*1000*(G7495)+G7464*1000*(G7518)+G7466*1000*(G7541)+G7476*1000*Pressupostos!$C$99</f>
        <v>16000</v>
      </c>
      <c r="H7593" s="2" t="s">
        <v>1303</v>
      </c>
    </row>
    <row r="7594" customFormat="false" ht="15" hidden="false" customHeight="false" outlineLevel="1" collapsed="false">
      <c r="A7594" s="7" t="s">
        <v>81</v>
      </c>
      <c r="B7594" s="8" t="s">
        <v>11</v>
      </c>
      <c r="C7594" s="61" t="n">
        <f aca="false">C7463*1000*(C7496)+C7464*1000*(C7519)+C7466*1000*(C7542)+C7476*1000*Pressupostos!$C$98*Pressupostos!$C$93</f>
        <v>959.88</v>
      </c>
      <c r="D7594" s="61" t="n">
        <f aca="false">D7463*1000*(D7496)+D7464*1000*(D7519)+D7466*1000*(D7542)+D7476*1000*Pressupostos!$C$98*Pressupostos!$C$93</f>
        <v>11317.35</v>
      </c>
      <c r="E7594" s="61" t="n">
        <f aca="false">E7463*1000*(E7496)+E7464*1000*(E7519)+E7466*1000*(E7542)+E7476*1000*Pressupostos!$C$98*Pressupostos!$C$93</f>
        <v>28653.75</v>
      </c>
      <c r="F7594" s="61" t="n">
        <f aca="false">F7463*1000*(F7496)+F7464*1000*(F7519)+F7466*1000*(F7542)+F7476*1000*Pressupostos!$C$98*Pressupostos!$C$93</f>
        <v>48759.45</v>
      </c>
      <c r="G7594" s="61" t="n">
        <f aca="false">G7463*1000*(G7496)+G7464*1000*(G7519)+G7466*1000*(G7542)+G7476*1000*Pressupostos!$C$98*Pressupostos!$C$93</f>
        <v>71218.5</v>
      </c>
      <c r="H7594" s="2" t="s">
        <v>1304</v>
      </c>
    </row>
    <row r="7595" customFormat="false" ht="15" hidden="false" customHeight="false" outlineLevel="1" collapsed="false">
      <c r="A7595" s="7" t="s">
        <v>692</v>
      </c>
      <c r="B7595" s="8" t="s">
        <v>11</v>
      </c>
      <c r="C7595" s="61" t="n">
        <f aca="false">C7463*1000*(C7497)+C7464*1000*(C7520)+C7466*1000*(C7543)+C7476*1000*Pressupostos!$F$29*Pressupostos!$C$92</f>
        <v>0</v>
      </c>
      <c r="D7595" s="61" t="n">
        <f aca="false">D7463*1000*(D7497)+D7464*1000*(D7520)+D7466*1000*(D7543)+D7476*1000*Pressupostos!$F$29*Pressupostos!$C$92</f>
        <v>0</v>
      </c>
      <c r="E7595" s="61" t="n">
        <f aca="false">E7463*1000*(E7497)+E7464*1000*(E7520)+E7466*1000*(E7543)+E7476*1000*Pressupostos!$F$29*Pressupostos!$C$92</f>
        <v>0</v>
      </c>
      <c r="F7595" s="61" t="n">
        <f aca="false">F7463*1000*(F7497)+F7464*1000*(F7520)+F7466*1000*(F7543)+F7476*1000*Pressupostos!$F$29*Pressupostos!$C$92</f>
        <v>420</v>
      </c>
      <c r="G7595" s="61" t="n">
        <f aca="false">G7463*1000*(G7497)+G7464*1000*(G7520)+G7466*1000*(G7543)+G7476*1000*Pressupostos!$F$29*Pressupostos!$C$92</f>
        <v>1050</v>
      </c>
      <c r="H7595" s="2" t="s">
        <v>1305</v>
      </c>
    </row>
    <row r="7596" customFormat="false" ht="15" hidden="false" customHeight="false" outlineLevel="1" collapsed="false">
      <c r="A7596" s="7" t="s">
        <v>693</v>
      </c>
      <c r="B7596" s="8" t="s">
        <v>11</v>
      </c>
      <c r="C7596" s="61" t="n">
        <f aca="false">C7479*1000*Pressupostos!$C$104*Pressupostos!$F$30</f>
        <v>0</v>
      </c>
      <c r="D7596" s="61" t="n">
        <f aca="false">D7479*1000*Pressupostos!$C$104*Pressupostos!$F$30</f>
        <v>0</v>
      </c>
      <c r="E7596" s="61" t="n">
        <f aca="false">E7479*1000*Pressupostos!$C$104*Pressupostos!$F$30</f>
        <v>0</v>
      </c>
      <c r="F7596" s="61" t="n">
        <f aca="false">F7479*1000*Pressupostos!$C$104*Pressupostos!$F$30</f>
        <v>0</v>
      </c>
      <c r="G7596" s="61" t="n">
        <f aca="false">G7479*1000*Pressupostos!$C$104*Pressupostos!$F$30</f>
        <v>0</v>
      </c>
      <c r="H7596" s="2" t="s">
        <v>1306</v>
      </c>
    </row>
    <row r="7597" customFormat="false" ht="15" hidden="false" customHeight="false" outlineLevel="1" collapsed="false">
      <c r="A7597" s="7" t="s">
        <v>694</v>
      </c>
      <c r="B7597" s="8" t="s">
        <v>11</v>
      </c>
      <c r="C7597" s="61" t="n">
        <f aca="false">C7467*1000*C7551</f>
        <v>0</v>
      </c>
      <c r="D7597" s="61" t="n">
        <f aca="false">D7467*1000*D7551</f>
        <v>0</v>
      </c>
      <c r="E7597" s="61" t="n">
        <f aca="false">E7467*1000*E7551</f>
        <v>0</v>
      </c>
      <c r="F7597" s="61" t="n">
        <f aca="false">F7467*1000*F7551</f>
        <v>0</v>
      </c>
      <c r="G7597" s="61" t="n">
        <f aca="false">G7467*1000*G7551</f>
        <v>0</v>
      </c>
      <c r="H7597" s="2" t="s">
        <v>1307</v>
      </c>
    </row>
    <row r="7598" customFormat="false" ht="15" hidden="false" customHeight="false" outlineLevel="1" collapsed="false">
      <c r="A7598" s="7" t="s">
        <v>695</v>
      </c>
      <c r="B7598" s="8" t="s">
        <v>11</v>
      </c>
      <c r="C7598" s="61" t="n">
        <f aca="false">C7588+C7589+C7590+C7591+C7592+C7593+C7594+C7595+C7596+C7597</f>
        <v>15494.2226027397</v>
      </c>
      <c r="D7598" s="61" t="n">
        <f aca="false">D7588+D7589+D7590+D7591+D7592+D7593+D7594+D7595+D7596+D7597</f>
        <v>137984.389554795</v>
      </c>
      <c r="E7598" s="61" t="n">
        <f aca="false">E7588+E7589+E7590+E7591+E7592+E7593+E7594+E7595+E7596+E7597</f>
        <v>320360.86369863</v>
      </c>
      <c r="F7598" s="61" t="n">
        <f aca="false">F7588+F7589+F7590+F7591+F7592+F7593+F7594+F7595+F7596+F7597</f>
        <v>538838.479794521</v>
      </c>
      <c r="G7598" s="61" t="n">
        <f aca="false">G7588+G7589+G7590+G7591+G7592+G7593+G7594+G7595+G7596+G7597</f>
        <v>787962.886986301</v>
      </c>
      <c r="H7598" s="2" t="s">
        <v>1308</v>
      </c>
    </row>
    <row r="7599" customFormat="false" ht="15" hidden="false" customHeight="false" outlineLevel="1" collapsed="false">
      <c r="A7599" s="7" t="s">
        <v>696</v>
      </c>
      <c r="B7599" s="8" t="s">
        <v>11</v>
      </c>
      <c r="C7599" s="61" t="n">
        <f aca="false">C7463*1000*(C7498)+C7464*1000*(C7521)+C7466*1000*(C7544)</f>
        <v>0</v>
      </c>
      <c r="D7599" s="61" t="n">
        <f aca="false">D7463*1000*(D7498)+D7464*1000*(D7521)+D7466*1000*(D7544)</f>
        <v>32311.8493150685</v>
      </c>
      <c r="E7599" s="61" t="n">
        <f aca="false">E7463*1000*(E7498)+E7464*1000*(E7521)+E7466*1000*(E7544)</f>
        <v>64423.9244434931</v>
      </c>
      <c r="F7599" s="61" t="n">
        <f aca="false">F7463*1000*(F7498)+F7464*1000*(F7521)+F7466*1000*(F7544)</f>
        <v>99992.4079623288</v>
      </c>
      <c r="G7599" s="61" t="n">
        <f aca="false">G7463*1000*(G7498)+G7464*1000*(G7521)+G7466*1000*(G7544)</f>
        <v>145502.761130137</v>
      </c>
      <c r="H7599" s="2" t="s">
        <v>1309</v>
      </c>
    </row>
    <row r="7600" customFormat="false" ht="15" hidden="false" customHeight="false" outlineLevel="1" collapsed="false">
      <c r="A7600" s="7" t="s">
        <v>697</v>
      </c>
      <c r="B7600" s="8" t="s">
        <v>11</v>
      </c>
      <c r="C7600" s="61" t="n">
        <f aca="false">C7476*1000*C7578</f>
        <v>0</v>
      </c>
      <c r="D7600" s="61" t="n">
        <f aca="false">D7476*1000*D7578</f>
        <v>0</v>
      </c>
      <c r="E7600" s="61" t="n">
        <f aca="false">E7476*1000*E7578</f>
        <v>0</v>
      </c>
      <c r="F7600" s="61" t="n">
        <f aca="false">F7476*1000*F7578</f>
        <v>1132.70547945206</v>
      </c>
      <c r="G7600" s="61" t="n">
        <f aca="false">G7476*1000*G7578</f>
        <v>2831.76369863014</v>
      </c>
      <c r="H7600" s="2" t="s">
        <v>1310</v>
      </c>
    </row>
    <row r="7601" customFormat="false" ht="15" hidden="false" customHeight="false" outlineLevel="1" collapsed="false">
      <c r="A7601" s="7" t="s">
        <v>698</v>
      </c>
      <c r="B7601" s="8" t="s">
        <v>11</v>
      </c>
      <c r="C7601" s="61" t="n">
        <f aca="false">C7599+C7600</f>
        <v>0</v>
      </c>
      <c r="D7601" s="61" t="n">
        <f aca="false">D7599+D7600</f>
        <v>32311.8493150685</v>
      </c>
      <c r="E7601" s="61" t="n">
        <f aca="false">E7599+E7600</f>
        <v>64423.9244434931</v>
      </c>
      <c r="F7601" s="61" t="n">
        <f aca="false">F7599+F7600</f>
        <v>101125.113441781</v>
      </c>
      <c r="G7601" s="61" t="n">
        <f aca="false">G7599+G7600</f>
        <v>148334.524828767</v>
      </c>
      <c r="H7601" s="2" t="s">
        <v>1311</v>
      </c>
    </row>
    <row r="7602" customFormat="false" ht="15" hidden="false" customHeight="false" outlineLevel="1" collapsed="false">
      <c r="A7602" s="8" t="s">
        <v>699</v>
      </c>
      <c r="B7602" s="8" t="s">
        <v>11</v>
      </c>
      <c r="C7602" s="70" t="n">
        <f aca="false">ROUND(C7564-C7587-C7598-C7601-C7583,6)</f>
        <v>0</v>
      </c>
      <c r="D7602" s="70" t="n">
        <f aca="false">ROUND(D7564-D7587-D7598-D7601-D7583,6)</f>
        <v>-0</v>
      </c>
      <c r="E7602" s="70" t="n">
        <f aca="false">ROUND(E7564-E7587-E7598-E7601-E7583,6)</f>
        <v>-0</v>
      </c>
      <c r="F7602" s="70" t="n">
        <f aca="false">ROUND(F7564-F7587-F7598-F7601-F7583,6)</f>
        <v>-0</v>
      </c>
      <c r="G7602" s="70" t="n">
        <f aca="false">ROUND(G7564-G7587-G7598-G7601-G7583,6)</f>
        <v>-0</v>
      </c>
      <c r="H7602" s="2" t="s">
        <v>1312</v>
      </c>
    </row>
    <row r="7603" customFormat="false" ht="15" hidden="false" customHeight="false" outlineLevel="0" collapsed="false">
      <c r="A7603" s="3" t="s">
        <v>1313</v>
      </c>
      <c r="B7603" s="4"/>
      <c r="C7603" s="4"/>
      <c r="D7603" s="4"/>
      <c r="E7603" s="4"/>
      <c r="F7603" s="4"/>
      <c r="G7603" s="4"/>
      <c r="H7603" s="4"/>
    </row>
    <row r="7604" customFormat="false" ht="15" hidden="false" customHeight="false" outlineLevel="1" collapsed="false">
      <c r="A7604" s="7" t="s">
        <v>638</v>
      </c>
      <c r="B7604" s="8" t="s">
        <v>432</v>
      </c>
      <c r="C7604" s="64" t="n">
        <f aca="false">Pressupostos!$C$334</f>
        <v>1</v>
      </c>
      <c r="D7604" s="64" t="n">
        <f aca="false">Pressupostos!$D$334</f>
        <v>1</v>
      </c>
      <c r="E7604" s="64" t="n">
        <f aca="false">Pressupostos!$E$334</f>
        <v>1</v>
      </c>
      <c r="F7604" s="64" t="n">
        <f aca="false">Pressupostos!$F$334</f>
        <v>1</v>
      </c>
      <c r="G7604" s="64" t="n">
        <f aca="false">Pressupostos!$G$334</f>
        <v>1</v>
      </c>
      <c r="H7604" s="2" t="s">
        <v>1314</v>
      </c>
    </row>
    <row r="7605" customFormat="false" ht="15" hidden="false" customHeight="false" outlineLevel="1" collapsed="false">
      <c r="A7605" s="7" t="s">
        <v>639</v>
      </c>
      <c r="B7605" s="8" t="s">
        <v>432</v>
      </c>
      <c r="C7605" s="64" t="n">
        <f aca="false">Pressupostos!$C$340</f>
        <v>1</v>
      </c>
      <c r="D7605" s="64" t="n">
        <f aca="false">Pressupostos!$D$340</f>
        <v>1</v>
      </c>
      <c r="E7605" s="64" t="n">
        <f aca="false">Pressupostos!$E$340</f>
        <v>1</v>
      </c>
      <c r="F7605" s="64" t="n">
        <f aca="false">Pressupostos!$F$340</f>
        <v>1</v>
      </c>
      <c r="G7605" s="64" t="n">
        <f aca="false">Pressupostos!$G$340</f>
        <v>1</v>
      </c>
      <c r="H7605" s="2" t="s">
        <v>1315</v>
      </c>
    </row>
    <row r="7606" customFormat="false" ht="15" hidden="false" customHeight="false" outlineLevel="1" collapsed="false">
      <c r="A7606" s="7" t="s">
        <v>640</v>
      </c>
      <c r="B7606" s="8" t="s">
        <v>432</v>
      </c>
      <c r="C7606" s="64" t="n">
        <f aca="false">Pressupostos!$C$346</f>
        <v>0</v>
      </c>
      <c r="D7606" s="64" t="n">
        <f aca="false">Pressupostos!$D$346</f>
        <v>1</v>
      </c>
      <c r="E7606" s="64" t="n">
        <f aca="false">Pressupostos!$E$346</f>
        <v>1</v>
      </c>
      <c r="F7606" s="64" t="n">
        <f aca="false">Pressupostos!$F$346</f>
        <v>1</v>
      </c>
      <c r="G7606" s="64" t="n">
        <f aca="false">Pressupostos!$G$346</f>
        <v>1</v>
      </c>
      <c r="H7606" s="2" t="s">
        <v>1316</v>
      </c>
    </row>
    <row r="7607" customFormat="false" ht="15" hidden="false" customHeight="false" outlineLevel="1" collapsed="false">
      <c r="A7607" s="7" t="s">
        <v>641</v>
      </c>
      <c r="B7607" s="8" t="s">
        <v>432</v>
      </c>
      <c r="C7607" s="64" t="n">
        <f aca="false">Pressupostos!$C$352</f>
        <v>0.5</v>
      </c>
      <c r="D7607" s="64" t="n">
        <f aca="false">Pressupostos!$D$352</f>
        <v>1</v>
      </c>
      <c r="E7607" s="64" t="n">
        <f aca="false">Pressupostos!$E$352</f>
        <v>1</v>
      </c>
      <c r="F7607" s="64" t="n">
        <f aca="false">Pressupostos!$F$352</f>
        <v>1</v>
      </c>
      <c r="G7607" s="64" t="n">
        <f aca="false">Pressupostos!$G$352</f>
        <v>1</v>
      </c>
      <c r="H7607" s="2" t="s">
        <v>1317</v>
      </c>
    </row>
    <row r="7608" customFormat="false" ht="15" hidden="false" customHeight="false" outlineLevel="1" collapsed="false">
      <c r="A7608" s="7" t="s">
        <v>642</v>
      </c>
      <c r="B7608" s="8" t="s">
        <v>432</v>
      </c>
      <c r="C7608" s="64" t="n">
        <f aca="false">Pressupostos!$C$358</f>
        <v>0.5</v>
      </c>
      <c r="D7608" s="64" t="n">
        <f aca="false">Pressupostos!$D$358</f>
        <v>0.5</v>
      </c>
      <c r="E7608" s="64" t="n">
        <f aca="false">Pressupostos!$E$358</f>
        <v>0.5</v>
      </c>
      <c r="F7608" s="64" t="n">
        <f aca="false">Pressupostos!$F$358</f>
        <v>1</v>
      </c>
      <c r="G7608" s="64" t="n">
        <f aca="false">Pressupostos!$G$358</f>
        <v>1</v>
      </c>
      <c r="H7608" s="2" t="s">
        <v>1318</v>
      </c>
    </row>
    <row r="7609" customFormat="false" ht="15" hidden="false" customHeight="false" outlineLevel="1" collapsed="false">
      <c r="A7609" s="7" t="s">
        <v>643</v>
      </c>
      <c r="B7609" s="8" t="s">
        <v>432</v>
      </c>
      <c r="C7609" s="64" t="n">
        <f aca="false">Pressupostos!$C$364</f>
        <v>1</v>
      </c>
      <c r="D7609" s="64" t="n">
        <f aca="false">Pressupostos!$D$364</f>
        <v>1</v>
      </c>
      <c r="E7609" s="64" t="n">
        <f aca="false">Pressupostos!$E$364</f>
        <v>1</v>
      </c>
      <c r="F7609" s="64" t="n">
        <f aca="false">Pressupostos!$F$364</f>
        <v>1</v>
      </c>
      <c r="G7609" s="64" t="n">
        <f aca="false">Pressupostos!$G$364</f>
        <v>1</v>
      </c>
      <c r="H7609" s="2" t="s">
        <v>1319</v>
      </c>
    </row>
    <row r="7610" customFormat="false" ht="15" hidden="false" customHeight="false" outlineLevel="1" collapsed="false">
      <c r="A7610" s="7" t="s">
        <v>644</v>
      </c>
      <c r="B7610" s="8" t="s">
        <v>432</v>
      </c>
      <c r="C7610" s="64" t="n">
        <f aca="false">Pressupostos!$C$370</f>
        <v>0.5</v>
      </c>
      <c r="D7610" s="64" t="n">
        <f aca="false">Pressupostos!$D$370</f>
        <v>1</v>
      </c>
      <c r="E7610" s="64" t="n">
        <f aca="false">Pressupostos!$E$370</f>
        <v>1</v>
      </c>
      <c r="F7610" s="64" t="n">
        <f aca="false">Pressupostos!$F$370</f>
        <v>1</v>
      </c>
      <c r="G7610" s="64" t="n">
        <f aca="false">Pressupostos!$G$370</f>
        <v>1</v>
      </c>
      <c r="H7610" s="2" t="s">
        <v>1320</v>
      </c>
    </row>
    <row r="7611" customFormat="false" ht="15" hidden="false" customHeight="false" outlineLevel="1" collapsed="false">
      <c r="A7611" s="7" t="s">
        <v>645</v>
      </c>
      <c r="B7611" s="8" t="s">
        <v>432</v>
      </c>
      <c r="C7611" s="64" t="n">
        <f aca="false">Pressupostos!$C$376</f>
        <v>1</v>
      </c>
      <c r="D7611" s="64" t="n">
        <f aca="false">Pressupostos!$D$376</f>
        <v>1</v>
      </c>
      <c r="E7611" s="64" t="n">
        <f aca="false">Pressupostos!$E$376</f>
        <v>1</v>
      </c>
      <c r="F7611" s="64" t="n">
        <f aca="false">Pressupostos!$F$376</f>
        <v>2</v>
      </c>
      <c r="G7611" s="64" t="n">
        <f aca="false">Pressupostos!$G$376</f>
        <v>3</v>
      </c>
      <c r="H7611" s="2" t="s">
        <v>1321</v>
      </c>
    </row>
    <row r="7612" customFormat="false" ht="15" hidden="false" customHeight="false" outlineLevel="1" collapsed="false">
      <c r="A7612" s="7" t="s">
        <v>646</v>
      </c>
      <c r="B7612" s="8" t="s">
        <v>432</v>
      </c>
      <c r="C7612" s="64" t="n">
        <f aca="false">Pressupostos!$C$382</f>
        <v>0</v>
      </c>
      <c r="D7612" s="64" t="n">
        <f aca="false">Pressupostos!$D$382</f>
        <v>0</v>
      </c>
      <c r="E7612" s="64" t="n">
        <f aca="false">Pressupostos!$E$382</f>
        <v>0</v>
      </c>
      <c r="F7612" s="64" t="n">
        <f aca="false">Pressupostos!$F$382</f>
        <v>0</v>
      </c>
      <c r="G7612" s="64" t="n">
        <f aca="false">Pressupostos!$G$382</f>
        <v>0</v>
      </c>
      <c r="H7612" s="2" t="s">
        <v>1322</v>
      </c>
    </row>
    <row r="7613" customFormat="false" ht="15" hidden="false" customHeight="false" outlineLevel="1" collapsed="false">
      <c r="A7613" s="7" t="s">
        <v>647</v>
      </c>
      <c r="B7613" s="8" t="s">
        <v>432</v>
      </c>
      <c r="C7613" s="64" t="n">
        <f aca="false">Pressupostos!$C$388</f>
        <v>0</v>
      </c>
      <c r="D7613" s="64" t="n">
        <f aca="false">Pressupostos!$D$388</f>
        <v>0</v>
      </c>
      <c r="E7613" s="64" t="n">
        <f aca="false">Pressupostos!$E$388</f>
        <v>0</v>
      </c>
      <c r="F7613" s="64" t="n">
        <f aca="false">Pressupostos!$F$388</f>
        <v>0</v>
      </c>
      <c r="G7613" s="64" t="n">
        <f aca="false">Pressupostos!$G$388</f>
        <v>0</v>
      </c>
      <c r="H7613" s="2" t="s">
        <v>1323</v>
      </c>
    </row>
    <row r="7614" customFormat="false" ht="15" hidden="false" customHeight="false" outlineLevel="1" collapsed="false">
      <c r="A7614" s="7" t="s">
        <v>648</v>
      </c>
      <c r="B7614" s="8" t="s">
        <v>432</v>
      </c>
      <c r="C7614" s="64" t="n">
        <f aca="false">Pressupostos!$C$394</f>
        <v>0</v>
      </c>
      <c r="D7614" s="64" t="n">
        <f aca="false">Pressupostos!$D$394</f>
        <v>0</v>
      </c>
      <c r="E7614" s="64" t="n">
        <f aca="false">Pressupostos!$E$394</f>
        <v>0</v>
      </c>
      <c r="F7614" s="64" t="n">
        <f aca="false">Pressupostos!$F$394</f>
        <v>1</v>
      </c>
      <c r="G7614" s="64" t="n">
        <f aca="false">Pressupostos!$G$394</f>
        <v>1</v>
      </c>
      <c r="H7614" s="2" t="s">
        <v>1324</v>
      </c>
    </row>
    <row r="7615" customFormat="false" ht="15" hidden="false" customHeight="false" outlineLevel="1" collapsed="false">
      <c r="A7615" s="7" t="s">
        <v>649</v>
      </c>
      <c r="B7615" s="8" t="s">
        <v>432</v>
      </c>
      <c r="C7615" s="64" t="n">
        <f aca="false">Pressupostos!$C$400</f>
        <v>0</v>
      </c>
      <c r="D7615" s="64" t="n">
        <f aca="false">Pressupostos!$D$400</f>
        <v>0</v>
      </c>
      <c r="E7615" s="64" t="n">
        <f aca="false">Pressupostos!$E$400</f>
        <v>1</v>
      </c>
      <c r="F7615" s="64" t="n">
        <f aca="false">Pressupostos!$F$400</f>
        <v>1</v>
      </c>
      <c r="G7615" s="64" t="n">
        <f aca="false">Pressupostos!$G$400</f>
        <v>1</v>
      </c>
      <c r="H7615" s="2" t="s">
        <v>1325</v>
      </c>
    </row>
    <row r="7616" customFormat="false" ht="15" hidden="false" customHeight="false" outlineLevel="1" collapsed="false">
      <c r="A7616" s="56" t="s">
        <v>650</v>
      </c>
      <c r="B7616" s="57" t="s">
        <v>432</v>
      </c>
      <c r="C7616" s="65" t="n">
        <f aca="false">C7604+C7605+C7606+C7607+C7608+C7609+C7610+C7611+C7612+C7613+C7614+C7615</f>
        <v>5.5</v>
      </c>
      <c r="D7616" s="65" t="n">
        <f aca="false">D7604+D7605+D7606+D7607+D7608+D7609+D7610+D7611+D7612+D7613+D7614+D7615</f>
        <v>7.5</v>
      </c>
      <c r="E7616" s="65" t="n">
        <f aca="false">E7604+E7605+E7606+E7607+E7608+E7609+E7610+E7611+E7612+E7613+E7614+E7615</f>
        <v>8.5</v>
      </c>
      <c r="F7616" s="65" t="n">
        <f aca="false">F7604+F7605+F7606+F7607+F7608+F7609+F7610+F7611+F7612+F7613+F7614+F7615</f>
        <v>11</v>
      </c>
      <c r="G7616" s="65" t="n">
        <f aca="false">G7604+G7605+G7606+G7607+G7608+G7609+G7610+G7611+G7612+G7613+G7614+G7615</f>
        <v>12</v>
      </c>
      <c r="H7616" s="2" t="s">
        <v>1326</v>
      </c>
    </row>
    <row r="7617" customFormat="false" ht="15" hidden="false" customHeight="false" outlineLevel="0" collapsed="false">
      <c r="A7617" s="3" t="s">
        <v>1327</v>
      </c>
      <c r="B7617" s="4"/>
      <c r="C7617" s="4"/>
      <c r="D7617" s="4"/>
      <c r="E7617" s="4"/>
      <c r="F7617" s="4"/>
      <c r="G7617" s="4"/>
      <c r="H7617" s="4"/>
    </row>
    <row r="7618" customFormat="false" ht="15" hidden="false" customHeight="false" outlineLevel="1" collapsed="false">
      <c r="A7618" s="7" t="s">
        <v>638</v>
      </c>
      <c r="B7618" s="8" t="s">
        <v>11</v>
      </c>
      <c r="C7618" s="61" t="n">
        <f aca="false">C7604*Pressupostos!$C$131*(1+Pressupostos!$C$127)^0*(1+Pressupostos!$C$132)*Pressupostos!$C$128</f>
        <v>43998</v>
      </c>
      <c r="D7618" s="61" t="n">
        <f aca="false">D7604*Pressupostos!$C$131*(1+Pressupostos!$C$127)^1*(1+Pressupostos!$C$132)</f>
        <v>61800</v>
      </c>
      <c r="E7618" s="61" t="n">
        <f aca="false">E7604*Pressupostos!$C$131*(1+Pressupostos!$C$127)^2*(1+Pressupostos!$C$132)</f>
        <v>63654</v>
      </c>
      <c r="F7618" s="61" t="n">
        <f aca="false">F7604*Pressupostos!$C$131*(1+Pressupostos!$C$127)^3*(1+Pressupostos!$C$132)</f>
        <v>65563.62</v>
      </c>
      <c r="G7618" s="61" t="n">
        <f aca="false">G7604*Pressupostos!$C$131*(1+Pressupostos!$C$127)^4*(1+Pressupostos!$C$132)</f>
        <v>67530.5286</v>
      </c>
      <c r="H7618" s="2" t="s">
        <v>1328</v>
      </c>
    </row>
    <row r="7619" customFormat="false" ht="15" hidden="false" customHeight="false" outlineLevel="1" collapsed="false">
      <c r="A7619" s="7" t="s">
        <v>639</v>
      </c>
      <c r="B7619" s="8" t="s">
        <v>11</v>
      </c>
      <c r="C7619" s="61" t="n">
        <f aca="false">C7605*Pressupostos!$C$133*(1+Pressupostos!$C$127)^0*(1+Pressupostos!$C$134)*Pressupostos!$C$128</f>
        <v>47664.5</v>
      </c>
      <c r="D7619" s="61" t="n">
        <f aca="false">D7605*Pressupostos!$C$133*(1+Pressupostos!$C$127)^1*(1+Pressupostos!$C$134)</f>
        <v>66950</v>
      </c>
      <c r="E7619" s="61" t="n">
        <f aca="false">E7605*Pressupostos!$C$133*(1+Pressupostos!$C$127)^2*(1+Pressupostos!$C$134)</f>
        <v>68958.5</v>
      </c>
      <c r="F7619" s="61" t="n">
        <f aca="false">F7605*Pressupostos!$C$133*(1+Pressupostos!$C$127)^3*(1+Pressupostos!$C$134)</f>
        <v>71027.255</v>
      </c>
      <c r="G7619" s="61" t="n">
        <f aca="false">G7605*Pressupostos!$C$133*(1+Pressupostos!$C$127)^4*(1+Pressupostos!$C$134)</f>
        <v>73158.07265</v>
      </c>
      <c r="H7619" s="2" t="s">
        <v>1329</v>
      </c>
    </row>
    <row r="7620" customFormat="false" ht="15" hidden="false" customHeight="false" outlineLevel="1" collapsed="false">
      <c r="A7620" s="7" t="s">
        <v>640</v>
      </c>
      <c r="B7620" s="8" t="s">
        <v>11</v>
      </c>
      <c r="C7620" s="61" t="n">
        <f aca="false">C7606*Pressupostos!$C$135*(1+Pressupostos!$C$127)^0*(1+Pressupostos!$C$136)</f>
        <v>0</v>
      </c>
      <c r="D7620" s="61" t="n">
        <f aca="false">D7606*Pressupostos!$C$135*(1+Pressupostos!$C$127)^1*(1+Pressupostos!$C$136)</f>
        <v>46350</v>
      </c>
      <c r="E7620" s="61" t="n">
        <f aca="false">E7606*Pressupostos!$C$135*(1+Pressupostos!$C$127)^2*(1+Pressupostos!$C$136)</f>
        <v>47740.5</v>
      </c>
      <c r="F7620" s="61" t="n">
        <f aca="false">F7606*Pressupostos!$C$135*(1+Pressupostos!$C$127)^3*(1+Pressupostos!$C$136)</f>
        <v>49172.715</v>
      </c>
      <c r="G7620" s="61" t="n">
        <f aca="false">G7606*Pressupostos!$C$135*(1+Pressupostos!$C$127)^4*(1+Pressupostos!$C$136)</f>
        <v>50647.89645</v>
      </c>
      <c r="H7620" s="2" t="s">
        <v>1330</v>
      </c>
    </row>
    <row r="7621" customFormat="false" ht="15" hidden="false" customHeight="false" outlineLevel="1" collapsed="false">
      <c r="A7621" s="7" t="s">
        <v>641</v>
      </c>
      <c r="B7621" s="8" t="s">
        <v>11</v>
      </c>
      <c r="C7621" s="61" t="n">
        <f aca="false">C7607*Pressupostos!$C$137*(1+Pressupostos!$C$127)^0*(1+Pressupostos!$C$138)</f>
        <v>30000</v>
      </c>
      <c r="D7621" s="61" t="n">
        <f aca="false">D7607*Pressupostos!$C$137*(1+Pressupostos!$C$127)^1*(1+Pressupostos!$C$138)</f>
        <v>61800</v>
      </c>
      <c r="E7621" s="61" t="n">
        <f aca="false">E7607*Pressupostos!$C$137*(1+Pressupostos!$C$127)^2*(1+Pressupostos!$C$138)</f>
        <v>63654</v>
      </c>
      <c r="F7621" s="61" t="n">
        <f aca="false">F7607*Pressupostos!$C$137*(1+Pressupostos!$C$127)^3*(1+Pressupostos!$C$138)</f>
        <v>65563.62</v>
      </c>
      <c r="G7621" s="61" t="n">
        <f aca="false">G7607*Pressupostos!$C$137*(1+Pressupostos!$C$127)^4*(1+Pressupostos!$C$138)</f>
        <v>67530.5286</v>
      </c>
      <c r="H7621" s="2" t="s">
        <v>1331</v>
      </c>
    </row>
    <row r="7622" customFormat="false" ht="15" hidden="false" customHeight="false" outlineLevel="1" collapsed="false">
      <c r="A7622" s="7" t="s">
        <v>642</v>
      </c>
      <c r="B7622" s="8" t="s">
        <v>11</v>
      </c>
      <c r="C7622" s="61" t="n">
        <f aca="false">C7608*Pressupostos!$C$139*(1+Pressupostos!$C$127)^0*(1+Pressupostos!$C$140)</f>
        <v>22500</v>
      </c>
      <c r="D7622" s="61" t="n">
        <f aca="false">D7608*Pressupostos!$C$139*(1+Pressupostos!$C$127)^1*(1+Pressupostos!$C$140)</f>
        <v>23175</v>
      </c>
      <c r="E7622" s="61" t="n">
        <f aca="false">E7608*Pressupostos!$C$139*(1+Pressupostos!$C$127)^2*(1+Pressupostos!$C$140)</f>
        <v>23870.25</v>
      </c>
      <c r="F7622" s="61" t="n">
        <f aca="false">F7608*Pressupostos!$C$139*(1+Pressupostos!$C$127)^3*(1+Pressupostos!$C$140)</f>
        <v>49172.715</v>
      </c>
      <c r="G7622" s="61" t="n">
        <f aca="false">G7608*Pressupostos!$C$139*(1+Pressupostos!$C$127)^4*(1+Pressupostos!$C$140)</f>
        <v>50647.89645</v>
      </c>
      <c r="H7622" s="2" t="s">
        <v>1332</v>
      </c>
    </row>
    <row r="7623" customFormat="false" ht="15" hidden="false" customHeight="false" outlineLevel="1" collapsed="false">
      <c r="A7623" s="7" t="s">
        <v>643</v>
      </c>
      <c r="B7623" s="8" t="s">
        <v>11</v>
      </c>
      <c r="C7623" s="61" t="n">
        <f aca="false">C7609*Pressupostos!$C$141*(1+Pressupostos!$C$127)^0*(1+Pressupostos!$C$142)</f>
        <v>38000</v>
      </c>
      <c r="D7623" s="61" t="n">
        <f aca="false">D7609*Pressupostos!$C$141*(1+Pressupostos!$C$127)^1*(1+Pressupostos!$C$142)</f>
        <v>39140</v>
      </c>
      <c r="E7623" s="61" t="n">
        <f aca="false">E7609*Pressupostos!$C$141*(1+Pressupostos!$C$127)^2*(1+Pressupostos!$C$142)</f>
        <v>40314.2</v>
      </c>
      <c r="F7623" s="61" t="n">
        <f aca="false">F7609*Pressupostos!$C$141*(1+Pressupostos!$C$127)^3*(1+Pressupostos!$C$142)</f>
        <v>41523.626</v>
      </c>
      <c r="G7623" s="61" t="n">
        <f aca="false">G7609*Pressupostos!$C$141*(1+Pressupostos!$C$127)^4*(1+Pressupostos!$C$142)</f>
        <v>42769.33478</v>
      </c>
      <c r="H7623" s="2" t="s">
        <v>1333</v>
      </c>
    </row>
    <row r="7624" customFormat="false" ht="15" hidden="false" customHeight="false" outlineLevel="1" collapsed="false">
      <c r="A7624" s="7" t="s">
        <v>644</v>
      </c>
      <c r="B7624" s="8" t="s">
        <v>11</v>
      </c>
      <c r="C7624" s="61" t="n">
        <f aca="false">C7610*Pressupostos!$C$143*(1+Pressupostos!$C$127)^0*(1+Pressupostos!$C$144)</f>
        <v>16000</v>
      </c>
      <c r="D7624" s="61" t="n">
        <f aca="false">D7610*Pressupostos!$C$143*(1+Pressupostos!$C$127)^1*(1+Pressupostos!$C$144)</f>
        <v>32960</v>
      </c>
      <c r="E7624" s="61" t="n">
        <f aca="false">E7610*Pressupostos!$C$143*(1+Pressupostos!$C$127)^2*(1+Pressupostos!$C$144)</f>
        <v>33948.8</v>
      </c>
      <c r="F7624" s="61" t="n">
        <f aca="false">F7610*Pressupostos!$C$143*(1+Pressupostos!$C$127)^3*(1+Pressupostos!$C$144)</f>
        <v>34967.264</v>
      </c>
      <c r="G7624" s="61" t="n">
        <f aca="false">G7610*Pressupostos!$C$143*(1+Pressupostos!$C$127)^4*(1+Pressupostos!$C$144)</f>
        <v>36016.28192</v>
      </c>
      <c r="H7624" s="2" t="s">
        <v>1334</v>
      </c>
    </row>
    <row r="7625" customFormat="false" ht="15" hidden="false" customHeight="false" outlineLevel="1" collapsed="false">
      <c r="A7625" s="7" t="s">
        <v>645</v>
      </c>
      <c r="B7625" s="8" t="s">
        <v>11</v>
      </c>
      <c r="C7625" s="61" t="n">
        <f aca="false">C7611*Pressupostos!$C$145*(1+Pressupostos!$C$127)^0*(1+Pressupostos!$C$146)</f>
        <v>34500</v>
      </c>
      <c r="D7625" s="61" t="n">
        <f aca="false">D7611*Pressupostos!$C$145*(1+Pressupostos!$C$127)^1*(1+Pressupostos!$C$146)</f>
        <v>35535</v>
      </c>
      <c r="E7625" s="61" t="n">
        <f aca="false">E7611*Pressupostos!$C$145*(1+Pressupostos!$C$127)^2*(1+Pressupostos!$C$146)</f>
        <v>36601.05</v>
      </c>
      <c r="F7625" s="61" t="n">
        <f aca="false">F7611*Pressupostos!$C$145*(1+Pressupostos!$C$127)^3*(1+Pressupostos!$C$146)</f>
        <v>75398.163</v>
      </c>
      <c r="G7625" s="61" t="n">
        <f aca="false">G7611*Pressupostos!$C$145*(1+Pressupostos!$C$127)^4*(1+Pressupostos!$C$146)</f>
        <v>116490.161835</v>
      </c>
      <c r="H7625" s="2" t="s">
        <v>1335</v>
      </c>
    </row>
    <row r="7626" customFormat="false" ht="15" hidden="false" customHeight="false" outlineLevel="1" collapsed="false">
      <c r="A7626" s="7" t="s">
        <v>646</v>
      </c>
      <c r="B7626" s="8" t="s">
        <v>11</v>
      </c>
      <c r="C7626" s="61" t="n">
        <f aca="false">C7612*Pressupostos!$C$147*(1+Pressupostos!$C$127)^0*(1+Pressupostos!$C$148)</f>
        <v>0</v>
      </c>
      <c r="D7626" s="61" t="n">
        <f aca="false">D7612*Pressupostos!$C$147*(1+Pressupostos!$C$127)^1*(1+Pressupostos!$C$148)</f>
        <v>0</v>
      </c>
      <c r="E7626" s="61" t="n">
        <f aca="false">E7612*Pressupostos!$C$147*(1+Pressupostos!$C$127)^2*(1+Pressupostos!$C$148)</f>
        <v>0</v>
      </c>
      <c r="F7626" s="61" t="n">
        <f aca="false">F7612*Pressupostos!$C$147*(1+Pressupostos!$C$127)^3*(1+Pressupostos!$C$148)</f>
        <v>0</v>
      </c>
      <c r="G7626" s="61" t="n">
        <f aca="false">G7612*Pressupostos!$C$147*(1+Pressupostos!$C$127)^4*(1+Pressupostos!$C$148)</f>
        <v>0</v>
      </c>
      <c r="H7626" s="2" t="s">
        <v>1336</v>
      </c>
    </row>
    <row r="7627" customFormat="false" ht="15" hidden="false" customHeight="false" outlineLevel="1" collapsed="false">
      <c r="A7627" s="7" t="s">
        <v>647</v>
      </c>
      <c r="B7627" s="8" t="s">
        <v>11</v>
      </c>
      <c r="C7627" s="61" t="n">
        <f aca="false">C7613*Pressupostos!$C$149*(1+Pressupostos!$C$127)^0*(1+Pressupostos!$C$150)</f>
        <v>0</v>
      </c>
      <c r="D7627" s="61" t="n">
        <f aca="false">D7613*Pressupostos!$C$149*(1+Pressupostos!$C$127)^1*(1+Pressupostos!$C$150)</f>
        <v>0</v>
      </c>
      <c r="E7627" s="61" t="n">
        <f aca="false">E7613*Pressupostos!$C$149*(1+Pressupostos!$C$127)^2*(1+Pressupostos!$C$150)</f>
        <v>0</v>
      </c>
      <c r="F7627" s="61" t="n">
        <f aca="false">F7613*Pressupostos!$C$149*(1+Pressupostos!$C$127)^3*(1+Pressupostos!$C$150)</f>
        <v>0</v>
      </c>
      <c r="G7627" s="61" t="n">
        <f aca="false">G7613*Pressupostos!$C$149*(1+Pressupostos!$C$127)^4*(1+Pressupostos!$C$150)</f>
        <v>0</v>
      </c>
      <c r="H7627" s="2" t="s">
        <v>1337</v>
      </c>
    </row>
    <row r="7628" customFormat="false" ht="15" hidden="false" customHeight="false" outlineLevel="1" collapsed="false">
      <c r="A7628" s="7" t="s">
        <v>648</v>
      </c>
      <c r="B7628" s="8" t="s">
        <v>11</v>
      </c>
      <c r="C7628" s="61" t="n">
        <f aca="false">C7614*Pressupostos!$C$151*(1+Pressupostos!$C$127)^0*(1+Pressupostos!$C$152)</f>
        <v>0</v>
      </c>
      <c r="D7628" s="61" t="n">
        <f aca="false">D7614*Pressupostos!$C$151*(1+Pressupostos!$C$127)^1*(1+Pressupostos!$C$152)</f>
        <v>0</v>
      </c>
      <c r="E7628" s="61" t="n">
        <f aca="false">E7614*Pressupostos!$C$151*(1+Pressupostos!$C$127)^2*(1+Pressupostos!$C$152)</f>
        <v>0</v>
      </c>
      <c r="F7628" s="61" t="n">
        <f aca="false">F7614*Pressupostos!$C$151*(1+Pressupostos!$C$127)^3*(1+Pressupostos!$C$152)</f>
        <v>26225.448</v>
      </c>
      <c r="G7628" s="61" t="n">
        <f aca="false">G7614*Pressupostos!$C$151*(1+Pressupostos!$C$127)^4*(1+Pressupostos!$C$152)</f>
        <v>27012.21144</v>
      </c>
      <c r="H7628" s="2" t="s">
        <v>1338</v>
      </c>
    </row>
    <row r="7629" customFormat="false" ht="15" hidden="false" customHeight="false" outlineLevel="1" collapsed="false">
      <c r="A7629" s="7" t="s">
        <v>649</v>
      </c>
      <c r="B7629" s="8" t="s">
        <v>11</v>
      </c>
      <c r="C7629" s="61" t="n">
        <f aca="false">C7615*Pressupostos!$C$153*(1+Pressupostos!$C$127)^0*(1+Pressupostos!$C$154)</f>
        <v>0</v>
      </c>
      <c r="D7629" s="61" t="n">
        <f aca="false">D7615*Pressupostos!$C$153*(1+Pressupostos!$C$127)^1*(1+Pressupostos!$C$154)</f>
        <v>0</v>
      </c>
      <c r="E7629" s="61" t="n">
        <f aca="false">E7615*Pressupostos!$C$153*(1+Pressupostos!$C$127)^2*(1+Pressupostos!$C$154)</f>
        <v>54901.575</v>
      </c>
      <c r="F7629" s="61" t="n">
        <f aca="false">F7615*Pressupostos!$C$153*(1+Pressupostos!$C$127)^3*(1+Pressupostos!$C$154)</f>
        <v>56548.62225</v>
      </c>
      <c r="G7629" s="61" t="n">
        <f aca="false">G7615*Pressupostos!$C$153*(1+Pressupostos!$C$127)^4*(1+Pressupostos!$C$154)</f>
        <v>58245.0809175</v>
      </c>
      <c r="H7629" s="2" t="s">
        <v>1339</v>
      </c>
    </row>
    <row r="7630" customFormat="false" ht="15" hidden="false" customHeight="false" outlineLevel="1" collapsed="false">
      <c r="A7630" s="7" t="s">
        <v>652</v>
      </c>
      <c r="B7630" s="8" t="s">
        <v>11</v>
      </c>
      <c r="C7630" s="61" t="n">
        <f aca="false">C7618+C7619+C7620+C7621+C7622+C7623+C7624+C7625+C7626+C7627+C7628+C7629</f>
        <v>232662.5</v>
      </c>
      <c r="D7630" s="61" t="n">
        <f aca="false">D7618+D7619+D7620+D7621+D7622+D7623+D7624+D7625+D7626+D7627+D7628+D7629</f>
        <v>367710</v>
      </c>
      <c r="E7630" s="61" t="n">
        <f aca="false">E7618+E7619+E7620+E7621+E7622+E7623+E7624+E7625+E7626+E7627+E7628+E7629</f>
        <v>433642.875</v>
      </c>
      <c r="F7630" s="61" t="n">
        <f aca="false">F7618+F7619+F7620+F7621+F7622+F7623+F7624+F7625+F7626+F7627+F7628+F7629</f>
        <v>535163.04825</v>
      </c>
      <c r="G7630" s="61" t="n">
        <f aca="false">G7618+G7619+G7620+G7621+G7622+G7623+G7624+G7625+G7626+G7627+G7628+G7629</f>
        <v>590047.9936425</v>
      </c>
      <c r="H7630" s="2" t="s">
        <v>1340</v>
      </c>
    </row>
    <row r="7631" customFormat="false" ht="15" hidden="false" customHeight="false" outlineLevel="1" collapsed="false">
      <c r="A7631" s="7" t="s">
        <v>653</v>
      </c>
      <c r="B7631" s="8" t="s">
        <v>11</v>
      </c>
      <c r="C7631" s="61" t="n">
        <f aca="false">C7630*(Pressupostos!$C$124+Pressupostos!$C$125)</f>
        <v>59910.59375</v>
      </c>
      <c r="D7631" s="61" t="n">
        <f aca="false">D7630*(Pressupostos!$C$124+Pressupostos!$C$125)</f>
        <v>94685.325</v>
      </c>
      <c r="E7631" s="61" t="n">
        <f aca="false">E7630*(Pressupostos!$C$124+Pressupostos!$C$125)</f>
        <v>111663.0403125</v>
      </c>
      <c r="F7631" s="61" t="n">
        <f aca="false">F7630*(Pressupostos!$C$124+Pressupostos!$C$125)</f>
        <v>137804.484924375</v>
      </c>
      <c r="G7631" s="61" t="n">
        <f aca="false">G7630*(Pressupostos!$C$124+Pressupostos!$C$125)</f>
        <v>151937.358362944</v>
      </c>
      <c r="H7631" s="2" t="s">
        <v>1341</v>
      </c>
    </row>
    <row r="7632" customFormat="false" ht="15" hidden="false" customHeight="false" outlineLevel="1" collapsed="false">
      <c r="A7632" s="7" t="s">
        <v>654</v>
      </c>
      <c r="B7632" s="8" t="s">
        <v>11</v>
      </c>
      <c r="C7632" s="61" t="n">
        <f aca="false">C7616*Pressupostos!$C$126*(1+Pressupostos!$C$127)^0</f>
        <v>11000</v>
      </c>
      <c r="D7632" s="61" t="n">
        <f aca="false">D7616*Pressupostos!$C$126*(1+Pressupostos!$C$127)^1</f>
        <v>15450</v>
      </c>
      <c r="E7632" s="61" t="n">
        <f aca="false">E7616*Pressupostos!$C$126*(1+Pressupostos!$C$127)^2</f>
        <v>18035.3</v>
      </c>
      <c r="F7632" s="61" t="n">
        <f aca="false">F7616*Pressupostos!$C$126*(1+Pressupostos!$C$127)^3</f>
        <v>24039.994</v>
      </c>
      <c r="G7632" s="61" t="n">
        <f aca="false">G7616*Pressupostos!$C$126*(1+Pressupostos!$C$127)^4</f>
        <v>27012.21144</v>
      </c>
      <c r="H7632" s="2" t="s">
        <v>1342</v>
      </c>
    </row>
    <row r="7633" customFormat="false" ht="15" hidden="false" customHeight="false" outlineLevel="1" collapsed="false">
      <c r="A7633" s="56" t="s">
        <v>655</v>
      </c>
      <c r="B7633" s="57" t="s">
        <v>11</v>
      </c>
      <c r="C7633" s="62" t="n">
        <f aca="false">C7630+C7631+C7632</f>
        <v>303573.09375</v>
      </c>
      <c r="D7633" s="62" t="n">
        <f aca="false">D7630+D7631+D7632</f>
        <v>477845.325</v>
      </c>
      <c r="E7633" s="62" t="n">
        <f aca="false">E7630+E7631+E7632</f>
        <v>563341.2153125</v>
      </c>
      <c r="F7633" s="62" t="n">
        <f aca="false">F7630+F7631+F7632</f>
        <v>697007.527174375</v>
      </c>
      <c r="G7633" s="62" t="n">
        <f aca="false">G7630+G7631+G7632</f>
        <v>768997.563445444</v>
      </c>
      <c r="H7633" s="2" t="s">
        <v>1343</v>
      </c>
    </row>
    <row r="7634" customFormat="false" ht="15" hidden="false" customHeight="false" outlineLevel="1" collapsed="false">
      <c r="A7634" s="2" t="s">
        <v>656</v>
      </c>
      <c r="B7634" s="8" t="s">
        <v>11</v>
      </c>
      <c r="C7634" s="61" t="n">
        <f aca="false">IF(C7616&gt;0,C7633/C7616,0)</f>
        <v>55195.1079545455</v>
      </c>
      <c r="D7634" s="61" t="n">
        <f aca="false">IF(D7616&gt;0,D7633/D7616,0)</f>
        <v>63712.71</v>
      </c>
      <c r="E7634" s="61" t="n">
        <f aca="false">IF(E7616&gt;0,E7633/E7616,0)</f>
        <v>66275.4370955882</v>
      </c>
      <c r="F7634" s="61" t="n">
        <f aca="false">IF(F7616&gt;0,F7633/F7616,0)</f>
        <v>63364.3206522159</v>
      </c>
      <c r="G7634" s="61" t="n">
        <f aca="false">IF(G7616&gt;0,G7633/G7616,0)</f>
        <v>64083.1302871203</v>
      </c>
      <c r="H7634" s="2" t="s">
        <v>1344</v>
      </c>
    </row>
    <row r="7635" customFormat="false" ht="15" hidden="false" customHeight="false" outlineLevel="0" collapsed="false">
      <c r="A7635" s="3" t="s">
        <v>1345</v>
      </c>
      <c r="B7635" s="4"/>
      <c r="C7635" s="4"/>
      <c r="D7635" s="4"/>
      <c r="E7635" s="4"/>
      <c r="F7635" s="4"/>
      <c r="G7635" s="4"/>
      <c r="H7635" s="4"/>
    </row>
    <row r="7636" customFormat="false" ht="15" hidden="false" customHeight="false" outlineLevel="1" collapsed="false">
      <c r="A7636" s="7" t="s">
        <v>449</v>
      </c>
      <c r="B7636" s="8" t="s">
        <v>11</v>
      </c>
      <c r="C7636" s="61" t="n">
        <f aca="false">Pressupostos!$C$407*(1+Pressupostos!$C$156)*(1+Pressupostos!$C$157)^0</f>
        <v>94500</v>
      </c>
      <c r="D7636" s="61" t="n">
        <f aca="false">Pressupostos!$D$407*(1+Pressupostos!$C$156)*(1+Pressupostos!$C$157)^1</f>
        <v>53550</v>
      </c>
      <c r="E7636" s="61" t="n">
        <f aca="false">Pressupostos!$E$407*(1+Pressupostos!$C$156)*(1+Pressupostos!$C$157)^2</f>
        <v>49158.9</v>
      </c>
      <c r="F7636" s="61" t="n">
        <f aca="false">Pressupostos!$F$407*(1+Pressupostos!$C$156)*(1+Pressupostos!$C$157)^3</f>
        <v>50142.078</v>
      </c>
      <c r="G7636" s="61" t="n">
        <f aca="false">Pressupostos!$G$407*(1+Pressupostos!$C$156)*(1+Pressupostos!$C$157)^4</f>
        <v>51144.91956</v>
      </c>
      <c r="H7636" s="2" t="s">
        <v>1346</v>
      </c>
    </row>
    <row r="7637" customFormat="false" ht="15" hidden="false" customHeight="false" outlineLevel="1" collapsed="false">
      <c r="A7637" s="7" t="s">
        <v>451</v>
      </c>
      <c r="B7637" s="8" t="s">
        <v>11</v>
      </c>
      <c r="C7637" s="61" t="n">
        <f aca="false">Pressupostos!$C$413*(1+Pressupostos!$C$156)*(1+Pressupostos!$C$157)^0</f>
        <v>10500</v>
      </c>
      <c r="D7637" s="61" t="n">
        <f aca="false">Pressupostos!$D$413*(1+Pressupostos!$C$156)*(1+Pressupostos!$C$157)^1</f>
        <v>10710</v>
      </c>
      <c r="E7637" s="61" t="n">
        <f aca="false">Pressupostos!$E$413*(1+Pressupostos!$C$156)*(1+Pressupostos!$C$157)^2</f>
        <v>10924.2</v>
      </c>
      <c r="F7637" s="61" t="n">
        <f aca="false">Pressupostos!$F$413*(1+Pressupostos!$C$156)*(1+Pressupostos!$C$157)^3</f>
        <v>11142.684</v>
      </c>
      <c r="G7637" s="61" t="n">
        <f aca="false">Pressupostos!$G$413*(1+Pressupostos!$C$156)*(1+Pressupostos!$C$157)^4</f>
        <v>11365.53768</v>
      </c>
      <c r="H7637" s="2" t="s">
        <v>1347</v>
      </c>
    </row>
    <row r="7638" customFormat="false" ht="15" hidden="false" customHeight="false" outlineLevel="1" collapsed="false">
      <c r="A7638" s="7" t="s">
        <v>452</v>
      </c>
      <c r="B7638" s="8" t="s">
        <v>11</v>
      </c>
      <c r="C7638" s="61" t="n">
        <f aca="false">Pressupostos!$C$419*(1+Pressupostos!$C$156)*(1+Pressupostos!$C$157)^0</f>
        <v>12600</v>
      </c>
      <c r="D7638" s="61" t="n">
        <f aca="false">Pressupostos!$D$419*(1+Pressupostos!$C$156)*(1+Pressupostos!$C$157)^1</f>
        <v>12852</v>
      </c>
      <c r="E7638" s="61" t="n">
        <f aca="false">Pressupostos!$E$419*(1+Pressupostos!$C$156)*(1+Pressupostos!$C$157)^2</f>
        <v>13109.04</v>
      </c>
      <c r="F7638" s="61" t="n">
        <f aca="false">Pressupostos!$F$419*(1+Pressupostos!$C$156)*(1+Pressupostos!$C$157)^3</f>
        <v>13371.2208</v>
      </c>
      <c r="G7638" s="61" t="n">
        <f aca="false">Pressupostos!$G$419*(1+Pressupostos!$C$156)*(1+Pressupostos!$C$157)^4</f>
        <v>13638.645216</v>
      </c>
      <c r="H7638" s="2" t="s">
        <v>1348</v>
      </c>
    </row>
    <row r="7639" customFormat="false" ht="15" hidden="false" customHeight="false" outlineLevel="1" collapsed="false">
      <c r="A7639" s="7" t="s">
        <v>454</v>
      </c>
      <c r="B7639" s="8" t="s">
        <v>11</v>
      </c>
      <c r="C7639" s="61" t="n">
        <f aca="false">Pressupostos!$C$425*(1+Pressupostos!$C$156)*(1+Pressupostos!$C$157)^0</f>
        <v>31500</v>
      </c>
      <c r="D7639" s="61" t="n">
        <f aca="false">Pressupostos!$D$425*(1+Pressupostos!$C$156)*(1+Pressupostos!$C$157)^1</f>
        <v>37485</v>
      </c>
      <c r="E7639" s="61" t="n">
        <f aca="false">Pressupostos!$E$425*(1+Pressupostos!$C$156)*(1+Pressupostos!$C$157)^2</f>
        <v>49158.9</v>
      </c>
      <c r="F7639" s="61" t="n">
        <f aca="false">Pressupostos!$F$425*(1+Pressupostos!$C$156)*(1+Pressupostos!$C$157)^3</f>
        <v>55713.42</v>
      </c>
      <c r="G7639" s="61" t="n">
        <f aca="false">Pressupostos!$G$425*(1+Pressupostos!$C$156)*(1+Pressupostos!$C$157)^4</f>
        <v>62510.45724</v>
      </c>
      <c r="H7639" s="2" t="s">
        <v>1349</v>
      </c>
    </row>
    <row r="7640" customFormat="false" ht="15" hidden="false" customHeight="false" outlineLevel="1" collapsed="false">
      <c r="A7640" s="7" t="s">
        <v>456</v>
      </c>
      <c r="B7640" s="8" t="s">
        <v>11</v>
      </c>
      <c r="C7640" s="61" t="n">
        <f aca="false">Pressupostos!$C$431*(1+Pressupostos!$C$156)*(1+Pressupostos!$C$157)^0</f>
        <v>15750</v>
      </c>
      <c r="D7640" s="61" t="n">
        <f aca="false">Pressupostos!$D$431*(1+Pressupostos!$C$156)*(1+Pressupostos!$C$157)^1</f>
        <v>16065</v>
      </c>
      <c r="E7640" s="61" t="n">
        <f aca="false">Pressupostos!$E$431*(1+Pressupostos!$C$156)*(1+Pressupostos!$C$157)^2</f>
        <v>38234.7</v>
      </c>
      <c r="F7640" s="61" t="n">
        <f aca="false">Pressupostos!$F$431*(1+Pressupostos!$C$156)*(1+Pressupostos!$C$157)^3</f>
        <v>22285.368</v>
      </c>
      <c r="G7640" s="61" t="n">
        <f aca="false">Pressupostos!$G$431*(1+Pressupostos!$C$156)*(1+Pressupostos!$C$157)^4</f>
        <v>22731.07536</v>
      </c>
      <c r="H7640" s="2" t="s">
        <v>1350</v>
      </c>
    </row>
    <row r="7641" customFormat="false" ht="15" hidden="false" customHeight="false" outlineLevel="1" collapsed="false">
      <c r="A7641" s="7" t="s">
        <v>458</v>
      </c>
      <c r="B7641" s="8" t="s">
        <v>11</v>
      </c>
      <c r="C7641" s="61" t="n">
        <f aca="false">Pressupostos!$C$437*(1+Pressupostos!$C$156)*(1+Pressupostos!$C$157)^0</f>
        <v>10500</v>
      </c>
      <c r="D7641" s="61" t="n">
        <f aca="false">Pressupostos!$D$437*(1+Pressupostos!$C$156)*(1+Pressupostos!$C$157)^1</f>
        <v>12852</v>
      </c>
      <c r="E7641" s="61" t="n">
        <f aca="false">Pressupostos!$E$437*(1+Pressupostos!$C$156)*(1+Pressupostos!$C$157)^2</f>
        <v>16386.3</v>
      </c>
      <c r="F7641" s="61" t="n">
        <f aca="false">Pressupostos!$F$437*(1+Pressupostos!$C$156)*(1+Pressupostos!$C$157)^3</f>
        <v>20056.8312</v>
      </c>
      <c r="G7641" s="61" t="n">
        <f aca="false">Pressupostos!$G$437*(1+Pressupostos!$C$156)*(1+Pressupostos!$C$157)^4</f>
        <v>22731.07536</v>
      </c>
      <c r="H7641" s="2" t="s">
        <v>1351</v>
      </c>
    </row>
    <row r="7642" customFormat="false" ht="15" hidden="false" customHeight="false" outlineLevel="1" collapsed="false">
      <c r="A7642" s="7" t="s">
        <v>459</v>
      </c>
      <c r="B7642" s="8" t="s">
        <v>11</v>
      </c>
      <c r="C7642" s="61" t="n">
        <f aca="false">Pressupostos!$C$443*(1+Pressupostos!$C$156)*(1+Pressupostos!$C$157)^0</f>
        <v>31500</v>
      </c>
      <c r="D7642" s="61" t="n">
        <f aca="false">Pressupostos!$D$443*(1+Pressupostos!$C$156)*(1+Pressupostos!$C$157)^1</f>
        <v>37485</v>
      </c>
      <c r="E7642" s="61" t="n">
        <f aca="false">Pressupostos!$E$443*(1+Pressupostos!$C$156)*(1+Pressupostos!$C$157)^2</f>
        <v>49158.9</v>
      </c>
      <c r="F7642" s="61" t="n">
        <f aca="false">Pressupostos!$F$443*(1+Pressupostos!$C$156)*(1+Pressupostos!$C$157)^3</f>
        <v>55713.42</v>
      </c>
      <c r="G7642" s="61" t="n">
        <f aca="false">Pressupostos!$G$443*(1+Pressupostos!$C$156)*(1+Pressupostos!$C$157)^4</f>
        <v>62510.45724</v>
      </c>
      <c r="H7642" s="2" t="s">
        <v>1352</v>
      </c>
    </row>
    <row r="7643" customFormat="false" ht="15" hidden="false" customHeight="false" outlineLevel="1" collapsed="false">
      <c r="A7643" s="7" t="s">
        <v>461</v>
      </c>
      <c r="B7643" s="8" t="s">
        <v>11</v>
      </c>
      <c r="C7643" s="61" t="n">
        <f aca="false">Pressupostos!$C$449*(1+Pressupostos!$C$156)*(1+Pressupostos!$C$157)^0</f>
        <v>6300</v>
      </c>
      <c r="D7643" s="61" t="n">
        <f aca="false">Pressupostos!$D$449*(1+Pressupostos!$C$156)*(1+Pressupostos!$C$157)^1</f>
        <v>8568</v>
      </c>
      <c r="E7643" s="61" t="n">
        <f aca="false">Pressupostos!$E$449*(1+Pressupostos!$C$156)*(1+Pressupostos!$C$157)^2</f>
        <v>13109.04</v>
      </c>
      <c r="F7643" s="61" t="n">
        <f aca="false">Pressupostos!$F$449*(1+Pressupostos!$C$156)*(1+Pressupostos!$C$157)^3</f>
        <v>16714.026</v>
      </c>
      <c r="G7643" s="61" t="n">
        <f aca="false">Pressupostos!$G$449*(1+Pressupostos!$C$156)*(1+Pressupostos!$C$157)^4</f>
        <v>20457.967824</v>
      </c>
      <c r="H7643" s="2" t="s">
        <v>1353</v>
      </c>
    </row>
    <row r="7644" customFormat="false" ht="15" hidden="false" customHeight="false" outlineLevel="1" collapsed="false">
      <c r="A7644" s="7" t="s">
        <v>463</v>
      </c>
      <c r="B7644" s="8" t="s">
        <v>11</v>
      </c>
      <c r="C7644" s="61" t="n">
        <f aca="false">Pressupostos!$C$455*(1+Pressupostos!$C$156)*(1+Pressupostos!$C$157)^0</f>
        <v>15750</v>
      </c>
      <c r="D7644" s="61" t="n">
        <f aca="false">Pressupostos!$D$455*(1+Pressupostos!$C$156)*(1+Pressupostos!$C$157)^1</f>
        <v>21420</v>
      </c>
      <c r="E7644" s="61" t="n">
        <f aca="false">Pressupostos!$E$455*(1+Pressupostos!$C$156)*(1+Pressupostos!$C$157)^2</f>
        <v>30587.76</v>
      </c>
      <c r="F7644" s="61" t="n">
        <f aca="false">Pressupostos!$F$455*(1+Pressupostos!$C$156)*(1+Pressupostos!$C$157)^3</f>
        <v>35656.5888</v>
      </c>
      <c r="G7644" s="61" t="n">
        <f aca="false">Pressupostos!$G$455*(1+Pressupostos!$C$156)*(1+Pressupostos!$C$157)^4</f>
        <v>40915.935648</v>
      </c>
      <c r="H7644" s="2" t="s">
        <v>1354</v>
      </c>
    </row>
    <row r="7645" customFormat="false" ht="15" hidden="false" customHeight="false" outlineLevel="1" collapsed="false">
      <c r="A7645" s="7" t="s">
        <v>464</v>
      </c>
      <c r="B7645" s="8" t="s">
        <v>11</v>
      </c>
      <c r="C7645" s="61" t="n">
        <f aca="false">Pressupostos!$C$461*(1+Pressupostos!$C$156)*(1+Pressupostos!$C$157)^0</f>
        <v>4200</v>
      </c>
      <c r="D7645" s="61" t="n">
        <f aca="false">Pressupostos!$D$461*(1+Pressupostos!$C$156)*(1+Pressupostos!$C$157)^1</f>
        <v>6426</v>
      </c>
      <c r="E7645" s="61" t="n">
        <f aca="false">Pressupostos!$E$461*(1+Pressupostos!$C$156)*(1+Pressupostos!$C$157)^2</f>
        <v>8739.36</v>
      </c>
      <c r="F7645" s="61" t="n">
        <f aca="false">Pressupostos!$F$461*(1+Pressupostos!$C$156)*(1+Pressupostos!$C$157)^3</f>
        <v>8914.1472</v>
      </c>
      <c r="G7645" s="61" t="n">
        <f aca="false">Pressupostos!$G$461*(1+Pressupostos!$C$156)*(1+Pressupostos!$C$157)^4</f>
        <v>9092.430144</v>
      </c>
      <c r="H7645" s="2" t="s">
        <v>1355</v>
      </c>
    </row>
    <row r="7646" customFormat="false" ht="15" hidden="false" customHeight="false" outlineLevel="1" collapsed="false">
      <c r="A7646" s="7" t="s">
        <v>701</v>
      </c>
      <c r="B7646" s="8" t="s">
        <v>11</v>
      </c>
      <c r="C7646" s="61" t="n">
        <f aca="false">C7636+C7637+C7638+C7639+C7640+C7641+C7642+C7643+C7644+C7645</f>
        <v>233100</v>
      </c>
      <c r="D7646" s="61" t="n">
        <f aca="false">D7636+D7637+D7638+D7639+D7640+D7641+D7642+D7643+D7644+D7645</f>
        <v>217413</v>
      </c>
      <c r="E7646" s="61" t="n">
        <f aca="false">E7636+E7637+E7638+E7639+E7640+E7641+E7642+E7643+E7644+E7645</f>
        <v>278567.1</v>
      </c>
      <c r="F7646" s="61" t="n">
        <f aca="false">F7636+F7637+F7638+F7639+F7640+F7641+F7642+F7643+F7644+F7645</f>
        <v>289709.784</v>
      </c>
      <c r="G7646" s="61" t="n">
        <f aca="false">G7636+G7637+G7638+G7639+G7640+G7641+G7642+G7643+G7644+G7645</f>
        <v>317098.501272</v>
      </c>
      <c r="H7646" s="2" t="s">
        <v>1356</v>
      </c>
    </row>
    <row r="7647" customFormat="false" ht="15" hidden="false" customHeight="false" outlineLevel="1" collapsed="false">
      <c r="A7647" s="7" t="s">
        <v>702</v>
      </c>
      <c r="B7647" s="8" t="s">
        <v>11</v>
      </c>
      <c r="C7647" s="61" t="n">
        <f aca="false">Pressupostos!$C$114+Pressupostos!$C$115+Pressupostos!$C$116*Pressupostos!$C$296+Pressupostos!$C$466+Pressupostos!$C$308</f>
        <v>65000</v>
      </c>
      <c r="D7647" s="61" t="n">
        <f aca="false">Pressupostos!$C$115+Pressupostos!$C$116*Pressupostos!$D$296+Pressupostos!$D$466+Pressupostos!$D$308</f>
        <v>75000</v>
      </c>
      <c r="E7647" s="61" t="n">
        <f aca="false">Pressupostos!$C$115+Pressupostos!$C$116*Pressupostos!$E$296+Pressupostos!$E$466+Pressupostos!$E$308</f>
        <v>80000</v>
      </c>
      <c r="F7647" s="61" t="n">
        <f aca="false">Pressupostos!$C$115+Pressupostos!$C$116*Pressupostos!$F$296+Pressupostos!$F$466+Pressupostos!$F$308</f>
        <v>85000</v>
      </c>
      <c r="G7647" s="61" t="n">
        <f aca="false">Pressupostos!$C$115+Pressupostos!$C$116*Pressupostos!$G$296+Pressupostos!$G$466+Pressupostos!$G$308</f>
        <v>90000</v>
      </c>
      <c r="H7647" s="2" t="s">
        <v>1357</v>
      </c>
    </row>
    <row r="7648" customFormat="false" ht="15" hidden="false" customHeight="false" outlineLevel="1" collapsed="false">
      <c r="A7648" s="7" t="s">
        <v>703</v>
      </c>
      <c r="B7648" s="8" t="s">
        <v>11</v>
      </c>
      <c r="C7648" s="61" t="n">
        <f aca="false">IF(C7460&lt;Pressupostos!$C$120,0,MAX(Pressupostos!$C$302,Pressupostos!$C$118*(C7554+C7555)+Pressupostos!$C$119*C7556))</f>
        <v>0</v>
      </c>
      <c r="D7648" s="61" t="n">
        <f aca="false">IF(D7460&lt;Pressupostos!$C$120,0,MAX(Pressupostos!$D$302,Pressupostos!$C$118*(D7554+D7555)+Pressupostos!$C$119*D7556))</f>
        <v>10775.6</v>
      </c>
      <c r="E7648" s="61" t="n">
        <f aca="false">IF(E7460&lt;Pressupostos!$C$120,0,MAX(Pressupostos!$E$302,Pressupostos!$C$118*(E7554+E7555)+Pressupostos!$C$119*E7556))</f>
        <v>25483.8</v>
      </c>
      <c r="F7648" s="61" t="n">
        <f aca="false">IF(F7460&lt;Pressupostos!$C$120,0,MAX(Pressupostos!$F$302,Pressupostos!$C$118*(F7554+F7555)+Pressupostos!$C$119*F7556))</f>
        <v>42407</v>
      </c>
      <c r="G7648" s="61" t="n">
        <f aca="false">IF(G7460&lt;Pressupostos!$C$120,0,MAX(Pressupostos!$G$302,Pressupostos!$C$118*(G7554+G7555)+Pressupostos!$C$119*G7556))</f>
        <v>61840</v>
      </c>
      <c r="H7648" s="2" t="s">
        <v>1358</v>
      </c>
    </row>
    <row r="7649" customFormat="false" ht="15" hidden="false" customHeight="false" outlineLevel="1" collapsed="false">
      <c r="A7649" s="56" t="s">
        <v>704</v>
      </c>
      <c r="B7649" s="57" t="s">
        <v>11</v>
      </c>
      <c r="C7649" s="62" t="n">
        <f aca="false">C7646+C7647+C7648</f>
        <v>298100</v>
      </c>
      <c r="D7649" s="62" t="n">
        <f aca="false">D7646+D7647+D7648</f>
        <v>303188.6</v>
      </c>
      <c r="E7649" s="62" t="n">
        <f aca="false">E7646+E7647+E7648</f>
        <v>384050.9</v>
      </c>
      <c r="F7649" s="62" t="n">
        <f aca="false">F7646+F7647+F7648</f>
        <v>417116.784</v>
      </c>
      <c r="G7649" s="62" t="n">
        <f aca="false">G7646+G7647+G7648</f>
        <v>468938.501272</v>
      </c>
      <c r="H7649" s="2" t="s">
        <v>1359</v>
      </c>
    </row>
    <row r="7650" customFormat="false" ht="15" hidden="false" customHeight="false" outlineLevel="0" collapsed="false">
      <c r="A7650" s="3" t="s">
        <v>1360</v>
      </c>
      <c r="B7650" s="4"/>
      <c r="C7650" s="4"/>
      <c r="D7650" s="4"/>
      <c r="E7650" s="4"/>
      <c r="F7650" s="4"/>
      <c r="G7650" s="4"/>
      <c r="H7650" s="4"/>
    </row>
    <row r="7651" customFormat="false" ht="15" hidden="false" customHeight="false" outlineLevel="1" collapsed="false">
      <c r="A7651" s="7" t="s">
        <v>706</v>
      </c>
      <c r="B7651" s="8" t="s">
        <v>11</v>
      </c>
      <c r="C7651" s="61" t="n">
        <f aca="false">Pressupostos!$C$165*Pressupostos!$C$315</f>
        <v>18000</v>
      </c>
      <c r="D7651" s="61" t="n">
        <f aca="false">Pressupostos!$C$165*Pressupostos!$D$315</f>
        <v>12000</v>
      </c>
      <c r="E7651" s="61" t="n">
        <f aca="false">Pressupostos!$C$165*Pressupostos!$E$315</f>
        <v>12000</v>
      </c>
      <c r="F7651" s="61" t="n">
        <f aca="false">Pressupostos!$C$165*Pressupostos!$F$315</f>
        <v>12000</v>
      </c>
      <c r="G7651" s="61" t="n">
        <f aca="false">Pressupostos!$C$165*Pressupostos!$G$315</f>
        <v>12000</v>
      </c>
      <c r="H7651" s="2" t="s">
        <v>1361</v>
      </c>
    </row>
    <row r="7652" customFormat="false" ht="15" hidden="false" customHeight="false" outlineLevel="1" collapsed="false">
      <c r="A7652" s="7" t="s">
        <v>707</v>
      </c>
      <c r="B7652" s="8" t="s">
        <v>11</v>
      </c>
      <c r="C7652" s="53" t="n">
        <f aca="false">Pressupostos!$C$321</f>
        <v>60000</v>
      </c>
      <c r="D7652" s="53" t="n">
        <f aca="false">Pressupostos!$D$321</f>
        <v>15000</v>
      </c>
      <c r="E7652" s="53" t="n">
        <f aca="false">Pressupostos!$E$321</f>
        <v>15000</v>
      </c>
      <c r="F7652" s="53" t="n">
        <f aca="false">Pressupostos!$F$321</f>
        <v>10000</v>
      </c>
      <c r="G7652" s="53" t="n">
        <f aca="false">Pressupostos!$G$321</f>
        <v>10000</v>
      </c>
      <c r="H7652" s="2" t="s">
        <v>1362</v>
      </c>
    </row>
    <row r="7653" customFormat="false" ht="15" hidden="false" customHeight="false" outlineLevel="1" collapsed="false">
      <c r="A7653" s="7" t="s">
        <v>708</v>
      </c>
      <c r="B7653" s="8" t="s">
        <v>11</v>
      </c>
      <c r="C7653" s="53" t="n">
        <f aca="false">Pressupostos!$C$327</f>
        <v>0</v>
      </c>
      <c r="D7653" s="53" t="n">
        <f aca="false">Pressupostos!$D$327</f>
        <v>15000</v>
      </c>
      <c r="E7653" s="53" t="n">
        <f aca="false">Pressupostos!$E$327</f>
        <v>15000</v>
      </c>
      <c r="F7653" s="53" t="n">
        <f aca="false">Pressupostos!$F$327</f>
        <v>10000</v>
      </c>
      <c r="G7653" s="53" t="n">
        <f aca="false">Pressupostos!$G$327</f>
        <v>10000</v>
      </c>
      <c r="H7653" s="2" t="s">
        <v>1363</v>
      </c>
    </row>
    <row r="7654" customFormat="false" ht="15" hidden="false" customHeight="false" outlineLevel="1" collapsed="false">
      <c r="A7654" s="7" t="s">
        <v>709</v>
      </c>
      <c r="B7654" s="8" t="s">
        <v>11</v>
      </c>
      <c r="C7654" s="61" t="n">
        <f aca="false">Pressupostos!$C$166*MAX(0,C7616)</f>
        <v>11000</v>
      </c>
      <c r="D7654" s="61" t="n">
        <f aca="false">Pressupostos!$C$166*MAX(0,D7616-C7616)</f>
        <v>4000</v>
      </c>
      <c r="E7654" s="61" t="n">
        <f aca="false">Pressupostos!$C$166*MAX(0,E7616-D7616)</f>
        <v>2000</v>
      </c>
      <c r="F7654" s="61" t="n">
        <f aca="false">Pressupostos!$C$166*MAX(0,F7616-E7616)</f>
        <v>5000</v>
      </c>
      <c r="G7654" s="61" t="n">
        <f aca="false">Pressupostos!$C$166*MAX(0,G7616-F7616)</f>
        <v>2000</v>
      </c>
      <c r="H7654" s="2" t="s">
        <v>1364</v>
      </c>
    </row>
    <row r="7655" customFormat="false" ht="15" hidden="false" customHeight="false" outlineLevel="1" collapsed="false">
      <c r="A7655" s="7" t="s">
        <v>424</v>
      </c>
      <c r="B7655" s="8" t="s">
        <v>11</v>
      </c>
      <c r="C7655" s="61" t="n">
        <f aca="false">C7651+C7652+C7653+C7654</f>
        <v>89000</v>
      </c>
      <c r="D7655" s="61" t="n">
        <f aca="false">D7651+D7652+D7653+D7654</f>
        <v>46000</v>
      </c>
      <c r="E7655" s="61" t="n">
        <f aca="false">E7651+E7652+E7653+E7654</f>
        <v>44000</v>
      </c>
      <c r="F7655" s="61" t="n">
        <f aca="false">F7651+F7652+F7653+F7654</f>
        <v>37000</v>
      </c>
      <c r="G7655" s="61" t="n">
        <f aca="false">G7651+G7652+G7653+G7654</f>
        <v>34000</v>
      </c>
      <c r="H7655" s="2" t="s">
        <v>1365</v>
      </c>
    </row>
    <row r="7656" customFormat="false" ht="15" hidden="false" customHeight="false" outlineLevel="1" collapsed="false">
      <c r="A7656" s="7" t="s">
        <v>710</v>
      </c>
      <c r="B7656" s="8" t="s">
        <v>11</v>
      </c>
      <c r="C7656" s="61" t="n">
        <f aca="false">(C7652*((0)&lt;Pressupostos!$C$167))/Pressupostos!$C$167</f>
        <v>20000</v>
      </c>
      <c r="D7656" s="61" t="n">
        <f aca="false">(C7652*((1)&lt;Pressupostos!$C$167)+D7652*((0)&lt;Pressupostos!$C$167))/Pressupostos!$C$167</f>
        <v>25000</v>
      </c>
      <c r="E7656" s="61" t="n">
        <f aca="false">(C7652*((2)&lt;Pressupostos!$C$167)+D7652*((1)&lt;Pressupostos!$C$167)+E7652*((0)&lt;Pressupostos!$C$167))/Pressupostos!$C$167</f>
        <v>30000</v>
      </c>
      <c r="F7656" s="61" t="n">
        <f aca="false">(C7652*((3)&lt;Pressupostos!$C$167)+D7652*((2)&lt;Pressupostos!$C$167)+E7652*((1)&lt;Pressupostos!$C$167)+F7652*((0)&lt;Pressupostos!$C$167))/Pressupostos!$C$167</f>
        <v>13333.3333333333</v>
      </c>
      <c r="G7656" s="61" t="n">
        <f aca="false">(C7652*((4)&lt;Pressupostos!$C$167)+D7652*((3)&lt;Pressupostos!$C$167)+E7652*((2)&lt;Pressupostos!$C$167)+F7652*((1)&lt;Pressupostos!$C$167)+G7652*((0)&lt;Pressupostos!$C$167))/Pressupostos!$C$167</f>
        <v>11666.6666666667</v>
      </c>
      <c r="H7656" s="2" t="s">
        <v>1366</v>
      </c>
    </row>
    <row r="7657" customFormat="false" ht="15" hidden="false" customHeight="false" outlineLevel="1" collapsed="false">
      <c r="A7657" s="7" t="s">
        <v>711</v>
      </c>
      <c r="B7657" s="8" t="s">
        <v>11</v>
      </c>
      <c r="C7657" s="61" t="n">
        <f aca="false">(C7653*((0)&lt;Pressupostos!$C$167))/Pressupostos!$C$167</f>
        <v>0</v>
      </c>
      <c r="D7657" s="61" t="n">
        <f aca="false">(C7653*((1)&lt;Pressupostos!$C$167)+D7653*((0)&lt;Pressupostos!$C$167))/Pressupostos!$C$167</f>
        <v>5000</v>
      </c>
      <c r="E7657" s="61" t="n">
        <f aca="false">(C7653*((2)&lt;Pressupostos!$C$167)+D7653*((1)&lt;Pressupostos!$C$167)+E7653*((0)&lt;Pressupostos!$C$167))/Pressupostos!$C$167</f>
        <v>10000</v>
      </c>
      <c r="F7657" s="61" t="n">
        <f aca="false">(C7653*((3)&lt;Pressupostos!$C$167)+D7653*((2)&lt;Pressupostos!$C$167)+E7653*((1)&lt;Pressupostos!$C$167)+F7653*((0)&lt;Pressupostos!$C$167))/Pressupostos!$C$167</f>
        <v>13333.3333333333</v>
      </c>
      <c r="G7657" s="61" t="n">
        <f aca="false">(C7653*((4)&lt;Pressupostos!$C$167)+D7653*((3)&lt;Pressupostos!$C$167)+E7653*((2)&lt;Pressupostos!$C$167)+F7653*((1)&lt;Pressupostos!$C$167)+G7653*((0)&lt;Pressupostos!$C$167))/Pressupostos!$C$167</f>
        <v>11666.6666666667</v>
      </c>
      <c r="H7657" s="2" t="s">
        <v>1367</v>
      </c>
    </row>
    <row r="7658" customFormat="false" ht="15" hidden="false" customHeight="false" outlineLevel="1" collapsed="false">
      <c r="A7658" s="7" t="s">
        <v>712</v>
      </c>
      <c r="B7658" s="8" t="s">
        <v>11</v>
      </c>
      <c r="C7658" s="61" t="n">
        <f aca="false">(C7651*((0)&lt;Pressupostos!$C$169))/Pressupostos!$C$169</f>
        <v>3600</v>
      </c>
      <c r="D7658" s="61" t="n">
        <f aca="false">(C7651*((1)&lt;Pressupostos!$C$169)+D7651*((0)&lt;Pressupostos!$C$169))/Pressupostos!$C$169</f>
        <v>6000</v>
      </c>
      <c r="E7658" s="61" t="n">
        <f aca="false">(C7651*((2)&lt;Pressupostos!$C$169)+D7651*((1)&lt;Pressupostos!$C$169)+E7651*((0)&lt;Pressupostos!$C$169))/Pressupostos!$C$169</f>
        <v>8400</v>
      </c>
      <c r="F7658" s="61" t="n">
        <f aca="false">(C7651*((3)&lt;Pressupostos!$C$169)+D7651*((2)&lt;Pressupostos!$C$169)+E7651*((1)&lt;Pressupostos!$C$169)+F7651*((0)&lt;Pressupostos!$C$169))/Pressupostos!$C$169</f>
        <v>10800</v>
      </c>
      <c r="G7658" s="61" t="n">
        <f aca="false">(C7651*((4)&lt;Pressupostos!$C$169)+D7651*((3)&lt;Pressupostos!$C$169)+E7651*((2)&lt;Pressupostos!$C$169)+F7651*((1)&lt;Pressupostos!$C$169)+G7651*((0)&lt;Pressupostos!$C$169))/Pressupostos!$C$169</f>
        <v>13200</v>
      </c>
      <c r="H7658" s="2" t="s">
        <v>1368</v>
      </c>
    </row>
    <row r="7659" customFormat="false" ht="15" hidden="false" customHeight="false" outlineLevel="1" collapsed="false">
      <c r="A7659" s="7" t="s">
        <v>713</v>
      </c>
      <c r="B7659" s="8" t="s">
        <v>11</v>
      </c>
      <c r="C7659" s="61" t="n">
        <f aca="false">(C7654*((0)&lt;Pressupostos!$C$168))/Pressupostos!$C$168</f>
        <v>2750</v>
      </c>
      <c r="D7659" s="61" t="n">
        <f aca="false">(C7654*((1)&lt;Pressupostos!$C$168)+D7654*((0)&lt;Pressupostos!$C$168))/Pressupostos!$C$168</f>
        <v>3750</v>
      </c>
      <c r="E7659" s="61" t="n">
        <f aca="false">(C7654*((2)&lt;Pressupostos!$C$168)+D7654*((1)&lt;Pressupostos!$C$168)+E7654*((0)&lt;Pressupostos!$C$168))/Pressupostos!$C$168</f>
        <v>4250</v>
      </c>
      <c r="F7659" s="61" t="n">
        <f aca="false">(C7654*((3)&lt;Pressupostos!$C$168)+D7654*((2)&lt;Pressupostos!$C$168)+E7654*((1)&lt;Pressupostos!$C$168)+F7654*((0)&lt;Pressupostos!$C$168))/Pressupostos!$C$168</f>
        <v>5500</v>
      </c>
      <c r="G7659" s="61" t="n">
        <f aca="false">(C7654*((4)&lt;Pressupostos!$C$168)+D7654*((3)&lt;Pressupostos!$C$168)+E7654*((2)&lt;Pressupostos!$C$168)+F7654*((1)&lt;Pressupostos!$C$168)+G7654*((0)&lt;Pressupostos!$C$168))/Pressupostos!$C$168</f>
        <v>3250</v>
      </c>
      <c r="H7659" s="2" t="s">
        <v>1369</v>
      </c>
    </row>
    <row r="7660" customFormat="false" ht="15" hidden="false" customHeight="false" outlineLevel="1" collapsed="false">
      <c r="A7660" s="7" t="s">
        <v>714</v>
      </c>
      <c r="B7660" s="8" t="s">
        <v>11</v>
      </c>
      <c r="C7660" s="61" t="n">
        <f aca="false">C7656+C7657+C7658+C7659</f>
        <v>26350</v>
      </c>
      <c r="D7660" s="61" t="n">
        <f aca="false">D7656+D7657+D7658+D7659</f>
        <v>39750</v>
      </c>
      <c r="E7660" s="61" t="n">
        <f aca="false">E7656+E7657+E7658+E7659</f>
        <v>52650</v>
      </c>
      <c r="F7660" s="61" t="n">
        <f aca="false">F7656+F7657+F7658+F7659</f>
        <v>42966.6666666667</v>
      </c>
      <c r="G7660" s="61" t="n">
        <f aca="false">G7656+G7657+G7658+G7659</f>
        <v>39783.3333333333</v>
      </c>
      <c r="H7660" s="2" t="s">
        <v>1370</v>
      </c>
    </row>
    <row r="7661" customFormat="false" ht="15" hidden="false" customHeight="false" outlineLevel="0" collapsed="false">
      <c r="A7661" s="3" t="s">
        <v>1371</v>
      </c>
      <c r="B7661" s="4"/>
      <c r="C7661" s="4"/>
      <c r="D7661" s="4"/>
      <c r="E7661" s="4"/>
      <c r="F7661" s="4"/>
      <c r="G7661" s="4"/>
      <c r="H7661" s="4"/>
    </row>
    <row r="7662" customFormat="false" ht="15" hidden="false" customHeight="false" outlineLevel="1" collapsed="false">
      <c r="A7662" s="56" t="s">
        <v>718</v>
      </c>
      <c r="B7662" s="57" t="s">
        <v>11</v>
      </c>
      <c r="C7662" s="62" t="n">
        <f aca="false">C7564</f>
        <v>275874.4</v>
      </c>
      <c r="D7662" s="62" t="n">
        <f aca="false">D7564</f>
        <v>3617129</v>
      </c>
      <c r="E7662" s="62" t="n">
        <f aca="false">E7564</f>
        <v>9140394</v>
      </c>
      <c r="F7662" s="62" t="n">
        <f aca="false">F7564</f>
        <v>15394652</v>
      </c>
      <c r="G7662" s="62" t="n">
        <f aca="false">G7564</f>
        <v>22374860</v>
      </c>
      <c r="H7662" s="2" t="s">
        <v>1372</v>
      </c>
    </row>
    <row r="7663" customFormat="false" ht="15" hidden="false" customHeight="false" outlineLevel="1" collapsed="false">
      <c r="A7663" s="7" t="s">
        <v>688</v>
      </c>
      <c r="B7663" s="8" t="s">
        <v>11</v>
      </c>
      <c r="C7663" s="61" t="n">
        <f aca="false">-C7587</f>
        <v>-245040</v>
      </c>
      <c r="D7663" s="61" t="n">
        <f aca="false">-D7587</f>
        <v>-3349300</v>
      </c>
      <c r="E7663" s="61" t="n">
        <f aca="false">-E7587</f>
        <v>-8498250</v>
      </c>
      <c r="F7663" s="61" t="n">
        <f aca="false">-F7587</f>
        <v>-14283850</v>
      </c>
      <c r="G7663" s="61" t="n">
        <f aca="false">-G7587</f>
        <v>-20710500</v>
      </c>
      <c r="H7663" s="2" t="s">
        <v>1373</v>
      </c>
    </row>
    <row r="7664" customFormat="false" ht="15" hidden="false" customHeight="false" outlineLevel="1" collapsed="false">
      <c r="A7664" s="56" t="s">
        <v>719</v>
      </c>
      <c r="B7664" s="57" t="s">
        <v>11</v>
      </c>
      <c r="C7664" s="62" t="n">
        <f aca="false">C7662+C7663</f>
        <v>30834.4</v>
      </c>
      <c r="D7664" s="62" t="n">
        <f aca="false">D7662+D7663</f>
        <v>267829</v>
      </c>
      <c r="E7664" s="62" t="n">
        <f aca="false">E7662+E7663</f>
        <v>642144</v>
      </c>
      <c r="F7664" s="62" t="n">
        <f aca="false">F7662+F7663</f>
        <v>1110802</v>
      </c>
      <c r="G7664" s="62" t="n">
        <f aca="false">G7662+G7663</f>
        <v>1664360</v>
      </c>
      <c r="H7664" s="2" t="s">
        <v>1374</v>
      </c>
    </row>
    <row r="7665" customFormat="false" ht="15" hidden="false" customHeight="false" outlineLevel="1" collapsed="false">
      <c r="A7665" s="2" t="s">
        <v>720</v>
      </c>
      <c r="B7665" s="8" t="s">
        <v>76</v>
      </c>
      <c r="C7665" s="59" t="n">
        <f aca="false">IF(C7662&gt;0,C7664/C7662,0)</f>
        <v>0.111769703894236</v>
      </c>
      <c r="D7665" s="59" t="n">
        <f aca="false">IF(D7662&gt;0,D7664/D7662,0)</f>
        <v>0.0740446359529892</v>
      </c>
      <c r="E7665" s="59" t="n">
        <f aca="false">IF(E7662&gt;0,E7664/E7662,0)</f>
        <v>0.0702534267122402</v>
      </c>
      <c r="F7665" s="59" t="n">
        <f aca="false">IF(F7662&gt;0,F7664/F7662,0)</f>
        <v>0.0721550574835989</v>
      </c>
      <c r="G7665" s="59" t="n">
        <f aca="false">IF(G7662&gt;0,G7664/G7662,0)</f>
        <v>0.0743852698966608</v>
      </c>
      <c r="H7665" s="2" t="s">
        <v>1375</v>
      </c>
    </row>
    <row r="7666" customFormat="false" ht="15" hidden="false" customHeight="false" outlineLevel="1" collapsed="false">
      <c r="A7666" s="7" t="s">
        <v>721</v>
      </c>
      <c r="B7666" s="8" t="s">
        <v>11</v>
      </c>
      <c r="C7666" s="61" t="n">
        <f aca="false">-C7598</f>
        <v>-15494.2226027397</v>
      </c>
      <c r="D7666" s="61" t="n">
        <f aca="false">-D7598</f>
        <v>-137984.389554795</v>
      </c>
      <c r="E7666" s="61" t="n">
        <f aca="false">-E7598</f>
        <v>-320360.86369863</v>
      </c>
      <c r="F7666" s="61" t="n">
        <f aca="false">-F7598</f>
        <v>-538838.479794521</v>
      </c>
      <c r="G7666" s="61" t="n">
        <f aca="false">-G7598</f>
        <v>-787962.886986301</v>
      </c>
      <c r="H7666" s="2" t="s">
        <v>1376</v>
      </c>
    </row>
    <row r="7667" customFormat="false" ht="15" hidden="false" customHeight="false" outlineLevel="1" collapsed="false">
      <c r="A7667" s="7" t="s">
        <v>698</v>
      </c>
      <c r="B7667" s="8" t="s">
        <v>11</v>
      </c>
      <c r="C7667" s="61" t="n">
        <f aca="false">-C7601</f>
        <v>-0</v>
      </c>
      <c r="D7667" s="61" t="n">
        <f aca="false">-D7601</f>
        <v>-32311.8493150685</v>
      </c>
      <c r="E7667" s="61" t="n">
        <f aca="false">-E7601</f>
        <v>-64423.9244434931</v>
      </c>
      <c r="F7667" s="61" t="n">
        <f aca="false">-F7601</f>
        <v>-101125.113441781</v>
      </c>
      <c r="G7667" s="61" t="n">
        <f aca="false">-G7601</f>
        <v>-148334.524828767</v>
      </c>
      <c r="H7667" s="2" t="s">
        <v>1377</v>
      </c>
    </row>
    <row r="7668" customFormat="false" ht="15" hidden="false" customHeight="false" outlineLevel="1" collapsed="false">
      <c r="A7668" s="56" t="s">
        <v>677</v>
      </c>
      <c r="B7668" s="57" t="s">
        <v>11</v>
      </c>
      <c r="C7668" s="62" t="n">
        <f aca="false">C7664+C7666+C7667</f>
        <v>15340.1773972603</v>
      </c>
      <c r="D7668" s="62" t="n">
        <f aca="false">D7664+D7666+D7667</f>
        <v>97532.761130137</v>
      </c>
      <c r="E7668" s="62" t="n">
        <f aca="false">E7664+E7666+E7667</f>
        <v>257359.211857877</v>
      </c>
      <c r="F7668" s="62" t="n">
        <f aca="false">F7664+F7666+F7667</f>
        <v>470838.406763699</v>
      </c>
      <c r="G7668" s="62" t="n">
        <f aca="false">G7664+G7666+G7667</f>
        <v>728062.588184931</v>
      </c>
      <c r="H7668" s="2" t="s">
        <v>1378</v>
      </c>
    </row>
    <row r="7669" customFormat="false" ht="15" hidden="false" customHeight="false" outlineLevel="1" collapsed="false">
      <c r="A7669" s="7" t="s">
        <v>261</v>
      </c>
      <c r="B7669" s="8" t="s">
        <v>11</v>
      </c>
      <c r="C7669" s="61" t="n">
        <f aca="false">-C7633</f>
        <v>-303573.09375</v>
      </c>
      <c r="D7669" s="61" t="n">
        <f aca="false">-D7633</f>
        <v>-477845.325</v>
      </c>
      <c r="E7669" s="61" t="n">
        <f aca="false">-E7633</f>
        <v>-563341.2153125</v>
      </c>
      <c r="F7669" s="61" t="n">
        <f aca="false">-F7633</f>
        <v>-697007.527174375</v>
      </c>
      <c r="G7669" s="61" t="n">
        <f aca="false">-G7633</f>
        <v>-768997.563445444</v>
      </c>
      <c r="H7669" s="2" t="s">
        <v>1379</v>
      </c>
    </row>
    <row r="7670" customFormat="false" ht="15" hidden="false" customHeight="false" outlineLevel="1" collapsed="false">
      <c r="A7670" s="7" t="s">
        <v>722</v>
      </c>
      <c r="B7670" s="8" t="s">
        <v>11</v>
      </c>
      <c r="C7670" s="61" t="n">
        <f aca="false">-C7649</f>
        <v>-298100</v>
      </c>
      <c r="D7670" s="61" t="n">
        <f aca="false">-D7649</f>
        <v>-303188.6</v>
      </c>
      <c r="E7670" s="61" t="n">
        <f aca="false">-E7649</f>
        <v>-384050.9</v>
      </c>
      <c r="F7670" s="61" t="n">
        <f aca="false">-F7649</f>
        <v>-417116.784</v>
      </c>
      <c r="G7670" s="61" t="n">
        <f aca="false">-G7649</f>
        <v>-468938.501272</v>
      </c>
      <c r="H7670" s="2" t="s">
        <v>1380</v>
      </c>
    </row>
    <row r="7671" customFormat="false" ht="15" hidden="false" customHeight="false" outlineLevel="1" collapsed="false">
      <c r="A7671" s="56" t="s">
        <v>723</v>
      </c>
      <c r="B7671" s="57" t="s">
        <v>11</v>
      </c>
      <c r="C7671" s="62" t="n">
        <f aca="false">C7668+C7669+C7670</f>
        <v>-586332.91635274</v>
      </c>
      <c r="D7671" s="62" t="n">
        <f aca="false">D7668+D7669+D7670</f>
        <v>-683501.163869863</v>
      </c>
      <c r="E7671" s="62" t="n">
        <f aca="false">E7668+E7669+E7670</f>
        <v>-690032.903454623</v>
      </c>
      <c r="F7671" s="62" t="n">
        <f aca="false">F7668+F7669+F7670</f>
        <v>-643285.904410676</v>
      </c>
      <c r="G7671" s="62" t="n">
        <f aca="false">G7668+G7669+G7670</f>
        <v>-509873.476532512</v>
      </c>
      <c r="H7671" s="2" t="s">
        <v>1381</v>
      </c>
    </row>
    <row r="7672" customFormat="false" ht="15" hidden="false" customHeight="false" outlineLevel="1" collapsed="false">
      <c r="A7672" s="2" t="s">
        <v>725</v>
      </c>
      <c r="B7672" s="8" t="s">
        <v>76</v>
      </c>
      <c r="C7672" s="59" t="n">
        <f aca="false">IF(C7662&gt;0,C7671/C7662,0)</f>
        <v>-2.12536181810541</v>
      </c>
      <c r="D7672" s="59" t="n">
        <f aca="false">IF(D7662&gt;0,D7671/D7662,0)</f>
        <v>-0.188962341091474</v>
      </c>
      <c r="E7672" s="59" t="n">
        <f aca="false">IF(E7662&gt;0,E7671/E7662,0)</f>
        <v>-0.0754926870170611</v>
      </c>
      <c r="F7672" s="59" t="n">
        <f aca="false">IF(F7662&gt;0,F7671/F7662,0)</f>
        <v>-0.0417863232251483</v>
      </c>
      <c r="G7672" s="59" t="n">
        <f aca="false">IF(G7662&gt;0,G7671/G7662,0)</f>
        <v>-0.0227877839920568</v>
      </c>
      <c r="H7672" s="2" t="s">
        <v>1382</v>
      </c>
    </row>
    <row r="7673" customFormat="false" ht="15" hidden="false" customHeight="false" outlineLevel="1" collapsed="false">
      <c r="A7673" s="2" t="s">
        <v>726</v>
      </c>
      <c r="B7673" s="8" t="s">
        <v>11</v>
      </c>
      <c r="C7673" s="61" t="n">
        <f aca="false">C7671+C7601</f>
        <v>-586332.91635274</v>
      </c>
      <c r="D7673" s="61" t="n">
        <f aca="false">D7671+D7601</f>
        <v>-651189.314554795</v>
      </c>
      <c r="E7673" s="61" t="n">
        <f aca="false">E7671+E7601</f>
        <v>-625608.97901113</v>
      </c>
      <c r="F7673" s="61" t="n">
        <f aca="false">F7671+F7601</f>
        <v>-542160.790968896</v>
      </c>
      <c r="G7673" s="61" t="n">
        <f aca="false">G7671+G7601</f>
        <v>-361538.951703745</v>
      </c>
      <c r="H7673" s="2" t="s">
        <v>1383</v>
      </c>
    </row>
    <row r="7674" customFormat="false" ht="15" hidden="false" customHeight="false" outlineLevel="1" collapsed="false">
      <c r="A7674" s="7" t="s">
        <v>714</v>
      </c>
      <c r="B7674" s="8" t="s">
        <v>11</v>
      </c>
      <c r="C7674" s="61" t="n">
        <f aca="false">-C7660</f>
        <v>-26350</v>
      </c>
      <c r="D7674" s="61" t="n">
        <f aca="false">-D7660</f>
        <v>-39750</v>
      </c>
      <c r="E7674" s="61" t="n">
        <f aca="false">-E7660</f>
        <v>-52650</v>
      </c>
      <c r="F7674" s="61" t="n">
        <f aca="false">-F7660</f>
        <v>-42966.6666666667</v>
      </c>
      <c r="G7674" s="61" t="n">
        <f aca="false">-G7660</f>
        <v>-39783.3333333333</v>
      </c>
      <c r="H7674" s="2" t="s">
        <v>1384</v>
      </c>
    </row>
    <row r="7675" customFormat="false" ht="15" hidden="false" customHeight="false" outlineLevel="1" collapsed="false">
      <c r="A7675" s="56" t="s">
        <v>727</v>
      </c>
      <c r="B7675" s="57" t="s">
        <v>11</v>
      </c>
      <c r="C7675" s="62" t="n">
        <f aca="false">C7671+C7674</f>
        <v>-612682.91635274</v>
      </c>
      <c r="D7675" s="62" t="n">
        <f aca="false">D7671+D7674</f>
        <v>-723251.163869863</v>
      </c>
      <c r="E7675" s="62" t="n">
        <f aca="false">E7671+E7674</f>
        <v>-742682.903454623</v>
      </c>
      <c r="F7675" s="62" t="n">
        <f aca="false">F7671+F7674</f>
        <v>-686252.571077343</v>
      </c>
      <c r="G7675" s="62" t="n">
        <f aca="false">G7671+G7674</f>
        <v>-549656.809865846</v>
      </c>
      <c r="H7675" s="2" t="s">
        <v>1385</v>
      </c>
    </row>
    <row r="7676" customFormat="false" ht="15" hidden="false" customHeight="false" outlineLevel="0" collapsed="false">
      <c r="A7676" s="3" t="s">
        <v>1386</v>
      </c>
      <c r="B7676" s="4"/>
      <c r="C7676" s="4"/>
      <c r="D7676" s="4"/>
      <c r="E7676" s="4"/>
      <c r="F7676" s="4"/>
      <c r="G7676" s="4"/>
      <c r="H7676" s="4"/>
    </row>
    <row r="7677" customFormat="false" ht="15" hidden="false" customHeight="false" outlineLevel="1" collapsed="false">
      <c r="A7677" s="7" t="s">
        <v>729</v>
      </c>
      <c r="B7677" s="8" t="s">
        <v>11</v>
      </c>
      <c r="C7677" s="61" t="n">
        <f aca="false">C7675</f>
        <v>-612682.91635274</v>
      </c>
      <c r="D7677" s="61" t="n">
        <f aca="false">D7675</f>
        <v>-723251.163869863</v>
      </c>
      <c r="E7677" s="61" t="n">
        <f aca="false">E7675</f>
        <v>-742682.903454623</v>
      </c>
      <c r="F7677" s="61" t="n">
        <f aca="false">F7675</f>
        <v>-686252.571077343</v>
      </c>
      <c r="G7677" s="61" t="n">
        <f aca="false">G7675</f>
        <v>-549656.809865846</v>
      </c>
      <c r="H7677" s="2" t="s">
        <v>1387</v>
      </c>
    </row>
    <row r="7678" customFormat="false" ht="15" hidden="false" customHeight="false" outlineLevel="1" collapsed="false">
      <c r="A7678" s="7" t="s">
        <v>730</v>
      </c>
      <c r="B7678" s="8" t="s">
        <v>11</v>
      </c>
      <c r="C7678" s="61" t="n">
        <f aca="false">0</f>
        <v>0</v>
      </c>
      <c r="D7678" s="61" t="n">
        <f aca="false">C7681</f>
        <v>612682.91635274</v>
      </c>
      <c r="E7678" s="61" t="n">
        <f aca="false">D7681</f>
        <v>1335934.0802226</v>
      </c>
      <c r="F7678" s="61" t="n">
        <f aca="false">E7681</f>
        <v>2078616.98367723</v>
      </c>
      <c r="G7678" s="61" t="n">
        <f aca="false">F7681</f>
        <v>2764869.55475457</v>
      </c>
      <c r="H7678" s="2" t="s">
        <v>1388</v>
      </c>
    </row>
    <row r="7679" customFormat="false" ht="15" hidden="false" customHeight="false" outlineLevel="1" collapsed="false">
      <c r="A7679" s="7" t="s">
        <v>731</v>
      </c>
      <c r="B7679" s="8" t="s">
        <v>11</v>
      </c>
      <c r="C7679" s="61" t="n">
        <f aca="false">MAX(0,-C7677)</f>
        <v>612682.91635274</v>
      </c>
      <c r="D7679" s="61" t="n">
        <f aca="false">MAX(0,-D7677)</f>
        <v>723251.163869863</v>
      </c>
      <c r="E7679" s="61" t="n">
        <f aca="false">MAX(0,-E7677)</f>
        <v>742682.903454623</v>
      </c>
      <c r="F7679" s="61" t="n">
        <f aca="false">MAX(0,-F7677)</f>
        <v>686252.571077343</v>
      </c>
      <c r="G7679" s="61" t="n">
        <f aca="false">MAX(0,-G7677)</f>
        <v>549656.809865846</v>
      </c>
      <c r="H7679" s="2" t="s">
        <v>1389</v>
      </c>
    </row>
    <row r="7680" customFormat="false" ht="15" hidden="false" customHeight="false" outlineLevel="1" collapsed="false">
      <c r="A7680" s="7" t="s">
        <v>732</v>
      </c>
      <c r="B7680" s="8" t="s">
        <v>11</v>
      </c>
      <c r="C7680" s="61" t="n">
        <f aca="false">MIN(C7678,Pressupostos!$C$181*MAX(0,C7677))</f>
        <v>0</v>
      </c>
      <c r="D7680" s="61" t="n">
        <f aca="false">MIN(D7678,Pressupostos!$C$181*MAX(0,D7677))</f>
        <v>0</v>
      </c>
      <c r="E7680" s="61" t="n">
        <f aca="false">MIN(E7678,Pressupostos!$C$181*MAX(0,E7677))</f>
        <v>0</v>
      </c>
      <c r="F7680" s="61" t="n">
        <f aca="false">MIN(F7678,Pressupostos!$C$181*MAX(0,F7677))</f>
        <v>0</v>
      </c>
      <c r="G7680" s="61" t="n">
        <f aca="false">MIN(G7678,Pressupostos!$C$181*MAX(0,G7677))</f>
        <v>0</v>
      </c>
      <c r="H7680" s="2" t="s">
        <v>1390</v>
      </c>
    </row>
    <row r="7681" customFormat="false" ht="15" hidden="false" customHeight="false" outlineLevel="1" collapsed="false">
      <c r="A7681" s="7" t="s">
        <v>733</v>
      </c>
      <c r="B7681" s="8" t="s">
        <v>11</v>
      </c>
      <c r="C7681" s="61" t="n">
        <f aca="false">C7678+C7679-C7680</f>
        <v>612682.91635274</v>
      </c>
      <c r="D7681" s="61" t="n">
        <f aca="false">D7678+D7679-D7680</f>
        <v>1335934.0802226</v>
      </c>
      <c r="E7681" s="61" t="n">
        <f aca="false">E7678+E7679-E7680</f>
        <v>2078616.98367723</v>
      </c>
      <c r="F7681" s="61" t="n">
        <f aca="false">F7678+F7679-F7680</f>
        <v>2764869.55475457</v>
      </c>
      <c r="G7681" s="61" t="n">
        <f aca="false">G7678+G7679-G7680</f>
        <v>3314526.36462041</v>
      </c>
      <c r="H7681" s="2" t="s">
        <v>1391</v>
      </c>
    </row>
    <row r="7682" customFormat="false" ht="15" hidden="false" customHeight="false" outlineLevel="1" collapsed="false">
      <c r="A7682" s="7" t="s">
        <v>734</v>
      </c>
      <c r="B7682" s="8" t="s">
        <v>11</v>
      </c>
      <c r="C7682" s="61" t="n">
        <f aca="false">MAX(0,C7677)-C7680</f>
        <v>0</v>
      </c>
      <c r="D7682" s="61" t="n">
        <f aca="false">MAX(0,D7677)-D7680</f>
        <v>0</v>
      </c>
      <c r="E7682" s="61" t="n">
        <f aca="false">MAX(0,E7677)-E7680</f>
        <v>0</v>
      </c>
      <c r="F7682" s="61" t="n">
        <f aca="false">MAX(0,F7677)-F7680</f>
        <v>0</v>
      </c>
      <c r="G7682" s="61" t="n">
        <f aca="false">MAX(0,G7677)-G7680</f>
        <v>0</v>
      </c>
      <c r="H7682" s="2" t="s">
        <v>1392</v>
      </c>
    </row>
    <row r="7683" customFormat="false" ht="15" hidden="false" customHeight="false" outlineLevel="1" collapsed="false">
      <c r="A7683" s="7" t="s">
        <v>735</v>
      </c>
      <c r="B7683" s="8" t="s">
        <v>11</v>
      </c>
      <c r="C7683" s="61" t="n">
        <f aca="false">Pressupostos!$C$172*MIN(C7682,Pressupostos!$C$173)+Pressupostos!$C$467*MAX(0,C7682-Pressupostos!$C$173)</f>
        <v>0</v>
      </c>
      <c r="D7683" s="61" t="n">
        <f aca="false">Pressupostos!$C$172*MIN(D7682,Pressupostos!$C$173)+Pressupostos!$D$467*MAX(0,D7682-Pressupostos!$C$173)</f>
        <v>0</v>
      </c>
      <c r="E7683" s="61" t="n">
        <f aca="false">Pressupostos!$C$172*MIN(E7682,Pressupostos!$C$173)+Pressupostos!$E$467*MAX(0,E7682-Pressupostos!$C$173)</f>
        <v>0</v>
      </c>
      <c r="F7683" s="61" t="n">
        <f aca="false">Pressupostos!$C$172*MIN(F7682,Pressupostos!$C$173)+Pressupostos!$F$467*MAX(0,F7682-Pressupostos!$C$173)</f>
        <v>0</v>
      </c>
      <c r="G7683" s="61" t="n">
        <f aca="false">Pressupostos!$C$172*MIN(G7682,Pressupostos!$C$173)+Pressupostos!$G$467*MAX(0,G7682-Pressupostos!$C$173)</f>
        <v>0</v>
      </c>
      <c r="H7683" s="2" t="s">
        <v>1393</v>
      </c>
    </row>
    <row r="7684" customFormat="false" ht="15" hidden="false" customHeight="false" outlineLevel="1" collapsed="false">
      <c r="A7684" s="7" t="s">
        <v>736</v>
      </c>
      <c r="B7684" s="8" t="s">
        <v>11</v>
      </c>
      <c r="C7684" s="61" t="n">
        <f aca="false">Pressupostos!$C$174*MAX(0,C7677)</f>
        <v>0</v>
      </c>
      <c r="D7684" s="61" t="n">
        <f aca="false">Pressupostos!$C$174*MAX(0,D7677)</f>
        <v>0</v>
      </c>
      <c r="E7684" s="61" t="n">
        <f aca="false">Pressupostos!$C$174*MAX(0,E7677)</f>
        <v>0</v>
      </c>
      <c r="F7684" s="61" t="n">
        <f aca="false">Pressupostos!$C$174*MAX(0,F7677)</f>
        <v>0</v>
      </c>
      <c r="G7684" s="61" t="n">
        <f aca="false">Pressupostos!$C$174*MAX(0,G7677)</f>
        <v>0</v>
      </c>
      <c r="H7684" s="2" t="s">
        <v>1394</v>
      </c>
    </row>
    <row r="7685" customFormat="false" ht="15" hidden="false" customHeight="false" outlineLevel="1" collapsed="false">
      <c r="A7685" s="7" t="s">
        <v>737</v>
      </c>
      <c r="B7685" s="8" t="s">
        <v>11</v>
      </c>
      <c r="C7685" s="61" t="n">
        <f aca="false">Pressupostos!$C$176*MAX(0,MIN(C7677,Pressupostos!$C$177)-Pressupostos!$C$175)+Pressupostos!$C$178*MAX(0,MIN(C7677,Pressupostos!$C$179)-Pressupostos!$C$177)+Pressupostos!$C$180*MAX(0,C7677-Pressupostos!$C$179)</f>
        <v>0</v>
      </c>
      <c r="D7685" s="61" t="n">
        <f aca="false">Pressupostos!$C$176*MAX(0,MIN(D7677,Pressupostos!$C$177)-Pressupostos!$C$175)+Pressupostos!$C$178*MAX(0,MIN(D7677,Pressupostos!$C$179)-Pressupostos!$C$177)+Pressupostos!$C$180*MAX(0,D7677-Pressupostos!$C$179)</f>
        <v>0</v>
      </c>
      <c r="E7685" s="61" t="n">
        <f aca="false">Pressupostos!$C$176*MAX(0,MIN(E7677,Pressupostos!$C$177)-Pressupostos!$C$175)+Pressupostos!$C$178*MAX(0,MIN(E7677,Pressupostos!$C$179)-Pressupostos!$C$177)+Pressupostos!$C$180*MAX(0,E7677-Pressupostos!$C$179)</f>
        <v>0</v>
      </c>
      <c r="F7685" s="61" t="n">
        <f aca="false">Pressupostos!$C$176*MAX(0,MIN(F7677,Pressupostos!$C$177)-Pressupostos!$C$175)+Pressupostos!$C$178*MAX(0,MIN(F7677,Pressupostos!$C$179)-Pressupostos!$C$177)+Pressupostos!$C$180*MAX(0,F7677-Pressupostos!$C$179)</f>
        <v>0</v>
      </c>
      <c r="G7685" s="61" t="n">
        <f aca="false">Pressupostos!$C$176*MAX(0,MIN(G7677,Pressupostos!$C$177)-Pressupostos!$C$175)+Pressupostos!$C$178*MAX(0,MIN(G7677,Pressupostos!$C$179)-Pressupostos!$C$177)+Pressupostos!$C$180*MAX(0,G7677-Pressupostos!$C$179)</f>
        <v>0</v>
      </c>
      <c r="H7685" s="2" t="s">
        <v>1395</v>
      </c>
    </row>
    <row r="7686" customFormat="false" ht="15" hidden="false" customHeight="false" outlineLevel="1" collapsed="false">
      <c r="A7686" s="7" t="s">
        <v>738</v>
      </c>
      <c r="B7686" s="8" t="s">
        <v>11</v>
      </c>
      <c r="C7686" s="61" t="n">
        <f aca="false">C7683+C7684+C7685</f>
        <v>0</v>
      </c>
      <c r="D7686" s="61" t="n">
        <f aca="false">D7683+D7684+D7685</f>
        <v>0</v>
      </c>
      <c r="E7686" s="61" t="n">
        <f aca="false">E7683+E7684+E7685</f>
        <v>0</v>
      </c>
      <c r="F7686" s="61" t="n">
        <f aca="false">F7683+F7684+F7685</f>
        <v>0</v>
      </c>
      <c r="G7686" s="61" t="n">
        <f aca="false">G7683+G7684+G7685</f>
        <v>0</v>
      </c>
      <c r="H7686" s="2" t="s">
        <v>1396</v>
      </c>
    </row>
    <row r="7687" customFormat="false" ht="15" hidden="false" customHeight="false" outlineLevel="0" collapsed="false">
      <c r="A7687" s="3" t="s">
        <v>1397</v>
      </c>
      <c r="B7687" s="4"/>
      <c r="C7687" s="4"/>
      <c r="D7687" s="4"/>
      <c r="E7687" s="4"/>
      <c r="F7687" s="4"/>
      <c r="G7687" s="4"/>
      <c r="H7687" s="4"/>
    </row>
    <row r="7688" customFormat="false" ht="15" hidden="false" customHeight="false" outlineLevel="1" collapsed="false">
      <c r="A7688" s="7" t="s">
        <v>738</v>
      </c>
      <c r="B7688" s="8" t="s">
        <v>11</v>
      </c>
      <c r="C7688" s="61" t="n">
        <f aca="false">-C7686</f>
        <v>-0</v>
      </c>
      <c r="D7688" s="61" t="n">
        <f aca="false">-D7686</f>
        <v>-0</v>
      </c>
      <c r="E7688" s="61" t="n">
        <f aca="false">-E7686</f>
        <v>-0</v>
      </c>
      <c r="F7688" s="61" t="n">
        <f aca="false">-F7686</f>
        <v>-0</v>
      </c>
      <c r="G7688" s="61" t="n">
        <f aca="false">-G7686</f>
        <v>-0</v>
      </c>
      <c r="H7688" s="2" t="s">
        <v>1398</v>
      </c>
    </row>
    <row r="7689" customFormat="false" ht="15" hidden="false" customHeight="false" outlineLevel="1" collapsed="false">
      <c r="A7689" s="56" t="s">
        <v>740</v>
      </c>
      <c r="B7689" s="57" t="s">
        <v>11</v>
      </c>
      <c r="C7689" s="62" t="n">
        <f aca="false">C7675+C7688</f>
        <v>-612682.91635274</v>
      </c>
      <c r="D7689" s="62" t="n">
        <f aca="false">D7675+D7688</f>
        <v>-723251.163869863</v>
      </c>
      <c r="E7689" s="62" t="n">
        <f aca="false">E7675+E7688</f>
        <v>-742682.903454623</v>
      </c>
      <c r="F7689" s="62" t="n">
        <f aca="false">F7675+F7688</f>
        <v>-686252.571077343</v>
      </c>
      <c r="G7689" s="62" t="n">
        <f aca="false">G7675+G7688</f>
        <v>-549656.809865846</v>
      </c>
      <c r="H7689" s="2" t="s">
        <v>1399</v>
      </c>
    </row>
    <row r="7690" customFormat="false" ht="15" hidden="false" customHeight="false" outlineLevel="0" collapsed="false">
      <c r="A7690" s="3" t="s">
        <v>1400</v>
      </c>
      <c r="B7690" s="4"/>
      <c r="C7690" s="4"/>
      <c r="D7690" s="4"/>
      <c r="E7690" s="4"/>
      <c r="F7690" s="4"/>
      <c r="G7690" s="4"/>
      <c r="H7690" s="4"/>
    </row>
    <row r="7691" customFormat="false" ht="15" hidden="false" customHeight="false" outlineLevel="1" collapsed="false">
      <c r="A7691" s="7" t="s">
        <v>744</v>
      </c>
      <c r="B7691" s="8" t="s">
        <v>11</v>
      </c>
      <c r="C7691" s="61" t="n">
        <f aca="false">C7463*1000*((C7481+C7484)*C7487/365)+C7464*1000*((C7504+C7507)*C7510/365)+C7466*1000*((C7527+C7530)*C7533/365)</f>
        <v>34293.698630137</v>
      </c>
      <c r="D7691" s="61" t="n">
        <f aca="false">D7463*1000*((D7481+D7484)*D7487/365)+D7464*1000*((D7504+D7507)*D7510/365)+D7466*1000*((D7527+D7530)*D7533/365)</f>
        <v>256442.465753425</v>
      </c>
      <c r="E7691" s="61" t="n">
        <f aca="false">E7463*1000*((E7481+E7484)*E7487/365)+E7464*1000*((E7504+E7507)*E7510/365)+E7466*1000*((E7527+E7530)*E7533/365)</f>
        <v>496886.301369863</v>
      </c>
      <c r="F7691" s="61" t="n">
        <f aca="false">F7463*1000*((F7481+F7484)*F7487/365)+F7464*1000*((F7504+F7507)*F7510/365)+F7466*1000*((F7527+F7530)*F7533/365)</f>
        <v>827687.671232877</v>
      </c>
      <c r="G7691" s="61" t="n">
        <f aca="false">G7463*1000*((G7481+G7484)*G7487/365)+G7464*1000*((G7504+G7507)*G7510/365)+G7466*1000*((G7527+G7530)*G7533/365)</f>
        <v>1205424.65753425</v>
      </c>
      <c r="H7691" s="2" t="s">
        <v>1401</v>
      </c>
    </row>
    <row r="7692" customFormat="false" ht="15" hidden="false" customHeight="false" outlineLevel="1" collapsed="false">
      <c r="A7692" s="7" t="s">
        <v>745</v>
      </c>
      <c r="B7692" s="8" t="s">
        <v>11</v>
      </c>
      <c r="C7692" s="61" t="n">
        <f aca="false">C7691+C7476*1000*Pressupostos!$C$92*Pressupostos!$C$95/365</f>
        <v>34293.698630137</v>
      </c>
      <c r="D7692" s="61" t="n">
        <f aca="false">D7691+D7476*1000*Pressupostos!$C$92*Pressupostos!$C$95/365</f>
        <v>256442.465753425</v>
      </c>
      <c r="E7692" s="61" t="n">
        <f aca="false">E7691+E7476*1000*Pressupostos!$C$92*Pressupostos!$C$95/365</f>
        <v>496886.301369863</v>
      </c>
      <c r="F7692" s="61" t="n">
        <f aca="false">F7691+F7476*1000*Pressupostos!$C$92*Pressupostos!$C$95/365</f>
        <v>844947.94520548</v>
      </c>
      <c r="G7692" s="61" t="n">
        <f aca="false">G7691+G7476*1000*Pressupostos!$C$92*Pressupostos!$C$95/365</f>
        <v>1248575.34246575</v>
      </c>
      <c r="H7692" s="2" t="s">
        <v>1402</v>
      </c>
    </row>
    <row r="7693" customFormat="false" ht="15" hidden="false" customHeight="false" outlineLevel="1" collapsed="false">
      <c r="A7693" s="7" t="s">
        <v>746</v>
      </c>
      <c r="B7693" s="8" t="s">
        <v>11</v>
      </c>
      <c r="C7693" s="61" t="n">
        <f aca="false">C7463*1000*(C7483*C7488/365)+C7464*1000*(C7506*C7511/365)+C7466*1000*(C7529*C7534/365)+C7558*Pressupostos!$C$96/365+(C7560+C7561)*Pressupostos!$C$82/365</f>
        <v>39130.498630137</v>
      </c>
      <c r="D7693" s="61" t="n">
        <f aca="false">D7463*1000*(D7483*D7488/365)+D7464*1000*(D7506*D7511/365)+D7466*1000*(D7529*D7534/365)+D7558*Pressupostos!$C$96/365+(D7560+D7561)*Pressupostos!$C$82/365</f>
        <v>484391.424657534</v>
      </c>
      <c r="E7693" s="61" t="n">
        <f aca="false">E7463*1000*(E7483*E7488/365)+E7464*1000*(E7506*E7511/365)+E7466*1000*(E7529*E7534/365)+E7558*Pressupostos!$C$96/365+(E7560+E7561)*Pressupostos!$C$82/365</f>
        <v>1198402.93150685</v>
      </c>
      <c r="F7693" s="61" t="n">
        <f aca="false">F7463*1000*(F7483*F7488/365)+F7464*1000*(F7506*F7511/365)+F7466*1000*(F7529*F7534/365)+F7558*Pressupostos!$C$96/365+(F7560+F7561)*Pressupostos!$C$82/365</f>
        <v>2005747.42465753</v>
      </c>
      <c r="G7693" s="61" t="n">
        <f aca="false">G7463*1000*(G7483*G7488/365)+G7464*1000*(G7506*G7511/365)+G7466*1000*(G7529*G7534/365)+G7558*Pressupostos!$C$96/365+(G7560+G7561)*Pressupostos!$C$82/365</f>
        <v>2914091.23287671</v>
      </c>
      <c r="H7693" s="2" t="s">
        <v>1403</v>
      </c>
    </row>
    <row r="7694" customFormat="false" ht="15" hidden="false" customHeight="false" outlineLevel="1" collapsed="false">
      <c r="A7694" s="7" t="s">
        <v>747</v>
      </c>
      <c r="B7694" s="8" t="s">
        <v>11</v>
      </c>
      <c r="C7694" s="61" t="n">
        <f aca="false">C7463*1000*((C7481+C7484)*Pressupostos!$C$72/365)+C7464*1000*((C7504+C7507)*Pressupostos!$C$72/365)+C7466*1000*((C7527+C7530)*Pressupostos!$C$72/365)+C7476*1000*Pressupostos!$C$92*Pressupostos!$C$97/365</f>
        <v>20140.2739726027</v>
      </c>
      <c r="D7694" s="61" t="n">
        <f aca="false">D7463*1000*((D7481+D7484)*Pressupostos!$C$72/365)+D7464*1000*((D7504+D7507)*Pressupostos!$C$72/365)+D7466*1000*((D7527+D7530)*Pressupostos!$C$72/365)+D7476*1000*Pressupostos!$C$92*Pressupostos!$C$97/365</f>
        <v>275284.931506849</v>
      </c>
      <c r="E7694" s="61" t="n">
        <f aca="false">E7463*1000*((E7481+E7484)*Pressupostos!$C$72/365)+E7464*1000*((E7504+E7507)*Pressupostos!$C$72/365)+E7466*1000*((E7527+E7530)*Pressupostos!$C$72/365)+E7476*1000*Pressupostos!$C$92*Pressupostos!$C$97/365</f>
        <v>698486.301369863</v>
      </c>
      <c r="F7694" s="61" t="n">
        <f aca="false">F7463*1000*((F7481+F7484)*Pressupostos!$C$72/365)+F7464*1000*((F7504+F7507)*Pressupostos!$C$72/365)+F7466*1000*((F7527+F7530)*Pressupostos!$C$72/365)+F7476*1000*Pressupostos!$C$92*Pressupostos!$C$97/365</f>
        <v>1174015.06849315</v>
      </c>
      <c r="G7694" s="61" t="n">
        <f aca="false">G7463*1000*((G7481+G7484)*Pressupostos!$C$72/365)+G7464*1000*((G7504+G7507)*Pressupostos!$C$72/365)+G7466*1000*((G7527+G7530)*Pressupostos!$C$72/365)+G7476*1000*Pressupostos!$C$92*Pressupostos!$C$97/365</f>
        <v>1702232.87671233</v>
      </c>
      <c r="H7694" s="2" t="s">
        <v>1404</v>
      </c>
    </row>
    <row r="7695" customFormat="false" ht="15" hidden="false" customHeight="false" outlineLevel="1" collapsed="false">
      <c r="A7695" s="56" t="s">
        <v>748</v>
      </c>
      <c r="B7695" s="57" t="s">
        <v>11</v>
      </c>
      <c r="C7695" s="62" t="n">
        <f aca="false">C7692+C7693-C7694</f>
        <v>53283.9232876712</v>
      </c>
      <c r="D7695" s="62" t="n">
        <f aca="false">D7692+D7693-D7694</f>
        <v>465548.958904109</v>
      </c>
      <c r="E7695" s="62" t="n">
        <f aca="false">E7692+E7693-E7694</f>
        <v>996802.931506849</v>
      </c>
      <c r="F7695" s="62" t="n">
        <f aca="false">F7692+F7693-F7694</f>
        <v>1676680.30136986</v>
      </c>
      <c r="G7695" s="62" t="n">
        <f aca="false">G7692+G7693-G7694</f>
        <v>2460433.69863014</v>
      </c>
      <c r="H7695" s="2" t="s">
        <v>1405</v>
      </c>
    </row>
    <row r="7696" customFormat="false" ht="15" hidden="false" customHeight="false" outlineLevel="0" collapsed="false">
      <c r="A7696" s="3" t="s">
        <v>1406</v>
      </c>
      <c r="B7696" s="4"/>
      <c r="C7696" s="4"/>
      <c r="D7696" s="4"/>
      <c r="E7696" s="4"/>
      <c r="F7696" s="4"/>
      <c r="G7696" s="4"/>
      <c r="H7696" s="4"/>
    </row>
    <row r="7697" customFormat="false" ht="15" hidden="false" customHeight="false" outlineLevel="1" collapsed="false">
      <c r="A7697" s="56" t="s">
        <v>750</v>
      </c>
      <c r="B7697" s="57" t="s">
        <v>11</v>
      </c>
      <c r="C7697" s="62" t="n">
        <f aca="false">Pressupostos!$C$284*C7695/Pressupostos!$F$31</f>
        <v>0</v>
      </c>
      <c r="D7697" s="62" t="n">
        <f aca="false">Pressupostos!$D$284*D7695/Pressupostos!$F$31</f>
        <v>436452.148972603</v>
      </c>
      <c r="E7697" s="62" t="n">
        <f aca="false">Pressupostos!$E$284*E7695/Pressupostos!$F$31</f>
        <v>934502.748287671</v>
      </c>
      <c r="F7697" s="62" t="n">
        <f aca="false">Pressupostos!$F$284*F7695/Pressupostos!$F$31</f>
        <v>1571887.78253425</v>
      </c>
      <c r="G7697" s="62" t="n">
        <f aca="false">Pressupostos!$G$284*G7695/Pressupostos!$F$31</f>
        <v>2306656.59246575</v>
      </c>
      <c r="H7697" s="2" t="s">
        <v>1407</v>
      </c>
    </row>
    <row r="7698" customFormat="false" ht="15" hidden="false" customHeight="false" outlineLevel="1" collapsed="false">
      <c r="A7698" s="7" t="s">
        <v>751</v>
      </c>
      <c r="B7698" s="8" t="s">
        <v>11</v>
      </c>
      <c r="C7698" s="61" t="n">
        <f aca="false">Pressupostos!$C$284*C7695</f>
        <v>0</v>
      </c>
      <c r="D7698" s="61" t="n">
        <f aca="false">Pressupostos!$D$284*D7695</f>
        <v>349161.719178082</v>
      </c>
      <c r="E7698" s="61" t="n">
        <f aca="false">Pressupostos!$E$284*E7695</f>
        <v>747602.198630137</v>
      </c>
      <c r="F7698" s="61" t="n">
        <f aca="false">Pressupostos!$F$284*F7695</f>
        <v>1257510.2260274</v>
      </c>
      <c r="G7698" s="61" t="n">
        <f aca="false">Pressupostos!$G$284*G7695</f>
        <v>1845325.2739726</v>
      </c>
      <c r="H7698" s="2" t="s">
        <v>1408</v>
      </c>
    </row>
    <row r="7699" customFormat="false" ht="15" hidden="false" customHeight="false" outlineLevel="1" collapsed="false">
      <c r="A7699" s="7" t="s">
        <v>752</v>
      </c>
      <c r="B7699" s="8" t="s">
        <v>11</v>
      </c>
      <c r="C7699" s="61" t="n">
        <f aca="false">C7697-C7698</f>
        <v>0</v>
      </c>
      <c r="D7699" s="61" t="n">
        <f aca="false">D7697-D7698</f>
        <v>87290.4297945205</v>
      </c>
      <c r="E7699" s="61" t="n">
        <f aca="false">E7697-E7698</f>
        <v>186900.549657534</v>
      </c>
      <c r="F7699" s="61" t="n">
        <f aca="false">F7697-F7698</f>
        <v>314377.556506849</v>
      </c>
      <c r="G7699" s="61" t="n">
        <f aca="false">G7697-G7698</f>
        <v>461331.31849315</v>
      </c>
      <c r="H7699" s="2" t="s">
        <v>1409</v>
      </c>
    </row>
    <row r="7700" customFormat="false" ht="15" hidden="false" customHeight="false" outlineLevel="1" collapsed="false">
      <c r="A7700" s="7" t="s">
        <v>753</v>
      </c>
      <c r="B7700" s="8" t="s">
        <v>11</v>
      </c>
      <c r="C7700" s="61" t="n">
        <f aca="false">C7695-C7698</f>
        <v>53283.9232876712</v>
      </c>
      <c r="D7700" s="61" t="n">
        <f aca="false">D7695-D7698</f>
        <v>116387.239726027</v>
      </c>
      <c r="E7700" s="61" t="n">
        <f aca="false">E7695-E7698</f>
        <v>249200.732876712</v>
      </c>
      <c r="F7700" s="61" t="n">
        <f aca="false">F7695-F7698</f>
        <v>419170.075342466</v>
      </c>
      <c r="G7700" s="61" t="n">
        <f aca="false">G7695-G7698</f>
        <v>615108.424657534</v>
      </c>
      <c r="H7700" s="2" t="s">
        <v>1410</v>
      </c>
    </row>
    <row r="7701" customFormat="false" ht="15" hidden="false" customHeight="false" outlineLevel="1" collapsed="false">
      <c r="A7701" s="7" t="s">
        <v>754</v>
      </c>
      <c r="B7701" s="8" t="s">
        <v>11</v>
      </c>
      <c r="C7701" s="61" t="n">
        <f aca="false">MAX(0,Pressupostos!$C$108-C7700)</f>
        <v>0</v>
      </c>
      <c r="D7701" s="61" t="n">
        <f aca="false">MAX(0,Pressupostos!$C$108-D7700)</f>
        <v>0</v>
      </c>
      <c r="E7701" s="61" t="n">
        <f aca="false">MAX(0,Pressupostos!$C$108-E7700)</f>
        <v>0</v>
      </c>
      <c r="F7701" s="61" t="n">
        <f aca="false">MAX(0,Pressupostos!$C$108-F7700)</f>
        <v>0</v>
      </c>
      <c r="G7701" s="61" t="n">
        <f aca="false">MAX(0,Pressupostos!$C$108-G7700)</f>
        <v>0</v>
      </c>
      <c r="H7701" s="2" t="s">
        <v>1411</v>
      </c>
    </row>
    <row r="7702" customFormat="false" ht="15" hidden="false" customHeight="false" outlineLevel="1" collapsed="false">
      <c r="A7702" s="7" t="s">
        <v>755</v>
      </c>
      <c r="B7702" s="8" t="s">
        <v>11</v>
      </c>
      <c r="C7702" s="61" t="n">
        <f aca="false">Pressupostos!$C$109*C7697</f>
        <v>0</v>
      </c>
      <c r="D7702" s="61" t="n">
        <f aca="false">Pressupostos!$C$109*D7697</f>
        <v>21822.6074486301</v>
      </c>
      <c r="E7702" s="61" t="n">
        <f aca="false">Pressupostos!$C$109*E7697</f>
        <v>46725.1374143836</v>
      </c>
      <c r="F7702" s="61" t="n">
        <f aca="false">Pressupostos!$C$109*F7697</f>
        <v>78594.3891267123</v>
      </c>
      <c r="G7702" s="61" t="n">
        <f aca="false">Pressupostos!$C$109*G7697</f>
        <v>115332.829623288</v>
      </c>
      <c r="H7702" s="2" t="s">
        <v>1412</v>
      </c>
    </row>
    <row r="7703" customFormat="false" ht="15" hidden="false" customHeight="false" outlineLevel="1" collapsed="false">
      <c r="A7703" s="2" t="s">
        <v>756</v>
      </c>
      <c r="B7703" s="8" t="s">
        <v>123</v>
      </c>
      <c r="C7703" s="61" t="n">
        <f aca="false">C7697/Pressupostos!$C$112</f>
        <v>0</v>
      </c>
      <c r="D7703" s="61" t="n">
        <f aca="false">D7697/Pressupostos!$C$112</f>
        <v>8.72904297945205</v>
      </c>
      <c r="E7703" s="61" t="n">
        <f aca="false">E7697/Pressupostos!$C$112</f>
        <v>18.6900549657534</v>
      </c>
      <c r="F7703" s="61" t="n">
        <f aca="false">F7697/Pressupostos!$C$112</f>
        <v>31.4377556506849</v>
      </c>
      <c r="G7703" s="61" t="n">
        <f aca="false">G7697/Pressupostos!$C$112</f>
        <v>46.1331318493151</v>
      </c>
      <c r="H7703" s="2" t="s">
        <v>1413</v>
      </c>
    </row>
    <row r="7704" customFormat="false" ht="15" hidden="false" customHeight="false" outlineLevel="0" collapsed="false">
      <c r="A7704" s="3" t="s">
        <v>1414</v>
      </c>
      <c r="B7704" s="4"/>
      <c r="C7704" s="4"/>
      <c r="D7704" s="4"/>
      <c r="E7704" s="4"/>
      <c r="F7704" s="4"/>
      <c r="G7704" s="4"/>
      <c r="H7704" s="4"/>
    </row>
    <row r="7705" customFormat="false" ht="15" hidden="false" customHeight="false" outlineLevel="1" collapsed="false">
      <c r="A7705" s="7" t="s">
        <v>758</v>
      </c>
      <c r="B7705" s="8" t="s">
        <v>11</v>
      </c>
      <c r="C7705" s="61" t="n">
        <f aca="false">C7671</f>
        <v>-586332.91635274</v>
      </c>
      <c r="D7705" s="61" t="n">
        <f aca="false">D7671</f>
        <v>-683501.163869863</v>
      </c>
      <c r="E7705" s="61" t="n">
        <f aca="false">E7671</f>
        <v>-690032.903454623</v>
      </c>
      <c r="F7705" s="61" t="n">
        <f aca="false">F7671</f>
        <v>-643285.904410676</v>
      </c>
      <c r="G7705" s="61" t="n">
        <f aca="false">G7671</f>
        <v>-509873.476532512</v>
      </c>
      <c r="H7705" s="2" t="s">
        <v>1415</v>
      </c>
    </row>
    <row r="7706" customFormat="false" ht="15" hidden="false" customHeight="false" outlineLevel="1" collapsed="false">
      <c r="A7706" s="7" t="s">
        <v>759</v>
      </c>
      <c r="B7706" s="8" t="s">
        <v>11</v>
      </c>
      <c r="C7706" s="61" t="n">
        <f aca="false">-C7686</f>
        <v>-0</v>
      </c>
      <c r="D7706" s="61" t="n">
        <f aca="false">-D7686</f>
        <v>-0</v>
      </c>
      <c r="E7706" s="61" t="n">
        <f aca="false">-E7686</f>
        <v>-0</v>
      </c>
      <c r="F7706" s="61" t="n">
        <f aca="false">-F7686</f>
        <v>-0</v>
      </c>
      <c r="G7706" s="61" t="n">
        <f aca="false">-G7686</f>
        <v>-0</v>
      </c>
      <c r="H7706" s="2" t="s">
        <v>1416</v>
      </c>
    </row>
    <row r="7707" customFormat="false" ht="15" hidden="false" customHeight="false" outlineLevel="1" collapsed="false">
      <c r="A7707" s="7" t="s">
        <v>760</v>
      </c>
      <c r="B7707" s="8" t="s">
        <v>11</v>
      </c>
      <c r="C7707" s="61" t="n">
        <f aca="false">-C7695</f>
        <v>-53283.9232876712</v>
      </c>
      <c r="D7707" s="61" t="n">
        <f aca="false">-(D7695-C7695)</f>
        <v>-412265.035616438</v>
      </c>
      <c r="E7707" s="61" t="n">
        <f aca="false">-(E7695-D7695)</f>
        <v>-531253.97260274</v>
      </c>
      <c r="F7707" s="61" t="n">
        <f aca="false">-(F7695-E7695)</f>
        <v>-679877.369863014</v>
      </c>
      <c r="G7707" s="61" t="n">
        <f aca="false">-(G7695-F7695)</f>
        <v>-783753.397260273</v>
      </c>
      <c r="H7707" s="2" t="s">
        <v>1417</v>
      </c>
    </row>
    <row r="7708" customFormat="false" ht="15" hidden="false" customHeight="false" outlineLevel="1" collapsed="false">
      <c r="A7708" s="7" t="s">
        <v>424</v>
      </c>
      <c r="B7708" s="8" t="s">
        <v>11</v>
      </c>
      <c r="C7708" s="61" t="n">
        <f aca="false">-C7655</f>
        <v>-89000</v>
      </c>
      <c r="D7708" s="61" t="n">
        <f aca="false">-D7655</f>
        <v>-46000</v>
      </c>
      <c r="E7708" s="61" t="n">
        <f aca="false">-E7655</f>
        <v>-44000</v>
      </c>
      <c r="F7708" s="61" t="n">
        <f aca="false">-F7655</f>
        <v>-37000</v>
      </c>
      <c r="G7708" s="61" t="n">
        <f aca="false">-G7655</f>
        <v>-34000</v>
      </c>
      <c r="H7708" s="2" t="s">
        <v>1418</v>
      </c>
    </row>
    <row r="7709" customFormat="false" ht="15" hidden="false" customHeight="false" outlineLevel="1" collapsed="false">
      <c r="A7709" s="7" t="s">
        <v>761</v>
      </c>
      <c r="B7709" s="8" t="s">
        <v>11</v>
      </c>
      <c r="C7709" s="61" t="n">
        <f aca="false">C7705+C7706+C7707+C7708</f>
        <v>-728616.839640411</v>
      </c>
      <c r="D7709" s="61" t="n">
        <f aca="false">D7705+D7706+D7707+D7708</f>
        <v>-1141766.1994863</v>
      </c>
      <c r="E7709" s="61" t="n">
        <f aca="false">E7705+E7706+E7707+E7708</f>
        <v>-1265286.87605736</v>
      </c>
      <c r="F7709" s="61" t="n">
        <f aca="false">F7705+F7706+F7707+F7708</f>
        <v>-1360163.27427369</v>
      </c>
      <c r="G7709" s="61" t="n">
        <f aca="false">G7705+G7706+G7707+G7708</f>
        <v>-1327626.87379279</v>
      </c>
      <c r="H7709" s="2" t="s">
        <v>1419</v>
      </c>
    </row>
    <row r="7710" customFormat="false" ht="15" hidden="false" customHeight="false" outlineLevel="1" collapsed="false">
      <c r="A7710" s="7" t="s">
        <v>762</v>
      </c>
      <c r="B7710" s="8" t="s">
        <v>11</v>
      </c>
      <c r="C7710" s="61" t="n">
        <f aca="false">C7697</f>
        <v>0</v>
      </c>
      <c r="D7710" s="61" t="n">
        <f aca="false">D7697-C7697</f>
        <v>436452.148972603</v>
      </c>
      <c r="E7710" s="61" t="n">
        <f aca="false">E7697-D7697</f>
        <v>498050.599315068</v>
      </c>
      <c r="F7710" s="61" t="n">
        <f aca="false">F7697-E7697</f>
        <v>637385.034246576</v>
      </c>
      <c r="G7710" s="61" t="n">
        <f aca="false">G7697-F7697</f>
        <v>734768.809931506</v>
      </c>
      <c r="H7710" s="2" t="s">
        <v>1420</v>
      </c>
    </row>
    <row r="7711" customFormat="false" ht="15" hidden="false" customHeight="false" outlineLevel="1" collapsed="false">
      <c r="A7711" s="7" t="s">
        <v>763</v>
      </c>
      <c r="B7711" s="8" t="s">
        <v>11</v>
      </c>
      <c r="C7711" s="61" t="n">
        <f aca="false">-C7699</f>
        <v>-0</v>
      </c>
      <c r="D7711" s="61" t="n">
        <f aca="false">-(D7699-C7699)</f>
        <v>-87290.4297945205</v>
      </c>
      <c r="E7711" s="61" t="n">
        <f aca="false">-(E7699-D7699)</f>
        <v>-99610.1198630136</v>
      </c>
      <c r="F7711" s="61" t="n">
        <f aca="false">-(F7699-E7699)</f>
        <v>-127477.006849315</v>
      </c>
      <c r="G7711" s="61" t="n">
        <f aca="false">-(G7699-F7699)</f>
        <v>-146953.761986301</v>
      </c>
      <c r="H7711" s="2" t="s">
        <v>1421</v>
      </c>
    </row>
    <row r="7712" customFormat="false" ht="15" hidden="false" customHeight="false" outlineLevel="1" collapsed="false">
      <c r="A7712" s="7" t="s">
        <v>764</v>
      </c>
      <c r="B7712" s="8" t="s">
        <v>11</v>
      </c>
      <c r="C7712" s="61" t="n">
        <f aca="false">-C7702</f>
        <v>-0</v>
      </c>
      <c r="D7712" s="61" t="n">
        <f aca="false">-(D7702-C7702)</f>
        <v>-21822.6074486301</v>
      </c>
      <c r="E7712" s="61" t="n">
        <f aca="false">-(E7702-D7702)</f>
        <v>-24902.5299657534</v>
      </c>
      <c r="F7712" s="61" t="n">
        <f aca="false">-(F7702-E7702)</f>
        <v>-31869.2517123288</v>
      </c>
      <c r="G7712" s="61" t="n">
        <f aca="false">-(G7702-F7702)</f>
        <v>-36738.4404965753</v>
      </c>
      <c r="H7712" s="2" t="s">
        <v>1422</v>
      </c>
    </row>
    <row r="7713" customFormat="false" ht="15" hidden="false" customHeight="false" outlineLevel="1" collapsed="false">
      <c r="A7713" s="7" t="s">
        <v>765</v>
      </c>
      <c r="B7713" s="8" t="s">
        <v>11</v>
      </c>
      <c r="C7713" s="61" t="n">
        <f aca="false">-(C7701-Pressupostos!$C$108)</f>
        <v>50000</v>
      </c>
      <c r="D7713" s="61" t="n">
        <f aca="false">-(D7701-C7701)</f>
        <v>-0</v>
      </c>
      <c r="E7713" s="61" t="n">
        <f aca="false">-(E7701-D7701)</f>
        <v>-0</v>
      </c>
      <c r="F7713" s="61" t="n">
        <f aca="false">-(F7701-E7701)</f>
        <v>-0</v>
      </c>
      <c r="G7713" s="61" t="n">
        <f aca="false">-(G7701-F7701)</f>
        <v>-0</v>
      </c>
      <c r="H7713" s="2" t="s">
        <v>1423</v>
      </c>
    </row>
    <row r="7714" customFormat="false" ht="15" hidden="false" customHeight="false" outlineLevel="1" collapsed="false">
      <c r="A7714" s="56" t="s">
        <v>766</v>
      </c>
      <c r="B7714" s="57" t="s">
        <v>11</v>
      </c>
      <c r="C7714" s="62" t="n">
        <f aca="false">C7709+C7710+C7711+C7712+C7713</f>
        <v>-678616.839640411</v>
      </c>
      <c r="D7714" s="62" t="n">
        <f aca="false">D7709+D7710+D7711+D7712+D7713</f>
        <v>-814427.087756849</v>
      </c>
      <c r="E7714" s="62" t="n">
        <f aca="false">E7709+E7710+E7711+E7712+E7713</f>
        <v>-891748.926571061</v>
      </c>
      <c r="F7714" s="62" t="n">
        <f aca="false">F7709+F7710+F7711+F7712+F7713</f>
        <v>-882124.498588758</v>
      </c>
      <c r="G7714" s="62" t="n">
        <f aca="false">G7709+G7710+G7711+G7712+G7713</f>
        <v>-776550.266344156</v>
      </c>
      <c r="H7714" s="2" t="s">
        <v>1424</v>
      </c>
    </row>
    <row r="7715" customFormat="false" ht="15" hidden="false" customHeight="false" outlineLevel="1" collapsed="false">
      <c r="A7715" s="56" t="s">
        <v>767</v>
      </c>
      <c r="B7715" s="57" t="s">
        <v>11</v>
      </c>
      <c r="C7715" s="62" t="n">
        <f aca="false">C7714</f>
        <v>-678616.839640411</v>
      </c>
      <c r="D7715" s="62" t="n">
        <f aca="false">C7715+D7714</f>
        <v>-1493043.92739726</v>
      </c>
      <c r="E7715" s="62" t="n">
        <f aca="false">D7715+E7714</f>
        <v>-2384792.85396832</v>
      </c>
      <c r="F7715" s="62" t="n">
        <f aca="false">E7715+F7714</f>
        <v>-3266917.35255708</v>
      </c>
      <c r="G7715" s="62" t="n">
        <f aca="false">F7715+G7714</f>
        <v>-4043467.61890124</v>
      </c>
      <c r="H7715" s="2" t="s">
        <v>1425</v>
      </c>
    </row>
    <row r="7716" customFormat="false" ht="15" hidden="false" customHeight="false" outlineLevel="1" collapsed="false">
      <c r="A7716" s="8" t="s">
        <v>768</v>
      </c>
      <c r="B7716" s="8" t="s">
        <v>11</v>
      </c>
      <c r="C7716" s="70" t="n">
        <f aca="false">ROUND(C7671-C7655-C7686-(MAX(C7700,Pressupostos!$C$108)-Pressupostos!$C$108)-(C7702)-C7714,6)</f>
        <v>0</v>
      </c>
      <c r="D7716" s="70" t="n">
        <f aca="false">ROUND(D7671-D7655-D7686-(MAX(D7700,Pressupostos!$C$108)-MAX(C7700,Pressupostos!$C$108))-(D7702-C7702)-D7714,6)</f>
        <v>0</v>
      </c>
      <c r="E7716" s="70" t="n">
        <f aca="false">ROUND(E7671-E7655-E7686-(MAX(E7700,Pressupostos!$C$108)-MAX(D7700,Pressupostos!$C$108))-(E7702-D7702)-E7714,6)</f>
        <v>0</v>
      </c>
      <c r="F7716" s="70" t="n">
        <f aca="false">ROUND(F7671-F7655-F7686-(MAX(F7700,Pressupostos!$C$108)-MAX(E7700,Pressupostos!$C$108))-(F7702-E7702)-F7714,6)</f>
        <v>0</v>
      </c>
      <c r="G7716" s="70" t="n">
        <f aca="false">ROUND(G7671-G7655-G7686-(MAX(G7700,Pressupostos!$C$108)-MAX(F7700,Pressupostos!$C$108))-(G7702-F7702)-G7714,6)</f>
        <v>0</v>
      </c>
      <c r="H7716" s="2" t="s">
        <v>1426</v>
      </c>
    </row>
    <row r="7717" customFormat="false" ht="15" hidden="false" customHeight="false" outlineLevel="0" collapsed="false">
      <c r="A7717" s="3" t="s">
        <v>1427</v>
      </c>
      <c r="B7717" s="4"/>
      <c r="C7717" s="4"/>
      <c r="D7717" s="4"/>
      <c r="E7717" s="4"/>
      <c r="F7717" s="4"/>
      <c r="G7717" s="4"/>
      <c r="H7717" s="4"/>
    </row>
    <row r="7718" customFormat="false" ht="15" hidden="false" customHeight="false" outlineLevel="1" collapsed="false">
      <c r="A7718" s="7" t="s">
        <v>770</v>
      </c>
      <c r="B7718" s="8" t="s">
        <v>11</v>
      </c>
      <c r="C7718" s="61" t="n">
        <f aca="false">0</f>
        <v>0</v>
      </c>
      <c r="D7718" s="61" t="n">
        <f aca="false">C7723</f>
        <v>276383.160359589</v>
      </c>
      <c r="E7718" s="61" t="n">
        <f aca="false">D7723</f>
        <v>150000</v>
      </c>
      <c r="F7718" s="61" t="n">
        <f aca="false">E7723</f>
        <v>150000</v>
      </c>
      <c r="G7718" s="61" t="n">
        <f aca="false">F7723</f>
        <v>150000</v>
      </c>
      <c r="H7718" s="2" t="s">
        <v>1428</v>
      </c>
    </row>
    <row r="7719" customFormat="false" ht="15" hidden="false" customHeight="false" outlineLevel="1" collapsed="false">
      <c r="A7719" s="7" t="s">
        <v>771</v>
      </c>
      <c r="B7719" s="8" t="s">
        <v>11</v>
      </c>
      <c r="C7719" s="61" t="n">
        <f aca="false">-(Pressupostos!$C$159+Pressupostos!$C$160+Pressupostos!$C$161+Pressupostos!$C$162+Pressupostos!$C$163+Pressupostos!$C$108)</f>
        <v>-145000</v>
      </c>
      <c r="D7719" s="61" t="n">
        <f aca="false">0</f>
        <v>0</v>
      </c>
      <c r="E7719" s="61" t="n">
        <f aca="false">0</f>
        <v>0</v>
      </c>
      <c r="F7719" s="61" t="n">
        <f aca="false">0</f>
        <v>0</v>
      </c>
      <c r="G7719" s="61" t="n">
        <f aca="false">0</f>
        <v>0</v>
      </c>
      <c r="H7719" s="2" t="s">
        <v>1429</v>
      </c>
    </row>
    <row r="7720" customFormat="false" ht="15" hidden="false" customHeight="false" outlineLevel="1" collapsed="false">
      <c r="A7720" s="7" t="s">
        <v>772</v>
      </c>
      <c r="B7720" s="8" t="s">
        <v>11</v>
      </c>
      <c r="C7720" s="53" t="n">
        <f aca="false">Pressupostos!$F$32</f>
        <v>1100000</v>
      </c>
      <c r="D7720" s="61" t="n">
        <f aca="false">0</f>
        <v>0</v>
      </c>
      <c r="E7720" s="61" t="n">
        <f aca="false">0</f>
        <v>0</v>
      </c>
      <c r="F7720" s="61" t="n">
        <f aca="false">0</f>
        <v>0</v>
      </c>
      <c r="G7720" s="61" t="n">
        <f aca="false">0</f>
        <v>0</v>
      </c>
      <c r="H7720" s="2" t="s">
        <v>1430</v>
      </c>
    </row>
    <row r="7721" customFormat="false" ht="15" hidden="false" customHeight="false" outlineLevel="1" collapsed="false">
      <c r="A7721" s="7" t="s">
        <v>773</v>
      </c>
      <c r="B7721" s="8" t="s">
        <v>11</v>
      </c>
      <c r="C7721" s="61" t="n">
        <f aca="false">C7718+C7719+C7720+C7714</f>
        <v>276383.160359589</v>
      </c>
      <c r="D7721" s="61" t="n">
        <f aca="false">D7718+D7719+D7720+D7714</f>
        <v>-538043.92739726</v>
      </c>
      <c r="E7721" s="61" t="n">
        <f aca="false">E7718+E7719+E7720+E7714</f>
        <v>-741748.926571061</v>
      </c>
      <c r="F7721" s="61" t="n">
        <f aca="false">F7718+F7719+F7720+F7714</f>
        <v>-732124.498588758</v>
      </c>
      <c r="G7721" s="61" t="n">
        <f aca="false">G7718+G7719+G7720+G7714</f>
        <v>-626550.266344156</v>
      </c>
      <c r="H7721" s="2" t="s">
        <v>1431</v>
      </c>
    </row>
    <row r="7722" customFormat="false" ht="15" hidden="false" customHeight="false" outlineLevel="1" collapsed="false">
      <c r="A7722" s="56" t="s">
        <v>774</v>
      </c>
      <c r="B7722" s="57" t="s">
        <v>11</v>
      </c>
      <c r="C7722" s="62" t="n">
        <f aca="false">MAX(0,Pressupostos!$C$170-C7721)</f>
        <v>0</v>
      </c>
      <c r="D7722" s="62" t="n">
        <f aca="false">MAX(0,Pressupostos!$C$170-D7721)</f>
        <v>688043.92739726</v>
      </c>
      <c r="E7722" s="62" t="n">
        <f aca="false">MAX(0,Pressupostos!$C$170-E7721)</f>
        <v>891748.926571061</v>
      </c>
      <c r="F7722" s="62" t="n">
        <f aca="false">MAX(0,Pressupostos!$C$170-F7721)</f>
        <v>882124.498588758</v>
      </c>
      <c r="G7722" s="62" t="n">
        <f aca="false">MAX(0,Pressupostos!$C$170-G7721)</f>
        <v>776550.266344156</v>
      </c>
      <c r="H7722" s="2" t="s">
        <v>1432</v>
      </c>
    </row>
    <row r="7723" customFormat="false" ht="15" hidden="false" customHeight="false" outlineLevel="1" collapsed="false">
      <c r="A7723" s="56" t="s">
        <v>775</v>
      </c>
      <c r="B7723" s="57" t="s">
        <v>11</v>
      </c>
      <c r="C7723" s="62" t="n">
        <f aca="false">C7721+C7722</f>
        <v>276383.160359589</v>
      </c>
      <c r="D7723" s="62" t="n">
        <f aca="false">D7721+D7722</f>
        <v>150000</v>
      </c>
      <c r="E7723" s="62" t="n">
        <f aca="false">E7721+E7722</f>
        <v>150000</v>
      </c>
      <c r="F7723" s="62" t="n">
        <f aca="false">F7721+F7722</f>
        <v>150000</v>
      </c>
      <c r="G7723" s="62" t="n">
        <f aca="false">G7721+G7722</f>
        <v>150000</v>
      </c>
      <c r="H7723" s="2" t="s">
        <v>1433</v>
      </c>
    </row>
    <row r="7724" customFormat="false" ht="15" hidden="false" customHeight="false" outlineLevel="1" collapsed="false">
      <c r="A7724" s="7" t="s">
        <v>776</v>
      </c>
      <c r="B7724" s="8" t="s">
        <v>11</v>
      </c>
      <c r="C7724" s="61" t="n">
        <f aca="false">C7699+C7702+C7701</f>
        <v>0</v>
      </c>
      <c r="D7724" s="61" t="n">
        <f aca="false">D7699+D7702+D7701</f>
        <v>109113.037243151</v>
      </c>
      <c r="E7724" s="61" t="n">
        <f aca="false">E7699+E7702+E7701</f>
        <v>233625.687071918</v>
      </c>
      <c r="F7724" s="61" t="n">
        <f aca="false">F7699+F7702+F7701</f>
        <v>392971.945633562</v>
      </c>
      <c r="G7724" s="61" t="n">
        <f aca="false">G7699+G7702+G7701</f>
        <v>576664.148116438</v>
      </c>
      <c r="H7724" s="2" t="s">
        <v>1434</v>
      </c>
    </row>
    <row r="7725" customFormat="false" ht="15" hidden="false" customHeight="false" outlineLevel="1" collapsed="false">
      <c r="A7725" s="7" t="s">
        <v>777</v>
      </c>
      <c r="B7725" s="8" t="s">
        <v>11</v>
      </c>
      <c r="C7725" s="61" t="n">
        <f aca="false">C7723+C7724</f>
        <v>276383.160359589</v>
      </c>
      <c r="D7725" s="61" t="n">
        <f aca="false">D7723+D7724</f>
        <v>259113.037243151</v>
      </c>
      <c r="E7725" s="61" t="n">
        <f aca="false">E7723+E7724</f>
        <v>383625.687071918</v>
      </c>
      <c r="F7725" s="61" t="n">
        <f aca="false">F7723+F7724</f>
        <v>542971.945633562</v>
      </c>
      <c r="G7725" s="61" t="n">
        <f aca="false">G7723+G7724</f>
        <v>726664.148116438</v>
      </c>
      <c r="H7725" s="2" t="s">
        <v>1435</v>
      </c>
    </row>
    <row r="7726" customFormat="false" ht="15" hidden="false" customHeight="false" outlineLevel="1" collapsed="false">
      <c r="A7726" s="7" t="s">
        <v>778</v>
      </c>
      <c r="B7726" s="8" t="s">
        <v>11</v>
      </c>
      <c r="C7726" s="61" t="n">
        <f aca="false">C7720+C7722</f>
        <v>1100000</v>
      </c>
      <c r="D7726" s="61" t="n">
        <f aca="false">C7726+D7720+D7722</f>
        <v>1788043.92739726</v>
      </c>
      <c r="E7726" s="61" t="n">
        <f aca="false">D7726+E7720+E7722</f>
        <v>2679792.85396832</v>
      </c>
      <c r="F7726" s="61" t="n">
        <f aca="false">E7726+F7720+F7722</f>
        <v>3561917.35255708</v>
      </c>
      <c r="G7726" s="61" t="n">
        <f aca="false">F7726+G7720+G7722</f>
        <v>4338467.61890124</v>
      </c>
      <c r="H7726" s="2" t="s">
        <v>1436</v>
      </c>
    </row>
    <row r="7727" customFormat="false" ht="15" hidden="false" customHeight="false" outlineLevel="0" collapsed="false">
      <c r="A7727" s="3" t="s">
        <v>1437</v>
      </c>
      <c r="B7727" s="4"/>
      <c r="C7727" s="4"/>
      <c r="D7727" s="4"/>
      <c r="E7727" s="4"/>
      <c r="F7727" s="4"/>
      <c r="G7727" s="4"/>
      <c r="H7727" s="4"/>
    </row>
    <row r="7728" customFormat="false" ht="15" hidden="false" customHeight="false" outlineLevel="1" collapsed="false">
      <c r="A7728" s="7" t="s">
        <v>782</v>
      </c>
      <c r="B7728" s="8" t="s">
        <v>11</v>
      </c>
      <c r="C7728" s="72" t="n">
        <f aca="false">Pressupostos!$C$159+Pressupostos!$C$160+Pressupostos!$C$161+Pressupostos!$C$162+Pressupostos!$C$163</f>
        <v>95000</v>
      </c>
      <c r="H7728" s="2" t="s">
        <v>1438</v>
      </c>
    </row>
    <row r="7729" customFormat="false" ht="15" hidden="false" customHeight="false" outlineLevel="1" collapsed="false">
      <c r="A7729" s="7" t="s">
        <v>783</v>
      </c>
      <c r="B7729" s="8" t="s">
        <v>11</v>
      </c>
      <c r="C7729" s="73" t="n">
        <f aca="false">Pressupostos!$C$108</f>
        <v>50000</v>
      </c>
      <c r="H7729" s="2" t="s">
        <v>1439</v>
      </c>
    </row>
    <row r="7730" customFormat="false" ht="15" hidden="false" customHeight="false" outlineLevel="1" collapsed="false">
      <c r="A7730" s="7" t="s">
        <v>322</v>
      </c>
      <c r="B7730" s="8" t="s">
        <v>11</v>
      </c>
      <c r="C7730" s="73" t="n">
        <f aca="false">Pressupostos!$C$170</f>
        <v>150000</v>
      </c>
      <c r="H7730" s="2" t="s">
        <v>1440</v>
      </c>
    </row>
    <row r="7731" customFormat="false" ht="15" hidden="false" customHeight="false" outlineLevel="1" collapsed="false">
      <c r="A7731" s="7" t="s">
        <v>784</v>
      </c>
      <c r="B7731" s="8" t="s">
        <v>11</v>
      </c>
      <c r="C7731" s="72" t="n">
        <f aca="false">MAX(0,-MIN($C$7715:$G$7715))</f>
        <v>4043467.61890124</v>
      </c>
      <c r="H7731" s="2" t="s">
        <v>1441</v>
      </c>
    </row>
    <row r="7732" customFormat="false" ht="15" hidden="false" customHeight="false" outlineLevel="1" collapsed="false">
      <c r="A7732" s="56" t="s">
        <v>785</v>
      </c>
      <c r="B7732" s="57" t="s">
        <v>11</v>
      </c>
      <c r="C7732" s="74" t="n">
        <f aca="false">C7728+C7729+C7730+C7731</f>
        <v>4338467.61890124</v>
      </c>
      <c r="H7732" s="2" t="s">
        <v>1442</v>
      </c>
    </row>
    <row r="7733" customFormat="false" ht="15" hidden="false" customHeight="false" outlineLevel="1" collapsed="false">
      <c r="A7733" s="7" t="s">
        <v>786</v>
      </c>
      <c r="B7733" s="8" t="s">
        <v>20</v>
      </c>
      <c r="C7733" s="75" t="n">
        <f aca="false">INDEX($C$7460:$G$7460,1,MATCH(MIN($C$7715:$G$7715),$C$7715:$G$7715,0))</f>
        <v>2031</v>
      </c>
      <c r="H7733" s="2" t="s">
        <v>1443</v>
      </c>
    </row>
    <row r="7734" customFormat="false" ht="15" hidden="false" customHeight="false" outlineLevel="1" collapsed="false">
      <c r="A7734" s="7" t="s">
        <v>787</v>
      </c>
      <c r="B7734" s="8"/>
      <c r="C7734" s="76" t="str">
        <f aca="false">IF(G7714&lt;0,"sim","não")</f>
        <v>sim</v>
      </c>
      <c r="H7734" s="2" t="s">
        <v>1444</v>
      </c>
    </row>
    <row r="7735" customFormat="false" ht="15" hidden="false" customHeight="false" outlineLevel="1" collapsed="false">
      <c r="A7735" s="7" t="s">
        <v>788</v>
      </c>
      <c r="B7735" s="8" t="s">
        <v>11</v>
      </c>
      <c r="C7735" s="72" t="n">
        <f aca="false">G7726</f>
        <v>4338467.61890124</v>
      </c>
      <c r="H7735" s="2" t="s">
        <v>1445</v>
      </c>
    </row>
    <row r="7736" customFormat="false" ht="15" hidden="false" customHeight="false" outlineLevel="0" collapsed="false">
      <c r="A7736" s="3" t="s">
        <v>1446</v>
      </c>
      <c r="B7736" s="4"/>
      <c r="C7736" s="4"/>
      <c r="D7736" s="4"/>
      <c r="E7736" s="4"/>
      <c r="F7736" s="4"/>
      <c r="G7736" s="4"/>
      <c r="H7736" s="4"/>
    </row>
    <row r="7737" customFormat="false" ht="15" hidden="false" customHeight="false" outlineLevel="1" collapsed="false">
      <c r="A7737" s="7" t="s">
        <v>790</v>
      </c>
      <c r="B7737" s="8" t="s">
        <v>11</v>
      </c>
      <c r="C7737" s="72" t="n">
        <f aca="false">C7728+C7729</f>
        <v>145000</v>
      </c>
      <c r="H7737" s="2" t="s">
        <v>1447</v>
      </c>
    </row>
    <row r="7738" customFormat="false" ht="15" hidden="false" customHeight="false" outlineLevel="1" collapsed="false">
      <c r="A7738" s="7" t="s">
        <v>791</v>
      </c>
      <c r="B7738" s="8" t="s">
        <v>11</v>
      </c>
      <c r="C7738" s="72" t="n">
        <f aca="false">-SUMPRODUCT(($C$7460:$G$7460&lt;=C7733)*$C$7671:$G$7671)</f>
        <v>3113026.36462041</v>
      </c>
      <c r="H7738" s="2" t="s">
        <v>1448</v>
      </c>
    </row>
    <row r="7739" customFormat="false" ht="15" hidden="false" customHeight="false" outlineLevel="1" collapsed="false">
      <c r="A7739" s="7" t="s">
        <v>424</v>
      </c>
      <c r="B7739" s="8" t="s">
        <v>11</v>
      </c>
      <c r="C7739" s="72" t="n">
        <f aca="false">SUMPRODUCT(($C$7460:$G$7460&lt;=C7733)*$C$7655:$G$7655)</f>
        <v>250000</v>
      </c>
      <c r="H7739" s="2" t="s">
        <v>1449</v>
      </c>
    </row>
    <row r="7740" customFormat="false" ht="15" hidden="false" customHeight="false" outlineLevel="1" collapsed="false">
      <c r="A7740" s="7" t="s">
        <v>792</v>
      </c>
      <c r="B7740" s="8" t="s">
        <v>11</v>
      </c>
      <c r="C7740" s="72" t="n">
        <f aca="false">SUMPRODUCT(($C$7460:$G$7460&lt;=C7733)*$C$7686:$G$7686)</f>
        <v>0</v>
      </c>
      <c r="H7740" s="2" t="s">
        <v>1450</v>
      </c>
    </row>
    <row r="7741" customFormat="false" ht="15" hidden="false" customHeight="false" outlineLevel="1" collapsed="false">
      <c r="A7741" s="7" t="s">
        <v>793</v>
      </c>
      <c r="B7741" s="8" t="s">
        <v>11</v>
      </c>
      <c r="C7741" s="72" t="n">
        <f aca="false">C7731-C7738-C7739-C7740</f>
        <v>680441.254280821</v>
      </c>
      <c r="H7741" s="2" t="s">
        <v>1451</v>
      </c>
    </row>
    <row r="7742" customFormat="false" ht="15" hidden="false" customHeight="false" outlineLevel="1" collapsed="false">
      <c r="A7742" s="7" t="s">
        <v>322</v>
      </c>
      <c r="B7742" s="8" t="s">
        <v>11</v>
      </c>
      <c r="C7742" s="72" t="n">
        <f aca="false">C7730</f>
        <v>150000</v>
      </c>
      <c r="H7742" s="2" t="s">
        <v>1452</v>
      </c>
    </row>
    <row r="7743" customFormat="false" ht="15" hidden="false" customHeight="false" outlineLevel="1" collapsed="false">
      <c r="A7743" s="56" t="s">
        <v>794</v>
      </c>
      <c r="B7743" s="57" t="s">
        <v>11</v>
      </c>
      <c r="C7743" s="74" t="n">
        <f aca="false">C7737+C7738+C7739+C7740+C7741+C7742</f>
        <v>4338467.61890124</v>
      </c>
      <c r="H7743" s="2" t="s">
        <v>1453</v>
      </c>
    </row>
    <row r="7744" customFormat="false" ht="15" hidden="false" customHeight="false" outlineLevel="0" collapsed="false">
      <c r="A7744" s="3" t="s">
        <v>1454</v>
      </c>
      <c r="B7744" s="4"/>
      <c r="C7744" s="4"/>
      <c r="D7744" s="4"/>
      <c r="E7744" s="4"/>
      <c r="F7744" s="4"/>
      <c r="G7744" s="4"/>
      <c r="H7744" s="4"/>
    </row>
    <row r="7745" customFormat="false" ht="15" hidden="false" customHeight="false" outlineLevel="1" collapsed="false">
      <c r="A7745" s="7" t="s">
        <v>772</v>
      </c>
      <c r="B7745" s="8" t="s">
        <v>11</v>
      </c>
      <c r="C7745" s="73" t="n">
        <f aca="false">Pressupostos!$F$32</f>
        <v>1100000</v>
      </c>
      <c r="H7745" s="2" t="s">
        <v>1455</v>
      </c>
    </row>
    <row r="7746" customFormat="false" ht="15" hidden="false" customHeight="false" outlineLevel="1" collapsed="false">
      <c r="A7746" s="7" t="s">
        <v>796</v>
      </c>
      <c r="B7746" s="8" t="s">
        <v>11</v>
      </c>
      <c r="C7746" s="72" t="n">
        <f aca="false">C7728+Pressupostos!$C$108+Pressupostos!$C$130/12*((C7630-C7618-C7619+(C7618+C7619)/Pressupostos!$C$128*Pressupostos!$C$129)*(1+Pressupostos!$C$124+Pressupostos!$C$125)+C7616*Pressupostos!$C$126+C7649)+C7655+MAX(0,Pressupostos!$C$183*1000*(C7481+C7484)+Pressupostos!$C$184*1000*(C7504+C7507)-Pressupostos!$C$108)</f>
        <v>652596.666666667</v>
      </c>
      <c r="H7746" s="2" t="s">
        <v>1456</v>
      </c>
    </row>
    <row r="7747" customFormat="false" ht="15" hidden="false" customHeight="false" outlineLevel="1" collapsed="false">
      <c r="A7747" s="7" t="s">
        <v>798</v>
      </c>
      <c r="B7747" s="8" t="s">
        <v>11</v>
      </c>
      <c r="C7747" s="72" t="n">
        <f aca="false">C7728+Pressupostos!$C$108-C7714</f>
        <v>823616.839640411</v>
      </c>
      <c r="H7747" s="2" t="s">
        <v>1457</v>
      </c>
    </row>
    <row r="7748" customFormat="false" ht="15" hidden="false" customHeight="false" outlineLevel="1" collapsed="false">
      <c r="A7748" s="7" t="s">
        <v>799</v>
      </c>
      <c r="B7748" s="8" t="s">
        <v>11</v>
      </c>
      <c r="C7748" s="61" t="n">
        <f aca="false">Pressupostos!$F$32-C7728-Pressupostos!$C$108+C7715</f>
        <v>276383.160359589</v>
      </c>
      <c r="D7748" s="61" t="n">
        <f aca="false">Pressupostos!$F$32-C7728-Pressupostos!$C$108+D7715</f>
        <v>-538043.92739726</v>
      </c>
      <c r="E7748" s="61" t="n">
        <f aca="false">Pressupostos!$F$32-C7728-Pressupostos!$C$108+E7715</f>
        <v>-1429792.85396832</v>
      </c>
      <c r="F7748" s="61" t="n">
        <f aca="false">Pressupostos!$F$32-C7728-Pressupostos!$C$108+F7715</f>
        <v>-2311917.35255708</v>
      </c>
      <c r="G7748" s="61" t="n">
        <f aca="false">Pressupostos!$F$32-C7728-Pressupostos!$C$108+G7715</f>
        <v>-3088467.61890124</v>
      </c>
      <c r="H7748" s="2" t="s">
        <v>1458</v>
      </c>
    </row>
    <row r="7749" customFormat="false" ht="15" hidden="false" customHeight="false" outlineLevel="1" collapsed="false">
      <c r="A7749" s="7" t="s">
        <v>800</v>
      </c>
      <c r="B7749" s="8" t="s">
        <v>18</v>
      </c>
      <c r="C7749" s="77" t="str">
        <f aca="false">IF(AND(Pressupostos!$F$32-C7728-Pressupostos!$C$108&gt;0,C7748&lt;=0),12*(Pressupostos!$F$32-C7728-Pressupostos!$C$108)/(Pressupostos!$F$32-C7728-Pressupostos!$C$108-C7748),"")</f>
        <v/>
      </c>
      <c r="D7749" s="77" t="n">
        <f aca="false">IF(AND(C7748&gt;0,D7748&lt;=0),12+12*C7748/(C7748-D7748),"")</f>
        <v>16.0723079747383</v>
      </c>
      <c r="E7749" s="77" t="str">
        <f aca="false">IF(AND(D7748&gt;0,E7748&lt;=0),24+12*D7748/(D7748-E7748),"")</f>
        <v/>
      </c>
      <c r="F7749" s="77" t="str">
        <f aca="false">IF(AND(E7748&gt;0,F7748&lt;=0),36+12*E7748/(E7748-F7748),"")</f>
        <v/>
      </c>
      <c r="G7749" s="77" t="str">
        <f aca="false">IF(AND(F7748&gt;0,G7748&lt;=0),48+12*F7748/(F7748-G7748),"")</f>
        <v/>
      </c>
      <c r="H7749" s="2" t="s">
        <v>1459</v>
      </c>
    </row>
    <row r="7750" customFormat="false" ht="15" hidden="false" customHeight="false" outlineLevel="1" collapsed="false">
      <c r="A7750" s="56" t="s">
        <v>801</v>
      </c>
      <c r="B7750" s="57" t="s">
        <v>274</v>
      </c>
      <c r="C7750" s="78" t="n">
        <f aca="false">IF(COUNT($C$7749:$G$7749)=0,"&gt; 60",MIN($C$7749:$G$7749))</f>
        <v>16.0723079747383</v>
      </c>
      <c r="H7750" s="2" t="s">
        <v>1460</v>
      </c>
    </row>
    <row r="7751" customFormat="false" ht="15" hidden="false" customHeight="false" outlineLevel="0" collapsed="false">
      <c r="A7751" s="3" t="s">
        <v>1461</v>
      </c>
      <c r="B7751" s="4"/>
      <c r="C7751" s="4"/>
      <c r="D7751" s="4"/>
      <c r="E7751" s="4"/>
      <c r="F7751" s="4"/>
      <c r="G7751" s="4"/>
      <c r="H7751" s="4"/>
    </row>
    <row r="7752" customFormat="false" ht="15" hidden="false" customHeight="false" outlineLevel="1" collapsed="false">
      <c r="A7752" s="7" t="s">
        <v>803</v>
      </c>
      <c r="B7752" s="8" t="s">
        <v>18</v>
      </c>
      <c r="C7752" s="77" t="str">
        <f aca="false">IF(C7671&gt;=0,1,"")</f>
        <v/>
      </c>
      <c r="D7752" s="77" t="str">
        <f aca="false">IF(AND(C7671&lt;0,D7671&gt;=0),6.5+12*(-C7671)/(D7671-C7671),"")</f>
        <v/>
      </c>
      <c r="E7752" s="77" t="str">
        <f aca="false">IF(AND(D7671&lt;0,E7671&gt;=0),18.5+12*(-D7671)/(E7671-D7671),"")</f>
        <v/>
      </c>
      <c r="F7752" s="77" t="str">
        <f aca="false">IF(AND(E7671&lt;0,F7671&gt;=0),30.5+12*(-E7671)/(F7671-E7671),"")</f>
        <v/>
      </c>
      <c r="G7752" s="77" t="str">
        <f aca="false">IF(AND(F7671&lt;0,G7671&gt;=0),42.5+12*(-F7671)/(G7671-F7671),"")</f>
        <v/>
      </c>
      <c r="H7752" s="2" t="s">
        <v>1462</v>
      </c>
    </row>
    <row r="7753" customFormat="false" ht="15" hidden="false" customHeight="false" outlineLevel="1" collapsed="false">
      <c r="A7753" s="7" t="s">
        <v>804</v>
      </c>
      <c r="B7753" s="8" t="s">
        <v>18</v>
      </c>
      <c r="C7753" s="79" t="str">
        <f aca="false">IF(COUNT($C$7752:$G$7752)=0,"não atinge até 2031",ROUNDUP(MIN($C$7752:$G$7752),0))</f>
        <v>não atinge até 2031</v>
      </c>
      <c r="H7753" s="2" t="s">
        <v>1463</v>
      </c>
    </row>
    <row r="7754" customFormat="false" ht="15" hidden="false" customHeight="false" outlineLevel="1" collapsed="false">
      <c r="A7754" s="56" t="s">
        <v>805</v>
      </c>
      <c r="B7754" s="57" t="s">
        <v>806</v>
      </c>
      <c r="C7754" s="80" t="str">
        <f aca="false">IF(ISNUMBER(C7753),DATE(2027,C7753,1),"não atinge até 2031")</f>
        <v>não atinge até 2031</v>
      </c>
      <c r="H7754" s="2" t="s">
        <v>1464</v>
      </c>
    </row>
    <row r="7755" customFormat="false" ht="15" hidden="false" customHeight="false" outlineLevel="1" collapsed="false">
      <c r="A7755" s="7" t="s">
        <v>807</v>
      </c>
      <c r="B7755" s="8" t="s">
        <v>20</v>
      </c>
      <c r="C7755" s="81" t="str">
        <f aca="false">IF(C7671&gt;=0,C7460,"")</f>
        <v/>
      </c>
      <c r="D7755" s="81" t="str">
        <f aca="false">IF(D7671&gt;=0,D7460,"")</f>
        <v/>
      </c>
      <c r="E7755" s="81" t="str">
        <f aca="false">IF(E7671&gt;=0,E7460,"")</f>
        <v/>
      </c>
      <c r="F7755" s="81" t="str">
        <f aca="false">IF(F7671&gt;=0,F7460,"")</f>
        <v/>
      </c>
      <c r="G7755" s="81" t="str">
        <f aca="false">IF(G7671&gt;=0,G7460,"")</f>
        <v/>
      </c>
      <c r="H7755" s="2" t="s">
        <v>1465</v>
      </c>
    </row>
    <row r="7756" customFormat="false" ht="15" hidden="false" customHeight="false" outlineLevel="1" collapsed="false">
      <c r="A7756" s="7" t="s">
        <v>808</v>
      </c>
      <c r="B7756" s="8" t="s">
        <v>20</v>
      </c>
      <c r="C7756" s="75" t="str">
        <f aca="false">IF(COUNT($C$7755:$G$7755)=0,"não atinge até 2031",MIN($C$7755:$G$7755))</f>
        <v>não atinge até 2031</v>
      </c>
      <c r="H7756" s="2" t="s">
        <v>1466</v>
      </c>
    </row>
    <row r="7757" customFormat="false" ht="15" hidden="false" customHeight="false" outlineLevel="1" collapsed="false">
      <c r="A7757" s="7" t="s">
        <v>809</v>
      </c>
      <c r="B7757" s="8" t="s">
        <v>20</v>
      </c>
      <c r="C7757" s="81" t="str">
        <f aca="false">IF(C7689&gt;=0,C7460,"")</f>
        <v/>
      </c>
      <c r="D7757" s="81" t="str">
        <f aca="false">IF(D7689&gt;=0,D7460,"")</f>
        <v/>
      </c>
      <c r="E7757" s="81" t="str">
        <f aca="false">IF(E7689&gt;=0,E7460,"")</f>
        <v/>
      </c>
      <c r="F7757" s="81" t="str">
        <f aca="false">IF(F7689&gt;=0,F7460,"")</f>
        <v/>
      </c>
      <c r="G7757" s="81" t="str">
        <f aca="false">IF(G7689&gt;=0,G7460,"")</f>
        <v/>
      </c>
      <c r="H7757" s="2" t="s">
        <v>1467</v>
      </c>
    </row>
    <row r="7758" customFormat="false" ht="15" hidden="false" customHeight="false" outlineLevel="1" collapsed="false">
      <c r="A7758" s="7" t="s">
        <v>810</v>
      </c>
      <c r="B7758" s="8" t="s">
        <v>20</v>
      </c>
      <c r="C7758" s="75" t="str">
        <f aca="false">IF(COUNT($C$7757:$G$7757)=0,"não atinge até 2031",MIN($C$7757:$G$7757))</f>
        <v>não atinge até 2031</v>
      </c>
      <c r="H7758" s="2" t="s">
        <v>1468</v>
      </c>
    </row>
    <row r="7759" customFormat="false" ht="15" hidden="false" customHeight="false" outlineLevel="1" collapsed="false">
      <c r="A7759" s="7" t="s">
        <v>811</v>
      </c>
      <c r="B7759" s="8" t="s">
        <v>20</v>
      </c>
      <c r="C7759" s="81" t="str">
        <f aca="false">IF(C7714&gt;=0,C7460,"")</f>
        <v/>
      </c>
      <c r="D7759" s="81" t="str">
        <f aca="false">IF(D7714&gt;=0,D7460,"")</f>
        <v/>
      </c>
      <c r="E7759" s="81" t="str">
        <f aca="false">IF(E7714&gt;=0,E7460,"")</f>
        <v/>
      </c>
      <c r="F7759" s="81" t="str">
        <f aca="false">IF(F7714&gt;=0,F7460,"")</f>
        <v/>
      </c>
      <c r="G7759" s="81" t="str">
        <f aca="false">IF(G7714&gt;=0,G7460,"")</f>
        <v/>
      </c>
      <c r="H7759" s="2" t="s">
        <v>1469</v>
      </c>
    </row>
    <row r="7760" customFormat="false" ht="15" hidden="false" customHeight="false" outlineLevel="1" collapsed="false">
      <c r="A7760" s="7" t="s">
        <v>19</v>
      </c>
      <c r="B7760" s="8" t="s">
        <v>20</v>
      </c>
      <c r="C7760" s="75" t="str">
        <f aca="false">IF(COUNT($C$7759:$G$7759)=0,"não atinge até 2031",MIN($C$7759:$G$7759))</f>
        <v>não atinge até 2031</v>
      </c>
      <c r="H7760" s="2" t="s">
        <v>1470</v>
      </c>
    </row>
    <row r="7761" customFormat="false" ht="15" hidden="false" customHeight="false" outlineLevel="0" collapsed="false">
      <c r="A7761" s="3" t="s">
        <v>1471</v>
      </c>
      <c r="B7761" s="4"/>
      <c r="C7761" s="4"/>
      <c r="D7761" s="4"/>
      <c r="E7761" s="4"/>
      <c r="F7761" s="4"/>
      <c r="G7761" s="4"/>
      <c r="H7761" s="4"/>
    </row>
    <row r="7762" customFormat="false" ht="15" hidden="false" customHeight="false" outlineLevel="1" collapsed="false">
      <c r="A7762" s="7" t="s">
        <v>813</v>
      </c>
      <c r="B7762" s="8" t="s">
        <v>11</v>
      </c>
      <c r="C7762" s="61" t="n">
        <f aca="false">C7697</f>
        <v>0</v>
      </c>
      <c r="D7762" s="61" t="n">
        <f aca="false">D7697</f>
        <v>436452.148972603</v>
      </c>
      <c r="E7762" s="61" t="n">
        <f aca="false">E7697</f>
        <v>934502.748287671</v>
      </c>
      <c r="F7762" s="61" t="n">
        <f aca="false">F7697</f>
        <v>1571887.78253425</v>
      </c>
      <c r="G7762" s="61" t="n">
        <f aca="false">G7697</f>
        <v>2306656.59246575</v>
      </c>
      <c r="H7762" s="2" t="s">
        <v>1472</v>
      </c>
    </row>
    <row r="7763" customFormat="false" ht="15" hidden="false" customHeight="false" outlineLevel="1" collapsed="false">
      <c r="A7763" s="7" t="s">
        <v>509</v>
      </c>
      <c r="B7763" s="8" t="s">
        <v>76</v>
      </c>
      <c r="C7763" s="82" t="n">
        <f aca="false">Pressupostos!$C$290</f>
        <v>0.08</v>
      </c>
      <c r="D7763" s="82" t="n">
        <f aca="false">Pressupostos!$D$290</f>
        <v>0.08</v>
      </c>
      <c r="E7763" s="82" t="n">
        <f aca="false">Pressupostos!$E$290</f>
        <v>0.075</v>
      </c>
      <c r="F7763" s="82" t="n">
        <f aca="false">Pressupostos!$F$290</f>
        <v>0.07</v>
      </c>
      <c r="G7763" s="82" t="n">
        <f aca="false">Pressupostos!$G$290</f>
        <v>0.07</v>
      </c>
      <c r="H7763" s="2" t="s">
        <v>1473</v>
      </c>
    </row>
    <row r="7764" customFormat="false" ht="15" hidden="false" customHeight="false" outlineLevel="1" collapsed="false">
      <c r="A7764" s="7" t="s">
        <v>814</v>
      </c>
      <c r="B7764" s="8" t="s">
        <v>76</v>
      </c>
      <c r="C7764" s="60" t="n">
        <f aca="false">Pressupostos!$C$290*(1-Pressupostos!$C$111)</f>
        <v>0.0576</v>
      </c>
      <c r="D7764" s="60" t="n">
        <f aca="false">Pressupostos!$D$290*(1-Pressupostos!$C$111)</f>
        <v>0.0576</v>
      </c>
      <c r="E7764" s="60" t="n">
        <f aca="false">Pressupostos!$E$290*(1-Pressupostos!$C$111)</f>
        <v>0.054</v>
      </c>
      <c r="F7764" s="60" t="n">
        <f aca="false">Pressupostos!$F$290*(1-Pressupostos!$C$111)</f>
        <v>0.0504</v>
      </c>
      <c r="G7764" s="60" t="n">
        <f aca="false">Pressupostos!$G$290*(1-Pressupostos!$C$111)</f>
        <v>0.0504</v>
      </c>
      <c r="H7764" s="2" t="s">
        <v>1474</v>
      </c>
    </row>
    <row r="7765" customFormat="false" ht="15" hidden="false" customHeight="false" outlineLevel="1" collapsed="false">
      <c r="A7765" s="7" t="s">
        <v>815</v>
      </c>
      <c r="B7765" s="8" t="s">
        <v>11</v>
      </c>
      <c r="C7765" s="61" t="n">
        <f aca="false">C7601</f>
        <v>0</v>
      </c>
      <c r="D7765" s="61" t="n">
        <f aca="false">D7601</f>
        <v>32311.8493150685</v>
      </c>
      <c r="E7765" s="61" t="n">
        <f aca="false">E7601</f>
        <v>64423.9244434931</v>
      </c>
      <c r="F7765" s="61" t="n">
        <f aca="false">F7601</f>
        <v>101125.113441781</v>
      </c>
      <c r="G7765" s="61" t="n">
        <f aca="false">G7601</f>
        <v>148334.524828767</v>
      </c>
      <c r="H7765" s="2" t="s">
        <v>1475</v>
      </c>
    </row>
    <row r="7766" customFormat="false" ht="15" hidden="false" customHeight="false" outlineLevel="1" collapsed="false">
      <c r="A7766" s="7" t="s">
        <v>816</v>
      </c>
      <c r="B7766" s="8" t="s">
        <v>76</v>
      </c>
      <c r="C7766" s="59" t="n">
        <f aca="false">IF(C7697&gt;0,(C7700+C7702)/C7697,0)</f>
        <v>0</v>
      </c>
      <c r="D7766" s="59" t="n">
        <f aca="false">IF(D7697&gt;0,(D7700+D7702)/D7697,0)</f>
        <v>0.316666666666667</v>
      </c>
      <c r="E7766" s="59" t="n">
        <f aca="false">IF(E7697&gt;0,(E7700+E7702)/E7697,0)</f>
        <v>0.316666666666667</v>
      </c>
      <c r="F7766" s="59" t="n">
        <f aca="false">IF(F7697&gt;0,(F7700+F7702)/F7697,0)</f>
        <v>0.316666666666667</v>
      </c>
      <c r="G7766" s="59" t="n">
        <f aca="false">IF(G7697&gt;0,(G7700+G7702)/G7697,0)</f>
        <v>0.316666666666667</v>
      </c>
      <c r="H7766" s="2" t="s">
        <v>1476</v>
      </c>
    </row>
    <row r="7767" customFormat="false" ht="15" hidden="false" customHeight="false" outlineLevel="1" collapsed="false">
      <c r="A7767" s="7" t="s">
        <v>817</v>
      </c>
      <c r="B7767" s="8" t="s">
        <v>123</v>
      </c>
      <c r="C7767" s="61" t="n">
        <f aca="false">C7703</f>
        <v>0</v>
      </c>
      <c r="D7767" s="61" t="n">
        <f aca="false">D7703</f>
        <v>8.72904297945205</v>
      </c>
      <c r="E7767" s="61" t="n">
        <f aca="false">E7703</f>
        <v>18.6900549657534</v>
      </c>
      <c r="F7767" s="61" t="n">
        <f aca="false">F7703</f>
        <v>31.4377556506849</v>
      </c>
      <c r="G7767" s="61" t="n">
        <f aca="false">G7703</f>
        <v>46.1331318493151</v>
      </c>
      <c r="H7767" s="2" t="s">
        <v>1477</v>
      </c>
    </row>
    <row r="7768" customFormat="false" ht="15" hidden="false" customHeight="false" outlineLevel="1" collapsed="false">
      <c r="A7768" s="7" t="s">
        <v>818</v>
      </c>
      <c r="B7768" s="8" t="s">
        <v>11</v>
      </c>
      <c r="C7768" s="61" t="n">
        <f aca="false">C7601+C7647</f>
        <v>65000</v>
      </c>
      <c r="D7768" s="61" t="n">
        <f aca="false">D7601+D7647</f>
        <v>107311.849315069</v>
      </c>
      <c r="E7768" s="61" t="n">
        <f aca="false">E7601+E7647</f>
        <v>144423.924443493</v>
      </c>
      <c r="F7768" s="61" t="n">
        <f aca="false">F7601+F7647</f>
        <v>186125.113441781</v>
      </c>
      <c r="G7768" s="61" t="n">
        <f aca="false">G7601+G7647</f>
        <v>238334.524828767</v>
      </c>
      <c r="H7768" s="2" t="s">
        <v>1478</v>
      </c>
    </row>
    <row r="7769" customFormat="false" ht="15" hidden="false" customHeight="false" outlineLevel="1" collapsed="false">
      <c r="A7769" s="7" t="s">
        <v>819</v>
      </c>
      <c r="B7769" s="8" t="s">
        <v>76</v>
      </c>
      <c r="C7769" s="59" t="str">
        <f aca="false">IF(C7697&gt;0,C7768/C7697,"")</f>
        <v/>
      </c>
      <c r="D7769" s="59" t="n">
        <f aca="false">IF(D7697&gt;0,D7768/D7697,"")</f>
        <v>0.245873114767971</v>
      </c>
      <c r="E7769" s="59" t="n">
        <f aca="false">IF(E7697&gt;0,E7768/E7697,"")</f>
        <v>0.154546281119159</v>
      </c>
      <c r="F7769" s="59" t="n">
        <f aca="false">IF(F7697&gt;0,F7768/F7697,"")</f>
        <v>0.118408652010581</v>
      </c>
      <c r="G7769" s="59" t="n">
        <f aca="false">IF(G7697&gt;0,G7768/G7697,"")</f>
        <v>0.103324667229288</v>
      </c>
      <c r="H7769" s="2" t="s">
        <v>1479</v>
      </c>
    </row>
    <row r="7770" customFormat="false" ht="15" hidden="false" customHeight="false" outlineLevel="0" collapsed="false">
      <c r="A7770" s="3" t="s">
        <v>1480</v>
      </c>
      <c r="B7770" s="4"/>
      <c r="C7770" s="4"/>
      <c r="D7770" s="4"/>
      <c r="E7770" s="4"/>
      <c r="F7770" s="4"/>
      <c r="G7770" s="4"/>
      <c r="H7770" s="4"/>
    </row>
    <row r="7771" customFormat="false" ht="15" hidden="false" customHeight="false" outlineLevel="1" collapsed="false">
      <c r="A7771" s="7" t="s">
        <v>821</v>
      </c>
      <c r="B7771" s="8" t="s">
        <v>11</v>
      </c>
      <c r="C7771" s="61" t="n">
        <f aca="false">MAX(0,-C7671)</f>
        <v>586332.91635274</v>
      </c>
      <c r="D7771" s="61" t="n">
        <f aca="false">MAX(0,-D7671)</f>
        <v>683501.163869863</v>
      </c>
      <c r="E7771" s="61" t="n">
        <f aca="false">MAX(0,-E7671)</f>
        <v>690032.903454623</v>
      </c>
      <c r="F7771" s="61" t="n">
        <f aca="false">MAX(0,-F7671)</f>
        <v>643285.904410676</v>
      </c>
      <c r="G7771" s="61" t="n">
        <f aca="false">MAX(0,-G7671)</f>
        <v>509873.476532512</v>
      </c>
      <c r="H7771" s="2" t="s">
        <v>1481</v>
      </c>
    </row>
    <row r="7772" customFormat="false" ht="15" hidden="false" customHeight="false" outlineLevel="1" collapsed="false">
      <c r="A7772" s="2" t="s">
        <v>822</v>
      </c>
      <c r="B7772" s="8"/>
      <c r="C7772" s="61" t="n">
        <f aca="false">IF(AND(C7460&gt;=Pressupostos!$C$120,Pressupostos!$C$118*(C7554+C7555)+Pressupostos!$C$119*C7556&gt;Pressupostos!$C$302),1,0)</f>
        <v>0</v>
      </c>
      <c r="D7772" s="61" t="n">
        <f aca="false">IF(AND(D7460&gt;=Pressupostos!$C$120,Pressupostos!$C$118*(D7554+D7555)+Pressupostos!$C$119*D7556&gt;Pressupostos!$D$302),1,0)</f>
        <v>1</v>
      </c>
      <c r="E7772" s="61" t="n">
        <f aca="false">IF(AND(E7460&gt;=Pressupostos!$C$120,Pressupostos!$C$118*(E7554+E7555)+Pressupostos!$C$119*E7556&gt;Pressupostos!$E$302),1,0)</f>
        <v>1</v>
      </c>
      <c r="F7772" s="61" t="n">
        <f aca="false">IF(AND(F7460&gt;=Pressupostos!$C$120,Pressupostos!$C$118*(F7554+F7555)+Pressupostos!$C$119*F7556&gt;Pressupostos!$F$302),1,0)</f>
        <v>1</v>
      </c>
      <c r="G7772" s="61" t="n">
        <f aca="false">IF(AND(G7460&gt;=Pressupostos!$C$120,Pressupostos!$C$118*(G7554+G7555)+Pressupostos!$C$119*G7556&gt;Pressupostos!$G$302),1,0)</f>
        <v>1</v>
      </c>
      <c r="H7772" s="2" t="s">
        <v>1482</v>
      </c>
    </row>
    <row r="7773" customFormat="false" ht="15" hidden="false" customHeight="false" outlineLevel="1" collapsed="false">
      <c r="A7773" s="7" t="s">
        <v>823</v>
      </c>
      <c r="B7773" s="8" t="s">
        <v>64</v>
      </c>
      <c r="C7773" s="63" t="n">
        <f aca="false">IF(C7464&gt;0,C7771/(C7464*1000*(1-Pressupostos!$F$22)*(1-Pressupostos!$F$25-C7772*Pressupostos!$C$118)),"n/a")</f>
        <v>11.309561691859</v>
      </c>
      <c r="D7773" s="63" t="n">
        <f aca="false">IF(D7464&gt;0,D7771/(D7464*1000*(1-Pressupostos!$F$22)*(1-Pressupostos!$F$25-D7772*Pressupostos!$C$118)),"n/a")</f>
        <v>1.896196693299</v>
      </c>
      <c r="E7773" s="63" t="n">
        <f aca="false">IF(E7464&gt;0,E7771/(E7464*1000*(1-Pressupostos!$F$22)*(1-Pressupostos!$F$25-E7772*Pressupostos!$C$118)),"n/a")</f>
        <v>0.969173199080626</v>
      </c>
      <c r="F7773" s="63" t="n">
        <f aca="false">IF(F7464&gt;0,F7771/(F7464*1000*(1-Pressupostos!$F$22)*(1-Pressupostos!$F$25-F7772*Pressupostos!$C$118)),"n/a")</f>
        <v>0.547608325404353</v>
      </c>
      <c r="G7773" s="63" t="n">
        <f aca="false">IF(G7464&gt;0,G7771/(G7464*1000*(1-Pressupostos!$F$22)*(1-Pressupostos!$F$25-G7772*Pressupostos!$C$118)),"n/a")</f>
        <v>0.286853492060351</v>
      </c>
      <c r="H7773" s="2" t="s">
        <v>1483</v>
      </c>
    </row>
    <row r="7774" customFormat="false" ht="15" hidden="false" customHeight="false" outlineLevel="1" collapsed="false">
      <c r="A7774" s="7" t="s">
        <v>824</v>
      </c>
      <c r="B7774" s="8" t="s">
        <v>64</v>
      </c>
      <c r="C7774" s="63" t="n">
        <f aca="false">IF(C7463&gt;0,Pressupostos!$F$15+C7771/(C7463*1000*(1-Pressupostos!$F$16)*(1-Pressupostos!$F$18-C7772*Pressupostos!$C$118)),"n/a")</f>
        <v>85.9284755078901</v>
      </c>
      <c r="D7774" s="63" t="n">
        <f aca="false">IF(D7463&gt;0,Pressupostos!$F$15+D7771/(D7463*1000*(1-Pressupostos!$F$16)*(1-Pressupostos!$F$18-D7772*Pressupostos!$C$118)),"n/a")</f>
        <v>30.9468912748027</v>
      </c>
      <c r="E7774" s="63" t="n">
        <f aca="false">IF(E7463&gt;0,Pressupostos!$F$15+E7771/(E7463*1000*(1-Pressupostos!$F$16)*(1-Pressupostos!$F$18-E7772*Pressupostos!$C$118)),"n/a")</f>
        <v>15.444484184044</v>
      </c>
      <c r="F7774" s="63" t="n">
        <f aca="false">IF(F7463&gt;0,Pressupostos!$F$15+F7771/(F7463*1000*(1-Pressupostos!$F$16)*(1-Pressupostos!$F$18-F7772*Pressupostos!$C$118)),"n/a")</f>
        <v>11.0312329990628</v>
      </c>
      <c r="G7774" s="63" t="n">
        <f aca="false">IF(G7463&gt;0,Pressupostos!$F$15+G7771/(G7463*1000*(1-Pressupostos!$F$16)*(1-Pressupostos!$F$18-G7772*Pressupostos!$C$118)),"n/a")</f>
        <v>8.79145644265151</v>
      </c>
      <c r="H7774" s="2" t="s">
        <v>1484</v>
      </c>
    </row>
    <row r="7775" customFormat="false" ht="15" hidden="false" customHeight="false" outlineLevel="1" collapsed="false">
      <c r="A7775" s="7" t="s">
        <v>825</v>
      </c>
      <c r="B7775" s="8" t="s">
        <v>64</v>
      </c>
      <c r="C7775" s="63" t="n">
        <f aca="false">IF((1)=1,C7546-C7772*Pressupostos!$C$119*C7529,C7552)</f>
        <v>0.058762328767124</v>
      </c>
      <c r="D7775" s="63" t="n">
        <f aca="false">IF((1)=1,D7546-D7772*Pressupostos!$C$119*D7529,D7552)</f>
        <v>0.0298869863013705</v>
      </c>
      <c r="E7775" s="63" t="n">
        <f aca="false">IF((1)=1,E7546-E7772*Pressupostos!$C$119*E7529,E7552)</f>
        <v>0.03123544520548</v>
      </c>
      <c r="F7775" s="63" t="n">
        <f aca="false">IF((1)=1,F7546-F7772*Pressupostos!$C$119*F7529,F7552)</f>
        <v>0.0325839041095895</v>
      </c>
      <c r="G7775" s="63" t="n">
        <f aca="false">IF((1)=1,G7546-G7772*Pressupostos!$C$119*G7529,G7552)</f>
        <v>0.0325839041095895</v>
      </c>
      <c r="H7775" s="2" t="s">
        <v>1485</v>
      </c>
    </row>
    <row r="7776" customFormat="false" ht="15" hidden="false" customHeight="false" outlineLevel="1" collapsed="false">
      <c r="A7776" s="7" t="s">
        <v>826</v>
      </c>
      <c r="B7776" s="8" t="s">
        <v>120</v>
      </c>
      <c r="C7776" s="55" t="n">
        <f aca="false">IF(C7775&gt;0,C7465+C7771/(C7775*1000),"n/a")</f>
        <v>9978.04084103587</v>
      </c>
      <c r="D7776" s="55" t="n">
        <f aca="false">IF(D7775&gt;0,D7465+D7771/(D7775*1000),"n/a")</f>
        <v>23369.5244471176</v>
      </c>
      <c r="E7776" s="55" t="n">
        <f aca="false">IF(E7775&gt;0,E7465+E7771/(E7775*1000),"n/a")</f>
        <v>23591.3420287527</v>
      </c>
      <c r="F7776" s="55" t="n">
        <f aca="false">IF(F7775&gt;0,F7465+F7771/(F7775*1000),"n/a")</f>
        <v>22242.4440683078</v>
      </c>
      <c r="G7776" s="55" t="n">
        <f aca="false">IF(G7775&gt;0,G7465+G7771/(G7775*1000),"n/a")</f>
        <v>19148.0167268371</v>
      </c>
      <c r="H7776" s="2" t="s">
        <v>1486</v>
      </c>
    </row>
    <row r="7777" customFormat="false" ht="15" hidden="false" customHeight="false" outlineLevel="1" collapsed="false">
      <c r="A7777" s="7" t="s">
        <v>827</v>
      </c>
      <c r="B7777" s="8" t="s">
        <v>76</v>
      </c>
      <c r="C7777" s="59" t="n">
        <f aca="false">C7771/(C7633+C7646+C7647)</f>
        <v>0.974504132631807</v>
      </c>
      <c r="D7777" s="59" t="n">
        <f aca="false">D7771/(D7633+D7646+D7647)</f>
        <v>0.887366149362765</v>
      </c>
      <c r="E7777" s="59" t="n">
        <f aca="false">E7771/(E7633+E7646+E7647)</f>
        <v>0.748483218985526</v>
      </c>
      <c r="F7777" s="59" t="n">
        <f aca="false">F7771/(F7633+F7646+F7647)</f>
        <v>0.600238418940692</v>
      </c>
      <c r="G7777" s="59" t="n">
        <f aca="false">G7771/(G7633+G7646+G7647)</f>
        <v>0.433530467304989</v>
      </c>
      <c r="H7777" s="2" t="s">
        <v>1487</v>
      </c>
    </row>
    <row r="7778" customFormat="false" ht="15" hidden="false" customHeight="false" outlineLevel="1" collapsed="false">
      <c r="A7778" s="2" t="s">
        <v>828</v>
      </c>
      <c r="B7778" s="8" t="s">
        <v>76</v>
      </c>
      <c r="C7778" s="60" t="n">
        <f aca="false">Pressupostos!$C$101*Pressupostos!$C$102+Pressupostos!$C$103-Pressupostos!$F$30*Pressupostos!$C$104*Pressupostos!$C$102/(Pressupostos!$C$105*Pressupostos!$C$106)</f>
        <v>0.02</v>
      </c>
      <c r="D7778" s="60" t="n">
        <f aca="false">Pressupostos!$C$101*Pressupostos!$C$102+Pressupostos!$C$103-Pressupostos!$F$30*Pressupostos!$C$104*Pressupostos!$C$102/(Pressupostos!$C$105*Pressupostos!$C$106)</f>
        <v>0.02</v>
      </c>
      <c r="E7778" s="60" t="n">
        <f aca="false">Pressupostos!$C$101*Pressupostos!$C$102+Pressupostos!$C$103-Pressupostos!$F$30*Pressupostos!$C$104*Pressupostos!$C$102/(Pressupostos!$C$105*Pressupostos!$C$106)</f>
        <v>0.02</v>
      </c>
      <c r="F7778" s="60" t="n">
        <f aca="false">Pressupostos!$C$101*Pressupostos!$C$102+Pressupostos!$C$103-Pressupostos!$F$30*Pressupostos!$C$104*Pressupostos!$C$102/(Pressupostos!$C$105*Pressupostos!$C$106)</f>
        <v>0.02</v>
      </c>
      <c r="G7778" s="60" t="n">
        <f aca="false">Pressupostos!$C$101*Pressupostos!$C$102+Pressupostos!$C$103-Pressupostos!$F$30*Pressupostos!$C$104*Pressupostos!$C$102/(Pressupostos!$C$105*Pressupostos!$C$106)</f>
        <v>0.02</v>
      </c>
      <c r="H7778" s="2" t="s">
        <v>1488</v>
      </c>
    </row>
    <row r="7779" customFormat="false" ht="15" hidden="false" customHeight="false" outlineLevel="1" collapsed="false">
      <c r="A7779" s="7" t="s">
        <v>829</v>
      </c>
      <c r="B7779" s="8" t="s">
        <v>11</v>
      </c>
      <c r="C7779" s="61" t="n">
        <f aca="false">IF(C7778&gt;0,C7478+C7771/C7778,"n/a")</f>
        <v>29316645.817637</v>
      </c>
      <c r="D7779" s="61" t="n">
        <f aca="false">IF(D7778&gt;0,D7478+D7771/D7778,"n/a")</f>
        <v>34675058.1934932</v>
      </c>
      <c r="E7779" s="61" t="n">
        <f aca="false">IF(E7778&gt;0,E7478+E7771/E7778,"n/a")</f>
        <v>36001645.1727312</v>
      </c>
      <c r="F7779" s="61" t="n">
        <f aca="false">IF(F7778&gt;0,F7478+F7771/F7778,"n/a")</f>
        <v>35164295.2205338</v>
      </c>
      <c r="G7779" s="61" t="n">
        <f aca="false">IF(G7778&gt;0,G7478+G7771/G7778,"n/a")</f>
        <v>30493673.8266256</v>
      </c>
      <c r="H7779" s="2" t="s">
        <v>1489</v>
      </c>
    </row>
    <row r="7782" customFormat="false" ht="15" hidden="false" customHeight="false" outlineLevel="0" collapsed="false">
      <c r="A7782" s="111" t="s">
        <v>1513</v>
      </c>
      <c r="B7782" s="112"/>
      <c r="C7782" s="112"/>
      <c r="D7782" s="112"/>
      <c r="E7782" s="112"/>
      <c r="F7782" s="112"/>
      <c r="G7782" s="112"/>
      <c r="H7782" s="112"/>
    </row>
    <row r="7783" customFormat="false" ht="15" hidden="false" customHeight="false" outlineLevel="0" collapsed="false">
      <c r="A7783" s="3" t="s">
        <v>1170</v>
      </c>
      <c r="B7783" s="4"/>
      <c r="C7783" s="4"/>
      <c r="D7783" s="4"/>
      <c r="E7783" s="4"/>
      <c r="F7783" s="4"/>
      <c r="G7783" s="4"/>
      <c r="H7783" s="4"/>
    </row>
    <row r="7784" customFormat="false" ht="15" hidden="false" customHeight="false" outlineLevel="1" collapsed="false">
      <c r="A7784" s="7" t="s">
        <v>588</v>
      </c>
      <c r="B7784" s="8"/>
      <c r="C7784" s="52" t="n">
        <v>2027</v>
      </c>
      <c r="D7784" s="52" t="n">
        <v>2028</v>
      </c>
      <c r="E7784" s="52" t="n">
        <v>2029</v>
      </c>
      <c r="F7784" s="52" t="n">
        <v>2030</v>
      </c>
      <c r="G7784" s="52" t="n">
        <v>2031</v>
      </c>
      <c r="H7784" s="2" t="s">
        <v>20</v>
      </c>
    </row>
    <row r="7785" customFormat="false" ht="15" hidden="false" customHeight="false" outlineLevel="0" collapsed="false">
      <c r="A7785" s="3" t="s">
        <v>1171</v>
      </c>
      <c r="B7785" s="4"/>
      <c r="C7785" s="4"/>
      <c r="D7785" s="4"/>
      <c r="E7785" s="4"/>
      <c r="F7785" s="4"/>
      <c r="G7785" s="4"/>
      <c r="H7785" s="4"/>
    </row>
    <row r="7786" customFormat="false" ht="15" hidden="false" customHeight="false" outlineLevel="1" collapsed="false">
      <c r="A7786" s="7" t="s">
        <v>387</v>
      </c>
      <c r="B7786" s="8" t="s">
        <v>123</v>
      </c>
      <c r="C7786" s="53" t="n">
        <f aca="false">Pressupostos!$C$215</f>
        <v>40</v>
      </c>
      <c r="D7786" s="53" t="n">
        <f aca="false">Pressupostos!$D$215</f>
        <v>150</v>
      </c>
      <c r="E7786" s="53" t="n">
        <f aca="false">Pressupostos!$E$215</f>
        <v>400</v>
      </c>
      <c r="F7786" s="53" t="n">
        <f aca="false">Pressupostos!$F$215</f>
        <v>700</v>
      </c>
      <c r="G7786" s="53" t="n">
        <f aca="false">Pressupostos!$G$215</f>
        <v>1000</v>
      </c>
      <c r="H7786" s="2" t="s">
        <v>1172</v>
      </c>
    </row>
    <row r="7787" customFormat="false" ht="15" hidden="false" customHeight="false" outlineLevel="1" collapsed="false">
      <c r="A7787" s="7" t="s">
        <v>590</v>
      </c>
      <c r="B7787" s="8" t="s">
        <v>120</v>
      </c>
      <c r="C7787" s="54" t="n">
        <f aca="false">Pressupostos!$C$221</f>
        <v>8.2</v>
      </c>
      <c r="D7787" s="54" t="n">
        <f aca="false">Pressupostos!$D$221</f>
        <v>30.75</v>
      </c>
      <c r="E7787" s="54" t="n">
        <f aca="false">Pressupostos!$E$221</f>
        <v>82</v>
      </c>
      <c r="F7787" s="54" t="n">
        <f aca="false">Pressupostos!$F$221</f>
        <v>143.5</v>
      </c>
      <c r="G7787" s="54" t="n">
        <f aca="false">Pressupostos!$G$221</f>
        <v>205</v>
      </c>
      <c r="H7787" s="2" t="s">
        <v>1173</v>
      </c>
    </row>
    <row r="7788" customFormat="false" ht="15" hidden="false" customHeight="false" outlineLevel="1" collapsed="false">
      <c r="A7788" s="7" t="s">
        <v>591</v>
      </c>
      <c r="B7788" s="8" t="s">
        <v>120</v>
      </c>
      <c r="C7788" s="54" t="n">
        <f aca="false">Pressupostos!$C$227</f>
        <v>52</v>
      </c>
      <c r="D7788" s="54" t="n">
        <f aca="false">Pressupostos!$D$227</f>
        <v>363</v>
      </c>
      <c r="E7788" s="54" t="n">
        <f aca="false">Pressupostos!$E$227</f>
        <v>717</v>
      </c>
      <c r="F7788" s="54" t="n">
        <f aca="false">Pressupostos!$F$227</f>
        <v>1183</v>
      </c>
      <c r="G7788" s="54" t="n">
        <f aca="false">Pressupostos!$G$227</f>
        <v>1790</v>
      </c>
      <c r="H7788" s="2" t="s">
        <v>1174</v>
      </c>
    </row>
    <row r="7789" customFormat="false" ht="15" hidden="false" customHeight="false" outlineLevel="1" collapsed="false">
      <c r="A7789" s="7" t="s">
        <v>398</v>
      </c>
      <c r="B7789" s="8" t="s">
        <v>120</v>
      </c>
      <c r="C7789" s="54" t="n">
        <f aca="false">Pressupostos!$C$233</f>
        <v>0</v>
      </c>
      <c r="D7789" s="54" t="n">
        <f aca="false">Pressupostos!$D$233</f>
        <v>500</v>
      </c>
      <c r="E7789" s="54" t="n">
        <f aca="false">Pressupostos!$E$233</f>
        <v>1500</v>
      </c>
      <c r="F7789" s="54" t="n">
        <f aca="false">Pressupostos!$F$233</f>
        <v>2500</v>
      </c>
      <c r="G7789" s="54" t="n">
        <f aca="false">Pressupostos!$G$233</f>
        <v>3500</v>
      </c>
      <c r="H7789" s="2" t="s">
        <v>1175</v>
      </c>
    </row>
    <row r="7790" customFormat="false" ht="15" hidden="false" customHeight="false" outlineLevel="1" collapsed="false">
      <c r="A7790" s="7" t="s">
        <v>592</v>
      </c>
      <c r="B7790" s="8" t="s">
        <v>120</v>
      </c>
      <c r="C7790" s="55" t="n">
        <f aca="false">C7789*Pressupostos!$F$33</f>
        <v>0</v>
      </c>
      <c r="D7790" s="55" t="n">
        <f aca="false">D7789*Pressupostos!$F$33</f>
        <v>0</v>
      </c>
      <c r="E7790" s="55" t="n">
        <f aca="false">E7789*Pressupostos!$F$33</f>
        <v>0</v>
      </c>
      <c r="F7790" s="55" t="n">
        <f aca="false">F7789*Pressupostos!$F$33</f>
        <v>0</v>
      </c>
      <c r="G7790" s="55" t="n">
        <f aca="false">G7789*Pressupostos!$F$33</f>
        <v>0</v>
      </c>
      <c r="H7790" s="2" t="s">
        <v>1176</v>
      </c>
    </row>
    <row r="7791" customFormat="false" ht="15" hidden="false" customHeight="false" outlineLevel="1" collapsed="false">
      <c r="A7791" s="7" t="s">
        <v>593</v>
      </c>
      <c r="B7791" s="8" t="s">
        <v>120</v>
      </c>
      <c r="C7791" s="55" t="n">
        <f aca="false">C7789-C7790</f>
        <v>0</v>
      </c>
      <c r="D7791" s="55" t="n">
        <f aca="false">D7789-D7790</f>
        <v>500</v>
      </c>
      <c r="E7791" s="55" t="n">
        <f aca="false">E7789-E7790</f>
        <v>1500</v>
      </c>
      <c r="F7791" s="55" t="n">
        <f aca="false">F7789-F7790</f>
        <v>2500</v>
      </c>
      <c r="G7791" s="55" t="n">
        <f aca="false">G7789-G7790</f>
        <v>3500</v>
      </c>
      <c r="H7791" s="2" t="s">
        <v>1177</v>
      </c>
    </row>
    <row r="7792" customFormat="false" ht="15" hidden="false" customHeight="false" outlineLevel="1" collapsed="false">
      <c r="A7792" s="56" t="s">
        <v>594</v>
      </c>
      <c r="B7792" s="57" t="s">
        <v>120</v>
      </c>
      <c r="C7792" s="58" t="n">
        <f aca="false">C7787+C7788+C7789</f>
        <v>60.2</v>
      </c>
      <c r="D7792" s="58" t="n">
        <f aca="false">D7787+D7788+D7789</f>
        <v>893.75</v>
      </c>
      <c r="E7792" s="58" t="n">
        <f aca="false">E7787+E7788+E7789</f>
        <v>2299</v>
      </c>
      <c r="F7792" s="58" t="n">
        <f aca="false">F7787+F7788+F7789</f>
        <v>3826.5</v>
      </c>
      <c r="G7792" s="58" t="n">
        <f aca="false">G7787+G7788+G7789</f>
        <v>5495</v>
      </c>
      <c r="H7792" s="2" t="s">
        <v>1178</v>
      </c>
    </row>
    <row r="7793" customFormat="false" ht="15" hidden="false" customHeight="false" outlineLevel="1" collapsed="false">
      <c r="A7793" s="7" t="s">
        <v>595</v>
      </c>
      <c r="B7793" s="8" t="s">
        <v>76</v>
      </c>
      <c r="C7793" s="59" t="n">
        <f aca="false">IF(C7792&gt;0,C7787/C7792,0)</f>
        <v>0.136212624584718</v>
      </c>
      <c r="D7793" s="59" t="n">
        <f aca="false">IF(D7792&gt;0,D7787/D7792,0)</f>
        <v>0.0344055944055944</v>
      </c>
      <c r="E7793" s="59" t="n">
        <f aca="false">IF(E7792&gt;0,E7787/E7792,0)</f>
        <v>0.035667681600696</v>
      </c>
      <c r="F7793" s="59" t="n">
        <f aca="false">IF(F7792&gt;0,F7787/F7792,0)</f>
        <v>0.0375016333464001</v>
      </c>
      <c r="G7793" s="59" t="n">
        <f aca="false">IF(G7792&gt;0,G7787/G7792,0)</f>
        <v>0.0373066424021838</v>
      </c>
      <c r="H7793" s="2" t="s">
        <v>1179</v>
      </c>
    </row>
    <row r="7794" customFormat="false" ht="15" hidden="false" customHeight="false" outlineLevel="1" collapsed="false">
      <c r="A7794" s="7" t="s">
        <v>596</v>
      </c>
      <c r="B7794" s="8" t="s">
        <v>76</v>
      </c>
      <c r="C7794" s="60" t="n">
        <f aca="false">C7792/(Pressupostos!$C$76*1000)</f>
        <v>0.000355162241887906</v>
      </c>
      <c r="D7794" s="60" t="n">
        <f aca="false">D7792/(Pressupostos!$C$76*1000)</f>
        <v>0.00527286135693215</v>
      </c>
      <c r="E7794" s="60" t="n">
        <f aca="false">E7792/(Pressupostos!$C$76*1000)</f>
        <v>0.0135634218289086</v>
      </c>
      <c r="F7794" s="60" t="n">
        <f aca="false">F7792/(Pressupostos!$C$76*1000)</f>
        <v>0.0225752212389381</v>
      </c>
      <c r="G7794" s="60" t="n">
        <f aca="false">G7792/(Pressupostos!$C$76*1000)</f>
        <v>0.0324188790560472</v>
      </c>
      <c r="H7794" s="2" t="s">
        <v>1180</v>
      </c>
    </row>
    <row r="7795" customFormat="false" ht="15" hidden="false" customHeight="false" outlineLevel="1" collapsed="false">
      <c r="A7795" s="7" t="s">
        <v>597</v>
      </c>
      <c r="B7795" s="8" t="s">
        <v>123</v>
      </c>
      <c r="C7795" s="55" t="n">
        <f aca="false">C7787/Pressupostos!$C$40+C7788/Pressupostos!$C$47+C7789/Pressupostos!$C$59</f>
        <v>2.14333333333333</v>
      </c>
      <c r="D7795" s="55" t="n">
        <f aca="false">D7787/Pressupostos!$C$40+D7788/Pressupostos!$C$47+D7789/Pressupostos!$C$59</f>
        <v>18.6375</v>
      </c>
      <c r="E7795" s="55" t="n">
        <f aca="false">E7787/Pressupostos!$C$40+E7788/Pressupostos!$C$47+E7789/Pressupostos!$C$59</f>
        <v>43</v>
      </c>
      <c r="F7795" s="55" t="n">
        <f aca="false">F7787/Pressupostos!$C$40+F7788/Pressupostos!$C$47+F7789/Pressupostos!$C$59</f>
        <v>71.6083333333333</v>
      </c>
      <c r="G7795" s="55" t="n">
        <f aca="false">G7787/Pressupostos!$C$40+G7788/Pressupostos!$C$47+G7789/Pressupostos!$C$59</f>
        <v>104.916666666667</v>
      </c>
      <c r="H7795" s="2" t="s">
        <v>1181</v>
      </c>
    </row>
    <row r="7796" customFormat="false" ht="15" hidden="false" customHeight="false" outlineLevel="0" collapsed="false">
      <c r="A7796" s="3" t="s">
        <v>1182</v>
      </c>
      <c r="B7796" s="4"/>
      <c r="C7796" s="4"/>
      <c r="D7796" s="4"/>
      <c r="E7796" s="4"/>
      <c r="F7796" s="4"/>
      <c r="G7796" s="4"/>
      <c r="H7796" s="4"/>
    </row>
    <row r="7797" customFormat="false" ht="15" hidden="false" customHeight="false" outlineLevel="1" collapsed="false">
      <c r="A7797" s="7" t="s">
        <v>599</v>
      </c>
      <c r="B7797" s="8" t="s">
        <v>202</v>
      </c>
      <c r="C7797" s="53" t="n">
        <f aca="false">Pressupostos!$C$259</f>
        <v>36</v>
      </c>
      <c r="D7797" s="53" t="n">
        <f aca="false">Pressupostos!$D$259</f>
        <v>135</v>
      </c>
      <c r="E7797" s="53" t="n">
        <f aca="false">Pressupostos!$E$259</f>
        <v>360</v>
      </c>
      <c r="F7797" s="53" t="n">
        <f aca="false">Pressupostos!$F$259</f>
        <v>630</v>
      </c>
      <c r="G7797" s="53" t="n">
        <f aca="false">Pressupostos!$G$259</f>
        <v>900</v>
      </c>
      <c r="H7797" s="2" t="s">
        <v>1183</v>
      </c>
    </row>
    <row r="7798" customFormat="false" ht="15" hidden="false" customHeight="false" outlineLevel="1" collapsed="false">
      <c r="A7798" s="7" t="s">
        <v>599</v>
      </c>
      <c r="B7798" s="8" t="s">
        <v>189</v>
      </c>
      <c r="C7798" s="61" t="n">
        <f aca="false">C7797*Pressupostos!$C$78</f>
        <v>27000</v>
      </c>
      <c r="D7798" s="61" t="n">
        <f aca="false">D7797*Pressupostos!$C$78</f>
        <v>101250</v>
      </c>
      <c r="E7798" s="61" t="n">
        <f aca="false">E7797*Pressupostos!$C$78</f>
        <v>270000</v>
      </c>
      <c r="F7798" s="61" t="n">
        <f aca="false">F7797*Pressupostos!$C$78</f>
        <v>472500</v>
      </c>
      <c r="G7798" s="61" t="n">
        <f aca="false">G7797*Pressupostos!$C$78</f>
        <v>675000</v>
      </c>
      <c r="H7798" s="2" t="s">
        <v>1184</v>
      </c>
    </row>
    <row r="7799" customFormat="false" ht="15" hidden="false" customHeight="false" outlineLevel="0" collapsed="false">
      <c r="A7799" s="3" t="s">
        <v>1185</v>
      </c>
      <c r="B7799" s="4"/>
      <c r="C7799" s="4"/>
      <c r="D7799" s="4"/>
      <c r="E7799" s="4"/>
      <c r="F7799" s="4"/>
      <c r="G7799" s="4"/>
      <c r="H7799" s="4"/>
    </row>
    <row r="7800" customFormat="false" ht="15" hidden="false" customHeight="false" outlineLevel="1" collapsed="false">
      <c r="A7800" s="7" t="s">
        <v>601</v>
      </c>
      <c r="B7800" s="8" t="s">
        <v>120</v>
      </c>
      <c r="C7800" s="55" t="n">
        <f aca="false">IF(C7784&lt;Pressupostos!$F$28,0,Pressupostos!$C$265)</f>
        <v>0</v>
      </c>
      <c r="D7800" s="55" t="n">
        <f aca="false">IF(D7784&lt;Pressupostos!$F$28,0,Pressupostos!$D$265)</f>
        <v>0</v>
      </c>
      <c r="E7800" s="55" t="n">
        <f aca="false">IF(E7784&lt;Pressupostos!$F$28,0,Pressupostos!$E$265)</f>
        <v>0</v>
      </c>
      <c r="F7800" s="55" t="n">
        <f aca="false">IF(F7784&lt;Pressupostos!$F$28,0,Pressupostos!$F$265)</f>
        <v>20</v>
      </c>
      <c r="G7800" s="55" t="n">
        <f aca="false">IF(G7784&lt;Pressupostos!$F$28,0,Pressupostos!$G$265)</f>
        <v>50</v>
      </c>
      <c r="H7800" s="2" t="s">
        <v>1186</v>
      </c>
    </row>
    <row r="7801" customFormat="false" ht="15" hidden="false" customHeight="false" outlineLevel="0" collapsed="false">
      <c r="A7801" s="3" t="s">
        <v>1187</v>
      </c>
      <c r="B7801" s="4"/>
      <c r="C7801" s="4"/>
      <c r="D7801" s="4"/>
      <c r="E7801" s="4"/>
      <c r="F7801" s="4"/>
      <c r="G7801" s="4"/>
      <c r="H7801" s="4"/>
    </row>
    <row r="7802" customFormat="false" ht="15" hidden="false" customHeight="false" outlineLevel="1" collapsed="false">
      <c r="A7802" s="7" t="s">
        <v>603</v>
      </c>
      <c r="B7802" s="8" t="s">
        <v>11</v>
      </c>
      <c r="C7802" s="53" t="n">
        <f aca="false">Pressupostos!$C$271</f>
        <v>0</v>
      </c>
      <c r="D7802" s="53" t="n">
        <f aca="false">Pressupostos!$D$271</f>
        <v>500000</v>
      </c>
      <c r="E7802" s="53" t="n">
        <f aca="false">Pressupostos!$E$271</f>
        <v>1500000</v>
      </c>
      <c r="F7802" s="53" t="n">
        <f aca="false">Pressupostos!$F$271</f>
        <v>3000000</v>
      </c>
      <c r="G7802" s="53" t="n">
        <f aca="false">Pressupostos!$G$271</f>
        <v>5000000</v>
      </c>
      <c r="H7802" s="2" t="s">
        <v>1188</v>
      </c>
    </row>
    <row r="7803" customFormat="false" ht="15" hidden="false" customHeight="false" outlineLevel="1" collapsed="false">
      <c r="A7803" s="7" t="s">
        <v>604</v>
      </c>
      <c r="B7803" s="8" t="s">
        <v>120</v>
      </c>
      <c r="C7803" s="55" t="n">
        <f aca="false">C7802/(Pressupostos!$C$105*Pressupostos!$C$106)*Pressupostos!$C$102/1000</f>
        <v>0</v>
      </c>
      <c r="D7803" s="55" t="n">
        <f aca="false">D7802/(Pressupostos!$C$105*Pressupostos!$C$106)*Pressupostos!$C$102/1000</f>
        <v>457.142857142857</v>
      </c>
      <c r="E7803" s="55" t="n">
        <f aca="false">E7802/(Pressupostos!$C$105*Pressupostos!$C$106)*Pressupostos!$C$102/1000</f>
        <v>1371.42857142857</v>
      </c>
      <c r="F7803" s="55" t="n">
        <f aca="false">F7802/(Pressupostos!$C$105*Pressupostos!$C$106)*Pressupostos!$C$102/1000</f>
        <v>2742.85714285714</v>
      </c>
      <c r="G7803" s="55" t="n">
        <f aca="false">G7802/(Pressupostos!$C$105*Pressupostos!$C$106)*Pressupostos!$C$102/1000</f>
        <v>4571.42857142857</v>
      </c>
      <c r="H7803" s="2" t="s">
        <v>1189</v>
      </c>
    </row>
    <row r="7804" customFormat="false" ht="15" hidden="false" customHeight="false" outlineLevel="0" collapsed="false">
      <c r="A7804" s="3" t="s">
        <v>1190</v>
      </c>
      <c r="B7804" s="4"/>
      <c r="C7804" s="4"/>
      <c r="D7804" s="4"/>
      <c r="E7804" s="4"/>
      <c r="F7804" s="4"/>
      <c r="G7804" s="4"/>
      <c r="H7804" s="4"/>
    </row>
    <row r="7805" customFormat="false" ht="15" hidden="false" customHeight="false" outlineLevel="1" collapsed="false">
      <c r="A7805" s="7" t="s">
        <v>669</v>
      </c>
      <c r="B7805" s="8" t="s">
        <v>64</v>
      </c>
      <c r="C7805" s="63" t="n">
        <f aca="false">Pressupostos!$F$10+Pressupostos!$F$11</f>
        <v>3.65</v>
      </c>
      <c r="D7805" s="63" t="n">
        <f aca="false">Pressupostos!$F$10+Pressupostos!$F$11</f>
        <v>3.65</v>
      </c>
      <c r="E7805" s="63" t="n">
        <f aca="false">Pressupostos!$F$10+Pressupostos!$F$11</f>
        <v>3.65</v>
      </c>
      <c r="F7805" s="63" t="n">
        <f aca="false">Pressupostos!$F$10+Pressupostos!$F$11</f>
        <v>3.65</v>
      </c>
      <c r="G7805" s="63" t="n">
        <f aca="false">Pressupostos!$F$10+Pressupostos!$F$11</f>
        <v>3.65</v>
      </c>
      <c r="H7805" s="2" t="s">
        <v>1191</v>
      </c>
    </row>
    <row r="7806" customFormat="false" ht="15" hidden="false" customHeight="false" outlineLevel="1" collapsed="false">
      <c r="A7806" s="7" t="s">
        <v>670</v>
      </c>
      <c r="B7806" s="8" t="s">
        <v>64</v>
      </c>
      <c r="C7806" s="67" t="n">
        <f aca="false">Pressupostos!$F$15</f>
        <v>6</v>
      </c>
      <c r="D7806" s="67" t="n">
        <f aca="false">Pressupostos!$F$15</f>
        <v>6</v>
      </c>
      <c r="E7806" s="67" t="n">
        <f aca="false">Pressupostos!$F$15</f>
        <v>6</v>
      </c>
      <c r="F7806" s="67" t="n">
        <f aca="false">Pressupostos!$F$15</f>
        <v>6</v>
      </c>
      <c r="G7806" s="67" t="n">
        <f aca="false">Pressupostos!$F$15</f>
        <v>6</v>
      </c>
      <c r="H7806" s="2" t="s">
        <v>1192</v>
      </c>
    </row>
    <row r="7807" customFormat="false" ht="15" hidden="false" customHeight="false" outlineLevel="1" collapsed="false">
      <c r="A7807" s="56" t="s">
        <v>671</v>
      </c>
      <c r="B7807" s="57" t="s">
        <v>64</v>
      </c>
      <c r="C7807" s="68" t="n">
        <f aca="false">C7806*(1-Pressupostos!$F$16)</f>
        <v>5.4</v>
      </c>
      <c r="D7807" s="68" t="n">
        <f aca="false">D7806*(1-Pressupostos!$F$16)</f>
        <v>5.4</v>
      </c>
      <c r="E7807" s="68" t="n">
        <f aca="false">E7806*(1-Pressupostos!$F$16)</f>
        <v>5.4</v>
      </c>
      <c r="F7807" s="68" t="n">
        <f aca="false">F7806*(1-Pressupostos!$F$16)</f>
        <v>5.4</v>
      </c>
      <c r="G7807" s="68" t="n">
        <f aca="false">G7806*(1-Pressupostos!$F$16)</f>
        <v>5.4</v>
      </c>
      <c r="H7807" s="2" t="s">
        <v>1193</v>
      </c>
    </row>
    <row r="7808" customFormat="false" ht="15" hidden="false" customHeight="false" outlineLevel="1" collapsed="false">
      <c r="A7808" s="7" t="s">
        <v>144</v>
      </c>
      <c r="B7808" s="8" t="s">
        <v>64</v>
      </c>
      <c r="C7808" s="67" t="n">
        <f aca="false">Pressupostos!$C$38</f>
        <v>0.55</v>
      </c>
      <c r="D7808" s="67" t="n">
        <f aca="false">Pressupostos!$C$38</f>
        <v>0.55</v>
      </c>
      <c r="E7808" s="67" t="n">
        <f aca="false">Pressupostos!$C$38</f>
        <v>0.55</v>
      </c>
      <c r="F7808" s="67" t="n">
        <f aca="false">Pressupostos!$C$38</f>
        <v>0.55</v>
      </c>
      <c r="G7808" s="67" t="n">
        <f aca="false">Pressupostos!$C$38</f>
        <v>0.55</v>
      </c>
      <c r="H7808" s="2" t="s">
        <v>1194</v>
      </c>
    </row>
    <row r="7809" customFormat="false" ht="15" hidden="false" customHeight="false" outlineLevel="1" collapsed="false">
      <c r="A7809" s="7" t="s">
        <v>215</v>
      </c>
      <c r="B7809" s="8" t="s">
        <v>64</v>
      </c>
      <c r="C7809" s="67" t="n">
        <f aca="false">Pressupostos!$C$240</f>
        <v>0.3</v>
      </c>
      <c r="D7809" s="67" t="n">
        <f aca="false">Pressupostos!$D$240</f>
        <v>0.3</v>
      </c>
      <c r="E7809" s="67" t="n">
        <f aca="false">Pressupostos!$E$240</f>
        <v>0.28</v>
      </c>
      <c r="F7809" s="67" t="n">
        <f aca="false">Pressupostos!$F$240</f>
        <v>0.27</v>
      </c>
      <c r="G7809" s="67" t="n">
        <f aca="false">Pressupostos!$G$240</f>
        <v>0.27</v>
      </c>
      <c r="H7809" s="2" t="s">
        <v>1195</v>
      </c>
    </row>
    <row r="7810" customFormat="false" ht="15" hidden="false" customHeight="false" outlineLevel="1" collapsed="false">
      <c r="A7810" s="7" t="s">
        <v>117</v>
      </c>
      <c r="B7810" s="8" t="s">
        <v>64</v>
      </c>
      <c r="C7810" s="67" t="n">
        <f aca="false">Pressupostos!$C$39</f>
        <v>0.06</v>
      </c>
      <c r="D7810" s="67" t="n">
        <f aca="false">Pressupostos!$C$39</f>
        <v>0.06</v>
      </c>
      <c r="E7810" s="67" t="n">
        <f aca="false">Pressupostos!$C$39</f>
        <v>0.06</v>
      </c>
      <c r="F7810" s="67" t="n">
        <f aca="false">Pressupostos!$C$39</f>
        <v>0.06</v>
      </c>
      <c r="G7810" s="67" t="n">
        <f aca="false">Pressupostos!$C$39</f>
        <v>0.06</v>
      </c>
      <c r="H7810" s="2" t="s">
        <v>1196</v>
      </c>
    </row>
    <row r="7811" customFormat="false" ht="15" hidden="false" customHeight="false" outlineLevel="1" collapsed="false">
      <c r="A7811" s="7" t="s">
        <v>91</v>
      </c>
      <c r="B7811" s="8" t="s">
        <v>79</v>
      </c>
      <c r="C7811" s="69" t="n">
        <f aca="false">Pressupostos!$C$246</f>
        <v>180</v>
      </c>
      <c r="D7811" s="69" t="n">
        <f aca="false">Pressupostos!$D$246</f>
        <v>180</v>
      </c>
      <c r="E7811" s="69" t="n">
        <f aca="false">Pressupostos!$E$246</f>
        <v>45</v>
      </c>
      <c r="F7811" s="69" t="n">
        <f aca="false">Pressupostos!$F$246</f>
        <v>45</v>
      </c>
      <c r="G7811" s="69" t="n">
        <f aca="false">Pressupostos!$G$246</f>
        <v>45</v>
      </c>
      <c r="H7811" s="2" t="s">
        <v>1197</v>
      </c>
    </row>
    <row r="7812" customFormat="false" ht="15" hidden="false" customHeight="false" outlineLevel="1" collapsed="false">
      <c r="A7812" s="7" t="s">
        <v>78</v>
      </c>
      <c r="B7812" s="8" t="s">
        <v>79</v>
      </c>
      <c r="C7812" s="69" t="n">
        <f aca="false">Pressupostos!$F$17</f>
        <v>35</v>
      </c>
      <c r="D7812" s="69" t="n">
        <f aca="false">Pressupostos!$F$17</f>
        <v>35</v>
      </c>
      <c r="E7812" s="69" t="n">
        <f aca="false">Pressupostos!$F$17</f>
        <v>35</v>
      </c>
      <c r="F7812" s="69" t="n">
        <f aca="false">Pressupostos!$F$17</f>
        <v>35</v>
      </c>
      <c r="G7812" s="69" t="n">
        <f aca="false">Pressupostos!$F$17</f>
        <v>35</v>
      </c>
      <c r="H7812" s="2" t="s">
        <v>1198</v>
      </c>
    </row>
    <row r="7813" customFormat="false" ht="15" hidden="false" customHeight="false" outlineLevel="1" collapsed="false">
      <c r="A7813" s="7" t="s">
        <v>490</v>
      </c>
      <c r="B7813" s="8" t="s">
        <v>64</v>
      </c>
      <c r="C7813" s="63" t="n">
        <f aca="false">Pressupostos!$C$66*C7811/30/1000</f>
        <v>0.024</v>
      </c>
      <c r="D7813" s="63" t="n">
        <f aca="false">Pressupostos!$C$66*D7811/30/1000</f>
        <v>0.024</v>
      </c>
      <c r="E7813" s="63" t="n">
        <f aca="false">Pressupostos!$C$66*E7811/30/1000</f>
        <v>0.006</v>
      </c>
      <c r="F7813" s="63" t="n">
        <f aca="false">Pressupostos!$C$66*F7811/30/1000</f>
        <v>0.006</v>
      </c>
      <c r="G7813" s="63" t="n">
        <f aca="false">Pressupostos!$C$66*G7811/30/1000</f>
        <v>0.006</v>
      </c>
      <c r="H7813" s="2" t="s">
        <v>1199</v>
      </c>
    </row>
    <row r="7814" customFormat="false" ht="15" hidden="false" customHeight="false" outlineLevel="1" collapsed="false">
      <c r="A7814" s="7" t="s">
        <v>165</v>
      </c>
      <c r="B7814" s="8" t="s">
        <v>64</v>
      </c>
      <c r="C7814" s="63" t="n">
        <f aca="false">C7805*Pressupostos!$C$67*C7811/365</f>
        <v>0.0036</v>
      </c>
      <c r="D7814" s="63" t="n">
        <f aca="false">D7805*Pressupostos!$C$67*D7811/365</f>
        <v>0.0036</v>
      </c>
      <c r="E7814" s="63" t="n">
        <f aca="false">E7805*Pressupostos!$C$67*E7811/365</f>
        <v>0.0009</v>
      </c>
      <c r="F7814" s="63" t="n">
        <f aca="false">F7805*Pressupostos!$C$67*F7811/365</f>
        <v>0.0009</v>
      </c>
      <c r="G7814" s="63" t="n">
        <f aca="false">G7805*Pressupostos!$C$67*G7811/365</f>
        <v>0.0009</v>
      </c>
      <c r="H7814" s="2" t="s">
        <v>1200</v>
      </c>
    </row>
    <row r="7815" customFormat="false" ht="15" hidden="false" customHeight="false" outlineLevel="1" collapsed="false">
      <c r="A7815" s="7" t="s">
        <v>672</v>
      </c>
      <c r="B7815" s="8" t="s">
        <v>64</v>
      </c>
      <c r="C7815" s="63" t="n">
        <f aca="false">Pressupostos!$C$41*Pressupostos!$C$68/(Pressupostos!$C$40*1000)</f>
        <v>0.03</v>
      </c>
      <c r="D7815" s="63" t="n">
        <f aca="false">Pressupostos!$C$41*Pressupostos!$C$68/(Pressupostos!$C$40*1000)</f>
        <v>0.03</v>
      </c>
      <c r="E7815" s="63" t="n">
        <f aca="false">Pressupostos!$C$41*Pressupostos!$C$68/(Pressupostos!$C$40*1000)</f>
        <v>0.03</v>
      </c>
      <c r="F7815" s="63" t="n">
        <f aca="false">Pressupostos!$C$41*Pressupostos!$C$68/(Pressupostos!$C$40*1000)</f>
        <v>0.03</v>
      </c>
      <c r="G7815" s="63" t="n">
        <f aca="false">Pressupostos!$C$41*Pressupostos!$C$68/(Pressupostos!$C$40*1000)</f>
        <v>0.03</v>
      </c>
      <c r="H7815" s="2" t="s">
        <v>1201</v>
      </c>
    </row>
    <row r="7816" customFormat="false" ht="15" hidden="false" customHeight="false" outlineLevel="1" collapsed="false">
      <c r="A7816" s="7" t="s">
        <v>492</v>
      </c>
      <c r="B7816" s="8" t="s">
        <v>64</v>
      </c>
      <c r="C7816" s="63" t="n">
        <f aca="false">Pressupostos!$C$69*C7805</f>
        <v>0.01825</v>
      </c>
      <c r="D7816" s="63" t="n">
        <f aca="false">Pressupostos!$C$69*D7805</f>
        <v>0.01825</v>
      </c>
      <c r="E7816" s="63" t="n">
        <f aca="false">Pressupostos!$C$69*E7805</f>
        <v>0.01825</v>
      </c>
      <c r="F7816" s="63" t="n">
        <f aca="false">Pressupostos!$C$69*F7805</f>
        <v>0.01825</v>
      </c>
      <c r="G7816" s="63" t="n">
        <f aca="false">Pressupostos!$C$69*G7805</f>
        <v>0.01825</v>
      </c>
      <c r="H7816" s="2" t="s">
        <v>1202</v>
      </c>
    </row>
    <row r="7817" customFormat="false" ht="15" hidden="false" customHeight="false" outlineLevel="1" collapsed="false">
      <c r="A7817" s="7" t="s">
        <v>493</v>
      </c>
      <c r="B7817" s="8" t="s">
        <v>64</v>
      </c>
      <c r="C7817" s="63" t="n">
        <f aca="false">Pressupostos!$C$70*Pressupostos!$C$71*C7811/90</f>
        <v>0.018</v>
      </c>
      <c r="D7817" s="63" t="n">
        <f aca="false">Pressupostos!$C$70*Pressupostos!$C$71*D7811/90</f>
        <v>0.018</v>
      </c>
      <c r="E7817" s="63" t="n">
        <f aca="false">Pressupostos!$C$70*Pressupostos!$C$71*E7811/90</f>
        <v>0.0045</v>
      </c>
      <c r="F7817" s="63" t="n">
        <f aca="false">Pressupostos!$C$70*Pressupostos!$C$71*F7811/90</f>
        <v>0.0045</v>
      </c>
      <c r="G7817" s="63" t="n">
        <f aca="false">Pressupostos!$C$70*Pressupostos!$C$71*G7811/90</f>
        <v>0.0045</v>
      </c>
      <c r="H7817" s="2" t="s">
        <v>1203</v>
      </c>
    </row>
    <row r="7818" customFormat="false" ht="15" hidden="false" customHeight="false" outlineLevel="1" collapsed="false">
      <c r="A7818" s="7" t="s">
        <v>673</v>
      </c>
      <c r="B7818" s="8" t="s">
        <v>64</v>
      </c>
      <c r="C7818" s="63" t="n">
        <f aca="false">Pressupostos!$C$42/(Pressupostos!$C$40*1000)</f>
        <v>0.1</v>
      </c>
      <c r="D7818" s="63" t="n">
        <f aca="false">Pressupostos!$C$42/(Pressupostos!$C$40*1000)</f>
        <v>0.1</v>
      </c>
      <c r="E7818" s="63" t="n">
        <f aca="false">Pressupostos!$C$42/(Pressupostos!$C$40*1000)</f>
        <v>0.1</v>
      </c>
      <c r="F7818" s="63" t="n">
        <f aca="false">Pressupostos!$C$42/(Pressupostos!$C$40*1000)</f>
        <v>0.1</v>
      </c>
      <c r="G7818" s="63" t="n">
        <f aca="false">Pressupostos!$C$42/(Pressupostos!$C$40*1000)</f>
        <v>0.1</v>
      </c>
      <c r="H7818" s="2" t="s">
        <v>1204</v>
      </c>
    </row>
    <row r="7819" customFormat="false" ht="15" hidden="false" customHeight="false" outlineLevel="1" collapsed="false">
      <c r="A7819" s="7" t="s">
        <v>139</v>
      </c>
      <c r="B7819" s="8" t="s">
        <v>64</v>
      </c>
      <c r="C7819" s="67" t="n">
        <f aca="false">Pressupostos!$C$43</f>
        <v>0.01</v>
      </c>
      <c r="D7819" s="67" t="n">
        <f aca="false">Pressupostos!$C$43</f>
        <v>0.01</v>
      </c>
      <c r="E7819" s="67" t="n">
        <f aca="false">Pressupostos!$C$43</f>
        <v>0.01</v>
      </c>
      <c r="F7819" s="67" t="n">
        <f aca="false">Pressupostos!$C$43</f>
        <v>0.01</v>
      </c>
      <c r="G7819" s="67" t="n">
        <f aca="false">Pressupostos!$C$43</f>
        <v>0.01</v>
      </c>
      <c r="H7819" s="2" t="s">
        <v>1205</v>
      </c>
    </row>
    <row r="7820" customFormat="false" ht="15" hidden="false" customHeight="false" outlineLevel="1" collapsed="false">
      <c r="A7820" s="7" t="s">
        <v>81</v>
      </c>
      <c r="B7820" s="8" t="s">
        <v>64</v>
      </c>
      <c r="C7820" s="63" t="n">
        <f aca="false">Pressupostos!$F$18*C7807</f>
        <v>0.0324</v>
      </c>
      <c r="D7820" s="63" t="n">
        <f aca="false">Pressupostos!$F$18*D7807</f>
        <v>0.0324</v>
      </c>
      <c r="E7820" s="63" t="n">
        <f aca="false">Pressupostos!$F$18*E7807</f>
        <v>0.0324</v>
      </c>
      <c r="F7820" s="63" t="n">
        <f aca="false">Pressupostos!$F$18*F7807</f>
        <v>0.0324</v>
      </c>
      <c r="G7820" s="63" t="n">
        <f aca="false">Pressupostos!$F$18*G7807</f>
        <v>0.0324</v>
      </c>
      <c r="H7820" s="2" t="s">
        <v>1206</v>
      </c>
    </row>
    <row r="7821" customFormat="false" ht="15" hidden="false" customHeight="false" outlineLevel="1" collapsed="false">
      <c r="A7821" s="7" t="s">
        <v>674</v>
      </c>
      <c r="B7821" s="8" t="s">
        <v>64</v>
      </c>
      <c r="C7821" s="63" t="n">
        <f aca="false">Pressupostos!$C$73*C7807</f>
        <v>0</v>
      </c>
      <c r="D7821" s="63" t="n">
        <f aca="false">Pressupostos!$C$73*D7807</f>
        <v>0</v>
      </c>
      <c r="E7821" s="63" t="n">
        <f aca="false">Pressupostos!$C$73*E7807</f>
        <v>0</v>
      </c>
      <c r="F7821" s="63" t="n">
        <f aca="false">Pressupostos!$C$73*F7807</f>
        <v>0</v>
      </c>
      <c r="G7821" s="63" t="n">
        <f aca="false">Pressupostos!$C$73*G7807</f>
        <v>0</v>
      </c>
      <c r="H7821" s="2" t="s">
        <v>1207</v>
      </c>
    </row>
    <row r="7822" customFormat="false" ht="15" hidden="false" customHeight="false" outlineLevel="1" collapsed="false">
      <c r="A7822" s="7" t="s">
        <v>675</v>
      </c>
      <c r="B7822" s="8" t="s">
        <v>64</v>
      </c>
      <c r="C7822" s="63" t="n">
        <f aca="false">Pressupostos!$C$290*(C7805+C7808)*(C7811+C7812-Pressupostos!$C$72)/365*(Pressupostos!$C$282)/Pressupostos!$F$31</f>
        <v>0</v>
      </c>
      <c r="D7822" s="63" t="n">
        <f aca="false">Pressupostos!$D$290*(D7805+D7808)*(D7811+D7812-Pressupostos!$C$72)/365*(Pressupostos!$D$282)/Pressupostos!$F$31</f>
        <v>0.19158904109589</v>
      </c>
      <c r="E7822" s="63" t="n">
        <f aca="false">Pressupostos!$E$290*(E7805+E7808)*(E7811+E7812-Pressupostos!$C$72)/365*(Pressupostos!$E$282)/Pressupostos!$F$31</f>
        <v>0.0485445205479452</v>
      </c>
      <c r="F7822" s="63" t="n">
        <f aca="false">Pressupostos!$F$290*(F7805+F7808)*(F7811+F7812-Pressupostos!$C$72)/365*(Pressupostos!$F$282)/Pressupostos!$F$31</f>
        <v>0.0453082191780822</v>
      </c>
      <c r="G7822" s="63" t="n">
        <f aca="false">Pressupostos!$G$290*(G7805+G7808)*(G7811+G7812-Pressupostos!$C$72)/365*(Pressupostos!$G$282)/Pressupostos!$F$31</f>
        <v>0.0453082191780822</v>
      </c>
      <c r="H7822" s="2" t="s">
        <v>1208</v>
      </c>
    </row>
    <row r="7823" customFormat="false" ht="15" hidden="false" customHeight="false" outlineLevel="1" collapsed="false">
      <c r="A7823" s="7" t="s">
        <v>676</v>
      </c>
      <c r="B7823" s="8" t="s">
        <v>64</v>
      </c>
      <c r="C7823" s="63" t="n">
        <f aca="false">C7805+C7808+C7809+C7810+C7813+C7814+C7815+C7816+C7817+C7818+C7819+C7820+C7821+C7822</f>
        <v>4.79625</v>
      </c>
      <c r="D7823" s="63" t="n">
        <f aca="false">D7805+D7808+D7809+D7810+D7813+D7814+D7815+D7816+D7817+D7818+D7819+D7820+D7821+D7822</f>
        <v>4.98783904109589</v>
      </c>
      <c r="E7823" s="63" t="n">
        <f aca="false">E7805+E7808+E7809+E7810+E7813+E7814+E7815+E7816+E7817+E7818+E7819+E7820+E7821+E7822</f>
        <v>4.79059452054795</v>
      </c>
      <c r="F7823" s="63" t="n">
        <f aca="false">F7805+F7808+F7809+F7810+F7813+F7814+F7815+F7816+F7817+F7818+F7819+F7820+F7821+F7822</f>
        <v>4.77735821917808</v>
      </c>
      <c r="G7823" s="63" t="n">
        <f aca="false">G7805+G7808+G7809+G7810+G7813+G7814+G7815+G7816+G7817+G7818+G7819+G7820+G7821+G7822</f>
        <v>4.77735821917808</v>
      </c>
      <c r="H7823" s="2" t="s">
        <v>1209</v>
      </c>
    </row>
    <row r="7824" customFormat="false" ht="15" hidden="false" customHeight="false" outlineLevel="1" collapsed="false">
      <c r="A7824" s="56" t="s">
        <v>677</v>
      </c>
      <c r="B7824" s="57" t="s">
        <v>64</v>
      </c>
      <c r="C7824" s="68" t="n">
        <f aca="false">C7807-C7823</f>
        <v>0.603750000000002</v>
      </c>
      <c r="D7824" s="68" t="n">
        <f aca="false">D7807-D7823</f>
        <v>0.412160958904111</v>
      </c>
      <c r="E7824" s="68" t="n">
        <f aca="false">E7807-E7823</f>
        <v>0.609405479452056</v>
      </c>
      <c r="F7824" s="68" t="n">
        <f aca="false">F7807-F7823</f>
        <v>0.622641780821918</v>
      </c>
      <c r="G7824" s="68" t="n">
        <f aca="false">G7807-G7823</f>
        <v>0.622641780821918</v>
      </c>
      <c r="H7824" s="2" t="s">
        <v>1210</v>
      </c>
    </row>
    <row r="7825" customFormat="false" ht="15" hidden="false" customHeight="false" outlineLevel="1" collapsed="false">
      <c r="A7825" s="7" t="s">
        <v>678</v>
      </c>
      <c r="B7825" s="8" t="s">
        <v>76</v>
      </c>
      <c r="C7825" s="59" t="n">
        <f aca="false">IF(C7807&gt;0,C7824/C7807,0)</f>
        <v>0.111805555555556</v>
      </c>
      <c r="D7825" s="59" t="n">
        <f aca="false">IF(D7807&gt;0,D7824/D7807,0)</f>
        <v>0.0763261035007613</v>
      </c>
      <c r="E7825" s="59" t="n">
        <f aca="false">IF(E7807&gt;0,E7824/E7807,0)</f>
        <v>0.112852866565195</v>
      </c>
      <c r="F7825" s="59" t="n">
        <f aca="false">IF(F7807&gt;0,F7824/F7807,0)</f>
        <v>0.11530403348554</v>
      </c>
      <c r="G7825" s="59" t="n">
        <f aca="false">IF(G7807&gt;0,G7824/G7807,0)</f>
        <v>0.11530403348554</v>
      </c>
      <c r="H7825" s="2" t="s">
        <v>1211</v>
      </c>
    </row>
    <row r="7826" customFormat="false" ht="15" hidden="false" customHeight="false" outlineLevel="1" collapsed="false">
      <c r="A7826" s="7" t="s">
        <v>679</v>
      </c>
      <c r="B7826" s="8" t="s">
        <v>64</v>
      </c>
      <c r="C7826" s="63" t="n">
        <f aca="false">(C7805+C7808)*(C7811-Pressupostos!$C$72)/365+C7807*C7812/365</f>
        <v>2.24383561643836</v>
      </c>
      <c r="D7826" s="63" t="n">
        <f aca="false">(D7805+D7808)*(D7811-Pressupostos!$C$72)/365+D7807*D7812/365</f>
        <v>2.24383561643836</v>
      </c>
      <c r="E7826" s="63" t="n">
        <f aca="false">(E7805+E7808)*(E7811-Pressupostos!$C$72)/365+E7807*E7812/365</f>
        <v>0.69041095890411</v>
      </c>
      <c r="F7826" s="63" t="n">
        <f aca="false">(F7805+F7808)*(F7811-Pressupostos!$C$72)/365+F7807*F7812/365</f>
        <v>0.69041095890411</v>
      </c>
      <c r="G7826" s="63" t="n">
        <f aca="false">(G7805+G7808)*(G7811-Pressupostos!$C$72)/365+G7807*G7812/365</f>
        <v>0.69041095890411</v>
      </c>
      <c r="H7826" s="2" t="s">
        <v>1212</v>
      </c>
    </row>
    <row r="7827" customFormat="false" ht="15" hidden="false" customHeight="false" outlineLevel="0" collapsed="false">
      <c r="A7827" s="3" t="s">
        <v>1213</v>
      </c>
      <c r="B7827" s="4"/>
      <c r="C7827" s="4"/>
      <c r="D7827" s="4"/>
      <c r="E7827" s="4"/>
      <c r="F7827" s="4"/>
      <c r="G7827" s="4"/>
      <c r="H7827" s="4"/>
    </row>
    <row r="7828" customFormat="false" ht="15" hidden="false" customHeight="false" outlineLevel="1" collapsed="false">
      <c r="A7828" s="7" t="s">
        <v>669</v>
      </c>
      <c r="B7828" s="8" t="s">
        <v>64</v>
      </c>
      <c r="C7828" s="63" t="n">
        <f aca="false">Pressupostos!$F$10+Pressupostos!$F$12</f>
        <v>3.6</v>
      </c>
      <c r="D7828" s="63" t="n">
        <f aca="false">Pressupostos!$F$10+Pressupostos!$F$12</f>
        <v>3.6</v>
      </c>
      <c r="E7828" s="63" t="n">
        <f aca="false">Pressupostos!$F$10+Pressupostos!$F$12</f>
        <v>3.6</v>
      </c>
      <c r="F7828" s="63" t="n">
        <f aca="false">Pressupostos!$F$10+Pressupostos!$F$12</f>
        <v>3.6</v>
      </c>
      <c r="G7828" s="63" t="n">
        <f aca="false">Pressupostos!$F$10+Pressupostos!$F$12</f>
        <v>3.6</v>
      </c>
      <c r="H7828" s="2" t="s">
        <v>1214</v>
      </c>
    </row>
    <row r="7829" customFormat="false" ht="15" hidden="false" customHeight="false" outlineLevel="1" collapsed="false">
      <c r="A7829" s="7" t="s">
        <v>670</v>
      </c>
      <c r="B7829" s="8" t="s">
        <v>64</v>
      </c>
      <c r="C7829" s="63" t="n">
        <f aca="false">Pressupostos!$F$20+Pressupostos!$F$21</f>
        <v>4.45</v>
      </c>
      <c r="D7829" s="63" t="n">
        <f aca="false">Pressupostos!$F$20+Pressupostos!$F$21</f>
        <v>4.45</v>
      </c>
      <c r="E7829" s="63" t="n">
        <f aca="false">Pressupostos!$F$20+Pressupostos!$F$21</f>
        <v>4.45</v>
      </c>
      <c r="F7829" s="63" t="n">
        <f aca="false">Pressupostos!$F$20+Pressupostos!$F$21</f>
        <v>4.45</v>
      </c>
      <c r="G7829" s="63" t="n">
        <f aca="false">Pressupostos!$F$20+Pressupostos!$F$21</f>
        <v>4.45</v>
      </c>
      <c r="H7829" s="2" t="s">
        <v>1215</v>
      </c>
    </row>
    <row r="7830" customFormat="false" ht="15" hidden="false" customHeight="false" outlineLevel="1" collapsed="false">
      <c r="A7830" s="56" t="s">
        <v>671</v>
      </c>
      <c r="B7830" s="57" t="s">
        <v>64</v>
      </c>
      <c r="C7830" s="68" t="n">
        <f aca="false">C7829*(1-Pressupostos!$F$22)</f>
        <v>4.45</v>
      </c>
      <c r="D7830" s="68" t="n">
        <f aca="false">D7829*(1-Pressupostos!$F$22)</f>
        <v>4.45</v>
      </c>
      <c r="E7830" s="68" t="n">
        <f aca="false">E7829*(1-Pressupostos!$F$22)</f>
        <v>4.45</v>
      </c>
      <c r="F7830" s="68" t="n">
        <f aca="false">F7829*(1-Pressupostos!$F$22)</f>
        <v>4.45</v>
      </c>
      <c r="G7830" s="68" t="n">
        <f aca="false">G7829*(1-Pressupostos!$F$22)</f>
        <v>4.45</v>
      </c>
      <c r="H7830" s="2" t="s">
        <v>1216</v>
      </c>
    </row>
    <row r="7831" customFormat="false" ht="15" hidden="false" customHeight="false" outlineLevel="1" collapsed="false">
      <c r="A7831" s="7" t="s">
        <v>144</v>
      </c>
      <c r="B7831" s="8" t="s">
        <v>64</v>
      </c>
      <c r="C7831" s="67" t="n">
        <f aca="false">Pressupostos!$C$45</f>
        <v>0.45</v>
      </c>
      <c r="D7831" s="67" t="n">
        <f aca="false">Pressupostos!$C$45</f>
        <v>0.45</v>
      </c>
      <c r="E7831" s="67" t="n">
        <f aca="false">Pressupostos!$C$45</f>
        <v>0.45</v>
      </c>
      <c r="F7831" s="67" t="n">
        <f aca="false">Pressupostos!$C$45</f>
        <v>0.45</v>
      </c>
      <c r="G7831" s="67" t="n">
        <f aca="false">Pressupostos!$C$45</f>
        <v>0.45</v>
      </c>
      <c r="H7831" s="2" t="s">
        <v>1217</v>
      </c>
    </row>
    <row r="7832" customFormat="false" ht="15" hidden="false" customHeight="false" outlineLevel="1" collapsed="false">
      <c r="A7832" s="7" t="s">
        <v>215</v>
      </c>
      <c r="B7832" s="8" t="s">
        <v>64</v>
      </c>
      <c r="C7832" s="67" t="n">
        <f aca="false">Pressupostos!$C$252</f>
        <v>0.1</v>
      </c>
      <c r="D7832" s="67" t="n">
        <f aca="false">Pressupostos!$D$252</f>
        <v>0.1</v>
      </c>
      <c r="E7832" s="67" t="n">
        <f aca="false">Pressupostos!$E$252</f>
        <v>0.09</v>
      </c>
      <c r="F7832" s="67" t="n">
        <f aca="false">Pressupostos!$F$252</f>
        <v>0.09</v>
      </c>
      <c r="G7832" s="67" t="n">
        <f aca="false">Pressupostos!$G$252</f>
        <v>0.09</v>
      </c>
      <c r="H7832" s="2" t="s">
        <v>1218</v>
      </c>
    </row>
    <row r="7833" customFormat="false" ht="15" hidden="false" customHeight="false" outlineLevel="1" collapsed="false">
      <c r="A7833" s="7" t="s">
        <v>117</v>
      </c>
      <c r="B7833" s="8" t="s">
        <v>64</v>
      </c>
      <c r="C7833" s="67" t="n">
        <f aca="false">Pressupostos!$C$46</f>
        <v>0</v>
      </c>
      <c r="D7833" s="67" t="n">
        <f aca="false">Pressupostos!$C$46</f>
        <v>0</v>
      </c>
      <c r="E7833" s="67" t="n">
        <f aca="false">Pressupostos!$C$46</f>
        <v>0</v>
      </c>
      <c r="F7833" s="67" t="n">
        <f aca="false">Pressupostos!$C$46</f>
        <v>0</v>
      </c>
      <c r="G7833" s="67" t="n">
        <f aca="false">Pressupostos!$C$46</f>
        <v>0</v>
      </c>
      <c r="H7833" s="2" t="s">
        <v>1219</v>
      </c>
    </row>
    <row r="7834" customFormat="false" ht="15" hidden="false" customHeight="false" outlineLevel="1" collapsed="false">
      <c r="A7834" s="7" t="s">
        <v>91</v>
      </c>
      <c r="B7834" s="8" t="s">
        <v>79</v>
      </c>
      <c r="C7834" s="69" t="n">
        <f aca="false">Pressupostos!$F$23</f>
        <v>30</v>
      </c>
      <c r="D7834" s="69" t="n">
        <f aca="false">Pressupostos!$F$23</f>
        <v>30</v>
      </c>
      <c r="E7834" s="69" t="n">
        <f aca="false">Pressupostos!$F$23</f>
        <v>30</v>
      </c>
      <c r="F7834" s="69" t="n">
        <f aca="false">Pressupostos!$F$23</f>
        <v>30</v>
      </c>
      <c r="G7834" s="69" t="n">
        <f aca="false">Pressupostos!$F$23</f>
        <v>30</v>
      </c>
      <c r="H7834" s="2" t="s">
        <v>1220</v>
      </c>
    </row>
    <row r="7835" customFormat="false" ht="15" hidden="false" customHeight="false" outlineLevel="1" collapsed="false">
      <c r="A7835" s="7" t="s">
        <v>78</v>
      </c>
      <c r="B7835" s="8" t="s">
        <v>79</v>
      </c>
      <c r="C7835" s="69" t="n">
        <f aca="false">Pressupostos!$F$24</f>
        <v>55</v>
      </c>
      <c r="D7835" s="69" t="n">
        <f aca="false">Pressupostos!$F$24</f>
        <v>55</v>
      </c>
      <c r="E7835" s="69" t="n">
        <f aca="false">Pressupostos!$F$24</f>
        <v>55</v>
      </c>
      <c r="F7835" s="69" t="n">
        <f aca="false">Pressupostos!$F$24</f>
        <v>55</v>
      </c>
      <c r="G7835" s="69" t="n">
        <f aca="false">Pressupostos!$F$24</f>
        <v>55</v>
      </c>
      <c r="H7835" s="2" t="s">
        <v>1221</v>
      </c>
    </row>
    <row r="7836" customFormat="false" ht="15" hidden="false" customHeight="false" outlineLevel="1" collapsed="false">
      <c r="A7836" s="7" t="s">
        <v>490</v>
      </c>
      <c r="B7836" s="8" t="s">
        <v>64</v>
      </c>
      <c r="C7836" s="63" t="n">
        <f aca="false">Pressupostos!$C$66*C7834/30/1000</f>
        <v>0.004</v>
      </c>
      <c r="D7836" s="63" t="n">
        <f aca="false">Pressupostos!$C$66*D7834/30/1000</f>
        <v>0.004</v>
      </c>
      <c r="E7836" s="63" t="n">
        <f aca="false">Pressupostos!$C$66*E7834/30/1000</f>
        <v>0.004</v>
      </c>
      <c r="F7836" s="63" t="n">
        <f aca="false">Pressupostos!$C$66*F7834/30/1000</f>
        <v>0.004</v>
      </c>
      <c r="G7836" s="63" t="n">
        <f aca="false">Pressupostos!$C$66*G7834/30/1000</f>
        <v>0.004</v>
      </c>
      <c r="H7836" s="2" t="s">
        <v>1222</v>
      </c>
    </row>
    <row r="7837" customFormat="false" ht="15" hidden="false" customHeight="false" outlineLevel="1" collapsed="false">
      <c r="A7837" s="7" t="s">
        <v>165</v>
      </c>
      <c r="B7837" s="8" t="s">
        <v>64</v>
      </c>
      <c r="C7837" s="63" t="n">
        <f aca="false">C7828*Pressupostos!$C$67*C7834/365</f>
        <v>0.000591780821917808</v>
      </c>
      <c r="D7837" s="63" t="n">
        <f aca="false">D7828*Pressupostos!$C$67*D7834/365</f>
        <v>0.000591780821917808</v>
      </c>
      <c r="E7837" s="63" t="n">
        <f aca="false">E7828*Pressupostos!$C$67*E7834/365</f>
        <v>0.000591780821917808</v>
      </c>
      <c r="F7837" s="63" t="n">
        <f aca="false">F7828*Pressupostos!$C$67*F7834/365</f>
        <v>0.000591780821917808</v>
      </c>
      <c r="G7837" s="63" t="n">
        <f aca="false">G7828*Pressupostos!$C$67*G7834/365</f>
        <v>0.000591780821917808</v>
      </c>
      <c r="H7837" s="2" t="s">
        <v>1223</v>
      </c>
    </row>
    <row r="7838" customFormat="false" ht="15" hidden="false" customHeight="false" outlineLevel="1" collapsed="false">
      <c r="A7838" s="7" t="s">
        <v>672</v>
      </c>
      <c r="B7838" s="8" t="s">
        <v>64</v>
      </c>
      <c r="C7838" s="63" t="n">
        <f aca="false">Pressupostos!$C$48*Pressupostos!$C$68/(Pressupostos!$C$47*1000)</f>
        <v>0.02</v>
      </c>
      <c r="D7838" s="63" t="n">
        <f aca="false">Pressupostos!$C$48*Pressupostos!$C$68/(Pressupostos!$C$47*1000)</f>
        <v>0.02</v>
      </c>
      <c r="E7838" s="63" t="n">
        <f aca="false">Pressupostos!$C$48*Pressupostos!$C$68/(Pressupostos!$C$47*1000)</f>
        <v>0.02</v>
      </c>
      <c r="F7838" s="63" t="n">
        <f aca="false">Pressupostos!$C$48*Pressupostos!$C$68/(Pressupostos!$C$47*1000)</f>
        <v>0.02</v>
      </c>
      <c r="G7838" s="63" t="n">
        <f aca="false">Pressupostos!$C$48*Pressupostos!$C$68/(Pressupostos!$C$47*1000)</f>
        <v>0.02</v>
      </c>
      <c r="H7838" s="2" t="s">
        <v>1224</v>
      </c>
    </row>
    <row r="7839" customFormat="false" ht="15" hidden="false" customHeight="false" outlineLevel="1" collapsed="false">
      <c r="A7839" s="7" t="s">
        <v>492</v>
      </c>
      <c r="B7839" s="8" t="s">
        <v>64</v>
      </c>
      <c r="C7839" s="63" t="n">
        <f aca="false">Pressupostos!$C$69*C7828</f>
        <v>0.018</v>
      </c>
      <c r="D7839" s="63" t="n">
        <f aca="false">Pressupostos!$C$69*D7828</f>
        <v>0.018</v>
      </c>
      <c r="E7839" s="63" t="n">
        <f aca="false">Pressupostos!$C$69*E7828</f>
        <v>0.018</v>
      </c>
      <c r="F7839" s="63" t="n">
        <f aca="false">Pressupostos!$C$69*F7828</f>
        <v>0.018</v>
      </c>
      <c r="G7839" s="63" t="n">
        <f aca="false">Pressupostos!$C$69*G7828</f>
        <v>0.018</v>
      </c>
      <c r="H7839" s="2" t="s">
        <v>1225</v>
      </c>
    </row>
    <row r="7840" customFormat="false" ht="15" hidden="false" customHeight="false" outlineLevel="1" collapsed="false">
      <c r="A7840" s="7" t="s">
        <v>493</v>
      </c>
      <c r="B7840" s="8" t="s">
        <v>64</v>
      </c>
      <c r="C7840" s="63" t="n">
        <f aca="false">Pressupostos!$C$70*Pressupostos!$C$71*C7834/90</f>
        <v>0.003</v>
      </c>
      <c r="D7840" s="63" t="n">
        <f aca="false">Pressupostos!$C$70*Pressupostos!$C$71*D7834/90</f>
        <v>0.003</v>
      </c>
      <c r="E7840" s="63" t="n">
        <f aca="false">Pressupostos!$C$70*Pressupostos!$C$71*E7834/90</f>
        <v>0.003</v>
      </c>
      <c r="F7840" s="63" t="n">
        <f aca="false">Pressupostos!$C$70*Pressupostos!$C$71*F7834/90</f>
        <v>0.003</v>
      </c>
      <c r="G7840" s="63" t="n">
        <f aca="false">Pressupostos!$C$70*Pressupostos!$C$71*G7834/90</f>
        <v>0.003</v>
      </c>
      <c r="H7840" s="2" t="s">
        <v>1226</v>
      </c>
    </row>
    <row r="7841" customFormat="false" ht="15" hidden="false" customHeight="false" outlineLevel="1" collapsed="false">
      <c r="A7841" s="7" t="s">
        <v>673</v>
      </c>
      <c r="B7841" s="8" t="s">
        <v>64</v>
      </c>
      <c r="C7841" s="63" t="n">
        <f aca="false">Pressupostos!$C$49/(Pressupostos!$C$47*1000)</f>
        <v>0.04</v>
      </c>
      <c r="D7841" s="63" t="n">
        <f aca="false">Pressupostos!$C$49/(Pressupostos!$C$47*1000)</f>
        <v>0.04</v>
      </c>
      <c r="E7841" s="63" t="n">
        <f aca="false">Pressupostos!$C$49/(Pressupostos!$C$47*1000)</f>
        <v>0.04</v>
      </c>
      <c r="F7841" s="63" t="n">
        <f aca="false">Pressupostos!$C$49/(Pressupostos!$C$47*1000)</f>
        <v>0.04</v>
      </c>
      <c r="G7841" s="63" t="n">
        <f aca="false">Pressupostos!$C$49/(Pressupostos!$C$47*1000)</f>
        <v>0.04</v>
      </c>
      <c r="H7841" s="2" t="s">
        <v>1227</v>
      </c>
    </row>
    <row r="7842" customFormat="false" ht="15" hidden="false" customHeight="false" outlineLevel="1" collapsed="false">
      <c r="A7842" s="7" t="s">
        <v>139</v>
      </c>
      <c r="B7842" s="8" t="s">
        <v>64</v>
      </c>
      <c r="C7842" s="67" t="n">
        <f aca="false">Pressupostos!$C$50</f>
        <v>0.005</v>
      </c>
      <c r="D7842" s="67" t="n">
        <f aca="false">Pressupostos!$C$50</f>
        <v>0.005</v>
      </c>
      <c r="E7842" s="67" t="n">
        <f aca="false">Pressupostos!$C$50</f>
        <v>0.005</v>
      </c>
      <c r="F7842" s="67" t="n">
        <f aca="false">Pressupostos!$C$50</f>
        <v>0.005</v>
      </c>
      <c r="G7842" s="67" t="n">
        <f aca="false">Pressupostos!$C$50</f>
        <v>0.005</v>
      </c>
      <c r="H7842" s="2" t="s">
        <v>1228</v>
      </c>
    </row>
    <row r="7843" customFormat="false" ht="15" hidden="false" customHeight="false" outlineLevel="1" collapsed="false">
      <c r="A7843" s="7" t="s">
        <v>81</v>
      </c>
      <c r="B7843" s="8" t="s">
        <v>64</v>
      </c>
      <c r="C7843" s="63" t="n">
        <f aca="false">Pressupostos!$F$25*C7830</f>
        <v>0.01335</v>
      </c>
      <c r="D7843" s="63" t="n">
        <f aca="false">Pressupostos!$F$25*D7830</f>
        <v>0.01335</v>
      </c>
      <c r="E7843" s="63" t="n">
        <f aca="false">Pressupostos!$F$25*E7830</f>
        <v>0.01335</v>
      </c>
      <c r="F7843" s="63" t="n">
        <f aca="false">Pressupostos!$F$25*F7830</f>
        <v>0.01335</v>
      </c>
      <c r="G7843" s="63" t="n">
        <f aca="false">Pressupostos!$F$25*G7830</f>
        <v>0.01335</v>
      </c>
      <c r="H7843" s="2" t="s">
        <v>1229</v>
      </c>
    </row>
    <row r="7844" customFormat="false" ht="15" hidden="false" customHeight="false" outlineLevel="1" collapsed="false">
      <c r="A7844" s="7" t="s">
        <v>674</v>
      </c>
      <c r="B7844" s="8" t="s">
        <v>64</v>
      </c>
      <c r="C7844" s="63" t="n">
        <f aca="false">Pressupostos!$C$73*C7830</f>
        <v>0</v>
      </c>
      <c r="D7844" s="63" t="n">
        <f aca="false">Pressupostos!$C$73*D7830</f>
        <v>0</v>
      </c>
      <c r="E7844" s="63" t="n">
        <f aca="false">Pressupostos!$C$73*E7830</f>
        <v>0</v>
      </c>
      <c r="F7844" s="63" t="n">
        <f aca="false">Pressupostos!$C$73*F7830</f>
        <v>0</v>
      </c>
      <c r="G7844" s="63" t="n">
        <f aca="false">Pressupostos!$C$73*G7830</f>
        <v>0</v>
      </c>
      <c r="H7844" s="2" t="s">
        <v>1230</v>
      </c>
    </row>
    <row r="7845" customFormat="false" ht="15" hidden="false" customHeight="false" outlineLevel="1" collapsed="false">
      <c r="A7845" s="7" t="s">
        <v>675</v>
      </c>
      <c r="B7845" s="8" t="s">
        <v>64</v>
      </c>
      <c r="C7845" s="63" t="n">
        <f aca="false">Pressupostos!$C$290*(C7828+C7831)*(C7834+C7835-Pressupostos!$C$72)/365*(Pressupostos!$C$282)/Pressupostos!$F$31</f>
        <v>0</v>
      </c>
      <c r="D7845" s="63" t="n">
        <f aca="false">Pressupostos!$D$290*(D7828+D7831)*(D7834+D7835-Pressupostos!$C$72)/365*(Pressupostos!$D$282)/Pressupostos!$F$31</f>
        <v>0.0549246575342466</v>
      </c>
      <c r="E7845" s="63" t="n">
        <f aca="false">Pressupostos!$E$290*(E7828+E7831)*(E7834+E7835-Pressupostos!$C$72)/365*(Pressupostos!$E$282)/Pressupostos!$F$31</f>
        <v>0.0514918664383562</v>
      </c>
      <c r="F7845" s="63" t="n">
        <f aca="false">Pressupostos!$F$290*(F7828+F7831)*(F7834+F7835-Pressupostos!$C$72)/365*(Pressupostos!$F$282)/Pressupostos!$F$31</f>
        <v>0.0480590753424658</v>
      </c>
      <c r="G7845" s="63" t="n">
        <f aca="false">Pressupostos!$G$290*(G7828+G7831)*(G7834+G7835-Pressupostos!$C$72)/365*(Pressupostos!$G$282)/Pressupostos!$F$31</f>
        <v>0.0480590753424658</v>
      </c>
      <c r="H7845" s="2" t="s">
        <v>1231</v>
      </c>
    </row>
    <row r="7846" customFormat="false" ht="15" hidden="false" customHeight="false" outlineLevel="1" collapsed="false">
      <c r="A7846" s="7" t="s">
        <v>676</v>
      </c>
      <c r="B7846" s="8" t="s">
        <v>64</v>
      </c>
      <c r="C7846" s="63" t="n">
        <f aca="false">C7828+C7831+C7832+C7833+C7836+C7837+C7838+C7839+C7840+C7841+C7842+C7843+C7844+C7845</f>
        <v>4.25394178082192</v>
      </c>
      <c r="D7846" s="63" t="n">
        <f aca="false">D7828+D7831+D7832+D7833+D7836+D7837+D7838+D7839+D7840+D7841+D7842+D7843+D7844+D7845</f>
        <v>4.30886643835616</v>
      </c>
      <c r="E7846" s="63" t="n">
        <f aca="false">E7828+E7831+E7832+E7833+E7836+E7837+E7838+E7839+E7840+E7841+E7842+E7843+E7844+E7845</f>
        <v>4.29543364726027</v>
      </c>
      <c r="F7846" s="63" t="n">
        <f aca="false">F7828+F7831+F7832+F7833+F7836+F7837+F7838+F7839+F7840+F7841+F7842+F7843+F7844+F7845</f>
        <v>4.29200085616438</v>
      </c>
      <c r="G7846" s="63" t="n">
        <f aca="false">G7828+G7831+G7832+G7833+G7836+G7837+G7838+G7839+G7840+G7841+G7842+G7843+G7844+G7845</f>
        <v>4.29200085616438</v>
      </c>
      <c r="H7846" s="2" t="s">
        <v>1232</v>
      </c>
    </row>
    <row r="7847" customFormat="false" ht="15" hidden="false" customHeight="false" outlineLevel="1" collapsed="false">
      <c r="A7847" s="56" t="s">
        <v>677</v>
      </c>
      <c r="B7847" s="57" t="s">
        <v>64</v>
      </c>
      <c r="C7847" s="68" t="n">
        <f aca="false">C7830-C7846</f>
        <v>0.196058219178083</v>
      </c>
      <c r="D7847" s="68" t="n">
        <f aca="false">D7830-D7846</f>
        <v>0.141133561643836</v>
      </c>
      <c r="E7847" s="68" t="n">
        <f aca="false">E7830-E7846</f>
        <v>0.154566352739726</v>
      </c>
      <c r="F7847" s="68" t="n">
        <f aca="false">F7830-F7846</f>
        <v>0.157999143835617</v>
      </c>
      <c r="G7847" s="68" t="n">
        <f aca="false">G7830-G7846</f>
        <v>0.157999143835617</v>
      </c>
      <c r="H7847" s="2" t="s">
        <v>1233</v>
      </c>
    </row>
    <row r="7848" customFormat="false" ht="15" hidden="false" customHeight="false" outlineLevel="1" collapsed="false">
      <c r="A7848" s="7" t="s">
        <v>678</v>
      </c>
      <c r="B7848" s="8" t="s">
        <v>76</v>
      </c>
      <c r="C7848" s="59" t="n">
        <f aca="false">IF(C7830&gt;0,C7847/C7830,0)</f>
        <v>0.0440580267815916</v>
      </c>
      <c r="D7848" s="59" t="n">
        <f aca="false">IF(D7830&gt;0,D7847/D7830,0)</f>
        <v>0.0317154071109745</v>
      </c>
      <c r="E7848" s="59" t="n">
        <f aca="false">IF(E7830&gt;0,E7847/E7830,0)</f>
        <v>0.0347340118516239</v>
      </c>
      <c r="F7848" s="59" t="n">
        <f aca="false">IF(F7830&gt;0,F7847/F7830,0)</f>
        <v>0.0355054255810374</v>
      </c>
      <c r="G7848" s="59" t="n">
        <f aca="false">IF(G7830&gt;0,G7847/G7830,0)</f>
        <v>0.0355054255810374</v>
      </c>
      <c r="H7848" s="2" t="s">
        <v>1234</v>
      </c>
    </row>
    <row r="7849" customFormat="false" ht="15" hidden="false" customHeight="false" outlineLevel="1" collapsed="false">
      <c r="A7849" s="7" t="s">
        <v>679</v>
      </c>
      <c r="B7849" s="8" t="s">
        <v>64</v>
      </c>
      <c r="C7849" s="63" t="n">
        <f aca="false">(C7828+C7831)*(C7834-Pressupostos!$C$72)/365+C7830*C7835/365</f>
        <v>0.670547945205479</v>
      </c>
      <c r="D7849" s="63" t="n">
        <f aca="false">(D7828+D7831)*(D7834-Pressupostos!$C$72)/365+D7830*D7835/365</f>
        <v>0.670547945205479</v>
      </c>
      <c r="E7849" s="63" t="n">
        <f aca="false">(E7828+E7831)*(E7834-Pressupostos!$C$72)/365+E7830*E7835/365</f>
        <v>0.670547945205479</v>
      </c>
      <c r="F7849" s="63" t="n">
        <f aca="false">(F7828+F7831)*(F7834-Pressupostos!$C$72)/365+F7830*F7835/365</f>
        <v>0.670547945205479</v>
      </c>
      <c r="G7849" s="63" t="n">
        <f aca="false">(G7828+G7831)*(G7834-Pressupostos!$C$72)/365+G7830*G7835/365</f>
        <v>0.670547945205479</v>
      </c>
      <c r="H7849" s="2" t="s">
        <v>1235</v>
      </c>
    </row>
    <row r="7850" customFormat="false" ht="15" hidden="false" customHeight="false" outlineLevel="0" collapsed="false">
      <c r="A7850" s="3" t="s">
        <v>1236</v>
      </c>
      <c r="B7850" s="4"/>
      <c r="C7850" s="4"/>
      <c r="D7850" s="4"/>
      <c r="E7850" s="4"/>
      <c r="F7850" s="4"/>
      <c r="G7850" s="4"/>
      <c r="H7850" s="4"/>
    </row>
    <row r="7851" customFormat="false" ht="15" hidden="false" customHeight="false" outlineLevel="1" collapsed="false">
      <c r="A7851" s="7" t="s">
        <v>669</v>
      </c>
      <c r="B7851" s="8" t="s">
        <v>64</v>
      </c>
      <c r="C7851" s="63" t="n">
        <f aca="false">Pressupostos!$F$10+Pressupostos!$F$13</f>
        <v>3.5</v>
      </c>
      <c r="D7851" s="63" t="n">
        <f aca="false">Pressupostos!$F$10+Pressupostos!$F$13</f>
        <v>3.5</v>
      </c>
      <c r="E7851" s="63" t="n">
        <f aca="false">Pressupostos!$F$10+Pressupostos!$F$13</f>
        <v>3.5</v>
      </c>
      <c r="F7851" s="63" t="n">
        <f aca="false">Pressupostos!$F$10+Pressupostos!$F$13</f>
        <v>3.5</v>
      </c>
      <c r="G7851" s="63" t="n">
        <f aca="false">Pressupostos!$F$10+Pressupostos!$F$13</f>
        <v>3.5</v>
      </c>
      <c r="H7851" s="2" t="s">
        <v>1237</v>
      </c>
    </row>
    <row r="7852" customFormat="false" ht="15" hidden="false" customHeight="false" outlineLevel="1" collapsed="false">
      <c r="A7852" s="7" t="s">
        <v>670</v>
      </c>
      <c r="B7852" s="8" t="s">
        <v>64</v>
      </c>
      <c r="C7852" s="63" t="n">
        <f aca="false">Pressupostos!$F$10+Pressupostos!$C$52</f>
        <v>3.65</v>
      </c>
      <c r="D7852" s="63" t="n">
        <f aca="false">Pressupostos!$F$10+Pressupostos!$C$52</f>
        <v>3.65</v>
      </c>
      <c r="E7852" s="63" t="n">
        <f aca="false">Pressupostos!$F$10+Pressupostos!$C$52</f>
        <v>3.65</v>
      </c>
      <c r="F7852" s="63" t="n">
        <f aca="false">Pressupostos!$F$10+Pressupostos!$C$52</f>
        <v>3.65</v>
      </c>
      <c r="G7852" s="63" t="n">
        <f aca="false">Pressupostos!$F$10+Pressupostos!$C$52</f>
        <v>3.65</v>
      </c>
      <c r="H7852" s="2" t="s">
        <v>1238</v>
      </c>
    </row>
    <row r="7853" customFormat="false" ht="15" hidden="false" customHeight="false" outlineLevel="1" collapsed="false">
      <c r="A7853" s="56" t="s">
        <v>671</v>
      </c>
      <c r="B7853" s="57" t="s">
        <v>64</v>
      </c>
      <c r="C7853" s="68" t="n">
        <f aca="false">C7852*(1-Pressupostos!$C$53)</f>
        <v>3.65</v>
      </c>
      <c r="D7853" s="68" t="n">
        <f aca="false">D7852*(1-Pressupostos!$C$53)</f>
        <v>3.65</v>
      </c>
      <c r="E7853" s="68" t="n">
        <f aca="false">E7852*(1-Pressupostos!$C$53)</f>
        <v>3.65</v>
      </c>
      <c r="F7853" s="68" t="n">
        <f aca="false">F7852*(1-Pressupostos!$C$53)</f>
        <v>3.65</v>
      </c>
      <c r="G7853" s="68" t="n">
        <f aca="false">G7852*(1-Pressupostos!$C$53)</f>
        <v>3.65</v>
      </c>
      <c r="H7853" s="2" t="s">
        <v>1239</v>
      </c>
    </row>
    <row r="7854" customFormat="false" ht="15" hidden="false" customHeight="false" outlineLevel="1" collapsed="false">
      <c r="A7854" s="7" t="s">
        <v>144</v>
      </c>
      <c r="B7854" s="8" t="s">
        <v>64</v>
      </c>
      <c r="C7854" s="67" t="n">
        <f aca="false">Pressupostos!$C$54</f>
        <v>0</v>
      </c>
      <c r="D7854" s="67" t="n">
        <f aca="false">Pressupostos!$C$54</f>
        <v>0</v>
      </c>
      <c r="E7854" s="67" t="n">
        <f aca="false">Pressupostos!$C$54</f>
        <v>0</v>
      </c>
      <c r="F7854" s="67" t="n">
        <f aca="false">Pressupostos!$C$54</f>
        <v>0</v>
      </c>
      <c r="G7854" s="67" t="n">
        <f aca="false">Pressupostos!$C$54</f>
        <v>0</v>
      </c>
      <c r="H7854" s="2" t="s">
        <v>1240</v>
      </c>
    </row>
    <row r="7855" customFormat="false" ht="15" hidden="false" customHeight="false" outlineLevel="1" collapsed="false">
      <c r="A7855" s="7" t="s">
        <v>215</v>
      </c>
      <c r="B7855" s="8" t="s">
        <v>64</v>
      </c>
      <c r="C7855" s="67" t="n">
        <f aca="false">Pressupostos!$C$55</f>
        <v>0.04</v>
      </c>
      <c r="D7855" s="67" t="n">
        <f aca="false">Pressupostos!$C$55</f>
        <v>0.04</v>
      </c>
      <c r="E7855" s="67" t="n">
        <f aca="false">Pressupostos!$C$55</f>
        <v>0.04</v>
      </c>
      <c r="F7855" s="67" t="n">
        <f aca="false">Pressupostos!$C$55</f>
        <v>0.04</v>
      </c>
      <c r="G7855" s="67" t="n">
        <f aca="false">Pressupostos!$C$55</f>
        <v>0.04</v>
      </c>
      <c r="H7855" s="2" t="s">
        <v>1241</v>
      </c>
    </row>
    <row r="7856" customFormat="false" ht="15" hidden="false" customHeight="false" outlineLevel="1" collapsed="false">
      <c r="A7856" s="7" t="s">
        <v>117</v>
      </c>
      <c r="B7856" s="8" t="s">
        <v>64</v>
      </c>
      <c r="C7856" s="67" t="n">
        <f aca="false">Pressupostos!$C$56</f>
        <v>0</v>
      </c>
      <c r="D7856" s="67" t="n">
        <f aca="false">Pressupostos!$C$56</f>
        <v>0</v>
      </c>
      <c r="E7856" s="67" t="n">
        <f aca="false">Pressupostos!$C$56</f>
        <v>0</v>
      </c>
      <c r="F7856" s="67" t="n">
        <f aca="false">Pressupostos!$C$56</f>
        <v>0</v>
      </c>
      <c r="G7856" s="67" t="n">
        <f aca="false">Pressupostos!$C$56</f>
        <v>0</v>
      </c>
      <c r="H7856" s="2" t="s">
        <v>1242</v>
      </c>
    </row>
    <row r="7857" customFormat="false" ht="15" hidden="false" customHeight="false" outlineLevel="1" collapsed="false">
      <c r="A7857" s="7" t="s">
        <v>91</v>
      </c>
      <c r="B7857" s="8" t="s">
        <v>79</v>
      </c>
      <c r="C7857" s="69" t="n">
        <f aca="false">Pressupostos!$C$57</f>
        <v>15</v>
      </c>
      <c r="D7857" s="69" t="n">
        <f aca="false">Pressupostos!$C$57</f>
        <v>15</v>
      </c>
      <c r="E7857" s="69" t="n">
        <f aca="false">Pressupostos!$C$57</f>
        <v>15</v>
      </c>
      <c r="F7857" s="69" t="n">
        <f aca="false">Pressupostos!$C$57</f>
        <v>15</v>
      </c>
      <c r="G7857" s="69" t="n">
        <f aca="false">Pressupostos!$C$57</f>
        <v>15</v>
      </c>
      <c r="H7857" s="2" t="s">
        <v>1243</v>
      </c>
    </row>
    <row r="7858" customFormat="false" ht="15" hidden="false" customHeight="false" outlineLevel="1" collapsed="false">
      <c r="A7858" s="7" t="s">
        <v>78</v>
      </c>
      <c r="B7858" s="8" t="s">
        <v>79</v>
      </c>
      <c r="C7858" s="69" t="n">
        <f aca="false">Pressupostos!$C$58</f>
        <v>45</v>
      </c>
      <c r="D7858" s="69" t="n">
        <f aca="false">Pressupostos!$C$58</f>
        <v>45</v>
      </c>
      <c r="E7858" s="69" t="n">
        <f aca="false">Pressupostos!$C$58</f>
        <v>45</v>
      </c>
      <c r="F7858" s="69" t="n">
        <f aca="false">Pressupostos!$C$58</f>
        <v>45</v>
      </c>
      <c r="G7858" s="69" t="n">
        <f aca="false">Pressupostos!$C$58</f>
        <v>45</v>
      </c>
      <c r="H7858" s="2" t="s">
        <v>1244</v>
      </c>
    </row>
    <row r="7859" customFormat="false" ht="15" hidden="false" customHeight="false" outlineLevel="1" collapsed="false">
      <c r="A7859" s="7" t="s">
        <v>490</v>
      </c>
      <c r="B7859" s="8" t="s">
        <v>64</v>
      </c>
      <c r="C7859" s="63" t="n">
        <f aca="false">Pressupostos!$C$66*C7857/30/1000</f>
        <v>0.002</v>
      </c>
      <c r="D7859" s="63" t="n">
        <f aca="false">Pressupostos!$C$66*D7857/30/1000</f>
        <v>0.002</v>
      </c>
      <c r="E7859" s="63" t="n">
        <f aca="false">Pressupostos!$C$66*E7857/30/1000</f>
        <v>0.002</v>
      </c>
      <c r="F7859" s="63" t="n">
        <f aca="false">Pressupostos!$C$66*F7857/30/1000</f>
        <v>0.002</v>
      </c>
      <c r="G7859" s="63" t="n">
        <f aca="false">Pressupostos!$C$66*G7857/30/1000</f>
        <v>0.002</v>
      </c>
      <c r="H7859" s="2" t="s">
        <v>1245</v>
      </c>
    </row>
    <row r="7860" customFormat="false" ht="15" hidden="false" customHeight="false" outlineLevel="1" collapsed="false">
      <c r="A7860" s="7" t="s">
        <v>165</v>
      </c>
      <c r="B7860" s="8" t="s">
        <v>64</v>
      </c>
      <c r="C7860" s="63" t="n">
        <f aca="false">C7851*Pressupostos!$C$67*C7857/365</f>
        <v>0.000287671232876712</v>
      </c>
      <c r="D7860" s="63" t="n">
        <f aca="false">D7851*Pressupostos!$C$67*D7857/365</f>
        <v>0.000287671232876712</v>
      </c>
      <c r="E7860" s="63" t="n">
        <f aca="false">E7851*Pressupostos!$C$67*E7857/365</f>
        <v>0.000287671232876712</v>
      </c>
      <c r="F7860" s="63" t="n">
        <f aca="false">F7851*Pressupostos!$C$67*F7857/365</f>
        <v>0.000287671232876712</v>
      </c>
      <c r="G7860" s="63" t="n">
        <f aca="false">G7851*Pressupostos!$C$67*G7857/365</f>
        <v>0.000287671232876712</v>
      </c>
      <c r="H7860" s="2" t="s">
        <v>1246</v>
      </c>
    </row>
    <row r="7861" customFormat="false" ht="15" hidden="false" customHeight="false" outlineLevel="1" collapsed="false">
      <c r="A7861" s="7" t="s">
        <v>672</v>
      </c>
      <c r="B7861" s="8" t="s">
        <v>64</v>
      </c>
      <c r="C7861" s="63" t="n">
        <f aca="false">Pressupostos!$C$60*Pressupostos!$C$68/(Pressupostos!$C$59*1000)</f>
        <v>0.006</v>
      </c>
      <c r="D7861" s="63" t="n">
        <f aca="false">Pressupostos!$C$60*Pressupostos!$C$68/(Pressupostos!$C$59*1000)</f>
        <v>0.006</v>
      </c>
      <c r="E7861" s="63" t="n">
        <f aca="false">Pressupostos!$C$60*Pressupostos!$C$68/(Pressupostos!$C$59*1000)</f>
        <v>0.006</v>
      </c>
      <c r="F7861" s="63" t="n">
        <f aca="false">Pressupostos!$C$60*Pressupostos!$C$68/(Pressupostos!$C$59*1000)</f>
        <v>0.006</v>
      </c>
      <c r="G7861" s="63" t="n">
        <f aca="false">Pressupostos!$C$60*Pressupostos!$C$68/(Pressupostos!$C$59*1000)</f>
        <v>0.006</v>
      </c>
      <c r="H7861" s="2" t="s">
        <v>1247</v>
      </c>
    </row>
    <row r="7862" customFormat="false" ht="15" hidden="false" customHeight="false" outlineLevel="1" collapsed="false">
      <c r="A7862" s="7" t="s">
        <v>492</v>
      </c>
      <c r="B7862" s="8" t="s">
        <v>64</v>
      </c>
      <c r="C7862" s="63" t="n">
        <f aca="false">Pressupostos!$C$69*C7851</f>
        <v>0.0175</v>
      </c>
      <c r="D7862" s="63" t="n">
        <f aca="false">Pressupostos!$C$69*D7851</f>
        <v>0.0175</v>
      </c>
      <c r="E7862" s="63" t="n">
        <f aca="false">Pressupostos!$C$69*E7851</f>
        <v>0.0175</v>
      </c>
      <c r="F7862" s="63" t="n">
        <f aca="false">Pressupostos!$C$69*F7851</f>
        <v>0.0175</v>
      </c>
      <c r="G7862" s="63" t="n">
        <f aca="false">Pressupostos!$C$69*G7851</f>
        <v>0.0175</v>
      </c>
      <c r="H7862" s="2" t="s">
        <v>1248</v>
      </c>
    </row>
    <row r="7863" customFormat="false" ht="15" hidden="false" customHeight="false" outlineLevel="1" collapsed="false">
      <c r="A7863" s="7" t="s">
        <v>493</v>
      </c>
      <c r="B7863" s="8" t="s">
        <v>64</v>
      </c>
      <c r="C7863" s="63" t="n">
        <f aca="false">Pressupostos!$C$70*Pressupostos!$C$71*C7857/90</f>
        <v>0.0015</v>
      </c>
      <c r="D7863" s="63" t="n">
        <f aca="false">Pressupostos!$C$70*Pressupostos!$C$71*D7857/90</f>
        <v>0.0015</v>
      </c>
      <c r="E7863" s="63" t="n">
        <f aca="false">Pressupostos!$C$70*Pressupostos!$C$71*E7857/90</f>
        <v>0.0015</v>
      </c>
      <c r="F7863" s="63" t="n">
        <f aca="false">Pressupostos!$C$70*Pressupostos!$C$71*F7857/90</f>
        <v>0.0015</v>
      </c>
      <c r="G7863" s="63" t="n">
        <f aca="false">Pressupostos!$C$70*Pressupostos!$C$71*G7857/90</f>
        <v>0.0015</v>
      </c>
      <c r="H7863" s="2" t="s">
        <v>1249</v>
      </c>
    </row>
    <row r="7864" customFormat="false" ht="15" hidden="false" customHeight="false" outlineLevel="1" collapsed="false">
      <c r="A7864" s="7" t="s">
        <v>673</v>
      </c>
      <c r="B7864" s="8" t="s">
        <v>64</v>
      </c>
      <c r="C7864" s="63" t="n">
        <f aca="false">Pressupostos!$C$61/(Pressupostos!$C$59*1000)</f>
        <v>0.012</v>
      </c>
      <c r="D7864" s="63" t="n">
        <f aca="false">Pressupostos!$C$61/(Pressupostos!$C$59*1000)</f>
        <v>0.012</v>
      </c>
      <c r="E7864" s="63" t="n">
        <f aca="false">Pressupostos!$C$61/(Pressupostos!$C$59*1000)</f>
        <v>0.012</v>
      </c>
      <c r="F7864" s="63" t="n">
        <f aca="false">Pressupostos!$C$61/(Pressupostos!$C$59*1000)</f>
        <v>0.012</v>
      </c>
      <c r="G7864" s="63" t="n">
        <f aca="false">Pressupostos!$C$61/(Pressupostos!$C$59*1000)</f>
        <v>0.012</v>
      </c>
      <c r="H7864" s="2" t="s">
        <v>1250</v>
      </c>
    </row>
    <row r="7865" customFormat="false" ht="15" hidden="false" customHeight="false" outlineLevel="1" collapsed="false">
      <c r="A7865" s="7" t="s">
        <v>139</v>
      </c>
      <c r="B7865" s="8" t="s">
        <v>64</v>
      </c>
      <c r="C7865" s="67" t="n">
        <f aca="false">Pressupostos!$C$62</f>
        <v>0.001</v>
      </c>
      <c r="D7865" s="67" t="n">
        <f aca="false">Pressupostos!$C$62</f>
        <v>0.001</v>
      </c>
      <c r="E7865" s="67" t="n">
        <f aca="false">Pressupostos!$C$62</f>
        <v>0.001</v>
      </c>
      <c r="F7865" s="67" t="n">
        <f aca="false">Pressupostos!$C$62</f>
        <v>0.001</v>
      </c>
      <c r="G7865" s="67" t="n">
        <f aca="false">Pressupostos!$C$62</f>
        <v>0.001</v>
      </c>
      <c r="H7865" s="2" t="s">
        <v>1251</v>
      </c>
    </row>
    <row r="7866" customFormat="false" ht="15" hidden="false" customHeight="false" outlineLevel="1" collapsed="false">
      <c r="A7866" s="7" t="s">
        <v>81</v>
      </c>
      <c r="B7866" s="8" t="s">
        <v>64</v>
      </c>
      <c r="C7866" s="63" t="n">
        <f aca="false">Pressupostos!$C$63*C7853</f>
        <v>0.01095</v>
      </c>
      <c r="D7866" s="63" t="n">
        <f aca="false">Pressupostos!$C$63*D7853</f>
        <v>0.01095</v>
      </c>
      <c r="E7866" s="63" t="n">
        <f aca="false">Pressupostos!$C$63*E7853</f>
        <v>0.01095</v>
      </c>
      <c r="F7866" s="63" t="n">
        <f aca="false">Pressupostos!$C$63*F7853</f>
        <v>0.01095</v>
      </c>
      <c r="G7866" s="63" t="n">
        <f aca="false">Pressupostos!$C$63*G7853</f>
        <v>0.01095</v>
      </c>
      <c r="H7866" s="2" t="s">
        <v>1252</v>
      </c>
    </row>
    <row r="7867" customFormat="false" ht="15" hidden="false" customHeight="false" outlineLevel="1" collapsed="false">
      <c r="A7867" s="7" t="s">
        <v>674</v>
      </c>
      <c r="B7867" s="8" t="s">
        <v>64</v>
      </c>
      <c r="C7867" s="63" t="n">
        <f aca="false">Pressupostos!$C$73*C7853</f>
        <v>0</v>
      </c>
      <c r="D7867" s="63" t="n">
        <f aca="false">Pressupostos!$C$73*D7853</f>
        <v>0</v>
      </c>
      <c r="E7867" s="63" t="n">
        <f aca="false">Pressupostos!$C$73*E7853</f>
        <v>0</v>
      </c>
      <c r="F7867" s="63" t="n">
        <f aca="false">Pressupostos!$C$73*F7853</f>
        <v>0</v>
      </c>
      <c r="G7867" s="63" t="n">
        <f aca="false">Pressupostos!$C$73*G7853</f>
        <v>0</v>
      </c>
      <c r="H7867" s="2" t="s">
        <v>1253</v>
      </c>
    </row>
    <row r="7868" customFormat="false" ht="15" hidden="false" customHeight="false" outlineLevel="1" collapsed="false">
      <c r="A7868" s="7" t="s">
        <v>675</v>
      </c>
      <c r="B7868" s="8" t="s">
        <v>64</v>
      </c>
      <c r="C7868" s="63" t="n">
        <f aca="false">Pressupostos!$C$290*(C7851+C7854)*(C7857+C7858-Pressupostos!$C$72)/365*(Pressupostos!$C$282)/Pressupostos!$F$31</f>
        <v>0</v>
      </c>
      <c r="D7868" s="63" t="n">
        <f aca="false">Pressupostos!$D$290*(D7851+D7854)*(D7857+D7858-Pressupostos!$C$72)/365*(Pressupostos!$D$282)/Pressupostos!$F$31</f>
        <v>0.0258904109589041</v>
      </c>
      <c r="E7868" s="63" t="n">
        <f aca="false">Pressupostos!$E$290*(E7851+E7854)*(E7857+E7858-Pressupostos!$C$72)/365*(Pressupostos!$E$282)/Pressupostos!$F$31</f>
        <v>0.0242722602739726</v>
      </c>
      <c r="F7868" s="63" t="n">
        <f aca="false">Pressupostos!$F$290*(F7851+F7854)*(F7857+F7858-Pressupostos!$C$72)/365*(Pressupostos!$F$282)/Pressupostos!$F$31</f>
        <v>0.0226541095890411</v>
      </c>
      <c r="G7868" s="63" t="n">
        <f aca="false">Pressupostos!$G$290*(G7851+G7854)*(G7857+G7858-Pressupostos!$C$72)/365*(Pressupostos!$G$282)/Pressupostos!$F$31</f>
        <v>0.0226541095890411</v>
      </c>
      <c r="H7868" s="2" t="s">
        <v>1254</v>
      </c>
    </row>
    <row r="7869" customFormat="false" ht="15" hidden="false" customHeight="false" outlineLevel="1" collapsed="false">
      <c r="A7869" s="7" t="s">
        <v>676</v>
      </c>
      <c r="B7869" s="8" t="s">
        <v>64</v>
      </c>
      <c r="C7869" s="63" t="n">
        <f aca="false">C7851+C7854+C7855+C7856+C7859+C7860+C7861+C7862+C7863+C7864+C7865+C7866+C7867+C7868</f>
        <v>3.59123767123288</v>
      </c>
      <c r="D7869" s="63" t="n">
        <f aca="false">D7851+D7854+D7855+D7856+D7859+D7860+D7861+D7862+D7863+D7864+D7865+D7866+D7867+D7868</f>
        <v>3.61712808219178</v>
      </c>
      <c r="E7869" s="63" t="n">
        <f aca="false">E7851+E7854+E7855+E7856+E7859+E7860+E7861+E7862+E7863+E7864+E7865+E7866+E7867+E7868</f>
        <v>3.61550993150685</v>
      </c>
      <c r="F7869" s="63" t="n">
        <f aca="false">F7851+F7854+F7855+F7856+F7859+F7860+F7861+F7862+F7863+F7864+F7865+F7866+F7867+F7868</f>
        <v>3.61389178082192</v>
      </c>
      <c r="G7869" s="63" t="n">
        <f aca="false">G7851+G7854+G7855+G7856+G7859+G7860+G7861+G7862+G7863+G7864+G7865+G7866+G7867+G7868</f>
        <v>3.61389178082192</v>
      </c>
      <c r="H7869" s="2" t="s">
        <v>1255</v>
      </c>
    </row>
    <row r="7870" customFormat="false" ht="15" hidden="false" customHeight="false" outlineLevel="1" collapsed="false">
      <c r="A7870" s="56" t="s">
        <v>677</v>
      </c>
      <c r="B7870" s="57" t="s">
        <v>64</v>
      </c>
      <c r="C7870" s="68" t="n">
        <f aca="false">C7853-C7869</f>
        <v>0.058762328767124</v>
      </c>
      <c r="D7870" s="68" t="n">
        <f aca="false">D7853-D7869</f>
        <v>0.0328719178082197</v>
      </c>
      <c r="E7870" s="68" t="n">
        <f aca="false">E7853-E7869</f>
        <v>0.0344900684931515</v>
      </c>
      <c r="F7870" s="68" t="n">
        <f aca="false">F7853-F7869</f>
        <v>0.0361082191780828</v>
      </c>
      <c r="G7870" s="68" t="n">
        <f aca="false">G7853-G7869</f>
        <v>0.0361082191780828</v>
      </c>
      <c r="H7870" s="2" t="s">
        <v>1256</v>
      </c>
    </row>
    <row r="7871" customFormat="false" ht="15" hidden="false" customHeight="false" outlineLevel="1" collapsed="false">
      <c r="A7871" s="7" t="s">
        <v>678</v>
      </c>
      <c r="B7871" s="8" t="s">
        <v>76</v>
      </c>
      <c r="C7871" s="59" t="n">
        <f aca="false">IF(C7853&gt;0,C7870/C7853,0)</f>
        <v>0.0160992681553764</v>
      </c>
      <c r="D7871" s="59" t="n">
        <f aca="false">IF(D7853&gt;0,D7870/D7853,0)</f>
        <v>0.00900600487896431</v>
      </c>
      <c r="E7871" s="59" t="n">
        <f aca="false">IF(E7853&gt;0,E7870/E7853,0)</f>
        <v>0.00944933383374014</v>
      </c>
      <c r="F7871" s="59" t="n">
        <f aca="false">IF(F7853&gt;0,F7870/F7853,0)</f>
        <v>0.00989266278851584</v>
      </c>
      <c r="G7871" s="59" t="n">
        <f aca="false">IF(G7853&gt;0,G7870/G7853,0)</f>
        <v>0.00989266278851584</v>
      </c>
      <c r="H7871" s="2" t="s">
        <v>1257</v>
      </c>
    </row>
    <row r="7872" customFormat="false" ht="15" hidden="false" customHeight="false" outlineLevel="1" collapsed="false">
      <c r="A7872" s="7" t="s">
        <v>679</v>
      </c>
      <c r="B7872" s="8" t="s">
        <v>64</v>
      </c>
      <c r="C7872" s="63" t="n">
        <f aca="false">(C7851+C7854)*(C7857-Pressupostos!$C$72)/365+C7853*C7858/365</f>
        <v>0.306164383561644</v>
      </c>
      <c r="D7872" s="63" t="n">
        <f aca="false">(D7851+D7854)*(D7857-Pressupostos!$C$72)/365+D7853*D7858/365</f>
        <v>0.306164383561644</v>
      </c>
      <c r="E7872" s="63" t="n">
        <f aca="false">(E7851+E7854)*(E7857-Pressupostos!$C$72)/365+E7853*E7858/365</f>
        <v>0.306164383561644</v>
      </c>
      <c r="F7872" s="63" t="n">
        <f aca="false">(F7851+F7854)*(F7857-Pressupostos!$C$72)/365+F7853*F7858/365</f>
        <v>0.306164383561644</v>
      </c>
      <c r="G7872" s="63" t="n">
        <f aca="false">(G7851+G7854)*(G7857-Pressupostos!$C$72)/365+G7853*G7858/365</f>
        <v>0.306164383561644</v>
      </c>
      <c r="H7872" s="2" t="s">
        <v>1258</v>
      </c>
    </row>
    <row r="7873" customFormat="false" ht="15" hidden="false" customHeight="false" outlineLevel="0" collapsed="false">
      <c r="A7873" s="3" t="s">
        <v>1259</v>
      </c>
      <c r="B7873" s="4"/>
      <c r="C7873" s="4"/>
      <c r="D7873" s="4"/>
      <c r="E7873" s="4"/>
      <c r="F7873" s="4"/>
      <c r="G7873" s="4"/>
      <c r="H7873" s="4"/>
    </row>
    <row r="7874" customFormat="false" ht="15" hidden="false" customHeight="false" outlineLevel="1" collapsed="false">
      <c r="A7874" s="7" t="s">
        <v>683</v>
      </c>
      <c r="B7874" s="8" t="s">
        <v>64</v>
      </c>
      <c r="C7874" s="63" t="n">
        <f aca="false">Pressupostos!$C$64*Pressupostos!$F$10</f>
        <v>0.02625</v>
      </c>
      <c r="D7874" s="63" t="n">
        <f aca="false">Pressupostos!$C$64*Pressupostos!$F$10</f>
        <v>0.02625</v>
      </c>
      <c r="E7874" s="63" t="n">
        <f aca="false">Pressupostos!$C$64*Pressupostos!$F$10</f>
        <v>0.02625</v>
      </c>
      <c r="F7874" s="63" t="n">
        <f aca="false">Pressupostos!$C$64*Pressupostos!$F$10</f>
        <v>0.02625</v>
      </c>
      <c r="G7874" s="63" t="n">
        <f aca="false">Pressupostos!$C$64*Pressupostos!$F$10</f>
        <v>0.02625</v>
      </c>
      <c r="H7874" s="2" t="s">
        <v>1260</v>
      </c>
    </row>
    <row r="7875" customFormat="false" ht="15" hidden="false" customHeight="false" outlineLevel="1" collapsed="false">
      <c r="A7875" s="7" t="s">
        <v>684</v>
      </c>
      <c r="B7875" s="8" t="s">
        <v>64</v>
      </c>
      <c r="C7875" s="63" t="n">
        <f aca="false">C7864+C7861+C7865</f>
        <v>0.019</v>
      </c>
      <c r="D7875" s="63" t="n">
        <f aca="false">D7864+D7861+D7865</f>
        <v>0.019</v>
      </c>
      <c r="E7875" s="63" t="n">
        <f aca="false">E7864+E7861+E7865</f>
        <v>0.019</v>
      </c>
      <c r="F7875" s="63" t="n">
        <f aca="false">F7864+F7861+F7865</f>
        <v>0.019</v>
      </c>
      <c r="G7875" s="63" t="n">
        <f aca="false">G7864+G7861+G7865</f>
        <v>0.019</v>
      </c>
      <c r="H7875" s="2" t="s">
        <v>1261</v>
      </c>
    </row>
    <row r="7876" customFormat="false" ht="15" hidden="false" customHeight="false" outlineLevel="1" collapsed="false">
      <c r="A7876" s="56" t="s">
        <v>561</v>
      </c>
      <c r="B7876" s="57" t="s">
        <v>64</v>
      </c>
      <c r="C7876" s="68" t="n">
        <f aca="false">C7874-C7875</f>
        <v>0.00725</v>
      </c>
      <c r="D7876" s="68" t="n">
        <f aca="false">D7874-D7875</f>
        <v>0.00725</v>
      </c>
      <c r="E7876" s="68" t="n">
        <f aca="false">E7874-E7875</f>
        <v>0.00725</v>
      </c>
      <c r="F7876" s="68" t="n">
        <f aca="false">F7874-F7875</f>
        <v>0.00725</v>
      </c>
      <c r="G7876" s="68" t="n">
        <f aca="false">G7874-G7875</f>
        <v>0.00725</v>
      </c>
      <c r="H7876" s="2" t="s">
        <v>1262</v>
      </c>
    </row>
    <row r="7877" customFormat="false" ht="15" hidden="false" customHeight="false" outlineLevel="0" collapsed="false">
      <c r="A7877" s="3" t="s">
        <v>1263</v>
      </c>
      <c r="B7877" s="4"/>
      <c r="C7877" s="4"/>
      <c r="D7877" s="4"/>
      <c r="E7877" s="4"/>
      <c r="F7877" s="4"/>
      <c r="G7877" s="4"/>
      <c r="H7877" s="4"/>
    </row>
    <row r="7878" customFormat="false" ht="15" hidden="false" customHeight="false" outlineLevel="1" collapsed="false">
      <c r="A7878" s="7" t="s">
        <v>608</v>
      </c>
      <c r="B7878" s="8" t="s">
        <v>11</v>
      </c>
      <c r="C7878" s="61" t="n">
        <f aca="false">C7787*1000*C7807</f>
        <v>44280</v>
      </c>
      <c r="D7878" s="61" t="n">
        <f aca="false">D7787*1000*D7807</f>
        <v>166050</v>
      </c>
      <c r="E7878" s="61" t="n">
        <f aca="false">E7787*1000*E7807</f>
        <v>442800</v>
      </c>
      <c r="F7878" s="61" t="n">
        <f aca="false">F7787*1000*F7807</f>
        <v>774900</v>
      </c>
      <c r="G7878" s="61" t="n">
        <f aca="false">G7787*1000*G7807</f>
        <v>1107000</v>
      </c>
      <c r="H7878" s="2" t="s">
        <v>1264</v>
      </c>
    </row>
    <row r="7879" customFormat="false" ht="15" hidden="false" customHeight="false" outlineLevel="1" collapsed="false">
      <c r="A7879" s="7" t="s">
        <v>609</v>
      </c>
      <c r="B7879" s="8" t="s">
        <v>11</v>
      </c>
      <c r="C7879" s="61" t="n">
        <f aca="false">C7788*1000*C7830</f>
        <v>231400</v>
      </c>
      <c r="D7879" s="61" t="n">
        <f aca="false">D7788*1000*D7830</f>
        <v>1615350</v>
      </c>
      <c r="E7879" s="61" t="n">
        <f aca="false">E7788*1000*E7830</f>
        <v>3190650</v>
      </c>
      <c r="F7879" s="61" t="n">
        <f aca="false">F7788*1000*F7830</f>
        <v>5264350</v>
      </c>
      <c r="G7879" s="61" t="n">
        <f aca="false">G7788*1000*G7830</f>
        <v>7965500</v>
      </c>
      <c r="H7879" s="2" t="s">
        <v>1265</v>
      </c>
    </row>
    <row r="7880" customFormat="false" ht="15" hidden="false" customHeight="false" outlineLevel="1" collapsed="false">
      <c r="A7880" s="7" t="s">
        <v>610</v>
      </c>
      <c r="B7880" s="8" t="s">
        <v>11</v>
      </c>
      <c r="C7880" s="61" t="n">
        <f aca="false">C7790*1000*C7853</f>
        <v>0</v>
      </c>
      <c r="D7880" s="61" t="n">
        <f aca="false">D7790*1000*D7853</f>
        <v>0</v>
      </c>
      <c r="E7880" s="61" t="n">
        <f aca="false">E7790*1000*E7853</f>
        <v>0</v>
      </c>
      <c r="F7880" s="61" t="n">
        <f aca="false">F7790*1000*F7853</f>
        <v>0</v>
      </c>
      <c r="G7880" s="61" t="n">
        <f aca="false">G7790*1000*G7853</f>
        <v>0</v>
      </c>
      <c r="H7880" s="2" t="s">
        <v>1266</v>
      </c>
    </row>
    <row r="7881" customFormat="false" ht="15" hidden="false" customHeight="false" outlineLevel="1" collapsed="false">
      <c r="A7881" s="7" t="s">
        <v>611</v>
      </c>
      <c r="B7881" s="8" t="s">
        <v>11</v>
      </c>
      <c r="C7881" s="61" t="n">
        <f aca="false">C7878+C7879+C7880</f>
        <v>275680</v>
      </c>
      <c r="D7881" s="61" t="n">
        <f aca="false">D7878+D7879+D7880</f>
        <v>1781400</v>
      </c>
      <c r="E7881" s="61" t="n">
        <f aca="false">E7878+E7879+E7880</f>
        <v>3633450</v>
      </c>
      <c r="F7881" s="61" t="n">
        <f aca="false">F7878+F7879+F7880</f>
        <v>6039250</v>
      </c>
      <c r="G7881" s="61" t="n">
        <f aca="false">G7878+G7879+G7880</f>
        <v>9072500</v>
      </c>
      <c r="H7881" s="2" t="s">
        <v>1267</v>
      </c>
    </row>
    <row r="7882" customFormat="false" ht="15" hidden="false" customHeight="false" outlineLevel="1" collapsed="false">
      <c r="A7882" s="7" t="s">
        <v>612</v>
      </c>
      <c r="B7882" s="8" t="s">
        <v>11</v>
      </c>
      <c r="C7882" s="61" t="n">
        <f aca="false">C7800*1000*Pressupostos!$C$93</f>
        <v>0</v>
      </c>
      <c r="D7882" s="61" t="n">
        <f aca="false">D7800*1000*Pressupostos!$C$93</f>
        <v>0</v>
      </c>
      <c r="E7882" s="61" t="n">
        <f aca="false">E7800*1000*Pressupostos!$C$93</f>
        <v>0</v>
      </c>
      <c r="F7882" s="61" t="n">
        <f aca="false">F7800*1000*Pressupostos!$C$93</f>
        <v>157000</v>
      </c>
      <c r="G7882" s="61" t="n">
        <f aca="false">G7800*1000*Pressupostos!$C$93</f>
        <v>392500</v>
      </c>
      <c r="H7882" s="2" t="s">
        <v>1268</v>
      </c>
    </row>
    <row r="7883" customFormat="false" ht="15" hidden="false" customHeight="false" outlineLevel="1" collapsed="false">
      <c r="A7883" s="2" t="s">
        <v>613</v>
      </c>
      <c r="B7883" s="8" t="s">
        <v>11</v>
      </c>
      <c r="C7883" s="61" t="n">
        <f aca="false">C7798*Pressupostos!$C$80*(1-Pressupostos!$C$81)</f>
        <v>9720</v>
      </c>
      <c r="D7883" s="61" t="n">
        <f aca="false">D7798*Pressupostos!$C$80*(1-Pressupostos!$C$81)</f>
        <v>36450</v>
      </c>
      <c r="E7883" s="61" t="n">
        <f aca="false">E7798*Pressupostos!$C$80*(1-Pressupostos!$C$81)</f>
        <v>97200</v>
      </c>
      <c r="F7883" s="61" t="n">
        <f aca="false">F7798*Pressupostos!$C$80*(1-Pressupostos!$C$81)</f>
        <v>170100</v>
      </c>
      <c r="G7883" s="61" t="n">
        <f aca="false">G7798*Pressupostos!$C$80*(1-Pressupostos!$C$81)</f>
        <v>243000</v>
      </c>
      <c r="H7883" s="2" t="s">
        <v>1269</v>
      </c>
    </row>
    <row r="7884" customFormat="false" ht="15" hidden="false" customHeight="false" outlineLevel="1" collapsed="false">
      <c r="A7884" s="7" t="s">
        <v>614</v>
      </c>
      <c r="B7884" s="8" t="s">
        <v>11</v>
      </c>
      <c r="C7884" s="61" t="n">
        <f aca="false">C7883*Pressupostos!$F$27</f>
        <v>194.4</v>
      </c>
      <c r="D7884" s="61" t="n">
        <f aca="false">D7883*Pressupostos!$F$27</f>
        <v>729</v>
      </c>
      <c r="E7884" s="61" t="n">
        <f aca="false">E7883*Pressupostos!$F$27</f>
        <v>1944</v>
      </c>
      <c r="F7884" s="61" t="n">
        <f aca="false">F7883*Pressupostos!$F$27</f>
        <v>3402</v>
      </c>
      <c r="G7884" s="61" t="n">
        <f aca="false">G7883*Pressupostos!$F$27</f>
        <v>4860</v>
      </c>
      <c r="H7884" s="2" t="s">
        <v>1270</v>
      </c>
    </row>
    <row r="7885" customFormat="false" ht="15" hidden="false" customHeight="false" outlineLevel="1" collapsed="false">
      <c r="A7885" s="7" t="s">
        <v>615</v>
      </c>
      <c r="B7885" s="8" t="s">
        <v>11</v>
      </c>
      <c r="C7885" s="61" t="n">
        <f aca="false">C7791*1000*C7874</f>
        <v>0</v>
      </c>
      <c r="D7885" s="61" t="n">
        <f aca="false">D7791*1000*D7874</f>
        <v>13125</v>
      </c>
      <c r="E7885" s="61" t="n">
        <f aca="false">E7791*1000*E7874</f>
        <v>39375</v>
      </c>
      <c r="F7885" s="61" t="n">
        <f aca="false">F7791*1000*F7874</f>
        <v>65625</v>
      </c>
      <c r="G7885" s="61" t="n">
        <f aca="false">G7791*1000*G7874</f>
        <v>91875</v>
      </c>
      <c r="H7885" s="2" t="s">
        <v>1271</v>
      </c>
    </row>
    <row r="7886" customFormat="false" ht="15" hidden="false" customHeight="false" outlineLevel="1" collapsed="false">
      <c r="A7886" s="7" t="s">
        <v>616</v>
      </c>
      <c r="B7886" s="8" t="s">
        <v>11</v>
      </c>
      <c r="C7886" s="61" t="n">
        <f aca="false">C7802*(Pressupostos!$C$101*Pressupostos!$C$102+Pressupostos!$C$103)</f>
        <v>0</v>
      </c>
      <c r="D7886" s="61" t="n">
        <f aca="false">D7802*(Pressupostos!$C$101*Pressupostos!$C$102+Pressupostos!$C$103)</f>
        <v>10000</v>
      </c>
      <c r="E7886" s="61" t="n">
        <f aca="false">E7802*(Pressupostos!$C$101*Pressupostos!$C$102+Pressupostos!$C$103)</f>
        <v>30000</v>
      </c>
      <c r="F7886" s="61" t="n">
        <f aca="false">F7802*(Pressupostos!$C$101*Pressupostos!$C$102+Pressupostos!$C$103)</f>
        <v>60000</v>
      </c>
      <c r="G7886" s="61" t="n">
        <f aca="false">G7802*(Pressupostos!$C$101*Pressupostos!$C$102+Pressupostos!$C$103)</f>
        <v>100000</v>
      </c>
      <c r="H7886" s="2" t="s">
        <v>1272</v>
      </c>
    </row>
    <row r="7887" customFormat="false" ht="15" hidden="false" customHeight="false" outlineLevel="1" collapsed="false">
      <c r="A7887" s="7" t="s">
        <v>617</v>
      </c>
      <c r="B7887" s="8" t="s">
        <v>11</v>
      </c>
      <c r="C7887" s="53" t="n">
        <f aca="false">Pressupostos!$C$277</f>
        <v>0</v>
      </c>
      <c r="D7887" s="53" t="n">
        <f aca="false">Pressupostos!$D$277</f>
        <v>0</v>
      </c>
      <c r="E7887" s="53" t="n">
        <f aca="false">Pressupostos!$E$277</f>
        <v>0</v>
      </c>
      <c r="F7887" s="53" t="n">
        <f aca="false">Pressupostos!$F$277</f>
        <v>10000</v>
      </c>
      <c r="G7887" s="53" t="n">
        <f aca="false">Pressupostos!$G$277</f>
        <v>30000</v>
      </c>
      <c r="H7887" s="2" t="s">
        <v>1273</v>
      </c>
    </row>
    <row r="7888" customFormat="false" ht="15" hidden="false" customHeight="false" outlineLevel="1" collapsed="false">
      <c r="A7888" s="56" t="s">
        <v>618</v>
      </c>
      <c r="B7888" s="57" t="s">
        <v>11</v>
      </c>
      <c r="C7888" s="62" t="n">
        <f aca="false">C7881+C7882+C7884+C7885+C7886+C7887</f>
        <v>275874.4</v>
      </c>
      <c r="D7888" s="62" t="n">
        <f aca="false">D7881+D7882+D7884+D7885+D7886+D7887</f>
        <v>1805254</v>
      </c>
      <c r="E7888" s="62" t="n">
        <f aca="false">E7881+E7882+E7884+E7885+E7886+E7887</f>
        <v>3704769</v>
      </c>
      <c r="F7888" s="62" t="n">
        <f aca="false">F7881+F7882+F7884+F7885+F7886+F7887</f>
        <v>6335277</v>
      </c>
      <c r="G7888" s="62" t="n">
        <f aca="false">G7881+G7882+G7884+G7885+G7886+G7887</f>
        <v>9691735</v>
      </c>
      <c r="H7888" s="2" t="s">
        <v>1274</v>
      </c>
    </row>
    <row r="7889" customFormat="false" ht="15" hidden="false" customHeight="false" outlineLevel="0" collapsed="false">
      <c r="A7889" s="3" t="s">
        <v>1275</v>
      </c>
      <c r="B7889" s="4"/>
      <c r="C7889" s="4"/>
      <c r="D7889" s="4"/>
      <c r="E7889" s="4"/>
      <c r="F7889" s="4"/>
      <c r="G7889" s="4"/>
      <c r="H7889" s="4"/>
    </row>
    <row r="7890" customFormat="false" ht="15" hidden="false" customHeight="false" outlineLevel="1" collapsed="false">
      <c r="A7890" s="2" t="s">
        <v>620</v>
      </c>
      <c r="B7890" s="8" t="s">
        <v>11</v>
      </c>
      <c r="C7890" s="61" t="n">
        <f aca="false">C7791*1000*Pressupostos!$F$10</f>
        <v>0</v>
      </c>
      <c r="D7890" s="61" t="n">
        <f aca="false">D7791*1000*Pressupostos!$F$10</f>
        <v>1750000</v>
      </c>
      <c r="E7890" s="61" t="n">
        <f aca="false">E7791*1000*Pressupostos!$F$10</f>
        <v>5250000</v>
      </c>
      <c r="F7890" s="61" t="n">
        <f aca="false">F7791*1000*Pressupostos!$F$10</f>
        <v>8750000</v>
      </c>
      <c r="G7890" s="61" t="n">
        <f aca="false">G7791*1000*Pressupostos!$F$10</f>
        <v>12250000</v>
      </c>
      <c r="H7890" s="2" t="s">
        <v>1276</v>
      </c>
    </row>
    <row r="7891" customFormat="false" ht="15" hidden="false" customHeight="false" outlineLevel="1" collapsed="false">
      <c r="A7891" s="56" t="s">
        <v>621</v>
      </c>
      <c r="B7891" s="57" t="s">
        <v>11</v>
      </c>
      <c r="C7891" s="62" t="n">
        <f aca="false">C7881+C7882+C7883+C7890</f>
        <v>285400</v>
      </c>
      <c r="D7891" s="62" t="n">
        <f aca="false">D7881+D7882+D7883+D7890</f>
        <v>3567850</v>
      </c>
      <c r="E7891" s="62" t="n">
        <f aca="false">E7881+E7882+E7883+E7890</f>
        <v>8980650</v>
      </c>
      <c r="F7891" s="62" t="n">
        <f aca="false">F7881+F7882+F7883+F7890</f>
        <v>15116350</v>
      </c>
      <c r="G7891" s="62" t="n">
        <f aca="false">G7881+G7882+G7883+G7890</f>
        <v>21958000</v>
      </c>
      <c r="H7891" s="2" t="s">
        <v>1277</v>
      </c>
    </row>
    <row r="7892" customFormat="false" ht="15" hidden="false" customHeight="false" outlineLevel="1" collapsed="false">
      <c r="A7892" s="7" t="s">
        <v>622</v>
      </c>
      <c r="B7892" s="8" t="s">
        <v>11</v>
      </c>
      <c r="C7892" s="61" t="n">
        <f aca="false">C7891-C7890-C7880</f>
        <v>285400</v>
      </c>
      <c r="D7892" s="61" t="n">
        <f aca="false">D7891-D7890-D7880</f>
        <v>1817850</v>
      </c>
      <c r="E7892" s="61" t="n">
        <f aca="false">E7891-E7890-E7880</f>
        <v>3730650</v>
      </c>
      <c r="F7892" s="61" t="n">
        <f aca="false">F7891-F7890-F7880</f>
        <v>6366350</v>
      </c>
      <c r="G7892" s="61" t="n">
        <f aca="false">G7891-G7890-G7880</f>
        <v>9708000</v>
      </c>
      <c r="H7892" s="2" t="s">
        <v>1278</v>
      </c>
    </row>
    <row r="7893" customFormat="false" ht="15" hidden="false" customHeight="false" outlineLevel="1" collapsed="false">
      <c r="A7893" s="7" t="s">
        <v>623</v>
      </c>
      <c r="B7893" s="8" t="s">
        <v>11</v>
      </c>
      <c r="C7893" s="61" t="n">
        <f aca="false">C7787*1000*(C7805+C7808)+C7788*1000*(C7828+C7831)+C7790*1000*(C7851+C7854)+C7800*1000*Pressupostos!$C$92</f>
        <v>245040</v>
      </c>
      <c r="D7893" s="61" t="n">
        <f aca="false">D7787*1000*(D7805+D7808)+D7788*1000*(D7828+D7831)+D7790*1000*(D7851+D7854)+D7800*1000*Pressupostos!$C$92</f>
        <v>1599300</v>
      </c>
      <c r="E7893" s="61" t="n">
        <f aca="false">E7787*1000*(E7805+E7808)+E7788*1000*(E7828+E7831)+E7790*1000*(E7851+E7854)+E7800*1000*Pressupostos!$C$92</f>
        <v>3248250</v>
      </c>
      <c r="F7893" s="61" t="n">
        <f aca="false">F7787*1000*(F7805+F7808)+F7788*1000*(F7828+F7831)+F7790*1000*(F7851+F7854)+F7800*1000*Pressupostos!$C$92</f>
        <v>5533850</v>
      </c>
      <c r="G7893" s="61" t="n">
        <f aca="false">G7787*1000*(G7805+G7808)+G7788*1000*(G7828+G7831)+G7790*1000*(G7851+G7854)+G7800*1000*Pressupostos!$C$92</f>
        <v>8460500</v>
      </c>
      <c r="H7893" s="2" t="s">
        <v>1279</v>
      </c>
    </row>
    <row r="7894" customFormat="false" ht="15" hidden="false" customHeight="false" outlineLevel="1" collapsed="false">
      <c r="A7894" s="7" t="s">
        <v>624</v>
      </c>
      <c r="B7894" s="8" t="s">
        <v>11</v>
      </c>
      <c r="C7894" s="61" t="n">
        <f aca="false">C7893*(Pressupostos!$C$282)</f>
        <v>0</v>
      </c>
      <c r="D7894" s="61" t="n">
        <f aca="false">D7893*(Pressupostos!$D$282)</f>
        <v>1439370</v>
      </c>
      <c r="E7894" s="61" t="n">
        <f aca="false">E7893*(Pressupostos!$E$282)</f>
        <v>2923425</v>
      </c>
      <c r="F7894" s="61" t="n">
        <f aca="false">F7893*(Pressupostos!$F$282)</f>
        <v>4980465</v>
      </c>
      <c r="G7894" s="61" t="n">
        <f aca="false">G7893*(Pressupostos!$G$282)</f>
        <v>7614450</v>
      </c>
      <c r="H7894" s="2" t="s">
        <v>1280</v>
      </c>
    </row>
    <row r="7895" customFormat="false" ht="15" hidden="false" customHeight="false" outlineLevel="0" collapsed="false">
      <c r="A7895" s="3" t="s">
        <v>1281</v>
      </c>
      <c r="B7895" s="4"/>
      <c r="C7895" s="4"/>
      <c r="D7895" s="4"/>
      <c r="E7895" s="4"/>
      <c r="F7895" s="4"/>
      <c r="G7895" s="4"/>
      <c r="H7895" s="4"/>
    </row>
    <row r="7896" customFormat="false" ht="15" hidden="false" customHeight="false" outlineLevel="1" collapsed="false">
      <c r="A7896" s="7" t="s">
        <v>626</v>
      </c>
      <c r="B7896" s="8" t="s">
        <v>11</v>
      </c>
      <c r="C7896" s="61" t="n">
        <f aca="false">C7787*1000*C7824</f>
        <v>4950.75000000001</v>
      </c>
      <c r="D7896" s="61" t="n">
        <f aca="false">D7787*1000*D7824</f>
        <v>12673.9494863014</v>
      </c>
      <c r="E7896" s="61" t="n">
        <f aca="false">E7787*1000*E7824</f>
        <v>49971.2493150686</v>
      </c>
      <c r="F7896" s="61" t="n">
        <f aca="false">F7787*1000*F7824</f>
        <v>89349.0955479452</v>
      </c>
      <c r="G7896" s="61" t="n">
        <f aca="false">G7787*1000*G7824</f>
        <v>127641.565068493</v>
      </c>
      <c r="H7896" s="2" t="s">
        <v>1282</v>
      </c>
    </row>
    <row r="7897" customFormat="false" ht="15" hidden="false" customHeight="false" outlineLevel="1" collapsed="false">
      <c r="A7897" s="7" t="s">
        <v>627</v>
      </c>
      <c r="B7897" s="8" t="s">
        <v>11</v>
      </c>
      <c r="C7897" s="61" t="n">
        <f aca="false">C7788*1000*C7847</f>
        <v>10195.0273972603</v>
      </c>
      <c r="D7897" s="61" t="n">
        <f aca="false">D7788*1000*D7847</f>
        <v>51231.4828767126</v>
      </c>
      <c r="E7897" s="61" t="n">
        <f aca="false">E7788*1000*E7847</f>
        <v>110824.074914384</v>
      </c>
      <c r="F7897" s="61" t="n">
        <f aca="false">F7788*1000*F7847</f>
        <v>186912.987157534</v>
      </c>
      <c r="G7897" s="61" t="n">
        <f aca="false">G7788*1000*G7847</f>
        <v>282818.467465754</v>
      </c>
      <c r="H7897" s="2" t="s">
        <v>1283</v>
      </c>
    </row>
    <row r="7898" customFormat="false" ht="15" hidden="false" customHeight="false" outlineLevel="1" collapsed="false">
      <c r="A7898" s="7" t="s">
        <v>628</v>
      </c>
      <c r="B7898" s="8" t="s">
        <v>11</v>
      </c>
      <c r="C7898" s="61" t="n">
        <f aca="false">C7790*1000*C7870+C7791*1000*C7876</f>
        <v>0</v>
      </c>
      <c r="D7898" s="61" t="n">
        <f aca="false">D7790*1000*D7870+D7791*1000*D7876</f>
        <v>3625</v>
      </c>
      <c r="E7898" s="61" t="n">
        <f aca="false">E7790*1000*E7870+E7791*1000*E7876</f>
        <v>10875</v>
      </c>
      <c r="F7898" s="61" t="n">
        <f aca="false">F7790*1000*F7870+F7791*1000*F7876</f>
        <v>18125</v>
      </c>
      <c r="G7898" s="61" t="n">
        <f aca="false">G7790*1000*G7870+G7791*1000*G7876</f>
        <v>25375</v>
      </c>
      <c r="H7898" s="2" t="s">
        <v>1284</v>
      </c>
    </row>
    <row r="7899" customFormat="false" ht="15" hidden="false" customHeight="false" outlineLevel="1" collapsed="false">
      <c r="A7899" s="7" t="s">
        <v>629</v>
      </c>
      <c r="B7899" s="8" t="s">
        <v>11</v>
      </c>
      <c r="C7899" s="61" t="n">
        <f aca="false">C7896+C7897+C7898</f>
        <v>15145.7773972603</v>
      </c>
      <c r="D7899" s="61" t="n">
        <f aca="false">D7896+D7897+D7898</f>
        <v>67530.432363014</v>
      </c>
      <c r="E7899" s="61" t="n">
        <f aca="false">E7896+E7897+E7898</f>
        <v>171670.324229452</v>
      </c>
      <c r="F7899" s="61" t="n">
        <f aca="false">F7896+F7897+F7898</f>
        <v>294387.08270548</v>
      </c>
      <c r="G7899" s="61" t="n">
        <f aca="false">G7896+G7897+G7898</f>
        <v>435835.032534247</v>
      </c>
      <c r="H7899" s="2" t="s">
        <v>1285</v>
      </c>
    </row>
    <row r="7900" customFormat="false" ht="15" hidden="false" customHeight="false" outlineLevel="1" collapsed="false">
      <c r="A7900" s="7" t="s">
        <v>630</v>
      </c>
      <c r="B7900" s="8" t="s">
        <v>64</v>
      </c>
      <c r="C7900" s="63" t="n">
        <f aca="false">IF(C7792&gt;0,C7899/(C7792*1000),0)</f>
        <v>0.251590986665454</v>
      </c>
      <c r="D7900" s="63" t="n">
        <f aca="false">IF(D7792&gt;0,D7899/(D7792*1000),0)</f>
        <v>0.0755585257208548</v>
      </c>
      <c r="E7900" s="63" t="n">
        <f aca="false">IF(E7792&gt;0,E7899/(E7792*1000),0)</f>
        <v>0.0746717373768823</v>
      </c>
      <c r="F7900" s="63" t="n">
        <f aca="false">IF(F7792&gt;0,F7899/(F7792*1000),0)</f>
        <v>0.0769337730838833</v>
      </c>
      <c r="G7900" s="63" t="n">
        <f aca="false">IF(G7792&gt;0,G7899/(G7792*1000),0)</f>
        <v>0.0793148375858502</v>
      </c>
      <c r="H7900" s="2" t="s">
        <v>1286</v>
      </c>
    </row>
    <row r="7901" customFormat="false" ht="15" hidden="false" customHeight="false" outlineLevel="1" collapsed="false">
      <c r="A7901" s="7" t="s">
        <v>631</v>
      </c>
      <c r="B7901" s="8" t="s">
        <v>76</v>
      </c>
      <c r="C7901" s="59" t="n">
        <f aca="false">IF(C7881&gt;0,C7899/C7881,0)</f>
        <v>0.0549397032692263</v>
      </c>
      <c r="D7901" s="59" t="n">
        <f aca="false">IF(D7881&gt;0,D7899/D7881,0)</f>
        <v>0.0379086293718502</v>
      </c>
      <c r="E7901" s="59" t="n">
        <f aca="false">IF(E7881&gt;0,E7899/E7881,0)</f>
        <v>0.0472471959788775</v>
      </c>
      <c r="F7901" s="59" t="n">
        <f aca="false">IF(F7881&gt;0,F7899/F7881,0)</f>
        <v>0.0487456360815465</v>
      </c>
      <c r="G7901" s="59" t="n">
        <f aca="false">IF(G7881&gt;0,G7899/G7881,0)</f>
        <v>0.0480391328227332</v>
      </c>
      <c r="H7901" s="2" t="s">
        <v>1287</v>
      </c>
    </row>
    <row r="7902" customFormat="false" ht="15" hidden="false" customHeight="false" outlineLevel="1" collapsed="false">
      <c r="A7902" s="2" t="s">
        <v>632</v>
      </c>
      <c r="B7902" s="8" t="s">
        <v>64</v>
      </c>
      <c r="C7902" s="63" t="n">
        <f aca="false">Pressupostos!$C$290*Pressupostos!$C$92*(Pressupostos!$C$95+Pressupostos!$C$96-Pressupostos!$C$97)/365*(Pressupostos!$C$282)/Pressupostos!$F$31</f>
        <v>0</v>
      </c>
      <c r="D7902" s="63" t="n">
        <f aca="false">Pressupostos!$D$290*Pressupostos!$C$92*(Pressupostos!$C$95+Pressupostos!$C$96-Pressupostos!$C$97)/365*(Pressupostos!$D$282)/Pressupostos!$F$31</f>
        <v>0.0776712328767123</v>
      </c>
      <c r="E7902" s="63" t="n">
        <f aca="false">Pressupostos!$E$290*Pressupostos!$C$92*(Pressupostos!$C$95+Pressupostos!$C$96-Pressupostos!$C$97)/365*(Pressupostos!$E$282)/Pressupostos!$F$31</f>
        <v>0.0728167808219178</v>
      </c>
      <c r="F7902" s="63" t="n">
        <f aca="false">Pressupostos!$F$290*Pressupostos!$C$92*(Pressupostos!$C$95+Pressupostos!$C$96-Pressupostos!$C$97)/365*(Pressupostos!$F$282)/Pressupostos!$F$31</f>
        <v>0.0679623287671233</v>
      </c>
      <c r="G7902" s="63" t="n">
        <f aca="false">Pressupostos!$G$290*Pressupostos!$C$92*(Pressupostos!$C$95+Pressupostos!$C$96-Pressupostos!$C$97)/365*(Pressupostos!$G$282)/Pressupostos!$F$31</f>
        <v>0.0679623287671233</v>
      </c>
      <c r="H7902" s="2" t="s">
        <v>1288</v>
      </c>
    </row>
    <row r="7903" customFormat="false" ht="15" hidden="false" customHeight="false" outlineLevel="1" collapsed="false">
      <c r="A7903" s="7" t="s">
        <v>600</v>
      </c>
      <c r="B7903" s="8" t="s">
        <v>11</v>
      </c>
      <c r="C7903" s="61" t="n">
        <f aca="false">C7800*1000*(Pressupostos!$C$93-Pressupostos!$C$92-Pressupostos!$C$94-C7902-Pressupostos!$C$98*Pressupostos!$C$93-Pressupostos!$C$99-Pressupostos!$F$29*Pressupostos!$C$92)</f>
        <v>0</v>
      </c>
      <c r="D7903" s="61" t="n">
        <f aca="false">D7800*1000*(Pressupostos!$C$93-Pressupostos!$C$92-Pressupostos!$C$94-D7902-Pressupostos!$C$98*Pressupostos!$C$93-Pressupostos!$C$99-Pressupostos!$F$29*Pressupostos!$C$92)</f>
        <v>0</v>
      </c>
      <c r="E7903" s="61" t="n">
        <f aca="false">E7800*1000*(Pressupostos!$C$93-Pressupostos!$C$92-Pressupostos!$C$94-E7902-Pressupostos!$C$98*Pressupostos!$C$93-Pressupostos!$C$99-Pressupostos!$F$29*Pressupostos!$C$92)</f>
        <v>0</v>
      </c>
      <c r="F7903" s="61" t="n">
        <f aca="false">F7800*1000*(Pressupostos!$C$93-Pressupostos!$C$92-Pressupostos!$C$94-F7902-Pressupostos!$C$98*Pressupostos!$C$93-Pressupostos!$C$99-Pressupostos!$F$29*Pressupostos!$C$92)</f>
        <v>10678.7534246575</v>
      </c>
      <c r="G7903" s="61" t="n">
        <f aca="false">G7800*1000*(Pressupostos!$C$93-Pressupostos!$C$92-Pressupostos!$C$94-G7902-Pressupostos!$C$98*Pressupostos!$C$93-Pressupostos!$C$99-Pressupostos!$F$29*Pressupostos!$C$92)</f>
        <v>26696.8835616438</v>
      </c>
      <c r="H7903" s="2" t="s">
        <v>1289</v>
      </c>
    </row>
    <row r="7904" customFormat="false" ht="15" hidden="false" customHeight="false" outlineLevel="1" collapsed="false">
      <c r="A7904" s="7" t="s">
        <v>633</v>
      </c>
      <c r="B7904" s="8" t="s">
        <v>11</v>
      </c>
      <c r="C7904" s="61" t="n">
        <f aca="false">C7884</f>
        <v>194.4</v>
      </c>
      <c r="D7904" s="61" t="n">
        <f aca="false">D7884</f>
        <v>729</v>
      </c>
      <c r="E7904" s="61" t="n">
        <f aca="false">E7884</f>
        <v>1944</v>
      </c>
      <c r="F7904" s="61" t="n">
        <f aca="false">F7884</f>
        <v>3402</v>
      </c>
      <c r="G7904" s="61" t="n">
        <f aca="false">G7884</f>
        <v>4860</v>
      </c>
      <c r="H7904" s="2" t="s">
        <v>1290</v>
      </c>
    </row>
    <row r="7905" customFormat="false" ht="15" hidden="false" customHeight="false" outlineLevel="1" collapsed="false">
      <c r="A7905" s="7" t="s">
        <v>634</v>
      </c>
      <c r="B7905" s="8" t="s">
        <v>11</v>
      </c>
      <c r="C7905" s="61" t="n">
        <f aca="false">C7886-C7920</f>
        <v>0</v>
      </c>
      <c r="D7905" s="61" t="n">
        <f aca="false">D7886-D7920</f>
        <v>10000</v>
      </c>
      <c r="E7905" s="61" t="n">
        <f aca="false">E7886-E7920</f>
        <v>30000</v>
      </c>
      <c r="F7905" s="61" t="n">
        <f aca="false">F7886-F7920</f>
        <v>60000</v>
      </c>
      <c r="G7905" s="61" t="n">
        <f aca="false">G7886-G7920</f>
        <v>100000</v>
      </c>
      <c r="H7905" s="2" t="s">
        <v>1291</v>
      </c>
    </row>
    <row r="7906" customFormat="false" ht="15" hidden="false" customHeight="false" outlineLevel="1" collapsed="false">
      <c r="A7906" s="7" t="s">
        <v>617</v>
      </c>
      <c r="B7906" s="8" t="s">
        <v>11</v>
      </c>
      <c r="C7906" s="61" t="n">
        <f aca="false">C7887</f>
        <v>0</v>
      </c>
      <c r="D7906" s="61" t="n">
        <f aca="false">D7887</f>
        <v>0</v>
      </c>
      <c r="E7906" s="61" t="n">
        <f aca="false">E7887</f>
        <v>0</v>
      </c>
      <c r="F7906" s="61" t="n">
        <f aca="false">F7887</f>
        <v>10000</v>
      </c>
      <c r="G7906" s="61" t="n">
        <f aca="false">G7887</f>
        <v>30000</v>
      </c>
      <c r="H7906" s="2" t="s">
        <v>1292</v>
      </c>
    </row>
    <row r="7907" customFormat="false" ht="15" hidden="false" customHeight="false" outlineLevel="1" collapsed="false">
      <c r="A7907" s="56" t="s">
        <v>635</v>
      </c>
      <c r="B7907" s="57" t="s">
        <v>11</v>
      </c>
      <c r="C7907" s="62" t="n">
        <f aca="false">C7899+C7903+C7904+C7905+C7906</f>
        <v>15340.1773972603</v>
      </c>
      <c r="D7907" s="62" t="n">
        <f aca="false">D7899+D7903+D7904+D7905+D7906</f>
        <v>78259.432363014</v>
      </c>
      <c r="E7907" s="62" t="n">
        <f aca="false">E7899+E7903+E7904+E7905+E7906</f>
        <v>203614.324229452</v>
      </c>
      <c r="F7907" s="62" t="n">
        <f aca="false">F7899+F7903+F7904+F7905+F7906</f>
        <v>378467.836130137</v>
      </c>
      <c r="G7907" s="62" t="n">
        <f aca="false">G7899+G7903+G7904+G7905+G7906</f>
        <v>597391.916095891</v>
      </c>
      <c r="H7907" s="2" t="s">
        <v>1293</v>
      </c>
    </row>
    <row r="7908" customFormat="false" ht="15" hidden="false" customHeight="false" outlineLevel="0" collapsed="false">
      <c r="A7908" s="3" t="s">
        <v>1294</v>
      </c>
      <c r="B7908" s="4"/>
      <c r="C7908" s="4"/>
      <c r="D7908" s="4"/>
      <c r="E7908" s="4"/>
      <c r="F7908" s="4"/>
      <c r="G7908" s="4"/>
      <c r="H7908" s="4"/>
    </row>
    <row r="7909" customFormat="false" ht="15" hidden="false" customHeight="false" outlineLevel="1" collapsed="false">
      <c r="A7909" s="7" t="s">
        <v>686</v>
      </c>
      <c r="B7909" s="8" t="s">
        <v>11</v>
      </c>
      <c r="C7909" s="61" t="n">
        <f aca="false">C7787*1000*(C7805+C7808)+C7788*1000*(C7828+C7831)+C7790*1000*(C7851+C7854)</f>
        <v>245040</v>
      </c>
      <c r="D7909" s="61" t="n">
        <f aca="false">D7787*1000*(D7805+D7808)+D7788*1000*(D7828+D7831)+D7790*1000*(D7851+D7854)</f>
        <v>1599300</v>
      </c>
      <c r="E7909" s="61" t="n">
        <f aca="false">E7787*1000*(E7805+E7808)+E7788*1000*(E7828+E7831)+E7790*1000*(E7851+E7854)</f>
        <v>3248250</v>
      </c>
      <c r="F7909" s="61" t="n">
        <f aca="false">F7787*1000*(F7805+F7808)+F7788*1000*(F7828+F7831)+F7790*1000*(F7851+F7854)</f>
        <v>5393850</v>
      </c>
      <c r="G7909" s="61" t="n">
        <f aca="false">G7787*1000*(G7805+G7808)+G7788*1000*(G7828+G7831)+G7790*1000*(G7851+G7854)</f>
        <v>8110500</v>
      </c>
      <c r="H7909" s="2" t="s">
        <v>1295</v>
      </c>
    </row>
    <row r="7910" customFormat="false" ht="15" hidden="false" customHeight="false" outlineLevel="1" collapsed="false">
      <c r="A7910" s="7" t="s">
        <v>687</v>
      </c>
      <c r="B7910" s="8" t="s">
        <v>11</v>
      </c>
      <c r="C7910" s="61" t="n">
        <f aca="false">C7800*1000*Pressupostos!$C$92</f>
        <v>0</v>
      </c>
      <c r="D7910" s="61" t="n">
        <f aca="false">D7800*1000*Pressupostos!$C$92</f>
        <v>0</v>
      </c>
      <c r="E7910" s="61" t="n">
        <f aca="false">E7800*1000*Pressupostos!$C$92</f>
        <v>0</v>
      </c>
      <c r="F7910" s="61" t="n">
        <f aca="false">F7800*1000*Pressupostos!$C$92</f>
        <v>140000</v>
      </c>
      <c r="G7910" s="61" t="n">
        <f aca="false">G7800*1000*Pressupostos!$C$92</f>
        <v>350000</v>
      </c>
      <c r="H7910" s="2" t="s">
        <v>1296</v>
      </c>
    </row>
    <row r="7911" customFormat="false" ht="15" hidden="false" customHeight="false" outlineLevel="1" collapsed="false">
      <c r="A7911" s="7" t="s">
        <v>688</v>
      </c>
      <c r="B7911" s="8" t="s">
        <v>11</v>
      </c>
      <c r="C7911" s="61" t="n">
        <f aca="false">C7909+C7910</f>
        <v>245040</v>
      </c>
      <c r="D7911" s="61" t="n">
        <f aca="false">D7909+D7910</f>
        <v>1599300</v>
      </c>
      <c r="E7911" s="61" t="n">
        <f aca="false">E7909+E7910</f>
        <v>3248250</v>
      </c>
      <c r="F7911" s="61" t="n">
        <f aca="false">F7909+F7910</f>
        <v>5533850</v>
      </c>
      <c r="G7911" s="61" t="n">
        <f aca="false">G7909+G7910</f>
        <v>8460500</v>
      </c>
      <c r="H7911" s="2" t="s">
        <v>1297</v>
      </c>
    </row>
    <row r="7912" customFormat="false" ht="15" hidden="false" customHeight="false" outlineLevel="1" collapsed="false">
      <c r="A7912" s="7" t="s">
        <v>215</v>
      </c>
      <c r="B7912" s="8" t="s">
        <v>11</v>
      </c>
      <c r="C7912" s="61" t="n">
        <f aca="false">C7787*1000*(C7809)+C7788*1000*(C7832)+C7790*1000*(C7855)+C7800*1000*Pressupostos!$C$94</f>
        <v>7660</v>
      </c>
      <c r="D7912" s="61" t="n">
        <f aca="false">D7787*1000*(D7809)+D7788*1000*(D7832)+D7790*1000*(D7855)+D7800*1000*Pressupostos!$C$94</f>
        <v>45525</v>
      </c>
      <c r="E7912" s="61" t="n">
        <f aca="false">E7787*1000*(E7809)+E7788*1000*(E7832)+E7790*1000*(E7855)+E7800*1000*Pressupostos!$C$94</f>
        <v>87490</v>
      </c>
      <c r="F7912" s="61" t="n">
        <f aca="false">F7787*1000*(F7809)+F7788*1000*(F7832)+F7790*1000*(F7855)+F7800*1000*Pressupostos!$C$94</f>
        <v>148215</v>
      </c>
      <c r="G7912" s="61" t="n">
        <f aca="false">G7787*1000*(G7809)+G7788*1000*(G7832)+G7790*1000*(G7855)+G7800*1000*Pressupostos!$C$94</f>
        <v>223950</v>
      </c>
      <c r="H7912" s="2" t="s">
        <v>1298</v>
      </c>
    </row>
    <row r="7913" customFormat="false" ht="15" hidden="false" customHeight="false" outlineLevel="1" collapsed="false">
      <c r="A7913" s="7" t="s">
        <v>117</v>
      </c>
      <c r="B7913" s="8" t="s">
        <v>11</v>
      </c>
      <c r="C7913" s="61" t="n">
        <f aca="false">C7787*1000*(C7810)+C7788*1000*(C7833)+C7790*1000*(C7856)</f>
        <v>492</v>
      </c>
      <c r="D7913" s="61" t="n">
        <f aca="false">D7787*1000*(D7810)+D7788*1000*(D7833)+D7790*1000*(D7856)</f>
        <v>1845</v>
      </c>
      <c r="E7913" s="61" t="n">
        <f aca="false">E7787*1000*(E7810)+E7788*1000*(E7833)+E7790*1000*(E7856)</f>
        <v>4920</v>
      </c>
      <c r="F7913" s="61" t="n">
        <f aca="false">F7787*1000*(F7810)+F7788*1000*(F7833)+F7790*1000*(F7856)</f>
        <v>8610</v>
      </c>
      <c r="G7913" s="61" t="n">
        <f aca="false">G7787*1000*(G7810)+G7788*1000*(G7833)+G7790*1000*(G7856)</f>
        <v>12300</v>
      </c>
      <c r="H7913" s="2" t="s">
        <v>1299</v>
      </c>
    </row>
    <row r="7914" customFormat="false" ht="15" hidden="false" customHeight="false" outlineLevel="1" collapsed="false">
      <c r="A7914" s="7" t="s">
        <v>689</v>
      </c>
      <c r="B7914" s="8" t="s">
        <v>11</v>
      </c>
      <c r="C7914" s="61" t="n">
        <f aca="false">C7787*1000*(C7813+C7814)+C7788*1000*(C7836+C7837)+C7790*1000*(C7859+C7860)</f>
        <v>465.092602739726</v>
      </c>
      <c r="D7914" s="61" t="n">
        <f aca="false">D7787*1000*(D7813+D7814)+D7788*1000*(D7836+D7837)+D7790*1000*(D7859+D7860)</f>
        <v>2515.51643835616</v>
      </c>
      <c r="E7914" s="61" t="n">
        <f aca="false">E7787*1000*(E7813+E7814)+E7788*1000*(E7836+E7837)+E7790*1000*(E7859+E7860)</f>
        <v>3858.10684931507</v>
      </c>
      <c r="F7914" s="61" t="n">
        <f aca="false">F7787*1000*(F7813+F7814)+F7788*1000*(F7836+F7837)+F7790*1000*(F7859+F7860)</f>
        <v>6422.22671232877</v>
      </c>
      <c r="G7914" s="61" t="n">
        <f aca="false">G7787*1000*(G7813+G7814)+G7788*1000*(G7836+G7837)+G7790*1000*(G7859+G7860)</f>
        <v>9633.78767123288</v>
      </c>
      <c r="H7914" s="2" t="s">
        <v>1300</v>
      </c>
    </row>
    <row r="7915" customFormat="false" ht="15" hidden="false" customHeight="false" outlineLevel="1" collapsed="false">
      <c r="A7915" s="7" t="s">
        <v>690</v>
      </c>
      <c r="B7915" s="8" t="s">
        <v>11</v>
      </c>
      <c r="C7915" s="61" t="n">
        <f aca="false">C7787*1000*(C7815+C7816+C7817)+C7788*1000*(C7838+C7839+C7840)+C7790*1000*(C7861+C7862+C7863)</f>
        <v>2675.25</v>
      </c>
      <c r="D7915" s="61" t="n">
        <f aca="false">D7787*1000*(D7815+D7816+D7817)+D7788*1000*(D7838+D7839+D7840)+D7790*1000*(D7861+D7862+D7863)</f>
        <v>16920.1875</v>
      </c>
      <c r="E7915" s="61" t="n">
        <f aca="false">E7787*1000*(E7815+E7816+E7817)+E7788*1000*(E7838+E7839+E7840)+E7790*1000*(E7861+E7862+E7863)</f>
        <v>33722.5</v>
      </c>
      <c r="F7915" s="61" t="n">
        <f aca="false">F7787*1000*(F7815+F7816+F7817)+F7788*1000*(F7838+F7839+F7840)+F7790*1000*(F7861+F7862+F7863)</f>
        <v>56072.625</v>
      </c>
      <c r="G7915" s="61" t="n">
        <f aca="false">G7787*1000*(G7815+G7816+G7817)+G7788*1000*(G7838+G7839+G7840)+G7790*1000*(G7861+G7862+G7863)</f>
        <v>84203.75</v>
      </c>
      <c r="H7915" s="2" t="s">
        <v>1301</v>
      </c>
    </row>
    <row r="7916" customFormat="false" ht="15" hidden="false" customHeight="false" outlineLevel="1" collapsed="false">
      <c r="A7916" s="7" t="s">
        <v>673</v>
      </c>
      <c r="B7916" s="8" t="s">
        <v>11</v>
      </c>
      <c r="C7916" s="61" t="n">
        <f aca="false">C7787*1000*(C7818)+C7788*1000*(C7841)+C7790*1000*(C7864)</f>
        <v>2900</v>
      </c>
      <c r="D7916" s="61" t="n">
        <f aca="false">D7787*1000*(D7818)+D7788*1000*(D7841)+D7790*1000*(D7864)</f>
        <v>17595</v>
      </c>
      <c r="E7916" s="61" t="n">
        <f aca="false">E7787*1000*(E7818)+E7788*1000*(E7841)+E7790*1000*(E7864)</f>
        <v>36880</v>
      </c>
      <c r="F7916" s="61" t="n">
        <f aca="false">F7787*1000*(F7818)+F7788*1000*(F7841)+F7790*1000*(F7864)</f>
        <v>61670</v>
      </c>
      <c r="G7916" s="61" t="n">
        <f aca="false">G7787*1000*(G7818)+G7788*1000*(G7841)+G7790*1000*(G7864)</f>
        <v>92100</v>
      </c>
      <c r="H7916" s="2" t="s">
        <v>1302</v>
      </c>
    </row>
    <row r="7917" customFormat="false" ht="15" hidden="false" customHeight="false" outlineLevel="1" collapsed="false">
      <c r="A7917" s="7" t="s">
        <v>691</v>
      </c>
      <c r="B7917" s="8" t="s">
        <v>11</v>
      </c>
      <c r="C7917" s="61" t="n">
        <f aca="false">C7787*1000*(C7819)+C7788*1000*(C7842)+C7790*1000*(C7865)+C7800*1000*Pressupostos!$C$99</f>
        <v>342</v>
      </c>
      <c r="D7917" s="61" t="n">
        <f aca="false">D7787*1000*(D7819)+D7788*1000*(D7842)+D7790*1000*(D7865)+D7800*1000*Pressupostos!$C$99</f>
        <v>2122.5</v>
      </c>
      <c r="E7917" s="61" t="n">
        <f aca="false">E7787*1000*(E7819)+E7788*1000*(E7842)+E7790*1000*(E7865)+E7800*1000*Pressupostos!$C$99</f>
        <v>4405</v>
      </c>
      <c r="F7917" s="61" t="n">
        <f aca="false">F7787*1000*(F7819)+F7788*1000*(F7842)+F7790*1000*(F7865)+F7800*1000*Pressupostos!$C$99</f>
        <v>7950</v>
      </c>
      <c r="G7917" s="61" t="n">
        <f aca="false">G7787*1000*(G7819)+G7788*1000*(G7842)+G7790*1000*(G7865)+G7800*1000*Pressupostos!$C$99</f>
        <v>12500</v>
      </c>
      <c r="H7917" s="2" t="s">
        <v>1303</v>
      </c>
    </row>
    <row r="7918" customFormat="false" ht="15" hidden="false" customHeight="false" outlineLevel="1" collapsed="false">
      <c r="A7918" s="7" t="s">
        <v>81</v>
      </c>
      <c r="B7918" s="8" t="s">
        <v>11</v>
      </c>
      <c r="C7918" s="61" t="n">
        <f aca="false">C7787*1000*(C7820)+C7788*1000*(C7843)+C7790*1000*(C7866)+C7800*1000*Pressupostos!$C$98*Pressupostos!$C$93</f>
        <v>959.88</v>
      </c>
      <c r="D7918" s="61" t="n">
        <f aca="false">D7787*1000*(D7820)+D7788*1000*(D7843)+D7790*1000*(D7866)+D7800*1000*Pressupostos!$C$98*Pressupostos!$C$93</f>
        <v>5842.35</v>
      </c>
      <c r="E7918" s="61" t="n">
        <f aca="false">E7787*1000*(E7820)+E7788*1000*(E7843)+E7790*1000*(E7866)+E7800*1000*Pressupostos!$C$98*Pressupostos!$C$93</f>
        <v>12228.75</v>
      </c>
      <c r="F7918" s="61" t="n">
        <f aca="false">F7787*1000*(F7820)+F7788*1000*(F7843)+F7790*1000*(F7866)+F7800*1000*Pressupostos!$C$98*Pressupostos!$C$93</f>
        <v>21384.45</v>
      </c>
      <c r="G7918" s="61" t="n">
        <f aca="false">G7787*1000*(G7820)+G7788*1000*(G7843)+G7790*1000*(G7866)+G7800*1000*Pressupostos!$C$98*Pressupostos!$C$93</f>
        <v>32893.5</v>
      </c>
      <c r="H7918" s="2" t="s">
        <v>1304</v>
      </c>
    </row>
    <row r="7919" customFormat="false" ht="15" hidden="false" customHeight="false" outlineLevel="1" collapsed="false">
      <c r="A7919" s="7" t="s">
        <v>692</v>
      </c>
      <c r="B7919" s="8" t="s">
        <v>11</v>
      </c>
      <c r="C7919" s="61" t="n">
        <f aca="false">C7787*1000*(C7821)+C7788*1000*(C7844)+C7790*1000*(C7867)+C7800*1000*Pressupostos!$F$29*Pressupostos!$C$92</f>
        <v>0</v>
      </c>
      <c r="D7919" s="61" t="n">
        <f aca="false">D7787*1000*(D7821)+D7788*1000*(D7844)+D7790*1000*(D7867)+D7800*1000*Pressupostos!$F$29*Pressupostos!$C$92</f>
        <v>0</v>
      </c>
      <c r="E7919" s="61" t="n">
        <f aca="false">E7787*1000*(E7821)+E7788*1000*(E7844)+E7790*1000*(E7867)+E7800*1000*Pressupostos!$F$29*Pressupostos!$C$92</f>
        <v>0</v>
      </c>
      <c r="F7919" s="61" t="n">
        <f aca="false">F7787*1000*(F7821)+F7788*1000*(F7844)+F7790*1000*(F7867)+F7800*1000*Pressupostos!$F$29*Pressupostos!$C$92</f>
        <v>420</v>
      </c>
      <c r="G7919" s="61" t="n">
        <f aca="false">G7787*1000*(G7821)+G7788*1000*(G7844)+G7790*1000*(G7867)+G7800*1000*Pressupostos!$F$29*Pressupostos!$C$92</f>
        <v>1050</v>
      </c>
      <c r="H7919" s="2" t="s">
        <v>1305</v>
      </c>
    </row>
    <row r="7920" customFormat="false" ht="15" hidden="false" customHeight="false" outlineLevel="1" collapsed="false">
      <c r="A7920" s="7" t="s">
        <v>693</v>
      </c>
      <c r="B7920" s="8" t="s">
        <v>11</v>
      </c>
      <c r="C7920" s="61" t="n">
        <f aca="false">C7803*1000*Pressupostos!$C$104*Pressupostos!$F$30</f>
        <v>0</v>
      </c>
      <c r="D7920" s="61" t="n">
        <f aca="false">D7803*1000*Pressupostos!$C$104*Pressupostos!$F$30</f>
        <v>0</v>
      </c>
      <c r="E7920" s="61" t="n">
        <f aca="false">E7803*1000*Pressupostos!$C$104*Pressupostos!$F$30</f>
        <v>0</v>
      </c>
      <c r="F7920" s="61" t="n">
        <f aca="false">F7803*1000*Pressupostos!$C$104*Pressupostos!$F$30</f>
        <v>0</v>
      </c>
      <c r="G7920" s="61" t="n">
        <f aca="false">G7803*1000*Pressupostos!$C$104*Pressupostos!$F$30</f>
        <v>0</v>
      </c>
      <c r="H7920" s="2" t="s">
        <v>1306</v>
      </c>
    </row>
    <row r="7921" customFormat="false" ht="15" hidden="false" customHeight="false" outlineLevel="1" collapsed="false">
      <c r="A7921" s="7" t="s">
        <v>694</v>
      </c>
      <c r="B7921" s="8" t="s">
        <v>11</v>
      </c>
      <c r="C7921" s="61" t="n">
        <f aca="false">C7791*1000*C7875</f>
        <v>0</v>
      </c>
      <c r="D7921" s="61" t="n">
        <f aca="false">D7791*1000*D7875</f>
        <v>9500</v>
      </c>
      <c r="E7921" s="61" t="n">
        <f aca="false">E7791*1000*E7875</f>
        <v>28500</v>
      </c>
      <c r="F7921" s="61" t="n">
        <f aca="false">F7791*1000*F7875</f>
        <v>47500</v>
      </c>
      <c r="G7921" s="61" t="n">
        <f aca="false">G7791*1000*G7875</f>
        <v>66500</v>
      </c>
      <c r="H7921" s="2" t="s">
        <v>1307</v>
      </c>
    </row>
    <row r="7922" customFormat="false" ht="15" hidden="false" customHeight="false" outlineLevel="1" collapsed="false">
      <c r="A7922" s="7" t="s">
        <v>695</v>
      </c>
      <c r="B7922" s="8" t="s">
        <v>11</v>
      </c>
      <c r="C7922" s="61" t="n">
        <f aca="false">C7912+C7913+C7914+C7915+C7916+C7917+C7918+C7919+C7920+C7921</f>
        <v>15494.2226027397</v>
      </c>
      <c r="D7922" s="61" t="n">
        <f aca="false">D7912+D7913+D7914+D7915+D7916+D7917+D7918+D7919+D7920+D7921</f>
        <v>101865.553938356</v>
      </c>
      <c r="E7922" s="61" t="n">
        <f aca="false">E7912+E7913+E7914+E7915+E7916+E7917+E7918+E7919+E7920+E7921</f>
        <v>212004.356849315</v>
      </c>
      <c r="F7922" s="61" t="n">
        <f aca="false">F7912+F7913+F7914+F7915+F7916+F7917+F7918+F7919+F7920+F7921</f>
        <v>358244.301712329</v>
      </c>
      <c r="G7922" s="61" t="n">
        <f aca="false">G7912+G7913+G7914+G7915+G7916+G7917+G7918+G7919+G7920+G7921</f>
        <v>535131.037671233</v>
      </c>
      <c r="H7922" s="2" t="s">
        <v>1308</v>
      </c>
    </row>
    <row r="7923" customFormat="false" ht="15" hidden="false" customHeight="false" outlineLevel="1" collapsed="false">
      <c r="A7923" s="7" t="s">
        <v>696</v>
      </c>
      <c r="B7923" s="8" t="s">
        <v>11</v>
      </c>
      <c r="C7923" s="61" t="n">
        <f aca="false">C7787*1000*(C7822)+C7788*1000*(C7845)+C7790*1000*(C7868)</f>
        <v>0</v>
      </c>
      <c r="D7923" s="61" t="n">
        <f aca="false">D7787*1000*(D7822)+D7788*1000*(D7845)+D7790*1000*(D7868)</f>
        <v>25829.0136986301</v>
      </c>
      <c r="E7923" s="61" t="n">
        <f aca="false">E7787*1000*(E7822)+E7788*1000*(E7845)+E7790*1000*(E7868)</f>
        <v>40900.3189212329</v>
      </c>
      <c r="F7923" s="61" t="n">
        <f aca="false">F7787*1000*(F7822)+F7788*1000*(F7845)+F7790*1000*(F7868)</f>
        <v>63355.6155821918</v>
      </c>
      <c r="G7923" s="61" t="n">
        <f aca="false">G7787*1000*(G7822)+G7788*1000*(G7845)+G7790*1000*(G7868)</f>
        <v>95313.9297945206</v>
      </c>
      <c r="H7923" s="2" t="s">
        <v>1309</v>
      </c>
    </row>
    <row r="7924" customFormat="false" ht="15" hidden="false" customHeight="false" outlineLevel="1" collapsed="false">
      <c r="A7924" s="7" t="s">
        <v>697</v>
      </c>
      <c r="B7924" s="8" t="s">
        <v>11</v>
      </c>
      <c r="C7924" s="61" t="n">
        <f aca="false">C7800*1000*C7902</f>
        <v>0</v>
      </c>
      <c r="D7924" s="61" t="n">
        <f aca="false">D7800*1000*D7902</f>
        <v>0</v>
      </c>
      <c r="E7924" s="61" t="n">
        <f aca="false">E7800*1000*E7902</f>
        <v>0</v>
      </c>
      <c r="F7924" s="61" t="n">
        <f aca="false">F7800*1000*F7902</f>
        <v>1359.24657534247</v>
      </c>
      <c r="G7924" s="61" t="n">
        <f aca="false">G7800*1000*G7902</f>
        <v>3398.11643835617</v>
      </c>
      <c r="H7924" s="2" t="s">
        <v>1310</v>
      </c>
    </row>
    <row r="7925" customFormat="false" ht="15" hidden="false" customHeight="false" outlineLevel="1" collapsed="false">
      <c r="A7925" s="7" t="s">
        <v>698</v>
      </c>
      <c r="B7925" s="8" t="s">
        <v>11</v>
      </c>
      <c r="C7925" s="61" t="n">
        <f aca="false">C7923+C7924</f>
        <v>0</v>
      </c>
      <c r="D7925" s="61" t="n">
        <f aca="false">D7923+D7924</f>
        <v>25829.0136986301</v>
      </c>
      <c r="E7925" s="61" t="n">
        <f aca="false">E7923+E7924</f>
        <v>40900.3189212329</v>
      </c>
      <c r="F7925" s="61" t="n">
        <f aca="false">F7923+F7924</f>
        <v>64714.8621575343</v>
      </c>
      <c r="G7925" s="61" t="n">
        <f aca="false">G7923+G7924</f>
        <v>98712.0462328767</v>
      </c>
      <c r="H7925" s="2" t="s">
        <v>1311</v>
      </c>
    </row>
    <row r="7926" customFormat="false" ht="15" hidden="false" customHeight="false" outlineLevel="1" collapsed="false">
      <c r="A7926" s="8" t="s">
        <v>699</v>
      </c>
      <c r="B7926" s="8" t="s">
        <v>11</v>
      </c>
      <c r="C7926" s="70" t="n">
        <f aca="false">ROUND(C7888-C7911-C7922-C7925-C7907,6)</f>
        <v>0</v>
      </c>
      <c r="D7926" s="70" t="n">
        <f aca="false">ROUND(D7888-D7911-D7922-D7925-D7907,6)</f>
        <v>-0</v>
      </c>
      <c r="E7926" s="70" t="n">
        <f aca="false">ROUND(E7888-E7911-E7922-E7925-E7907,6)</f>
        <v>-0</v>
      </c>
      <c r="F7926" s="70" t="n">
        <f aca="false">ROUND(F7888-F7911-F7922-F7925-F7907,6)</f>
        <v>0</v>
      </c>
      <c r="G7926" s="70" t="n">
        <f aca="false">ROUND(G7888-G7911-G7922-G7925-G7907,6)</f>
        <v>0</v>
      </c>
      <c r="H7926" s="2" t="s">
        <v>1312</v>
      </c>
    </row>
    <row r="7927" customFormat="false" ht="15" hidden="false" customHeight="false" outlineLevel="0" collapsed="false">
      <c r="A7927" s="3" t="s">
        <v>1313</v>
      </c>
      <c r="B7927" s="4"/>
      <c r="C7927" s="4"/>
      <c r="D7927" s="4"/>
      <c r="E7927" s="4"/>
      <c r="F7927" s="4"/>
      <c r="G7927" s="4"/>
      <c r="H7927" s="4"/>
    </row>
    <row r="7928" customFormat="false" ht="15" hidden="false" customHeight="false" outlineLevel="1" collapsed="false">
      <c r="A7928" s="7" t="s">
        <v>638</v>
      </c>
      <c r="B7928" s="8" t="s">
        <v>432</v>
      </c>
      <c r="C7928" s="64" t="n">
        <f aca="false">Pressupostos!$C$334</f>
        <v>1</v>
      </c>
      <c r="D7928" s="64" t="n">
        <f aca="false">Pressupostos!$D$334</f>
        <v>1</v>
      </c>
      <c r="E7928" s="64" t="n">
        <f aca="false">Pressupostos!$E$334</f>
        <v>1</v>
      </c>
      <c r="F7928" s="64" t="n">
        <f aca="false">Pressupostos!$F$334</f>
        <v>1</v>
      </c>
      <c r="G7928" s="64" t="n">
        <f aca="false">Pressupostos!$G$334</f>
        <v>1</v>
      </c>
      <c r="H7928" s="2" t="s">
        <v>1314</v>
      </c>
    </row>
    <row r="7929" customFormat="false" ht="15" hidden="false" customHeight="false" outlineLevel="1" collapsed="false">
      <c r="A7929" s="7" t="s">
        <v>639</v>
      </c>
      <c r="B7929" s="8" t="s">
        <v>432</v>
      </c>
      <c r="C7929" s="64" t="n">
        <f aca="false">Pressupostos!$C$340</f>
        <v>1</v>
      </c>
      <c r="D7929" s="64" t="n">
        <f aca="false">Pressupostos!$D$340</f>
        <v>1</v>
      </c>
      <c r="E7929" s="64" t="n">
        <f aca="false">Pressupostos!$E$340</f>
        <v>1</v>
      </c>
      <c r="F7929" s="64" t="n">
        <f aca="false">Pressupostos!$F$340</f>
        <v>1</v>
      </c>
      <c r="G7929" s="64" t="n">
        <f aca="false">Pressupostos!$G$340</f>
        <v>1</v>
      </c>
      <c r="H7929" s="2" t="s">
        <v>1315</v>
      </c>
    </row>
    <row r="7930" customFormat="false" ht="15" hidden="false" customHeight="false" outlineLevel="1" collapsed="false">
      <c r="A7930" s="7" t="s">
        <v>640</v>
      </c>
      <c r="B7930" s="8" t="s">
        <v>432</v>
      </c>
      <c r="C7930" s="64" t="n">
        <f aca="false">Pressupostos!$C$346</f>
        <v>0</v>
      </c>
      <c r="D7930" s="64" t="n">
        <f aca="false">Pressupostos!$D$346</f>
        <v>1</v>
      </c>
      <c r="E7930" s="64" t="n">
        <f aca="false">Pressupostos!$E$346</f>
        <v>1</v>
      </c>
      <c r="F7930" s="64" t="n">
        <f aca="false">Pressupostos!$F$346</f>
        <v>1</v>
      </c>
      <c r="G7930" s="64" t="n">
        <f aca="false">Pressupostos!$G$346</f>
        <v>1</v>
      </c>
      <c r="H7930" s="2" t="s">
        <v>1316</v>
      </c>
    </row>
    <row r="7931" customFormat="false" ht="15" hidden="false" customHeight="false" outlineLevel="1" collapsed="false">
      <c r="A7931" s="7" t="s">
        <v>641</v>
      </c>
      <c r="B7931" s="8" t="s">
        <v>432</v>
      </c>
      <c r="C7931" s="64" t="n">
        <f aca="false">Pressupostos!$C$352</f>
        <v>0.5</v>
      </c>
      <c r="D7931" s="64" t="n">
        <f aca="false">Pressupostos!$D$352</f>
        <v>1</v>
      </c>
      <c r="E7931" s="64" t="n">
        <f aca="false">Pressupostos!$E$352</f>
        <v>1</v>
      </c>
      <c r="F7931" s="64" t="n">
        <f aca="false">Pressupostos!$F$352</f>
        <v>1</v>
      </c>
      <c r="G7931" s="64" t="n">
        <f aca="false">Pressupostos!$G$352</f>
        <v>1</v>
      </c>
      <c r="H7931" s="2" t="s">
        <v>1317</v>
      </c>
    </row>
    <row r="7932" customFormat="false" ht="15" hidden="false" customHeight="false" outlineLevel="1" collapsed="false">
      <c r="A7932" s="7" t="s">
        <v>642</v>
      </c>
      <c r="B7932" s="8" t="s">
        <v>432</v>
      </c>
      <c r="C7932" s="64" t="n">
        <f aca="false">Pressupostos!$C$358</f>
        <v>0.5</v>
      </c>
      <c r="D7932" s="64" t="n">
        <f aca="false">Pressupostos!$D$358</f>
        <v>0.5</v>
      </c>
      <c r="E7932" s="64" t="n">
        <f aca="false">Pressupostos!$E$358</f>
        <v>0.5</v>
      </c>
      <c r="F7932" s="64" t="n">
        <f aca="false">Pressupostos!$F$358</f>
        <v>1</v>
      </c>
      <c r="G7932" s="64" t="n">
        <f aca="false">Pressupostos!$G$358</f>
        <v>1</v>
      </c>
      <c r="H7932" s="2" t="s">
        <v>1318</v>
      </c>
    </row>
    <row r="7933" customFormat="false" ht="15" hidden="false" customHeight="false" outlineLevel="1" collapsed="false">
      <c r="A7933" s="7" t="s">
        <v>643</v>
      </c>
      <c r="B7933" s="8" t="s">
        <v>432</v>
      </c>
      <c r="C7933" s="64" t="n">
        <f aca="false">Pressupostos!$C$364</f>
        <v>1</v>
      </c>
      <c r="D7933" s="64" t="n">
        <f aca="false">Pressupostos!$D$364</f>
        <v>1</v>
      </c>
      <c r="E7933" s="64" t="n">
        <f aca="false">Pressupostos!$E$364</f>
        <v>1</v>
      </c>
      <c r="F7933" s="64" t="n">
        <f aca="false">Pressupostos!$F$364</f>
        <v>1</v>
      </c>
      <c r="G7933" s="64" t="n">
        <f aca="false">Pressupostos!$G$364</f>
        <v>1</v>
      </c>
      <c r="H7933" s="2" t="s">
        <v>1319</v>
      </c>
    </row>
    <row r="7934" customFormat="false" ht="15" hidden="false" customHeight="false" outlineLevel="1" collapsed="false">
      <c r="A7934" s="7" t="s">
        <v>644</v>
      </c>
      <c r="B7934" s="8" t="s">
        <v>432</v>
      </c>
      <c r="C7934" s="64" t="n">
        <f aca="false">Pressupostos!$C$370</f>
        <v>0.5</v>
      </c>
      <c r="D7934" s="64" t="n">
        <f aca="false">Pressupostos!$D$370</f>
        <v>1</v>
      </c>
      <c r="E7934" s="64" t="n">
        <f aca="false">Pressupostos!$E$370</f>
        <v>1</v>
      </c>
      <c r="F7934" s="64" t="n">
        <f aca="false">Pressupostos!$F$370</f>
        <v>1</v>
      </c>
      <c r="G7934" s="64" t="n">
        <f aca="false">Pressupostos!$G$370</f>
        <v>1</v>
      </c>
      <c r="H7934" s="2" t="s">
        <v>1320</v>
      </c>
    </row>
    <row r="7935" customFormat="false" ht="15" hidden="false" customHeight="false" outlineLevel="1" collapsed="false">
      <c r="A7935" s="7" t="s">
        <v>645</v>
      </c>
      <c r="B7935" s="8" t="s">
        <v>432</v>
      </c>
      <c r="C7935" s="64" t="n">
        <f aca="false">Pressupostos!$C$376</f>
        <v>1</v>
      </c>
      <c r="D7935" s="64" t="n">
        <f aca="false">Pressupostos!$D$376</f>
        <v>1</v>
      </c>
      <c r="E7935" s="64" t="n">
        <f aca="false">Pressupostos!$E$376</f>
        <v>1</v>
      </c>
      <c r="F7935" s="64" t="n">
        <f aca="false">Pressupostos!$F$376</f>
        <v>2</v>
      </c>
      <c r="G7935" s="64" t="n">
        <f aca="false">Pressupostos!$G$376</f>
        <v>3</v>
      </c>
      <c r="H7935" s="2" t="s">
        <v>1321</v>
      </c>
    </row>
    <row r="7936" customFormat="false" ht="15" hidden="false" customHeight="false" outlineLevel="1" collapsed="false">
      <c r="A7936" s="7" t="s">
        <v>646</v>
      </c>
      <c r="B7936" s="8" t="s">
        <v>432</v>
      </c>
      <c r="C7936" s="64" t="n">
        <f aca="false">Pressupostos!$C$382</f>
        <v>0</v>
      </c>
      <c r="D7936" s="64" t="n">
        <f aca="false">Pressupostos!$D$382</f>
        <v>0</v>
      </c>
      <c r="E7936" s="64" t="n">
        <f aca="false">Pressupostos!$E$382</f>
        <v>0</v>
      </c>
      <c r="F7936" s="64" t="n">
        <f aca="false">Pressupostos!$F$382</f>
        <v>0</v>
      </c>
      <c r="G7936" s="64" t="n">
        <f aca="false">Pressupostos!$G$382</f>
        <v>0</v>
      </c>
      <c r="H7936" s="2" t="s">
        <v>1322</v>
      </c>
    </row>
    <row r="7937" customFormat="false" ht="15" hidden="false" customHeight="false" outlineLevel="1" collapsed="false">
      <c r="A7937" s="7" t="s">
        <v>647</v>
      </c>
      <c r="B7937" s="8" t="s">
        <v>432</v>
      </c>
      <c r="C7937" s="64" t="n">
        <f aca="false">Pressupostos!$C$388</f>
        <v>0</v>
      </c>
      <c r="D7937" s="64" t="n">
        <f aca="false">Pressupostos!$D$388</f>
        <v>0</v>
      </c>
      <c r="E7937" s="64" t="n">
        <f aca="false">Pressupostos!$E$388</f>
        <v>0</v>
      </c>
      <c r="F7937" s="64" t="n">
        <f aca="false">Pressupostos!$F$388</f>
        <v>0</v>
      </c>
      <c r="G7937" s="64" t="n">
        <f aca="false">Pressupostos!$G$388</f>
        <v>0</v>
      </c>
      <c r="H7937" s="2" t="s">
        <v>1323</v>
      </c>
    </row>
    <row r="7938" customFormat="false" ht="15" hidden="false" customHeight="false" outlineLevel="1" collapsed="false">
      <c r="A7938" s="7" t="s">
        <v>648</v>
      </c>
      <c r="B7938" s="8" t="s">
        <v>432</v>
      </c>
      <c r="C7938" s="64" t="n">
        <f aca="false">Pressupostos!$C$394</f>
        <v>0</v>
      </c>
      <c r="D7938" s="64" t="n">
        <f aca="false">Pressupostos!$D$394</f>
        <v>0</v>
      </c>
      <c r="E7938" s="64" t="n">
        <f aca="false">Pressupostos!$E$394</f>
        <v>0</v>
      </c>
      <c r="F7938" s="64" t="n">
        <f aca="false">Pressupostos!$F$394</f>
        <v>1</v>
      </c>
      <c r="G7938" s="64" t="n">
        <f aca="false">Pressupostos!$G$394</f>
        <v>1</v>
      </c>
      <c r="H7938" s="2" t="s">
        <v>1324</v>
      </c>
    </row>
    <row r="7939" customFormat="false" ht="15" hidden="false" customHeight="false" outlineLevel="1" collapsed="false">
      <c r="A7939" s="7" t="s">
        <v>649</v>
      </c>
      <c r="B7939" s="8" t="s">
        <v>432</v>
      </c>
      <c r="C7939" s="64" t="n">
        <f aca="false">Pressupostos!$C$400</f>
        <v>0</v>
      </c>
      <c r="D7939" s="64" t="n">
        <f aca="false">Pressupostos!$D$400</f>
        <v>0</v>
      </c>
      <c r="E7939" s="64" t="n">
        <f aca="false">Pressupostos!$E$400</f>
        <v>1</v>
      </c>
      <c r="F7939" s="64" t="n">
        <f aca="false">Pressupostos!$F$400</f>
        <v>1</v>
      </c>
      <c r="G7939" s="64" t="n">
        <f aca="false">Pressupostos!$G$400</f>
        <v>1</v>
      </c>
      <c r="H7939" s="2" t="s">
        <v>1325</v>
      </c>
    </row>
    <row r="7940" customFormat="false" ht="15" hidden="false" customHeight="false" outlineLevel="1" collapsed="false">
      <c r="A7940" s="56" t="s">
        <v>650</v>
      </c>
      <c r="B7940" s="57" t="s">
        <v>432</v>
      </c>
      <c r="C7940" s="65" t="n">
        <f aca="false">C7928+C7929+C7930+C7931+C7932+C7933+C7934+C7935+C7936+C7937+C7938+C7939</f>
        <v>5.5</v>
      </c>
      <c r="D7940" s="65" t="n">
        <f aca="false">D7928+D7929+D7930+D7931+D7932+D7933+D7934+D7935+D7936+D7937+D7938+D7939</f>
        <v>7.5</v>
      </c>
      <c r="E7940" s="65" t="n">
        <f aca="false">E7928+E7929+E7930+E7931+E7932+E7933+E7934+E7935+E7936+E7937+E7938+E7939</f>
        <v>8.5</v>
      </c>
      <c r="F7940" s="65" t="n">
        <f aca="false">F7928+F7929+F7930+F7931+F7932+F7933+F7934+F7935+F7936+F7937+F7938+F7939</f>
        <v>11</v>
      </c>
      <c r="G7940" s="65" t="n">
        <f aca="false">G7928+G7929+G7930+G7931+G7932+G7933+G7934+G7935+G7936+G7937+G7938+G7939</f>
        <v>12</v>
      </c>
      <c r="H7940" s="2" t="s">
        <v>1326</v>
      </c>
    </row>
    <row r="7941" customFormat="false" ht="15" hidden="false" customHeight="false" outlineLevel="0" collapsed="false">
      <c r="A7941" s="3" t="s">
        <v>1327</v>
      </c>
      <c r="B7941" s="4"/>
      <c r="C7941" s="4"/>
      <c r="D7941" s="4"/>
      <c r="E7941" s="4"/>
      <c r="F7941" s="4"/>
      <c r="G7941" s="4"/>
      <c r="H7941" s="4"/>
    </row>
    <row r="7942" customFormat="false" ht="15" hidden="false" customHeight="false" outlineLevel="1" collapsed="false">
      <c r="A7942" s="7" t="s">
        <v>638</v>
      </c>
      <c r="B7942" s="8" t="s">
        <v>11</v>
      </c>
      <c r="C7942" s="61" t="n">
        <f aca="false">C7928*Pressupostos!$C$131*(1+Pressupostos!$C$127)^0*(1+Pressupostos!$C$132)*Pressupostos!$C$128</f>
        <v>43998</v>
      </c>
      <c r="D7942" s="61" t="n">
        <f aca="false">D7928*Pressupostos!$C$131*(1+Pressupostos!$C$127)^1*(1+Pressupostos!$C$132)</f>
        <v>61800</v>
      </c>
      <c r="E7942" s="61" t="n">
        <f aca="false">E7928*Pressupostos!$C$131*(1+Pressupostos!$C$127)^2*(1+Pressupostos!$C$132)</f>
        <v>63654</v>
      </c>
      <c r="F7942" s="61" t="n">
        <f aca="false">F7928*Pressupostos!$C$131*(1+Pressupostos!$C$127)^3*(1+Pressupostos!$C$132)</f>
        <v>65563.62</v>
      </c>
      <c r="G7942" s="61" t="n">
        <f aca="false">G7928*Pressupostos!$C$131*(1+Pressupostos!$C$127)^4*(1+Pressupostos!$C$132)</f>
        <v>67530.5286</v>
      </c>
      <c r="H7942" s="2" t="s">
        <v>1328</v>
      </c>
    </row>
    <row r="7943" customFormat="false" ht="15" hidden="false" customHeight="false" outlineLevel="1" collapsed="false">
      <c r="A7943" s="7" t="s">
        <v>639</v>
      </c>
      <c r="B7943" s="8" t="s">
        <v>11</v>
      </c>
      <c r="C7943" s="61" t="n">
        <f aca="false">C7929*Pressupostos!$C$133*(1+Pressupostos!$C$127)^0*(1+Pressupostos!$C$134)*Pressupostos!$C$128</f>
        <v>47664.5</v>
      </c>
      <c r="D7943" s="61" t="n">
        <f aca="false">D7929*Pressupostos!$C$133*(1+Pressupostos!$C$127)^1*(1+Pressupostos!$C$134)</f>
        <v>66950</v>
      </c>
      <c r="E7943" s="61" t="n">
        <f aca="false">E7929*Pressupostos!$C$133*(1+Pressupostos!$C$127)^2*(1+Pressupostos!$C$134)</f>
        <v>68958.5</v>
      </c>
      <c r="F7943" s="61" t="n">
        <f aca="false">F7929*Pressupostos!$C$133*(1+Pressupostos!$C$127)^3*(1+Pressupostos!$C$134)</f>
        <v>71027.255</v>
      </c>
      <c r="G7943" s="61" t="n">
        <f aca="false">G7929*Pressupostos!$C$133*(1+Pressupostos!$C$127)^4*(1+Pressupostos!$C$134)</f>
        <v>73158.07265</v>
      </c>
      <c r="H7943" s="2" t="s">
        <v>1329</v>
      </c>
    </row>
    <row r="7944" customFormat="false" ht="15" hidden="false" customHeight="false" outlineLevel="1" collapsed="false">
      <c r="A7944" s="7" t="s">
        <v>640</v>
      </c>
      <c r="B7944" s="8" t="s">
        <v>11</v>
      </c>
      <c r="C7944" s="61" t="n">
        <f aca="false">C7930*Pressupostos!$C$135*(1+Pressupostos!$C$127)^0*(1+Pressupostos!$C$136)</f>
        <v>0</v>
      </c>
      <c r="D7944" s="61" t="n">
        <f aca="false">D7930*Pressupostos!$C$135*(1+Pressupostos!$C$127)^1*(1+Pressupostos!$C$136)</f>
        <v>46350</v>
      </c>
      <c r="E7944" s="61" t="n">
        <f aca="false">E7930*Pressupostos!$C$135*(1+Pressupostos!$C$127)^2*(1+Pressupostos!$C$136)</f>
        <v>47740.5</v>
      </c>
      <c r="F7944" s="61" t="n">
        <f aca="false">F7930*Pressupostos!$C$135*(1+Pressupostos!$C$127)^3*(1+Pressupostos!$C$136)</f>
        <v>49172.715</v>
      </c>
      <c r="G7944" s="61" t="n">
        <f aca="false">G7930*Pressupostos!$C$135*(1+Pressupostos!$C$127)^4*(1+Pressupostos!$C$136)</f>
        <v>50647.89645</v>
      </c>
      <c r="H7944" s="2" t="s">
        <v>1330</v>
      </c>
    </row>
    <row r="7945" customFormat="false" ht="15" hidden="false" customHeight="false" outlineLevel="1" collapsed="false">
      <c r="A7945" s="7" t="s">
        <v>641</v>
      </c>
      <c r="B7945" s="8" t="s">
        <v>11</v>
      </c>
      <c r="C7945" s="61" t="n">
        <f aca="false">C7931*Pressupostos!$C$137*(1+Pressupostos!$C$127)^0*(1+Pressupostos!$C$138)</f>
        <v>30000</v>
      </c>
      <c r="D7945" s="61" t="n">
        <f aca="false">D7931*Pressupostos!$C$137*(1+Pressupostos!$C$127)^1*(1+Pressupostos!$C$138)</f>
        <v>61800</v>
      </c>
      <c r="E7945" s="61" t="n">
        <f aca="false">E7931*Pressupostos!$C$137*(1+Pressupostos!$C$127)^2*(1+Pressupostos!$C$138)</f>
        <v>63654</v>
      </c>
      <c r="F7945" s="61" t="n">
        <f aca="false">F7931*Pressupostos!$C$137*(1+Pressupostos!$C$127)^3*(1+Pressupostos!$C$138)</f>
        <v>65563.62</v>
      </c>
      <c r="G7945" s="61" t="n">
        <f aca="false">G7931*Pressupostos!$C$137*(1+Pressupostos!$C$127)^4*(1+Pressupostos!$C$138)</f>
        <v>67530.5286</v>
      </c>
      <c r="H7945" s="2" t="s">
        <v>1331</v>
      </c>
    </row>
    <row r="7946" customFormat="false" ht="15" hidden="false" customHeight="false" outlineLevel="1" collapsed="false">
      <c r="A7946" s="7" t="s">
        <v>642</v>
      </c>
      <c r="B7946" s="8" t="s">
        <v>11</v>
      </c>
      <c r="C7946" s="61" t="n">
        <f aca="false">C7932*Pressupostos!$C$139*(1+Pressupostos!$C$127)^0*(1+Pressupostos!$C$140)</f>
        <v>22500</v>
      </c>
      <c r="D7946" s="61" t="n">
        <f aca="false">D7932*Pressupostos!$C$139*(1+Pressupostos!$C$127)^1*(1+Pressupostos!$C$140)</f>
        <v>23175</v>
      </c>
      <c r="E7946" s="61" t="n">
        <f aca="false">E7932*Pressupostos!$C$139*(1+Pressupostos!$C$127)^2*(1+Pressupostos!$C$140)</f>
        <v>23870.25</v>
      </c>
      <c r="F7946" s="61" t="n">
        <f aca="false">F7932*Pressupostos!$C$139*(1+Pressupostos!$C$127)^3*(1+Pressupostos!$C$140)</f>
        <v>49172.715</v>
      </c>
      <c r="G7946" s="61" t="n">
        <f aca="false">G7932*Pressupostos!$C$139*(1+Pressupostos!$C$127)^4*(1+Pressupostos!$C$140)</f>
        <v>50647.89645</v>
      </c>
      <c r="H7946" s="2" t="s">
        <v>1332</v>
      </c>
    </row>
    <row r="7947" customFormat="false" ht="15" hidden="false" customHeight="false" outlineLevel="1" collapsed="false">
      <c r="A7947" s="7" t="s">
        <v>643</v>
      </c>
      <c r="B7947" s="8" t="s">
        <v>11</v>
      </c>
      <c r="C7947" s="61" t="n">
        <f aca="false">C7933*Pressupostos!$C$141*(1+Pressupostos!$C$127)^0*(1+Pressupostos!$C$142)</f>
        <v>38000</v>
      </c>
      <c r="D7947" s="61" t="n">
        <f aca="false">D7933*Pressupostos!$C$141*(1+Pressupostos!$C$127)^1*(1+Pressupostos!$C$142)</f>
        <v>39140</v>
      </c>
      <c r="E7947" s="61" t="n">
        <f aca="false">E7933*Pressupostos!$C$141*(1+Pressupostos!$C$127)^2*(1+Pressupostos!$C$142)</f>
        <v>40314.2</v>
      </c>
      <c r="F7947" s="61" t="n">
        <f aca="false">F7933*Pressupostos!$C$141*(1+Pressupostos!$C$127)^3*(1+Pressupostos!$C$142)</f>
        <v>41523.626</v>
      </c>
      <c r="G7947" s="61" t="n">
        <f aca="false">G7933*Pressupostos!$C$141*(1+Pressupostos!$C$127)^4*(1+Pressupostos!$C$142)</f>
        <v>42769.33478</v>
      </c>
      <c r="H7947" s="2" t="s">
        <v>1333</v>
      </c>
    </row>
    <row r="7948" customFormat="false" ht="15" hidden="false" customHeight="false" outlineLevel="1" collapsed="false">
      <c r="A7948" s="7" t="s">
        <v>644</v>
      </c>
      <c r="B7948" s="8" t="s">
        <v>11</v>
      </c>
      <c r="C7948" s="61" t="n">
        <f aca="false">C7934*Pressupostos!$C$143*(1+Pressupostos!$C$127)^0*(1+Pressupostos!$C$144)</f>
        <v>16000</v>
      </c>
      <c r="D7948" s="61" t="n">
        <f aca="false">D7934*Pressupostos!$C$143*(1+Pressupostos!$C$127)^1*(1+Pressupostos!$C$144)</f>
        <v>32960</v>
      </c>
      <c r="E7948" s="61" t="n">
        <f aca="false">E7934*Pressupostos!$C$143*(1+Pressupostos!$C$127)^2*(1+Pressupostos!$C$144)</f>
        <v>33948.8</v>
      </c>
      <c r="F7948" s="61" t="n">
        <f aca="false">F7934*Pressupostos!$C$143*(1+Pressupostos!$C$127)^3*(1+Pressupostos!$C$144)</f>
        <v>34967.264</v>
      </c>
      <c r="G7948" s="61" t="n">
        <f aca="false">G7934*Pressupostos!$C$143*(1+Pressupostos!$C$127)^4*(1+Pressupostos!$C$144)</f>
        <v>36016.28192</v>
      </c>
      <c r="H7948" s="2" t="s">
        <v>1334</v>
      </c>
    </row>
    <row r="7949" customFormat="false" ht="15" hidden="false" customHeight="false" outlineLevel="1" collapsed="false">
      <c r="A7949" s="7" t="s">
        <v>645</v>
      </c>
      <c r="B7949" s="8" t="s">
        <v>11</v>
      </c>
      <c r="C7949" s="61" t="n">
        <f aca="false">C7935*Pressupostos!$C$145*(1+Pressupostos!$C$127)^0*(1+Pressupostos!$C$146)</f>
        <v>34500</v>
      </c>
      <c r="D7949" s="61" t="n">
        <f aca="false">D7935*Pressupostos!$C$145*(1+Pressupostos!$C$127)^1*(1+Pressupostos!$C$146)</f>
        <v>35535</v>
      </c>
      <c r="E7949" s="61" t="n">
        <f aca="false">E7935*Pressupostos!$C$145*(1+Pressupostos!$C$127)^2*(1+Pressupostos!$C$146)</f>
        <v>36601.05</v>
      </c>
      <c r="F7949" s="61" t="n">
        <f aca="false">F7935*Pressupostos!$C$145*(1+Pressupostos!$C$127)^3*(1+Pressupostos!$C$146)</f>
        <v>75398.163</v>
      </c>
      <c r="G7949" s="61" t="n">
        <f aca="false">G7935*Pressupostos!$C$145*(1+Pressupostos!$C$127)^4*(1+Pressupostos!$C$146)</f>
        <v>116490.161835</v>
      </c>
      <c r="H7949" s="2" t="s">
        <v>1335</v>
      </c>
    </row>
    <row r="7950" customFormat="false" ht="15" hidden="false" customHeight="false" outlineLevel="1" collapsed="false">
      <c r="A7950" s="7" t="s">
        <v>646</v>
      </c>
      <c r="B7950" s="8" t="s">
        <v>11</v>
      </c>
      <c r="C7950" s="61" t="n">
        <f aca="false">C7936*Pressupostos!$C$147*(1+Pressupostos!$C$127)^0*(1+Pressupostos!$C$148)</f>
        <v>0</v>
      </c>
      <c r="D7950" s="61" t="n">
        <f aca="false">D7936*Pressupostos!$C$147*(1+Pressupostos!$C$127)^1*(1+Pressupostos!$C$148)</f>
        <v>0</v>
      </c>
      <c r="E7950" s="61" t="n">
        <f aca="false">E7936*Pressupostos!$C$147*(1+Pressupostos!$C$127)^2*(1+Pressupostos!$C$148)</f>
        <v>0</v>
      </c>
      <c r="F7950" s="61" t="n">
        <f aca="false">F7936*Pressupostos!$C$147*(1+Pressupostos!$C$127)^3*(1+Pressupostos!$C$148)</f>
        <v>0</v>
      </c>
      <c r="G7950" s="61" t="n">
        <f aca="false">G7936*Pressupostos!$C$147*(1+Pressupostos!$C$127)^4*(1+Pressupostos!$C$148)</f>
        <v>0</v>
      </c>
      <c r="H7950" s="2" t="s">
        <v>1336</v>
      </c>
    </row>
    <row r="7951" customFormat="false" ht="15" hidden="false" customHeight="false" outlineLevel="1" collapsed="false">
      <c r="A7951" s="7" t="s">
        <v>647</v>
      </c>
      <c r="B7951" s="8" t="s">
        <v>11</v>
      </c>
      <c r="C7951" s="61" t="n">
        <f aca="false">C7937*Pressupostos!$C$149*(1+Pressupostos!$C$127)^0*(1+Pressupostos!$C$150)</f>
        <v>0</v>
      </c>
      <c r="D7951" s="61" t="n">
        <f aca="false">D7937*Pressupostos!$C$149*(1+Pressupostos!$C$127)^1*(1+Pressupostos!$C$150)</f>
        <v>0</v>
      </c>
      <c r="E7951" s="61" t="n">
        <f aca="false">E7937*Pressupostos!$C$149*(1+Pressupostos!$C$127)^2*(1+Pressupostos!$C$150)</f>
        <v>0</v>
      </c>
      <c r="F7951" s="61" t="n">
        <f aca="false">F7937*Pressupostos!$C$149*(1+Pressupostos!$C$127)^3*(1+Pressupostos!$C$150)</f>
        <v>0</v>
      </c>
      <c r="G7951" s="61" t="n">
        <f aca="false">G7937*Pressupostos!$C$149*(1+Pressupostos!$C$127)^4*(1+Pressupostos!$C$150)</f>
        <v>0</v>
      </c>
      <c r="H7951" s="2" t="s">
        <v>1337</v>
      </c>
    </row>
    <row r="7952" customFormat="false" ht="15" hidden="false" customHeight="false" outlineLevel="1" collapsed="false">
      <c r="A7952" s="7" t="s">
        <v>648</v>
      </c>
      <c r="B7952" s="8" t="s">
        <v>11</v>
      </c>
      <c r="C7952" s="61" t="n">
        <f aca="false">C7938*Pressupostos!$C$151*(1+Pressupostos!$C$127)^0*(1+Pressupostos!$C$152)</f>
        <v>0</v>
      </c>
      <c r="D7952" s="61" t="n">
        <f aca="false">D7938*Pressupostos!$C$151*(1+Pressupostos!$C$127)^1*(1+Pressupostos!$C$152)</f>
        <v>0</v>
      </c>
      <c r="E7952" s="61" t="n">
        <f aca="false">E7938*Pressupostos!$C$151*(1+Pressupostos!$C$127)^2*(1+Pressupostos!$C$152)</f>
        <v>0</v>
      </c>
      <c r="F7952" s="61" t="n">
        <f aca="false">F7938*Pressupostos!$C$151*(1+Pressupostos!$C$127)^3*(1+Pressupostos!$C$152)</f>
        <v>26225.448</v>
      </c>
      <c r="G7952" s="61" t="n">
        <f aca="false">G7938*Pressupostos!$C$151*(1+Pressupostos!$C$127)^4*(1+Pressupostos!$C$152)</f>
        <v>27012.21144</v>
      </c>
      <c r="H7952" s="2" t="s">
        <v>1338</v>
      </c>
    </row>
    <row r="7953" customFormat="false" ht="15" hidden="false" customHeight="false" outlineLevel="1" collapsed="false">
      <c r="A7953" s="7" t="s">
        <v>649</v>
      </c>
      <c r="B7953" s="8" t="s">
        <v>11</v>
      </c>
      <c r="C7953" s="61" t="n">
        <f aca="false">C7939*Pressupostos!$C$153*(1+Pressupostos!$C$127)^0*(1+Pressupostos!$C$154)</f>
        <v>0</v>
      </c>
      <c r="D7953" s="61" t="n">
        <f aca="false">D7939*Pressupostos!$C$153*(1+Pressupostos!$C$127)^1*(1+Pressupostos!$C$154)</f>
        <v>0</v>
      </c>
      <c r="E7953" s="61" t="n">
        <f aca="false">E7939*Pressupostos!$C$153*(1+Pressupostos!$C$127)^2*(1+Pressupostos!$C$154)</f>
        <v>54901.575</v>
      </c>
      <c r="F7953" s="61" t="n">
        <f aca="false">F7939*Pressupostos!$C$153*(1+Pressupostos!$C$127)^3*(1+Pressupostos!$C$154)</f>
        <v>56548.62225</v>
      </c>
      <c r="G7953" s="61" t="n">
        <f aca="false">G7939*Pressupostos!$C$153*(1+Pressupostos!$C$127)^4*(1+Pressupostos!$C$154)</f>
        <v>58245.0809175</v>
      </c>
      <c r="H7953" s="2" t="s">
        <v>1339</v>
      </c>
    </row>
    <row r="7954" customFormat="false" ht="15" hidden="false" customHeight="false" outlineLevel="1" collapsed="false">
      <c r="A7954" s="7" t="s">
        <v>652</v>
      </c>
      <c r="B7954" s="8" t="s">
        <v>11</v>
      </c>
      <c r="C7954" s="61" t="n">
        <f aca="false">C7942+C7943+C7944+C7945+C7946+C7947+C7948+C7949+C7950+C7951+C7952+C7953</f>
        <v>232662.5</v>
      </c>
      <c r="D7954" s="61" t="n">
        <f aca="false">D7942+D7943+D7944+D7945+D7946+D7947+D7948+D7949+D7950+D7951+D7952+D7953</f>
        <v>367710</v>
      </c>
      <c r="E7954" s="61" t="n">
        <f aca="false">E7942+E7943+E7944+E7945+E7946+E7947+E7948+E7949+E7950+E7951+E7952+E7953</f>
        <v>433642.875</v>
      </c>
      <c r="F7954" s="61" t="n">
        <f aca="false">F7942+F7943+F7944+F7945+F7946+F7947+F7948+F7949+F7950+F7951+F7952+F7953</f>
        <v>535163.04825</v>
      </c>
      <c r="G7954" s="61" t="n">
        <f aca="false">G7942+G7943+G7944+G7945+G7946+G7947+G7948+G7949+G7950+G7951+G7952+G7953</f>
        <v>590047.9936425</v>
      </c>
      <c r="H7954" s="2" t="s">
        <v>1340</v>
      </c>
    </row>
    <row r="7955" customFormat="false" ht="15" hidden="false" customHeight="false" outlineLevel="1" collapsed="false">
      <c r="A7955" s="7" t="s">
        <v>653</v>
      </c>
      <c r="B7955" s="8" t="s">
        <v>11</v>
      </c>
      <c r="C7955" s="61" t="n">
        <f aca="false">C7954*(Pressupostos!$C$124+Pressupostos!$C$125)</f>
        <v>59910.59375</v>
      </c>
      <c r="D7955" s="61" t="n">
        <f aca="false">D7954*(Pressupostos!$C$124+Pressupostos!$C$125)</f>
        <v>94685.325</v>
      </c>
      <c r="E7955" s="61" t="n">
        <f aca="false">E7954*(Pressupostos!$C$124+Pressupostos!$C$125)</f>
        <v>111663.0403125</v>
      </c>
      <c r="F7955" s="61" t="n">
        <f aca="false">F7954*(Pressupostos!$C$124+Pressupostos!$C$125)</f>
        <v>137804.484924375</v>
      </c>
      <c r="G7955" s="61" t="n">
        <f aca="false">G7954*(Pressupostos!$C$124+Pressupostos!$C$125)</f>
        <v>151937.358362944</v>
      </c>
      <c r="H7955" s="2" t="s">
        <v>1341</v>
      </c>
    </row>
    <row r="7956" customFormat="false" ht="15" hidden="false" customHeight="false" outlineLevel="1" collapsed="false">
      <c r="A7956" s="7" t="s">
        <v>654</v>
      </c>
      <c r="B7956" s="8" t="s">
        <v>11</v>
      </c>
      <c r="C7956" s="61" t="n">
        <f aca="false">C7940*Pressupostos!$C$126*(1+Pressupostos!$C$127)^0</f>
        <v>11000</v>
      </c>
      <c r="D7956" s="61" t="n">
        <f aca="false">D7940*Pressupostos!$C$126*(1+Pressupostos!$C$127)^1</f>
        <v>15450</v>
      </c>
      <c r="E7956" s="61" t="n">
        <f aca="false">E7940*Pressupostos!$C$126*(1+Pressupostos!$C$127)^2</f>
        <v>18035.3</v>
      </c>
      <c r="F7956" s="61" t="n">
        <f aca="false">F7940*Pressupostos!$C$126*(1+Pressupostos!$C$127)^3</f>
        <v>24039.994</v>
      </c>
      <c r="G7956" s="61" t="n">
        <f aca="false">G7940*Pressupostos!$C$126*(1+Pressupostos!$C$127)^4</f>
        <v>27012.21144</v>
      </c>
      <c r="H7956" s="2" t="s">
        <v>1342</v>
      </c>
    </row>
    <row r="7957" customFormat="false" ht="15" hidden="false" customHeight="false" outlineLevel="1" collapsed="false">
      <c r="A7957" s="56" t="s">
        <v>655</v>
      </c>
      <c r="B7957" s="57" t="s">
        <v>11</v>
      </c>
      <c r="C7957" s="62" t="n">
        <f aca="false">C7954+C7955+C7956</f>
        <v>303573.09375</v>
      </c>
      <c r="D7957" s="62" t="n">
        <f aca="false">D7954+D7955+D7956</f>
        <v>477845.325</v>
      </c>
      <c r="E7957" s="62" t="n">
        <f aca="false">E7954+E7955+E7956</f>
        <v>563341.2153125</v>
      </c>
      <c r="F7957" s="62" t="n">
        <f aca="false">F7954+F7955+F7956</f>
        <v>697007.527174375</v>
      </c>
      <c r="G7957" s="62" t="n">
        <f aca="false">G7954+G7955+G7956</f>
        <v>768997.563445444</v>
      </c>
      <c r="H7957" s="2" t="s">
        <v>1343</v>
      </c>
    </row>
    <row r="7958" customFormat="false" ht="15" hidden="false" customHeight="false" outlineLevel="1" collapsed="false">
      <c r="A7958" s="2" t="s">
        <v>656</v>
      </c>
      <c r="B7958" s="8" t="s">
        <v>11</v>
      </c>
      <c r="C7958" s="61" t="n">
        <f aca="false">IF(C7940&gt;0,C7957/C7940,0)</f>
        <v>55195.1079545455</v>
      </c>
      <c r="D7958" s="61" t="n">
        <f aca="false">IF(D7940&gt;0,D7957/D7940,0)</f>
        <v>63712.71</v>
      </c>
      <c r="E7958" s="61" t="n">
        <f aca="false">IF(E7940&gt;0,E7957/E7940,0)</f>
        <v>66275.4370955882</v>
      </c>
      <c r="F7958" s="61" t="n">
        <f aca="false">IF(F7940&gt;0,F7957/F7940,0)</f>
        <v>63364.3206522159</v>
      </c>
      <c r="G7958" s="61" t="n">
        <f aca="false">IF(G7940&gt;0,G7957/G7940,0)</f>
        <v>64083.1302871203</v>
      </c>
      <c r="H7958" s="2" t="s">
        <v>1344</v>
      </c>
    </row>
    <row r="7959" customFormat="false" ht="15" hidden="false" customHeight="false" outlineLevel="0" collapsed="false">
      <c r="A7959" s="3" t="s">
        <v>1345</v>
      </c>
      <c r="B7959" s="4"/>
      <c r="C7959" s="4"/>
      <c r="D7959" s="4"/>
      <c r="E7959" s="4"/>
      <c r="F7959" s="4"/>
      <c r="G7959" s="4"/>
      <c r="H7959" s="4"/>
    </row>
    <row r="7960" customFormat="false" ht="15" hidden="false" customHeight="false" outlineLevel="1" collapsed="false">
      <c r="A7960" s="7" t="s">
        <v>449</v>
      </c>
      <c r="B7960" s="8" t="s">
        <v>11</v>
      </c>
      <c r="C7960" s="61" t="n">
        <f aca="false">Pressupostos!$C$407*(1+Pressupostos!$C$156)*(1+Pressupostos!$C$157)^0</f>
        <v>94500</v>
      </c>
      <c r="D7960" s="61" t="n">
        <f aca="false">Pressupostos!$D$407*(1+Pressupostos!$C$156)*(1+Pressupostos!$C$157)^1</f>
        <v>53550</v>
      </c>
      <c r="E7960" s="61" t="n">
        <f aca="false">Pressupostos!$E$407*(1+Pressupostos!$C$156)*(1+Pressupostos!$C$157)^2</f>
        <v>49158.9</v>
      </c>
      <c r="F7960" s="61" t="n">
        <f aca="false">Pressupostos!$F$407*(1+Pressupostos!$C$156)*(1+Pressupostos!$C$157)^3</f>
        <v>50142.078</v>
      </c>
      <c r="G7960" s="61" t="n">
        <f aca="false">Pressupostos!$G$407*(1+Pressupostos!$C$156)*(1+Pressupostos!$C$157)^4</f>
        <v>51144.91956</v>
      </c>
      <c r="H7960" s="2" t="s">
        <v>1346</v>
      </c>
    </row>
    <row r="7961" customFormat="false" ht="15" hidden="false" customHeight="false" outlineLevel="1" collapsed="false">
      <c r="A7961" s="7" t="s">
        <v>451</v>
      </c>
      <c r="B7961" s="8" t="s">
        <v>11</v>
      </c>
      <c r="C7961" s="61" t="n">
        <f aca="false">Pressupostos!$C$413*(1+Pressupostos!$C$156)*(1+Pressupostos!$C$157)^0</f>
        <v>10500</v>
      </c>
      <c r="D7961" s="61" t="n">
        <f aca="false">Pressupostos!$D$413*(1+Pressupostos!$C$156)*(1+Pressupostos!$C$157)^1</f>
        <v>10710</v>
      </c>
      <c r="E7961" s="61" t="n">
        <f aca="false">Pressupostos!$E$413*(1+Pressupostos!$C$156)*(1+Pressupostos!$C$157)^2</f>
        <v>10924.2</v>
      </c>
      <c r="F7961" s="61" t="n">
        <f aca="false">Pressupostos!$F$413*(1+Pressupostos!$C$156)*(1+Pressupostos!$C$157)^3</f>
        <v>11142.684</v>
      </c>
      <c r="G7961" s="61" t="n">
        <f aca="false">Pressupostos!$G$413*(1+Pressupostos!$C$156)*(1+Pressupostos!$C$157)^4</f>
        <v>11365.53768</v>
      </c>
      <c r="H7961" s="2" t="s">
        <v>1347</v>
      </c>
    </row>
    <row r="7962" customFormat="false" ht="15" hidden="false" customHeight="false" outlineLevel="1" collapsed="false">
      <c r="A7962" s="7" t="s">
        <v>452</v>
      </c>
      <c r="B7962" s="8" t="s">
        <v>11</v>
      </c>
      <c r="C7962" s="61" t="n">
        <f aca="false">Pressupostos!$C$419*(1+Pressupostos!$C$156)*(1+Pressupostos!$C$157)^0</f>
        <v>12600</v>
      </c>
      <c r="D7962" s="61" t="n">
        <f aca="false">Pressupostos!$D$419*(1+Pressupostos!$C$156)*(1+Pressupostos!$C$157)^1</f>
        <v>12852</v>
      </c>
      <c r="E7962" s="61" t="n">
        <f aca="false">Pressupostos!$E$419*(1+Pressupostos!$C$156)*(1+Pressupostos!$C$157)^2</f>
        <v>13109.04</v>
      </c>
      <c r="F7962" s="61" t="n">
        <f aca="false">Pressupostos!$F$419*(1+Pressupostos!$C$156)*(1+Pressupostos!$C$157)^3</f>
        <v>13371.2208</v>
      </c>
      <c r="G7962" s="61" t="n">
        <f aca="false">Pressupostos!$G$419*(1+Pressupostos!$C$156)*(1+Pressupostos!$C$157)^4</f>
        <v>13638.645216</v>
      </c>
      <c r="H7962" s="2" t="s">
        <v>1348</v>
      </c>
    </row>
    <row r="7963" customFormat="false" ht="15" hidden="false" customHeight="false" outlineLevel="1" collapsed="false">
      <c r="A7963" s="7" t="s">
        <v>454</v>
      </c>
      <c r="B7963" s="8" t="s">
        <v>11</v>
      </c>
      <c r="C7963" s="61" t="n">
        <f aca="false">Pressupostos!$C$425*(1+Pressupostos!$C$156)*(1+Pressupostos!$C$157)^0</f>
        <v>31500</v>
      </c>
      <c r="D7963" s="61" t="n">
        <f aca="false">Pressupostos!$D$425*(1+Pressupostos!$C$156)*(1+Pressupostos!$C$157)^1</f>
        <v>37485</v>
      </c>
      <c r="E7963" s="61" t="n">
        <f aca="false">Pressupostos!$E$425*(1+Pressupostos!$C$156)*(1+Pressupostos!$C$157)^2</f>
        <v>49158.9</v>
      </c>
      <c r="F7963" s="61" t="n">
        <f aca="false">Pressupostos!$F$425*(1+Pressupostos!$C$156)*(1+Pressupostos!$C$157)^3</f>
        <v>55713.42</v>
      </c>
      <c r="G7963" s="61" t="n">
        <f aca="false">Pressupostos!$G$425*(1+Pressupostos!$C$156)*(1+Pressupostos!$C$157)^4</f>
        <v>62510.45724</v>
      </c>
      <c r="H7963" s="2" t="s">
        <v>1349</v>
      </c>
    </row>
    <row r="7964" customFormat="false" ht="15" hidden="false" customHeight="false" outlineLevel="1" collapsed="false">
      <c r="A7964" s="7" t="s">
        <v>456</v>
      </c>
      <c r="B7964" s="8" t="s">
        <v>11</v>
      </c>
      <c r="C7964" s="61" t="n">
        <f aca="false">Pressupostos!$C$431*(1+Pressupostos!$C$156)*(1+Pressupostos!$C$157)^0</f>
        <v>15750</v>
      </c>
      <c r="D7964" s="61" t="n">
        <f aca="false">Pressupostos!$D$431*(1+Pressupostos!$C$156)*(1+Pressupostos!$C$157)^1</f>
        <v>16065</v>
      </c>
      <c r="E7964" s="61" t="n">
        <f aca="false">Pressupostos!$E$431*(1+Pressupostos!$C$156)*(1+Pressupostos!$C$157)^2</f>
        <v>38234.7</v>
      </c>
      <c r="F7964" s="61" t="n">
        <f aca="false">Pressupostos!$F$431*(1+Pressupostos!$C$156)*(1+Pressupostos!$C$157)^3</f>
        <v>22285.368</v>
      </c>
      <c r="G7964" s="61" t="n">
        <f aca="false">Pressupostos!$G$431*(1+Pressupostos!$C$156)*(1+Pressupostos!$C$157)^4</f>
        <v>22731.07536</v>
      </c>
      <c r="H7964" s="2" t="s">
        <v>1350</v>
      </c>
    </row>
    <row r="7965" customFormat="false" ht="15" hidden="false" customHeight="false" outlineLevel="1" collapsed="false">
      <c r="A7965" s="7" t="s">
        <v>458</v>
      </c>
      <c r="B7965" s="8" t="s">
        <v>11</v>
      </c>
      <c r="C7965" s="61" t="n">
        <f aca="false">Pressupostos!$C$437*(1+Pressupostos!$C$156)*(1+Pressupostos!$C$157)^0</f>
        <v>10500</v>
      </c>
      <c r="D7965" s="61" t="n">
        <f aca="false">Pressupostos!$D$437*(1+Pressupostos!$C$156)*(1+Pressupostos!$C$157)^1</f>
        <v>12852</v>
      </c>
      <c r="E7965" s="61" t="n">
        <f aca="false">Pressupostos!$E$437*(1+Pressupostos!$C$156)*(1+Pressupostos!$C$157)^2</f>
        <v>16386.3</v>
      </c>
      <c r="F7965" s="61" t="n">
        <f aca="false">Pressupostos!$F$437*(1+Pressupostos!$C$156)*(1+Pressupostos!$C$157)^3</f>
        <v>20056.8312</v>
      </c>
      <c r="G7965" s="61" t="n">
        <f aca="false">Pressupostos!$G$437*(1+Pressupostos!$C$156)*(1+Pressupostos!$C$157)^4</f>
        <v>22731.07536</v>
      </c>
      <c r="H7965" s="2" t="s">
        <v>1351</v>
      </c>
    </row>
    <row r="7966" customFormat="false" ht="15" hidden="false" customHeight="false" outlineLevel="1" collapsed="false">
      <c r="A7966" s="7" t="s">
        <v>459</v>
      </c>
      <c r="B7966" s="8" t="s">
        <v>11</v>
      </c>
      <c r="C7966" s="61" t="n">
        <f aca="false">Pressupostos!$C$443*(1+Pressupostos!$C$156)*(1+Pressupostos!$C$157)^0</f>
        <v>31500</v>
      </c>
      <c r="D7966" s="61" t="n">
        <f aca="false">Pressupostos!$D$443*(1+Pressupostos!$C$156)*(1+Pressupostos!$C$157)^1</f>
        <v>37485</v>
      </c>
      <c r="E7966" s="61" t="n">
        <f aca="false">Pressupostos!$E$443*(1+Pressupostos!$C$156)*(1+Pressupostos!$C$157)^2</f>
        <v>49158.9</v>
      </c>
      <c r="F7966" s="61" t="n">
        <f aca="false">Pressupostos!$F$443*(1+Pressupostos!$C$156)*(1+Pressupostos!$C$157)^3</f>
        <v>55713.42</v>
      </c>
      <c r="G7966" s="61" t="n">
        <f aca="false">Pressupostos!$G$443*(1+Pressupostos!$C$156)*(1+Pressupostos!$C$157)^4</f>
        <v>62510.45724</v>
      </c>
      <c r="H7966" s="2" t="s">
        <v>1352</v>
      </c>
    </row>
    <row r="7967" customFormat="false" ht="15" hidden="false" customHeight="false" outlineLevel="1" collapsed="false">
      <c r="A7967" s="7" t="s">
        <v>461</v>
      </c>
      <c r="B7967" s="8" t="s">
        <v>11</v>
      </c>
      <c r="C7967" s="61" t="n">
        <f aca="false">Pressupostos!$C$449*(1+Pressupostos!$C$156)*(1+Pressupostos!$C$157)^0</f>
        <v>6300</v>
      </c>
      <c r="D7967" s="61" t="n">
        <f aca="false">Pressupostos!$D$449*(1+Pressupostos!$C$156)*(1+Pressupostos!$C$157)^1</f>
        <v>8568</v>
      </c>
      <c r="E7967" s="61" t="n">
        <f aca="false">Pressupostos!$E$449*(1+Pressupostos!$C$156)*(1+Pressupostos!$C$157)^2</f>
        <v>13109.04</v>
      </c>
      <c r="F7967" s="61" t="n">
        <f aca="false">Pressupostos!$F$449*(1+Pressupostos!$C$156)*(1+Pressupostos!$C$157)^3</f>
        <v>16714.026</v>
      </c>
      <c r="G7967" s="61" t="n">
        <f aca="false">Pressupostos!$G$449*(1+Pressupostos!$C$156)*(1+Pressupostos!$C$157)^4</f>
        <v>20457.967824</v>
      </c>
      <c r="H7967" s="2" t="s">
        <v>1353</v>
      </c>
    </row>
    <row r="7968" customFormat="false" ht="15" hidden="false" customHeight="false" outlineLevel="1" collapsed="false">
      <c r="A7968" s="7" t="s">
        <v>463</v>
      </c>
      <c r="B7968" s="8" t="s">
        <v>11</v>
      </c>
      <c r="C7968" s="61" t="n">
        <f aca="false">Pressupostos!$C$455*(1+Pressupostos!$C$156)*(1+Pressupostos!$C$157)^0</f>
        <v>15750</v>
      </c>
      <c r="D7968" s="61" t="n">
        <f aca="false">Pressupostos!$D$455*(1+Pressupostos!$C$156)*(1+Pressupostos!$C$157)^1</f>
        <v>21420</v>
      </c>
      <c r="E7968" s="61" t="n">
        <f aca="false">Pressupostos!$E$455*(1+Pressupostos!$C$156)*(1+Pressupostos!$C$157)^2</f>
        <v>30587.76</v>
      </c>
      <c r="F7968" s="61" t="n">
        <f aca="false">Pressupostos!$F$455*(1+Pressupostos!$C$156)*(1+Pressupostos!$C$157)^3</f>
        <v>35656.5888</v>
      </c>
      <c r="G7968" s="61" t="n">
        <f aca="false">Pressupostos!$G$455*(1+Pressupostos!$C$156)*(1+Pressupostos!$C$157)^4</f>
        <v>40915.935648</v>
      </c>
      <c r="H7968" s="2" t="s">
        <v>1354</v>
      </c>
    </row>
    <row r="7969" customFormat="false" ht="15" hidden="false" customHeight="false" outlineLevel="1" collapsed="false">
      <c r="A7969" s="7" t="s">
        <v>464</v>
      </c>
      <c r="B7969" s="8" t="s">
        <v>11</v>
      </c>
      <c r="C7969" s="61" t="n">
        <f aca="false">Pressupostos!$C$461*(1+Pressupostos!$C$156)*(1+Pressupostos!$C$157)^0</f>
        <v>4200</v>
      </c>
      <c r="D7969" s="61" t="n">
        <f aca="false">Pressupostos!$D$461*(1+Pressupostos!$C$156)*(1+Pressupostos!$C$157)^1</f>
        <v>6426</v>
      </c>
      <c r="E7969" s="61" t="n">
        <f aca="false">Pressupostos!$E$461*(1+Pressupostos!$C$156)*(1+Pressupostos!$C$157)^2</f>
        <v>8739.36</v>
      </c>
      <c r="F7969" s="61" t="n">
        <f aca="false">Pressupostos!$F$461*(1+Pressupostos!$C$156)*(1+Pressupostos!$C$157)^3</f>
        <v>8914.1472</v>
      </c>
      <c r="G7969" s="61" t="n">
        <f aca="false">Pressupostos!$G$461*(1+Pressupostos!$C$156)*(1+Pressupostos!$C$157)^4</f>
        <v>9092.430144</v>
      </c>
      <c r="H7969" s="2" t="s">
        <v>1355</v>
      </c>
    </row>
    <row r="7970" customFormat="false" ht="15" hidden="false" customHeight="false" outlineLevel="1" collapsed="false">
      <c r="A7970" s="7" t="s">
        <v>701</v>
      </c>
      <c r="B7970" s="8" t="s">
        <v>11</v>
      </c>
      <c r="C7970" s="61" t="n">
        <f aca="false">C7960+C7961+C7962+C7963+C7964+C7965+C7966+C7967+C7968+C7969</f>
        <v>233100</v>
      </c>
      <c r="D7970" s="61" t="n">
        <f aca="false">D7960+D7961+D7962+D7963+D7964+D7965+D7966+D7967+D7968+D7969</f>
        <v>217413</v>
      </c>
      <c r="E7970" s="61" t="n">
        <f aca="false">E7960+E7961+E7962+E7963+E7964+E7965+E7966+E7967+E7968+E7969</f>
        <v>278567.1</v>
      </c>
      <c r="F7970" s="61" t="n">
        <f aca="false">F7960+F7961+F7962+F7963+F7964+F7965+F7966+F7967+F7968+F7969</f>
        <v>289709.784</v>
      </c>
      <c r="G7970" s="61" t="n">
        <f aca="false">G7960+G7961+G7962+G7963+G7964+G7965+G7966+G7967+G7968+G7969</f>
        <v>317098.501272</v>
      </c>
      <c r="H7970" s="2" t="s">
        <v>1356</v>
      </c>
    </row>
    <row r="7971" customFormat="false" ht="15" hidden="false" customHeight="false" outlineLevel="1" collapsed="false">
      <c r="A7971" s="7" t="s">
        <v>702</v>
      </c>
      <c r="B7971" s="8" t="s">
        <v>11</v>
      </c>
      <c r="C7971" s="61" t="n">
        <f aca="false">Pressupostos!$C$114+Pressupostos!$C$115+Pressupostos!$C$116*Pressupostos!$C$296+Pressupostos!$C$466+Pressupostos!$C$308</f>
        <v>65000</v>
      </c>
      <c r="D7971" s="61" t="n">
        <f aca="false">Pressupostos!$C$115+Pressupostos!$C$116*Pressupostos!$D$296+Pressupostos!$D$466+Pressupostos!$D$308</f>
        <v>75000</v>
      </c>
      <c r="E7971" s="61" t="n">
        <f aca="false">Pressupostos!$C$115+Pressupostos!$C$116*Pressupostos!$E$296+Pressupostos!$E$466+Pressupostos!$E$308</f>
        <v>80000</v>
      </c>
      <c r="F7971" s="61" t="n">
        <f aca="false">Pressupostos!$C$115+Pressupostos!$C$116*Pressupostos!$F$296+Pressupostos!$F$466+Pressupostos!$F$308</f>
        <v>85000</v>
      </c>
      <c r="G7971" s="61" t="n">
        <f aca="false">Pressupostos!$C$115+Pressupostos!$C$116*Pressupostos!$G$296+Pressupostos!$G$466+Pressupostos!$G$308</f>
        <v>90000</v>
      </c>
      <c r="H7971" s="2" t="s">
        <v>1357</v>
      </c>
    </row>
    <row r="7972" customFormat="false" ht="15" hidden="false" customHeight="false" outlineLevel="1" collapsed="false">
      <c r="A7972" s="7" t="s">
        <v>703</v>
      </c>
      <c r="B7972" s="8" t="s">
        <v>11</v>
      </c>
      <c r="C7972" s="61" t="n">
        <f aca="false">IF(C7784&lt;Pressupostos!$C$120,0,MAX(Pressupostos!$C$302,Pressupostos!$C$118*(C7878+C7879)+Pressupostos!$C$119*C7880))</f>
        <v>0</v>
      </c>
      <c r="D7972" s="61" t="n">
        <f aca="false">IF(D7784&lt;Pressupostos!$C$120,0,MAX(Pressupostos!$D$302,Pressupostos!$C$118*(D7878+D7879)+Pressupostos!$C$119*D7880))</f>
        <v>7125.6</v>
      </c>
      <c r="E7972" s="61" t="n">
        <f aca="false">IF(E7784&lt;Pressupostos!$C$120,0,MAX(Pressupostos!$E$302,Pressupostos!$C$118*(E7878+E7879)+Pressupostos!$C$119*E7880))</f>
        <v>14533.8</v>
      </c>
      <c r="F7972" s="61" t="n">
        <f aca="false">IF(F7784&lt;Pressupostos!$C$120,0,MAX(Pressupostos!$F$302,Pressupostos!$C$118*(F7878+F7879)+Pressupostos!$C$119*F7880))</f>
        <v>24157</v>
      </c>
      <c r="G7972" s="61" t="n">
        <f aca="false">IF(G7784&lt;Pressupostos!$C$120,0,MAX(Pressupostos!$G$302,Pressupostos!$C$118*(G7878+G7879)+Pressupostos!$C$119*G7880))</f>
        <v>36290</v>
      </c>
      <c r="H7972" s="2" t="s">
        <v>1358</v>
      </c>
    </row>
    <row r="7973" customFormat="false" ht="15" hidden="false" customHeight="false" outlineLevel="1" collapsed="false">
      <c r="A7973" s="56" t="s">
        <v>704</v>
      </c>
      <c r="B7973" s="57" t="s">
        <v>11</v>
      </c>
      <c r="C7973" s="62" t="n">
        <f aca="false">C7970+C7971+C7972</f>
        <v>298100</v>
      </c>
      <c r="D7973" s="62" t="n">
        <f aca="false">D7970+D7971+D7972</f>
        <v>299538.6</v>
      </c>
      <c r="E7973" s="62" t="n">
        <f aca="false">E7970+E7971+E7972</f>
        <v>373100.9</v>
      </c>
      <c r="F7973" s="62" t="n">
        <f aca="false">F7970+F7971+F7972</f>
        <v>398866.784</v>
      </c>
      <c r="G7973" s="62" t="n">
        <f aca="false">G7970+G7971+G7972</f>
        <v>443388.501272</v>
      </c>
      <c r="H7973" s="2" t="s">
        <v>1359</v>
      </c>
    </row>
    <row r="7974" customFormat="false" ht="15" hidden="false" customHeight="false" outlineLevel="0" collapsed="false">
      <c r="A7974" s="3" t="s">
        <v>1360</v>
      </c>
      <c r="B7974" s="4"/>
      <c r="C7974" s="4"/>
      <c r="D7974" s="4"/>
      <c r="E7974" s="4"/>
      <c r="F7974" s="4"/>
      <c r="G7974" s="4"/>
      <c r="H7974" s="4"/>
    </row>
    <row r="7975" customFormat="false" ht="15" hidden="false" customHeight="false" outlineLevel="1" collapsed="false">
      <c r="A7975" s="7" t="s">
        <v>706</v>
      </c>
      <c r="B7975" s="8" t="s">
        <v>11</v>
      </c>
      <c r="C7975" s="61" t="n">
        <f aca="false">Pressupostos!$C$165*Pressupostos!$C$315</f>
        <v>18000</v>
      </c>
      <c r="D7975" s="61" t="n">
        <f aca="false">Pressupostos!$C$165*Pressupostos!$D$315</f>
        <v>12000</v>
      </c>
      <c r="E7975" s="61" t="n">
        <f aca="false">Pressupostos!$C$165*Pressupostos!$E$315</f>
        <v>12000</v>
      </c>
      <c r="F7975" s="61" t="n">
        <f aca="false">Pressupostos!$C$165*Pressupostos!$F$315</f>
        <v>12000</v>
      </c>
      <c r="G7975" s="61" t="n">
        <f aca="false">Pressupostos!$C$165*Pressupostos!$G$315</f>
        <v>12000</v>
      </c>
      <c r="H7975" s="2" t="s">
        <v>1361</v>
      </c>
    </row>
    <row r="7976" customFormat="false" ht="15" hidden="false" customHeight="false" outlineLevel="1" collapsed="false">
      <c r="A7976" s="7" t="s">
        <v>707</v>
      </c>
      <c r="B7976" s="8" t="s">
        <v>11</v>
      </c>
      <c r="C7976" s="53" t="n">
        <f aca="false">Pressupostos!$C$321</f>
        <v>60000</v>
      </c>
      <c r="D7976" s="53" t="n">
        <f aca="false">Pressupostos!$D$321</f>
        <v>15000</v>
      </c>
      <c r="E7976" s="53" t="n">
        <f aca="false">Pressupostos!$E$321</f>
        <v>15000</v>
      </c>
      <c r="F7976" s="53" t="n">
        <f aca="false">Pressupostos!$F$321</f>
        <v>10000</v>
      </c>
      <c r="G7976" s="53" t="n">
        <f aca="false">Pressupostos!$G$321</f>
        <v>10000</v>
      </c>
      <c r="H7976" s="2" t="s">
        <v>1362</v>
      </c>
    </row>
    <row r="7977" customFormat="false" ht="15" hidden="false" customHeight="false" outlineLevel="1" collapsed="false">
      <c r="A7977" s="7" t="s">
        <v>708</v>
      </c>
      <c r="B7977" s="8" t="s">
        <v>11</v>
      </c>
      <c r="C7977" s="53" t="n">
        <f aca="false">Pressupostos!$C$327</f>
        <v>0</v>
      </c>
      <c r="D7977" s="53" t="n">
        <f aca="false">Pressupostos!$D$327</f>
        <v>15000</v>
      </c>
      <c r="E7977" s="53" t="n">
        <f aca="false">Pressupostos!$E$327</f>
        <v>15000</v>
      </c>
      <c r="F7977" s="53" t="n">
        <f aca="false">Pressupostos!$F$327</f>
        <v>10000</v>
      </c>
      <c r="G7977" s="53" t="n">
        <f aca="false">Pressupostos!$G$327</f>
        <v>10000</v>
      </c>
      <c r="H7977" s="2" t="s">
        <v>1363</v>
      </c>
    </row>
    <row r="7978" customFormat="false" ht="15" hidden="false" customHeight="false" outlineLevel="1" collapsed="false">
      <c r="A7978" s="7" t="s">
        <v>709</v>
      </c>
      <c r="B7978" s="8" t="s">
        <v>11</v>
      </c>
      <c r="C7978" s="61" t="n">
        <f aca="false">Pressupostos!$C$166*MAX(0,C7940)</f>
        <v>11000</v>
      </c>
      <c r="D7978" s="61" t="n">
        <f aca="false">Pressupostos!$C$166*MAX(0,D7940-C7940)</f>
        <v>4000</v>
      </c>
      <c r="E7978" s="61" t="n">
        <f aca="false">Pressupostos!$C$166*MAX(0,E7940-D7940)</f>
        <v>2000</v>
      </c>
      <c r="F7978" s="61" t="n">
        <f aca="false">Pressupostos!$C$166*MAX(0,F7940-E7940)</f>
        <v>5000</v>
      </c>
      <c r="G7978" s="61" t="n">
        <f aca="false">Pressupostos!$C$166*MAX(0,G7940-F7940)</f>
        <v>2000</v>
      </c>
      <c r="H7978" s="2" t="s">
        <v>1364</v>
      </c>
    </row>
    <row r="7979" customFormat="false" ht="15" hidden="false" customHeight="false" outlineLevel="1" collapsed="false">
      <c r="A7979" s="7" t="s">
        <v>424</v>
      </c>
      <c r="B7979" s="8" t="s">
        <v>11</v>
      </c>
      <c r="C7979" s="61" t="n">
        <f aca="false">C7975+C7976+C7977+C7978</f>
        <v>89000</v>
      </c>
      <c r="D7979" s="61" t="n">
        <f aca="false">D7975+D7976+D7977+D7978</f>
        <v>46000</v>
      </c>
      <c r="E7979" s="61" t="n">
        <f aca="false">E7975+E7976+E7977+E7978</f>
        <v>44000</v>
      </c>
      <c r="F7979" s="61" t="n">
        <f aca="false">F7975+F7976+F7977+F7978</f>
        <v>37000</v>
      </c>
      <c r="G7979" s="61" t="n">
        <f aca="false">G7975+G7976+G7977+G7978</f>
        <v>34000</v>
      </c>
      <c r="H7979" s="2" t="s">
        <v>1365</v>
      </c>
    </row>
    <row r="7980" customFormat="false" ht="15" hidden="false" customHeight="false" outlineLevel="1" collapsed="false">
      <c r="A7980" s="7" t="s">
        <v>710</v>
      </c>
      <c r="B7980" s="8" t="s">
        <v>11</v>
      </c>
      <c r="C7980" s="61" t="n">
        <f aca="false">(C7976*((0)&lt;Pressupostos!$C$167))/Pressupostos!$C$167</f>
        <v>20000</v>
      </c>
      <c r="D7980" s="61" t="n">
        <f aca="false">(C7976*((1)&lt;Pressupostos!$C$167)+D7976*((0)&lt;Pressupostos!$C$167))/Pressupostos!$C$167</f>
        <v>25000</v>
      </c>
      <c r="E7980" s="61" t="n">
        <f aca="false">(C7976*((2)&lt;Pressupostos!$C$167)+D7976*((1)&lt;Pressupostos!$C$167)+E7976*((0)&lt;Pressupostos!$C$167))/Pressupostos!$C$167</f>
        <v>30000</v>
      </c>
      <c r="F7980" s="61" t="n">
        <f aca="false">(C7976*((3)&lt;Pressupostos!$C$167)+D7976*((2)&lt;Pressupostos!$C$167)+E7976*((1)&lt;Pressupostos!$C$167)+F7976*((0)&lt;Pressupostos!$C$167))/Pressupostos!$C$167</f>
        <v>13333.3333333333</v>
      </c>
      <c r="G7980" s="61" t="n">
        <f aca="false">(C7976*((4)&lt;Pressupostos!$C$167)+D7976*((3)&lt;Pressupostos!$C$167)+E7976*((2)&lt;Pressupostos!$C$167)+F7976*((1)&lt;Pressupostos!$C$167)+G7976*((0)&lt;Pressupostos!$C$167))/Pressupostos!$C$167</f>
        <v>11666.6666666667</v>
      </c>
      <c r="H7980" s="2" t="s">
        <v>1366</v>
      </c>
    </row>
    <row r="7981" customFormat="false" ht="15" hidden="false" customHeight="false" outlineLevel="1" collapsed="false">
      <c r="A7981" s="7" t="s">
        <v>711</v>
      </c>
      <c r="B7981" s="8" t="s">
        <v>11</v>
      </c>
      <c r="C7981" s="61" t="n">
        <f aca="false">(C7977*((0)&lt;Pressupostos!$C$167))/Pressupostos!$C$167</f>
        <v>0</v>
      </c>
      <c r="D7981" s="61" t="n">
        <f aca="false">(C7977*((1)&lt;Pressupostos!$C$167)+D7977*((0)&lt;Pressupostos!$C$167))/Pressupostos!$C$167</f>
        <v>5000</v>
      </c>
      <c r="E7981" s="61" t="n">
        <f aca="false">(C7977*((2)&lt;Pressupostos!$C$167)+D7977*((1)&lt;Pressupostos!$C$167)+E7977*((0)&lt;Pressupostos!$C$167))/Pressupostos!$C$167</f>
        <v>10000</v>
      </c>
      <c r="F7981" s="61" t="n">
        <f aca="false">(C7977*((3)&lt;Pressupostos!$C$167)+D7977*((2)&lt;Pressupostos!$C$167)+E7977*((1)&lt;Pressupostos!$C$167)+F7977*((0)&lt;Pressupostos!$C$167))/Pressupostos!$C$167</f>
        <v>13333.3333333333</v>
      </c>
      <c r="G7981" s="61" t="n">
        <f aca="false">(C7977*((4)&lt;Pressupostos!$C$167)+D7977*((3)&lt;Pressupostos!$C$167)+E7977*((2)&lt;Pressupostos!$C$167)+F7977*((1)&lt;Pressupostos!$C$167)+G7977*((0)&lt;Pressupostos!$C$167))/Pressupostos!$C$167</f>
        <v>11666.6666666667</v>
      </c>
      <c r="H7981" s="2" t="s">
        <v>1367</v>
      </c>
    </row>
    <row r="7982" customFormat="false" ht="15" hidden="false" customHeight="false" outlineLevel="1" collapsed="false">
      <c r="A7982" s="7" t="s">
        <v>712</v>
      </c>
      <c r="B7982" s="8" t="s">
        <v>11</v>
      </c>
      <c r="C7982" s="61" t="n">
        <f aca="false">(C7975*((0)&lt;Pressupostos!$C$169))/Pressupostos!$C$169</f>
        <v>3600</v>
      </c>
      <c r="D7982" s="61" t="n">
        <f aca="false">(C7975*((1)&lt;Pressupostos!$C$169)+D7975*((0)&lt;Pressupostos!$C$169))/Pressupostos!$C$169</f>
        <v>6000</v>
      </c>
      <c r="E7982" s="61" t="n">
        <f aca="false">(C7975*((2)&lt;Pressupostos!$C$169)+D7975*((1)&lt;Pressupostos!$C$169)+E7975*((0)&lt;Pressupostos!$C$169))/Pressupostos!$C$169</f>
        <v>8400</v>
      </c>
      <c r="F7982" s="61" t="n">
        <f aca="false">(C7975*((3)&lt;Pressupostos!$C$169)+D7975*((2)&lt;Pressupostos!$C$169)+E7975*((1)&lt;Pressupostos!$C$169)+F7975*((0)&lt;Pressupostos!$C$169))/Pressupostos!$C$169</f>
        <v>10800</v>
      </c>
      <c r="G7982" s="61" t="n">
        <f aca="false">(C7975*((4)&lt;Pressupostos!$C$169)+D7975*((3)&lt;Pressupostos!$C$169)+E7975*((2)&lt;Pressupostos!$C$169)+F7975*((1)&lt;Pressupostos!$C$169)+G7975*((0)&lt;Pressupostos!$C$169))/Pressupostos!$C$169</f>
        <v>13200</v>
      </c>
      <c r="H7982" s="2" t="s">
        <v>1368</v>
      </c>
    </row>
    <row r="7983" customFormat="false" ht="15" hidden="false" customHeight="false" outlineLevel="1" collapsed="false">
      <c r="A7983" s="7" t="s">
        <v>713</v>
      </c>
      <c r="B7983" s="8" t="s">
        <v>11</v>
      </c>
      <c r="C7983" s="61" t="n">
        <f aca="false">(C7978*((0)&lt;Pressupostos!$C$168))/Pressupostos!$C$168</f>
        <v>2750</v>
      </c>
      <c r="D7983" s="61" t="n">
        <f aca="false">(C7978*((1)&lt;Pressupostos!$C$168)+D7978*((0)&lt;Pressupostos!$C$168))/Pressupostos!$C$168</f>
        <v>3750</v>
      </c>
      <c r="E7983" s="61" t="n">
        <f aca="false">(C7978*((2)&lt;Pressupostos!$C$168)+D7978*((1)&lt;Pressupostos!$C$168)+E7978*((0)&lt;Pressupostos!$C$168))/Pressupostos!$C$168</f>
        <v>4250</v>
      </c>
      <c r="F7983" s="61" t="n">
        <f aca="false">(C7978*((3)&lt;Pressupostos!$C$168)+D7978*((2)&lt;Pressupostos!$C$168)+E7978*((1)&lt;Pressupostos!$C$168)+F7978*((0)&lt;Pressupostos!$C$168))/Pressupostos!$C$168</f>
        <v>5500</v>
      </c>
      <c r="G7983" s="61" t="n">
        <f aca="false">(C7978*((4)&lt;Pressupostos!$C$168)+D7978*((3)&lt;Pressupostos!$C$168)+E7978*((2)&lt;Pressupostos!$C$168)+F7978*((1)&lt;Pressupostos!$C$168)+G7978*((0)&lt;Pressupostos!$C$168))/Pressupostos!$C$168</f>
        <v>3250</v>
      </c>
      <c r="H7983" s="2" t="s">
        <v>1369</v>
      </c>
    </row>
    <row r="7984" customFormat="false" ht="15" hidden="false" customHeight="false" outlineLevel="1" collapsed="false">
      <c r="A7984" s="7" t="s">
        <v>714</v>
      </c>
      <c r="B7984" s="8" t="s">
        <v>11</v>
      </c>
      <c r="C7984" s="61" t="n">
        <f aca="false">C7980+C7981+C7982+C7983</f>
        <v>26350</v>
      </c>
      <c r="D7984" s="61" t="n">
        <f aca="false">D7980+D7981+D7982+D7983</f>
        <v>39750</v>
      </c>
      <c r="E7984" s="61" t="n">
        <f aca="false">E7980+E7981+E7982+E7983</f>
        <v>52650</v>
      </c>
      <c r="F7984" s="61" t="n">
        <f aca="false">F7980+F7981+F7982+F7983</f>
        <v>42966.6666666667</v>
      </c>
      <c r="G7984" s="61" t="n">
        <f aca="false">G7980+G7981+G7982+G7983</f>
        <v>39783.3333333333</v>
      </c>
      <c r="H7984" s="2" t="s">
        <v>1370</v>
      </c>
    </row>
    <row r="7985" customFormat="false" ht="15" hidden="false" customHeight="false" outlineLevel="0" collapsed="false">
      <c r="A7985" s="3" t="s">
        <v>1371</v>
      </c>
      <c r="B7985" s="4"/>
      <c r="C7985" s="4"/>
      <c r="D7985" s="4"/>
      <c r="E7985" s="4"/>
      <c r="F7985" s="4"/>
      <c r="G7985" s="4"/>
      <c r="H7985" s="4"/>
    </row>
    <row r="7986" customFormat="false" ht="15" hidden="false" customHeight="false" outlineLevel="1" collapsed="false">
      <c r="A7986" s="56" t="s">
        <v>718</v>
      </c>
      <c r="B7986" s="57" t="s">
        <v>11</v>
      </c>
      <c r="C7986" s="62" t="n">
        <f aca="false">C7888</f>
        <v>275874.4</v>
      </c>
      <c r="D7986" s="62" t="n">
        <f aca="false">D7888</f>
        <v>1805254</v>
      </c>
      <c r="E7986" s="62" t="n">
        <f aca="false">E7888</f>
        <v>3704769</v>
      </c>
      <c r="F7986" s="62" t="n">
        <f aca="false">F7888</f>
        <v>6335277</v>
      </c>
      <c r="G7986" s="62" t="n">
        <f aca="false">G7888</f>
        <v>9691735</v>
      </c>
      <c r="H7986" s="2" t="s">
        <v>1372</v>
      </c>
    </row>
    <row r="7987" customFormat="false" ht="15" hidden="false" customHeight="false" outlineLevel="1" collapsed="false">
      <c r="A7987" s="7" t="s">
        <v>688</v>
      </c>
      <c r="B7987" s="8" t="s">
        <v>11</v>
      </c>
      <c r="C7987" s="61" t="n">
        <f aca="false">-C7911</f>
        <v>-245040</v>
      </c>
      <c r="D7987" s="61" t="n">
        <f aca="false">-D7911</f>
        <v>-1599300</v>
      </c>
      <c r="E7987" s="61" t="n">
        <f aca="false">-E7911</f>
        <v>-3248250</v>
      </c>
      <c r="F7987" s="61" t="n">
        <f aca="false">-F7911</f>
        <v>-5533850</v>
      </c>
      <c r="G7987" s="61" t="n">
        <f aca="false">-G7911</f>
        <v>-8460500</v>
      </c>
      <c r="H7987" s="2" t="s">
        <v>1373</v>
      </c>
    </row>
    <row r="7988" customFormat="false" ht="15" hidden="false" customHeight="false" outlineLevel="1" collapsed="false">
      <c r="A7988" s="56" t="s">
        <v>719</v>
      </c>
      <c r="B7988" s="57" t="s">
        <v>11</v>
      </c>
      <c r="C7988" s="62" t="n">
        <f aca="false">C7986+C7987</f>
        <v>30834.4</v>
      </c>
      <c r="D7988" s="62" t="n">
        <f aca="false">D7986+D7987</f>
        <v>205954</v>
      </c>
      <c r="E7988" s="62" t="n">
        <f aca="false">E7986+E7987</f>
        <v>456519</v>
      </c>
      <c r="F7988" s="62" t="n">
        <f aca="false">F7986+F7987</f>
        <v>801426.999999999</v>
      </c>
      <c r="G7988" s="62" t="n">
        <f aca="false">G7986+G7987</f>
        <v>1231235</v>
      </c>
      <c r="H7988" s="2" t="s">
        <v>1374</v>
      </c>
    </row>
    <row r="7989" customFormat="false" ht="15" hidden="false" customHeight="false" outlineLevel="1" collapsed="false">
      <c r="A7989" s="2" t="s">
        <v>720</v>
      </c>
      <c r="B7989" s="8" t="s">
        <v>76</v>
      </c>
      <c r="C7989" s="59" t="n">
        <f aca="false">IF(C7986&gt;0,C7988/C7986,0)</f>
        <v>0.111769703894236</v>
      </c>
      <c r="D7989" s="59" t="n">
        <f aca="false">IF(D7986&gt;0,D7988/D7986,0)</f>
        <v>0.114085884867171</v>
      </c>
      <c r="E7989" s="59" t="n">
        <f aca="false">IF(E7986&gt;0,E7988/E7986,0)</f>
        <v>0.123224686883312</v>
      </c>
      <c r="F7989" s="59" t="n">
        <f aca="false">IF(F7986&gt;0,F7988/F7986,0)</f>
        <v>0.126502282378497</v>
      </c>
      <c r="G7989" s="59" t="n">
        <f aca="false">IF(G7986&gt;0,G7988/G7986,0)</f>
        <v>0.127039688972098</v>
      </c>
      <c r="H7989" s="2" t="s">
        <v>1375</v>
      </c>
    </row>
    <row r="7990" customFormat="false" ht="15" hidden="false" customHeight="false" outlineLevel="1" collapsed="false">
      <c r="A7990" s="7" t="s">
        <v>721</v>
      </c>
      <c r="B7990" s="8" t="s">
        <v>11</v>
      </c>
      <c r="C7990" s="61" t="n">
        <f aca="false">-C7922</f>
        <v>-15494.2226027397</v>
      </c>
      <c r="D7990" s="61" t="n">
        <f aca="false">-D7922</f>
        <v>-101865.553938356</v>
      </c>
      <c r="E7990" s="61" t="n">
        <f aca="false">-E7922</f>
        <v>-212004.356849315</v>
      </c>
      <c r="F7990" s="61" t="n">
        <f aca="false">-F7922</f>
        <v>-358244.301712329</v>
      </c>
      <c r="G7990" s="61" t="n">
        <f aca="false">-G7922</f>
        <v>-535131.037671233</v>
      </c>
      <c r="H7990" s="2" t="s">
        <v>1376</v>
      </c>
    </row>
    <row r="7991" customFormat="false" ht="15" hidden="false" customHeight="false" outlineLevel="1" collapsed="false">
      <c r="A7991" s="7" t="s">
        <v>698</v>
      </c>
      <c r="B7991" s="8" t="s">
        <v>11</v>
      </c>
      <c r="C7991" s="61" t="n">
        <f aca="false">-C7925</f>
        <v>-0</v>
      </c>
      <c r="D7991" s="61" t="n">
        <f aca="false">-D7925</f>
        <v>-25829.0136986301</v>
      </c>
      <c r="E7991" s="61" t="n">
        <f aca="false">-E7925</f>
        <v>-40900.3189212329</v>
      </c>
      <c r="F7991" s="61" t="n">
        <f aca="false">-F7925</f>
        <v>-64714.8621575343</v>
      </c>
      <c r="G7991" s="61" t="n">
        <f aca="false">-G7925</f>
        <v>-98712.0462328767</v>
      </c>
      <c r="H7991" s="2" t="s">
        <v>1377</v>
      </c>
    </row>
    <row r="7992" customFormat="false" ht="15" hidden="false" customHeight="false" outlineLevel="1" collapsed="false">
      <c r="A7992" s="56" t="s">
        <v>677</v>
      </c>
      <c r="B7992" s="57" t="s">
        <v>11</v>
      </c>
      <c r="C7992" s="62" t="n">
        <f aca="false">C7988+C7990+C7991</f>
        <v>15340.1773972603</v>
      </c>
      <c r="D7992" s="62" t="n">
        <f aca="false">D7988+D7990+D7991</f>
        <v>78259.4323630135</v>
      </c>
      <c r="E7992" s="62" t="n">
        <f aca="false">E7988+E7990+E7991</f>
        <v>203614.324229452</v>
      </c>
      <c r="F7992" s="62" t="n">
        <f aca="false">F7988+F7990+F7991</f>
        <v>378467.836130136</v>
      </c>
      <c r="G7992" s="62" t="n">
        <f aca="false">G7988+G7990+G7991</f>
        <v>597391.91609589</v>
      </c>
      <c r="H7992" s="2" t="s">
        <v>1378</v>
      </c>
    </row>
    <row r="7993" customFormat="false" ht="15" hidden="false" customHeight="false" outlineLevel="1" collapsed="false">
      <c r="A7993" s="7" t="s">
        <v>261</v>
      </c>
      <c r="B7993" s="8" t="s">
        <v>11</v>
      </c>
      <c r="C7993" s="61" t="n">
        <f aca="false">-C7957</f>
        <v>-303573.09375</v>
      </c>
      <c r="D7993" s="61" t="n">
        <f aca="false">-D7957</f>
        <v>-477845.325</v>
      </c>
      <c r="E7993" s="61" t="n">
        <f aca="false">-E7957</f>
        <v>-563341.2153125</v>
      </c>
      <c r="F7993" s="61" t="n">
        <f aca="false">-F7957</f>
        <v>-697007.527174375</v>
      </c>
      <c r="G7993" s="61" t="n">
        <f aca="false">-G7957</f>
        <v>-768997.563445444</v>
      </c>
      <c r="H7993" s="2" t="s">
        <v>1379</v>
      </c>
    </row>
    <row r="7994" customFormat="false" ht="15" hidden="false" customHeight="false" outlineLevel="1" collapsed="false">
      <c r="A7994" s="7" t="s">
        <v>722</v>
      </c>
      <c r="B7994" s="8" t="s">
        <v>11</v>
      </c>
      <c r="C7994" s="61" t="n">
        <f aca="false">-C7973</f>
        <v>-298100</v>
      </c>
      <c r="D7994" s="61" t="n">
        <f aca="false">-D7973</f>
        <v>-299538.6</v>
      </c>
      <c r="E7994" s="61" t="n">
        <f aca="false">-E7973</f>
        <v>-373100.9</v>
      </c>
      <c r="F7994" s="61" t="n">
        <f aca="false">-F7973</f>
        <v>-398866.784</v>
      </c>
      <c r="G7994" s="61" t="n">
        <f aca="false">-G7973</f>
        <v>-443388.501272</v>
      </c>
      <c r="H7994" s="2" t="s">
        <v>1380</v>
      </c>
    </row>
    <row r="7995" customFormat="false" ht="15" hidden="false" customHeight="false" outlineLevel="1" collapsed="false">
      <c r="A7995" s="56" t="s">
        <v>723</v>
      </c>
      <c r="B7995" s="57" t="s">
        <v>11</v>
      </c>
      <c r="C7995" s="62" t="n">
        <f aca="false">C7992+C7993+C7994</f>
        <v>-586332.91635274</v>
      </c>
      <c r="D7995" s="62" t="n">
        <f aca="false">D7992+D7993+D7994</f>
        <v>-699124.492636987</v>
      </c>
      <c r="E7995" s="62" t="n">
        <f aca="false">E7992+E7993+E7994</f>
        <v>-732827.791083048</v>
      </c>
      <c r="F7995" s="62" t="n">
        <f aca="false">F7992+F7993+F7994</f>
        <v>-717406.475044239</v>
      </c>
      <c r="G7995" s="62" t="n">
        <f aca="false">G7992+G7993+G7994</f>
        <v>-614994.148621553</v>
      </c>
      <c r="H7995" s="2" t="s">
        <v>1381</v>
      </c>
    </row>
    <row r="7996" customFormat="false" ht="15" hidden="false" customHeight="false" outlineLevel="1" collapsed="false">
      <c r="A7996" s="2" t="s">
        <v>725</v>
      </c>
      <c r="B7996" s="8" t="s">
        <v>76</v>
      </c>
      <c r="C7996" s="59" t="n">
        <f aca="false">IF(C7986&gt;0,C7995/C7986,0)</f>
        <v>-2.12536181810541</v>
      </c>
      <c r="D7996" s="59" t="n">
        <f aca="false">IF(D7986&gt;0,D7995/D7986,0)</f>
        <v>-0.387272091703986</v>
      </c>
      <c r="E7996" s="59" t="n">
        <f aca="false">IF(E7986&gt;0,E7995/E7986,0)</f>
        <v>-0.197806608477627</v>
      </c>
      <c r="F7996" s="59" t="n">
        <f aca="false">IF(F7986&gt;0,F7995/F7986,0)</f>
        <v>-0.113239953840099</v>
      </c>
      <c r="G7996" s="59" t="n">
        <f aca="false">IF(G7986&gt;0,G7995/G7986,0)</f>
        <v>-0.0634555266545725</v>
      </c>
      <c r="H7996" s="2" t="s">
        <v>1382</v>
      </c>
    </row>
    <row r="7997" customFormat="false" ht="15" hidden="false" customHeight="false" outlineLevel="1" collapsed="false">
      <c r="A7997" s="2" t="s">
        <v>726</v>
      </c>
      <c r="B7997" s="8" t="s">
        <v>11</v>
      </c>
      <c r="C7997" s="61" t="n">
        <f aca="false">C7995+C7925</f>
        <v>-586332.91635274</v>
      </c>
      <c r="D7997" s="61" t="n">
        <f aca="false">D7995+D7925</f>
        <v>-673295.478938356</v>
      </c>
      <c r="E7997" s="61" t="n">
        <f aca="false">E7995+E7925</f>
        <v>-691927.472161816</v>
      </c>
      <c r="F7997" s="61" t="n">
        <f aca="false">F7995+F7925</f>
        <v>-652691.612886705</v>
      </c>
      <c r="G7997" s="61" t="n">
        <f aca="false">G7995+G7925</f>
        <v>-516282.102388677</v>
      </c>
      <c r="H7997" s="2" t="s">
        <v>1383</v>
      </c>
    </row>
    <row r="7998" customFormat="false" ht="15" hidden="false" customHeight="false" outlineLevel="1" collapsed="false">
      <c r="A7998" s="7" t="s">
        <v>714</v>
      </c>
      <c r="B7998" s="8" t="s">
        <v>11</v>
      </c>
      <c r="C7998" s="61" t="n">
        <f aca="false">-C7984</f>
        <v>-26350</v>
      </c>
      <c r="D7998" s="61" t="n">
        <f aca="false">-D7984</f>
        <v>-39750</v>
      </c>
      <c r="E7998" s="61" t="n">
        <f aca="false">-E7984</f>
        <v>-52650</v>
      </c>
      <c r="F7998" s="61" t="n">
        <f aca="false">-F7984</f>
        <v>-42966.6666666667</v>
      </c>
      <c r="G7998" s="61" t="n">
        <f aca="false">-G7984</f>
        <v>-39783.3333333333</v>
      </c>
      <c r="H7998" s="2" t="s">
        <v>1384</v>
      </c>
    </row>
    <row r="7999" customFormat="false" ht="15" hidden="false" customHeight="false" outlineLevel="1" collapsed="false">
      <c r="A7999" s="56" t="s">
        <v>727</v>
      </c>
      <c r="B7999" s="57" t="s">
        <v>11</v>
      </c>
      <c r="C7999" s="62" t="n">
        <f aca="false">C7995+C7998</f>
        <v>-612682.91635274</v>
      </c>
      <c r="D7999" s="62" t="n">
        <f aca="false">D7995+D7998</f>
        <v>-738874.492636987</v>
      </c>
      <c r="E7999" s="62" t="n">
        <f aca="false">E7995+E7998</f>
        <v>-785477.791083048</v>
      </c>
      <c r="F7999" s="62" t="n">
        <f aca="false">F7995+F7998</f>
        <v>-760373.141710906</v>
      </c>
      <c r="G7999" s="62" t="n">
        <f aca="false">G7995+G7998</f>
        <v>-654777.481954887</v>
      </c>
      <c r="H7999" s="2" t="s">
        <v>1385</v>
      </c>
    </row>
    <row r="8000" customFormat="false" ht="15" hidden="false" customHeight="false" outlineLevel="0" collapsed="false">
      <c r="A8000" s="3" t="s">
        <v>1386</v>
      </c>
      <c r="B8000" s="4"/>
      <c r="C8000" s="4"/>
      <c r="D8000" s="4"/>
      <c r="E8000" s="4"/>
      <c r="F8000" s="4"/>
      <c r="G8000" s="4"/>
      <c r="H8000" s="4"/>
    </row>
    <row r="8001" customFormat="false" ht="15" hidden="false" customHeight="false" outlineLevel="1" collapsed="false">
      <c r="A8001" s="7" t="s">
        <v>729</v>
      </c>
      <c r="B8001" s="8" t="s">
        <v>11</v>
      </c>
      <c r="C8001" s="61" t="n">
        <f aca="false">C7999</f>
        <v>-612682.91635274</v>
      </c>
      <c r="D8001" s="61" t="n">
        <f aca="false">D7999</f>
        <v>-738874.492636987</v>
      </c>
      <c r="E8001" s="61" t="n">
        <f aca="false">E7999</f>
        <v>-785477.791083048</v>
      </c>
      <c r="F8001" s="61" t="n">
        <f aca="false">F7999</f>
        <v>-760373.141710906</v>
      </c>
      <c r="G8001" s="61" t="n">
        <f aca="false">G7999</f>
        <v>-654777.481954887</v>
      </c>
      <c r="H8001" s="2" t="s">
        <v>1387</v>
      </c>
    </row>
    <row r="8002" customFormat="false" ht="15" hidden="false" customHeight="false" outlineLevel="1" collapsed="false">
      <c r="A8002" s="7" t="s">
        <v>730</v>
      </c>
      <c r="B8002" s="8" t="s">
        <v>11</v>
      </c>
      <c r="C8002" s="61" t="n">
        <f aca="false">0</f>
        <v>0</v>
      </c>
      <c r="D8002" s="61" t="n">
        <f aca="false">C8005</f>
        <v>612682.91635274</v>
      </c>
      <c r="E8002" s="61" t="n">
        <f aca="false">D8005</f>
        <v>1351557.40898973</v>
      </c>
      <c r="F8002" s="61" t="n">
        <f aca="false">E8005</f>
        <v>2137035.20007277</v>
      </c>
      <c r="G8002" s="61" t="n">
        <f aca="false">F8005</f>
        <v>2897408.34178368</v>
      </c>
      <c r="H8002" s="2" t="s">
        <v>1388</v>
      </c>
    </row>
    <row r="8003" customFormat="false" ht="15" hidden="false" customHeight="false" outlineLevel="1" collapsed="false">
      <c r="A8003" s="7" t="s">
        <v>731</v>
      </c>
      <c r="B8003" s="8" t="s">
        <v>11</v>
      </c>
      <c r="C8003" s="61" t="n">
        <f aca="false">MAX(0,-C8001)</f>
        <v>612682.91635274</v>
      </c>
      <c r="D8003" s="61" t="n">
        <f aca="false">MAX(0,-D8001)</f>
        <v>738874.492636987</v>
      </c>
      <c r="E8003" s="61" t="n">
        <f aca="false">MAX(0,-E8001)</f>
        <v>785477.791083048</v>
      </c>
      <c r="F8003" s="61" t="n">
        <f aca="false">MAX(0,-F8001)</f>
        <v>760373.141710906</v>
      </c>
      <c r="G8003" s="61" t="n">
        <f aca="false">MAX(0,-G8001)</f>
        <v>654777.481954887</v>
      </c>
      <c r="H8003" s="2" t="s">
        <v>1389</v>
      </c>
    </row>
    <row r="8004" customFormat="false" ht="15" hidden="false" customHeight="false" outlineLevel="1" collapsed="false">
      <c r="A8004" s="7" t="s">
        <v>732</v>
      </c>
      <c r="B8004" s="8" t="s">
        <v>11</v>
      </c>
      <c r="C8004" s="61" t="n">
        <f aca="false">MIN(C8002,Pressupostos!$C$181*MAX(0,C8001))</f>
        <v>0</v>
      </c>
      <c r="D8004" s="61" t="n">
        <f aca="false">MIN(D8002,Pressupostos!$C$181*MAX(0,D8001))</f>
        <v>0</v>
      </c>
      <c r="E8004" s="61" t="n">
        <f aca="false">MIN(E8002,Pressupostos!$C$181*MAX(0,E8001))</f>
        <v>0</v>
      </c>
      <c r="F8004" s="61" t="n">
        <f aca="false">MIN(F8002,Pressupostos!$C$181*MAX(0,F8001))</f>
        <v>0</v>
      </c>
      <c r="G8004" s="61" t="n">
        <f aca="false">MIN(G8002,Pressupostos!$C$181*MAX(0,G8001))</f>
        <v>0</v>
      </c>
      <c r="H8004" s="2" t="s">
        <v>1390</v>
      </c>
    </row>
    <row r="8005" customFormat="false" ht="15" hidden="false" customHeight="false" outlineLevel="1" collapsed="false">
      <c r="A8005" s="7" t="s">
        <v>733</v>
      </c>
      <c r="B8005" s="8" t="s">
        <v>11</v>
      </c>
      <c r="C8005" s="61" t="n">
        <f aca="false">C8002+C8003-C8004</f>
        <v>612682.91635274</v>
      </c>
      <c r="D8005" s="61" t="n">
        <f aca="false">D8002+D8003-D8004</f>
        <v>1351557.40898973</v>
      </c>
      <c r="E8005" s="61" t="n">
        <f aca="false">E8002+E8003-E8004</f>
        <v>2137035.20007277</v>
      </c>
      <c r="F8005" s="61" t="n">
        <f aca="false">F8002+F8003-F8004</f>
        <v>2897408.34178368</v>
      </c>
      <c r="G8005" s="61" t="n">
        <f aca="false">G8002+G8003-G8004</f>
        <v>3552185.82373857</v>
      </c>
      <c r="H8005" s="2" t="s">
        <v>1391</v>
      </c>
    </row>
    <row r="8006" customFormat="false" ht="15" hidden="false" customHeight="false" outlineLevel="1" collapsed="false">
      <c r="A8006" s="7" t="s">
        <v>734</v>
      </c>
      <c r="B8006" s="8" t="s">
        <v>11</v>
      </c>
      <c r="C8006" s="61" t="n">
        <f aca="false">MAX(0,C8001)-C8004</f>
        <v>0</v>
      </c>
      <c r="D8006" s="61" t="n">
        <f aca="false">MAX(0,D8001)-D8004</f>
        <v>0</v>
      </c>
      <c r="E8006" s="61" t="n">
        <f aca="false">MAX(0,E8001)-E8004</f>
        <v>0</v>
      </c>
      <c r="F8006" s="61" t="n">
        <f aca="false">MAX(0,F8001)-F8004</f>
        <v>0</v>
      </c>
      <c r="G8006" s="61" t="n">
        <f aca="false">MAX(0,G8001)-G8004</f>
        <v>0</v>
      </c>
      <c r="H8006" s="2" t="s">
        <v>1392</v>
      </c>
    </row>
    <row r="8007" customFormat="false" ht="15" hidden="false" customHeight="false" outlineLevel="1" collapsed="false">
      <c r="A8007" s="7" t="s">
        <v>735</v>
      </c>
      <c r="B8007" s="8" t="s">
        <v>11</v>
      </c>
      <c r="C8007" s="61" t="n">
        <f aca="false">Pressupostos!$C$172*MIN(C8006,Pressupostos!$C$173)+Pressupostos!$C$467*MAX(0,C8006-Pressupostos!$C$173)</f>
        <v>0</v>
      </c>
      <c r="D8007" s="61" t="n">
        <f aca="false">Pressupostos!$C$172*MIN(D8006,Pressupostos!$C$173)+Pressupostos!$D$467*MAX(0,D8006-Pressupostos!$C$173)</f>
        <v>0</v>
      </c>
      <c r="E8007" s="61" t="n">
        <f aca="false">Pressupostos!$C$172*MIN(E8006,Pressupostos!$C$173)+Pressupostos!$E$467*MAX(0,E8006-Pressupostos!$C$173)</f>
        <v>0</v>
      </c>
      <c r="F8007" s="61" t="n">
        <f aca="false">Pressupostos!$C$172*MIN(F8006,Pressupostos!$C$173)+Pressupostos!$F$467*MAX(0,F8006-Pressupostos!$C$173)</f>
        <v>0</v>
      </c>
      <c r="G8007" s="61" t="n">
        <f aca="false">Pressupostos!$C$172*MIN(G8006,Pressupostos!$C$173)+Pressupostos!$G$467*MAX(0,G8006-Pressupostos!$C$173)</f>
        <v>0</v>
      </c>
      <c r="H8007" s="2" t="s">
        <v>1393</v>
      </c>
    </row>
    <row r="8008" customFormat="false" ht="15" hidden="false" customHeight="false" outlineLevel="1" collapsed="false">
      <c r="A8008" s="7" t="s">
        <v>736</v>
      </c>
      <c r="B8008" s="8" t="s">
        <v>11</v>
      </c>
      <c r="C8008" s="61" t="n">
        <f aca="false">Pressupostos!$C$174*MAX(0,C8001)</f>
        <v>0</v>
      </c>
      <c r="D8008" s="61" t="n">
        <f aca="false">Pressupostos!$C$174*MAX(0,D8001)</f>
        <v>0</v>
      </c>
      <c r="E8008" s="61" t="n">
        <f aca="false">Pressupostos!$C$174*MAX(0,E8001)</f>
        <v>0</v>
      </c>
      <c r="F8008" s="61" t="n">
        <f aca="false">Pressupostos!$C$174*MAX(0,F8001)</f>
        <v>0</v>
      </c>
      <c r="G8008" s="61" t="n">
        <f aca="false">Pressupostos!$C$174*MAX(0,G8001)</f>
        <v>0</v>
      </c>
      <c r="H8008" s="2" t="s">
        <v>1394</v>
      </c>
    </row>
    <row r="8009" customFormat="false" ht="15" hidden="false" customHeight="false" outlineLevel="1" collapsed="false">
      <c r="A8009" s="7" t="s">
        <v>737</v>
      </c>
      <c r="B8009" s="8" t="s">
        <v>11</v>
      </c>
      <c r="C8009" s="61" t="n">
        <f aca="false">Pressupostos!$C$176*MAX(0,MIN(C8001,Pressupostos!$C$177)-Pressupostos!$C$175)+Pressupostos!$C$178*MAX(0,MIN(C8001,Pressupostos!$C$179)-Pressupostos!$C$177)+Pressupostos!$C$180*MAX(0,C8001-Pressupostos!$C$179)</f>
        <v>0</v>
      </c>
      <c r="D8009" s="61" t="n">
        <f aca="false">Pressupostos!$C$176*MAX(0,MIN(D8001,Pressupostos!$C$177)-Pressupostos!$C$175)+Pressupostos!$C$178*MAX(0,MIN(D8001,Pressupostos!$C$179)-Pressupostos!$C$177)+Pressupostos!$C$180*MAX(0,D8001-Pressupostos!$C$179)</f>
        <v>0</v>
      </c>
      <c r="E8009" s="61" t="n">
        <f aca="false">Pressupostos!$C$176*MAX(0,MIN(E8001,Pressupostos!$C$177)-Pressupostos!$C$175)+Pressupostos!$C$178*MAX(0,MIN(E8001,Pressupostos!$C$179)-Pressupostos!$C$177)+Pressupostos!$C$180*MAX(0,E8001-Pressupostos!$C$179)</f>
        <v>0</v>
      </c>
      <c r="F8009" s="61" t="n">
        <f aca="false">Pressupostos!$C$176*MAX(0,MIN(F8001,Pressupostos!$C$177)-Pressupostos!$C$175)+Pressupostos!$C$178*MAX(0,MIN(F8001,Pressupostos!$C$179)-Pressupostos!$C$177)+Pressupostos!$C$180*MAX(0,F8001-Pressupostos!$C$179)</f>
        <v>0</v>
      </c>
      <c r="G8009" s="61" t="n">
        <f aca="false">Pressupostos!$C$176*MAX(0,MIN(G8001,Pressupostos!$C$177)-Pressupostos!$C$175)+Pressupostos!$C$178*MAX(0,MIN(G8001,Pressupostos!$C$179)-Pressupostos!$C$177)+Pressupostos!$C$180*MAX(0,G8001-Pressupostos!$C$179)</f>
        <v>0</v>
      </c>
      <c r="H8009" s="2" t="s">
        <v>1395</v>
      </c>
    </row>
    <row r="8010" customFormat="false" ht="15" hidden="false" customHeight="false" outlineLevel="1" collapsed="false">
      <c r="A8010" s="7" t="s">
        <v>738</v>
      </c>
      <c r="B8010" s="8" t="s">
        <v>11</v>
      </c>
      <c r="C8010" s="61" t="n">
        <f aca="false">C8007+C8008+C8009</f>
        <v>0</v>
      </c>
      <c r="D8010" s="61" t="n">
        <f aca="false">D8007+D8008+D8009</f>
        <v>0</v>
      </c>
      <c r="E8010" s="61" t="n">
        <f aca="false">E8007+E8008+E8009</f>
        <v>0</v>
      </c>
      <c r="F8010" s="61" t="n">
        <f aca="false">F8007+F8008+F8009</f>
        <v>0</v>
      </c>
      <c r="G8010" s="61" t="n">
        <f aca="false">G8007+G8008+G8009</f>
        <v>0</v>
      </c>
      <c r="H8010" s="2" t="s">
        <v>1396</v>
      </c>
    </row>
    <row r="8011" customFormat="false" ht="15" hidden="false" customHeight="false" outlineLevel="0" collapsed="false">
      <c r="A8011" s="3" t="s">
        <v>1397</v>
      </c>
      <c r="B8011" s="4"/>
      <c r="C8011" s="4"/>
      <c r="D8011" s="4"/>
      <c r="E8011" s="4"/>
      <c r="F8011" s="4"/>
      <c r="G8011" s="4"/>
      <c r="H8011" s="4"/>
    </row>
    <row r="8012" customFormat="false" ht="15" hidden="false" customHeight="false" outlineLevel="1" collapsed="false">
      <c r="A8012" s="7" t="s">
        <v>738</v>
      </c>
      <c r="B8012" s="8" t="s">
        <v>11</v>
      </c>
      <c r="C8012" s="61" t="n">
        <f aca="false">-C8010</f>
        <v>-0</v>
      </c>
      <c r="D8012" s="61" t="n">
        <f aca="false">-D8010</f>
        <v>-0</v>
      </c>
      <c r="E8012" s="61" t="n">
        <f aca="false">-E8010</f>
        <v>-0</v>
      </c>
      <c r="F8012" s="61" t="n">
        <f aca="false">-F8010</f>
        <v>-0</v>
      </c>
      <c r="G8012" s="61" t="n">
        <f aca="false">-G8010</f>
        <v>-0</v>
      </c>
      <c r="H8012" s="2" t="s">
        <v>1398</v>
      </c>
    </row>
    <row r="8013" customFormat="false" ht="15" hidden="false" customHeight="false" outlineLevel="1" collapsed="false">
      <c r="A8013" s="56" t="s">
        <v>740</v>
      </c>
      <c r="B8013" s="57" t="s">
        <v>11</v>
      </c>
      <c r="C8013" s="62" t="n">
        <f aca="false">C7999+C8012</f>
        <v>-612682.91635274</v>
      </c>
      <c r="D8013" s="62" t="n">
        <f aca="false">D7999+D8012</f>
        <v>-738874.492636987</v>
      </c>
      <c r="E8013" s="62" t="n">
        <f aca="false">E7999+E8012</f>
        <v>-785477.791083048</v>
      </c>
      <c r="F8013" s="62" t="n">
        <f aca="false">F7999+F8012</f>
        <v>-760373.141710906</v>
      </c>
      <c r="G8013" s="62" t="n">
        <f aca="false">G7999+G8012</f>
        <v>-654777.481954887</v>
      </c>
      <c r="H8013" s="2" t="s">
        <v>1399</v>
      </c>
    </row>
    <row r="8014" customFormat="false" ht="15" hidden="false" customHeight="false" outlineLevel="0" collapsed="false">
      <c r="A8014" s="3" t="s">
        <v>1400</v>
      </c>
      <c r="B8014" s="4"/>
      <c r="C8014" s="4"/>
      <c r="D8014" s="4"/>
      <c r="E8014" s="4"/>
      <c r="F8014" s="4"/>
      <c r="G8014" s="4"/>
      <c r="H8014" s="4"/>
    </row>
    <row r="8015" customFormat="false" ht="15" hidden="false" customHeight="false" outlineLevel="1" collapsed="false">
      <c r="A8015" s="7" t="s">
        <v>744</v>
      </c>
      <c r="B8015" s="8" t="s">
        <v>11</v>
      </c>
      <c r="C8015" s="61" t="n">
        <f aca="false">C7787*1000*((C7805+C7808)*C7811/365)+C7788*1000*((C7828+C7831)*C7834/365)+C7790*1000*((C7851+C7854)*C7857/365)</f>
        <v>34293.698630137</v>
      </c>
      <c r="D8015" s="61" t="n">
        <f aca="false">D7787*1000*((D7805+D7808)*D7811/365)+D7788*1000*((D7828+D7831)*D7834/365)+D7790*1000*((D7851+D7854)*D7857/365)</f>
        <v>184524.657534247</v>
      </c>
      <c r="E8015" s="61" t="n">
        <f aca="false">E7787*1000*((E7805+E7808)*E7811/365)+E7788*1000*((E7828+E7831)*E7834/365)+E7790*1000*((E7851+E7854)*E7857/365)</f>
        <v>281132.876712329</v>
      </c>
      <c r="F8015" s="61" t="n">
        <f aca="false">F7787*1000*((F7805+F7808)*F7811/365)+F7788*1000*((F7828+F7831)*F7834/365)+F7790*1000*((F7851+F7854)*F7857/365)</f>
        <v>468098.630136986</v>
      </c>
      <c r="G8015" s="61" t="n">
        <f aca="false">G7787*1000*((G7805+G7808)*G7811/365)+G7788*1000*((G7828+G7831)*G7834/365)+G7790*1000*((G7851+G7854)*G7857/365)</f>
        <v>702000</v>
      </c>
      <c r="H8015" s="2" t="s">
        <v>1401</v>
      </c>
    </row>
    <row r="8016" customFormat="false" ht="15" hidden="false" customHeight="false" outlineLevel="1" collapsed="false">
      <c r="A8016" s="7" t="s">
        <v>745</v>
      </c>
      <c r="B8016" s="8" t="s">
        <v>11</v>
      </c>
      <c r="C8016" s="61" t="n">
        <f aca="false">C8015+C7800*1000*Pressupostos!$C$92*Pressupostos!$C$95/365</f>
        <v>34293.698630137</v>
      </c>
      <c r="D8016" s="61" t="n">
        <f aca="false">D8015+D7800*1000*Pressupostos!$C$92*Pressupostos!$C$95/365</f>
        <v>184524.657534247</v>
      </c>
      <c r="E8016" s="61" t="n">
        <f aca="false">E8015+E7800*1000*Pressupostos!$C$92*Pressupostos!$C$95/365</f>
        <v>281132.876712329</v>
      </c>
      <c r="F8016" s="61" t="n">
        <f aca="false">F8015+F7800*1000*Pressupostos!$C$92*Pressupostos!$C$95/365</f>
        <v>485358.904109589</v>
      </c>
      <c r="G8016" s="61" t="n">
        <f aca="false">G8015+G7800*1000*Pressupostos!$C$92*Pressupostos!$C$95/365</f>
        <v>745150.684931507</v>
      </c>
      <c r="H8016" s="2" t="s">
        <v>1402</v>
      </c>
    </row>
    <row r="8017" customFormat="false" ht="15" hidden="false" customHeight="false" outlineLevel="1" collapsed="false">
      <c r="A8017" s="7" t="s">
        <v>746</v>
      </c>
      <c r="B8017" s="8" t="s">
        <v>11</v>
      </c>
      <c r="C8017" s="61" t="n">
        <f aca="false">C7787*1000*(C7807*C7812/365)+C7788*1000*(C7830*C7835/365)+C7790*1000*(C7853*C7858/365)+C7882*Pressupostos!$C$96/365+(C7884+C7885)*Pressupostos!$C$82/365</f>
        <v>39130.498630137</v>
      </c>
      <c r="D8017" s="61" t="n">
        <f aca="false">D7787*1000*(D7807*D7812/365)+D7788*1000*(D7830*D7835/365)+D7790*1000*(D7853*D7858/365)+D7882*Pressupostos!$C$96/365+(D7884+D7885)*Pressupostos!$C$82/365</f>
        <v>260470.191780822</v>
      </c>
      <c r="E8017" s="61" t="n">
        <f aca="false">E7787*1000*(E7807*E7812/365)+E7788*1000*(E7830*E7835/365)+E7790*1000*(E7853*E7858/365)+E7882*Pressupostos!$C$96/365+(E7884+E7885)*Pressupostos!$C$82/365</f>
        <v>526639.232876712</v>
      </c>
      <c r="F8017" s="61" t="n">
        <f aca="false">F7787*1000*(F7807*F7812/365)+F7788*1000*(F7830*F7835/365)+F7790*1000*(F7853*F7858/365)+F7882*Pressupostos!$C$96/365+(F7884+F7885)*Pressupostos!$C$82/365</f>
        <v>886141.260273973</v>
      </c>
      <c r="G8017" s="61" t="n">
        <f aca="false">G7787*1000*(G7807*G7812/365)+G7788*1000*(G7830*G7835/365)+G7790*1000*(G7853*G7858/365)+G7882*Pressupostos!$C$96/365+(G7884+G7885)*Pressupostos!$C$82/365</f>
        <v>1346642.60273973</v>
      </c>
      <c r="H8017" s="2" t="s">
        <v>1403</v>
      </c>
    </row>
    <row r="8018" customFormat="false" ht="15" hidden="false" customHeight="false" outlineLevel="1" collapsed="false">
      <c r="A8018" s="7" t="s">
        <v>747</v>
      </c>
      <c r="B8018" s="8" t="s">
        <v>11</v>
      </c>
      <c r="C8018" s="61" t="n">
        <f aca="false">C7787*1000*((C7805+C7808)*Pressupostos!$C$72/365)+C7788*1000*((C7828+C7831)*Pressupostos!$C$72/365)+C7790*1000*((C7851+C7854)*Pressupostos!$C$72/365)+C7800*1000*Pressupostos!$C$92*Pressupostos!$C$97/365</f>
        <v>20140.2739726027</v>
      </c>
      <c r="D8018" s="61" t="n">
        <f aca="false">D7787*1000*((D7805+D7808)*Pressupostos!$C$72/365)+D7788*1000*((D7828+D7831)*Pressupostos!$C$72/365)+D7790*1000*((D7851+D7854)*Pressupostos!$C$72/365)+D7800*1000*Pressupostos!$C$92*Pressupostos!$C$97/365</f>
        <v>131449.315068493</v>
      </c>
      <c r="E8018" s="61" t="n">
        <f aca="false">E7787*1000*((E7805+E7808)*Pressupostos!$C$72/365)+E7788*1000*((E7828+E7831)*Pressupostos!$C$72/365)+E7790*1000*((E7851+E7854)*Pressupostos!$C$72/365)+E7800*1000*Pressupostos!$C$92*Pressupostos!$C$97/365</f>
        <v>266979.452054795</v>
      </c>
      <c r="F8018" s="61" t="n">
        <f aca="false">F7787*1000*((F7805+F7808)*Pressupostos!$C$72/365)+F7788*1000*((F7828+F7831)*Pressupostos!$C$72/365)+F7790*1000*((F7851+F7854)*Pressupostos!$C$72/365)+F7800*1000*Pressupostos!$C$92*Pressupostos!$C$97/365</f>
        <v>454836.98630137</v>
      </c>
      <c r="G8018" s="61" t="n">
        <f aca="false">G7787*1000*((G7805+G7808)*Pressupostos!$C$72/365)+G7788*1000*((G7828+G7831)*Pressupostos!$C$72/365)+G7790*1000*((G7851+G7854)*Pressupostos!$C$72/365)+G7800*1000*Pressupostos!$C$92*Pressupostos!$C$97/365</f>
        <v>695383.561643836</v>
      </c>
      <c r="H8018" s="2" t="s">
        <v>1404</v>
      </c>
    </row>
    <row r="8019" customFormat="false" ht="15" hidden="false" customHeight="false" outlineLevel="1" collapsed="false">
      <c r="A8019" s="56" t="s">
        <v>748</v>
      </c>
      <c r="B8019" s="57" t="s">
        <v>11</v>
      </c>
      <c r="C8019" s="62" t="n">
        <f aca="false">C8016+C8017-C8018</f>
        <v>53283.9232876712</v>
      </c>
      <c r="D8019" s="62" t="n">
        <f aca="false">D8016+D8017-D8018</f>
        <v>313545.534246575</v>
      </c>
      <c r="E8019" s="62" t="n">
        <f aca="false">E8016+E8017-E8018</f>
        <v>540792.657534246</v>
      </c>
      <c r="F8019" s="62" t="n">
        <f aca="false">F8016+F8017-F8018</f>
        <v>916663.178082192</v>
      </c>
      <c r="G8019" s="62" t="n">
        <f aca="false">G8016+G8017-G8018</f>
        <v>1396409.7260274</v>
      </c>
      <c r="H8019" s="2" t="s">
        <v>1405</v>
      </c>
    </row>
    <row r="8020" customFormat="false" ht="15" hidden="false" customHeight="false" outlineLevel="0" collapsed="false">
      <c r="A8020" s="3" t="s">
        <v>1406</v>
      </c>
      <c r="B8020" s="4"/>
      <c r="C8020" s="4"/>
      <c r="D8020" s="4"/>
      <c r="E8020" s="4"/>
      <c r="F8020" s="4"/>
      <c r="G8020" s="4"/>
      <c r="H8020" s="4"/>
    </row>
    <row r="8021" customFormat="false" ht="15" hidden="false" customHeight="false" outlineLevel="1" collapsed="false">
      <c r="A8021" s="56" t="s">
        <v>750</v>
      </c>
      <c r="B8021" s="57" t="s">
        <v>11</v>
      </c>
      <c r="C8021" s="62" t="n">
        <f aca="false">(Pressupostos!$C$282)*C8019/Pressupostos!$F$31</f>
        <v>0</v>
      </c>
      <c r="D8021" s="62" t="n">
        <f aca="false">(Pressupostos!$D$282)*D8019/Pressupostos!$F$31</f>
        <v>352738.726027397</v>
      </c>
      <c r="E8021" s="62" t="n">
        <f aca="false">(Pressupostos!$E$282)*E8019/Pressupostos!$F$31</f>
        <v>608391.739726027</v>
      </c>
      <c r="F8021" s="62" t="n">
        <f aca="false">(Pressupostos!$F$282)*F8019/Pressupostos!$F$31</f>
        <v>1031246.07534247</v>
      </c>
      <c r="G8021" s="62" t="n">
        <f aca="false">(Pressupostos!$G$282)*G8019/Pressupostos!$F$31</f>
        <v>1570960.94178082</v>
      </c>
      <c r="H8021" s="2" t="s">
        <v>1407</v>
      </c>
    </row>
    <row r="8022" customFormat="false" ht="15" hidden="false" customHeight="false" outlineLevel="1" collapsed="false">
      <c r="A8022" s="7" t="s">
        <v>751</v>
      </c>
      <c r="B8022" s="8" t="s">
        <v>11</v>
      </c>
      <c r="C8022" s="61" t="n">
        <f aca="false">(Pressupostos!$C$282)*C8019</f>
        <v>0</v>
      </c>
      <c r="D8022" s="61" t="n">
        <f aca="false">(Pressupostos!$D$282)*D8019</f>
        <v>282190.980821918</v>
      </c>
      <c r="E8022" s="61" t="n">
        <f aca="false">(Pressupostos!$E$282)*E8019</f>
        <v>486713.391780822</v>
      </c>
      <c r="F8022" s="61" t="n">
        <f aca="false">(Pressupostos!$F$282)*F8019</f>
        <v>824996.860273973</v>
      </c>
      <c r="G8022" s="61" t="n">
        <f aca="false">(Pressupostos!$G$282)*G8019</f>
        <v>1256768.75342466</v>
      </c>
      <c r="H8022" s="2" t="s">
        <v>1408</v>
      </c>
    </row>
    <row r="8023" customFormat="false" ht="15" hidden="false" customHeight="false" outlineLevel="1" collapsed="false">
      <c r="A8023" s="7" t="s">
        <v>752</v>
      </c>
      <c r="B8023" s="8" t="s">
        <v>11</v>
      </c>
      <c r="C8023" s="61" t="n">
        <f aca="false">C8021-C8022</f>
        <v>0</v>
      </c>
      <c r="D8023" s="61" t="n">
        <f aca="false">D8021-D8022</f>
        <v>70547.7452054794</v>
      </c>
      <c r="E8023" s="61" t="n">
        <f aca="false">E8021-E8022</f>
        <v>121678.347945205</v>
      </c>
      <c r="F8023" s="61" t="n">
        <f aca="false">F8021-F8022</f>
        <v>206249.215068493</v>
      </c>
      <c r="G8023" s="61" t="n">
        <f aca="false">G8021-G8022</f>
        <v>314192.188356164</v>
      </c>
      <c r="H8023" s="2" t="s">
        <v>1409</v>
      </c>
    </row>
    <row r="8024" customFormat="false" ht="15" hidden="false" customHeight="false" outlineLevel="1" collapsed="false">
      <c r="A8024" s="7" t="s">
        <v>753</v>
      </c>
      <c r="B8024" s="8" t="s">
        <v>11</v>
      </c>
      <c r="C8024" s="61" t="n">
        <f aca="false">C8019-C8022</f>
        <v>53283.9232876712</v>
      </c>
      <c r="D8024" s="61" t="n">
        <f aca="false">D8019-D8022</f>
        <v>31354.5534246575</v>
      </c>
      <c r="E8024" s="61" t="n">
        <f aca="false">E8019-E8022</f>
        <v>54079.2657534246</v>
      </c>
      <c r="F8024" s="61" t="n">
        <f aca="false">F8019-F8022</f>
        <v>91666.3178082191</v>
      </c>
      <c r="G8024" s="61" t="n">
        <f aca="false">G8019-G8022</f>
        <v>139640.97260274</v>
      </c>
      <c r="H8024" s="2" t="s">
        <v>1410</v>
      </c>
    </row>
    <row r="8025" customFormat="false" ht="15" hidden="false" customHeight="false" outlineLevel="1" collapsed="false">
      <c r="A8025" s="7" t="s">
        <v>754</v>
      </c>
      <c r="B8025" s="8" t="s">
        <v>11</v>
      </c>
      <c r="C8025" s="61" t="n">
        <f aca="false">MAX(0,Pressupostos!$C$108-C8024)</f>
        <v>0</v>
      </c>
      <c r="D8025" s="61" t="n">
        <f aca="false">MAX(0,Pressupostos!$C$108-D8024)</f>
        <v>18645.4465753425</v>
      </c>
      <c r="E8025" s="61" t="n">
        <f aca="false">MAX(0,Pressupostos!$C$108-E8024)</f>
        <v>0</v>
      </c>
      <c r="F8025" s="61" t="n">
        <f aca="false">MAX(0,Pressupostos!$C$108-F8024)</f>
        <v>0</v>
      </c>
      <c r="G8025" s="61" t="n">
        <f aca="false">MAX(0,Pressupostos!$C$108-G8024)</f>
        <v>0</v>
      </c>
      <c r="H8025" s="2" t="s">
        <v>1411</v>
      </c>
    </row>
    <row r="8026" customFormat="false" ht="15" hidden="false" customHeight="false" outlineLevel="1" collapsed="false">
      <c r="A8026" s="7" t="s">
        <v>755</v>
      </c>
      <c r="B8026" s="8" t="s">
        <v>11</v>
      </c>
      <c r="C8026" s="61" t="n">
        <f aca="false">Pressupostos!$C$109*C8021</f>
        <v>0</v>
      </c>
      <c r="D8026" s="61" t="n">
        <f aca="false">Pressupostos!$C$109*D8021</f>
        <v>17636.9363013699</v>
      </c>
      <c r="E8026" s="61" t="n">
        <f aca="false">Pressupostos!$C$109*E8021</f>
        <v>30419.5869863014</v>
      </c>
      <c r="F8026" s="61" t="n">
        <f aca="false">Pressupostos!$C$109*F8021</f>
        <v>51562.3037671233</v>
      </c>
      <c r="G8026" s="61" t="n">
        <f aca="false">Pressupostos!$C$109*G8021</f>
        <v>78548.0470890411</v>
      </c>
      <c r="H8026" s="2" t="s">
        <v>1412</v>
      </c>
    </row>
    <row r="8027" customFormat="false" ht="15" hidden="false" customHeight="false" outlineLevel="1" collapsed="false">
      <c r="A8027" s="2" t="s">
        <v>756</v>
      </c>
      <c r="B8027" s="8" t="s">
        <v>123</v>
      </c>
      <c r="C8027" s="61" t="n">
        <f aca="false">C8021/Pressupostos!$C$112</f>
        <v>0</v>
      </c>
      <c r="D8027" s="61" t="n">
        <f aca="false">D8021/Pressupostos!$C$112</f>
        <v>7.05477452054795</v>
      </c>
      <c r="E8027" s="61" t="n">
        <f aca="false">E8021/Pressupostos!$C$112</f>
        <v>12.1678347945205</v>
      </c>
      <c r="F8027" s="61" t="n">
        <f aca="false">F8021/Pressupostos!$C$112</f>
        <v>20.6249215068493</v>
      </c>
      <c r="G8027" s="61" t="n">
        <f aca="false">G8021/Pressupostos!$C$112</f>
        <v>31.4192188356164</v>
      </c>
      <c r="H8027" s="2" t="s">
        <v>1413</v>
      </c>
    </row>
    <row r="8028" customFormat="false" ht="15" hidden="false" customHeight="false" outlineLevel="0" collapsed="false">
      <c r="A8028" s="3" t="s">
        <v>1414</v>
      </c>
      <c r="B8028" s="4"/>
      <c r="C8028" s="4"/>
      <c r="D8028" s="4"/>
      <c r="E8028" s="4"/>
      <c r="F8028" s="4"/>
      <c r="G8028" s="4"/>
      <c r="H8028" s="4"/>
    </row>
    <row r="8029" customFormat="false" ht="15" hidden="false" customHeight="false" outlineLevel="1" collapsed="false">
      <c r="A8029" s="7" t="s">
        <v>758</v>
      </c>
      <c r="B8029" s="8" t="s">
        <v>11</v>
      </c>
      <c r="C8029" s="61" t="n">
        <f aca="false">C7995</f>
        <v>-586332.91635274</v>
      </c>
      <c r="D8029" s="61" t="n">
        <f aca="false">D7995</f>
        <v>-699124.492636987</v>
      </c>
      <c r="E8029" s="61" t="n">
        <f aca="false">E7995</f>
        <v>-732827.791083048</v>
      </c>
      <c r="F8029" s="61" t="n">
        <f aca="false">F7995</f>
        <v>-717406.475044239</v>
      </c>
      <c r="G8029" s="61" t="n">
        <f aca="false">G7995</f>
        <v>-614994.148621553</v>
      </c>
      <c r="H8029" s="2" t="s">
        <v>1415</v>
      </c>
    </row>
    <row r="8030" customFormat="false" ht="15" hidden="false" customHeight="false" outlineLevel="1" collapsed="false">
      <c r="A8030" s="7" t="s">
        <v>759</v>
      </c>
      <c r="B8030" s="8" t="s">
        <v>11</v>
      </c>
      <c r="C8030" s="61" t="n">
        <f aca="false">-C8010</f>
        <v>-0</v>
      </c>
      <c r="D8030" s="61" t="n">
        <f aca="false">-D8010</f>
        <v>-0</v>
      </c>
      <c r="E8030" s="61" t="n">
        <f aca="false">-E8010</f>
        <v>-0</v>
      </c>
      <c r="F8030" s="61" t="n">
        <f aca="false">-F8010</f>
        <v>-0</v>
      </c>
      <c r="G8030" s="61" t="n">
        <f aca="false">-G8010</f>
        <v>-0</v>
      </c>
      <c r="H8030" s="2" t="s">
        <v>1416</v>
      </c>
    </row>
    <row r="8031" customFormat="false" ht="15" hidden="false" customHeight="false" outlineLevel="1" collapsed="false">
      <c r="A8031" s="7" t="s">
        <v>760</v>
      </c>
      <c r="B8031" s="8" t="s">
        <v>11</v>
      </c>
      <c r="C8031" s="61" t="n">
        <f aca="false">-C8019</f>
        <v>-53283.9232876712</v>
      </c>
      <c r="D8031" s="61" t="n">
        <f aca="false">-(D8019-C8019)</f>
        <v>-260261.610958904</v>
      </c>
      <c r="E8031" s="61" t="n">
        <f aca="false">-(E8019-D8019)</f>
        <v>-227247.123287671</v>
      </c>
      <c r="F8031" s="61" t="n">
        <f aca="false">-(F8019-E8019)</f>
        <v>-375870.520547945</v>
      </c>
      <c r="G8031" s="61" t="n">
        <f aca="false">-(G8019-F8019)</f>
        <v>-479746.547945205</v>
      </c>
      <c r="H8031" s="2" t="s">
        <v>1417</v>
      </c>
    </row>
    <row r="8032" customFormat="false" ht="15" hidden="false" customHeight="false" outlineLevel="1" collapsed="false">
      <c r="A8032" s="7" t="s">
        <v>424</v>
      </c>
      <c r="B8032" s="8" t="s">
        <v>11</v>
      </c>
      <c r="C8032" s="61" t="n">
        <f aca="false">-C7979</f>
        <v>-89000</v>
      </c>
      <c r="D8032" s="61" t="n">
        <f aca="false">-D7979</f>
        <v>-46000</v>
      </c>
      <c r="E8032" s="61" t="n">
        <f aca="false">-E7979</f>
        <v>-44000</v>
      </c>
      <c r="F8032" s="61" t="n">
        <f aca="false">-F7979</f>
        <v>-37000</v>
      </c>
      <c r="G8032" s="61" t="n">
        <f aca="false">-G7979</f>
        <v>-34000</v>
      </c>
      <c r="H8032" s="2" t="s">
        <v>1418</v>
      </c>
    </row>
    <row r="8033" customFormat="false" ht="15" hidden="false" customHeight="false" outlineLevel="1" collapsed="false">
      <c r="A8033" s="7" t="s">
        <v>761</v>
      </c>
      <c r="B8033" s="8" t="s">
        <v>11</v>
      </c>
      <c r="C8033" s="61" t="n">
        <f aca="false">C8029+C8030+C8031+C8032</f>
        <v>-728616.839640411</v>
      </c>
      <c r="D8033" s="61" t="n">
        <f aca="false">D8029+D8030+D8031+D8032</f>
        <v>-1005386.10359589</v>
      </c>
      <c r="E8033" s="61" t="n">
        <f aca="false">E8029+E8030+E8031+E8032</f>
        <v>-1004074.91437072</v>
      </c>
      <c r="F8033" s="61" t="n">
        <f aca="false">F8029+F8030+F8031+F8032</f>
        <v>-1130276.99559218</v>
      </c>
      <c r="G8033" s="61" t="n">
        <f aca="false">G8029+G8030+G8031+G8032</f>
        <v>-1128740.69656676</v>
      </c>
      <c r="H8033" s="2" t="s">
        <v>1419</v>
      </c>
    </row>
    <row r="8034" customFormat="false" ht="15" hidden="false" customHeight="false" outlineLevel="1" collapsed="false">
      <c r="A8034" s="7" t="s">
        <v>762</v>
      </c>
      <c r="B8034" s="8" t="s">
        <v>11</v>
      </c>
      <c r="C8034" s="61" t="n">
        <f aca="false">C8021</f>
        <v>0</v>
      </c>
      <c r="D8034" s="61" t="n">
        <f aca="false">D8021-C8021</f>
        <v>352738.726027397</v>
      </c>
      <c r="E8034" s="61" t="n">
        <f aca="false">E8021-D8021</f>
        <v>255653.01369863</v>
      </c>
      <c r="F8034" s="61" t="n">
        <f aca="false">F8021-E8021</f>
        <v>422854.335616438</v>
      </c>
      <c r="G8034" s="61" t="n">
        <f aca="false">G8021-F8021</f>
        <v>539714.866438356</v>
      </c>
      <c r="H8034" s="2" t="s">
        <v>1420</v>
      </c>
    </row>
    <row r="8035" customFormat="false" ht="15" hidden="false" customHeight="false" outlineLevel="1" collapsed="false">
      <c r="A8035" s="7" t="s">
        <v>763</v>
      </c>
      <c r="B8035" s="8" t="s">
        <v>11</v>
      </c>
      <c r="C8035" s="61" t="n">
        <f aca="false">-C8023</f>
        <v>-0</v>
      </c>
      <c r="D8035" s="61" t="n">
        <f aca="false">-(D8023-C8023)</f>
        <v>-70547.7452054794</v>
      </c>
      <c r="E8035" s="61" t="n">
        <f aca="false">-(E8023-D8023)</f>
        <v>-51130.602739726</v>
      </c>
      <c r="F8035" s="61" t="n">
        <f aca="false">-(F8023-E8023)</f>
        <v>-84570.8671232876</v>
      </c>
      <c r="G8035" s="61" t="n">
        <f aca="false">-(G8023-F8023)</f>
        <v>-107942.973287671</v>
      </c>
      <c r="H8035" s="2" t="s">
        <v>1421</v>
      </c>
    </row>
    <row r="8036" customFormat="false" ht="15" hidden="false" customHeight="false" outlineLevel="1" collapsed="false">
      <c r="A8036" s="7" t="s">
        <v>764</v>
      </c>
      <c r="B8036" s="8" t="s">
        <v>11</v>
      </c>
      <c r="C8036" s="61" t="n">
        <f aca="false">-C8026</f>
        <v>-0</v>
      </c>
      <c r="D8036" s="61" t="n">
        <f aca="false">-(D8026-C8026)</f>
        <v>-17636.9363013699</v>
      </c>
      <c r="E8036" s="61" t="n">
        <f aca="false">-(E8026-D8026)</f>
        <v>-12782.6506849315</v>
      </c>
      <c r="F8036" s="61" t="n">
        <f aca="false">-(F8026-E8026)</f>
        <v>-21142.7167808219</v>
      </c>
      <c r="G8036" s="61" t="n">
        <f aca="false">-(G8026-F8026)</f>
        <v>-26985.7433219178</v>
      </c>
      <c r="H8036" s="2" t="s">
        <v>1422</v>
      </c>
    </row>
    <row r="8037" customFormat="false" ht="15" hidden="false" customHeight="false" outlineLevel="1" collapsed="false">
      <c r="A8037" s="7" t="s">
        <v>765</v>
      </c>
      <c r="B8037" s="8" t="s">
        <v>11</v>
      </c>
      <c r="C8037" s="61" t="n">
        <f aca="false">-(C8025-Pressupostos!$C$108)</f>
        <v>50000</v>
      </c>
      <c r="D8037" s="61" t="n">
        <f aca="false">-(D8025-C8025)</f>
        <v>-18645.4465753425</v>
      </c>
      <c r="E8037" s="61" t="n">
        <f aca="false">-(E8025-D8025)</f>
        <v>18645.4465753425</v>
      </c>
      <c r="F8037" s="61" t="n">
        <f aca="false">-(F8025-E8025)</f>
        <v>-0</v>
      </c>
      <c r="G8037" s="61" t="n">
        <f aca="false">-(G8025-F8025)</f>
        <v>-0</v>
      </c>
      <c r="H8037" s="2" t="s">
        <v>1423</v>
      </c>
    </row>
    <row r="8038" customFormat="false" ht="15" hidden="false" customHeight="false" outlineLevel="1" collapsed="false">
      <c r="A8038" s="56" t="s">
        <v>766</v>
      </c>
      <c r="B8038" s="57" t="s">
        <v>11</v>
      </c>
      <c r="C8038" s="62" t="n">
        <f aca="false">C8033+C8034+C8035+C8036+C8037</f>
        <v>-678616.839640411</v>
      </c>
      <c r="D8038" s="62" t="n">
        <f aca="false">D8033+D8034+D8035+D8036+D8037</f>
        <v>-759477.505650685</v>
      </c>
      <c r="E8038" s="62" t="n">
        <f aca="false">E8033+E8034+E8035+E8036+E8037</f>
        <v>-793689.707521405</v>
      </c>
      <c r="F8038" s="62" t="n">
        <f aca="false">F8033+F8034+F8035+F8036+F8037</f>
        <v>-813136.243879855</v>
      </c>
      <c r="G8038" s="62" t="n">
        <f aca="false">G8033+G8034+G8035+G8036+G8037</f>
        <v>-723954.546737992</v>
      </c>
      <c r="H8038" s="2" t="s">
        <v>1424</v>
      </c>
    </row>
    <row r="8039" customFormat="false" ht="15" hidden="false" customHeight="false" outlineLevel="1" collapsed="false">
      <c r="A8039" s="56" t="s">
        <v>767</v>
      </c>
      <c r="B8039" s="57" t="s">
        <v>11</v>
      </c>
      <c r="C8039" s="62" t="n">
        <f aca="false">C8038</f>
        <v>-678616.839640411</v>
      </c>
      <c r="D8039" s="62" t="n">
        <f aca="false">C8039+D8038</f>
        <v>-1438094.3452911</v>
      </c>
      <c r="E8039" s="62" t="n">
        <f aca="false">D8039+E8038</f>
        <v>-2231784.0528125</v>
      </c>
      <c r="F8039" s="62" t="n">
        <f aca="false">E8039+F8038</f>
        <v>-3044920.29669236</v>
      </c>
      <c r="G8039" s="62" t="n">
        <f aca="false">F8039+G8038</f>
        <v>-3768874.84343035</v>
      </c>
      <c r="H8039" s="2" t="s">
        <v>1425</v>
      </c>
    </row>
    <row r="8040" customFormat="false" ht="15" hidden="false" customHeight="false" outlineLevel="1" collapsed="false">
      <c r="A8040" s="8" t="s">
        <v>768</v>
      </c>
      <c r="B8040" s="8" t="s">
        <v>11</v>
      </c>
      <c r="C8040" s="70" t="n">
        <f aca="false">ROUND(C7995-C7979-C8010-(MAX(C8024,Pressupostos!$C$108)-Pressupostos!$C$108)-(C8026)-C8038,6)</f>
        <v>0</v>
      </c>
      <c r="D8040" s="70" t="n">
        <f aca="false">ROUND(D7995-D7979-D8010-(MAX(D8024,Pressupostos!$C$108)-MAX(C8024,Pressupostos!$C$108))-(D8026-C8026)-D8038,6)</f>
        <v>0</v>
      </c>
      <c r="E8040" s="70" t="n">
        <f aca="false">ROUND(E7995-E7979-E8010-(MAX(E8024,Pressupostos!$C$108)-MAX(D8024,Pressupostos!$C$108))-(E8026-D8026)-E8038,6)</f>
        <v>0</v>
      </c>
      <c r="F8040" s="70" t="n">
        <f aca="false">ROUND(F7995-F7979-F8010-(MAX(F8024,Pressupostos!$C$108)-MAX(E8024,Pressupostos!$C$108))-(F8026-E8026)-F8038,6)</f>
        <v>0</v>
      </c>
      <c r="G8040" s="70" t="n">
        <f aca="false">ROUND(G7995-G7979-G8010-(MAX(G8024,Pressupostos!$C$108)-MAX(F8024,Pressupostos!$C$108))-(G8026-F8026)-G8038,6)</f>
        <v>0</v>
      </c>
      <c r="H8040" s="2" t="s">
        <v>1426</v>
      </c>
    </row>
    <row r="8041" customFormat="false" ht="15" hidden="false" customHeight="false" outlineLevel="0" collapsed="false">
      <c r="A8041" s="3" t="s">
        <v>1427</v>
      </c>
      <c r="B8041" s="4"/>
      <c r="C8041" s="4"/>
      <c r="D8041" s="4"/>
      <c r="E8041" s="4"/>
      <c r="F8041" s="4"/>
      <c r="G8041" s="4"/>
      <c r="H8041" s="4"/>
    </row>
    <row r="8042" customFormat="false" ht="15" hidden="false" customHeight="false" outlineLevel="1" collapsed="false">
      <c r="A8042" s="7" t="s">
        <v>770</v>
      </c>
      <c r="B8042" s="8" t="s">
        <v>11</v>
      </c>
      <c r="C8042" s="61" t="n">
        <f aca="false">0</f>
        <v>0</v>
      </c>
      <c r="D8042" s="61" t="n">
        <f aca="false">C8047</f>
        <v>276383.160359589</v>
      </c>
      <c r="E8042" s="61" t="n">
        <f aca="false">D8047</f>
        <v>150000</v>
      </c>
      <c r="F8042" s="61" t="n">
        <f aca="false">E8047</f>
        <v>150000</v>
      </c>
      <c r="G8042" s="61" t="n">
        <f aca="false">F8047</f>
        <v>150000</v>
      </c>
      <c r="H8042" s="2" t="s">
        <v>1428</v>
      </c>
    </row>
    <row r="8043" customFormat="false" ht="15" hidden="false" customHeight="false" outlineLevel="1" collapsed="false">
      <c r="A8043" s="7" t="s">
        <v>771</v>
      </c>
      <c r="B8043" s="8" t="s">
        <v>11</v>
      </c>
      <c r="C8043" s="61" t="n">
        <f aca="false">-(Pressupostos!$C$159+Pressupostos!$C$160+Pressupostos!$C$161+Pressupostos!$C$162+Pressupostos!$C$163+Pressupostos!$C$108)</f>
        <v>-145000</v>
      </c>
      <c r="D8043" s="61" t="n">
        <f aca="false">0</f>
        <v>0</v>
      </c>
      <c r="E8043" s="61" t="n">
        <f aca="false">0</f>
        <v>0</v>
      </c>
      <c r="F8043" s="61" t="n">
        <f aca="false">0</f>
        <v>0</v>
      </c>
      <c r="G8043" s="61" t="n">
        <f aca="false">0</f>
        <v>0</v>
      </c>
      <c r="H8043" s="2" t="s">
        <v>1429</v>
      </c>
    </row>
    <row r="8044" customFormat="false" ht="15" hidden="false" customHeight="false" outlineLevel="1" collapsed="false">
      <c r="A8044" s="7" t="s">
        <v>772</v>
      </c>
      <c r="B8044" s="8" t="s">
        <v>11</v>
      </c>
      <c r="C8044" s="53" t="n">
        <f aca="false">Pressupostos!$F$32</f>
        <v>1100000</v>
      </c>
      <c r="D8044" s="61" t="n">
        <f aca="false">0</f>
        <v>0</v>
      </c>
      <c r="E8044" s="61" t="n">
        <f aca="false">0</f>
        <v>0</v>
      </c>
      <c r="F8044" s="61" t="n">
        <f aca="false">0</f>
        <v>0</v>
      </c>
      <c r="G8044" s="61" t="n">
        <f aca="false">0</f>
        <v>0</v>
      </c>
      <c r="H8044" s="2" t="s">
        <v>1430</v>
      </c>
    </row>
    <row r="8045" customFormat="false" ht="15" hidden="false" customHeight="false" outlineLevel="1" collapsed="false">
      <c r="A8045" s="7" t="s">
        <v>773</v>
      </c>
      <c r="B8045" s="8" t="s">
        <v>11</v>
      </c>
      <c r="C8045" s="61" t="n">
        <f aca="false">C8042+C8043+C8044+C8038</f>
        <v>276383.160359589</v>
      </c>
      <c r="D8045" s="61" t="n">
        <f aca="false">D8042+D8043+D8044+D8038</f>
        <v>-483094.345291096</v>
      </c>
      <c r="E8045" s="61" t="n">
        <f aca="false">E8042+E8043+E8044+E8038</f>
        <v>-643689.707521405</v>
      </c>
      <c r="F8045" s="61" t="n">
        <f aca="false">F8042+F8043+F8044+F8038</f>
        <v>-663136.243879855</v>
      </c>
      <c r="G8045" s="61" t="n">
        <f aca="false">G8042+G8043+G8044+G8038</f>
        <v>-573954.546737992</v>
      </c>
      <c r="H8045" s="2" t="s">
        <v>1431</v>
      </c>
    </row>
    <row r="8046" customFormat="false" ht="15" hidden="false" customHeight="false" outlineLevel="1" collapsed="false">
      <c r="A8046" s="56" t="s">
        <v>774</v>
      </c>
      <c r="B8046" s="57" t="s">
        <v>11</v>
      </c>
      <c r="C8046" s="62" t="n">
        <f aca="false">MAX(0,Pressupostos!$C$170-C8045)</f>
        <v>0</v>
      </c>
      <c r="D8046" s="62" t="n">
        <f aca="false">MAX(0,Pressupostos!$C$170-D8045)</f>
        <v>633094.345291096</v>
      </c>
      <c r="E8046" s="62" t="n">
        <f aca="false">MAX(0,Pressupostos!$C$170-E8045)</f>
        <v>793689.707521405</v>
      </c>
      <c r="F8046" s="62" t="n">
        <f aca="false">MAX(0,Pressupostos!$C$170-F8045)</f>
        <v>813136.243879855</v>
      </c>
      <c r="G8046" s="62" t="n">
        <f aca="false">MAX(0,Pressupostos!$C$170-G8045)</f>
        <v>723954.546737992</v>
      </c>
      <c r="H8046" s="2" t="s">
        <v>1432</v>
      </c>
    </row>
    <row r="8047" customFormat="false" ht="15" hidden="false" customHeight="false" outlineLevel="1" collapsed="false">
      <c r="A8047" s="56" t="s">
        <v>775</v>
      </c>
      <c r="B8047" s="57" t="s">
        <v>11</v>
      </c>
      <c r="C8047" s="62" t="n">
        <f aca="false">C8045+C8046</f>
        <v>276383.160359589</v>
      </c>
      <c r="D8047" s="62" t="n">
        <f aca="false">D8045+D8046</f>
        <v>150000</v>
      </c>
      <c r="E8047" s="62" t="n">
        <f aca="false">E8045+E8046</f>
        <v>150000</v>
      </c>
      <c r="F8047" s="62" t="n">
        <f aca="false">F8045+F8046</f>
        <v>150000</v>
      </c>
      <c r="G8047" s="62" t="n">
        <f aca="false">G8045+G8046</f>
        <v>150000</v>
      </c>
      <c r="H8047" s="2" t="s">
        <v>1433</v>
      </c>
    </row>
    <row r="8048" customFormat="false" ht="15" hidden="false" customHeight="false" outlineLevel="1" collapsed="false">
      <c r="A8048" s="7" t="s">
        <v>776</v>
      </c>
      <c r="B8048" s="8" t="s">
        <v>11</v>
      </c>
      <c r="C8048" s="61" t="n">
        <f aca="false">C8023+C8026+C8025</f>
        <v>0</v>
      </c>
      <c r="D8048" s="61" t="n">
        <f aca="false">D8023+D8026+D8025</f>
        <v>106830.128082192</v>
      </c>
      <c r="E8048" s="61" t="n">
        <f aca="false">E8023+E8026+E8025</f>
        <v>152097.934931507</v>
      </c>
      <c r="F8048" s="61" t="n">
        <f aca="false">F8023+F8026+F8025</f>
        <v>257811.518835616</v>
      </c>
      <c r="G8048" s="61" t="n">
        <f aca="false">G8023+G8026+G8025</f>
        <v>392740.235445205</v>
      </c>
      <c r="H8048" s="2" t="s">
        <v>1434</v>
      </c>
    </row>
    <row r="8049" customFormat="false" ht="15" hidden="false" customHeight="false" outlineLevel="1" collapsed="false">
      <c r="A8049" s="7" t="s">
        <v>777</v>
      </c>
      <c r="B8049" s="8" t="s">
        <v>11</v>
      </c>
      <c r="C8049" s="61" t="n">
        <f aca="false">C8047+C8048</f>
        <v>276383.160359589</v>
      </c>
      <c r="D8049" s="61" t="n">
        <f aca="false">D8047+D8048</f>
        <v>256830.128082192</v>
      </c>
      <c r="E8049" s="61" t="n">
        <f aca="false">E8047+E8048</f>
        <v>302097.934931507</v>
      </c>
      <c r="F8049" s="61" t="n">
        <f aca="false">F8047+F8048</f>
        <v>407811.518835616</v>
      </c>
      <c r="G8049" s="61" t="n">
        <f aca="false">G8047+G8048</f>
        <v>542740.235445205</v>
      </c>
      <c r="H8049" s="2" t="s">
        <v>1435</v>
      </c>
    </row>
    <row r="8050" customFormat="false" ht="15" hidden="false" customHeight="false" outlineLevel="1" collapsed="false">
      <c r="A8050" s="7" t="s">
        <v>778</v>
      </c>
      <c r="B8050" s="8" t="s">
        <v>11</v>
      </c>
      <c r="C8050" s="61" t="n">
        <f aca="false">C8044+C8046</f>
        <v>1100000</v>
      </c>
      <c r="D8050" s="61" t="n">
        <f aca="false">C8050+D8044+D8046</f>
        <v>1733094.3452911</v>
      </c>
      <c r="E8050" s="61" t="n">
        <f aca="false">D8050+E8044+E8046</f>
        <v>2526784.0528125</v>
      </c>
      <c r="F8050" s="61" t="n">
        <f aca="false">E8050+F8044+F8046</f>
        <v>3339920.29669236</v>
      </c>
      <c r="G8050" s="61" t="n">
        <f aca="false">F8050+G8044+G8046</f>
        <v>4063874.84343035</v>
      </c>
      <c r="H8050" s="2" t="s">
        <v>1436</v>
      </c>
    </row>
    <row r="8051" customFormat="false" ht="15" hidden="false" customHeight="false" outlineLevel="0" collapsed="false">
      <c r="A8051" s="3" t="s">
        <v>1437</v>
      </c>
      <c r="B8051" s="4"/>
      <c r="C8051" s="4"/>
      <c r="D8051" s="4"/>
      <c r="E8051" s="4"/>
      <c r="F8051" s="4"/>
      <c r="G8051" s="4"/>
      <c r="H8051" s="4"/>
    </row>
    <row r="8052" customFormat="false" ht="15" hidden="false" customHeight="false" outlineLevel="1" collapsed="false">
      <c r="A8052" s="7" t="s">
        <v>782</v>
      </c>
      <c r="B8052" s="8" t="s">
        <v>11</v>
      </c>
      <c r="C8052" s="72" t="n">
        <f aca="false">Pressupostos!$C$159+Pressupostos!$C$160+Pressupostos!$C$161+Pressupostos!$C$162+Pressupostos!$C$163</f>
        <v>95000</v>
      </c>
      <c r="H8052" s="2" t="s">
        <v>1438</v>
      </c>
    </row>
    <row r="8053" customFormat="false" ht="15" hidden="false" customHeight="false" outlineLevel="1" collapsed="false">
      <c r="A8053" s="7" t="s">
        <v>783</v>
      </c>
      <c r="B8053" s="8" t="s">
        <v>11</v>
      </c>
      <c r="C8053" s="73" t="n">
        <f aca="false">Pressupostos!$C$108</f>
        <v>50000</v>
      </c>
      <c r="H8053" s="2" t="s">
        <v>1439</v>
      </c>
    </row>
    <row r="8054" customFormat="false" ht="15" hidden="false" customHeight="false" outlineLevel="1" collapsed="false">
      <c r="A8054" s="7" t="s">
        <v>322</v>
      </c>
      <c r="B8054" s="8" t="s">
        <v>11</v>
      </c>
      <c r="C8054" s="73" t="n">
        <f aca="false">Pressupostos!$C$170</f>
        <v>150000</v>
      </c>
      <c r="H8054" s="2" t="s">
        <v>1440</v>
      </c>
    </row>
    <row r="8055" customFormat="false" ht="15" hidden="false" customHeight="false" outlineLevel="1" collapsed="false">
      <c r="A8055" s="7" t="s">
        <v>784</v>
      </c>
      <c r="B8055" s="8" t="s">
        <v>11</v>
      </c>
      <c r="C8055" s="72" t="n">
        <f aca="false">MAX(0,-MIN($C$8039:$G$8039))</f>
        <v>3768874.84343035</v>
      </c>
      <c r="H8055" s="2" t="s">
        <v>1441</v>
      </c>
    </row>
    <row r="8056" customFormat="false" ht="15" hidden="false" customHeight="false" outlineLevel="1" collapsed="false">
      <c r="A8056" s="56" t="s">
        <v>785</v>
      </c>
      <c r="B8056" s="57" t="s">
        <v>11</v>
      </c>
      <c r="C8056" s="74" t="n">
        <f aca="false">C8052+C8053+C8054+C8055</f>
        <v>4063874.84343035</v>
      </c>
      <c r="H8056" s="2" t="s">
        <v>1442</v>
      </c>
    </row>
    <row r="8057" customFormat="false" ht="15" hidden="false" customHeight="false" outlineLevel="1" collapsed="false">
      <c r="A8057" s="7" t="s">
        <v>786</v>
      </c>
      <c r="B8057" s="8" t="s">
        <v>20</v>
      </c>
      <c r="C8057" s="75" t="n">
        <f aca="false">INDEX($C$7784:$G$7784,1,MATCH(MIN($C$8039:$G$8039),$C$8039:$G$8039,0))</f>
        <v>2031</v>
      </c>
      <c r="H8057" s="2" t="s">
        <v>1443</v>
      </c>
    </row>
    <row r="8058" customFormat="false" ht="15" hidden="false" customHeight="false" outlineLevel="1" collapsed="false">
      <c r="A8058" s="7" t="s">
        <v>787</v>
      </c>
      <c r="B8058" s="8"/>
      <c r="C8058" s="76" t="str">
        <f aca="false">IF(G8038&lt;0,"sim","não")</f>
        <v>sim</v>
      </c>
      <c r="H8058" s="2" t="s">
        <v>1444</v>
      </c>
    </row>
    <row r="8059" customFormat="false" ht="15" hidden="false" customHeight="false" outlineLevel="1" collapsed="false">
      <c r="A8059" s="7" t="s">
        <v>788</v>
      </c>
      <c r="B8059" s="8" t="s">
        <v>11</v>
      </c>
      <c r="C8059" s="72" t="n">
        <f aca="false">G8050</f>
        <v>4063874.84343035</v>
      </c>
      <c r="H8059" s="2" t="s">
        <v>1445</v>
      </c>
    </row>
    <row r="8060" customFormat="false" ht="15" hidden="false" customHeight="false" outlineLevel="0" collapsed="false">
      <c r="A8060" s="3" t="s">
        <v>1446</v>
      </c>
      <c r="B8060" s="4"/>
      <c r="C8060" s="4"/>
      <c r="D8060" s="4"/>
      <c r="E8060" s="4"/>
      <c r="F8060" s="4"/>
      <c r="G8060" s="4"/>
      <c r="H8060" s="4"/>
    </row>
    <row r="8061" customFormat="false" ht="15" hidden="false" customHeight="false" outlineLevel="1" collapsed="false">
      <c r="A8061" s="7" t="s">
        <v>790</v>
      </c>
      <c r="B8061" s="8" t="s">
        <v>11</v>
      </c>
      <c r="C8061" s="72" t="n">
        <f aca="false">C8052+C8053</f>
        <v>145000</v>
      </c>
      <c r="H8061" s="2" t="s">
        <v>1447</v>
      </c>
    </row>
    <row r="8062" customFormat="false" ht="15" hidden="false" customHeight="false" outlineLevel="1" collapsed="false">
      <c r="A8062" s="7" t="s">
        <v>791</v>
      </c>
      <c r="B8062" s="8" t="s">
        <v>11</v>
      </c>
      <c r="C8062" s="72" t="n">
        <f aca="false">-SUMPRODUCT(($C$7784:$G$7784&lt;=C8057)*$C$7995:$G$7995)</f>
        <v>3350685.82373857</v>
      </c>
      <c r="H8062" s="2" t="s">
        <v>1448</v>
      </c>
    </row>
    <row r="8063" customFormat="false" ht="15" hidden="false" customHeight="false" outlineLevel="1" collapsed="false">
      <c r="A8063" s="7" t="s">
        <v>424</v>
      </c>
      <c r="B8063" s="8" t="s">
        <v>11</v>
      </c>
      <c r="C8063" s="72" t="n">
        <f aca="false">SUMPRODUCT(($C$7784:$G$7784&lt;=C8057)*$C$7979:$G$7979)</f>
        <v>250000</v>
      </c>
      <c r="H8063" s="2" t="s">
        <v>1449</v>
      </c>
    </row>
    <row r="8064" customFormat="false" ht="15" hidden="false" customHeight="false" outlineLevel="1" collapsed="false">
      <c r="A8064" s="7" t="s">
        <v>792</v>
      </c>
      <c r="B8064" s="8" t="s">
        <v>11</v>
      </c>
      <c r="C8064" s="72" t="n">
        <f aca="false">SUMPRODUCT(($C$7784:$G$7784&lt;=C8057)*$C$8010:$G$8010)</f>
        <v>0</v>
      </c>
      <c r="H8064" s="2" t="s">
        <v>1450</v>
      </c>
    </row>
    <row r="8065" customFormat="false" ht="15" hidden="false" customHeight="false" outlineLevel="1" collapsed="false">
      <c r="A8065" s="7" t="s">
        <v>793</v>
      </c>
      <c r="B8065" s="8" t="s">
        <v>11</v>
      </c>
      <c r="C8065" s="72" t="n">
        <f aca="false">C8055-C8062-C8063-C8064</f>
        <v>168189.019691781</v>
      </c>
      <c r="H8065" s="2" t="s">
        <v>1451</v>
      </c>
    </row>
    <row r="8066" customFormat="false" ht="15" hidden="false" customHeight="false" outlineLevel="1" collapsed="false">
      <c r="A8066" s="7" t="s">
        <v>322</v>
      </c>
      <c r="B8066" s="8" t="s">
        <v>11</v>
      </c>
      <c r="C8066" s="72" t="n">
        <f aca="false">C8054</f>
        <v>150000</v>
      </c>
      <c r="H8066" s="2" t="s">
        <v>1452</v>
      </c>
    </row>
    <row r="8067" customFormat="false" ht="15" hidden="false" customHeight="false" outlineLevel="1" collapsed="false">
      <c r="A8067" s="56" t="s">
        <v>794</v>
      </c>
      <c r="B8067" s="57" t="s">
        <v>11</v>
      </c>
      <c r="C8067" s="74" t="n">
        <f aca="false">C8061+C8062+C8063+C8064+C8065+C8066</f>
        <v>4063874.84343035</v>
      </c>
      <c r="H8067" s="2" t="s">
        <v>1453</v>
      </c>
    </row>
    <row r="8068" customFormat="false" ht="15" hidden="false" customHeight="false" outlineLevel="0" collapsed="false">
      <c r="A8068" s="3" t="s">
        <v>1454</v>
      </c>
      <c r="B8068" s="4"/>
      <c r="C8068" s="4"/>
      <c r="D8068" s="4"/>
      <c r="E8068" s="4"/>
      <c r="F8068" s="4"/>
      <c r="G8068" s="4"/>
      <c r="H8068" s="4"/>
    </row>
    <row r="8069" customFormat="false" ht="15" hidden="false" customHeight="false" outlineLevel="1" collapsed="false">
      <c r="A8069" s="7" t="s">
        <v>772</v>
      </c>
      <c r="B8069" s="8" t="s">
        <v>11</v>
      </c>
      <c r="C8069" s="73" t="n">
        <f aca="false">Pressupostos!$F$32</f>
        <v>1100000</v>
      </c>
      <c r="H8069" s="2" t="s">
        <v>1455</v>
      </c>
    </row>
    <row r="8070" customFormat="false" ht="15" hidden="false" customHeight="false" outlineLevel="1" collapsed="false">
      <c r="A8070" s="7" t="s">
        <v>796</v>
      </c>
      <c r="B8070" s="8" t="s">
        <v>11</v>
      </c>
      <c r="C8070" s="72" t="n">
        <f aca="false">C8052+Pressupostos!$C$108+Pressupostos!$C$130/12*((C7954-C7942-C7943+(C7942+C7943)/Pressupostos!$C$128*Pressupostos!$C$129)*(1+Pressupostos!$C$124+Pressupostos!$C$125)+C7940*Pressupostos!$C$126+C7973)+C7979+MAX(0,Pressupostos!$C$183*1000*(C7805+C7808)+Pressupostos!$C$184*1000*(C7828+C7831)-Pressupostos!$C$108)</f>
        <v>652596.666666667</v>
      </c>
      <c r="H8070" s="2" t="s">
        <v>1456</v>
      </c>
    </row>
    <row r="8071" customFormat="false" ht="15" hidden="false" customHeight="false" outlineLevel="1" collapsed="false">
      <c r="A8071" s="7" t="s">
        <v>798</v>
      </c>
      <c r="B8071" s="8" t="s">
        <v>11</v>
      </c>
      <c r="C8071" s="72" t="n">
        <f aca="false">C8052+Pressupostos!$C$108-C8038</f>
        <v>823616.839640411</v>
      </c>
      <c r="H8071" s="2" t="s">
        <v>1457</v>
      </c>
    </row>
    <row r="8072" customFormat="false" ht="15" hidden="false" customHeight="false" outlineLevel="1" collapsed="false">
      <c r="A8072" s="7" t="s">
        <v>799</v>
      </c>
      <c r="B8072" s="8" t="s">
        <v>11</v>
      </c>
      <c r="C8072" s="61" t="n">
        <f aca="false">Pressupostos!$F$32-C8052-Pressupostos!$C$108+C8039</f>
        <v>276383.160359589</v>
      </c>
      <c r="D8072" s="61" t="n">
        <f aca="false">Pressupostos!$F$32-C8052-Pressupostos!$C$108+D8039</f>
        <v>-483094.345291096</v>
      </c>
      <c r="E8072" s="61" t="n">
        <f aca="false">Pressupostos!$F$32-C8052-Pressupostos!$C$108+E8039</f>
        <v>-1276784.0528125</v>
      </c>
      <c r="F8072" s="61" t="n">
        <f aca="false">Pressupostos!$F$32-C8052-Pressupostos!$C$108+F8039</f>
        <v>-2089920.29669236</v>
      </c>
      <c r="G8072" s="61" t="n">
        <f aca="false">Pressupostos!$F$32-C8052-Pressupostos!$C$108+G8039</f>
        <v>-2813874.84343035</v>
      </c>
      <c r="H8072" s="2" t="s">
        <v>1458</v>
      </c>
    </row>
    <row r="8073" customFormat="false" ht="15" hidden="false" customHeight="false" outlineLevel="1" collapsed="false">
      <c r="A8073" s="7" t="s">
        <v>800</v>
      </c>
      <c r="B8073" s="8" t="s">
        <v>18</v>
      </c>
      <c r="C8073" s="77" t="str">
        <f aca="false">IF(AND(Pressupostos!$F$32-C8052-Pressupostos!$C$108&gt;0,C8072&lt;=0),12*(Pressupostos!$F$32-C8052-Pressupostos!$C$108)/(Pressupostos!$F$32-C8052-Pressupostos!$C$108-C8072),"")</f>
        <v/>
      </c>
      <c r="D8073" s="77" t="n">
        <f aca="false">IF(AND(C8072&gt;0,D8072&lt;=0),12+12*C8072/(C8072-D8072),"")</f>
        <v>16.3669468807685</v>
      </c>
      <c r="E8073" s="77" t="str">
        <f aca="false">IF(AND(D8072&gt;0,E8072&lt;=0),24+12*D8072/(D8072-E8072),"")</f>
        <v/>
      </c>
      <c r="F8073" s="77" t="str">
        <f aca="false">IF(AND(E8072&gt;0,F8072&lt;=0),36+12*E8072/(E8072-F8072),"")</f>
        <v/>
      </c>
      <c r="G8073" s="77" t="str">
        <f aca="false">IF(AND(F8072&gt;0,G8072&lt;=0),48+12*F8072/(F8072-G8072),"")</f>
        <v/>
      </c>
      <c r="H8073" s="2" t="s">
        <v>1459</v>
      </c>
    </row>
    <row r="8074" customFormat="false" ht="15" hidden="false" customHeight="false" outlineLevel="1" collapsed="false">
      <c r="A8074" s="56" t="s">
        <v>801</v>
      </c>
      <c r="B8074" s="57" t="s">
        <v>274</v>
      </c>
      <c r="C8074" s="78" t="n">
        <f aca="false">IF(COUNT($C$8073:$G$8073)=0,"&gt; 60",MIN($C$8073:$G$8073))</f>
        <v>16.3669468807685</v>
      </c>
      <c r="H8074" s="2" t="s">
        <v>1460</v>
      </c>
    </row>
    <row r="8075" customFormat="false" ht="15" hidden="false" customHeight="false" outlineLevel="0" collapsed="false">
      <c r="A8075" s="3" t="s">
        <v>1461</v>
      </c>
      <c r="B8075" s="4"/>
      <c r="C8075" s="4"/>
      <c r="D8075" s="4"/>
      <c r="E8075" s="4"/>
      <c r="F8075" s="4"/>
      <c r="G8075" s="4"/>
      <c r="H8075" s="4"/>
    </row>
    <row r="8076" customFormat="false" ht="15" hidden="false" customHeight="false" outlineLevel="1" collapsed="false">
      <c r="A8076" s="7" t="s">
        <v>803</v>
      </c>
      <c r="B8076" s="8" t="s">
        <v>18</v>
      </c>
      <c r="C8076" s="77" t="str">
        <f aca="false">IF(C7995&gt;=0,1,"")</f>
        <v/>
      </c>
      <c r="D8076" s="77" t="str">
        <f aca="false">IF(AND(C7995&lt;0,D7995&gt;=0),6.5+12*(-C7995)/(D7995-C7995),"")</f>
        <v/>
      </c>
      <c r="E8076" s="77" t="str">
        <f aca="false">IF(AND(D7995&lt;0,E7995&gt;=0),18.5+12*(-D7995)/(E7995-D7995),"")</f>
        <v/>
      </c>
      <c r="F8076" s="77" t="str">
        <f aca="false">IF(AND(E7995&lt;0,F7995&gt;=0),30.5+12*(-E7995)/(F7995-E7995),"")</f>
        <v/>
      </c>
      <c r="G8076" s="77" t="str">
        <f aca="false">IF(AND(F7995&lt;0,G7995&gt;=0),42.5+12*(-F7995)/(G7995-F7995),"")</f>
        <v/>
      </c>
      <c r="H8076" s="2" t="s">
        <v>1462</v>
      </c>
    </row>
    <row r="8077" customFormat="false" ht="15" hidden="false" customHeight="false" outlineLevel="1" collapsed="false">
      <c r="A8077" s="7" t="s">
        <v>804</v>
      </c>
      <c r="B8077" s="8" t="s">
        <v>18</v>
      </c>
      <c r="C8077" s="79" t="str">
        <f aca="false">IF(COUNT($C$8076:$G$8076)=0,"não atinge até 2031",ROUNDUP(MIN($C$8076:$G$8076),0))</f>
        <v>não atinge até 2031</v>
      </c>
      <c r="H8077" s="2" t="s">
        <v>1463</v>
      </c>
    </row>
    <row r="8078" customFormat="false" ht="15" hidden="false" customHeight="false" outlineLevel="1" collapsed="false">
      <c r="A8078" s="56" t="s">
        <v>805</v>
      </c>
      <c r="B8078" s="57" t="s">
        <v>806</v>
      </c>
      <c r="C8078" s="80" t="str">
        <f aca="false">IF(ISNUMBER(C8077),DATE(2027,C8077,1),"não atinge até 2031")</f>
        <v>não atinge até 2031</v>
      </c>
      <c r="H8078" s="2" t="s">
        <v>1464</v>
      </c>
    </row>
    <row r="8079" customFormat="false" ht="15" hidden="false" customHeight="false" outlineLevel="1" collapsed="false">
      <c r="A8079" s="7" t="s">
        <v>807</v>
      </c>
      <c r="B8079" s="8" t="s">
        <v>20</v>
      </c>
      <c r="C8079" s="81" t="str">
        <f aca="false">IF(C7995&gt;=0,C7784,"")</f>
        <v/>
      </c>
      <c r="D8079" s="81" t="str">
        <f aca="false">IF(D7995&gt;=0,D7784,"")</f>
        <v/>
      </c>
      <c r="E8079" s="81" t="str">
        <f aca="false">IF(E7995&gt;=0,E7784,"")</f>
        <v/>
      </c>
      <c r="F8079" s="81" t="str">
        <f aca="false">IF(F7995&gt;=0,F7784,"")</f>
        <v/>
      </c>
      <c r="G8079" s="81" t="str">
        <f aca="false">IF(G7995&gt;=0,G7784,"")</f>
        <v/>
      </c>
      <c r="H8079" s="2" t="s">
        <v>1465</v>
      </c>
    </row>
    <row r="8080" customFormat="false" ht="15" hidden="false" customHeight="false" outlineLevel="1" collapsed="false">
      <c r="A8080" s="7" t="s">
        <v>808</v>
      </c>
      <c r="B8080" s="8" t="s">
        <v>20</v>
      </c>
      <c r="C8080" s="75" t="str">
        <f aca="false">IF(COUNT($C$8079:$G$8079)=0,"não atinge até 2031",MIN($C$8079:$G$8079))</f>
        <v>não atinge até 2031</v>
      </c>
      <c r="H8080" s="2" t="s">
        <v>1466</v>
      </c>
    </row>
    <row r="8081" customFormat="false" ht="15" hidden="false" customHeight="false" outlineLevel="1" collapsed="false">
      <c r="A8081" s="7" t="s">
        <v>809</v>
      </c>
      <c r="B8081" s="8" t="s">
        <v>20</v>
      </c>
      <c r="C8081" s="81" t="str">
        <f aca="false">IF(C8013&gt;=0,C7784,"")</f>
        <v/>
      </c>
      <c r="D8081" s="81" t="str">
        <f aca="false">IF(D8013&gt;=0,D7784,"")</f>
        <v/>
      </c>
      <c r="E8081" s="81" t="str">
        <f aca="false">IF(E8013&gt;=0,E7784,"")</f>
        <v/>
      </c>
      <c r="F8081" s="81" t="str">
        <f aca="false">IF(F8013&gt;=0,F7784,"")</f>
        <v/>
      </c>
      <c r="G8081" s="81" t="str">
        <f aca="false">IF(G8013&gt;=0,G7784,"")</f>
        <v/>
      </c>
      <c r="H8081" s="2" t="s">
        <v>1467</v>
      </c>
    </row>
    <row r="8082" customFormat="false" ht="15" hidden="false" customHeight="false" outlineLevel="1" collapsed="false">
      <c r="A8082" s="7" t="s">
        <v>810</v>
      </c>
      <c r="B8082" s="8" t="s">
        <v>20</v>
      </c>
      <c r="C8082" s="75" t="str">
        <f aca="false">IF(COUNT($C$8081:$G$8081)=0,"não atinge até 2031",MIN($C$8081:$G$8081))</f>
        <v>não atinge até 2031</v>
      </c>
      <c r="H8082" s="2" t="s">
        <v>1468</v>
      </c>
    </row>
    <row r="8083" customFormat="false" ht="15" hidden="false" customHeight="false" outlineLevel="1" collapsed="false">
      <c r="A8083" s="7" t="s">
        <v>811</v>
      </c>
      <c r="B8083" s="8" t="s">
        <v>20</v>
      </c>
      <c r="C8083" s="81" t="str">
        <f aca="false">IF(C8038&gt;=0,C7784,"")</f>
        <v/>
      </c>
      <c r="D8083" s="81" t="str">
        <f aca="false">IF(D8038&gt;=0,D7784,"")</f>
        <v/>
      </c>
      <c r="E8083" s="81" t="str">
        <f aca="false">IF(E8038&gt;=0,E7784,"")</f>
        <v/>
      </c>
      <c r="F8083" s="81" t="str">
        <f aca="false">IF(F8038&gt;=0,F7784,"")</f>
        <v/>
      </c>
      <c r="G8083" s="81" t="str">
        <f aca="false">IF(G8038&gt;=0,G7784,"")</f>
        <v/>
      </c>
      <c r="H8083" s="2" t="s">
        <v>1469</v>
      </c>
    </row>
    <row r="8084" customFormat="false" ht="15" hidden="false" customHeight="false" outlineLevel="1" collapsed="false">
      <c r="A8084" s="7" t="s">
        <v>19</v>
      </c>
      <c r="B8084" s="8" t="s">
        <v>20</v>
      </c>
      <c r="C8084" s="75" t="str">
        <f aca="false">IF(COUNT($C$8083:$G$8083)=0,"não atinge até 2031",MIN($C$8083:$G$8083))</f>
        <v>não atinge até 2031</v>
      </c>
      <c r="H8084" s="2" t="s">
        <v>1470</v>
      </c>
    </row>
    <row r="8085" customFormat="false" ht="15" hidden="false" customHeight="false" outlineLevel="0" collapsed="false">
      <c r="A8085" s="3" t="s">
        <v>1471</v>
      </c>
      <c r="B8085" s="4"/>
      <c r="C8085" s="4"/>
      <c r="D8085" s="4"/>
      <c r="E8085" s="4"/>
      <c r="F8085" s="4"/>
      <c r="G8085" s="4"/>
      <c r="H8085" s="4"/>
    </row>
    <row r="8086" customFormat="false" ht="15" hidden="false" customHeight="false" outlineLevel="1" collapsed="false">
      <c r="A8086" s="7" t="s">
        <v>813</v>
      </c>
      <c r="B8086" s="8" t="s">
        <v>11</v>
      </c>
      <c r="C8086" s="61" t="n">
        <f aca="false">C8021</f>
        <v>0</v>
      </c>
      <c r="D8086" s="61" t="n">
        <f aca="false">D8021</f>
        <v>352738.726027397</v>
      </c>
      <c r="E8086" s="61" t="n">
        <f aca="false">E8021</f>
        <v>608391.739726027</v>
      </c>
      <c r="F8086" s="61" t="n">
        <f aca="false">F8021</f>
        <v>1031246.07534247</v>
      </c>
      <c r="G8086" s="61" t="n">
        <f aca="false">G8021</f>
        <v>1570960.94178082</v>
      </c>
      <c r="H8086" s="2" t="s">
        <v>1472</v>
      </c>
    </row>
    <row r="8087" customFormat="false" ht="15" hidden="false" customHeight="false" outlineLevel="1" collapsed="false">
      <c r="A8087" s="7" t="s">
        <v>509</v>
      </c>
      <c r="B8087" s="8" t="s">
        <v>76</v>
      </c>
      <c r="C8087" s="82" t="n">
        <f aca="false">Pressupostos!$C$290</f>
        <v>0.08</v>
      </c>
      <c r="D8087" s="82" t="n">
        <f aca="false">Pressupostos!$D$290</f>
        <v>0.08</v>
      </c>
      <c r="E8087" s="82" t="n">
        <f aca="false">Pressupostos!$E$290</f>
        <v>0.075</v>
      </c>
      <c r="F8087" s="82" t="n">
        <f aca="false">Pressupostos!$F$290</f>
        <v>0.07</v>
      </c>
      <c r="G8087" s="82" t="n">
        <f aca="false">Pressupostos!$G$290</f>
        <v>0.07</v>
      </c>
      <c r="H8087" s="2" t="s">
        <v>1473</v>
      </c>
    </row>
    <row r="8088" customFormat="false" ht="15" hidden="false" customHeight="false" outlineLevel="1" collapsed="false">
      <c r="A8088" s="7" t="s">
        <v>814</v>
      </c>
      <c r="B8088" s="8" t="s">
        <v>76</v>
      </c>
      <c r="C8088" s="60" t="n">
        <f aca="false">Pressupostos!$C$290*(1-Pressupostos!$C$111)</f>
        <v>0.0576</v>
      </c>
      <c r="D8088" s="60" t="n">
        <f aca="false">Pressupostos!$D$290*(1-Pressupostos!$C$111)</f>
        <v>0.0576</v>
      </c>
      <c r="E8088" s="60" t="n">
        <f aca="false">Pressupostos!$E$290*(1-Pressupostos!$C$111)</f>
        <v>0.054</v>
      </c>
      <c r="F8088" s="60" t="n">
        <f aca="false">Pressupostos!$F$290*(1-Pressupostos!$C$111)</f>
        <v>0.0504</v>
      </c>
      <c r="G8088" s="60" t="n">
        <f aca="false">Pressupostos!$G$290*(1-Pressupostos!$C$111)</f>
        <v>0.0504</v>
      </c>
      <c r="H8088" s="2" t="s">
        <v>1474</v>
      </c>
    </row>
    <row r="8089" customFormat="false" ht="15" hidden="false" customHeight="false" outlineLevel="1" collapsed="false">
      <c r="A8089" s="7" t="s">
        <v>815</v>
      </c>
      <c r="B8089" s="8" t="s">
        <v>11</v>
      </c>
      <c r="C8089" s="61" t="n">
        <f aca="false">C7925</f>
        <v>0</v>
      </c>
      <c r="D8089" s="61" t="n">
        <f aca="false">D7925</f>
        <v>25829.0136986301</v>
      </c>
      <c r="E8089" s="61" t="n">
        <f aca="false">E7925</f>
        <v>40900.3189212329</v>
      </c>
      <c r="F8089" s="61" t="n">
        <f aca="false">F7925</f>
        <v>64714.8621575343</v>
      </c>
      <c r="G8089" s="61" t="n">
        <f aca="false">G7925</f>
        <v>98712.0462328767</v>
      </c>
      <c r="H8089" s="2" t="s">
        <v>1475</v>
      </c>
    </row>
    <row r="8090" customFormat="false" ht="15" hidden="false" customHeight="false" outlineLevel="1" collapsed="false">
      <c r="A8090" s="7" t="s">
        <v>816</v>
      </c>
      <c r="B8090" s="8" t="s">
        <v>76</v>
      </c>
      <c r="C8090" s="59" t="n">
        <f aca="false">IF(C8021&gt;0,(C8024+C8026)/C8021,0)</f>
        <v>0</v>
      </c>
      <c r="D8090" s="59" t="n">
        <f aca="false">IF(D8021&gt;0,(D8024+D8026)/D8021,0)</f>
        <v>0.138888888888889</v>
      </c>
      <c r="E8090" s="59" t="n">
        <f aca="false">IF(E8021&gt;0,(E8024+E8026)/E8021,0)</f>
        <v>0.138888888888889</v>
      </c>
      <c r="F8090" s="59" t="n">
        <f aca="false">IF(F8021&gt;0,(F8024+F8026)/F8021,0)</f>
        <v>0.138888888888889</v>
      </c>
      <c r="G8090" s="59" t="n">
        <f aca="false">IF(G8021&gt;0,(G8024+G8026)/G8021,0)</f>
        <v>0.138888888888889</v>
      </c>
      <c r="H8090" s="2" t="s">
        <v>1476</v>
      </c>
    </row>
    <row r="8091" customFormat="false" ht="15" hidden="false" customHeight="false" outlineLevel="1" collapsed="false">
      <c r="A8091" s="7" t="s">
        <v>817</v>
      </c>
      <c r="B8091" s="8" t="s">
        <v>123</v>
      </c>
      <c r="C8091" s="61" t="n">
        <f aca="false">C8027</f>
        <v>0</v>
      </c>
      <c r="D8091" s="61" t="n">
        <f aca="false">D8027</f>
        <v>7.05477452054795</v>
      </c>
      <c r="E8091" s="61" t="n">
        <f aca="false">E8027</f>
        <v>12.1678347945205</v>
      </c>
      <c r="F8091" s="61" t="n">
        <f aca="false">F8027</f>
        <v>20.6249215068493</v>
      </c>
      <c r="G8091" s="61" t="n">
        <f aca="false">G8027</f>
        <v>31.4192188356164</v>
      </c>
      <c r="H8091" s="2" t="s">
        <v>1477</v>
      </c>
    </row>
    <row r="8092" customFormat="false" ht="15" hidden="false" customHeight="false" outlineLevel="1" collapsed="false">
      <c r="A8092" s="7" t="s">
        <v>818</v>
      </c>
      <c r="B8092" s="8" t="s">
        <v>11</v>
      </c>
      <c r="C8092" s="61" t="n">
        <f aca="false">C7925+C7971</f>
        <v>65000</v>
      </c>
      <c r="D8092" s="61" t="n">
        <f aca="false">D7925+D7971</f>
        <v>100829.01369863</v>
      </c>
      <c r="E8092" s="61" t="n">
        <f aca="false">E7925+E7971</f>
        <v>120900.318921233</v>
      </c>
      <c r="F8092" s="61" t="n">
        <f aca="false">F7925+F7971</f>
        <v>149714.862157534</v>
      </c>
      <c r="G8092" s="61" t="n">
        <f aca="false">G7925+G7971</f>
        <v>188712.046232877</v>
      </c>
      <c r="H8092" s="2" t="s">
        <v>1478</v>
      </c>
    </row>
    <row r="8093" customFormat="false" ht="15" hidden="false" customHeight="false" outlineLevel="1" collapsed="false">
      <c r="A8093" s="7" t="s">
        <v>819</v>
      </c>
      <c r="B8093" s="8" t="s">
        <v>76</v>
      </c>
      <c r="C8093" s="59" t="str">
        <f aca="false">IF(C8021&gt;0,C8092/C8021,"")</f>
        <v/>
      </c>
      <c r="D8093" s="59" t="n">
        <f aca="false">IF(D8021&gt;0,D8092/D8021,"")</f>
        <v>0.285846169583316</v>
      </c>
      <c r="E8093" s="59" t="n">
        <f aca="false">IF(E8021&gt;0,E8092/E8021,"")</f>
        <v>0.198721170960797</v>
      </c>
      <c r="F8093" s="59" t="n">
        <f aca="false">IF(F8021&gt;0,F8092/F8021,"")</f>
        <v>0.145178600663101</v>
      </c>
      <c r="G8093" s="59" t="n">
        <f aca="false">IF(G8021&gt;0,G8092/G8021,"")</f>
        <v>0.120125231133344</v>
      </c>
      <c r="H8093" s="2" t="s">
        <v>1479</v>
      </c>
    </row>
    <row r="8094" customFormat="false" ht="15" hidden="false" customHeight="false" outlineLevel="0" collapsed="false">
      <c r="A8094" s="3" t="s">
        <v>1480</v>
      </c>
      <c r="B8094" s="4"/>
      <c r="C8094" s="4"/>
      <c r="D8094" s="4"/>
      <c r="E8094" s="4"/>
      <c r="F8094" s="4"/>
      <c r="G8094" s="4"/>
      <c r="H8094" s="4"/>
    </row>
    <row r="8095" customFormat="false" ht="15" hidden="false" customHeight="false" outlineLevel="1" collapsed="false">
      <c r="A8095" s="7" t="s">
        <v>821</v>
      </c>
      <c r="B8095" s="8" t="s">
        <v>11</v>
      </c>
      <c r="C8095" s="61" t="n">
        <f aca="false">MAX(0,-C7995)</f>
        <v>586332.91635274</v>
      </c>
      <c r="D8095" s="61" t="n">
        <f aca="false">MAX(0,-D7995)</f>
        <v>699124.492636987</v>
      </c>
      <c r="E8095" s="61" t="n">
        <f aca="false">MAX(0,-E7995)</f>
        <v>732827.791083048</v>
      </c>
      <c r="F8095" s="61" t="n">
        <f aca="false">MAX(0,-F7995)</f>
        <v>717406.475044239</v>
      </c>
      <c r="G8095" s="61" t="n">
        <f aca="false">MAX(0,-G7995)</f>
        <v>614994.148621553</v>
      </c>
      <c r="H8095" s="2" t="s">
        <v>1481</v>
      </c>
    </row>
    <row r="8096" customFormat="false" ht="15" hidden="false" customHeight="false" outlineLevel="1" collapsed="false">
      <c r="A8096" s="2" t="s">
        <v>822</v>
      </c>
      <c r="B8096" s="8"/>
      <c r="C8096" s="61" t="n">
        <f aca="false">IF(AND(C7784&gt;=Pressupostos!$C$120,Pressupostos!$C$118*(C7878+C7879)+Pressupostos!$C$119*C7880&gt;Pressupostos!$C$302),1,0)</f>
        <v>0</v>
      </c>
      <c r="D8096" s="61" t="n">
        <f aca="false">IF(AND(D7784&gt;=Pressupostos!$C$120,Pressupostos!$C$118*(D7878+D7879)+Pressupostos!$C$119*D7880&gt;Pressupostos!$D$302),1,0)</f>
        <v>1</v>
      </c>
      <c r="E8096" s="61" t="n">
        <f aca="false">IF(AND(E7784&gt;=Pressupostos!$C$120,Pressupostos!$C$118*(E7878+E7879)+Pressupostos!$C$119*E7880&gt;Pressupostos!$E$302),1,0)</f>
        <v>1</v>
      </c>
      <c r="F8096" s="61" t="n">
        <f aca="false">IF(AND(F7784&gt;=Pressupostos!$C$120,Pressupostos!$C$118*(F7878+F7879)+Pressupostos!$C$119*F7880&gt;Pressupostos!$F$302),1,0)</f>
        <v>1</v>
      </c>
      <c r="G8096" s="61" t="n">
        <f aca="false">IF(AND(G7784&gt;=Pressupostos!$C$120,Pressupostos!$C$118*(G7878+G7879)+Pressupostos!$C$119*G7880&gt;Pressupostos!$G$302),1,0)</f>
        <v>1</v>
      </c>
      <c r="H8096" s="2" t="s">
        <v>1482</v>
      </c>
    </row>
    <row r="8097" customFormat="false" ht="15" hidden="false" customHeight="false" outlineLevel="1" collapsed="false">
      <c r="A8097" s="7" t="s">
        <v>823</v>
      </c>
      <c r="B8097" s="8" t="s">
        <v>64</v>
      </c>
      <c r="C8097" s="63" t="n">
        <f aca="false">IF(C7788&gt;0,C8095/(C7788*1000*(1-Pressupostos!$F$22)*(1-Pressupostos!$F$25-C8096*Pressupostos!$C$118)),"n/a")</f>
        <v>11.309561691859</v>
      </c>
      <c r="D8097" s="63" t="n">
        <f aca="false">IF(D7788&gt;0,D8095/(D7788*1000*(1-Pressupostos!$F$22)*(1-Pressupostos!$F$25-D8096*Pressupostos!$C$118)),"n/a")</f>
        <v>1.93953956659977</v>
      </c>
      <c r="E8097" s="63" t="n">
        <f aca="false">IF(E7788&gt;0,E8095/(E7788*1000*(1-Pressupostos!$F$22)*(1-Pressupostos!$F$25-E8096*Pressupostos!$C$118)),"n/a")</f>
        <v>1.02927998230718</v>
      </c>
      <c r="F8097" s="63" t="n">
        <f aca="false">IF(F7788&gt;0,F8095/(F7788*1000*(1-Pressupostos!$F$22)*(1-Pressupostos!$F$25-F8096*Pressupostos!$C$118)),"n/a")</f>
        <v>0.610704751556959</v>
      </c>
      <c r="G8097" s="63" t="n">
        <f aca="false">IF(G7788&gt;0,G8095/(G7788*1000*(1-Pressupostos!$F$22)*(1-Pressupostos!$F$25-G8096*Pressupostos!$C$118)),"n/a")</f>
        <v>0.345994108829715</v>
      </c>
      <c r="H8097" s="2" t="s">
        <v>1483</v>
      </c>
    </row>
    <row r="8098" customFormat="false" ht="15" hidden="false" customHeight="false" outlineLevel="1" collapsed="false">
      <c r="A8098" s="7" t="s">
        <v>824</v>
      </c>
      <c r="B8098" s="8" t="s">
        <v>64</v>
      </c>
      <c r="C8098" s="63" t="n">
        <f aca="false">IF(C7787&gt;0,Pressupostos!$F$15+C8095/(C7787*1000*(1-Pressupostos!$F$16)*(1-Pressupostos!$F$18-C8096*Pressupostos!$C$118)),"n/a")</f>
        <v>85.9284755078901</v>
      </c>
      <c r="D8098" s="63" t="n">
        <f aca="false">IF(D7787&gt;0,Pressupostos!$F$15+D8095/(D7787*1000*(1-Pressupostos!$F$16)*(1-Pressupostos!$F$18-D8096*Pressupostos!$C$118)),"n/a")</f>
        <v>31.5171221752114</v>
      </c>
      <c r="E8098" s="63" t="n">
        <f aca="false">IF(E7787&gt;0,Pressupostos!$F$15+E8095/(E7787*1000*(1-Pressupostos!$F$16)*(1-Pressupostos!$F$18-E8096*Pressupostos!$C$118)),"n/a")</f>
        <v>16.0302180488222</v>
      </c>
      <c r="F8098" s="63" t="n">
        <f aca="false">IF(F7787&gt;0,Pressupostos!$F$15+F8095/(F7787*1000*(1-Pressupostos!$F$16)*(1-Pressupostos!$F$18-F8096*Pressupostos!$C$118)),"n/a")</f>
        <v>11.6109408060023</v>
      </c>
      <c r="G8098" s="63" t="n">
        <f aca="false">IF(G7787&gt;0,Pressupostos!$F$15+G8095/(G7787*1000*(1-Pressupostos!$F$16)*(1-Pressupostos!$F$18-G8096*Pressupostos!$C$118)),"n/a")</f>
        <v>9.36697133186364</v>
      </c>
      <c r="H8098" s="2" t="s">
        <v>1484</v>
      </c>
    </row>
    <row r="8099" customFormat="false" ht="15" hidden="false" customHeight="false" outlineLevel="1" collapsed="false">
      <c r="A8099" s="7" t="s">
        <v>825</v>
      </c>
      <c r="B8099" s="8" t="s">
        <v>64</v>
      </c>
      <c r="C8099" s="63" t="n">
        <f aca="false">IF(Pressupostos!$F$33=1,C7870-C8096*Pressupostos!$C$119*C7853,C7876)</f>
        <v>0.00725</v>
      </c>
      <c r="D8099" s="63" t="n">
        <f aca="false">IF(Pressupostos!$F$33=1,D7870-D8096*Pressupostos!$C$119*D7853,D7876)</f>
        <v>0.00725</v>
      </c>
      <c r="E8099" s="63" t="n">
        <f aca="false">IF(Pressupostos!$F$33=1,E7870-E8096*Pressupostos!$C$119*E7853,E7876)</f>
        <v>0.00725</v>
      </c>
      <c r="F8099" s="63" t="n">
        <f aca="false">IF(Pressupostos!$F$33=1,F7870-F8096*Pressupostos!$C$119*F7853,F7876)</f>
        <v>0.00725</v>
      </c>
      <c r="G8099" s="63" t="n">
        <f aca="false">IF(Pressupostos!$F$33=1,G7870-G8096*Pressupostos!$C$119*G7853,G7876)</f>
        <v>0.00725</v>
      </c>
      <c r="H8099" s="2" t="s">
        <v>1485</v>
      </c>
    </row>
    <row r="8100" customFormat="false" ht="15" hidden="false" customHeight="false" outlineLevel="1" collapsed="false">
      <c r="A8100" s="7" t="s">
        <v>826</v>
      </c>
      <c r="B8100" s="8" t="s">
        <v>120</v>
      </c>
      <c r="C8100" s="55" t="n">
        <f aca="false">IF(C8099&gt;0,C7789+C8095/(C8099*1000),"n/a")</f>
        <v>80873.5057038262</v>
      </c>
      <c r="D8100" s="55" t="n">
        <f aca="false">IF(D8099&gt;0,D7789+D8095/(D8099*1000),"n/a")</f>
        <v>96930.9645016534</v>
      </c>
      <c r="E8100" s="55" t="n">
        <f aca="false">IF(E8099&gt;0,E7789+E8095/(E8099*1000),"n/a")</f>
        <v>102579.6953218</v>
      </c>
      <c r="F8100" s="55" t="n">
        <f aca="false">IF(F8099&gt;0,F7789+F8095/(F8099*1000),"n/a")</f>
        <v>101452.617247481</v>
      </c>
      <c r="G8100" s="55" t="n">
        <f aca="false">IF(G8099&gt;0,G7789+G8095/(G8099*1000),"n/a")</f>
        <v>88326.7791202143</v>
      </c>
      <c r="H8100" s="2" t="s">
        <v>1486</v>
      </c>
    </row>
    <row r="8101" customFormat="false" ht="15" hidden="false" customHeight="false" outlineLevel="1" collapsed="false">
      <c r="A8101" s="7" t="s">
        <v>827</v>
      </c>
      <c r="B8101" s="8" t="s">
        <v>76</v>
      </c>
      <c r="C8101" s="59" t="n">
        <f aca="false">C8095/(C7957+C7970+C7971)</f>
        <v>0.974504132631807</v>
      </c>
      <c r="D8101" s="59" t="n">
        <f aca="false">D8095/(D7957+D7970+D7971)</f>
        <v>0.907649381961547</v>
      </c>
      <c r="E8101" s="59" t="n">
        <f aca="false">E8095/(E7957+E7970+E7971)</f>
        <v>0.79490311445411</v>
      </c>
      <c r="F8101" s="59" t="n">
        <f aca="false">F8095/(F7957+F7970+F7971)</f>
        <v>0.669398980089361</v>
      </c>
      <c r="G8101" s="59" t="n">
        <f aca="false">G8095/(G7957+G7970+G7971)</f>
        <v>0.522911492582288</v>
      </c>
      <c r="H8101" s="2" t="s">
        <v>1487</v>
      </c>
    </row>
    <row r="8102" customFormat="false" ht="15" hidden="false" customHeight="false" outlineLevel="1" collapsed="false">
      <c r="A8102" s="2" t="s">
        <v>828</v>
      </c>
      <c r="B8102" s="8" t="s">
        <v>76</v>
      </c>
      <c r="C8102" s="60" t="n">
        <f aca="false">Pressupostos!$C$101*Pressupostos!$C$102+Pressupostos!$C$103-Pressupostos!$F$30*Pressupostos!$C$104*Pressupostos!$C$102/(Pressupostos!$C$105*Pressupostos!$C$106)</f>
        <v>0.02</v>
      </c>
      <c r="D8102" s="60" t="n">
        <f aca="false">Pressupostos!$C$101*Pressupostos!$C$102+Pressupostos!$C$103-Pressupostos!$F$30*Pressupostos!$C$104*Pressupostos!$C$102/(Pressupostos!$C$105*Pressupostos!$C$106)</f>
        <v>0.02</v>
      </c>
      <c r="E8102" s="60" t="n">
        <f aca="false">Pressupostos!$C$101*Pressupostos!$C$102+Pressupostos!$C$103-Pressupostos!$F$30*Pressupostos!$C$104*Pressupostos!$C$102/(Pressupostos!$C$105*Pressupostos!$C$106)</f>
        <v>0.02</v>
      </c>
      <c r="F8102" s="60" t="n">
        <f aca="false">Pressupostos!$C$101*Pressupostos!$C$102+Pressupostos!$C$103-Pressupostos!$F$30*Pressupostos!$C$104*Pressupostos!$C$102/(Pressupostos!$C$105*Pressupostos!$C$106)</f>
        <v>0.02</v>
      </c>
      <c r="G8102" s="60" t="n">
        <f aca="false">Pressupostos!$C$101*Pressupostos!$C$102+Pressupostos!$C$103-Pressupostos!$F$30*Pressupostos!$C$104*Pressupostos!$C$102/(Pressupostos!$C$105*Pressupostos!$C$106)</f>
        <v>0.02</v>
      </c>
      <c r="H8102" s="2" t="s">
        <v>1488</v>
      </c>
    </row>
    <row r="8103" customFormat="false" ht="15" hidden="false" customHeight="false" outlineLevel="1" collapsed="false">
      <c r="A8103" s="7" t="s">
        <v>829</v>
      </c>
      <c r="B8103" s="8" t="s">
        <v>11</v>
      </c>
      <c r="C8103" s="61" t="n">
        <f aca="false">IF(C8102&gt;0,C7802+C8095/C8102,"n/a")</f>
        <v>29316645.817637</v>
      </c>
      <c r="D8103" s="61" t="n">
        <f aca="false">IF(D8102&gt;0,D7802+D8095/D8102,"n/a")</f>
        <v>35456224.6318493</v>
      </c>
      <c r="E8103" s="61" t="n">
        <f aca="false">IF(E8102&gt;0,E7802+E8095/E8102,"n/a")</f>
        <v>38141389.5541524</v>
      </c>
      <c r="F8103" s="61" t="n">
        <f aca="false">IF(F8102&gt;0,F7802+F8095/F8102,"n/a")</f>
        <v>38870323.7522119</v>
      </c>
      <c r="G8103" s="61" t="n">
        <f aca="false">IF(G8102&gt;0,G7802+G8095/G8102,"n/a")</f>
        <v>35749707.4310777</v>
      </c>
      <c r="H8103" s="2" t="s">
        <v>1489</v>
      </c>
    </row>
    <row r="8106" customFormat="false" ht="15" hidden="false" customHeight="false" outlineLevel="0" collapsed="false">
      <c r="A8106" s="111" t="s">
        <v>1514</v>
      </c>
      <c r="B8106" s="112"/>
      <c r="C8106" s="112"/>
      <c r="D8106" s="112"/>
      <c r="E8106" s="112"/>
      <c r="F8106" s="112"/>
      <c r="G8106" s="112"/>
      <c r="H8106" s="112"/>
    </row>
    <row r="8107" customFormat="false" ht="15" hidden="false" customHeight="false" outlineLevel="0" collapsed="false">
      <c r="A8107" s="3" t="s">
        <v>1170</v>
      </c>
      <c r="B8107" s="4"/>
      <c r="C8107" s="4"/>
      <c r="D8107" s="4"/>
      <c r="E8107" s="4"/>
      <c r="F8107" s="4"/>
      <c r="G8107" s="4"/>
      <c r="H8107" s="4"/>
    </row>
    <row r="8108" customFormat="false" ht="15" hidden="false" customHeight="false" outlineLevel="1" collapsed="false">
      <c r="A8108" s="7" t="s">
        <v>588</v>
      </c>
      <c r="B8108" s="8"/>
      <c r="C8108" s="52" t="n">
        <v>2027</v>
      </c>
      <c r="D8108" s="52" t="n">
        <v>2028</v>
      </c>
      <c r="E8108" s="52" t="n">
        <v>2029</v>
      </c>
      <c r="F8108" s="52" t="n">
        <v>2030</v>
      </c>
      <c r="G8108" s="52" t="n">
        <v>2031</v>
      </c>
      <c r="H8108" s="2" t="s">
        <v>20</v>
      </c>
    </row>
    <row r="8109" customFormat="false" ht="15" hidden="false" customHeight="false" outlineLevel="0" collapsed="false">
      <c r="A8109" s="3" t="s">
        <v>1171</v>
      </c>
      <c r="B8109" s="4"/>
      <c r="C8109" s="4"/>
      <c r="D8109" s="4"/>
      <c r="E8109" s="4"/>
      <c r="F8109" s="4"/>
      <c r="G8109" s="4"/>
      <c r="H8109" s="4"/>
    </row>
    <row r="8110" customFormat="false" ht="15" hidden="false" customHeight="false" outlineLevel="1" collapsed="false">
      <c r="A8110" s="7" t="s">
        <v>387</v>
      </c>
      <c r="B8110" s="8" t="s">
        <v>123</v>
      </c>
      <c r="C8110" s="53" t="n">
        <f aca="false">Pressupostos!$C$215</f>
        <v>40</v>
      </c>
      <c r="D8110" s="53" t="n">
        <f aca="false">Pressupostos!$D$215</f>
        <v>150</v>
      </c>
      <c r="E8110" s="53" t="n">
        <f aca="false">Pressupostos!$E$215</f>
        <v>400</v>
      </c>
      <c r="F8110" s="53" t="n">
        <f aca="false">Pressupostos!$F$215</f>
        <v>700</v>
      </c>
      <c r="G8110" s="53" t="n">
        <f aca="false">Pressupostos!$G$215</f>
        <v>1000</v>
      </c>
      <c r="H8110" s="2" t="s">
        <v>1172</v>
      </c>
    </row>
    <row r="8111" customFormat="false" ht="15" hidden="false" customHeight="false" outlineLevel="1" collapsed="false">
      <c r="A8111" s="7" t="s">
        <v>590</v>
      </c>
      <c r="B8111" s="8" t="s">
        <v>120</v>
      </c>
      <c r="C8111" s="54" t="n">
        <f aca="false">Pressupostos!$C$221</f>
        <v>8.2</v>
      </c>
      <c r="D8111" s="54" t="n">
        <f aca="false">Pressupostos!$D$221</f>
        <v>30.75</v>
      </c>
      <c r="E8111" s="54" t="n">
        <f aca="false">Pressupostos!$E$221</f>
        <v>82</v>
      </c>
      <c r="F8111" s="54" t="n">
        <f aca="false">Pressupostos!$F$221</f>
        <v>143.5</v>
      </c>
      <c r="G8111" s="54" t="n">
        <f aca="false">Pressupostos!$G$221</f>
        <v>205</v>
      </c>
      <c r="H8111" s="2" t="s">
        <v>1173</v>
      </c>
    </row>
    <row r="8112" customFormat="false" ht="15" hidden="false" customHeight="false" outlineLevel="1" collapsed="false">
      <c r="A8112" s="7" t="s">
        <v>591</v>
      </c>
      <c r="B8112" s="8" t="s">
        <v>120</v>
      </c>
      <c r="C8112" s="54" t="n">
        <f aca="false">Pressupostos!$C$227</f>
        <v>52</v>
      </c>
      <c r="D8112" s="54" t="n">
        <f aca="false">Pressupostos!$D$227</f>
        <v>363</v>
      </c>
      <c r="E8112" s="54" t="n">
        <f aca="false">Pressupostos!$E$227</f>
        <v>717</v>
      </c>
      <c r="F8112" s="54" t="n">
        <f aca="false">Pressupostos!$F$227</f>
        <v>1183</v>
      </c>
      <c r="G8112" s="54" t="n">
        <f aca="false">Pressupostos!$G$227</f>
        <v>1790</v>
      </c>
      <c r="H8112" s="2" t="s">
        <v>1174</v>
      </c>
    </row>
    <row r="8113" customFormat="false" ht="15" hidden="false" customHeight="false" outlineLevel="1" collapsed="false">
      <c r="A8113" s="7" t="s">
        <v>398</v>
      </c>
      <c r="B8113" s="8" t="s">
        <v>120</v>
      </c>
      <c r="C8113" s="54" t="n">
        <f aca="false">Pressupostos!$C$233</f>
        <v>0</v>
      </c>
      <c r="D8113" s="54" t="n">
        <f aca="false">Pressupostos!$D$233</f>
        <v>500</v>
      </c>
      <c r="E8113" s="54" t="n">
        <f aca="false">Pressupostos!$E$233</f>
        <v>1500</v>
      </c>
      <c r="F8113" s="54" t="n">
        <f aca="false">Pressupostos!$F$233</f>
        <v>2500</v>
      </c>
      <c r="G8113" s="54" t="n">
        <f aca="false">Pressupostos!$G$233</f>
        <v>3500</v>
      </c>
      <c r="H8113" s="2" t="s">
        <v>1175</v>
      </c>
    </row>
    <row r="8114" customFormat="false" ht="15" hidden="false" customHeight="false" outlineLevel="1" collapsed="false">
      <c r="A8114" s="7" t="s">
        <v>592</v>
      </c>
      <c r="B8114" s="8" t="s">
        <v>120</v>
      </c>
      <c r="C8114" s="55" t="n">
        <f aca="false">C8113*Pressupostos!$F$33</f>
        <v>0</v>
      </c>
      <c r="D8114" s="55" t="n">
        <f aca="false">D8113*Pressupostos!$F$33</f>
        <v>0</v>
      </c>
      <c r="E8114" s="55" t="n">
        <f aca="false">E8113*Pressupostos!$F$33</f>
        <v>0</v>
      </c>
      <c r="F8114" s="55" t="n">
        <f aca="false">F8113*Pressupostos!$F$33</f>
        <v>0</v>
      </c>
      <c r="G8114" s="55" t="n">
        <f aca="false">G8113*Pressupostos!$F$33</f>
        <v>0</v>
      </c>
      <c r="H8114" s="2" t="s">
        <v>1176</v>
      </c>
    </row>
    <row r="8115" customFormat="false" ht="15" hidden="false" customHeight="false" outlineLevel="1" collapsed="false">
      <c r="A8115" s="7" t="s">
        <v>593</v>
      </c>
      <c r="B8115" s="8" t="s">
        <v>120</v>
      </c>
      <c r="C8115" s="55" t="n">
        <f aca="false">C8113-C8114</f>
        <v>0</v>
      </c>
      <c r="D8115" s="55" t="n">
        <f aca="false">D8113-D8114</f>
        <v>500</v>
      </c>
      <c r="E8115" s="55" t="n">
        <f aca="false">E8113-E8114</f>
        <v>1500</v>
      </c>
      <c r="F8115" s="55" t="n">
        <f aca="false">F8113-F8114</f>
        <v>2500</v>
      </c>
      <c r="G8115" s="55" t="n">
        <f aca="false">G8113-G8114</f>
        <v>3500</v>
      </c>
      <c r="H8115" s="2" t="s">
        <v>1177</v>
      </c>
    </row>
    <row r="8116" customFormat="false" ht="15" hidden="false" customHeight="false" outlineLevel="1" collapsed="false">
      <c r="A8116" s="56" t="s">
        <v>594</v>
      </c>
      <c r="B8116" s="57" t="s">
        <v>120</v>
      </c>
      <c r="C8116" s="58" t="n">
        <f aca="false">C8111+C8112+C8113</f>
        <v>60.2</v>
      </c>
      <c r="D8116" s="58" t="n">
        <f aca="false">D8111+D8112+D8113</f>
        <v>893.75</v>
      </c>
      <c r="E8116" s="58" t="n">
        <f aca="false">E8111+E8112+E8113</f>
        <v>2299</v>
      </c>
      <c r="F8116" s="58" t="n">
        <f aca="false">F8111+F8112+F8113</f>
        <v>3826.5</v>
      </c>
      <c r="G8116" s="58" t="n">
        <f aca="false">G8111+G8112+G8113</f>
        <v>5495</v>
      </c>
      <c r="H8116" s="2" t="s">
        <v>1178</v>
      </c>
    </row>
    <row r="8117" customFormat="false" ht="15" hidden="false" customHeight="false" outlineLevel="1" collapsed="false">
      <c r="A8117" s="7" t="s">
        <v>595</v>
      </c>
      <c r="B8117" s="8" t="s">
        <v>76</v>
      </c>
      <c r="C8117" s="59" t="n">
        <f aca="false">IF(C8116&gt;0,C8111/C8116,0)</f>
        <v>0.136212624584718</v>
      </c>
      <c r="D8117" s="59" t="n">
        <f aca="false">IF(D8116&gt;0,D8111/D8116,0)</f>
        <v>0.0344055944055944</v>
      </c>
      <c r="E8117" s="59" t="n">
        <f aca="false">IF(E8116&gt;0,E8111/E8116,0)</f>
        <v>0.035667681600696</v>
      </c>
      <c r="F8117" s="59" t="n">
        <f aca="false">IF(F8116&gt;0,F8111/F8116,0)</f>
        <v>0.0375016333464001</v>
      </c>
      <c r="G8117" s="59" t="n">
        <f aca="false">IF(G8116&gt;0,G8111/G8116,0)</f>
        <v>0.0373066424021838</v>
      </c>
      <c r="H8117" s="2" t="s">
        <v>1179</v>
      </c>
    </row>
    <row r="8118" customFormat="false" ht="15" hidden="false" customHeight="false" outlineLevel="1" collapsed="false">
      <c r="A8118" s="7" t="s">
        <v>596</v>
      </c>
      <c r="B8118" s="8" t="s">
        <v>76</v>
      </c>
      <c r="C8118" s="60" t="n">
        <f aca="false">C8116/(Pressupostos!$C$76*1000)</f>
        <v>0.000355162241887906</v>
      </c>
      <c r="D8118" s="60" t="n">
        <f aca="false">D8116/(Pressupostos!$C$76*1000)</f>
        <v>0.00527286135693215</v>
      </c>
      <c r="E8118" s="60" t="n">
        <f aca="false">E8116/(Pressupostos!$C$76*1000)</f>
        <v>0.0135634218289086</v>
      </c>
      <c r="F8118" s="60" t="n">
        <f aca="false">F8116/(Pressupostos!$C$76*1000)</f>
        <v>0.0225752212389381</v>
      </c>
      <c r="G8118" s="60" t="n">
        <f aca="false">G8116/(Pressupostos!$C$76*1000)</f>
        <v>0.0324188790560472</v>
      </c>
      <c r="H8118" s="2" t="s">
        <v>1180</v>
      </c>
    </row>
    <row r="8119" customFormat="false" ht="15" hidden="false" customHeight="false" outlineLevel="1" collapsed="false">
      <c r="A8119" s="7" t="s">
        <v>597</v>
      </c>
      <c r="B8119" s="8" t="s">
        <v>123</v>
      </c>
      <c r="C8119" s="55" t="n">
        <f aca="false">C8111/Pressupostos!$C$40+C8112/Pressupostos!$C$47+C8113/Pressupostos!$C$59</f>
        <v>2.14333333333333</v>
      </c>
      <c r="D8119" s="55" t="n">
        <f aca="false">D8111/Pressupostos!$C$40+D8112/Pressupostos!$C$47+D8113/Pressupostos!$C$59</f>
        <v>18.6375</v>
      </c>
      <c r="E8119" s="55" t="n">
        <f aca="false">E8111/Pressupostos!$C$40+E8112/Pressupostos!$C$47+E8113/Pressupostos!$C$59</f>
        <v>43</v>
      </c>
      <c r="F8119" s="55" t="n">
        <f aca="false">F8111/Pressupostos!$C$40+F8112/Pressupostos!$C$47+F8113/Pressupostos!$C$59</f>
        <v>71.6083333333333</v>
      </c>
      <c r="G8119" s="55" t="n">
        <f aca="false">G8111/Pressupostos!$C$40+G8112/Pressupostos!$C$47+G8113/Pressupostos!$C$59</f>
        <v>104.916666666667</v>
      </c>
      <c r="H8119" s="2" t="s">
        <v>1181</v>
      </c>
    </row>
    <row r="8120" customFormat="false" ht="15" hidden="false" customHeight="false" outlineLevel="0" collapsed="false">
      <c r="A8120" s="3" t="s">
        <v>1182</v>
      </c>
      <c r="B8120" s="4"/>
      <c r="C8120" s="4"/>
      <c r="D8120" s="4"/>
      <c r="E8120" s="4"/>
      <c r="F8120" s="4"/>
      <c r="G8120" s="4"/>
      <c r="H8120" s="4"/>
    </row>
    <row r="8121" customFormat="false" ht="15" hidden="false" customHeight="false" outlineLevel="1" collapsed="false">
      <c r="A8121" s="7" t="s">
        <v>599</v>
      </c>
      <c r="B8121" s="8" t="s">
        <v>202</v>
      </c>
      <c r="C8121" s="53" t="n">
        <f aca="false">Pressupostos!$C$259</f>
        <v>36</v>
      </c>
      <c r="D8121" s="53" t="n">
        <f aca="false">Pressupostos!$D$259</f>
        <v>135</v>
      </c>
      <c r="E8121" s="53" t="n">
        <f aca="false">Pressupostos!$E$259</f>
        <v>360</v>
      </c>
      <c r="F8121" s="53" t="n">
        <f aca="false">Pressupostos!$F$259</f>
        <v>630</v>
      </c>
      <c r="G8121" s="53" t="n">
        <f aca="false">Pressupostos!$G$259</f>
        <v>900</v>
      </c>
      <c r="H8121" s="2" t="s">
        <v>1183</v>
      </c>
    </row>
    <row r="8122" customFormat="false" ht="15" hidden="false" customHeight="false" outlineLevel="1" collapsed="false">
      <c r="A8122" s="7" t="s">
        <v>599</v>
      </c>
      <c r="B8122" s="8" t="s">
        <v>189</v>
      </c>
      <c r="C8122" s="61" t="n">
        <f aca="false">C8121*Pressupostos!$C$78</f>
        <v>27000</v>
      </c>
      <c r="D8122" s="61" t="n">
        <f aca="false">D8121*Pressupostos!$C$78</f>
        <v>101250</v>
      </c>
      <c r="E8122" s="61" t="n">
        <f aca="false">E8121*Pressupostos!$C$78</f>
        <v>270000</v>
      </c>
      <c r="F8122" s="61" t="n">
        <f aca="false">F8121*Pressupostos!$C$78</f>
        <v>472500</v>
      </c>
      <c r="G8122" s="61" t="n">
        <f aca="false">G8121*Pressupostos!$C$78</f>
        <v>675000</v>
      </c>
      <c r="H8122" s="2" t="s">
        <v>1184</v>
      </c>
    </row>
    <row r="8123" customFormat="false" ht="15" hidden="false" customHeight="false" outlineLevel="0" collapsed="false">
      <c r="A8123" s="3" t="s">
        <v>1185</v>
      </c>
      <c r="B8123" s="4"/>
      <c r="C8123" s="4"/>
      <c r="D8123" s="4"/>
      <c r="E8123" s="4"/>
      <c r="F8123" s="4"/>
      <c r="G8123" s="4"/>
      <c r="H8123" s="4"/>
    </row>
    <row r="8124" customFormat="false" ht="15" hidden="false" customHeight="false" outlineLevel="1" collapsed="false">
      <c r="A8124" s="7" t="s">
        <v>601</v>
      </c>
      <c r="B8124" s="8" t="s">
        <v>120</v>
      </c>
      <c r="C8124" s="55" t="n">
        <f aca="false">IF(C8108&lt;Pressupostos!$F$28,0,Pressupostos!$C$265)</f>
        <v>0</v>
      </c>
      <c r="D8124" s="55" t="n">
        <f aca="false">IF(D8108&lt;Pressupostos!$F$28,0,Pressupostos!$D$265)</f>
        <v>0</v>
      </c>
      <c r="E8124" s="55" t="n">
        <f aca="false">IF(E8108&lt;Pressupostos!$F$28,0,Pressupostos!$E$265)</f>
        <v>0</v>
      </c>
      <c r="F8124" s="55" t="n">
        <f aca="false">IF(F8108&lt;Pressupostos!$F$28,0,Pressupostos!$F$265)</f>
        <v>20</v>
      </c>
      <c r="G8124" s="55" t="n">
        <f aca="false">IF(G8108&lt;Pressupostos!$F$28,0,Pressupostos!$G$265)</f>
        <v>50</v>
      </c>
      <c r="H8124" s="2" t="s">
        <v>1186</v>
      </c>
    </row>
    <row r="8125" customFormat="false" ht="15" hidden="false" customHeight="false" outlineLevel="0" collapsed="false">
      <c r="A8125" s="3" t="s">
        <v>1187</v>
      </c>
      <c r="B8125" s="4"/>
      <c r="C8125" s="4"/>
      <c r="D8125" s="4"/>
      <c r="E8125" s="4"/>
      <c r="F8125" s="4"/>
      <c r="G8125" s="4"/>
      <c r="H8125" s="4"/>
    </row>
    <row r="8126" customFormat="false" ht="15" hidden="false" customHeight="false" outlineLevel="1" collapsed="false">
      <c r="A8126" s="7" t="s">
        <v>603</v>
      </c>
      <c r="B8126" s="8" t="s">
        <v>11</v>
      </c>
      <c r="C8126" s="53" t="n">
        <f aca="false">Pressupostos!$C$271</f>
        <v>0</v>
      </c>
      <c r="D8126" s="53" t="n">
        <f aca="false">Pressupostos!$D$271</f>
        <v>500000</v>
      </c>
      <c r="E8126" s="53" t="n">
        <f aca="false">Pressupostos!$E$271</f>
        <v>1500000</v>
      </c>
      <c r="F8126" s="53" t="n">
        <f aca="false">Pressupostos!$F$271</f>
        <v>3000000</v>
      </c>
      <c r="G8126" s="53" t="n">
        <f aca="false">Pressupostos!$G$271</f>
        <v>5000000</v>
      </c>
      <c r="H8126" s="2" t="s">
        <v>1188</v>
      </c>
    </row>
    <row r="8127" customFormat="false" ht="15" hidden="false" customHeight="false" outlineLevel="1" collapsed="false">
      <c r="A8127" s="7" t="s">
        <v>604</v>
      </c>
      <c r="B8127" s="8" t="s">
        <v>120</v>
      </c>
      <c r="C8127" s="55" t="n">
        <f aca="false">C8126/(Pressupostos!$C$105*Pressupostos!$C$106)*Pressupostos!$C$102/1000</f>
        <v>0</v>
      </c>
      <c r="D8127" s="55" t="n">
        <f aca="false">D8126/(Pressupostos!$C$105*Pressupostos!$C$106)*Pressupostos!$C$102/1000</f>
        <v>457.142857142857</v>
      </c>
      <c r="E8127" s="55" t="n">
        <f aca="false">E8126/(Pressupostos!$C$105*Pressupostos!$C$106)*Pressupostos!$C$102/1000</f>
        <v>1371.42857142857</v>
      </c>
      <c r="F8127" s="55" t="n">
        <f aca="false">F8126/(Pressupostos!$C$105*Pressupostos!$C$106)*Pressupostos!$C$102/1000</f>
        <v>2742.85714285714</v>
      </c>
      <c r="G8127" s="55" t="n">
        <f aca="false">G8126/(Pressupostos!$C$105*Pressupostos!$C$106)*Pressupostos!$C$102/1000</f>
        <v>4571.42857142857</v>
      </c>
      <c r="H8127" s="2" t="s">
        <v>1189</v>
      </c>
    </row>
    <row r="8128" customFormat="false" ht="15" hidden="false" customHeight="false" outlineLevel="0" collapsed="false">
      <c r="A8128" s="3" t="s">
        <v>1190</v>
      </c>
      <c r="B8128" s="4"/>
      <c r="C8128" s="4"/>
      <c r="D8128" s="4"/>
      <c r="E8128" s="4"/>
      <c r="F8128" s="4"/>
      <c r="G8128" s="4"/>
      <c r="H8128" s="4"/>
    </row>
    <row r="8129" customFormat="false" ht="15" hidden="false" customHeight="false" outlineLevel="1" collapsed="false">
      <c r="A8129" s="7" t="s">
        <v>669</v>
      </c>
      <c r="B8129" s="8" t="s">
        <v>64</v>
      </c>
      <c r="C8129" s="63" t="n">
        <f aca="false">Pressupostos!$F$10+Pressupostos!$F$11</f>
        <v>3.65</v>
      </c>
      <c r="D8129" s="63" t="n">
        <f aca="false">Pressupostos!$F$10+Pressupostos!$F$11</f>
        <v>3.65</v>
      </c>
      <c r="E8129" s="63" t="n">
        <f aca="false">Pressupostos!$F$10+Pressupostos!$F$11</f>
        <v>3.65</v>
      </c>
      <c r="F8129" s="63" t="n">
        <f aca="false">Pressupostos!$F$10+Pressupostos!$F$11</f>
        <v>3.65</v>
      </c>
      <c r="G8129" s="63" t="n">
        <f aca="false">Pressupostos!$F$10+Pressupostos!$F$11</f>
        <v>3.65</v>
      </c>
      <c r="H8129" s="2" t="s">
        <v>1191</v>
      </c>
    </row>
    <row r="8130" customFormat="false" ht="15" hidden="false" customHeight="false" outlineLevel="1" collapsed="false">
      <c r="A8130" s="7" t="s">
        <v>670</v>
      </c>
      <c r="B8130" s="8" t="s">
        <v>64</v>
      </c>
      <c r="C8130" s="67" t="n">
        <f aca="false">Pressupostos!$F$15</f>
        <v>6</v>
      </c>
      <c r="D8130" s="67" t="n">
        <f aca="false">Pressupostos!$F$15</f>
        <v>6</v>
      </c>
      <c r="E8130" s="67" t="n">
        <f aca="false">Pressupostos!$F$15</f>
        <v>6</v>
      </c>
      <c r="F8130" s="67" t="n">
        <f aca="false">Pressupostos!$F$15</f>
        <v>6</v>
      </c>
      <c r="G8130" s="67" t="n">
        <f aca="false">Pressupostos!$F$15</f>
        <v>6</v>
      </c>
      <c r="H8130" s="2" t="s">
        <v>1192</v>
      </c>
    </row>
    <row r="8131" customFormat="false" ht="15" hidden="false" customHeight="false" outlineLevel="1" collapsed="false">
      <c r="A8131" s="56" t="s">
        <v>671</v>
      </c>
      <c r="B8131" s="57" t="s">
        <v>64</v>
      </c>
      <c r="C8131" s="68" t="n">
        <f aca="false">C8130*(1-Pressupostos!$F$16)</f>
        <v>5.4</v>
      </c>
      <c r="D8131" s="68" t="n">
        <f aca="false">D8130*(1-Pressupostos!$F$16)</f>
        <v>5.4</v>
      </c>
      <c r="E8131" s="68" t="n">
        <f aca="false">E8130*(1-Pressupostos!$F$16)</f>
        <v>5.4</v>
      </c>
      <c r="F8131" s="68" t="n">
        <f aca="false">F8130*(1-Pressupostos!$F$16)</f>
        <v>5.4</v>
      </c>
      <c r="G8131" s="68" t="n">
        <f aca="false">G8130*(1-Pressupostos!$F$16)</f>
        <v>5.4</v>
      </c>
      <c r="H8131" s="2" t="s">
        <v>1193</v>
      </c>
    </row>
    <row r="8132" customFormat="false" ht="15" hidden="false" customHeight="false" outlineLevel="1" collapsed="false">
      <c r="A8132" s="7" t="s">
        <v>144</v>
      </c>
      <c r="B8132" s="8" t="s">
        <v>64</v>
      </c>
      <c r="C8132" s="67" t="n">
        <f aca="false">Pressupostos!$C$38</f>
        <v>0.55</v>
      </c>
      <c r="D8132" s="67" t="n">
        <f aca="false">Pressupostos!$C$38</f>
        <v>0.55</v>
      </c>
      <c r="E8132" s="67" t="n">
        <f aca="false">Pressupostos!$C$38</f>
        <v>0.55</v>
      </c>
      <c r="F8132" s="67" t="n">
        <f aca="false">Pressupostos!$C$38</f>
        <v>0.55</v>
      </c>
      <c r="G8132" s="67" t="n">
        <f aca="false">Pressupostos!$C$38</f>
        <v>0.55</v>
      </c>
      <c r="H8132" s="2" t="s">
        <v>1194</v>
      </c>
    </row>
    <row r="8133" customFormat="false" ht="15" hidden="false" customHeight="false" outlineLevel="1" collapsed="false">
      <c r="A8133" s="7" t="s">
        <v>215</v>
      </c>
      <c r="B8133" s="8" t="s">
        <v>64</v>
      </c>
      <c r="C8133" s="67" t="n">
        <f aca="false">Pressupostos!$C$240</f>
        <v>0.3</v>
      </c>
      <c r="D8133" s="67" t="n">
        <f aca="false">Pressupostos!$D$240</f>
        <v>0.3</v>
      </c>
      <c r="E8133" s="67" t="n">
        <f aca="false">Pressupostos!$E$240</f>
        <v>0.28</v>
      </c>
      <c r="F8133" s="67" t="n">
        <f aca="false">Pressupostos!$F$240</f>
        <v>0.27</v>
      </c>
      <c r="G8133" s="67" t="n">
        <f aca="false">Pressupostos!$G$240</f>
        <v>0.27</v>
      </c>
      <c r="H8133" s="2" t="s">
        <v>1195</v>
      </c>
    </row>
    <row r="8134" customFormat="false" ht="15" hidden="false" customHeight="false" outlineLevel="1" collapsed="false">
      <c r="A8134" s="7" t="s">
        <v>117</v>
      </c>
      <c r="B8134" s="8" t="s">
        <v>64</v>
      </c>
      <c r="C8134" s="67" t="n">
        <f aca="false">Pressupostos!$C$39</f>
        <v>0.06</v>
      </c>
      <c r="D8134" s="67" t="n">
        <f aca="false">Pressupostos!$C$39</f>
        <v>0.06</v>
      </c>
      <c r="E8134" s="67" t="n">
        <f aca="false">Pressupostos!$C$39</f>
        <v>0.06</v>
      </c>
      <c r="F8134" s="67" t="n">
        <f aca="false">Pressupostos!$C$39</f>
        <v>0.06</v>
      </c>
      <c r="G8134" s="67" t="n">
        <f aca="false">Pressupostos!$C$39</f>
        <v>0.06</v>
      </c>
      <c r="H8134" s="2" t="s">
        <v>1196</v>
      </c>
    </row>
    <row r="8135" customFormat="false" ht="15" hidden="false" customHeight="false" outlineLevel="1" collapsed="false">
      <c r="A8135" s="7" t="s">
        <v>91</v>
      </c>
      <c r="B8135" s="8" t="s">
        <v>79</v>
      </c>
      <c r="C8135" s="69" t="n">
        <f aca="false">Pressupostos!$C$246</f>
        <v>180</v>
      </c>
      <c r="D8135" s="69" t="n">
        <f aca="false">Pressupostos!$D$246</f>
        <v>180</v>
      </c>
      <c r="E8135" s="69" t="n">
        <f aca="false">Pressupostos!$E$246</f>
        <v>45</v>
      </c>
      <c r="F8135" s="69" t="n">
        <f aca="false">Pressupostos!$F$246</f>
        <v>45</v>
      </c>
      <c r="G8135" s="69" t="n">
        <f aca="false">Pressupostos!$G$246</f>
        <v>45</v>
      </c>
      <c r="H8135" s="2" t="s">
        <v>1197</v>
      </c>
    </row>
    <row r="8136" customFormat="false" ht="15" hidden="false" customHeight="false" outlineLevel="1" collapsed="false">
      <c r="A8136" s="7" t="s">
        <v>78</v>
      </c>
      <c r="B8136" s="8" t="s">
        <v>79</v>
      </c>
      <c r="C8136" s="69" t="n">
        <f aca="false">Pressupostos!$F$17</f>
        <v>35</v>
      </c>
      <c r="D8136" s="69" t="n">
        <f aca="false">Pressupostos!$F$17</f>
        <v>35</v>
      </c>
      <c r="E8136" s="69" t="n">
        <f aca="false">Pressupostos!$F$17</f>
        <v>35</v>
      </c>
      <c r="F8136" s="69" t="n">
        <f aca="false">Pressupostos!$F$17</f>
        <v>35</v>
      </c>
      <c r="G8136" s="69" t="n">
        <f aca="false">Pressupostos!$F$17</f>
        <v>35</v>
      </c>
      <c r="H8136" s="2" t="s">
        <v>1198</v>
      </c>
    </row>
    <row r="8137" customFormat="false" ht="15" hidden="false" customHeight="false" outlineLevel="1" collapsed="false">
      <c r="A8137" s="7" t="s">
        <v>490</v>
      </c>
      <c r="B8137" s="8" t="s">
        <v>64</v>
      </c>
      <c r="C8137" s="63" t="n">
        <f aca="false">Pressupostos!$C$66*C8135/30/1000</f>
        <v>0.024</v>
      </c>
      <c r="D8137" s="63" t="n">
        <f aca="false">Pressupostos!$C$66*D8135/30/1000</f>
        <v>0.024</v>
      </c>
      <c r="E8137" s="63" t="n">
        <f aca="false">Pressupostos!$C$66*E8135/30/1000</f>
        <v>0.006</v>
      </c>
      <c r="F8137" s="63" t="n">
        <f aca="false">Pressupostos!$C$66*F8135/30/1000</f>
        <v>0.006</v>
      </c>
      <c r="G8137" s="63" t="n">
        <f aca="false">Pressupostos!$C$66*G8135/30/1000</f>
        <v>0.006</v>
      </c>
      <c r="H8137" s="2" t="s">
        <v>1199</v>
      </c>
    </row>
    <row r="8138" customFormat="false" ht="15" hidden="false" customHeight="false" outlineLevel="1" collapsed="false">
      <c r="A8138" s="7" t="s">
        <v>165</v>
      </c>
      <c r="B8138" s="8" t="s">
        <v>64</v>
      </c>
      <c r="C8138" s="63" t="n">
        <f aca="false">C8129*Pressupostos!$C$67*C8135/365</f>
        <v>0.0036</v>
      </c>
      <c r="D8138" s="63" t="n">
        <f aca="false">D8129*Pressupostos!$C$67*D8135/365</f>
        <v>0.0036</v>
      </c>
      <c r="E8138" s="63" t="n">
        <f aca="false">E8129*Pressupostos!$C$67*E8135/365</f>
        <v>0.0009</v>
      </c>
      <c r="F8138" s="63" t="n">
        <f aca="false">F8129*Pressupostos!$C$67*F8135/365</f>
        <v>0.0009</v>
      </c>
      <c r="G8138" s="63" t="n">
        <f aca="false">G8129*Pressupostos!$C$67*G8135/365</f>
        <v>0.0009</v>
      </c>
      <c r="H8138" s="2" t="s">
        <v>1200</v>
      </c>
    </row>
    <row r="8139" customFormat="false" ht="15" hidden="false" customHeight="false" outlineLevel="1" collapsed="false">
      <c r="A8139" s="7" t="s">
        <v>672</v>
      </c>
      <c r="B8139" s="8" t="s">
        <v>64</v>
      </c>
      <c r="C8139" s="63" t="n">
        <f aca="false">Pressupostos!$C$41*Pressupostos!$C$68/(Pressupostos!$C$40*1000)</f>
        <v>0.03</v>
      </c>
      <c r="D8139" s="63" t="n">
        <f aca="false">Pressupostos!$C$41*Pressupostos!$C$68/(Pressupostos!$C$40*1000)</f>
        <v>0.03</v>
      </c>
      <c r="E8139" s="63" t="n">
        <f aca="false">Pressupostos!$C$41*Pressupostos!$C$68/(Pressupostos!$C$40*1000)</f>
        <v>0.03</v>
      </c>
      <c r="F8139" s="63" t="n">
        <f aca="false">Pressupostos!$C$41*Pressupostos!$C$68/(Pressupostos!$C$40*1000)</f>
        <v>0.03</v>
      </c>
      <c r="G8139" s="63" t="n">
        <f aca="false">Pressupostos!$C$41*Pressupostos!$C$68/(Pressupostos!$C$40*1000)</f>
        <v>0.03</v>
      </c>
      <c r="H8139" s="2" t="s">
        <v>1201</v>
      </c>
    </row>
    <row r="8140" customFormat="false" ht="15" hidden="false" customHeight="false" outlineLevel="1" collapsed="false">
      <c r="A8140" s="7" t="s">
        <v>492</v>
      </c>
      <c r="B8140" s="8" t="s">
        <v>64</v>
      </c>
      <c r="C8140" s="63" t="n">
        <f aca="false">Pressupostos!$C$69*C8129</f>
        <v>0.01825</v>
      </c>
      <c r="D8140" s="63" t="n">
        <f aca="false">Pressupostos!$C$69*D8129</f>
        <v>0.01825</v>
      </c>
      <c r="E8140" s="63" t="n">
        <f aca="false">Pressupostos!$C$69*E8129</f>
        <v>0.01825</v>
      </c>
      <c r="F8140" s="63" t="n">
        <f aca="false">Pressupostos!$C$69*F8129</f>
        <v>0.01825</v>
      </c>
      <c r="G8140" s="63" t="n">
        <f aca="false">Pressupostos!$C$69*G8129</f>
        <v>0.01825</v>
      </c>
      <c r="H8140" s="2" t="s">
        <v>1202</v>
      </c>
    </row>
    <row r="8141" customFormat="false" ht="15" hidden="false" customHeight="false" outlineLevel="1" collapsed="false">
      <c r="A8141" s="7" t="s">
        <v>493</v>
      </c>
      <c r="B8141" s="8" t="s">
        <v>64</v>
      </c>
      <c r="C8141" s="63" t="n">
        <f aca="false">Pressupostos!$C$70*Pressupostos!$C$71*C8135/90</f>
        <v>0.018</v>
      </c>
      <c r="D8141" s="63" t="n">
        <f aca="false">Pressupostos!$C$70*Pressupostos!$C$71*D8135/90</f>
        <v>0.018</v>
      </c>
      <c r="E8141" s="63" t="n">
        <f aca="false">Pressupostos!$C$70*Pressupostos!$C$71*E8135/90</f>
        <v>0.0045</v>
      </c>
      <c r="F8141" s="63" t="n">
        <f aca="false">Pressupostos!$C$70*Pressupostos!$C$71*F8135/90</f>
        <v>0.0045</v>
      </c>
      <c r="G8141" s="63" t="n">
        <f aca="false">Pressupostos!$C$70*Pressupostos!$C$71*G8135/90</f>
        <v>0.0045</v>
      </c>
      <c r="H8141" s="2" t="s">
        <v>1203</v>
      </c>
    </row>
    <row r="8142" customFormat="false" ht="15" hidden="false" customHeight="false" outlineLevel="1" collapsed="false">
      <c r="A8142" s="7" t="s">
        <v>673</v>
      </c>
      <c r="B8142" s="8" t="s">
        <v>64</v>
      </c>
      <c r="C8142" s="63" t="n">
        <f aca="false">Pressupostos!$C$42/(Pressupostos!$C$40*1000)</f>
        <v>0.1</v>
      </c>
      <c r="D8142" s="63" t="n">
        <f aca="false">Pressupostos!$C$42/(Pressupostos!$C$40*1000)</f>
        <v>0.1</v>
      </c>
      <c r="E8142" s="63" t="n">
        <f aca="false">Pressupostos!$C$42/(Pressupostos!$C$40*1000)</f>
        <v>0.1</v>
      </c>
      <c r="F8142" s="63" t="n">
        <f aca="false">Pressupostos!$C$42/(Pressupostos!$C$40*1000)</f>
        <v>0.1</v>
      </c>
      <c r="G8142" s="63" t="n">
        <f aca="false">Pressupostos!$C$42/(Pressupostos!$C$40*1000)</f>
        <v>0.1</v>
      </c>
      <c r="H8142" s="2" t="s">
        <v>1204</v>
      </c>
    </row>
    <row r="8143" customFormat="false" ht="15" hidden="false" customHeight="false" outlineLevel="1" collapsed="false">
      <c r="A8143" s="7" t="s">
        <v>139</v>
      </c>
      <c r="B8143" s="8" t="s">
        <v>64</v>
      </c>
      <c r="C8143" s="67" t="n">
        <f aca="false">Pressupostos!$C$43</f>
        <v>0.01</v>
      </c>
      <c r="D8143" s="67" t="n">
        <f aca="false">Pressupostos!$C$43</f>
        <v>0.01</v>
      </c>
      <c r="E8143" s="67" t="n">
        <f aca="false">Pressupostos!$C$43</f>
        <v>0.01</v>
      </c>
      <c r="F8143" s="67" t="n">
        <f aca="false">Pressupostos!$C$43</f>
        <v>0.01</v>
      </c>
      <c r="G8143" s="67" t="n">
        <f aca="false">Pressupostos!$C$43</f>
        <v>0.01</v>
      </c>
      <c r="H8143" s="2" t="s">
        <v>1205</v>
      </c>
    </row>
    <row r="8144" customFormat="false" ht="15" hidden="false" customHeight="false" outlineLevel="1" collapsed="false">
      <c r="A8144" s="7" t="s">
        <v>81</v>
      </c>
      <c r="B8144" s="8" t="s">
        <v>64</v>
      </c>
      <c r="C8144" s="63" t="n">
        <f aca="false">Pressupostos!$F$18*C8131</f>
        <v>0.0324</v>
      </c>
      <c r="D8144" s="63" t="n">
        <f aca="false">Pressupostos!$F$18*D8131</f>
        <v>0.0324</v>
      </c>
      <c r="E8144" s="63" t="n">
        <f aca="false">Pressupostos!$F$18*E8131</f>
        <v>0.0324</v>
      </c>
      <c r="F8144" s="63" t="n">
        <f aca="false">Pressupostos!$F$18*F8131</f>
        <v>0.0324</v>
      </c>
      <c r="G8144" s="63" t="n">
        <f aca="false">Pressupostos!$F$18*G8131</f>
        <v>0.0324</v>
      </c>
      <c r="H8144" s="2" t="s">
        <v>1206</v>
      </c>
    </row>
    <row r="8145" customFormat="false" ht="15" hidden="false" customHeight="false" outlineLevel="1" collapsed="false">
      <c r="A8145" s="7" t="s">
        <v>674</v>
      </c>
      <c r="B8145" s="8" t="s">
        <v>64</v>
      </c>
      <c r="C8145" s="63" t="n">
        <f aca="false">Pressupostos!$C$73*C8131</f>
        <v>0</v>
      </c>
      <c r="D8145" s="63" t="n">
        <f aca="false">Pressupostos!$C$73*D8131</f>
        <v>0</v>
      </c>
      <c r="E8145" s="63" t="n">
        <f aca="false">Pressupostos!$C$73*E8131</f>
        <v>0</v>
      </c>
      <c r="F8145" s="63" t="n">
        <f aca="false">Pressupostos!$C$73*F8131</f>
        <v>0</v>
      </c>
      <c r="G8145" s="63" t="n">
        <f aca="false">Pressupostos!$C$73*G8131</f>
        <v>0</v>
      </c>
      <c r="H8145" s="2" t="s">
        <v>1207</v>
      </c>
    </row>
    <row r="8146" customFormat="false" ht="15" hidden="false" customHeight="false" outlineLevel="1" collapsed="false">
      <c r="A8146" s="7" t="s">
        <v>675</v>
      </c>
      <c r="B8146" s="8" t="s">
        <v>64</v>
      </c>
      <c r="C8146" s="63" t="n">
        <f aca="false">Pressupostos!$C$290*(C8129+C8132)*(C8135+C8136-(Pressupostos!$C$200))/365*Pressupostos!$C$284/Pressupostos!$F$31</f>
        <v>0</v>
      </c>
      <c r="D8146" s="63" t="n">
        <f aca="false">Pressupostos!$D$290*(D8129+D8132)*(D8135+D8136-(Pressupostos!$C$200))/365*Pressupostos!$D$284/Pressupostos!$F$31</f>
        <v>0.181232876712329</v>
      </c>
      <c r="E8146" s="63" t="n">
        <f aca="false">Pressupostos!$E$290*(E8129+E8132)*(E8135+E8136-(Pressupostos!$C$200))/365*Pressupostos!$E$284/Pressupostos!$F$31</f>
        <v>0.0606806506849315</v>
      </c>
      <c r="F8146" s="63" t="n">
        <f aca="false">Pressupostos!$F$290*(F8129+F8132)*(F8135+F8136-(Pressupostos!$C$200))/365*Pressupostos!$F$284/Pressupostos!$F$31</f>
        <v>0.0566352739726028</v>
      </c>
      <c r="G8146" s="63" t="n">
        <f aca="false">Pressupostos!$G$290*(G8129+G8132)*(G8135+G8136-(Pressupostos!$C$200))/365*Pressupostos!$G$284/Pressupostos!$F$31</f>
        <v>0.0566352739726028</v>
      </c>
      <c r="H8146" s="2" t="s">
        <v>1208</v>
      </c>
    </row>
    <row r="8147" customFormat="false" ht="15" hidden="false" customHeight="false" outlineLevel="1" collapsed="false">
      <c r="A8147" s="7" t="s">
        <v>676</v>
      </c>
      <c r="B8147" s="8" t="s">
        <v>64</v>
      </c>
      <c r="C8147" s="63" t="n">
        <f aca="false">C8129+C8132+C8133+C8134+C8137+C8138+C8139+C8140+C8141+C8142+C8143+C8144+C8145+C8146</f>
        <v>4.79625</v>
      </c>
      <c r="D8147" s="63" t="n">
        <f aca="false">D8129+D8132+D8133+D8134+D8137+D8138+D8139+D8140+D8141+D8142+D8143+D8144+D8145+D8146</f>
        <v>4.97748287671233</v>
      </c>
      <c r="E8147" s="63" t="n">
        <f aca="false">E8129+E8132+E8133+E8134+E8137+E8138+E8139+E8140+E8141+E8142+E8143+E8144+E8145+E8146</f>
        <v>4.80273065068493</v>
      </c>
      <c r="F8147" s="63" t="n">
        <f aca="false">F8129+F8132+F8133+F8134+F8137+F8138+F8139+F8140+F8141+F8142+F8143+F8144+F8145+F8146</f>
        <v>4.7886852739726</v>
      </c>
      <c r="G8147" s="63" t="n">
        <f aca="false">G8129+G8132+G8133+G8134+G8137+G8138+G8139+G8140+G8141+G8142+G8143+G8144+G8145+G8146</f>
        <v>4.7886852739726</v>
      </c>
      <c r="H8147" s="2" t="s">
        <v>1209</v>
      </c>
    </row>
    <row r="8148" customFormat="false" ht="15" hidden="false" customHeight="false" outlineLevel="1" collapsed="false">
      <c r="A8148" s="56" t="s">
        <v>677</v>
      </c>
      <c r="B8148" s="57" t="s">
        <v>64</v>
      </c>
      <c r="C8148" s="68" t="n">
        <f aca="false">C8131-C8147</f>
        <v>0.603750000000002</v>
      </c>
      <c r="D8148" s="68" t="n">
        <f aca="false">D8131-D8147</f>
        <v>0.422517123287673</v>
      </c>
      <c r="E8148" s="68" t="n">
        <f aca="false">E8131-E8147</f>
        <v>0.597269349315069</v>
      </c>
      <c r="F8148" s="68" t="n">
        <f aca="false">F8131-F8147</f>
        <v>0.611314726027397</v>
      </c>
      <c r="G8148" s="68" t="n">
        <f aca="false">G8131-G8147</f>
        <v>0.611314726027397</v>
      </c>
      <c r="H8148" s="2" t="s">
        <v>1210</v>
      </c>
    </row>
    <row r="8149" customFormat="false" ht="15" hidden="false" customHeight="false" outlineLevel="1" collapsed="false">
      <c r="A8149" s="7" t="s">
        <v>678</v>
      </c>
      <c r="B8149" s="8" t="s">
        <v>76</v>
      </c>
      <c r="C8149" s="59" t="n">
        <f aca="false">IF(C8131&gt;0,C8148/C8131,0)</f>
        <v>0.111805555555556</v>
      </c>
      <c r="D8149" s="59" t="n">
        <f aca="false">IF(D8131&gt;0,D8148/D8131,0)</f>
        <v>0.0782439117199394</v>
      </c>
      <c r="E8149" s="59" t="n">
        <f aca="false">IF(E8131&gt;0,E8148/E8131,0)</f>
        <v>0.110605435058346</v>
      </c>
      <c r="F8149" s="59" t="n">
        <f aca="false">IF(F8131&gt;0,F8148/F8131,0)</f>
        <v>0.113206430745814</v>
      </c>
      <c r="G8149" s="59" t="n">
        <f aca="false">IF(G8131&gt;0,G8148/G8131,0)</f>
        <v>0.113206430745814</v>
      </c>
      <c r="H8149" s="2" t="s">
        <v>1211</v>
      </c>
    </row>
    <row r="8150" customFormat="false" ht="15" hidden="false" customHeight="false" outlineLevel="1" collapsed="false">
      <c r="A8150" s="7" t="s">
        <v>679</v>
      </c>
      <c r="B8150" s="8" t="s">
        <v>64</v>
      </c>
      <c r="C8150" s="63" t="n">
        <f aca="false">(C8129+C8132)*(C8135-(Pressupostos!$C$200))/365+C8131*C8136/365</f>
        <v>2.53150684931507</v>
      </c>
      <c r="D8150" s="63" t="n">
        <f aca="false">(D8129+D8132)*(D8135-(Pressupostos!$C$200))/365+D8131*D8136/365</f>
        <v>2.53150684931507</v>
      </c>
      <c r="E8150" s="63" t="n">
        <f aca="false">(E8129+E8132)*(E8135-(Pressupostos!$C$200))/365+E8131*E8136/365</f>
        <v>0.978082191780822</v>
      </c>
      <c r="F8150" s="63" t="n">
        <f aca="false">(F8129+F8132)*(F8135-(Pressupostos!$C$200))/365+F8131*F8136/365</f>
        <v>0.978082191780822</v>
      </c>
      <c r="G8150" s="63" t="n">
        <f aca="false">(G8129+G8132)*(G8135-(Pressupostos!$C$200))/365+G8131*G8136/365</f>
        <v>0.978082191780822</v>
      </c>
      <c r="H8150" s="2" t="s">
        <v>1212</v>
      </c>
    </row>
    <row r="8151" customFormat="false" ht="15" hidden="false" customHeight="false" outlineLevel="0" collapsed="false">
      <c r="A8151" s="3" t="s">
        <v>1213</v>
      </c>
      <c r="B8151" s="4"/>
      <c r="C8151" s="4"/>
      <c r="D8151" s="4"/>
      <c r="E8151" s="4"/>
      <c r="F8151" s="4"/>
      <c r="G8151" s="4"/>
      <c r="H8151" s="4"/>
    </row>
    <row r="8152" customFormat="false" ht="15" hidden="false" customHeight="false" outlineLevel="1" collapsed="false">
      <c r="A8152" s="7" t="s">
        <v>669</v>
      </c>
      <c r="B8152" s="8" t="s">
        <v>64</v>
      </c>
      <c r="C8152" s="63" t="n">
        <f aca="false">Pressupostos!$F$10+Pressupostos!$F$12</f>
        <v>3.6</v>
      </c>
      <c r="D8152" s="63" t="n">
        <f aca="false">Pressupostos!$F$10+Pressupostos!$F$12</f>
        <v>3.6</v>
      </c>
      <c r="E8152" s="63" t="n">
        <f aca="false">Pressupostos!$F$10+Pressupostos!$F$12</f>
        <v>3.6</v>
      </c>
      <c r="F8152" s="63" t="n">
        <f aca="false">Pressupostos!$F$10+Pressupostos!$F$12</f>
        <v>3.6</v>
      </c>
      <c r="G8152" s="63" t="n">
        <f aca="false">Pressupostos!$F$10+Pressupostos!$F$12</f>
        <v>3.6</v>
      </c>
      <c r="H8152" s="2" t="s">
        <v>1214</v>
      </c>
    </row>
    <row r="8153" customFormat="false" ht="15" hidden="false" customHeight="false" outlineLevel="1" collapsed="false">
      <c r="A8153" s="7" t="s">
        <v>670</v>
      </c>
      <c r="B8153" s="8" t="s">
        <v>64</v>
      </c>
      <c r="C8153" s="63" t="n">
        <f aca="false">Pressupostos!$F$20+Pressupostos!$F$21</f>
        <v>4.45</v>
      </c>
      <c r="D8153" s="63" t="n">
        <f aca="false">Pressupostos!$F$20+Pressupostos!$F$21</f>
        <v>4.45</v>
      </c>
      <c r="E8153" s="63" t="n">
        <f aca="false">Pressupostos!$F$20+Pressupostos!$F$21</f>
        <v>4.45</v>
      </c>
      <c r="F8153" s="63" t="n">
        <f aca="false">Pressupostos!$F$20+Pressupostos!$F$21</f>
        <v>4.45</v>
      </c>
      <c r="G8153" s="63" t="n">
        <f aca="false">Pressupostos!$F$20+Pressupostos!$F$21</f>
        <v>4.45</v>
      </c>
      <c r="H8153" s="2" t="s">
        <v>1215</v>
      </c>
    </row>
    <row r="8154" customFormat="false" ht="15" hidden="false" customHeight="false" outlineLevel="1" collapsed="false">
      <c r="A8154" s="56" t="s">
        <v>671</v>
      </c>
      <c r="B8154" s="57" t="s">
        <v>64</v>
      </c>
      <c r="C8154" s="68" t="n">
        <f aca="false">C8153*(1-Pressupostos!$F$22)</f>
        <v>4.45</v>
      </c>
      <c r="D8154" s="68" t="n">
        <f aca="false">D8153*(1-Pressupostos!$F$22)</f>
        <v>4.45</v>
      </c>
      <c r="E8154" s="68" t="n">
        <f aca="false">E8153*(1-Pressupostos!$F$22)</f>
        <v>4.45</v>
      </c>
      <c r="F8154" s="68" t="n">
        <f aca="false">F8153*(1-Pressupostos!$F$22)</f>
        <v>4.45</v>
      </c>
      <c r="G8154" s="68" t="n">
        <f aca="false">G8153*(1-Pressupostos!$F$22)</f>
        <v>4.45</v>
      </c>
      <c r="H8154" s="2" t="s">
        <v>1216</v>
      </c>
    </row>
    <row r="8155" customFormat="false" ht="15" hidden="false" customHeight="false" outlineLevel="1" collapsed="false">
      <c r="A8155" s="7" t="s">
        <v>144</v>
      </c>
      <c r="B8155" s="8" t="s">
        <v>64</v>
      </c>
      <c r="C8155" s="67" t="n">
        <f aca="false">Pressupostos!$C$45</f>
        <v>0.45</v>
      </c>
      <c r="D8155" s="67" t="n">
        <f aca="false">Pressupostos!$C$45</f>
        <v>0.45</v>
      </c>
      <c r="E8155" s="67" t="n">
        <f aca="false">Pressupostos!$C$45</f>
        <v>0.45</v>
      </c>
      <c r="F8155" s="67" t="n">
        <f aca="false">Pressupostos!$C$45</f>
        <v>0.45</v>
      </c>
      <c r="G8155" s="67" t="n">
        <f aca="false">Pressupostos!$C$45</f>
        <v>0.45</v>
      </c>
      <c r="H8155" s="2" t="s">
        <v>1217</v>
      </c>
    </row>
    <row r="8156" customFormat="false" ht="15" hidden="false" customHeight="false" outlineLevel="1" collapsed="false">
      <c r="A8156" s="7" t="s">
        <v>215</v>
      </c>
      <c r="B8156" s="8" t="s">
        <v>64</v>
      </c>
      <c r="C8156" s="67" t="n">
        <f aca="false">Pressupostos!$C$252</f>
        <v>0.1</v>
      </c>
      <c r="D8156" s="67" t="n">
        <f aca="false">Pressupostos!$D$252</f>
        <v>0.1</v>
      </c>
      <c r="E8156" s="67" t="n">
        <f aca="false">Pressupostos!$E$252</f>
        <v>0.09</v>
      </c>
      <c r="F8156" s="67" t="n">
        <f aca="false">Pressupostos!$F$252</f>
        <v>0.09</v>
      </c>
      <c r="G8156" s="67" t="n">
        <f aca="false">Pressupostos!$G$252</f>
        <v>0.09</v>
      </c>
      <c r="H8156" s="2" t="s">
        <v>1218</v>
      </c>
    </row>
    <row r="8157" customFormat="false" ht="15" hidden="false" customHeight="false" outlineLevel="1" collapsed="false">
      <c r="A8157" s="7" t="s">
        <v>117</v>
      </c>
      <c r="B8157" s="8" t="s">
        <v>64</v>
      </c>
      <c r="C8157" s="67" t="n">
        <f aca="false">Pressupostos!$C$46</f>
        <v>0</v>
      </c>
      <c r="D8157" s="67" t="n">
        <f aca="false">Pressupostos!$C$46</f>
        <v>0</v>
      </c>
      <c r="E8157" s="67" t="n">
        <f aca="false">Pressupostos!$C$46</f>
        <v>0</v>
      </c>
      <c r="F8157" s="67" t="n">
        <f aca="false">Pressupostos!$C$46</f>
        <v>0</v>
      </c>
      <c r="G8157" s="67" t="n">
        <f aca="false">Pressupostos!$C$46</f>
        <v>0</v>
      </c>
      <c r="H8157" s="2" t="s">
        <v>1219</v>
      </c>
    </row>
    <row r="8158" customFormat="false" ht="15" hidden="false" customHeight="false" outlineLevel="1" collapsed="false">
      <c r="A8158" s="7" t="s">
        <v>91</v>
      </c>
      <c r="B8158" s="8" t="s">
        <v>79</v>
      </c>
      <c r="C8158" s="69" t="n">
        <f aca="false">Pressupostos!$F$23</f>
        <v>30</v>
      </c>
      <c r="D8158" s="69" t="n">
        <f aca="false">Pressupostos!$F$23</f>
        <v>30</v>
      </c>
      <c r="E8158" s="69" t="n">
        <f aca="false">Pressupostos!$F$23</f>
        <v>30</v>
      </c>
      <c r="F8158" s="69" t="n">
        <f aca="false">Pressupostos!$F$23</f>
        <v>30</v>
      </c>
      <c r="G8158" s="69" t="n">
        <f aca="false">Pressupostos!$F$23</f>
        <v>30</v>
      </c>
      <c r="H8158" s="2" t="s">
        <v>1220</v>
      </c>
    </row>
    <row r="8159" customFormat="false" ht="15" hidden="false" customHeight="false" outlineLevel="1" collapsed="false">
      <c r="A8159" s="7" t="s">
        <v>78</v>
      </c>
      <c r="B8159" s="8" t="s">
        <v>79</v>
      </c>
      <c r="C8159" s="69" t="n">
        <f aca="false">Pressupostos!$F$24</f>
        <v>55</v>
      </c>
      <c r="D8159" s="69" t="n">
        <f aca="false">Pressupostos!$F$24</f>
        <v>55</v>
      </c>
      <c r="E8159" s="69" t="n">
        <f aca="false">Pressupostos!$F$24</f>
        <v>55</v>
      </c>
      <c r="F8159" s="69" t="n">
        <f aca="false">Pressupostos!$F$24</f>
        <v>55</v>
      </c>
      <c r="G8159" s="69" t="n">
        <f aca="false">Pressupostos!$F$24</f>
        <v>55</v>
      </c>
      <c r="H8159" s="2" t="s">
        <v>1221</v>
      </c>
    </row>
    <row r="8160" customFormat="false" ht="15" hidden="false" customHeight="false" outlineLevel="1" collapsed="false">
      <c r="A8160" s="7" t="s">
        <v>490</v>
      </c>
      <c r="B8160" s="8" t="s">
        <v>64</v>
      </c>
      <c r="C8160" s="63" t="n">
        <f aca="false">Pressupostos!$C$66*C8158/30/1000</f>
        <v>0.004</v>
      </c>
      <c r="D8160" s="63" t="n">
        <f aca="false">Pressupostos!$C$66*D8158/30/1000</f>
        <v>0.004</v>
      </c>
      <c r="E8160" s="63" t="n">
        <f aca="false">Pressupostos!$C$66*E8158/30/1000</f>
        <v>0.004</v>
      </c>
      <c r="F8160" s="63" t="n">
        <f aca="false">Pressupostos!$C$66*F8158/30/1000</f>
        <v>0.004</v>
      </c>
      <c r="G8160" s="63" t="n">
        <f aca="false">Pressupostos!$C$66*G8158/30/1000</f>
        <v>0.004</v>
      </c>
      <c r="H8160" s="2" t="s">
        <v>1222</v>
      </c>
    </row>
    <row r="8161" customFormat="false" ht="15" hidden="false" customHeight="false" outlineLevel="1" collapsed="false">
      <c r="A8161" s="7" t="s">
        <v>165</v>
      </c>
      <c r="B8161" s="8" t="s">
        <v>64</v>
      </c>
      <c r="C8161" s="63" t="n">
        <f aca="false">C8152*Pressupostos!$C$67*C8158/365</f>
        <v>0.000591780821917808</v>
      </c>
      <c r="D8161" s="63" t="n">
        <f aca="false">D8152*Pressupostos!$C$67*D8158/365</f>
        <v>0.000591780821917808</v>
      </c>
      <c r="E8161" s="63" t="n">
        <f aca="false">E8152*Pressupostos!$C$67*E8158/365</f>
        <v>0.000591780821917808</v>
      </c>
      <c r="F8161" s="63" t="n">
        <f aca="false">F8152*Pressupostos!$C$67*F8158/365</f>
        <v>0.000591780821917808</v>
      </c>
      <c r="G8161" s="63" t="n">
        <f aca="false">G8152*Pressupostos!$C$67*G8158/365</f>
        <v>0.000591780821917808</v>
      </c>
      <c r="H8161" s="2" t="s">
        <v>1223</v>
      </c>
    </row>
    <row r="8162" customFormat="false" ht="15" hidden="false" customHeight="false" outlineLevel="1" collapsed="false">
      <c r="A8162" s="7" t="s">
        <v>672</v>
      </c>
      <c r="B8162" s="8" t="s">
        <v>64</v>
      </c>
      <c r="C8162" s="63" t="n">
        <f aca="false">Pressupostos!$C$48*Pressupostos!$C$68/(Pressupostos!$C$47*1000)</f>
        <v>0.02</v>
      </c>
      <c r="D8162" s="63" t="n">
        <f aca="false">Pressupostos!$C$48*Pressupostos!$C$68/(Pressupostos!$C$47*1000)</f>
        <v>0.02</v>
      </c>
      <c r="E8162" s="63" t="n">
        <f aca="false">Pressupostos!$C$48*Pressupostos!$C$68/(Pressupostos!$C$47*1000)</f>
        <v>0.02</v>
      </c>
      <c r="F8162" s="63" t="n">
        <f aca="false">Pressupostos!$C$48*Pressupostos!$C$68/(Pressupostos!$C$47*1000)</f>
        <v>0.02</v>
      </c>
      <c r="G8162" s="63" t="n">
        <f aca="false">Pressupostos!$C$48*Pressupostos!$C$68/(Pressupostos!$C$47*1000)</f>
        <v>0.02</v>
      </c>
      <c r="H8162" s="2" t="s">
        <v>1224</v>
      </c>
    </row>
    <row r="8163" customFormat="false" ht="15" hidden="false" customHeight="false" outlineLevel="1" collapsed="false">
      <c r="A8163" s="7" t="s">
        <v>492</v>
      </c>
      <c r="B8163" s="8" t="s">
        <v>64</v>
      </c>
      <c r="C8163" s="63" t="n">
        <f aca="false">Pressupostos!$C$69*C8152</f>
        <v>0.018</v>
      </c>
      <c r="D8163" s="63" t="n">
        <f aca="false">Pressupostos!$C$69*D8152</f>
        <v>0.018</v>
      </c>
      <c r="E8163" s="63" t="n">
        <f aca="false">Pressupostos!$C$69*E8152</f>
        <v>0.018</v>
      </c>
      <c r="F8163" s="63" t="n">
        <f aca="false">Pressupostos!$C$69*F8152</f>
        <v>0.018</v>
      </c>
      <c r="G8163" s="63" t="n">
        <f aca="false">Pressupostos!$C$69*G8152</f>
        <v>0.018</v>
      </c>
      <c r="H8163" s="2" t="s">
        <v>1225</v>
      </c>
    </row>
    <row r="8164" customFormat="false" ht="15" hidden="false" customHeight="false" outlineLevel="1" collapsed="false">
      <c r="A8164" s="7" t="s">
        <v>493</v>
      </c>
      <c r="B8164" s="8" t="s">
        <v>64</v>
      </c>
      <c r="C8164" s="63" t="n">
        <f aca="false">Pressupostos!$C$70*Pressupostos!$C$71*C8158/90</f>
        <v>0.003</v>
      </c>
      <c r="D8164" s="63" t="n">
        <f aca="false">Pressupostos!$C$70*Pressupostos!$C$71*D8158/90</f>
        <v>0.003</v>
      </c>
      <c r="E8164" s="63" t="n">
        <f aca="false">Pressupostos!$C$70*Pressupostos!$C$71*E8158/90</f>
        <v>0.003</v>
      </c>
      <c r="F8164" s="63" t="n">
        <f aca="false">Pressupostos!$C$70*Pressupostos!$C$71*F8158/90</f>
        <v>0.003</v>
      </c>
      <c r="G8164" s="63" t="n">
        <f aca="false">Pressupostos!$C$70*Pressupostos!$C$71*G8158/90</f>
        <v>0.003</v>
      </c>
      <c r="H8164" s="2" t="s">
        <v>1226</v>
      </c>
    </row>
    <row r="8165" customFormat="false" ht="15" hidden="false" customHeight="false" outlineLevel="1" collapsed="false">
      <c r="A8165" s="7" t="s">
        <v>673</v>
      </c>
      <c r="B8165" s="8" t="s">
        <v>64</v>
      </c>
      <c r="C8165" s="63" t="n">
        <f aca="false">Pressupostos!$C$49/(Pressupostos!$C$47*1000)</f>
        <v>0.04</v>
      </c>
      <c r="D8165" s="63" t="n">
        <f aca="false">Pressupostos!$C$49/(Pressupostos!$C$47*1000)</f>
        <v>0.04</v>
      </c>
      <c r="E8165" s="63" t="n">
        <f aca="false">Pressupostos!$C$49/(Pressupostos!$C$47*1000)</f>
        <v>0.04</v>
      </c>
      <c r="F8165" s="63" t="n">
        <f aca="false">Pressupostos!$C$49/(Pressupostos!$C$47*1000)</f>
        <v>0.04</v>
      </c>
      <c r="G8165" s="63" t="n">
        <f aca="false">Pressupostos!$C$49/(Pressupostos!$C$47*1000)</f>
        <v>0.04</v>
      </c>
      <c r="H8165" s="2" t="s">
        <v>1227</v>
      </c>
    </row>
    <row r="8166" customFormat="false" ht="15" hidden="false" customHeight="false" outlineLevel="1" collapsed="false">
      <c r="A8166" s="7" t="s">
        <v>139</v>
      </c>
      <c r="B8166" s="8" t="s">
        <v>64</v>
      </c>
      <c r="C8166" s="67" t="n">
        <f aca="false">Pressupostos!$C$50</f>
        <v>0.005</v>
      </c>
      <c r="D8166" s="67" t="n">
        <f aca="false">Pressupostos!$C$50</f>
        <v>0.005</v>
      </c>
      <c r="E8166" s="67" t="n">
        <f aca="false">Pressupostos!$C$50</f>
        <v>0.005</v>
      </c>
      <c r="F8166" s="67" t="n">
        <f aca="false">Pressupostos!$C$50</f>
        <v>0.005</v>
      </c>
      <c r="G8166" s="67" t="n">
        <f aca="false">Pressupostos!$C$50</f>
        <v>0.005</v>
      </c>
      <c r="H8166" s="2" t="s">
        <v>1228</v>
      </c>
    </row>
    <row r="8167" customFormat="false" ht="15" hidden="false" customHeight="false" outlineLevel="1" collapsed="false">
      <c r="A8167" s="7" t="s">
        <v>81</v>
      </c>
      <c r="B8167" s="8" t="s">
        <v>64</v>
      </c>
      <c r="C8167" s="63" t="n">
        <f aca="false">Pressupostos!$F$25*C8154</f>
        <v>0.01335</v>
      </c>
      <c r="D8167" s="63" t="n">
        <f aca="false">Pressupostos!$F$25*D8154</f>
        <v>0.01335</v>
      </c>
      <c r="E8167" s="63" t="n">
        <f aca="false">Pressupostos!$F$25*E8154</f>
        <v>0.01335</v>
      </c>
      <c r="F8167" s="63" t="n">
        <f aca="false">Pressupostos!$F$25*F8154</f>
        <v>0.01335</v>
      </c>
      <c r="G8167" s="63" t="n">
        <f aca="false">Pressupostos!$F$25*G8154</f>
        <v>0.01335</v>
      </c>
      <c r="H8167" s="2" t="s">
        <v>1229</v>
      </c>
    </row>
    <row r="8168" customFormat="false" ht="15" hidden="false" customHeight="false" outlineLevel="1" collapsed="false">
      <c r="A8168" s="7" t="s">
        <v>674</v>
      </c>
      <c r="B8168" s="8" t="s">
        <v>64</v>
      </c>
      <c r="C8168" s="63" t="n">
        <f aca="false">Pressupostos!$C$73*C8154</f>
        <v>0</v>
      </c>
      <c r="D8168" s="63" t="n">
        <f aca="false">Pressupostos!$C$73*D8154</f>
        <v>0</v>
      </c>
      <c r="E8168" s="63" t="n">
        <f aca="false">Pressupostos!$C$73*E8154</f>
        <v>0</v>
      </c>
      <c r="F8168" s="63" t="n">
        <f aca="false">Pressupostos!$C$73*F8154</f>
        <v>0</v>
      </c>
      <c r="G8168" s="63" t="n">
        <f aca="false">Pressupostos!$C$73*G8154</f>
        <v>0</v>
      </c>
      <c r="H8168" s="2" t="s">
        <v>1230</v>
      </c>
    </row>
    <row r="8169" customFormat="false" ht="15" hidden="false" customHeight="false" outlineLevel="1" collapsed="false">
      <c r="A8169" s="7" t="s">
        <v>675</v>
      </c>
      <c r="B8169" s="8" t="s">
        <v>64</v>
      </c>
      <c r="C8169" s="63" t="n">
        <f aca="false">Pressupostos!$C$290*(C8152+C8155)*(C8158+C8159-(Pressupostos!$C$200))/365*Pressupostos!$C$284/Pressupostos!$F$31</f>
        <v>0</v>
      </c>
      <c r="D8169" s="63" t="n">
        <f aca="false">Pressupostos!$D$290*(D8152+D8155)*(D8158+D8159-(Pressupostos!$C$200))/365*Pressupostos!$D$284/Pressupostos!$F$31</f>
        <v>0.0665753424657534</v>
      </c>
      <c r="E8169" s="63" t="n">
        <f aca="false">Pressupostos!$E$290*(E8152+E8155)*(E8158+E8159-(Pressupostos!$C$200))/365*Pressupostos!$E$284/Pressupostos!$F$31</f>
        <v>0.0624143835616438</v>
      </c>
      <c r="F8169" s="63" t="n">
        <f aca="false">Pressupostos!$F$290*(F8152+F8155)*(F8158+F8159-(Pressupostos!$C$200))/365*Pressupostos!$F$284/Pressupostos!$F$31</f>
        <v>0.0582534246575343</v>
      </c>
      <c r="G8169" s="63" t="n">
        <f aca="false">Pressupostos!$G$290*(G8152+G8155)*(G8158+G8159-(Pressupostos!$C$200))/365*Pressupostos!$G$284/Pressupostos!$F$31</f>
        <v>0.0582534246575343</v>
      </c>
      <c r="H8169" s="2" t="s">
        <v>1231</v>
      </c>
    </row>
    <row r="8170" customFormat="false" ht="15" hidden="false" customHeight="false" outlineLevel="1" collapsed="false">
      <c r="A8170" s="7" t="s">
        <v>676</v>
      </c>
      <c r="B8170" s="8" t="s">
        <v>64</v>
      </c>
      <c r="C8170" s="63" t="n">
        <f aca="false">C8152+C8155+C8156+C8157+C8160+C8161+C8162+C8163+C8164+C8165+C8166+C8167+C8168+C8169</f>
        <v>4.25394178082192</v>
      </c>
      <c r="D8170" s="63" t="n">
        <f aca="false">D8152+D8155+D8156+D8157+D8160+D8161+D8162+D8163+D8164+D8165+D8166+D8167+D8168+D8169</f>
        <v>4.32051712328767</v>
      </c>
      <c r="E8170" s="63" t="n">
        <f aca="false">E8152+E8155+E8156+E8157+E8160+E8161+E8162+E8163+E8164+E8165+E8166+E8167+E8168+E8169</f>
        <v>4.30635616438356</v>
      </c>
      <c r="F8170" s="63" t="n">
        <f aca="false">F8152+F8155+F8156+F8157+F8160+F8161+F8162+F8163+F8164+F8165+F8166+F8167+F8168+F8169</f>
        <v>4.30219520547945</v>
      </c>
      <c r="G8170" s="63" t="n">
        <f aca="false">G8152+G8155+G8156+G8157+G8160+G8161+G8162+G8163+G8164+G8165+G8166+G8167+G8168+G8169</f>
        <v>4.30219520547945</v>
      </c>
      <c r="H8170" s="2" t="s">
        <v>1232</v>
      </c>
    </row>
    <row r="8171" customFormat="false" ht="15" hidden="false" customHeight="false" outlineLevel="1" collapsed="false">
      <c r="A8171" s="56" t="s">
        <v>677</v>
      </c>
      <c r="B8171" s="57" t="s">
        <v>64</v>
      </c>
      <c r="C8171" s="68" t="n">
        <f aca="false">C8154-C8170</f>
        <v>0.196058219178083</v>
      </c>
      <c r="D8171" s="68" t="n">
        <f aca="false">D8154-D8170</f>
        <v>0.129482876712329</v>
      </c>
      <c r="E8171" s="68" t="n">
        <f aca="false">E8154-E8170</f>
        <v>0.143643835616438</v>
      </c>
      <c r="F8171" s="68" t="n">
        <f aca="false">F8154-F8170</f>
        <v>0.147804794520548</v>
      </c>
      <c r="G8171" s="68" t="n">
        <f aca="false">G8154-G8170</f>
        <v>0.147804794520548</v>
      </c>
      <c r="H8171" s="2" t="s">
        <v>1233</v>
      </c>
    </row>
    <row r="8172" customFormat="false" ht="15" hidden="false" customHeight="false" outlineLevel="1" collapsed="false">
      <c r="A8172" s="7" t="s">
        <v>678</v>
      </c>
      <c r="B8172" s="8" t="s">
        <v>76</v>
      </c>
      <c r="C8172" s="59" t="n">
        <f aca="false">IF(C8154&gt;0,C8171/C8154,0)</f>
        <v>0.0440580267815916</v>
      </c>
      <c r="D8172" s="59" t="n">
        <f aca="false">IF(D8154&gt;0,D8171/D8154,0)</f>
        <v>0.0290972756656919</v>
      </c>
      <c r="E8172" s="59" t="n">
        <f aca="false">IF(E8154&gt;0,E8171/E8154,0)</f>
        <v>0.0322795136216715</v>
      </c>
      <c r="F8172" s="59" t="n">
        <f aca="false">IF(F8154&gt;0,F8171/F8154,0)</f>
        <v>0.0332145605664153</v>
      </c>
      <c r="G8172" s="59" t="n">
        <f aca="false">IF(G8154&gt;0,G8171/G8154,0)</f>
        <v>0.0332145605664153</v>
      </c>
      <c r="H8172" s="2" t="s">
        <v>1234</v>
      </c>
    </row>
    <row r="8173" customFormat="false" ht="15" hidden="false" customHeight="false" outlineLevel="1" collapsed="false">
      <c r="A8173" s="7" t="s">
        <v>679</v>
      </c>
      <c r="B8173" s="8" t="s">
        <v>64</v>
      </c>
      <c r="C8173" s="63" t="n">
        <f aca="false">(C8152+C8155)*(C8158-(Pressupostos!$C$200))/365+C8154*C8159/365</f>
        <v>0.947945205479452</v>
      </c>
      <c r="D8173" s="63" t="n">
        <f aca="false">(D8152+D8155)*(D8158-(Pressupostos!$C$200))/365+D8154*D8159/365</f>
        <v>0.947945205479452</v>
      </c>
      <c r="E8173" s="63" t="n">
        <f aca="false">(E8152+E8155)*(E8158-(Pressupostos!$C$200))/365+E8154*E8159/365</f>
        <v>0.947945205479452</v>
      </c>
      <c r="F8173" s="63" t="n">
        <f aca="false">(F8152+F8155)*(F8158-(Pressupostos!$C$200))/365+F8154*F8159/365</f>
        <v>0.947945205479452</v>
      </c>
      <c r="G8173" s="63" t="n">
        <f aca="false">(G8152+G8155)*(G8158-(Pressupostos!$C$200))/365+G8154*G8159/365</f>
        <v>0.947945205479452</v>
      </c>
      <c r="H8173" s="2" t="s">
        <v>1235</v>
      </c>
    </row>
    <row r="8174" customFormat="false" ht="15" hidden="false" customHeight="false" outlineLevel="0" collapsed="false">
      <c r="A8174" s="3" t="s">
        <v>1236</v>
      </c>
      <c r="B8174" s="4"/>
      <c r="C8174" s="4"/>
      <c r="D8174" s="4"/>
      <c r="E8174" s="4"/>
      <c r="F8174" s="4"/>
      <c r="G8174" s="4"/>
      <c r="H8174" s="4"/>
    </row>
    <row r="8175" customFormat="false" ht="15" hidden="false" customHeight="false" outlineLevel="1" collapsed="false">
      <c r="A8175" s="7" t="s">
        <v>669</v>
      </c>
      <c r="B8175" s="8" t="s">
        <v>64</v>
      </c>
      <c r="C8175" s="63" t="n">
        <f aca="false">Pressupostos!$F$10+Pressupostos!$F$13</f>
        <v>3.5</v>
      </c>
      <c r="D8175" s="63" t="n">
        <f aca="false">Pressupostos!$F$10+Pressupostos!$F$13</f>
        <v>3.5</v>
      </c>
      <c r="E8175" s="63" t="n">
        <f aca="false">Pressupostos!$F$10+Pressupostos!$F$13</f>
        <v>3.5</v>
      </c>
      <c r="F8175" s="63" t="n">
        <f aca="false">Pressupostos!$F$10+Pressupostos!$F$13</f>
        <v>3.5</v>
      </c>
      <c r="G8175" s="63" t="n">
        <f aca="false">Pressupostos!$F$10+Pressupostos!$F$13</f>
        <v>3.5</v>
      </c>
      <c r="H8175" s="2" t="s">
        <v>1237</v>
      </c>
    </row>
    <row r="8176" customFormat="false" ht="15" hidden="false" customHeight="false" outlineLevel="1" collapsed="false">
      <c r="A8176" s="7" t="s">
        <v>670</v>
      </c>
      <c r="B8176" s="8" t="s">
        <v>64</v>
      </c>
      <c r="C8176" s="63" t="n">
        <f aca="false">Pressupostos!$F$10+Pressupostos!$C$52</f>
        <v>3.65</v>
      </c>
      <c r="D8176" s="63" t="n">
        <f aca="false">Pressupostos!$F$10+Pressupostos!$C$52</f>
        <v>3.65</v>
      </c>
      <c r="E8176" s="63" t="n">
        <f aca="false">Pressupostos!$F$10+Pressupostos!$C$52</f>
        <v>3.65</v>
      </c>
      <c r="F8176" s="63" t="n">
        <f aca="false">Pressupostos!$F$10+Pressupostos!$C$52</f>
        <v>3.65</v>
      </c>
      <c r="G8176" s="63" t="n">
        <f aca="false">Pressupostos!$F$10+Pressupostos!$C$52</f>
        <v>3.65</v>
      </c>
      <c r="H8176" s="2" t="s">
        <v>1238</v>
      </c>
    </row>
    <row r="8177" customFormat="false" ht="15" hidden="false" customHeight="false" outlineLevel="1" collapsed="false">
      <c r="A8177" s="56" t="s">
        <v>671</v>
      </c>
      <c r="B8177" s="57" t="s">
        <v>64</v>
      </c>
      <c r="C8177" s="68" t="n">
        <f aca="false">C8176*(1-Pressupostos!$C$53)</f>
        <v>3.65</v>
      </c>
      <c r="D8177" s="68" t="n">
        <f aca="false">D8176*(1-Pressupostos!$C$53)</f>
        <v>3.65</v>
      </c>
      <c r="E8177" s="68" t="n">
        <f aca="false">E8176*(1-Pressupostos!$C$53)</f>
        <v>3.65</v>
      </c>
      <c r="F8177" s="68" t="n">
        <f aca="false">F8176*(1-Pressupostos!$C$53)</f>
        <v>3.65</v>
      </c>
      <c r="G8177" s="68" t="n">
        <f aca="false">G8176*(1-Pressupostos!$C$53)</f>
        <v>3.65</v>
      </c>
      <c r="H8177" s="2" t="s">
        <v>1239</v>
      </c>
    </row>
    <row r="8178" customFormat="false" ht="15" hidden="false" customHeight="false" outlineLevel="1" collapsed="false">
      <c r="A8178" s="7" t="s">
        <v>144</v>
      </c>
      <c r="B8178" s="8" t="s">
        <v>64</v>
      </c>
      <c r="C8178" s="67" t="n">
        <f aca="false">Pressupostos!$C$54</f>
        <v>0</v>
      </c>
      <c r="D8178" s="67" t="n">
        <f aca="false">Pressupostos!$C$54</f>
        <v>0</v>
      </c>
      <c r="E8178" s="67" t="n">
        <f aca="false">Pressupostos!$C$54</f>
        <v>0</v>
      </c>
      <c r="F8178" s="67" t="n">
        <f aca="false">Pressupostos!$C$54</f>
        <v>0</v>
      </c>
      <c r="G8178" s="67" t="n">
        <f aca="false">Pressupostos!$C$54</f>
        <v>0</v>
      </c>
      <c r="H8178" s="2" t="s">
        <v>1240</v>
      </c>
    </row>
    <row r="8179" customFormat="false" ht="15" hidden="false" customHeight="false" outlineLevel="1" collapsed="false">
      <c r="A8179" s="7" t="s">
        <v>215</v>
      </c>
      <c r="B8179" s="8" t="s">
        <v>64</v>
      </c>
      <c r="C8179" s="67" t="n">
        <f aca="false">Pressupostos!$C$55</f>
        <v>0.04</v>
      </c>
      <c r="D8179" s="67" t="n">
        <f aca="false">Pressupostos!$C$55</f>
        <v>0.04</v>
      </c>
      <c r="E8179" s="67" t="n">
        <f aca="false">Pressupostos!$C$55</f>
        <v>0.04</v>
      </c>
      <c r="F8179" s="67" t="n">
        <f aca="false">Pressupostos!$C$55</f>
        <v>0.04</v>
      </c>
      <c r="G8179" s="67" t="n">
        <f aca="false">Pressupostos!$C$55</f>
        <v>0.04</v>
      </c>
      <c r="H8179" s="2" t="s">
        <v>1241</v>
      </c>
    </row>
    <row r="8180" customFormat="false" ht="15" hidden="false" customHeight="false" outlineLevel="1" collapsed="false">
      <c r="A8180" s="7" t="s">
        <v>117</v>
      </c>
      <c r="B8180" s="8" t="s">
        <v>64</v>
      </c>
      <c r="C8180" s="67" t="n">
        <f aca="false">Pressupostos!$C$56</f>
        <v>0</v>
      </c>
      <c r="D8180" s="67" t="n">
        <f aca="false">Pressupostos!$C$56</f>
        <v>0</v>
      </c>
      <c r="E8180" s="67" t="n">
        <f aca="false">Pressupostos!$C$56</f>
        <v>0</v>
      </c>
      <c r="F8180" s="67" t="n">
        <f aca="false">Pressupostos!$C$56</f>
        <v>0</v>
      </c>
      <c r="G8180" s="67" t="n">
        <f aca="false">Pressupostos!$C$56</f>
        <v>0</v>
      </c>
      <c r="H8180" s="2" t="s">
        <v>1242</v>
      </c>
    </row>
    <row r="8181" customFormat="false" ht="15" hidden="false" customHeight="false" outlineLevel="1" collapsed="false">
      <c r="A8181" s="7" t="s">
        <v>91</v>
      </c>
      <c r="B8181" s="8" t="s">
        <v>79</v>
      </c>
      <c r="C8181" s="69" t="n">
        <f aca="false">Pressupostos!$C$57</f>
        <v>15</v>
      </c>
      <c r="D8181" s="69" t="n">
        <f aca="false">Pressupostos!$C$57</f>
        <v>15</v>
      </c>
      <c r="E8181" s="69" t="n">
        <f aca="false">Pressupostos!$C$57</f>
        <v>15</v>
      </c>
      <c r="F8181" s="69" t="n">
        <f aca="false">Pressupostos!$C$57</f>
        <v>15</v>
      </c>
      <c r="G8181" s="69" t="n">
        <f aca="false">Pressupostos!$C$57</f>
        <v>15</v>
      </c>
      <c r="H8181" s="2" t="s">
        <v>1243</v>
      </c>
    </row>
    <row r="8182" customFormat="false" ht="15" hidden="false" customHeight="false" outlineLevel="1" collapsed="false">
      <c r="A8182" s="7" t="s">
        <v>78</v>
      </c>
      <c r="B8182" s="8" t="s">
        <v>79</v>
      </c>
      <c r="C8182" s="69" t="n">
        <f aca="false">Pressupostos!$C$58</f>
        <v>45</v>
      </c>
      <c r="D8182" s="69" t="n">
        <f aca="false">Pressupostos!$C$58</f>
        <v>45</v>
      </c>
      <c r="E8182" s="69" t="n">
        <f aca="false">Pressupostos!$C$58</f>
        <v>45</v>
      </c>
      <c r="F8182" s="69" t="n">
        <f aca="false">Pressupostos!$C$58</f>
        <v>45</v>
      </c>
      <c r="G8182" s="69" t="n">
        <f aca="false">Pressupostos!$C$58</f>
        <v>45</v>
      </c>
      <c r="H8182" s="2" t="s">
        <v>1244</v>
      </c>
    </row>
    <row r="8183" customFormat="false" ht="15" hidden="false" customHeight="false" outlineLevel="1" collapsed="false">
      <c r="A8183" s="7" t="s">
        <v>490</v>
      </c>
      <c r="B8183" s="8" t="s">
        <v>64</v>
      </c>
      <c r="C8183" s="63" t="n">
        <f aca="false">Pressupostos!$C$66*C8181/30/1000</f>
        <v>0.002</v>
      </c>
      <c r="D8183" s="63" t="n">
        <f aca="false">Pressupostos!$C$66*D8181/30/1000</f>
        <v>0.002</v>
      </c>
      <c r="E8183" s="63" t="n">
        <f aca="false">Pressupostos!$C$66*E8181/30/1000</f>
        <v>0.002</v>
      </c>
      <c r="F8183" s="63" t="n">
        <f aca="false">Pressupostos!$C$66*F8181/30/1000</f>
        <v>0.002</v>
      </c>
      <c r="G8183" s="63" t="n">
        <f aca="false">Pressupostos!$C$66*G8181/30/1000</f>
        <v>0.002</v>
      </c>
      <c r="H8183" s="2" t="s">
        <v>1245</v>
      </c>
    </row>
    <row r="8184" customFormat="false" ht="15" hidden="false" customHeight="false" outlineLevel="1" collapsed="false">
      <c r="A8184" s="7" t="s">
        <v>165</v>
      </c>
      <c r="B8184" s="8" t="s">
        <v>64</v>
      </c>
      <c r="C8184" s="63" t="n">
        <f aca="false">C8175*Pressupostos!$C$67*C8181/365</f>
        <v>0.000287671232876712</v>
      </c>
      <c r="D8184" s="63" t="n">
        <f aca="false">D8175*Pressupostos!$C$67*D8181/365</f>
        <v>0.000287671232876712</v>
      </c>
      <c r="E8184" s="63" t="n">
        <f aca="false">E8175*Pressupostos!$C$67*E8181/365</f>
        <v>0.000287671232876712</v>
      </c>
      <c r="F8184" s="63" t="n">
        <f aca="false">F8175*Pressupostos!$C$67*F8181/365</f>
        <v>0.000287671232876712</v>
      </c>
      <c r="G8184" s="63" t="n">
        <f aca="false">G8175*Pressupostos!$C$67*G8181/365</f>
        <v>0.000287671232876712</v>
      </c>
      <c r="H8184" s="2" t="s">
        <v>1246</v>
      </c>
    </row>
    <row r="8185" customFormat="false" ht="15" hidden="false" customHeight="false" outlineLevel="1" collapsed="false">
      <c r="A8185" s="7" t="s">
        <v>672</v>
      </c>
      <c r="B8185" s="8" t="s">
        <v>64</v>
      </c>
      <c r="C8185" s="63" t="n">
        <f aca="false">Pressupostos!$C$60*Pressupostos!$C$68/(Pressupostos!$C$59*1000)</f>
        <v>0.006</v>
      </c>
      <c r="D8185" s="63" t="n">
        <f aca="false">Pressupostos!$C$60*Pressupostos!$C$68/(Pressupostos!$C$59*1000)</f>
        <v>0.006</v>
      </c>
      <c r="E8185" s="63" t="n">
        <f aca="false">Pressupostos!$C$60*Pressupostos!$C$68/(Pressupostos!$C$59*1000)</f>
        <v>0.006</v>
      </c>
      <c r="F8185" s="63" t="n">
        <f aca="false">Pressupostos!$C$60*Pressupostos!$C$68/(Pressupostos!$C$59*1000)</f>
        <v>0.006</v>
      </c>
      <c r="G8185" s="63" t="n">
        <f aca="false">Pressupostos!$C$60*Pressupostos!$C$68/(Pressupostos!$C$59*1000)</f>
        <v>0.006</v>
      </c>
      <c r="H8185" s="2" t="s">
        <v>1247</v>
      </c>
    </row>
    <row r="8186" customFormat="false" ht="15" hidden="false" customHeight="false" outlineLevel="1" collapsed="false">
      <c r="A8186" s="7" t="s">
        <v>492</v>
      </c>
      <c r="B8186" s="8" t="s">
        <v>64</v>
      </c>
      <c r="C8186" s="63" t="n">
        <f aca="false">Pressupostos!$C$69*C8175</f>
        <v>0.0175</v>
      </c>
      <c r="D8186" s="63" t="n">
        <f aca="false">Pressupostos!$C$69*D8175</f>
        <v>0.0175</v>
      </c>
      <c r="E8186" s="63" t="n">
        <f aca="false">Pressupostos!$C$69*E8175</f>
        <v>0.0175</v>
      </c>
      <c r="F8186" s="63" t="n">
        <f aca="false">Pressupostos!$C$69*F8175</f>
        <v>0.0175</v>
      </c>
      <c r="G8186" s="63" t="n">
        <f aca="false">Pressupostos!$C$69*G8175</f>
        <v>0.0175</v>
      </c>
      <c r="H8186" s="2" t="s">
        <v>1248</v>
      </c>
    </row>
    <row r="8187" customFormat="false" ht="15" hidden="false" customHeight="false" outlineLevel="1" collapsed="false">
      <c r="A8187" s="7" t="s">
        <v>493</v>
      </c>
      <c r="B8187" s="8" t="s">
        <v>64</v>
      </c>
      <c r="C8187" s="63" t="n">
        <f aca="false">Pressupostos!$C$70*Pressupostos!$C$71*C8181/90</f>
        <v>0.0015</v>
      </c>
      <c r="D8187" s="63" t="n">
        <f aca="false">Pressupostos!$C$70*Pressupostos!$C$71*D8181/90</f>
        <v>0.0015</v>
      </c>
      <c r="E8187" s="63" t="n">
        <f aca="false">Pressupostos!$C$70*Pressupostos!$C$71*E8181/90</f>
        <v>0.0015</v>
      </c>
      <c r="F8187" s="63" t="n">
        <f aca="false">Pressupostos!$C$70*Pressupostos!$C$71*F8181/90</f>
        <v>0.0015</v>
      </c>
      <c r="G8187" s="63" t="n">
        <f aca="false">Pressupostos!$C$70*Pressupostos!$C$71*G8181/90</f>
        <v>0.0015</v>
      </c>
      <c r="H8187" s="2" t="s">
        <v>1249</v>
      </c>
    </row>
    <row r="8188" customFormat="false" ht="15" hidden="false" customHeight="false" outlineLevel="1" collapsed="false">
      <c r="A8188" s="7" t="s">
        <v>673</v>
      </c>
      <c r="B8188" s="8" t="s">
        <v>64</v>
      </c>
      <c r="C8188" s="63" t="n">
        <f aca="false">Pressupostos!$C$61/(Pressupostos!$C$59*1000)</f>
        <v>0.012</v>
      </c>
      <c r="D8188" s="63" t="n">
        <f aca="false">Pressupostos!$C$61/(Pressupostos!$C$59*1000)</f>
        <v>0.012</v>
      </c>
      <c r="E8188" s="63" t="n">
        <f aca="false">Pressupostos!$C$61/(Pressupostos!$C$59*1000)</f>
        <v>0.012</v>
      </c>
      <c r="F8188" s="63" t="n">
        <f aca="false">Pressupostos!$C$61/(Pressupostos!$C$59*1000)</f>
        <v>0.012</v>
      </c>
      <c r="G8188" s="63" t="n">
        <f aca="false">Pressupostos!$C$61/(Pressupostos!$C$59*1000)</f>
        <v>0.012</v>
      </c>
      <c r="H8188" s="2" t="s">
        <v>1250</v>
      </c>
    </row>
    <row r="8189" customFormat="false" ht="15" hidden="false" customHeight="false" outlineLevel="1" collapsed="false">
      <c r="A8189" s="7" t="s">
        <v>139</v>
      </c>
      <c r="B8189" s="8" t="s">
        <v>64</v>
      </c>
      <c r="C8189" s="67" t="n">
        <f aca="false">Pressupostos!$C$62</f>
        <v>0.001</v>
      </c>
      <c r="D8189" s="67" t="n">
        <f aca="false">Pressupostos!$C$62</f>
        <v>0.001</v>
      </c>
      <c r="E8189" s="67" t="n">
        <f aca="false">Pressupostos!$C$62</f>
        <v>0.001</v>
      </c>
      <c r="F8189" s="67" t="n">
        <f aca="false">Pressupostos!$C$62</f>
        <v>0.001</v>
      </c>
      <c r="G8189" s="67" t="n">
        <f aca="false">Pressupostos!$C$62</f>
        <v>0.001</v>
      </c>
      <c r="H8189" s="2" t="s">
        <v>1251</v>
      </c>
    </row>
    <row r="8190" customFormat="false" ht="15" hidden="false" customHeight="false" outlineLevel="1" collapsed="false">
      <c r="A8190" s="7" t="s">
        <v>81</v>
      </c>
      <c r="B8190" s="8" t="s">
        <v>64</v>
      </c>
      <c r="C8190" s="63" t="n">
        <f aca="false">Pressupostos!$C$63*C8177</f>
        <v>0.01095</v>
      </c>
      <c r="D8190" s="63" t="n">
        <f aca="false">Pressupostos!$C$63*D8177</f>
        <v>0.01095</v>
      </c>
      <c r="E8190" s="63" t="n">
        <f aca="false">Pressupostos!$C$63*E8177</f>
        <v>0.01095</v>
      </c>
      <c r="F8190" s="63" t="n">
        <f aca="false">Pressupostos!$C$63*F8177</f>
        <v>0.01095</v>
      </c>
      <c r="G8190" s="63" t="n">
        <f aca="false">Pressupostos!$C$63*G8177</f>
        <v>0.01095</v>
      </c>
      <c r="H8190" s="2" t="s">
        <v>1252</v>
      </c>
    </row>
    <row r="8191" customFormat="false" ht="15" hidden="false" customHeight="false" outlineLevel="1" collapsed="false">
      <c r="A8191" s="7" t="s">
        <v>674</v>
      </c>
      <c r="B8191" s="8" t="s">
        <v>64</v>
      </c>
      <c r="C8191" s="63" t="n">
        <f aca="false">Pressupostos!$C$73*C8177</f>
        <v>0</v>
      </c>
      <c r="D8191" s="63" t="n">
        <f aca="false">Pressupostos!$C$73*D8177</f>
        <v>0</v>
      </c>
      <c r="E8191" s="63" t="n">
        <f aca="false">Pressupostos!$C$73*E8177</f>
        <v>0</v>
      </c>
      <c r="F8191" s="63" t="n">
        <f aca="false">Pressupostos!$C$73*F8177</f>
        <v>0</v>
      </c>
      <c r="G8191" s="63" t="n">
        <f aca="false">Pressupostos!$C$73*G8177</f>
        <v>0</v>
      </c>
      <c r="H8191" s="2" t="s">
        <v>1253</v>
      </c>
    </row>
    <row r="8192" customFormat="false" ht="15" hidden="false" customHeight="false" outlineLevel="1" collapsed="false">
      <c r="A8192" s="7" t="s">
        <v>675</v>
      </c>
      <c r="B8192" s="8" t="s">
        <v>64</v>
      </c>
      <c r="C8192" s="63" t="n">
        <f aca="false">Pressupostos!$C$290*(C8175+C8178)*(C8181+C8182-(Pressupostos!$C$200))/365*Pressupostos!$C$284/Pressupostos!$F$31</f>
        <v>0</v>
      </c>
      <c r="D8192" s="63" t="n">
        <f aca="false">Pressupostos!$D$290*(D8175+D8178)*(D8181+D8182-(Pressupostos!$C$200))/365*Pressupostos!$D$284/Pressupostos!$F$31</f>
        <v>0.039554794520548</v>
      </c>
      <c r="E8192" s="63" t="n">
        <f aca="false">Pressupostos!$E$290*(E8175+E8178)*(E8181+E8182-(Pressupostos!$C$200))/365*Pressupostos!$E$284/Pressupostos!$F$31</f>
        <v>0.0370826198630137</v>
      </c>
      <c r="F8192" s="63" t="n">
        <f aca="false">Pressupostos!$F$290*(F8175+F8178)*(F8181+F8182-(Pressupostos!$C$200))/365*Pressupostos!$F$284/Pressupostos!$F$31</f>
        <v>0.0346104452054795</v>
      </c>
      <c r="G8192" s="63" t="n">
        <f aca="false">Pressupostos!$G$290*(G8175+G8178)*(G8181+G8182-(Pressupostos!$C$200))/365*Pressupostos!$G$284/Pressupostos!$F$31</f>
        <v>0.0346104452054795</v>
      </c>
      <c r="H8192" s="2" t="s">
        <v>1254</v>
      </c>
    </row>
    <row r="8193" customFormat="false" ht="15" hidden="false" customHeight="false" outlineLevel="1" collapsed="false">
      <c r="A8193" s="7" t="s">
        <v>676</v>
      </c>
      <c r="B8193" s="8" t="s">
        <v>64</v>
      </c>
      <c r="C8193" s="63" t="n">
        <f aca="false">C8175+C8178+C8179+C8180+C8183+C8184+C8185+C8186+C8187+C8188+C8189+C8190+C8191+C8192</f>
        <v>3.59123767123288</v>
      </c>
      <c r="D8193" s="63" t="n">
        <f aca="false">D8175+D8178+D8179+D8180+D8183+D8184+D8185+D8186+D8187+D8188+D8189+D8190+D8191+D8192</f>
        <v>3.63079246575342</v>
      </c>
      <c r="E8193" s="63" t="n">
        <f aca="false">E8175+E8178+E8179+E8180+E8183+E8184+E8185+E8186+E8187+E8188+E8189+E8190+E8191+E8192</f>
        <v>3.62832029109589</v>
      </c>
      <c r="F8193" s="63" t="n">
        <f aca="false">F8175+F8178+F8179+F8180+F8183+F8184+F8185+F8186+F8187+F8188+F8189+F8190+F8191+F8192</f>
        <v>3.62584811643836</v>
      </c>
      <c r="G8193" s="63" t="n">
        <f aca="false">G8175+G8178+G8179+G8180+G8183+G8184+G8185+G8186+G8187+G8188+G8189+G8190+G8191+G8192</f>
        <v>3.62584811643836</v>
      </c>
      <c r="H8193" s="2" t="s">
        <v>1255</v>
      </c>
    </row>
    <row r="8194" customFormat="false" ht="15" hidden="false" customHeight="false" outlineLevel="1" collapsed="false">
      <c r="A8194" s="56" t="s">
        <v>677</v>
      </c>
      <c r="B8194" s="57" t="s">
        <v>64</v>
      </c>
      <c r="C8194" s="68" t="n">
        <f aca="false">C8177-C8193</f>
        <v>0.058762328767124</v>
      </c>
      <c r="D8194" s="68" t="n">
        <f aca="false">D8177-D8193</f>
        <v>0.0192075342465761</v>
      </c>
      <c r="E8194" s="68" t="n">
        <f aca="false">E8177-E8193</f>
        <v>0.0216797089041103</v>
      </c>
      <c r="F8194" s="68" t="n">
        <f aca="false">F8177-F8193</f>
        <v>0.0241518835616446</v>
      </c>
      <c r="G8194" s="68" t="n">
        <f aca="false">G8177-G8193</f>
        <v>0.0241518835616446</v>
      </c>
      <c r="H8194" s="2" t="s">
        <v>1256</v>
      </c>
    </row>
    <row r="8195" customFormat="false" ht="15" hidden="false" customHeight="false" outlineLevel="1" collapsed="false">
      <c r="A8195" s="7" t="s">
        <v>678</v>
      </c>
      <c r="B8195" s="8" t="s">
        <v>76</v>
      </c>
      <c r="C8195" s="59" t="n">
        <f aca="false">IF(C8177&gt;0,C8194/C8177,0)</f>
        <v>0.0160992681553764</v>
      </c>
      <c r="D8195" s="59" t="n">
        <f aca="false">IF(D8177&gt;0,D8194/D8177,0)</f>
        <v>0.00526233814974687</v>
      </c>
      <c r="E8195" s="59" t="n">
        <f aca="false">IF(E8177&gt;0,E8194/E8177,0)</f>
        <v>0.00593964627509871</v>
      </c>
      <c r="F8195" s="59" t="n">
        <f aca="false">IF(F8177&gt;0,F8194/F8177,0)</f>
        <v>0.00661695440045056</v>
      </c>
      <c r="G8195" s="59" t="n">
        <f aca="false">IF(G8177&gt;0,G8194/G8177,0)</f>
        <v>0.00661695440045056</v>
      </c>
      <c r="H8195" s="2" t="s">
        <v>1257</v>
      </c>
    </row>
    <row r="8196" customFormat="false" ht="15" hidden="false" customHeight="false" outlineLevel="1" collapsed="false">
      <c r="A8196" s="7" t="s">
        <v>679</v>
      </c>
      <c r="B8196" s="8" t="s">
        <v>64</v>
      </c>
      <c r="C8196" s="63" t="n">
        <f aca="false">(C8175+C8178)*(C8181-(Pressupostos!$C$200))/365+C8177*C8182/365</f>
        <v>0.545890410958904</v>
      </c>
      <c r="D8196" s="63" t="n">
        <f aca="false">(D8175+D8178)*(D8181-(Pressupostos!$C$200))/365+D8177*D8182/365</f>
        <v>0.545890410958904</v>
      </c>
      <c r="E8196" s="63" t="n">
        <f aca="false">(E8175+E8178)*(E8181-(Pressupostos!$C$200))/365+E8177*E8182/365</f>
        <v>0.545890410958904</v>
      </c>
      <c r="F8196" s="63" t="n">
        <f aca="false">(F8175+F8178)*(F8181-(Pressupostos!$C$200))/365+F8177*F8182/365</f>
        <v>0.545890410958904</v>
      </c>
      <c r="G8196" s="63" t="n">
        <f aca="false">(G8175+G8178)*(G8181-(Pressupostos!$C$200))/365+G8177*G8182/365</f>
        <v>0.545890410958904</v>
      </c>
      <c r="H8196" s="2" t="s">
        <v>1258</v>
      </c>
    </row>
    <row r="8197" customFormat="false" ht="15" hidden="false" customHeight="false" outlineLevel="0" collapsed="false">
      <c r="A8197" s="3" t="s">
        <v>1259</v>
      </c>
      <c r="B8197" s="4"/>
      <c r="C8197" s="4"/>
      <c r="D8197" s="4"/>
      <c r="E8197" s="4"/>
      <c r="F8197" s="4"/>
      <c r="G8197" s="4"/>
      <c r="H8197" s="4"/>
    </row>
    <row r="8198" customFormat="false" ht="15" hidden="false" customHeight="false" outlineLevel="1" collapsed="false">
      <c r="A8198" s="7" t="s">
        <v>683</v>
      </c>
      <c r="B8198" s="8" t="s">
        <v>64</v>
      </c>
      <c r="C8198" s="63" t="n">
        <f aca="false">Pressupostos!$C$64*Pressupostos!$F$10</f>
        <v>0.02625</v>
      </c>
      <c r="D8198" s="63" t="n">
        <f aca="false">Pressupostos!$C$64*Pressupostos!$F$10</f>
        <v>0.02625</v>
      </c>
      <c r="E8198" s="63" t="n">
        <f aca="false">Pressupostos!$C$64*Pressupostos!$F$10</f>
        <v>0.02625</v>
      </c>
      <c r="F8198" s="63" t="n">
        <f aca="false">Pressupostos!$C$64*Pressupostos!$F$10</f>
        <v>0.02625</v>
      </c>
      <c r="G8198" s="63" t="n">
        <f aca="false">Pressupostos!$C$64*Pressupostos!$F$10</f>
        <v>0.02625</v>
      </c>
      <c r="H8198" s="2" t="s">
        <v>1260</v>
      </c>
    </row>
    <row r="8199" customFormat="false" ht="15" hidden="false" customHeight="false" outlineLevel="1" collapsed="false">
      <c r="A8199" s="7" t="s">
        <v>684</v>
      </c>
      <c r="B8199" s="8" t="s">
        <v>64</v>
      </c>
      <c r="C8199" s="63" t="n">
        <f aca="false">C8188+C8185+C8189</f>
        <v>0.019</v>
      </c>
      <c r="D8199" s="63" t="n">
        <f aca="false">D8188+D8185+D8189</f>
        <v>0.019</v>
      </c>
      <c r="E8199" s="63" t="n">
        <f aca="false">E8188+E8185+E8189</f>
        <v>0.019</v>
      </c>
      <c r="F8199" s="63" t="n">
        <f aca="false">F8188+F8185+F8189</f>
        <v>0.019</v>
      </c>
      <c r="G8199" s="63" t="n">
        <f aca="false">G8188+G8185+G8189</f>
        <v>0.019</v>
      </c>
      <c r="H8199" s="2" t="s">
        <v>1261</v>
      </c>
    </row>
    <row r="8200" customFormat="false" ht="15" hidden="false" customHeight="false" outlineLevel="1" collapsed="false">
      <c r="A8200" s="56" t="s">
        <v>561</v>
      </c>
      <c r="B8200" s="57" t="s">
        <v>64</v>
      </c>
      <c r="C8200" s="68" t="n">
        <f aca="false">C8198-C8199</f>
        <v>0.00725</v>
      </c>
      <c r="D8200" s="68" t="n">
        <f aca="false">D8198-D8199</f>
        <v>0.00725</v>
      </c>
      <c r="E8200" s="68" t="n">
        <f aca="false">E8198-E8199</f>
        <v>0.00725</v>
      </c>
      <c r="F8200" s="68" t="n">
        <f aca="false">F8198-F8199</f>
        <v>0.00725</v>
      </c>
      <c r="G8200" s="68" t="n">
        <f aca="false">G8198-G8199</f>
        <v>0.00725</v>
      </c>
      <c r="H8200" s="2" t="s">
        <v>1262</v>
      </c>
    </row>
    <row r="8201" customFormat="false" ht="15" hidden="false" customHeight="false" outlineLevel="0" collapsed="false">
      <c r="A8201" s="3" t="s">
        <v>1263</v>
      </c>
      <c r="B8201" s="4"/>
      <c r="C8201" s="4"/>
      <c r="D8201" s="4"/>
      <c r="E8201" s="4"/>
      <c r="F8201" s="4"/>
      <c r="G8201" s="4"/>
      <c r="H8201" s="4"/>
    </row>
    <row r="8202" customFormat="false" ht="15" hidden="false" customHeight="false" outlineLevel="1" collapsed="false">
      <c r="A8202" s="7" t="s">
        <v>608</v>
      </c>
      <c r="B8202" s="8" t="s">
        <v>11</v>
      </c>
      <c r="C8202" s="61" t="n">
        <f aca="false">C8111*1000*C8131</f>
        <v>44280</v>
      </c>
      <c r="D8202" s="61" t="n">
        <f aca="false">D8111*1000*D8131</f>
        <v>166050</v>
      </c>
      <c r="E8202" s="61" t="n">
        <f aca="false">E8111*1000*E8131</f>
        <v>442800</v>
      </c>
      <c r="F8202" s="61" t="n">
        <f aca="false">F8111*1000*F8131</f>
        <v>774900</v>
      </c>
      <c r="G8202" s="61" t="n">
        <f aca="false">G8111*1000*G8131</f>
        <v>1107000</v>
      </c>
      <c r="H8202" s="2" t="s">
        <v>1264</v>
      </c>
    </row>
    <row r="8203" customFormat="false" ht="15" hidden="false" customHeight="false" outlineLevel="1" collapsed="false">
      <c r="A8203" s="7" t="s">
        <v>609</v>
      </c>
      <c r="B8203" s="8" t="s">
        <v>11</v>
      </c>
      <c r="C8203" s="61" t="n">
        <f aca="false">C8112*1000*C8154</f>
        <v>231400</v>
      </c>
      <c r="D8203" s="61" t="n">
        <f aca="false">D8112*1000*D8154</f>
        <v>1615350</v>
      </c>
      <c r="E8203" s="61" t="n">
        <f aca="false">E8112*1000*E8154</f>
        <v>3190650</v>
      </c>
      <c r="F8203" s="61" t="n">
        <f aca="false">F8112*1000*F8154</f>
        <v>5264350</v>
      </c>
      <c r="G8203" s="61" t="n">
        <f aca="false">G8112*1000*G8154</f>
        <v>7965500</v>
      </c>
      <c r="H8203" s="2" t="s">
        <v>1265</v>
      </c>
    </row>
    <row r="8204" customFormat="false" ht="15" hidden="false" customHeight="false" outlineLevel="1" collapsed="false">
      <c r="A8204" s="7" t="s">
        <v>610</v>
      </c>
      <c r="B8204" s="8" t="s">
        <v>11</v>
      </c>
      <c r="C8204" s="61" t="n">
        <f aca="false">C8114*1000*C8177</f>
        <v>0</v>
      </c>
      <c r="D8204" s="61" t="n">
        <f aca="false">D8114*1000*D8177</f>
        <v>0</v>
      </c>
      <c r="E8204" s="61" t="n">
        <f aca="false">E8114*1000*E8177</f>
        <v>0</v>
      </c>
      <c r="F8204" s="61" t="n">
        <f aca="false">F8114*1000*F8177</f>
        <v>0</v>
      </c>
      <c r="G8204" s="61" t="n">
        <f aca="false">G8114*1000*G8177</f>
        <v>0</v>
      </c>
      <c r="H8204" s="2" t="s">
        <v>1266</v>
      </c>
    </row>
    <row r="8205" customFormat="false" ht="15" hidden="false" customHeight="false" outlineLevel="1" collapsed="false">
      <c r="A8205" s="7" t="s">
        <v>611</v>
      </c>
      <c r="B8205" s="8" t="s">
        <v>11</v>
      </c>
      <c r="C8205" s="61" t="n">
        <f aca="false">C8202+C8203+C8204</f>
        <v>275680</v>
      </c>
      <c r="D8205" s="61" t="n">
        <f aca="false">D8202+D8203+D8204</f>
        <v>1781400</v>
      </c>
      <c r="E8205" s="61" t="n">
        <f aca="false">E8202+E8203+E8204</f>
        <v>3633450</v>
      </c>
      <c r="F8205" s="61" t="n">
        <f aca="false">F8202+F8203+F8204</f>
        <v>6039250</v>
      </c>
      <c r="G8205" s="61" t="n">
        <f aca="false">G8202+G8203+G8204</f>
        <v>9072500</v>
      </c>
      <c r="H8205" s="2" t="s">
        <v>1267</v>
      </c>
    </row>
    <row r="8206" customFormat="false" ht="15" hidden="false" customHeight="false" outlineLevel="1" collapsed="false">
      <c r="A8206" s="7" t="s">
        <v>612</v>
      </c>
      <c r="B8206" s="8" t="s">
        <v>11</v>
      </c>
      <c r="C8206" s="61" t="n">
        <f aca="false">C8124*1000*Pressupostos!$C$93</f>
        <v>0</v>
      </c>
      <c r="D8206" s="61" t="n">
        <f aca="false">D8124*1000*Pressupostos!$C$93</f>
        <v>0</v>
      </c>
      <c r="E8206" s="61" t="n">
        <f aca="false">E8124*1000*Pressupostos!$C$93</f>
        <v>0</v>
      </c>
      <c r="F8206" s="61" t="n">
        <f aca="false">F8124*1000*Pressupostos!$C$93</f>
        <v>157000</v>
      </c>
      <c r="G8206" s="61" t="n">
        <f aca="false">G8124*1000*Pressupostos!$C$93</f>
        <v>392500</v>
      </c>
      <c r="H8206" s="2" t="s">
        <v>1268</v>
      </c>
    </row>
    <row r="8207" customFormat="false" ht="15" hidden="false" customHeight="false" outlineLevel="1" collapsed="false">
      <c r="A8207" s="2" t="s">
        <v>613</v>
      </c>
      <c r="B8207" s="8" t="s">
        <v>11</v>
      </c>
      <c r="C8207" s="61" t="n">
        <f aca="false">C8122*Pressupostos!$C$80*(1-Pressupostos!$C$81)</f>
        <v>9720</v>
      </c>
      <c r="D8207" s="61" t="n">
        <f aca="false">D8122*Pressupostos!$C$80*(1-Pressupostos!$C$81)</f>
        <v>36450</v>
      </c>
      <c r="E8207" s="61" t="n">
        <f aca="false">E8122*Pressupostos!$C$80*(1-Pressupostos!$C$81)</f>
        <v>97200</v>
      </c>
      <c r="F8207" s="61" t="n">
        <f aca="false">F8122*Pressupostos!$C$80*(1-Pressupostos!$C$81)</f>
        <v>170100</v>
      </c>
      <c r="G8207" s="61" t="n">
        <f aca="false">G8122*Pressupostos!$C$80*(1-Pressupostos!$C$81)</f>
        <v>243000</v>
      </c>
      <c r="H8207" s="2" t="s">
        <v>1269</v>
      </c>
    </row>
    <row r="8208" customFormat="false" ht="15" hidden="false" customHeight="false" outlineLevel="1" collapsed="false">
      <c r="A8208" s="7" t="s">
        <v>614</v>
      </c>
      <c r="B8208" s="8" t="s">
        <v>11</v>
      </c>
      <c r="C8208" s="61" t="n">
        <f aca="false">C8207*Pressupostos!$F$27</f>
        <v>194.4</v>
      </c>
      <c r="D8208" s="61" t="n">
        <f aca="false">D8207*Pressupostos!$F$27</f>
        <v>729</v>
      </c>
      <c r="E8208" s="61" t="n">
        <f aca="false">E8207*Pressupostos!$F$27</f>
        <v>1944</v>
      </c>
      <c r="F8208" s="61" t="n">
        <f aca="false">F8207*Pressupostos!$F$27</f>
        <v>3402</v>
      </c>
      <c r="G8208" s="61" t="n">
        <f aca="false">G8207*Pressupostos!$F$27</f>
        <v>4860</v>
      </c>
      <c r="H8208" s="2" t="s">
        <v>1270</v>
      </c>
    </row>
    <row r="8209" customFormat="false" ht="15" hidden="false" customHeight="false" outlineLevel="1" collapsed="false">
      <c r="A8209" s="7" t="s">
        <v>615</v>
      </c>
      <c r="B8209" s="8" t="s">
        <v>11</v>
      </c>
      <c r="C8209" s="61" t="n">
        <f aca="false">C8115*1000*C8198</f>
        <v>0</v>
      </c>
      <c r="D8209" s="61" t="n">
        <f aca="false">D8115*1000*D8198</f>
        <v>13125</v>
      </c>
      <c r="E8209" s="61" t="n">
        <f aca="false">E8115*1000*E8198</f>
        <v>39375</v>
      </c>
      <c r="F8209" s="61" t="n">
        <f aca="false">F8115*1000*F8198</f>
        <v>65625</v>
      </c>
      <c r="G8209" s="61" t="n">
        <f aca="false">G8115*1000*G8198</f>
        <v>91875</v>
      </c>
      <c r="H8209" s="2" t="s">
        <v>1271</v>
      </c>
    </row>
    <row r="8210" customFormat="false" ht="15" hidden="false" customHeight="false" outlineLevel="1" collapsed="false">
      <c r="A8210" s="7" t="s">
        <v>616</v>
      </c>
      <c r="B8210" s="8" t="s">
        <v>11</v>
      </c>
      <c r="C8210" s="61" t="n">
        <f aca="false">C8126*(Pressupostos!$C$101*Pressupostos!$C$102+Pressupostos!$C$103)</f>
        <v>0</v>
      </c>
      <c r="D8210" s="61" t="n">
        <f aca="false">D8126*(Pressupostos!$C$101*Pressupostos!$C$102+Pressupostos!$C$103)</f>
        <v>10000</v>
      </c>
      <c r="E8210" s="61" t="n">
        <f aca="false">E8126*(Pressupostos!$C$101*Pressupostos!$C$102+Pressupostos!$C$103)</f>
        <v>30000</v>
      </c>
      <c r="F8210" s="61" t="n">
        <f aca="false">F8126*(Pressupostos!$C$101*Pressupostos!$C$102+Pressupostos!$C$103)</f>
        <v>60000</v>
      </c>
      <c r="G8210" s="61" t="n">
        <f aca="false">G8126*(Pressupostos!$C$101*Pressupostos!$C$102+Pressupostos!$C$103)</f>
        <v>100000</v>
      </c>
      <c r="H8210" s="2" t="s">
        <v>1272</v>
      </c>
    </row>
    <row r="8211" customFormat="false" ht="15" hidden="false" customHeight="false" outlineLevel="1" collapsed="false">
      <c r="A8211" s="7" t="s">
        <v>617</v>
      </c>
      <c r="B8211" s="8" t="s">
        <v>11</v>
      </c>
      <c r="C8211" s="53" t="n">
        <f aca="false">Pressupostos!$C$277</f>
        <v>0</v>
      </c>
      <c r="D8211" s="53" t="n">
        <f aca="false">Pressupostos!$D$277</f>
        <v>0</v>
      </c>
      <c r="E8211" s="53" t="n">
        <f aca="false">Pressupostos!$E$277</f>
        <v>0</v>
      </c>
      <c r="F8211" s="53" t="n">
        <f aca="false">Pressupostos!$F$277</f>
        <v>10000</v>
      </c>
      <c r="G8211" s="53" t="n">
        <f aca="false">Pressupostos!$G$277</f>
        <v>30000</v>
      </c>
      <c r="H8211" s="2" t="s">
        <v>1273</v>
      </c>
    </row>
    <row r="8212" customFormat="false" ht="15" hidden="false" customHeight="false" outlineLevel="1" collapsed="false">
      <c r="A8212" s="56" t="s">
        <v>618</v>
      </c>
      <c r="B8212" s="57" t="s">
        <v>11</v>
      </c>
      <c r="C8212" s="62" t="n">
        <f aca="false">C8205+C8206+C8208+C8209+C8210+C8211</f>
        <v>275874.4</v>
      </c>
      <c r="D8212" s="62" t="n">
        <f aca="false">D8205+D8206+D8208+D8209+D8210+D8211</f>
        <v>1805254</v>
      </c>
      <c r="E8212" s="62" t="n">
        <f aca="false">E8205+E8206+E8208+E8209+E8210+E8211</f>
        <v>3704769</v>
      </c>
      <c r="F8212" s="62" t="n">
        <f aca="false">F8205+F8206+F8208+F8209+F8210+F8211</f>
        <v>6335277</v>
      </c>
      <c r="G8212" s="62" t="n">
        <f aca="false">G8205+G8206+G8208+G8209+G8210+G8211</f>
        <v>9691735</v>
      </c>
      <c r="H8212" s="2" t="s">
        <v>1274</v>
      </c>
    </row>
    <row r="8213" customFormat="false" ht="15" hidden="false" customHeight="false" outlineLevel="0" collapsed="false">
      <c r="A8213" s="3" t="s">
        <v>1275</v>
      </c>
      <c r="B8213" s="4"/>
      <c r="C8213" s="4"/>
      <c r="D8213" s="4"/>
      <c r="E8213" s="4"/>
      <c r="F8213" s="4"/>
      <c r="G8213" s="4"/>
      <c r="H8213" s="4"/>
    </row>
    <row r="8214" customFormat="false" ht="15" hidden="false" customHeight="false" outlineLevel="1" collapsed="false">
      <c r="A8214" s="2" t="s">
        <v>620</v>
      </c>
      <c r="B8214" s="8" t="s">
        <v>11</v>
      </c>
      <c r="C8214" s="61" t="n">
        <f aca="false">C8115*1000*Pressupostos!$F$10</f>
        <v>0</v>
      </c>
      <c r="D8214" s="61" t="n">
        <f aca="false">D8115*1000*Pressupostos!$F$10</f>
        <v>1750000</v>
      </c>
      <c r="E8214" s="61" t="n">
        <f aca="false">E8115*1000*Pressupostos!$F$10</f>
        <v>5250000</v>
      </c>
      <c r="F8214" s="61" t="n">
        <f aca="false">F8115*1000*Pressupostos!$F$10</f>
        <v>8750000</v>
      </c>
      <c r="G8214" s="61" t="n">
        <f aca="false">G8115*1000*Pressupostos!$F$10</f>
        <v>12250000</v>
      </c>
      <c r="H8214" s="2" t="s">
        <v>1276</v>
      </c>
    </row>
    <row r="8215" customFormat="false" ht="15" hidden="false" customHeight="false" outlineLevel="1" collapsed="false">
      <c r="A8215" s="56" t="s">
        <v>621</v>
      </c>
      <c r="B8215" s="57" t="s">
        <v>11</v>
      </c>
      <c r="C8215" s="62" t="n">
        <f aca="false">C8205+C8206+C8207+C8214</f>
        <v>285400</v>
      </c>
      <c r="D8215" s="62" t="n">
        <f aca="false">D8205+D8206+D8207+D8214</f>
        <v>3567850</v>
      </c>
      <c r="E8215" s="62" t="n">
        <f aca="false">E8205+E8206+E8207+E8214</f>
        <v>8980650</v>
      </c>
      <c r="F8215" s="62" t="n">
        <f aca="false">F8205+F8206+F8207+F8214</f>
        <v>15116350</v>
      </c>
      <c r="G8215" s="62" t="n">
        <f aca="false">G8205+G8206+G8207+G8214</f>
        <v>21958000</v>
      </c>
      <c r="H8215" s="2" t="s">
        <v>1277</v>
      </c>
    </row>
    <row r="8216" customFormat="false" ht="15" hidden="false" customHeight="false" outlineLevel="1" collapsed="false">
      <c r="A8216" s="7" t="s">
        <v>622</v>
      </c>
      <c r="B8216" s="8" t="s">
        <v>11</v>
      </c>
      <c r="C8216" s="61" t="n">
        <f aca="false">C8215-C8214-C8204</f>
        <v>285400</v>
      </c>
      <c r="D8216" s="61" t="n">
        <f aca="false">D8215-D8214-D8204</f>
        <v>1817850</v>
      </c>
      <c r="E8216" s="61" t="n">
        <f aca="false">E8215-E8214-E8204</f>
        <v>3730650</v>
      </c>
      <c r="F8216" s="61" t="n">
        <f aca="false">F8215-F8214-F8204</f>
        <v>6366350</v>
      </c>
      <c r="G8216" s="61" t="n">
        <f aca="false">G8215-G8214-G8204</f>
        <v>9708000</v>
      </c>
      <c r="H8216" s="2" t="s">
        <v>1278</v>
      </c>
    </row>
    <row r="8217" customFormat="false" ht="15" hidden="false" customHeight="false" outlineLevel="1" collapsed="false">
      <c r="A8217" s="7" t="s">
        <v>623</v>
      </c>
      <c r="B8217" s="8" t="s">
        <v>11</v>
      </c>
      <c r="C8217" s="61" t="n">
        <f aca="false">C8111*1000*(C8129+C8132)+C8112*1000*(C8152+C8155)+C8114*1000*(C8175+C8178)+C8124*1000*Pressupostos!$C$92</f>
        <v>245040</v>
      </c>
      <c r="D8217" s="61" t="n">
        <f aca="false">D8111*1000*(D8129+D8132)+D8112*1000*(D8152+D8155)+D8114*1000*(D8175+D8178)+D8124*1000*Pressupostos!$C$92</f>
        <v>1599300</v>
      </c>
      <c r="E8217" s="61" t="n">
        <f aca="false">E8111*1000*(E8129+E8132)+E8112*1000*(E8152+E8155)+E8114*1000*(E8175+E8178)+E8124*1000*Pressupostos!$C$92</f>
        <v>3248250</v>
      </c>
      <c r="F8217" s="61" t="n">
        <f aca="false">F8111*1000*(F8129+F8132)+F8112*1000*(F8152+F8155)+F8114*1000*(F8175+F8178)+F8124*1000*Pressupostos!$C$92</f>
        <v>5533850</v>
      </c>
      <c r="G8217" s="61" t="n">
        <f aca="false">G8111*1000*(G8129+G8132)+G8112*1000*(G8152+G8155)+G8114*1000*(G8175+G8178)+G8124*1000*Pressupostos!$C$92</f>
        <v>8460500</v>
      </c>
      <c r="H8217" s="2" t="s">
        <v>1279</v>
      </c>
    </row>
    <row r="8218" customFormat="false" ht="15" hidden="false" customHeight="false" outlineLevel="1" collapsed="false">
      <c r="A8218" s="7" t="s">
        <v>624</v>
      </c>
      <c r="B8218" s="8" t="s">
        <v>11</v>
      </c>
      <c r="C8218" s="61" t="n">
        <f aca="false">C8217*Pressupostos!$C$284</f>
        <v>0</v>
      </c>
      <c r="D8218" s="61" t="n">
        <f aca="false">D8217*Pressupostos!$D$284</f>
        <v>1199475</v>
      </c>
      <c r="E8218" s="61" t="n">
        <f aca="false">E8217*Pressupostos!$E$284</f>
        <v>2436187.5</v>
      </c>
      <c r="F8218" s="61" t="n">
        <f aca="false">F8217*Pressupostos!$F$284</f>
        <v>4150387.5</v>
      </c>
      <c r="G8218" s="61" t="n">
        <f aca="false">G8217*Pressupostos!$G$284</f>
        <v>6345375</v>
      </c>
      <c r="H8218" s="2" t="s">
        <v>1280</v>
      </c>
    </row>
    <row r="8219" customFormat="false" ht="15" hidden="false" customHeight="false" outlineLevel="0" collapsed="false">
      <c r="A8219" s="3" t="s">
        <v>1281</v>
      </c>
      <c r="B8219" s="4"/>
      <c r="C8219" s="4"/>
      <c r="D8219" s="4"/>
      <c r="E8219" s="4"/>
      <c r="F8219" s="4"/>
      <c r="G8219" s="4"/>
      <c r="H8219" s="4"/>
    </row>
    <row r="8220" customFormat="false" ht="15" hidden="false" customHeight="false" outlineLevel="1" collapsed="false">
      <c r="A8220" s="7" t="s">
        <v>626</v>
      </c>
      <c r="B8220" s="8" t="s">
        <v>11</v>
      </c>
      <c r="C8220" s="61" t="n">
        <f aca="false">C8111*1000*C8148</f>
        <v>4950.75000000001</v>
      </c>
      <c r="D8220" s="61" t="n">
        <f aca="false">D8111*1000*D8148</f>
        <v>12992.4015410959</v>
      </c>
      <c r="E8220" s="61" t="n">
        <f aca="false">E8111*1000*E8148</f>
        <v>48976.0866438357</v>
      </c>
      <c r="F8220" s="61" t="n">
        <f aca="false">F8111*1000*F8148</f>
        <v>87723.6631849315</v>
      </c>
      <c r="G8220" s="61" t="n">
        <f aca="false">G8111*1000*G8148</f>
        <v>125319.518835616</v>
      </c>
      <c r="H8220" s="2" t="s">
        <v>1282</v>
      </c>
    </row>
    <row r="8221" customFormat="false" ht="15" hidden="false" customHeight="false" outlineLevel="1" collapsed="false">
      <c r="A8221" s="7" t="s">
        <v>627</v>
      </c>
      <c r="B8221" s="8" t="s">
        <v>11</v>
      </c>
      <c r="C8221" s="61" t="n">
        <f aca="false">C8112*1000*C8171</f>
        <v>10195.0273972603</v>
      </c>
      <c r="D8221" s="61" t="n">
        <f aca="false">D8112*1000*D8171</f>
        <v>47002.2842465754</v>
      </c>
      <c r="E8221" s="61" t="n">
        <f aca="false">E8112*1000*E8171</f>
        <v>102992.630136986</v>
      </c>
      <c r="F8221" s="61" t="n">
        <f aca="false">F8112*1000*F8171</f>
        <v>174853.071917808</v>
      </c>
      <c r="G8221" s="61" t="n">
        <f aca="false">G8112*1000*G8171</f>
        <v>264570.582191781</v>
      </c>
      <c r="H8221" s="2" t="s">
        <v>1283</v>
      </c>
    </row>
    <row r="8222" customFormat="false" ht="15" hidden="false" customHeight="false" outlineLevel="1" collapsed="false">
      <c r="A8222" s="7" t="s">
        <v>628</v>
      </c>
      <c r="B8222" s="8" t="s">
        <v>11</v>
      </c>
      <c r="C8222" s="61" t="n">
        <f aca="false">C8114*1000*C8194+C8115*1000*C8200</f>
        <v>0</v>
      </c>
      <c r="D8222" s="61" t="n">
        <f aca="false">D8114*1000*D8194+D8115*1000*D8200</f>
        <v>3625</v>
      </c>
      <c r="E8222" s="61" t="n">
        <f aca="false">E8114*1000*E8194+E8115*1000*E8200</f>
        <v>10875</v>
      </c>
      <c r="F8222" s="61" t="n">
        <f aca="false">F8114*1000*F8194+F8115*1000*F8200</f>
        <v>18125</v>
      </c>
      <c r="G8222" s="61" t="n">
        <f aca="false">G8114*1000*G8194+G8115*1000*G8200</f>
        <v>25375</v>
      </c>
      <c r="H8222" s="2" t="s">
        <v>1284</v>
      </c>
    </row>
    <row r="8223" customFormat="false" ht="15" hidden="false" customHeight="false" outlineLevel="1" collapsed="false">
      <c r="A8223" s="7" t="s">
        <v>629</v>
      </c>
      <c r="B8223" s="8" t="s">
        <v>11</v>
      </c>
      <c r="C8223" s="61" t="n">
        <f aca="false">C8220+C8221+C8222</f>
        <v>15145.7773972603</v>
      </c>
      <c r="D8223" s="61" t="n">
        <f aca="false">D8220+D8221+D8222</f>
        <v>63619.6857876713</v>
      </c>
      <c r="E8223" s="61" t="n">
        <f aca="false">E8220+E8221+E8222</f>
        <v>162843.716780822</v>
      </c>
      <c r="F8223" s="61" t="n">
        <f aca="false">F8220+F8221+F8222</f>
        <v>280701.73510274</v>
      </c>
      <c r="G8223" s="61" t="n">
        <f aca="false">G8220+G8221+G8222</f>
        <v>415265.101027397</v>
      </c>
      <c r="H8223" s="2" t="s">
        <v>1285</v>
      </c>
    </row>
    <row r="8224" customFormat="false" ht="15" hidden="false" customHeight="false" outlineLevel="1" collapsed="false">
      <c r="A8224" s="7" t="s">
        <v>630</v>
      </c>
      <c r="B8224" s="8" t="s">
        <v>64</v>
      </c>
      <c r="C8224" s="63" t="n">
        <f aca="false">IF(C8116&gt;0,C8223/(C8116*1000),0)</f>
        <v>0.251590986665454</v>
      </c>
      <c r="D8224" s="63" t="n">
        <f aca="false">IF(D8116&gt;0,D8223/(D8116*1000),0)</f>
        <v>0.0711828652169749</v>
      </c>
      <c r="E8224" s="63" t="n">
        <f aca="false">IF(E8116&gt;0,E8223/(E8116*1000),0)</f>
        <v>0.0708324126928325</v>
      </c>
      <c r="F8224" s="63" t="n">
        <f aca="false">IF(F8116&gt;0,F8223/(F8116*1000),0)</f>
        <v>0.073357306965305</v>
      </c>
      <c r="G8224" s="63" t="n">
        <f aca="false">IF(G8116&gt;0,G8223/(G8116*1000),0)</f>
        <v>0.0755714469567602</v>
      </c>
      <c r="H8224" s="2" t="s">
        <v>1286</v>
      </c>
    </row>
    <row r="8225" customFormat="false" ht="15" hidden="false" customHeight="false" outlineLevel="1" collapsed="false">
      <c r="A8225" s="7" t="s">
        <v>631</v>
      </c>
      <c r="B8225" s="8" t="s">
        <v>76</v>
      </c>
      <c r="C8225" s="59" t="n">
        <f aca="false">IF(C8205&gt;0,C8223/C8205,0)</f>
        <v>0.0549397032692263</v>
      </c>
      <c r="D8225" s="59" t="n">
        <f aca="false">IF(D8205&gt;0,D8223/D8205,0)</f>
        <v>0.0357133073917544</v>
      </c>
      <c r="E8225" s="59" t="n">
        <f aca="false">IF(E8205&gt;0,E8223/E8205,0)</f>
        <v>0.0448179324831281</v>
      </c>
      <c r="F8225" s="59" t="n">
        <f aca="false">IF(F8205&gt;0,F8223/F8205,0)</f>
        <v>0.0464795686720602</v>
      </c>
      <c r="G8225" s="59" t="n">
        <f aca="false">IF(G8205&gt;0,G8223/G8205,0)</f>
        <v>0.0457718491074563</v>
      </c>
      <c r="H8225" s="2" t="s">
        <v>1287</v>
      </c>
    </row>
    <row r="8226" customFormat="false" ht="15" hidden="false" customHeight="false" outlineLevel="1" collapsed="false">
      <c r="A8226" s="2" t="s">
        <v>632</v>
      </c>
      <c r="B8226" s="8" t="s">
        <v>64</v>
      </c>
      <c r="C8226" s="63" t="n">
        <f aca="false">Pressupostos!$C$290*Pressupostos!$C$92*(Pressupostos!$C$95+Pressupostos!$C$96-Pressupostos!$C$97)/365*Pressupostos!$C$284/Pressupostos!$F$31</f>
        <v>0</v>
      </c>
      <c r="D8226" s="63" t="n">
        <f aca="false">Pressupostos!$D$290*Pressupostos!$C$92*(Pressupostos!$C$95+Pressupostos!$C$96-Pressupostos!$C$97)/365*Pressupostos!$D$284/Pressupostos!$F$31</f>
        <v>0.0647260273972603</v>
      </c>
      <c r="E8226" s="63" t="n">
        <f aca="false">Pressupostos!$E$290*Pressupostos!$C$92*(Pressupostos!$C$95+Pressupostos!$C$96-Pressupostos!$C$97)/365*Pressupostos!$E$284/Pressupostos!$F$31</f>
        <v>0.0606806506849315</v>
      </c>
      <c r="F8226" s="63" t="n">
        <f aca="false">Pressupostos!$F$290*Pressupostos!$C$92*(Pressupostos!$C$95+Pressupostos!$C$96-Pressupostos!$C$97)/365*Pressupostos!$F$284/Pressupostos!$F$31</f>
        <v>0.0566352739726028</v>
      </c>
      <c r="G8226" s="63" t="n">
        <f aca="false">Pressupostos!$G$290*Pressupostos!$C$92*(Pressupostos!$C$95+Pressupostos!$C$96-Pressupostos!$C$97)/365*Pressupostos!$G$284/Pressupostos!$F$31</f>
        <v>0.0566352739726028</v>
      </c>
      <c r="H8226" s="2" t="s">
        <v>1288</v>
      </c>
    </row>
    <row r="8227" customFormat="false" ht="15" hidden="false" customHeight="false" outlineLevel="1" collapsed="false">
      <c r="A8227" s="7" t="s">
        <v>600</v>
      </c>
      <c r="B8227" s="8" t="s">
        <v>11</v>
      </c>
      <c r="C8227" s="61" t="n">
        <f aca="false">C8124*1000*(Pressupostos!$C$93-Pressupostos!$C$92-Pressupostos!$C$94-C8226-Pressupostos!$C$98*Pressupostos!$C$93-Pressupostos!$C$99-Pressupostos!$F$29*Pressupostos!$C$92)</f>
        <v>0</v>
      </c>
      <c r="D8227" s="61" t="n">
        <f aca="false">D8124*1000*(Pressupostos!$C$93-Pressupostos!$C$92-Pressupostos!$C$94-D8226-Pressupostos!$C$98*Pressupostos!$C$93-Pressupostos!$C$99-Pressupostos!$F$29*Pressupostos!$C$92)</f>
        <v>0</v>
      </c>
      <c r="E8227" s="61" t="n">
        <f aca="false">E8124*1000*(Pressupostos!$C$93-Pressupostos!$C$92-Pressupostos!$C$94-E8226-Pressupostos!$C$98*Pressupostos!$C$93-Pressupostos!$C$99-Pressupostos!$F$29*Pressupostos!$C$92)</f>
        <v>0</v>
      </c>
      <c r="F8227" s="61" t="n">
        <f aca="false">F8124*1000*(Pressupostos!$C$93-Pressupostos!$C$92-Pressupostos!$C$94-F8226-Pressupostos!$C$98*Pressupostos!$C$93-Pressupostos!$C$99-Pressupostos!$F$29*Pressupostos!$C$92)</f>
        <v>10905.2945205479</v>
      </c>
      <c r="G8227" s="61" t="n">
        <f aca="false">G8124*1000*(Pressupostos!$C$93-Pressupostos!$C$92-Pressupostos!$C$94-G8226-Pressupostos!$C$98*Pressupostos!$C$93-Pressupostos!$C$99-Pressupostos!$F$29*Pressupostos!$C$92)</f>
        <v>27263.2363013698</v>
      </c>
      <c r="H8227" s="2" t="s">
        <v>1289</v>
      </c>
    </row>
    <row r="8228" customFormat="false" ht="15" hidden="false" customHeight="false" outlineLevel="1" collapsed="false">
      <c r="A8228" s="7" t="s">
        <v>633</v>
      </c>
      <c r="B8228" s="8" t="s">
        <v>11</v>
      </c>
      <c r="C8228" s="61" t="n">
        <f aca="false">C8208</f>
        <v>194.4</v>
      </c>
      <c r="D8228" s="61" t="n">
        <f aca="false">D8208</f>
        <v>729</v>
      </c>
      <c r="E8228" s="61" t="n">
        <f aca="false">E8208</f>
        <v>1944</v>
      </c>
      <c r="F8228" s="61" t="n">
        <f aca="false">F8208</f>
        <v>3402</v>
      </c>
      <c r="G8228" s="61" t="n">
        <f aca="false">G8208</f>
        <v>4860</v>
      </c>
      <c r="H8228" s="2" t="s">
        <v>1290</v>
      </c>
    </row>
    <row r="8229" customFormat="false" ht="15" hidden="false" customHeight="false" outlineLevel="1" collapsed="false">
      <c r="A8229" s="7" t="s">
        <v>634</v>
      </c>
      <c r="B8229" s="8" t="s">
        <v>11</v>
      </c>
      <c r="C8229" s="61" t="n">
        <f aca="false">C8210-C8244</f>
        <v>0</v>
      </c>
      <c r="D8229" s="61" t="n">
        <f aca="false">D8210-D8244</f>
        <v>10000</v>
      </c>
      <c r="E8229" s="61" t="n">
        <f aca="false">E8210-E8244</f>
        <v>30000</v>
      </c>
      <c r="F8229" s="61" t="n">
        <f aca="false">F8210-F8244</f>
        <v>60000</v>
      </c>
      <c r="G8229" s="61" t="n">
        <f aca="false">G8210-G8244</f>
        <v>100000</v>
      </c>
      <c r="H8229" s="2" t="s">
        <v>1291</v>
      </c>
    </row>
    <row r="8230" customFormat="false" ht="15" hidden="false" customHeight="false" outlineLevel="1" collapsed="false">
      <c r="A8230" s="7" t="s">
        <v>617</v>
      </c>
      <c r="B8230" s="8" t="s">
        <v>11</v>
      </c>
      <c r="C8230" s="61" t="n">
        <f aca="false">C8211</f>
        <v>0</v>
      </c>
      <c r="D8230" s="61" t="n">
        <f aca="false">D8211</f>
        <v>0</v>
      </c>
      <c r="E8230" s="61" t="n">
        <f aca="false">E8211</f>
        <v>0</v>
      </c>
      <c r="F8230" s="61" t="n">
        <f aca="false">F8211</f>
        <v>10000</v>
      </c>
      <c r="G8230" s="61" t="n">
        <f aca="false">G8211</f>
        <v>30000</v>
      </c>
      <c r="H8230" s="2" t="s">
        <v>1292</v>
      </c>
    </row>
    <row r="8231" customFormat="false" ht="15" hidden="false" customHeight="false" outlineLevel="1" collapsed="false">
      <c r="A8231" s="56" t="s">
        <v>635</v>
      </c>
      <c r="B8231" s="57" t="s">
        <v>11</v>
      </c>
      <c r="C8231" s="62" t="n">
        <f aca="false">C8223+C8227+C8228+C8229+C8230</f>
        <v>15340.1773972603</v>
      </c>
      <c r="D8231" s="62" t="n">
        <f aca="false">D8223+D8227+D8228+D8229+D8230</f>
        <v>74348.6857876713</v>
      </c>
      <c r="E8231" s="62" t="n">
        <f aca="false">E8223+E8227+E8228+E8229+E8230</f>
        <v>194787.716780822</v>
      </c>
      <c r="F8231" s="62" t="n">
        <f aca="false">F8223+F8227+F8228+F8229+F8230</f>
        <v>365009.029623288</v>
      </c>
      <c r="G8231" s="62" t="n">
        <f aca="false">G8223+G8227+G8228+G8229+G8230</f>
        <v>577388.337328767</v>
      </c>
      <c r="H8231" s="2" t="s">
        <v>1293</v>
      </c>
    </row>
    <row r="8232" customFormat="false" ht="15" hidden="false" customHeight="false" outlineLevel="0" collapsed="false">
      <c r="A8232" s="3" t="s">
        <v>1294</v>
      </c>
      <c r="B8232" s="4"/>
      <c r="C8232" s="4"/>
      <c r="D8232" s="4"/>
      <c r="E8232" s="4"/>
      <c r="F8232" s="4"/>
      <c r="G8232" s="4"/>
      <c r="H8232" s="4"/>
    </row>
    <row r="8233" customFormat="false" ht="15" hidden="false" customHeight="false" outlineLevel="1" collapsed="false">
      <c r="A8233" s="7" t="s">
        <v>686</v>
      </c>
      <c r="B8233" s="8" t="s">
        <v>11</v>
      </c>
      <c r="C8233" s="61" t="n">
        <f aca="false">C8111*1000*(C8129+C8132)+C8112*1000*(C8152+C8155)+C8114*1000*(C8175+C8178)</f>
        <v>245040</v>
      </c>
      <c r="D8233" s="61" t="n">
        <f aca="false">D8111*1000*(D8129+D8132)+D8112*1000*(D8152+D8155)+D8114*1000*(D8175+D8178)</f>
        <v>1599300</v>
      </c>
      <c r="E8233" s="61" t="n">
        <f aca="false">E8111*1000*(E8129+E8132)+E8112*1000*(E8152+E8155)+E8114*1000*(E8175+E8178)</f>
        <v>3248250</v>
      </c>
      <c r="F8233" s="61" t="n">
        <f aca="false">F8111*1000*(F8129+F8132)+F8112*1000*(F8152+F8155)+F8114*1000*(F8175+F8178)</f>
        <v>5393850</v>
      </c>
      <c r="G8233" s="61" t="n">
        <f aca="false">G8111*1000*(G8129+G8132)+G8112*1000*(G8152+G8155)+G8114*1000*(G8175+G8178)</f>
        <v>8110500</v>
      </c>
      <c r="H8233" s="2" t="s">
        <v>1295</v>
      </c>
    </row>
    <row r="8234" customFormat="false" ht="15" hidden="false" customHeight="false" outlineLevel="1" collapsed="false">
      <c r="A8234" s="7" t="s">
        <v>687</v>
      </c>
      <c r="B8234" s="8" t="s">
        <v>11</v>
      </c>
      <c r="C8234" s="61" t="n">
        <f aca="false">C8124*1000*Pressupostos!$C$92</f>
        <v>0</v>
      </c>
      <c r="D8234" s="61" t="n">
        <f aca="false">D8124*1000*Pressupostos!$C$92</f>
        <v>0</v>
      </c>
      <c r="E8234" s="61" t="n">
        <f aca="false">E8124*1000*Pressupostos!$C$92</f>
        <v>0</v>
      </c>
      <c r="F8234" s="61" t="n">
        <f aca="false">F8124*1000*Pressupostos!$C$92</f>
        <v>140000</v>
      </c>
      <c r="G8234" s="61" t="n">
        <f aca="false">G8124*1000*Pressupostos!$C$92</f>
        <v>350000</v>
      </c>
      <c r="H8234" s="2" t="s">
        <v>1296</v>
      </c>
    </row>
    <row r="8235" customFormat="false" ht="15" hidden="false" customHeight="false" outlineLevel="1" collapsed="false">
      <c r="A8235" s="7" t="s">
        <v>688</v>
      </c>
      <c r="B8235" s="8" t="s">
        <v>11</v>
      </c>
      <c r="C8235" s="61" t="n">
        <f aca="false">C8233+C8234</f>
        <v>245040</v>
      </c>
      <c r="D8235" s="61" t="n">
        <f aca="false">D8233+D8234</f>
        <v>1599300</v>
      </c>
      <c r="E8235" s="61" t="n">
        <f aca="false">E8233+E8234</f>
        <v>3248250</v>
      </c>
      <c r="F8235" s="61" t="n">
        <f aca="false">F8233+F8234</f>
        <v>5533850</v>
      </c>
      <c r="G8235" s="61" t="n">
        <f aca="false">G8233+G8234</f>
        <v>8460500</v>
      </c>
      <c r="H8235" s="2" t="s">
        <v>1297</v>
      </c>
    </row>
    <row r="8236" customFormat="false" ht="15" hidden="false" customHeight="false" outlineLevel="1" collapsed="false">
      <c r="A8236" s="7" t="s">
        <v>215</v>
      </c>
      <c r="B8236" s="8" t="s">
        <v>11</v>
      </c>
      <c r="C8236" s="61" t="n">
        <f aca="false">C8111*1000*(C8133)+C8112*1000*(C8156)+C8114*1000*(C8179)+C8124*1000*Pressupostos!$C$94</f>
        <v>7660</v>
      </c>
      <c r="D8236" s="61" t="n">
        <f aca="false">D8111*1000*(D8133)+D8112*1000*(D8156)+D8114*1000*(D8179)+D8124*1000*Pressupostos!$C$94</f>
        <v>45525</v>
      </c>
      <c r="E8236" s="61" t="n">
        <f aca="false">E8111*1000*(E8133)+E8112*1000*(E8156)+E8114*1000*(E8179)+E8124*1000*Pressupostos!$C$94</f>
        <v>87490</v>
      </c>
      <c r="F8236" s="61" t="n">
        <f aca="false">F8111*1000*(F8133)+F8112*1000*(F8156)+F8114*1000*(F8179)+F8124*1000*Pressupostos!$C$94</f>
        <v>148215</v>
      </c>
      <c r="G8236" s="61" t="n">
        <f aca="false">G8111*1000*(G8133)+G8112*1000*(G8156)+G8114*1000*(G8179)+G8124*1000*Pressupostos!$C$94</f>
        <v>223950</v>
      </c>
      <c r="H8236" s="2" t="s">
        <v>1298</v>
      </c>
    </row>
    <row r="8237" customFormat="false" ht="15" hidden="false" customHeight="false" outlineLevel="1" collapsed="false">
      <c r="A8237" s="7" t="s">
        <v>117</v>
      </c>
      <c r="B8237" s="8" t="s">
        <v>11</v>
      </c>
      <c r="C8237" s="61" t="n">
        <f aca="false">C8111*1000*(C8134)+C8112*1000*(C8157)+C8114*1000*(C8180)</f>
        <v>492</v>
      </c>
      <c r="D8237" s="61" t="n">
        <f aca="false">D8111*1000*(D8134)+D8112*1000*(D8157)+D8114*1000*(D8180)</f>
        <v>1845</v>
      </c>
      <c r="E8237" s="61" t="n">
        <f aca="false">E8111*1000*(E8134)+E8112*1000*(E8157)+E8114*1000*(E8180)</f>
        <v>4920</v>
      </c>
      <c r="F8237" s="61" t="n">
        <f aca="false">F8111*1000*(F8134)+F8112*1000*(F8157)+F8114*1000*(F8180)</f>
        <v>8610</v>
      </c>
      <c r="G8237" s="61" t="n">
        <f aca="false">G8111*1000*(G8134)+G8112*1000*(G8157)+G8114*1000*(G8180)</f>
        <v>12300</v>
      </c>
      <c r="H8237" s="2" t="s">
        <v>1299</v>
      </c>
    </row>
    <row r="8238" customFormat="false" ht="15" hidden="false" customHeight="false" outlineLevel="1" collapsed="false">
      <c r="A8238" s="7" t="s">
        <v>689</v>
      </c>
      <c r="B8238" s="8" t="s">
        <v>11</v>
      </c>
      <c r="C8238" s="61" t="n">
        <f aca="false">C8111*1000*(C8137+C8138)+C8112*1000*(C8160+C8161)+C8114*1000*(C8183+C8184)</f>
        <v>465.092602739726</v>
      </c>
      <c r="D8238" s="61" t="n">
        <f aca="false">D8111*1000*(D8137+D8138)+D8112*1000*(D8160+D8161)+D8114*1000*(D8183+D8184)</f>
        <v>2515.51643835616</v>
      </c>
      <c r="E8238" s="61" t="n">
        <f aca="false">E8111*1000*(E8137+E8138)+E8112*1000*(E8160+E8161)+E8114*1000*(E8183+E8184)</f>
        <v>3858.10684931507</v>
      </c>
      <c r="F8238" s="61" t="n">
        <f aca="false">F8111*1000*(F8137+F8138)+F8112*1000*(F8160+F8161)+F8114*1000*(F8183+F8184)</f>
        <v>6422.22671232877</v>
      </c>
      <c r="G8238" s="61" t="n">
        <f aca="false">G8111*1000*(G8137+G8138)+G8112*1000*(G8160+G8161)+G8114*1000*(G8183+G8184)</f>
        <v>9633.78767123288</v>
      </c>
      <c r="H8238" s="2" t="s">
        <v>1300</v>
      </c>
    </row>
    <row r="8239" customFormat="false" ht="15" hidden="false" customHeight="false" outlineLevel="1" collapsed="false">
      <c r="A8239" s="7" t="s">
        <v>690</v>
      </c>
      <c r="B8239" s="8" t="s">
        <v>11</v>
      </c>
      <c r="C8239" s="61" t="n">
        <f aca="false">C8111*1000*(C8139+C8140+C8141)+C8112*1000*(C8162+C8163+C8164)+C8114*1000*(C8185+C8186+C8187)</f>
        <v>2675.25</v>
      </c>
      <c r="D8239" s="61" t="n">
        <f aca="false">D8111*1000*(D8139+D8140+D8141)+D8112*1000*(D8162+D8163+D8164)+D8114*1000*(D8185+D8186+D8187)</f>
        <v>16920.1875</v>
      </c>
      <c r="E8239" s="61" t="n">
        <f aca="false">E8111*1000*(E8139+E8140+E8141)+E8112*1000*(E8162+E8163+E8164)+E8114*1000*(E8185+E8186+E8187)</f>
        <v>33722.5</v>
      </c>
      <c r="F8239" s="61" t="n">
        <f aca="false">F8111*1000*(F8139+F8140+F8141)+F8112*1000*(F8162+F8163+F8164)+F8114*1000*(F8185+F8186+F8187)</f>
        <v>56072.625</v>
      </c>
      <c r="G8239" s="61" t="n">
        <f aca="false">G8111*1000*(G8139+G8140+G8141)+G8112*1000*(G8162+G8163+G8164)+G8114*1000*(G8185+G8186+G8187)</f>
        <v>84203.75</v>
      </c>
      <c r="H8239" s="2" t="s">
        <v>1301</v>
      </c>
    </row>
    <row r="8240" customFormat="false" ht="15" hidden="false" customHeight="false" outlineLevel="1" collapsed="false">
      <c r="A8240" s="7" t="s">
        <v>673</v>
      </c>
      <c r="B8240" s="8" t="s">
        <v>11</v>
      </c>
      <c r="C8240" s="61" t="n">
        <f aca="false">C8111*1000*(C8142)+C8112*1000*(C8165)+C8114*1000*(C8188)</f>
        <v>2900</v>
      </c>
      <c r="D8240" s="61" t="n">
        <f aca="false">D8111*1000*(D8142)+D8112*1000*(D8165)+D8114*1000*(D8188)</f>
        <v>17595</v>
      </c>
      <c r="E8240" s="61" t="n">
        <f aca="false">E8111*1000*(E8142)+E8112*1000*(E8165)+E8114*1000*(E8188)</f>
        <v>36880</v>
      </c>
      <c r="F8240" s="61" t="n">
        <f aca="false">F8111*1000*(F8142)+F8112*1000*(F8165)+F8114*1000*(F8188)</f>
        <v>61670</v>
      </c>
      <c r="G8240" s="61" t="n">
        <f aca="false">G8111*1000*(G8142)+G8112*1000*(G8165)+G8114*1000*(G8188)</f>
        <v>92100</v>
      </c>
      <c r="H8240" s="2" t="s">
        <v>1302</v>
      </c>
    </row>
    <row r="8241" customFormat="false" ht="15" hidden="false" customHeight="false" outlineLevel="1" collapsed="false">
      <c r="A8241" s="7" t="s">
        <v>691</v>
      </c>
      <c r="B8241" s="8" t="s">
        <v>11</v>
      </c>
      <c r="C8241" s="61" t="n">
        <f aca="false">C8111*1000*(C8143)+C8112*1000*(C8166)+C8114*1000*(C8189)+C8124*1000*Pressupostos!$C$99</f>
        <v>342</v>
      </c>
      <c r="D8241" s="61" t="n">
        <f aca="false">D8111*1000*(D8143)+D8112*1000*(D8166)+D8114*1000*(D8189)+D8124*1000*Pressupostos!$C$99</f>
        <v>2122.5</v>
      </c>
      <c r="E8241" s="61" t="n">
        <f aca="false">E8111*1000*(E8143)+E8112*1000*(E8166)+E8114*1000*(E8189)+E8124*1000*Pressupostos!$C$99</f>
        <v>4405</v>
      </c>
      <c r="F8241" s="61" t="n">
        <f aca="false">F8111*1000*(F8143)+F8112*1000*(F8166)+F8114*1000*(F8189)+F8124*1000*Pressupostos!$C$99</f>
        <v>7950</v>
      </c>
      <c r="G8241" s="61" t="n">
        <f aca="false">G8111*1000*(G8143)+G8112*1000*(G8166)+G8114*1000*(G8189)+G8124*1000*Pressupostos!$C$99</f>
        <v>12500</v>
      </c>
      <c r="H8241" s="2" t="s">
        <v>1303</v>
      </c>
    </row>
    <row r="8242" customFormat="false" ht="15" hidden="false" customHeight="false" outlineLevel="1" collapsed="false">
      <c r="A8242" s="7" t="s">
        <v>81</v>
      </c>
      <c r="B8242" s="8" t="s">
        <v>11</v>
      </c>
      <c r="C8242" s="61" t="n">
        <f aca="false">C8111*1000*(C8144)+C8112*1000*(C8167)+C8114*1000*(C8190)+C8124*1000*Pressupostos!$C$98*Pressupostos!$C$93</f>
        <v>959.88</v>
      </c>
      <c r="D8242" s="61" t="n">
        <f aca="false">D8111*1000*(D8144)+D8112*1000*(D8167)+D8114*1000*(D8190)+D8124*1000*Pressupostos!$C$98*Pressupostos!$C$93</f>
        <v>5842.35</v>
      </c>
      <c r="E8242" s="61" t="n">
        <f aca="false">E8111*1000*(E8144)+E8112*1000*(E8167)+E8114*1000*(E8190)+E8124*1000*Pressupostos!$C$98*Pressupostos!$C$93</f>
        <v>12228.75</v>
      </c>
      <c r="F8242" s="61" t="n">
        <f aca="false">F8111*1000*(F8144)+F8112*1000*(F8167)+F8114*1000*(F8190)+F8124*1000*Pressupostos!$C$98*Pressupostos!$C$93</f>
        <v>21384.45</v>
      </c>
      <c r="G8242" s="61" t="n">
        <f aca="false">G8111*1000*(G8144)+G8112*1000*(G8167)+G8114*1000*(G8190)+G8124*1000*Pressupostos!$C$98*Pressupostos!$C$93</f>
        <v>32893.5</v>
      </c>
      <c r="H8242" s="2" t="s">
        <v>1304</v>
      </c>
    </row>
    <row r="8243" customFormat="false" ht="15" hidden="false" customHeight="false" outlineLevel="1" collapsed="false">
      <c r="A8243" s="7" t="s">
        <v>692</v>
      </c>
      <c r="B8243" s="8" t="s">
        <v>11</v>
      </c>
      <c r="C8243" s="61" t="n">
        <f aca="false">C8111*1000*(C8145)+C8112*1000*(C8168)+C8114*1000*(C8191)+C8124*1000*Pressupostos!$F$29*Pressupostos!$C$92</f>
        <v>0</v>
      </c>
      <c r="D8243" s="61" t="n">
        <f aca="false">D8111*1000*(D8145)+D8112*1000*(D8168)+D8114*1000*(D8191)+D8124*1000*Pressupostos!$F$29*Pressupostos!$C$92</f>
        <v>0</v>
      </c>
      <c r="E8243" s="61" t="n">
        <f aca="false">E8111*1000*(E8145)+E8112*1000*(E8168)+E8114*1000*(E8191)+E8124*1000*Pressupostos!$F$29*Pressupostos!$C$92</f>
        <v>0</v>
      </c>
      <c r="F8243" s="61" t="n">
        <f aca="false">F8111*1000*(F8145)+F8112*1000*(F8168)+F8114*1000*(F8191)+F8124*1000*Pressupostos!$F$29*Pressupostos!$C$92</f>
        <v>420</v>
      </c>
      <c r="G8243" s="61" t="n">
        <f aca="false">G8111*1000*(G8145)+G8112*1000*(G8168)+G8114*1000*(G8191)+G8124*1000*Pressupostos!$F$29*Pressupostos!$C$92</f>
        <v>1050</v>
      </c>
      <c r="H8243" s="2" t="s">
        <v>1305</v>
      </c>
    </row>
    <row r="8244" customFormat="false" ht="15" hidden="false" customHeight="false" outlineLevel="1" collapsed="false">
      <c r="A8244" s="7" t="s">
        <v>693</v>
      </c>
      <c r="B8244" s="8" t="s">
        <v>11</v>
      </c>
      <c r="C8244" s="61" t="n">
        <f aca="false">C8127*1000*Pressupostos!$C$104*Pressupostos!$F$30</f>
        <v>0</v>
      </c>
      <c r="D8244" s="61" t="n">
        <f aca="false">D8127*1000*Pressupostos!$C$104*Pressupostos!$F$30</f>
        <v>0</v>
      </c>
      <c r="E8244" s="61" t="n">
        <f aca="false">E8127*1000*Pressupostos!$C$104*Pressupostos!$F$30</f>
        <v>0</v>
      </c>
      <c r="F8244" s="61" t="n">
        <f aca="false">F8127*1000*Pressupostos!$C$104*Pressupostos!$F$30</f>
        <v>0</v>
      </c>
      <c r="G8244" s="61" t="n">
        <f aca="false">G8127*1000*Pressupostos!$C$104*Pressupostos!$F$30</f>
        <v>0</v>
      </c>
      <c r="H8244" s="2" t="s">
        <v>1306</v>
      </c>
    </row>
    <row r="8245" customFormat="false" ht="15" hidden="false" customHeight="false" outlineLevel="1" collapsed="false">
      <c r="A8245" s="7" t="s">
        <v>694</v>
      </c>
      <c r="B8245" s="8" t="s">
        <v>11</v>
      </c>
      <c r="C8245" s="61" t="n">
        <f aca="false">C8115*1000*C8199</f>
        <v>0</v>
      </c>
      <c r="D8245" s="61" t="n">
        <f aca="false">D8115*1000*D8199</f>
        <v>9500</v>
      </c>
      <c r="E8245" s="61" t="n">
        <f aca="false">E8115*1000*E8199</f>
        <v>28500</v>
      </c>
      <c r="F8245" s="61" t="n">
        <f aca="false">F8115*1000*F8199</f>
        <v>47500</v>
      </c>
      <c r="G8245" s="61" t="n">
        <f aca="false">G8115*1000*G8199</f>
        <v>66500</v>
      </c>
      <c r="H8245" s="2" t="s">
        <v>1307</v>
      </c>
    </row>
    <row r="8246" customFormat="false" ht="15" hidden="false" customHeight="false" outlineLevel="1" collapsed="false">
      <c r="A8246" s="7" t="s">
        <v>695</v>
      </c>
      <c r="B8246" s="8" t="s">
        <v>11</v>
      </c>
      <c r="C8246" s="61" t="n">
        <f aca="false">C8236+C8237+C8238+C8239+C8240+C8241+C8242+C8243+C8244+C8245</f>
        <v>15494.2226027397</v>
      </c>
      <c r="D8246" s="61" t="n">
        <f aca="false">D8236+D8237+D8238+D8239+D8240+D8241+D8242+D8243+D8244+D8245</f>
        <v>101865.553938356</v>
      </c>
      <c r="E8246" s="61" t="n">
        <f aca="false">E8236+E8237+E8238+E8239+E8240+E8241+E8242+E8243+E8244+E8245</f>
        <v>212004.356849315</v>
      </c>
      <c r="F8246" s="61" t="n">
        <f aca="false">F8236+F8237+F8238+F8239+F8240+F8241+F8242+F8243+F8244+F8245</f>
        <v>358244.301712329</v>
      </c>
      <c r="G8246" s="61" t="n">
        <f aca="false">G8236+G8237+G8238+G8239+G8240+G8241+G8242+G8243+G8244+G8245</f>
        <v>535131.037671233</v>
      </c>
      <c r="H8246" s="2" t="s">
        <v>1308</v>
      </c>
    </row>
    <row r="8247" customFormat="false" ht="15" hidden="false" customHeight="false" outlineLevel="1" collapsed="false">
      <c r="A8247" s="7" t="s">
        <v>696</v>
      </c>
      <c r="B8247" s="8" t="s">
        <v>11</v>
      </c>
      <c r="C8247" s="61" t="n">
        <f aca="false">C8111*1000*(C8146)+C8112*1000*(C8169)+C8114*1000*(C8192)</f>
        <v>0</v>
      </c>
      <c r="D8247" s="61" t="n">
        <f aca="false">D8111*1000*(D8146)+D8112*1000*(D8169)+D8114*1000*(D8192)</f>
        <v>29739.7602739726</v>
      </c>
      <c r="E8247" s="61" t="n">
        <f aca="false">E8111*1000*(E8146)+E8112*1000*(E8169)+E8114*1000*(E8192)</f>
        <v>49726.926369863</v>
      </c>
      <c r="F8247" s="61" t="n">
        <f aca="false">F8111*1000*(F8146)+F8112*1000*(F8169)+F8114*1000*(F8192)</f>
        <v>77040.9631849315</v>
      </c>
      <c r="G8247" s="61" t="n">
        <f aca="false">G8111*1000*(G8146)+G8112*1000*(G8169)+G8114*1000*(G8192)</f>
        <v>115883.86130137</v>
      </c>
      <c r="H8247" s="2" t="s">
        <v>1309</v>
      </c>
    </row>
    <row r="8248" customFormat="false" ht="15" hidden="false" customHeight="false" outlineLevel="1" collapsed="false">
      <c r="A8248" s="7" t="s">
        <v>697</v>
      </c>
      <c r="B8248" s="8" t="s">
        <v>11</v>
      </c>
      <c r="C8248" s="61" t="n">
        <f aca="false">C8124*1000*C8226</f>
        <v>0</v>
      </c>
      <c r="D8248" s="61" t="n">
        <f aca="false">D8124*1000*D8226</f>
        <v>0</v>
      </c>
      <c r="E8248" s="61" t="n">
        <f aca="false">E8124*1000*E8226</f>
        <v>0</v>
      </c>
      <c r="F8248" s="61" t="n">
        <f aca="false">F8124*1000*F8226</f>
        <v>1132.70547945206</v>
      </c>
      <c r="G8248" s="61" t="n">
        <f aca="false">G8124*1000*G8226</f>
        <v>2831.76369863014</v>
      </c>
      <c r="H8248" s="2" t="s">
        <v>1310</v>
      </c>
    </row>
    <row r="8249" customFormat="false" ht="15" hidden="false" customHeight="false" outlineLevel="1" collapsed="false">
      <c r="A8249" s="7" t="s">
        <v>698</v>
      </c>
      <c r="B8249" s="8" t="s">
        <v>11</v>
      </c>
      <c r="C8249" s="61" t="n">
        <f aca="false">C8247+C8248</f>
        <v>0</v>
      </c>
      <c r="D8249" s="61" t="n">
        <f aca="false">D8247+D8248</f>
        <v>29739.7602739726</v>
      </c>
      <c r="E8249" s="61" t="n">
        <f aca="false">E8247+E8248</f>
        <v>49726.926369863</v>
      </c>
      <c r="F8249" s="61" t="n">
        <f aca="false">F8247+F8248</f>
        <v>78173.6686643836</v>
      </c>
      <c r="G8249" s="61" t="n">
        <f aca="false">G8247+G8248</f>
        <v>118715.625</v>
      </c>
      <c r="H8249" s="2" t="s">
        <v>1311</v>
      </c>
    </row>
    <row r="8250" customFormat="false" ht="15" hidden="false" customHeight="false" outlineLevel="1" collapsed="false">
      <c r="A8250" s="8" t="s">
        <v>699</v>
      </c>
      <c r="B8250" s="8" t="s">
        <v>11</v>
      </c>
      <c r="C8250" s="70" t="n">
        <f aca="false">ROUND(C8212-C8235-C8246-C8249-C8231,6)</f>
        <v>0</v>
      </c>
      <c r="D8250" s="70" t="n">
        <f aca="false">ROUND(D8212-D8235-D8246-D8249-D8231,6)</f>
        <v>-0</v>
      </c>
      <c r="E8250" s="70" t="n">
        <f aca="false">ROUND(E8212-E8235-E8246-E8249-E8231,6)</f>
        <v>0</v>
      </c>
      <c r="F8250" s="70" t="n">
        <f aca="false">ROUND(F8212-F8235-F8246-F8249-F8231,6)</f>
        <v>0</v>
      </c>
      <c r="G8250" s="70" t="n">
        <f aca="false">ROUND(G8212-G8235-G8246-G8249-G8231,6)</f>
        <v>0</v>
      </c>
      <c r="H8250" s="2" t="s">
        <v>1312</v>
      </c>
    </row>
    <row r="8251" customFormat="false" ht="15" hidden="false" customHeight="false" outlineLevel="0" collapsed="false">
      <c r="A8251" s="3" t="s">
        <v>1313</v>
      </c>
      <c r="B8251" s="4"/>
      <c r="C8251" s="4"/>
      <c r="D8251" s="4"/>
      <c r="E8251" s="4"/>
      <c r="F8251" s="4"/>
      <c r="G8251" s="4"/>
      <c r="H8251" s="4"/>
    </row>
    <row r="8252" customFormat="false" ht="15" hidden="false" customHeight="false" outlineLevel="1" collapsed="false">
      <c r="A8252" s="7" t="s">
        <v>638</v>
      </c>
      <c r="B8252" s="8" t="s">
        <v>432</v>
      </c>
      <c r="C8252" s="64" t="n">
        <f aca="false">Pressupostos!$C$334</f>
        <v>1</v>
      </c>
      <c r="D8252" s="64" t="n">
        <f aca="false">Pressupostos!$D$334</f>
        <v>1</v>
      </c>
      <c r="E8252" s="64" t="n">
        <f aca="false">Pressupostos!$E$334</f>
        <v>1</v>
      </c>
      <c r="F8252" s="64" t="n">
        <f aca="false">Pressupostos!$F$334</f>
        <v>1</v>
      </c>
      <c r="G8252" s="64" t="n">
        <f aca="false">Pressupostos!$G$334</f>
        <v>1</v>
      </c>
      <c r="H8252" s="2" t="s">
        <v>1314</v>
      </c>
    </row>
    <row r="8253" customFormat="false" ht="15" hidden="false" customHeight="false" outlineLevel="1" collapsed="false">
      <c r="A8253" s="7" t="s">
        <v>639</v>
      </c>
      <c r="B8253" s="8" t="s">
        <v>432</v>
      </c>
      <c r="C8253" s="64" t="n">
        <f aca="false">Pressupostos!$C$340</f>
        <v>1</v>
      </c>
      <c r="D8253" s="64" t="n">
        <f aca="false">Pressupostos!$D$340</f>
        <v>1</v>
      </c>
      <c r="E8253" s="64" t="n">
        <f aca="false">Pressupostos!$E$340</f>
        <v>1</v>
      </c>
      <c r="F8253" s="64" t="n">
        <f aca="false">Pressupostos!$F$340</f>
        <v>1</v>
      </c>
      <c r="G8253" s="64" t="n">
        <f aca="false">Pressupostos!$G$340</f>
        <v>1</v>
      </c>
      <c r="H8253" s="2" t="s">
        <v>1315</v>
      </c>
    </row>
    <row r="8254" customFormat="false" ht="15" hidden="false" customHeight="false" outlineLevel="1" collapsed="false">
      <c r="A8254" s="7" t="s">
        <v>640</v>
      </c>
      <c r="B8254" s="8" t="s">
        <v>432</v>
      </c>
      <c r="C8254" s="64" t="n">
        <f aca="false">Pressupostos!$C$346</f>
        <v>0</v>
      </c>
      <c r="D8254" s="64" t="n">
        <f aca="false">Pressupostos!$D$346</f>
        <v>1</v>
      </c>
      <c r="E8254" s="64" t="n">
        <f aca="false">Pressupostos!$E$346</f>
        <v>1</v>
      </c>
      <c r="F8254" s="64" t="n">
        <f aca="false">Pressupostos!$F$346</f>
        <v>1</v>
      </c>
      <c r="G8254" s="64" t="n">
        <f aca="false">Pressupostos!$G$346</f>
        <v>1</v>
      </c>
      <c r="H8254" s="2" t="s">
        <v>1316</v>
      </c>
    </row>
    <row r="8255" customFormat="false" ht="15" hidden="false" customHeight="false" outlineLevel="1" collapsed="false">
      <c r="A8255" s="7" t="s">
        <v>641</v>
      </c>
      <c r="B8255" s="8" t="s">
        <v>432</v>
      </c>
      <c r="C8255" s="64" t="n">
        <f aca="false">Pressupostos!$C$352</f>
        <v>0.5</v>
      </c>
      <c r="D8255" s="64" t="n">
        <f aca="false">Pressupostos!$D$352</f>
        <v>1</v>
      </c>
      <c r="E8255" s="64" t="n">
        <f aca="false">Pressupostos!$E$352</f>
        <v>1</v>
      </c>
      <c r="F8255" s="64" t="n">
        <f aca="false">Pressupostos!$F$352</f>
        <v>1</v>
      </c>
      <c r="G8255" s="64" t="n">
        <f aca="false">Pressupostos!$G$352</f>
        <v>1</v>
      </c>
      <c r="H8255" s="2" t="s">
        <v>1317</v>
      </c>
    </row>
    <row r="8256" customFormat="false" ht="15" hidden="false" customHeight="false" outlineLevel="1" collapsed="false">
      <c r="A8256" s="7" t="s">
        <v>642</v>
      </c>
      <c r="B8256" s="8" t="s">
        <v>432</v>
      </c>
      <c r="C8256" s="64" t="n">
        <f aca="false">Pressupostos!$C$358</f>
        <v>0.5</v>
      </c>
      <c r="D8256" s="64" t="n">
        <f aca="false">Pressupostos!$D$358</f>
        <v>0.5</v>
      </c>
      <c r="E8256" s="64" t="n">
        <f aca="false">Pressupostos!$E$358</f>
        <v>0.5</v>
      </c>
      <c r="F8256" s="64" t="n">
        <f aca="false">Pressupostos!$F$358</f>
        <v>1</v>
      </c>
      <c r="G8256" s="64" t="n">
        <f aca="false">Pressupostos!$G$358</f>
        <v>1</v>
      </c>
      <c r="H8256" s="2" t="s">
        <v>1318</v>
      </c>
    </row>
    <row r="8257" customFormat="false" ht="15" hidden="false" customHeight="false" outlineLevel="1" collapsed="false">
      <c r="A8257" s="7" t="s">
        <v>643</v>
      </c>
      <c r="B8257" s="8" t="s">
        <v>432</v>
      </c>
      <c r="C8257" s="64" t="n">
        <f aca="false">Pressupostos!$C$364</f>
        <v>1</v>
      </c>
      <c r="D8257" s="64" t="n">
        <f aca="false">Pressupostos!$D$364</f>
        <v>1</v>
      </c>
      <c r="E8257" s="64" t="n">
        <f aca="false">Pressupostos!$E$364</f>
        <v>1</v>
      </c>
      <c r="F8257" s="64" t="n">
        <f aca="false">Pressupostos!$F$364</f>
        <v>1</v>
      </c>
      <c r="G8257" s="64" t="n">
        <f aca="false">Pressupostos!$G$364</f>
        <v>1</v>
      </c>
      <c r="H8257" s="2" t="s">
        <v>1319</v>
      </c>
    </row>
    <row r="8258" customFormat="false" ht="15" hidden="false" customHeight="false" outlineLevel="1" collapsed="false">
      <c r="A8258" s="7" t="s">
        <v>644</v>
      </c>
      <c r="B8258" s="8" t="s">
        <v>432</v>
      </c>
      <c r="C8258" s="64" t="n">
        <f aca="false">Pressupostos!$C$370</f>
        <v>0.5</v>
      </c>
      <c r="D8258" s="64" t="n">
        <f aca="false">Pressupostos!$D$370</f>
        <v>1</v>
      </c>
      <c r="E8258" s="64" t="n">
        <f aca="false">Pressupostos!$E$370</f>
        <v>1</v>
      </c>
      <c r="F8258" s="64" t="n">
        <f aca="false">Pressupostos!$F$370</f>
        <v>1</v>
      </c>
      <c r="G8258" s="64" t="n">
        <f aca="false">Pressupostos!$G$370</f>
        <v>1</v>
      </c>
      <c r="H8258" s="2" t="s">
        <v>1320</v>
      </c>
    </row>
    <row r="8259" customFormat="false" ht="15" hidden="false" customHeight="false" outlineLevel="1" collapsed="false">
      <c r="A8259" s="7" t="s">
        <v>645</v>
      </c>
      <c r="B8259" s="8" t="s">
        <v>432</v>
      </c>
      <c r="C8259" s="64" t="n">
        <f aca="false">Pressupostos!$C$376</f>
        <v>1</v>
      </c>
      <c r="D8259" s="64" t="n">
        <f aca="false">Pressupostos!$D$376</f>
        <v>1</v>
      </c>
      <c r="E8259" s="64" t="n">
        <f aca="false">Pressupostos!$E$376</f>
        <v>1</v>
      </c>
      <c r="F8259" s="64" t="n">
        <f aca="false">Pressupostos!$F$376</f>
        <v>2</v>
      </c>
      <c r="G8259" s="64" t="n">
        <f aca="false">Pressupostos!$G$376</f>
        <v>3</v>
      </c>
      <c r="H8259" s="2" t="s">
        <v>1321</v>
      </c>
    </row>
    <row r="8260" customFormat="false" ht="15" hidden="false" customHeight="false" outlineLevel="1" collapsed="false">
      <c r="A8260" s="7" t="s">
        <v>646</v>
      </c>
      <c r="B8260" s="8" t="s">
        <v>432</v>
      </c>
      <c r="C8260" s="64" t="n">
        <f aca="false">Pressupostos!$C$382</f>
        <v>0</v>
      </c>
      <c r="D8260" s="64" t="n">
        <f aca="false">Pressupostos!$D$382</f>
        <v>0</v>
      </c>
      <c r="E8260" s="64" t="n">
        <f aca="false">Pressupostos!$E$382</f>
        <v>0</v>
      </c>
      <c r="F8260" s="64" t="n">
        <f aca="false">Pressupostos!$F$382</f>
        <v>0</v>
      </c>
      <c r="G8260" s="64" t="n">
        <f aca="false">Pressupostos!$G$382</f>
        <v>0</v>
      </c>
      <c r="H8260" s="2" t="s">
        <v>1322</v>
      </c>
    </row>
    <row r="8261" customFormat="false" ht="15" hidden="false" customHeight="false" outlineLevel="1" collapsed="false">
      <c r="A8261" s="7" t="s">
        <v>647</v>
      </c>
      <c r="B8261" s="8" t="s">
        <v>432</v>
      </c>
      <c r="C8261" s="64" t="n">
        <f aca="false">Pressupostos!$C$388</f>
        <v>0</v>
      </c>
      <c r="D8261" s="64" t="n">
        <f aca="false">Pressupostos!$D$388</f>
        <v>0</v>
      </c>
      <c r="E8261" s="64" t="n">
        <f aca="false">Pressupostos!$E$388</f>
        <v>0</v>
      </c>
      <c r="F8261" s="64" t="n">
        <f aca="false">Pressupostos!$F$388</f>
        <v>0</v>
      </c>
      <c r="G8261" s="64" t="n">
        <f aca="false">Pressupostos!$G$388</f>
        <v>0</v>
      </c>
      <c r="H8261" s="2" t="s">
        <v>1323</v>
      </c>
    </row>
    <row r="8262" customFormat="false" ht="15" hidden="false" customHeight="false" outlineLevel="1" collapsed="false">
      <c r="A8262" s="7" t="s">
        <v>648</v>
      </c>
      <c r="B8262" s="8" t="s">
        <v>432</v>
      </c>
      <c r="C8262" s="64" t="n">
        <f aca="false">Pressupostos!$C$394</f>
        <v>0</v>
      </c>
      <c r="D8262" s="64" t="n">
        <f aca="false">Pressupostos!$D$394</f>
        <v>0</v>
      </c>
      <c r="E8262" s="64" t="n">
        <f aca="false">Pressupostos!$E$394</f>
        <v>0</v>
      </c>
      <c r="F8262" s="64" t="n">
        <f aca="false">Pressupostos!$F$394</f>
        <v>1</v>
      </c>
      <c r="G8262" s="64" t="n">
        <f aca="false">Pressupostos!$G$394</f>
        <v>1</v>
      </c>
      <c r="H8262" s="2" t="s">
        <v>1324</v>
      </c>
    </row>
    <row r="8263" customFormat="false" ht="15" hidden="false" customHeight="false" outlineLevel="1" collapsed="false">
      <c r="A8263" s="7" t="s">
        <v>649</v>
      </c>
      <c r="B8263" s="8" t="s">
        <v>432</v>
      </c>
      <c r="C8263" s="64" t="n">
        <f aca="false">Pressupostos!$C$400</f>
        <v>0</v>
      </c>
      <c r="D8263" s="64" t="n">
        <f aca="false">Pressupostos!$D$400</f>
        <v>0</v>
      </c>
      <c r="E8263" s="64" t="n">
        <f aca="false">Pressupostos!$E$400</f>
        <v>1</v>
      </c>
      <c r="F8263" s="64" t="n">
        <f aca="false">Pressupostos!$F$400</f>
        <v>1</v>
      </c>
      <c r="G8263" s="64" t="n">
        <f aca="false">Pressupostos!$G$400</f>
        <v>1</v>
      </c>
      <c r="H8263" s="2" t="s">
        <v>1325</v>
      </c>
    </row>
    <row r="8264" customFormat="false" ht="15" hidden="false" customHeight="false" outlineLevel="1" collapsed="false">
      <c r="A8264" s="56" t="s">
        <v>650</v>
      </c>
      <c r="B8264" s="57" t="s">
        <v>432</v>
      </c>
      <c r="C8264" s="65" t="n">
        <f aca="false">C8252+C8253+C8254+C8255+C8256+C8257+C8258+C8259+C8260+C8261+C8262+C8263</f>
        <v>5.5</v>
      </c>
      <c r="D8264" s="65" t="n">
        <f aca="false">D8252+D8253+D8254+D8255+D8256+D8257+D8258+D8259+D8260+D8261+D8262+D8263</f>
        <v>7.5</v>
      </c>
      <c r="E8264" s="65" t="n">
        <f aca="false">E8252+E8253+E8254+E8255+E8256+E8257+E8258+E8259+E8260+E8261+E8262+E8263</f>
        <v>8.5</v>
      </c>
      <c r="F8264" s="65" t="n">
        <f aca="false">F8252+F8253+F8254+F8255+F8256+F8257+F8258+F8259+F8260+F8261+F8262+F8263</f>
        <v>11</v>
      </c>
      <c r="G8264" s="65" t="n">
        <f aca="false">G8252+G8253+G8254+G8255+G8256+G8257+G8258+G8259+G8260+G8261+G8262+G8263</f>
        <v>12</v>
      </c>
      <c r="H8264" s="2" t="s">
        <v>1326</v>
      </c>
    </row>
    <row r="8265" customFormat="false" ht="15" hidden="false" customHeight="false" outlineLevel="0" collapsed="false">
      <c r="A8265" s="3" t="s">
        <v>1327</v>
      </c>
      <c r="B8265" s="4"/>
      <c r="C8265" s="4"/>
      <c r="D8265" s="4"/>
      <c r="E8265" s="4"/>
      <c r="F8265" s="4"/>
      <c r="G8265" s="4"/>
      <c r="H8265" s="4"/>
    </row>
    <row r="8266" customFormat="false" ht="15" hidden="false" customHeight="false" outlineLevel="1" collapsed="false">
      <c r="A8266" s="7" t="s">
        <v>638</v>
      </c>
      <c r="B8266" s="8" t="s">
        <v>11</v>
      </c>
      <c r="C8266" s="61" t="n">
        <f aca="false">C8252*Pressupostos!$C$131*(1+Pressupostos!$C$127)^0*(1+Pressupostos!$C$132)*Pressupostos!$C$128</f>
        <v>43998</v>
      </c>
      <c r="D8266" s="61" t="n">
        <f aca="false">D8252*Pressupostos!$C$131*(1+Pressupostos!$C$127)^1*(1+Pressupostos!$C$132)</f>
        <v>61800</v>
      </c>
      <c r="E8266" s="61" t="n">
        <f aca="false">E8252*Pressupostos!$C$131*(1+Pressupostos!$C$127)^2*(1+Pressupostos!$C$132)</f>
        <v>63654</v>
      </c>
      <c r="F8266" s="61" t="n">
        <f aca="false">F8252*Pressupostos!$C$131*(1+Pressupostos!$C$127)^3*(1+Pressupostos!$C$132)</f>
        <v>65563.62</v>
      </c>
      <c r="G8266" s="61" t="n">
        <f aca="false">G8252*Pressupostos!$C$131*(1+Pressupostos!$C$127)^4*(1+Pressupostos!$C$132)</f>
        <v>67530.5286</v>
      </c>
      <c r="H8266" s="2" t="s">
        <v>1328</v>
      </c>
    </row>
    <row r="8267" customFormat="false" ht="15" hidden="false" customHeight="false" outlineLevel="1" collapsed="false">
      <c r="A8267" s="7" t="s">
        <v>639</v>
      </c>
      <c r="B8267" s="8" t="s">
        <v>11</v>
      </c>
      <c r="C8267" s="61" t="n">
        <f aca="false">C8253*Pressupostos!$C$133*(1+Pressupostos!$C$127)^0*(1+Pressupostos!$C$134)*Pressupostos!$C$128</f>
        <v>47664.5</v>
      </c>
      <c r="D8267" s="61" t="n">
        <f aca="false">D8253*Pressupostos!$C$133*(1+Pressupostos!$C$127)^1*(1+Pressupostos!$C$134)</f>
        <v>66950</v>
      </c>
      <c r="E8267" s="61" t="n">
        <f aca="false">E8253*Pressupostos!$C$133*(1+Pressupostos!$C$127)^2*(1+Pressupostos!$C$134)</f>
        <v>68958.5</v>
      </c>
      <c r="F8267" s="61" t="n">
        <f aca="false">F8253*Pressupostos!$C$133*(1+Pressupostos!$C$127)^3*(1+Pressupostos!$C$134)</f>
        <v>71027.255</v>
      </c>
      <c r="G8267" s="61" t="n">
        <f aca="false">G8253*Pressupostos!$C$133*(1+Pressupostos!$C$127)^4*(1+Pressupostos!$C$134)</f>
        <v>73158.07265</v>
      </c>
      <c r="H8267" s="2" t="s">
        <v>1329</v>
      </c>
    </row>
    <row r="8268" customFormat="false" ht="15" hidden="false" customHeight="false" outlineLevel="1" collapsed="false">
      <c r="A8268" s="7" t="s">
        <v>640</v>
      </c>
      <c r="B8268" s="8" t="s">
        <v>11</v>
      </c>
      <c r="C8268" s="61" t="n">
        <f aca="false">C8254*Pressupostos!$C$135*(1+Pressupostos!$C$127)^0*(1+Pressupostos!$C$136)</f>
        <v>0</v>
      </c>
      <c r="D8268" s="61" t="n">
        <f aca="false">D8254*Pressupostos!$C$135*(1+Pressupostos!$C$127)^1*(1+Pressupostos!$C$136)</f>
        <v>46350</v>
      </c>
      <c r="E8268" s="61" t="n">
        <f aca="false">E8254*Pressupostos!$C$135*(1+Pressupostos!$C$127)^2*(1+Pressupostos!$C$136)</f>
        <v>47740.5</v>
      </c>
      <c r="F8268" s="61" t="n">
        <f aca="false">F8254*Pressupostos!$C$135*(1+Pressupostos!$C$127)^3*(1+Pressupostos!$C$136)</f>
        <v>49172.715</v>
      </c>
      <c r="G8268" s="61" t="n">
        <f aca="false">G8254*Pressupostos!$C$135*(1+Pressupostos!$C$127)^4*(1+Pressupostos!$C$136)</f>
        <v>50647.89645</v>
      </c>
      <c r="H8268" s="2" t="s">
        <v>1330</v>
      </c>
    </row>
    <row r="8269" customFormat="false" ht="15" hidden="false" customHeight="false" outlineLevel="1" collapsed="false">
      <c r="A8269" s="7" t="s">
        <v>641</v>
      </c>
      <c r="B8269" s="8" t="s">
        <v>11</v>
      </c>
      <c r="C8269" s="61" t="n">
        <f aca="false">C8255*Pressupostos!$C$137*(1+Pressupostos!$C$127)^0*(1+Pressupostos!$C$138)</f>
        <v>30000</v>
      </c>
      <c r="D8269" s="61" t="n">
        <f aca="false">D8255*Pressupostos!$C$137*(1+Pressupostos!$C$127)^1*(1+Pressupostos!$C$138)</f>
        <v>61800</v>
      </c>
      <c r="E8269" s="61" t="n">
        <f aca="false">E8255*Pressupostos!$C$137*(1+Pressupostos!$C$127)^2*(1+Pressupostos!$C$138)</f>
        <v>63654</v>
      </c>
      <c r="F8269" s="61" t="n">
        <f aca="false">F8255*Pressupostos!$C$137*(1+Pressupostos!$C$127)^3*(1+Pressupostos!$C$138)</f>
        <v>65563.62</v>
      </c>
      <c r="G8269" s="61" t="n">
        <f aca="false">G8255*Pressupostos!$C$137*(1+Pressupostos!$C$127)^4*(1+Pressupostos!$C$138)</f>
        <v>67530.5286</v>
      </c>
      <c r="H8269" s="2" t="s">
        <v>1331</v>
      </c>
    </row>
    <row r="8270" customFormat="false" ht="15" hidden="false" customHeight="false" outlineLevel="1" collapsed="false">
      <c r="A8270" s="7" t="s">
        <v>642</v>
      </c>
      <c r="B8270" s="8" t="s">
        <v>11</v>
      </c>
      <c r="C8270" s="61" t="n">
        <f aca="false">C8256*Pressupostos!$C$139*(1+Pressupostos!$C$127)^0*(1+Pressupostos!$C$140)</f>
        <v>22500</v>
      </c>
      <c r="D8270" s="61" t="n">
        <f aca="false">D8256*Pressupostos!$C$139*(1+Pressupostos!$C$127)^1*(1+Pressupostos!$C$140)</f>
        <v>23175</v>
      </c>
      <c r="E8270" s="61" t="n">
        <f aca="false">E8256*Pressupostos!$C$139*(1+Pressupostos!$C$127)^2*(1+Pressupostos!$C$140)</f>
        <v>23870.25</v>
      </c>
      <c r="F8270" s="61" t="n">
        <f aca="false">F8256*Pressupostos!$C$139*(1+Pressupostos!$C$127)^3*(1+Pressupostos!$C$140)</f>
        <v>49172.715</v>
      </c>
      <c r="G8270" s="61" t="n">
        <f aca="false">G8256*Pressupostos!$C$139*(1+Pressupostos!$C$127)^4*(1+Pressupostos!$C$140)</f>
        <v>50647.89645</v>
      </c>
      <c r="H8270" s="2" t="s">
        <v>1332</v>
      </c>
    </row>
    <row r="8271" customFormat="false" ht="15" hidden="false" customHeight="false" outlineLevel="1" collapsed="false">
      <c r="A8271" s="7" t="s">
        <v>643</v>
      </c>
      <c r="B8271" s="8" t="s">
        <v>11</v>
      </c>
      <c r="C8271" s="61" t="n">
        <f aca="false">C8257*Pressupostos!$C$141*(1+Pressupostos!$C$127)^0*(1+Pressupostos!$C$142)</f>
        <v>38000</v>
      </c>
      <c r="D8271" s="61" t="n">
        <f aca="false">D8257*Pressupostos!$C$141*(1+Pressupostos!$C$127)^1*(1+Pressupostos!$C$142)</f>
        <v>39140</v>
      </c>
      <c r="E8271" s="61" t="n">
        <f aca="false">E8257*Pressupostos!$C$141*(1+Pressupostos!$C$127)^2*(1+Pressupostos!$C$142)</f>
        <v>40314.2</v>
      </c>
      <c r="F8271" s="61" t="n">
        <f aca="false">F8257*Pressupostos!$C$141*(1+Pressupostos!$C$127)^3*(1+Pressupostos!$C$142)</f>
        <v>41523.626</v>
      </c>
      <c r="G8271" s="61" t="n">
        <f aca="false">G8257*Pressupostos!$C$141*(1+Pressupostos!$C$127)^4*(1+Pressupostos!$C$142)</f>
        <v>42769.33478</v>
      </c>
      <c r="H8271" s="2" t="s">
        <v>1333</v>
      </c>
    </row>
    <row r="8272" customFormat="false" ht="15" hidden="false" customHeight="false" outlineLevel="1" collapsed="false">
      <c r="A8272" s="7" t="s">
        <v>644</v>
      </c>
      <c r="B8272" s="8" t="s">
        <v>11</v>
      </c>
      <c r="C8272" s="61" t="n">
        <f aca="false">C8258*Pressupostos!$C$143*(1+Pressupostos!$C$127)^0*(1+Pressupostos!$C$144)</f>
        <v>16000</v>
      </c>
      <c r="D8272" s="61" t="n">
        <f aca="false">D8258*Pressupostos!$C$143*(1+Pressupostos!$C$127)^1*(1+Pressupostos!$C$144)</f>
        <v>32960</v>
      </c>
      <c r="E8272" s="61" t="n">
        <f aca="false">E8258*Pressupostos!$C$143*(1+Pressupostos!$C$127)^2*(1+Pressupostos!$C$144)</f>
        <v>33948.8</v>
      </c>
      <c r="F8272" s="61" t="n">
        <f aca="false">F8258*Pressupostos!$C$143*(1+Pressupostos!$C$127)^3*(1+Pressupostos!$C$144)</f>
        <v>34967.264</v>
      </c>
      <c r="G8272" s="61" t="n">
        <f aca="false">G8258*Pressupostos!$C$143*(1+Pressupostos!$C$127)^4*(1+Pressupostos!$C$144)</f>
        <v>36016.28192</v>
      </c>
      <c r="H8272" s="2" t="s">
        <v>1334</v>
      </c>
    </row>
    <row r="8273" customFormat="false" ht="15" hidden="false" customHeight="false" outlineLevel="1" collapsed="false">
      <c r="A8273" s="7" t="s">
        <v>645</v>
      </c>
      <c r="B8273" s="8" t="s">
        <v>11</v>
      </c>
      <c r="C8273" s="61" t="n">
        <f aca="false">C8259*Pressupostos!$C$145*(1+Pressupostos!$C$127)^0*(1+Pressupostos!$C$146)</f>
        <v>34500</v>
      </c>
      <c r="D8273" s="61" t="n">
        <f aca="false">D8259*Pressupostos!$C$145*(1+Pressupostos!$C$127)^1*(1+Pressupostos!$C$146)</f>
        <v>35535</v>
      </c>
      <c r="E8273" s="61" t="n">
        <f aca="false">E8259*Pressupostos!$C$145*(1+Pressupostos!$C$127)^2*(1+Pressupostos!$C$146)</f>
        <v>36601.05</v>
      </c>
      <c r="F8273" s="61" t="n">
        <f aca="false">F8259*Pressupostos!$C$145*(1+Pressupostos!$C$127)^3*(1+Pressupostos!$C$146)</f>
        <v>75398.163</v>
      </c>
      <c r="G8273" s="61" t="n">
        <f aca="false">G8259*Pressupostos!$C$145*(1+Pressupostos!$C$127)^4*(1+Pressupostos!$C$146)</f>
        <v>116490.161835</v>
      </c>
      <c r="H8273" s="2" t="s">
        <v>1335</v>
      </c>
    </row>
    <row r="8274" customFormat="false" ht="15" hidden="false" customHeight="false" outlineLevel="1" collapsed="false">
      <c r="A8274" s="7" t="s">
        <v>646</v>
      </c>
      <c r="B8274" s="8" t="s">
        <v>11</v>
      </c>
      <c r="C8274" s="61" t="n">
        <f aca="false">C8260*Pressupostos!$C$147*(1+Pressupostos!$C$127)^0*(1+Pressupostos!$C$148)</f>
        <v>0</v>
      </c>
      <c r="D8274" s="61" t="n">
        <f aca="false">D8260*Pressupostos!$C$147*(1+Pressupostos!$C$127)^1*(1+Pressupostos!$C$148)</f>
        <v>0</v>
      </c>
      <c r="E8274" s="61" t="n">
        <f aca="false">E8260*Pressupostos!$C$147*(1+Pressupostos!$C$127)^2*(1+Pressupostos!$C$148)</f>
        <v>0</v>
      </c>
      <c r="F8274" s="61" t="n">
        <f aca="false">F8260*Pressupostos!$C$147*(1+Pressupostos!$C$127)^3*(1+Pressupostos!$C$148)</f>
        <v>0</v>
      </c>
      <c r="G8274" s="61" t="n">
        <f aca="false">G8260*Pressupostos!$C$147*(1+Pressupostos!$C$127)^4*(1+Pressupostos!$C$148)</f>
        <v>0</v>
      </c>
      <c r="H8274" s="2" t="s">
        <v>1336</v>
      </c>
    </row>
    <row r="8275" customFormat="false" ht="15" hidden="false" customHeight="false" outlineLevel="1" collapsed="false">
      <c r="A8275" s="7" t="s">
        <v>647</v>
      </c>
      <c r="B8275" s="8" t="s">
        <v>11</v>
      </c>
      <c r="C8275" s="61" t="n">
        <f aca="false">C8261*Pressupostos!$C$149*(1+Pressupostos!$C$127)^0*(1+Pressupostos!$C$150)</f>
        <v>0</v>
      </c>
      <c r="D8275" s="61" t="n">
        <f aca="false">D8261*Pressupostos!$C$149*(1+Pressupostos!$C$127)^1*(1+Pressupostos!$C$150)</f>
        <v>0</v>
      </c>
      <c r="E8275" s="61" t="n">
        <f aca="false">E8261*Pressupostos!$C$149*(1+Pressupostos!$C$127)^2*(1+Pressupostos!$C$150)</f>
        <v>0</v>
      </c>
      <c r="F8275" s="61" t="n">
        <f aca="false">F8261*Pressupostos!$C$149*(1+Pressupostos!$C$127)^3*(1+Pressupostos!$C$150)</f>
        <v>0</v>
      </c>
      <c r="G8275" s="61" t="n">
        <f aca="false">G8261*Pressupostos!$C$149*(1+Pressupostos!$C$127)^4*(1+Pressupostos!$C$150)</f>
        <v>0</v>
      </c>
      <c r="H8275" s="2" t="s">
        <v>1337</v>
      </c>
    </row>
    <row r="8276" customFormat="false" ht="15" hidden="false" customHeight="false" outlineLevel="1" collapsed="false">
      <c r="A8276" s="7" t="s">
        <v>648</v>
      </c>
      <c r="B8276" s="8" t="s">
        <v>11</v>
      </c>
      <c r="C8276" s="61" t="n">
        <f aca="false">C8262*Pressupostos!$C$151*(1+Pressupostos!$C$127)^0*(1+Pressupostos!$C$152)</f>
        <v>0</v>
      </c>
      <c r="D8276" s="61" t="n">
        <f aca="false">D8262*Pressupostos!$C$151*(1+Pressupostos!$C$127)^1*(1+Pressupostos!$C$152)</f>
        <v>0</v>
      </c>
      <c r="E8276" s="61" t="n">
        <f aca="false">E8262*Pressupostos!$C$151*(1+Pressupostos!$C$127)^2*(1+Pressupostos!$C$152)</f>
        <v>0</v>
      </c>
      <c r="F8276" s="61" t="n">
        <f aca="false">F8262*Pressupostos!$C$151*(1+Pressupostos!$C$127)^3*(1+Pressupostos!$C$152)</f>
        <v>26225.448</v>
      </c>
      <c r="G8276" s="61" t="n">
        <f aca="false">G8262*Pressupostos!$C$151*(1+Pressupostos!$C$127)^4*(1+Pressupostos!$C$152)</f>
        <v>27012.21144</v>
      </c>
      <c r="H8276" s="2" t="s">
        <v>1338</v>
      </c>
    </row>
    <row r="8277" customFormat="false" ht="15" hidden="false" customHeight="false" outlineLevel="1" collapsed="false">
      <c r="A8277" s="7" t="s">
        <v>649</v>
      </c>
      <c r="B8277" s="8" t="s">
        <v>11</v>
      </c>
      <c r="C8277" s="61" t="n">
        <f aca="false">C8263*Pressupostos!$C$153*(1+Pressupostos!$C$127)^0*(1+Pressupostos!$C$154)</f>
        <v>0</v>
      </c>
      <c r="D8277" s="61" t="n">
        <f aca="false">D8263*Pressupostos!$C$153*(1+Pressupostos!$C$127)^1*(1+Pressupostos!$C$154)</f>
        <v>0</v>
      </c>
      <c r="E8277" s="61" t="n">
        <f aca="false">E8263*Pressupostos!$C$153*(1+Pressupostos!$C$127)^2*(1+Pressupostos!$C$154)</f>
        <v>54901.575</v>
      </c>
      <c r="F8277" s="61" t="n">
        <f aca="false">F8263*Pressupostos!$C$153*(1+Pressupostos!$C$127)^3*(1+Pressupostos!$C$154)</f>
        <v>56548.62225</v>
      </c>
      <c r="G8277" s="61" t="n">
        <f aca="false">G8263*Pressupostos!$C$153*(1+Pressupostos!$C$127)^4*(1+Pressupostos!$C$154)</f>
        <v>58245.0809175</v>
      </c>
      <c r="H8277" s="2" t="s">
        <v>1339</v>
      </c>
    </row>
    <row r="8278" customFormat="false" ht="15" hidden="false" customHeight="false" outlineLevel="1" collapsed="false">
      <c r="A8278" s="7" t="s">
        <v>652</v>
      </c>
      <c r="B8278" s="8" t="s">
        <v>11</v>
      </c>
      <c r="C8278" s="61" t="n">
        <f aca="false">C8266+C8267+C8268+C8269+C8270+C8271+C8272+C8273+C8274+C8275+C8276+C8277</f>
        <v>232662.5</v>
      </c>
      <c r="D8278" s="61" t="n">
        <f aca="false">D8266+D8267+D8268+D8269+D8270+D8271+D8272+D8273+D8274+D8275+D8276+D8277</f>
        <v>367710</v>
      </c>
      <c r="E8278" s="61" t="n">
        <f aca="false">E8266+E8267+E8268+E8269+E8270+E8271+E8272+E8273+E8274+E8275+E8276+E8277</f>
        <v>433642.875</v>
      </c>
      <c r="F8278" s="61" t="n">
        <f aca="false">F8266+F8267+F8268+F8269+F8270+F8271+F8272+F8273+F8274+F8275+F8276+F8277</f>
        <v>535163.04825</v>
      </c>
      <c r="G8278" s="61" t="n">
        <f aca="false">G8266+G8267+G8268+G8269+G8270+G8271+G8272+G8273+G8274+G8275+G8276+G8277</f>
        <v>590047.9936425</v>
      </c>
      <c r="H8278" s="2" t="s">
        <v>1340</v>
      </c>
    </row>
    <row r="8279" customFormat="false" ht="15" hidden="false" customHeight="false" outlineLevel="1" collapsed="false">
      <c r="A8279" s="7" t="s">
        <v>653</v>
      </c>
      <c r="B8279" s="8" t="s">
        <v>11</v>
      </c>
      <c r="C8279" s="61" t="n">
        <f aca="false">C8278*(Pressupostos!$C$124+Pressupostos!$C$125)</f>
        <v>59910.59375</v>
      </c>
      <c r="D8279" s="61" t="n">
        <f aca="false">D8278*(Pressupostos!$C$124+Pressupostos!$C$125)</f>
        <v>94685.325</v>
      </c>
      <c r="E8279" s="61" t="n">
        <f aca="false">E8278*(Pressupostos!$C$124+Pressupostos!$C$125)</f>
        <v>111663.0403125</v>
      </c>
      <c r="F8279" s="61" t="n">
        <f aca="false">F8278*(Pressupostos!$C$124+Pressupostos!$C$125)</f>
        <v>137804.484924375</v>
      </c>
      <c r="G8279" s="61" t="n">
        <f aca="false">G8278*(Pressupostos!$C$124+Pressupostos!$C$125)</f>
        <v>151937.358362944</v>
      </c>
      <c r="H8279" s="2" t="s">
        <v>1341</v>
      </c>
    </row>
    <row r="8280" customFormat="false" ht="15" hidden="false" customHeight="false" outlineLevel="1" collapsed="false">
      <c r="A8280" s="7" t="s">
        <v>654</v>
      </c>
      <c r="B8280" s="8" t="s">
        <v>11</v>
      </c>
      <c r="C8280" s="61" t="n">
        <f aca="false">C8264*Pressupostos!$C$126*(1+Pressupostos!$C$127)^0</f>
        <v>11000</v>
      </c>
      <c r="D8280" s="61" t="n">
        <f aca="false">D8264*Pressupostos!$C$126*(1+Pressupostos!$C$127)^1</f>
        <v>15450</v>
      </c>
      <c r="E8280" s="61" t="n">
        <f aca="false">E8264*Pressupostos!$C$126*(1+Pressupostos!$C$127)^2</f>
        <v>18035.3</v>
      </c>
      <c r="F8280" s="61" t="n">
        <f aca="false">F8264*Pressupostos!$C$126*(1+Pressupostos!$C$127)^3</f>
        <v>24039.994</v>
      </c>
      <c r="G8280" s="61" t="n">
        <f aca="false">G8264*Pressupostos!$C$126*(1+Pressupostos!$C$127)^4</f>
        <v>27012.21144</v>
      </c>
      <c r="H8280" s="2" t="s">
        <v>1342</v>
      </c>
    </row>
    <row r="8281" customFormat="false" ht="15" hidden="false" customHeight="false" outlineLevel="1" collapsed="false">
      <c r="A8281" s="56" t="s">
        <v>655</v>
      </c>
      <c r="B8281" s="57" t="s">
        <v>11</v>
      </c>
      <c r="C8281" s="62" t="n">
        <f aca="false">C8278+C8279+C8280</f>
        <v>303573.09375</v>
      </c>
      <c r="D8281" s="62" t="n">
        <f aca="false">D8278+D8279+D8280</f>
        <v>477845.325</v>
      </c>
      <c r="E8281" s="62" t="n">
        <f aca="false">E8278+E8279+E8280</f>
        <v>563341.2153125</v>
      </c>
      <c r="F8281" s="62" t="n">
        <f aca="false">F8278+F8279+F8280</f>
        <v>697007.527174375</v>
      </c>
      <c r="G8281" s="62" t="n">
        <f aca="false">G8278+G8279+G8280</f>
        <v>768997.563445444</v>
      </c>
      <c r="H8281" s="2" t="s">
        <v>1343</v>
      </c>
    </row>
    <row r="8282" customFormat="false" ht="15" hidden="false" customHeight="false" outlineLevel="1" collapsed="false">
      <c r="A8282" s="2" t="s">
        <v>656</v>
      </c>
      <c r="B8282" s="8" t="s">
        <v>11</v>
      </c>
      <c r="C8282" s="61" t="n">
        <f aca="false">IF(C8264&gt;0,C8281/C8264,0)</f>
        <v>55195.1079545455</v>
      </c>
      <c r="D8282" s="61" t="n">
        <f aca="false">IF(D8264&gt;0,D8281/D8264,0)</f>
        <v>63712.71</v>
      </c>
      <c r="E8282" s="61" t="n">
        <f aca="false">IF(E8264&gt;0,E8281/E8264,0)</f>
        <v>66275.4370955882</v>
      </c>
      <c r="F8282" s="61" t="n">
        <f aca="false">IF(F8264&gt;0,F8281/F8264,0)</f>
        <v>63364.3206522159</v>
      </c>
      <c r="G8282" s="61" t="n">
        <f aca="false">IF(G8264&gt;0,G8281/G8264,0)</f>
        <v>64083.1302871203</v>
      </c>
      <c r="H8282" s="2" t="s">
        <v>1344</v>
      </c>
    </row>
    <row r="8283" customFormat="false" ht="15" hidden="false" customHeight="false" outlineLevel="0" collapsed="false">
      <c r="A8283" s="3" t="s">
        <v>1345</v>
      </c>
      <c r="B8283" s="4"/>
      <c r="C8283" s="4"/>
      <c r="D8283" s="4"/>
      <c r="E8283" s="4"/>
      <c r="F8283" s="4"/>
      <c r="G8283" s="4"/>
      <c r="H8283" s="4"/>
    </row>
    <row r="8284" customFormat="false" ht="15" hidden="false" customHeight="false" outlineLevel="1" collapsed="false">
      <c r="A8284" s="7" t="s">
        <v>449</v>
      </c>
      <c r="B8284" s="8" t="s">
        <v>11</v>
      </c>
      <c r="C8284" s="61" t="n">
        <f aca="false">Pressupostos!$C$407*(1+Pressupostos!$C$156)*(1+Pressupostos!$C$157)^0</f>
        <v>94500</v>
      </c>
      <c r="D8284" s="61" t="n">
        <f aca="false">Pressupostos!$D$407*(1+Pressupostos!$C$156)*(1+Pressupostos!$C$157)^1</f>
        <v>53550</v>
      </c>
      <c r="E8284" s="61" t="n">
        <f aca="false">Pressupostos!$E$407*(1+Pressupostos!$C$156)*(1+Pressupostos!$C$157)^2</f>
        <v>49158.9</v>
      </c>
      <c r="F8284" s="61" t="n">
        <f aca="false">Pressupostos!$F$407*(1+Pressupostos!$C$156)*(1+Pressupostos!$C$157)^3</f>
        <v>50142.078</v>
      </c>
      <c r="G8284" s="61" t="n">
        <f aca="false">Pressupostos!$G$407*(1+Pressupostos!$C$156)*(1+Pressupostos!$C$157)^4</f>
        <v>51144.91956</v>
      </c>
      <c r="H8284" s="2" t="s">
        <v>1346</v>
      </c>
    </row>
    <row r="8285" customFormat="false" ht="15" hidden="false" customHeight="false" outlineLevel="1" collapsed="false">
      <c r="A8285" s="7" t="s">
        <v>451</v>
      </c>
      <c r="B8285" s="8" t="s">
        <v>11</v>
      </c>
      <c r="C8285" s="61" t="n">
        <f aca="false">Pressupostos!$C$413*(1+Pressupostos!$C$156)*(1+Pressupostos!$C$157)^0</f>
        <v>10500</v>
      </c>
      <c r="D8285" s="61" t="n">
        <f aca="false">Pressupostos!$D$413*(1+Pressupostos!$C$156)*(1+Pressupostos!$C$157)^1</f>
        <v>10710</v>
      </c>
      <c r="E8285" s="61" t="n">
        <f aca="false">Pressupostos!$E$413*(1+Pressupostos!$C$156)*(1+Pressupostos!$C$157)^2</f>
        <v>10924.2</v>
      </c>
      <c r="F8285" s="61" t="n">
        <f aca="false">Pressupostos!$F$413*(1+Pressupostos!$C$156)*(1+Pressupostos!$C$157)^3</f>
        <v>11142.684</v>
      </c>
      <c r="G8285" s="61" t="n">
        <f aca="false">Pressupostos!$G$413*(1+Pressupostos!$C$156)*(1+Pressupostos!$C$157)^4</f>
        <v>11365.53768</v>
      </c>
      <c r="H8285" s="2" t="s">
        <v>1347</v>
      </c>
    </row>
    <row r="8286" customFormat="false" ht="15" hidden="false" customHeight="false" outlineLevel="1" collapsed="false">
      <c r="A8286" s="7" t="s">
        <v>452</v>
      </c>
      <c r="B8286" s="8" t="s">
        <v>11</v>
      </c>
      <c r="C8286" s="61" t="n">
        <f aca="false">Pressupostos!$C$419*(1+Pressupostos!$C$156)*(1+Pressupostos!$C$157)^0</f>
        <v>12600</v>
      </c>
      <c r="D8286" s="61" t="n">
        <f aca="false">Pressupostos!$D$419*(1+Pressupostos!$C$156)*(1+Pressupostos!$C$157)^1</f>
        <v>12852</v>
      </c>
      <c r="E8286" s="61" t="n">
        <f aca="false">Pressupostos!$E$419*(1+Pressupostos!$C$156)*(1+Pressupostos!$C$157)^2</f>
        <v>13109.04</v>
      </c>
      <c r="F8286" s="61" t="n">
        <f aca="false">Pressupostos!$F$419*(1+Pressupostos!$C$156)*(1+Pressupostos!$C$157)^3</f>
        <v>13371.2208</v>
      </c>
      <c r="G8286" s="61" t="n">
        <f aca="false">Pressupostos!$G$419*(1+Pressupostos!$C$156)*(1+Pressupostos!$C$157)^4</f>
        <v>13638.645216</v>
      </c>
      <c r="H8286" s="2" t="s">
        <v>1348</v>
      </c>
    </row>
    <row r="8287" customFormat="false" ht="15" hidden="false" customHeight="false" outlineLevel="1" collapsed="false">
      <c r="A8287" s="7" t="s">
        <v>454</v>
      </c>
      <c r="B8287" s="8" t="s">
        <v>11</v>
      </c>
      <c r="C8287" s="61" t="n">
        <f aca="false">Pressupostos!$C$425*(1+Pressupostos!$C$156)*(1+Pressupostos!$C$157)^0</f>
        <v>31500</v>
      </c>
      <c r="D8287" s="61" t="n">
        <f aca="false">Pressupostos!$D$425*(1+Pressupostos!$C$156)*(1+Pressupostos!$C$157)^1</f>
        <v>37485</v>
      </c>
      <c r="E8287" s="61" t="n">
        <f aca="false">Pressupostos!$E$425*(1+Pressupostos!$C$156)*(1+Pressupostos!$C$157)^2</f>
        <v>49158.9</v>
      </c>
      <c r="F8287" s="61" t="n">
        <f aca="false">Pressupostos!$F$425*(1+Pressupostos!$C$156)*(1+Pressupostos!$C$157)^3</f>
        <v>55713.42</v>
      </c>
      <c r="G8287" s="61" t="n">
        <f aca="false">Pressupostos!$G$425*(1+Pressupostos!$C$156)*(1+Pressupostos!$C$157)^4</f>
        <v>62510.45724</v>
      </c>
      <c r="H8287" s="2" t="s">
        <v>1349</v>
      </c>
    </row>
    <row r="8288" customFormat="false" ht="15" hidden="false" customHeight="false" outlineLevel="1" collapsed="false">
      <c r="A8288" s="7" t="s">
        <v>456</v>
      </c>
      <c r="B8288" s="8" t="s">
        <v>11</v>
      </c>
      <c r="C8288" s="61" t="n">
        <f aca="false">Pressupostos!$C$431*(1+Pressupostos!$C$156)*(1+Pressupostos!$C$157)^0</f>
        <v>15750</v>
      </c>
      <c r="D8288" s="61" t="n">
        <f aca="false">Pressupostos!$D$431*(1+Pressupostos!$C$156)*(1+Pressupostos!$C$157)^1</f>
        <v>16065</v>
      </c>
      <c r="E8288" s="61" t="n">
        <f aca="false">Pressupostos!$E$431*(1+Pressupostos!$C$156)*(1+Pressupostos!$C$157)^2</f>
        <v>38234.7</v>
      </c>
      <c r="F8288" s="61" t="n">
        <f aca="false">Pressupostos!$F$431*(1+Pressupostos!$C$156)*(1+Pressupostos!$C$157)^3</f>
        <v>22285.368</v>
      </c>
      <c r="G8288" s="61" t="n">
        <f aca="false">Pressupostos!$G$431*(1+Pressupostos!$C$156)*(1+Pressupostos!$C$157)^4</f>
        <v>22731.07536</v>
      </c>
      <c r="H8288" s="2" t="s">
        <v>1350</v>
      </c>
    </row>
    <row r="8289" customFormat="false" ht="15" hidden="false" customHeight="false" outlineLevel="1" collapsed="false">
      <c r="A8289" s="7" t="s">
        <v>458</v>
      </c>
      <c r="B8289" s="8" t="s">
        <v>11</v>
      </c>
      <c r="C8289" s="61" t="n">
        <f aca="false">Pressupostos!$C$437*(1+Pressupostos!$C$156)*(1+Pressupostos!$C$157)^0</f>
        <v>10500</v>
      </c>
      <c r="D8289" s="61" t="n">
        <f aca="false">Pressupostos!$D$437*(1+Pressupostos!$C$156)*(1+Pressupostos!$C$157)^1</f>
        <v>12852</v>
      </c>
      <c r="E8289" s="61" t="n">
        <f aca="false">Pressupostos!$E$437*(1+Pressupostos!$C$156)*(1+Pressupostos!$C$157)^2</f>
        <v>16386.3</v>
      </c>
      <c r="F8289" s="61" t="n">
        <f aca="false">Pressupostos!$F$437*(1+Pressupostos!$C$156)*(1+Pressupostos!$C$157)^3</f>
        <v>20056.8312</v>
      </c>
      <c r="G8289" s="61" t="n">
        <f aca="false">Pressupostos!$G$437*(1+Pressupostos!$C$156)*(1+Pressupostos!$C$157)^4</f>
        <v>22731.07536</v>
      </c>
      <c r="H8289" s="2" t="s">
        <v>1351</v>
      </c>
    </row>
    <row r="8290" customFormat="false" ht="15" hidden="false" customHeight="false" outlineLevel="1" collapsed="false">
      <c r="A8290" s="7" t="s">
        <v>459</v>
      </c>
      <c r="B8290" s="8" t="s">
        <v>11</v>
      </c>
      <c r="C8290" s="61" t="n">
        <f aca="false">Pressupostos!$C$443*(1+Pressupostos!$C$156)*(1+Pressupostos!$C$157)^0</f>
        <v>31500</v>
      </c>
      <c r="D8290" s="61" t="n">
        <f aca="false">Pressupostos!$D$443*(1+Pressupostos!$C$156)*(1+Pressupostos!$C$157)^1</f>
        <v>37485</v>
      </c>
      <c r="E8290" s="61" t="n">
        <f aca="false">Pressupostos!$E$443*(1+Pressupostos!$C$156)*(1+Pressupostos!$C$157)^2</f>
        <v>49158.9</v>
      </c>
      <c r="F8290" s="61" t="n">
        <f aca="false">Pressupostos!$F$443*(1+Pressupostos!$C$156)*(1+Pressupostos!$C$157)^3</f>
        <v>55713.42</v>
      </c>
      <c r="G8290" s="61" t="n">
        <f aca="false">Pressupostos!$G$443*(1+Pressupostos!$C$156)*(1+Pressupostos!$C$157)^4</f>
        <v>62510.45724</v>
      </c>
      <c r="H8290" s="2" t="s">
        <v>1352</v>
      </c>
    </row>
    <row r="8291" customFormat="false" ht="15" hidden="false" customHeight="false" outlineLevel="1" collapsed="false">
      <c r="A8291" s="7" t="s">
        <v>461</v>
      </c>
      <c r="B8291" s="8" t="s">
        <v>11</v>
      </c>
      <c r="C8291" s="61" t="n">
        <f aca="false">Pressupostos!$C$449*(1+Pressupostos!$C$156)*(1+Pressupostos!$C$157)^0</f>
        <v>6300</v>
      </c>
      <c r="D8291" s="61" t="n">
        <f aca="false">Pressupostos!$D$449*(1+Pressupostos!$C$156)*(1+Pressupostos!$C$157)^1</f>
        <v>8568</v>
      </c>
      <c r="E8291" s="61" t="n">
        <f aca="false">Pressupostos!$E$449*(1+Pressupostos!$C$156)*(1+Pressupostos!$C$157)^2</f>
        <v>13109.04</v>
      </c>
      <c r="F8291" s="61" t="n">
        <f aca="false">Pressupostos!$F$449*(1+Pressupostos!$C$156)*(1+Pressupostos!$C$157)^3</f>
        <v>16714.026</v>
      </c>
      <c r="G8291" s="61" t="n">
        <f aca="false">Pressupostos!$G$449*(1+Pressupostos!$C$156)*(1+Pressupostos!$C$157)^4</f>
        <v>20457.967824</v>
      </c>
      <c r="H8291" s="2" t="s">
        <v>1353</v>
      </c>
    </row>
    <row r="8292" customFormat="false" ht="15" hidden="false" customHeight="false" outlineLevel="1" collapsed="false">
      <c r="A8292" s="7" t="s">
        <v>463</v>
      </c>
      <c r="B8292" s="8" t="s">
        <v>11</v>
      </c>
      <c r="C8292" s="61" t="n">
        <f aca="false">Pressupostos!$C$455*(1+Pressupostos!$C$156)*(1+Pressupostos!$C$157)^0</f>
        <v>15750</v>
      </c>
      <c r="D8292" s="61" t="n">
        <f aca="false">Pressupostos!$D$455*(1+Pressupostos!$C$156)*(1+Pressupostos!$C$157)^1</f>
        <v>21420</v>
      </c>
      <c r="E8292" s="61" t="n">
        <f aca="false">Pressupostos!$E$455*(1+Pressupostos!$C$156)*(1+Pressupostos!$C$157)^2</f>
        <v>30587.76</v>
      </c>
      <c r="F8292" s="61" t="n">
        <f aca="false">Pressupostos!$F$455*(1+Pressupostos!$C$156)*(1+Pressupostos!$C$157)^3</f>
        <v>35656.5888</v>
      </c>
      <c r="G8292" s="61" t="n">
        <f aca="false">Pressupostos!$G$455*(1+Pressupostos!$C$156)*(1+Pressupostos!$C$157)^4</f>
        <v>40915.935648</v>
      </c>
      <c r="H8292" s="2" t="s">
        <v>1354</v>
      </c>
    </row>
    <row r="8293" customFormat="false" ht="15" hidden="false" customHeight="false" outlineLevel="1" collapsed="false">
      <c r="A8293" s="7" t="s">
        <v>464</v>
      </c>
      <c r="B8293" s="8" t="s">
        <v>11</v>
      </c>
      <c r="C8293" s="61" t="n">
        <f aca="false">Pressupostos!$C$461*(1+Pressupostos!$C$156)*(1+Pressupostos!$C$157)^0</f>
        <v>4200</v>
      </c>
      <c r="D8293" s="61" t="n">
        <f aca="false">Pressupostos!$D$461*(1+Pressupostos!$C$156)*(1+Pressupostos!$C$157)^1</f>
        <v>6426</v>
      </c>
      <c r="E8293" s="61" t="n">
        <f aca="false">Pressupostos!$E$461*(1+Pressupostos!$C$156)*(1+Pressupostos!$C$157)^2</f>
        <v>8739.36</v>
      </c>
      <c r="F8293" s="61" t="n">
        <f aca="false">Pressupostos!$F$461*(1+Pressupostos!$C$156)*(1+Pressupostos!$C$157)^3</f>
        <v>8914.1472</v>
      </c>
      <c r="G8293" s="61" t="n">
        <f aca="false">Pressupostos!$G$461*(1+Pressupostos!$C$156)*(1+Pressupostos!$C$157)^4</f>
        <v>9092.430144</v>
      </c>
      <c r="H8293" s="2" t="s">
        <v>1355</v>
      </c>
    </row>
    <row r="8294" customFormat="false" ht="15" hidden="false" customHeight="false" outlineLevel="1" collapsed="false">
      <c r="A8294" s="7" t="s">
        <v>701</v>
      </c>
      <c r="B8294" s="8" t="s">
        <v>11</v>
      </c>
      <c r="C8294" s="61" t="n">
        <f aca="false">C8284+C8285+C8286+C8287+C8288+C8289+C8290+C8291+C8292+C8293</f>
        <v>233100</v>
      </c>
      <c r="D8294" s="61" t="n">
        <f aca="false">D8284+D8285+D8286+D8287+D8288+D8289+D8290+D8291+D8292+D8293</f>
        <v>217413</v>
      </c>
      <c r="E8294" s="61" t="n">
        <f aca="false">E8284+E8285+E8286+E8287+E8288+E8289+E8290+E8291+E8292+E8293</f>
        <v>278567.1</v>
      </c>
      <c r="F8294" s="61" t="n">
        <f aca="false">F8284+F8285+F8286+F8287+F8288+F8289+F8290+F8291+F8292+F8293</f>
        <v>289709.784</v>
      </c>
      <c r="G8294" s="61" t="n">
        <f aca="false">G8284+G8285+G8286+G8287+G8288+G8289+G8290+G8291+G8292+G8293</f>
        <v>317098.501272</v>
      </c>
      <c r="H8294" s="2" t="s">
        <v>1356</v>
      </c>
    </row>
    <row r="8295" customFormat="false" ht="15" hidden="false" customHeight="false" outlineLevel="1" collapsed="false">
      <c r="A8295" s="7" t="s">
        <v>702</v>
      </c>
      <c r="B8295" s="8" t="s">
        <v>11</v>
      </c>
      <c r="C8295" s="61" t="n">
        <f aca="false">Pressupostos!$C$114+Pressupostos!$C$115+Pressupostos!$C$116*Pressupostos!$C$296+Pressupostos!$C$466+Pressupostos!$C$308</f>
        <v>65000</v>
      </c>
      <c r="D8295" s="61" t="n">
        <f aca="false">Pressupostos!$C$115+Pressupostos!$C$116*Pressupostos!$D$296+Pressupostos!$D$466+Pressupostos!$D$308</f>
        <v>75000</v>
      </c>
      <c r="E8295" s="61" t="n">
        <f aca="false">Pressupostos!$C$115+Pressupostos!$C$116*Pressupostos!$E$296+Pressupostos!$E$466+Pressupostos!$E$308</f>
        <v>80000</v>
      </c>
      <c r="F8295" s="61" t="n">
        <f aca="false">Pressupostos!$C$115+Pressupostos!$C$116*Pressupostos!$F$296+Pressupostos!$F$466+Pressupostos!$F$308</f>
        <v>85000</v>
      </c>
      <c r="G8295" s="61" t="n">
        <f aca="false">Pressupostos!$C$115+Pressupostos!$C$116*Pressupostos!$G$296+Pressupostos!$G$466+Pressupostos!$G$308</f>
        <v>90000</v>
      </c>
      <c r="H8295" s="2" t="s">
        <v>1357</v>
      </c>
    </row>
    <row r="8296" customFormat="false" ht="15" hidden="false" customHeight="false" outlineLevel="1" collapsed="false">
      <c r="A8296" s="7" t="s">
        <v>703</v>
      </c>
      <c r="B8296" s="8" t="s">
        <v>11</v>
      </c>
      <c r="C8296" s="61" t="n">
        <f aca="false">IF(C8108&lt;Pressupostos!$C$120,0,MAX(Pressupostos!$C$302,Pressupostos!$C$118*(C8202+C8203)+Pressupostos!$C$119*C8204))</f>
        <v>0</v>
      </c>
      <c r="D8296" s="61" t="n">
        <f aca="false">IF(D8108&lt;Pressupostos!$C$120,0,MAX(Pressupostos!$D$302,Pressupostos!$C$118*(D8202+D8203)+Pressupostos!$C$119*D8204))</f>
        <v>7125.6</v>
      </c>
      <c r="E8296" s="61" t="n">
        <f aca="false">IF(E8108&lt;Pressupostos!$C$120,0,MAX(Pressupostos!$E$302,Pressupostos!$C$118*(E8202+E8203)+Pressupostos!$C$119*E8204))</f>
        <v>14533.8</v>
      </c>
      <c r="F8296" s="61" t="n">
        <f aca="false">IF(F8108&lt;Pressupostos!$C$120,0,MAX(Pressupostos!$F$302,Pressupostos!$C$118*(F8202+F8203)+Pressupostos!$C$119*F8204))</f>
        <v>24157</v>
      </c>
      <c r="G8296" s="61" t="n">
        <f aca="false">IF(G8108&lt;Pressupostos!$C$120,0,MAX(Pressupostos!$G$302,Pressupostos!$C$118*(G8202+G8203)+Pressupostos!$C$119*G8204))</f>
        <v>36290</v>
      </c>
      <c r="H8296" s="2" t="s">
        <v>1358</v>
      </c>
    </row>
    <row r="8297" customFormat="false" ht="15" hidden="false" customHeight="false" outlineLevel="1" collapsed="false">
      <c r="A8297" s="56" t="s">
        <v>704</v>
      </c>
      <c r="B8297" s="57" t="s">
        <v>11</v>
      </c>
      <c r="C8297" s="62" t="n">
        <f aca="false">C8294+C8295+C8296</f>
        <v>298100</v>
      </c>
      <c r="D8297" s="62" t="n">
        <f aca="false">D8294+D8295+D8296</f>
        <v>299538.6</v>
      </c>
      <c r="E8297" s="62" t="n">
        <f aca="false">E8294+E8295+E8296</f>
        <v>373100.9</v>
      </c>
      <c r="F8297" s="62" t="n">
        <f aca="false">F8294+F8295+F8296</f>
        <v>398866.784</v>
      </c>
      <c r="G8297" s="62" t="n">
        <f aca="false">G8294+G8295+G8296</f>
        <v>443388.501272</v>
      </c>
      <c r="H8297" s="2" t="s">
        <v>1359</v>
      </c>
    </row>
    <row r="8298" customFormat="false" ht="15" hidden="false" customHeight="false" outlineLevel="0" collapsed="false">
      <c r="A8298" s="3" t="s">
        <v>1360</v>
      </c>
      <c r="B8298" s="4"/>
      <c r="C8298" s="4"/>
      <c r="D8298" s="4"/>
      <c r="E8298" s="4"/>
      <c r="F8298" s="4"/>
      <c r="G8298" s="4"/>
      <c r="H8298" s="4"/>
    </row>
    <row r="8299" customFormat="false" ht="15" hidden="false" customHeight="false" outlineLevel="1" collapsed="false">
      <c r="A8299" s="7" t="s">
        <v>706</v>
      </c>
      <c r="B8299" s="8" t="s">
        <v>11</v>
      </c>
      <c r="C8299" s="61" t="n">
        <f aca="false">Pressupostos!$C$165*Pressupostos!$C$315</f>
        <v>18000</v>
      </c>
      <c r="D8299" s="61" t="n">
        <f aca="false">Pressupostos!$C$165*Pressupostos!$D$315</f>
        <v>12000</v>
      </c>
      <c r="E8299" s="61" t="n">
        <f aca="false">Pressupostos!$C$165*Pressupostos!$E$315</f>
        <v>12000</v>
      </c>
      <c r="F8299" s="61" t="n">
        <f aca="false">Pressupostos!$C$165*Pressupostos!$F$315</f>
        <v>12000</v>
      </c>
      <c r="G8299" s="61" t="n">
        <f aca="false">Pressupostos!$C$165*Pressupostos!$G$315</f>
        <v>12000</v>
      </c>
      <c r="H8299" s="2" t="s">
        <v>1361</v>
      </c>
    </row>
    <row r="8300" customFormat="false" ht="15" hidden="false" customHeight="false" outlineLevel="1" collapsed="false">
      <c r="A8300" s="7" t="s">
        <v>707</v>
      </c>
      <c r="B8300" s="8" t="s">
        <v>11</v>
      </c>
      <c r="C8300" s="53" t="n">
        <f aca="false">Pressupostos!$C$321</f>
        <v>60000</v>
      </c>
      <c r="D8300" s="53" t="n">
        <f aca="false">Pressupostos!$D$321</f>
        <v>15000</v>
      </c>
      <c r="E8300" s="53" t="n">
        <f aca="false">Pressupostos!$E$321</f>
        <v>15000</v>
      </c>
      <c r="F8300" s="53" t="n">
        <f aca="false">Pressupostos!$F$321</f>
        <v>10000</v>
      </c>
      <c r="G8300" s="53" t="n">
        <f aca="false">Pressupostos!$G$321</f>
        <v>10000</v>
      </c>
      <c r="H8300" s="2" t="s">
        <v>1362</v>
      </c>
    </row>
    <row r="8301" customFormat="false" ht="15" hidden="false" customHeight="false" outlineLevel="1" collapsed="false">
      <c r="A8301" s="7" t="s">
        <v>708</v>
      </c>
      <c r="B8301" s="8" t="s">
        <v>11</v>
      </c>
      <c r="C8301" s="53" t="n">
        <f aca="false">Pressupostos!$C$327</f>
        <v>0</v>
      </c>
      <c r="D8301" s="53" t="n">
        <f aca="false">Pressupostos!$D$327</f>
        <v>15000</v>
      </c>
      <c r="E8301" s="53" t="n">
        <f aca="false">Pressupostos!$E$327</f>
        <v>15000</v>
      </c>
      <c r="F8301" s="53" t="n">
        <f aca="false">Pressupostos!$F$327</f>
        <v>10000</v>
      </c>
      <c r="G8301" s="53" t="n">
        <f aca="false">Pressupostos!$G$327</f>
        <v>10000</v>
      </c>
      <c r="H8301" s="2" t="s">
        <v>1363</v>
      </c>
    </row>
    <row r="8302" customFormat="false" ht="15" hidden="false" customHeight="false" outlineLevel="1" collapsed="false">
      <c r="A8302" s="7" t="s">
        <v>709</v>
      </c>
      <c r="B8302" s="8" t="s">
        <v>11</v>
      </c>
      <c r="C8302" s="61" t="n">
        <f aca="false">Pressupostos!$C$166*MAX(0,C8264)</f>
        <v>11000</v>
      </c>
      <c r="D8302" s="61" t="n">
        <f aca="false">Pressupostos!$C$166*MAX(0,D8264-C8264)</f>
        <v>4000</v>
      </c>
      <c r="E8302" s="61" t="n">
        <f aca="false">Pressupostos!$C$166*MAX(0,E8264-D8264)</f>
        <v>2000</v>
      </c>
      <c r="F8302" s="61" t="n">
        <f aca="false">Pressupostos!$C$166*MAX(0,F8264-E8264)</f>
        <v>5000</v>
      </c>
      <c r="G8302" s="61" t="n">
        <f aca="false">Pressupostos!$C$166*MAX(0,G8264-F8264)</f>
        <v>2000</v>
      </c>
      <c r="H8302" s="2" t="s">
        <v>1364</v>
      </c>
    </row>
    <row r="8303" customFormat="false" ht="15" hidden="false" customHeight="false" outlineLevel="1" collapsed="false">
      <c r="A8303" s="7" t="s">
        <v>424</v>
      </c>
      <c r="B8303" s="8" t="s">
        <v>11</v>
      </c>
      <c r="C8303" s="61" t="n">
        <f aca="false">C8299+C8300+C8301+C8302</f>
        <v>89000</v>
      </c>
      <c r="D8303" s="61" t="n">
        <f aca="false">D8299+D8300+D8301+D8302</f>
        <v>46000</v>
      </c>
      <c r="E8303" s="61" t="n">
        <f aca="false">E8299+E8300+E8301+E8302</f>
        <v>44000</v>
      </c>
      <c r="F8303" s="61" t="n">
        <f aca="false">F8299+F8300+F8301+F8302</f>
        <v>37000</v>
      </c>
      <c r="G8303" s="61" t="n">
        <f aca="false">G8299+G8300+G8301+G8302</f>
        <v>34000</v>
      </c>
      <c r="H8303" s="2" t="s">
        <v>1365</v>
      </c>
    </row>
    <row r="8304" customFormat="false" ht="15" hidden="false" customHeight="false" outlineLevel="1" collapsed="false">
      <c r="A8304" s="7" t="s">
        <v>710</v>
      </c>
      <c r="B8304" s="8" t="s">
        <v>11</v>
      </c>
      <c r="C8304" s="61" t="n">
        <f aca="false">(C8300*((0)&lt;Pressupostos!$C$167))/Pressupostos!$C$167</f>
        <v>20000</v>
      </c>
      <c r="D8304" s="61" t="n">
        <f aca="false">(C8300*((1)&lt;Pressupostos!$C$167)+D8300*((0)&lt;Pressupostos!$C$167))/Pressupostos!$C$167</f>
        <v>25000</v>
      </c>
      <c r="E8304" s="61" t="n">
        <f aca="false">(C8300*((2)&lt;Pressupostos!$C$167)+D8300*((1)&lt;Pressupostos!$C$167)+E8300*((0)&lt;Pressupostos!$C$167))/Pressupostos!$C$167</f>
        <v>30000</v>
      </c>
      <c r="F8304" s="61" t="n">
        <f aca="false">(C8300*((3)&lt;Pressupostos!$C$167)+D8300*((2)&lt;Pressupostos!$C$167)+E8300*((1)&lt;Pressupostos!$C$167)+F8300*((0)&lt;Pressupostos!$C$167))/Pressupostos!$C$167</f>
        <v>13333.3333333333</v>
      </c>
      <c r="G8304" s="61" t="n">
        <f aca="false">(C8300*((4)&lt;Pressupostos!$C$167)+D8300*((3)&lt;Pressupostos!$C$167)+E8300*((2)&lt;Pressupostos!$C$167)+F8300*((1)&lt;Pressupostos!$C$167)+G8300*((0)&lt;Pressupostos!$C$167))/Pressupostos!$C$167</f>
        <v>11666.6666666667</v>
      </c>
      <c r="H8304" s="2" t="s">
        <v>1366</v>
      </c>
    </row>
    <row r="8305" customFormat="false" ht="15" hidden="false" customHeight="false" outlineLevel="1" collapsed="false">
      <c r="A8305" s="7" t="s">
        <v>711</v>
      </c>
      <c r="B8305" s="8" t="s">
        <v>11</v>
      </c>
      <c r="C8305" s="61" t="n">
        <f aca="false">(C8301*((0)&lt;Pressupostos!$C$167))/Pressupostos!$C$167</f>
        <v>0</v>
      </c>
      <c r="D8305" s="61" t="n">
        <f aca="false">(C8301*((1)&lt;Pressupostos!$C$167)+D8301*((0)&lt;Pressupostos!$C$167))/Pressupostos!$C$167</f>
        <v>5000</v>
      </c>
      <c r="E8305" s="61" t="n">
        <f aca="false">(C8301*((2)&lt;Pressupostos!$C$167)+D8301*((1)&lt;Pressupostos!$C$167)+E8301*((0)&lt;Pressupostos!$C$167))/Pressupostos!$C$167</f>
        <v>10000</v>
      </c>
      <c r="F8305" s="61" t="n">
        <f aca="false">(C8301*((3)&lt;Pressupostos!$C$167)+D8301*((2)&lt;Pressupostos!$C$167)+E8301*((1)&lt;Pressupostos!$C$167)+F8301*((0)&lt;Pressupostos!$C$167))/Pressupostos!$C$167</f>
        <v>13333.3333333333</v>
      </c>
      <c r="G8305" s="61" t="n">
        <f aca="false">(C8301*((4)&lt;Pressupostos!$C$167)+D8301*((3)&lt;Pressupostos!$C$167)+E8301*((2)&lt;Pressupostos!$C$167)+F8301*((1)&lt;Pressupostos!$C$167)+G8301*((0)&lt;Pressupostos!$C$167))/Pressupostos!$C$167</f>
        <v>11666.6666666667</v>
      </c>
      <c r="H8305" s="2" t="s">
        <v>1367</v>
      </c>
    </row>
    <row r="8306" customFormat="false" ht="15" hidden="false" customHeight="false" outlineLevel="1" collapsed="false">
      <c r="A8306" s="7" t="s">
        <v>712</v>
      </c>
      <c r="B8306" s="8" t="s">
        <v>11</v>
      </c>
      <c r="C8306" s="61" t="n">
        <f aca="false">(C8299*((0)&lt;Pressupostos!$C$169))/Pressupostos!$C$169</f>
        <v>3600</v>
      </c>
      <c r="D8306" s="61" t="n">
        <f aca="false">(C8299*((1)&lt;Pressupostos!$C$169)+D8299*((0)&lt;Pressupostos!$C$169))/Pressupostos!$C$169</f>
        <v>6000</v>
      </c>
      <c r="E8306" s="61" t="n">
        <f aca="false">(C8299*((2)&lt;Pressupostos!$C$169)+D8299*((1)&lt;Pressupostos!$C$169)+E8299*((0)&lt;Pressupostos!$C$169))/Pressupostos!$C$169</f>
        <v>8400</v>
      </c>
      <c r="F8306" s="61" t="n">
        <f aca="false">(C8299*((3)&lt;Pressupostos!$C$169)+D8299*((2)&lt;Pressupostos!$C$169)+E8299*((1)&lt;Pressupostos!$C$169)+F8299*((0)&lt;Pressupostos!$C$169))/Pressupostos!$C$169</f>
        <v>10800</v>
      </c>
      <c r="G8306" s="61" t="n">
        <f aca="false">(C8299*((4)&lt;Pressupostos!$C$169)+D8299*((3)&lt;Pressupostos!$C$169)+E8299*((2)&lt;Pressupostos!$C$169)+F8299*((1)&lt;Pressupostos!$C$169)+G8299*((0)&lt;Pressupostos!$C$169))/Pressupostos!$C$169</f>
        <v>13200</v>
      </c>
      <c r="H8306" s="2" t="s">
        <v>1368</v>
      </c>
    </row>
    <row r="8307" customFormat="false" ht="15" hidden="false" customHeight="false" outlineLevel="1" collapsed="false">
      <c r="A8307" s="7" t="s">
        <v>713</v>
      </c>
      <c r="B8307" s="8" t="s">
        <v>11</v>
      </c>
      <c r="C8307" s="61" t="n">
        <f aca="false">(C8302*((0)&lt;Pressupostos!$C$168))/Pressupostos!$C$168</f>
        <v>2750</v>
      </c>
      <c r="D8307" s="61" t="n">
        <f aca="false">(C8302*((1)&lt;Pressupostos!$C$168)+D8302*((0)&lt;Pressupostos!$C$168))/Pressupostos!$C$168</f>
        <v>3750</v>
      </c>
      <c r="E8307" s="61" t="n">
        <f aca="false">(C8302*((2)&lt;Pressupostos!$C$168)+D8302*((1)&lt;Pressupostos!$C$168)+E8302*((0)&lt;Pressupostos!$C$168))/Pressupostos!$C$168</f>
        <v>4250</v>
      </c>
      <c r="F8307" s="61" t="n">
        <f aca="false">(C8302*((3)&lt;Pressupostos!$C$168)+D8302*((2)&lt;Pressupostos!$C$168)+E8302*((1)&lt;Pressupostos!$C$168)+F8302*((0)&lt;Pressupostos!$C$168))/Pressupostos!$C$168</f>
        <v>5500</v>
      </c>
      <c r="G8307" s="61" t="n">
        <f aca="false">(C8302*((4)&lt;Pressupostos!$C$168)+D8302*((3)&lt;Pressupostos!$C$168)+E8302*((2)&lt;Pressupostos!$C$168)+F8302*((1)&lt;Pressupostos!$C$168)+G8302*((0)&lt;Pressupostos!$C$168))/Pressupostos!$C$168</f>
        <v>3250</v>
      </c>
      <c r="H8307" s="2" t="s">
        <v>1369</v>
      </c>
    </row>
    <row r="8308" customFormat="false" ht="15" hidden="false" customHeight="false" outlineLevel="1" collapsed="false">
      <c r="A8308" s="7" t="s">
        <v>714</v>
      </c>
      <c r="B8308" s="8" t="s">
        <v>11</v>
      </c>
      <c r="C8308" s="61" t="n">
        <f aca="false">C8304+C8305+C8306+C8307</f>
        <v>26350</v>
      </c>
      <c r="D8308" s="61" t="n">
        <f aca="false">D8304+D8305+D8306+D8307</f>
        <v>39750</v>
      </c>
      <c r="E8308" s="61" t="n">
        <f aca="false">E8304+E8305+E8306+E8307</f>
        <v>52650</v>
      </c>
      <c r="F8308" s="61" t="n">
        <f aca="false">F8304+F8305+F8306+F8307</f>
        <v>42966.6666666667</v>
      </c>
      <c r="G8308" s="61" t="n">
        <f aca="false">G8304+G8305+G8306+G8307</f>
        <v>39783.3333333333</v>
      </c>
      <c r="H8308" s="2" t="s">
        <v>1370</v>
      </c>
    </row>
    <row r="8309" customFormat="false" ht="15" hidden="false" customHeight="false" outlineLevel="0" collapsed="false">
      <c r="A8309" s="3" t="s">
        <v>1371</v>
      </c>
      <c r="B8309" s="4"/>
      <c r="C8309" s="4"/>
      <c r="D8309" s="4"/>
      <c r="E8309" s="4"/>
      <c r="F8309" s="4"/>
      <c r="G8309" s="4"/>
      <c r="H8309" s="4"/>
    </row>
    <row r="8310" customFormat="false" ht="15" hidden="false" customHeight="false" outlineLevel="1" collapsed="false">
      <c r="A8310" s="56" t="s">
        <v>718</v>
      </c>
      <c r="B8310" s="57" t="s">
        <v>11</v>
      </c>
      <c r="C8310" s="62" t="n">
        <f aca="false">C8212</f>
        <v>275874.4</v>
      </c>
      <c r="D8310" s="62" t="n">
        <f aca="false">D8212</f>
        <v>1805254</v>
      </c>
      <c r="E8310" s="62" t="n">
        <f aca="false">E8212</f>
        <v>3704769</v>
      </c>
      <c r="F8310" s="62" t="n">
        <f aca="false">F8212</f>
        <v>6335277</v>
      </c>
      <c r="G8310" s="62" t="n">
        <f aca="false">G8212</f>
        <v>9691735</v>
      </c>
      <c r="H8310" s="2" t="s">
        <v>1372</v>
      </c>
    </row>
    <row r="8311" customFormat="false" ht="15" hidden="false" customHeight="false" outlineLevel="1" collapsed="false">
      <c r="A8311" s="7" t="s">
        <v>688</v>
      </c>
      <c r="B8311" s="8" t="s">
        <v>11</v>
      </c>
      <c r="C8311" s="61" t="n">
        <f aca="false">-C8235</f>
        <v>-245040</v>
      </c>
      <c r="D8311" s="61" t="n">
        <f aca="false">-D8235</f>
        <v>-1599300</v>
      </c>
      <c r="E8311" s="61" t="n">
        <f aca="false">-E8235</f>
        <v>-3248250</v>
      </c>
      <c r="F8311" s="61" t="n">
        <f aca="false">-F8235</f>
        <v>-5533850</v>
      </c>
      <c r="G8311" s="61" t="n">
        <f aca="false">-G8235</f>
        <v>-8460500</v>
      </c>
      <c r="H8311" s="2" t="s">
        <v>1373</v>
      </c>
    </row>
    <row r="8312" customFormat="false" ht="15" hidden="false" customHeight="false" outlineLevel="1" collapsed="false">
      <c r="A8312" s="56" t="s">
        <v>719</v>
      </c>
      <c r="B8312" s="57" t="s">
        <v>11</v>
      </c>
      <c r="C8312" s="62" t="n">
        <f aca="false">C8310+C8311</f>
        <v>30834.4</v>
      </c>
      <c r="D8312" s="62" t="n">
        <f aca="false">D8310+D8311</f>
        <v>205954</v>
      </c>
      <c r="E8312" s="62" t="n">
        <f aca="false">E8310+E8311</f>
        <v>456519</v>
      </c>
      <c r="F8312" s="62" t="n">
        <f aca="false">F8310+F8311</f>
        <v>801426.999999999</v>
      </c>
      <c r="G8312" s="62" t="n">
        <f aca="false">G8310+G8311</f>
        <v>1231235</v>
      </c>
      <c r="H8312" s="2" t="s">
        <v>1374</v>
      </c>
    </row>
    <row r="8313" customFormat="false" ht="15" hidden="false" customHeight="false" outlineLevel="1" collapsed="false">
      <c r="A8313" s="2" t="s">
        <v>720</v>
      </c>
      <c r="B8313" s="8" t="s">
        <v>76</v>
      </c>
      <c r="C8313" s="59" t="n">
        <f aca="false">IF(C8310&gt;0,C8312/C8310,0)</f>
        <v>0.111769703894236</v>
      </c>
      <c r="D8313" s="59" t="n">
        <f aca="false">IF(D8310&gt;0,D8312/D8310,0)</f>
        <v>0.114085884867171</v>
      </c>
      <c r="E8313" s="59" t="n">
        <f aca="false">IF(E8310&gt;0,E8312/E8310,0)</f>
        <v>0.123224686883312</v>
      </c>
      <c r="F8313" s="59" t="n">
        <f aca="false">IF(F8310&gt;0,F8312/F8310,0)</f>
        <v>0.126502282378497</v>
      </c>
      <c r="G8313" s="59" t="n">
        <f aca="false">IF(G8310&gt;0,G8312/G8310,0)</f>
        <v>0.127039688972098</v>
      </c>
      <c r="H8313" s="2" t="s">
        <v>1375</v>
      </c>
    </row>
    <row r="8314" customFormat="false" ht="15" hidden="false" customHeight="false" outlineLevel="1" collapsed="false">
      <c r="A8314" s="7" t="s">
        <v>721</v>
      </c>
      <c r="B8314" s="8" t="s">
        <v>11</v>
      </c>
      <c r="C8314" s="61" t="n">
        <f aca="false">-C8246</f>
        <v>-15494.2226027397</v>
      </c>
      <c r="D8314" s="61" t="n">
        <f aca="false">-D8246</f>
        <v>-101865.553938356</v>
      </c>
      <c r="E8314" s="61" t="n">
        <f aca="false">-E8246</f>
        <v>-212004.356849315</v>
      </c>
      <c r="F8314" s="61" t="n">
        <f aca="false">-F8246</f>
        <v>-358244.301712329</v>
      </c>
      <c r="G8314" s="61" t="n">
        <f aca="false">-G8246</f>
        <v>-535131.037671233</v>
      </c>
      <c r="H8314" s="2" t="s">
        <v>1376</v>
      </c>
    </row>
    <row r="8315" customFormat="false" ht="15" hidden="false" customHeight="false" outlineLevel="1" collapsed="false">
      <c r="A8315" s="7" t="s">
        <v>698</v>
      </c>
      <c r="B8315" s="8" t="s">
        <v>11</v>
      </c>
      <c r="C8315" s="61" t="n">
        <f aca="false">-C8249</f>
        <v>-0</v>
      </c>
      <c r="D8315" s="61" t="n">
        <f aca="false">-D8249</f>
        <v>-29739.7602739726</v>
      </c>
      <c r="E8315" s="61" t="n">
        <f aca="false">-E8249</f>
        <v>-49726.926369863</v>
      </c>
      <c r="F8315" s="61" t="n">
        <f aca="false">-F8249</f>
        <v>-78173.6686643836</v>
      </c>
      <c r="G8315" s="61" t="n">
        <f aca="false">-G8249</f>
        <v>-118715.625</v>
      </c>
      <c r="H8315" s="2" t="s">
        <v>1377</v>
      </c>
    </row>
    <row r="8316" customFormat="false" ht="15" hidden="false" customHeight="false" outlineLevel="1" collapsed="false">
      <c r="A8316" s="56" t="s">
        <v>677</v>
      </c>
      <c r="B8316" s="57" t="s">
        <v>11</v>
      </c>
      <c r="C8316" s="62" t="n">
        <f aca="false">C8312+C8314+C8315</f>
        <v>15340.1773972603</v>
      </c>
      <c r="D8316" s="62" t="n">
        <f aca="false">D8312+D8314+D8315</f>
        <v>74348.685787671</v>
      </c>
      <c r="E8316" s="62" t="n">
        <f aca="false">E8312+E8314+E8315</f>
        <v>194787.716780821</v>
      </c>
      <c r="F8316" s="62" t="n">
        <f aca="false">F8312+F8314+F8315</f>
        <v>365009.029623287</v>
      </c>
      <c r="G8316" s="62" t="n">
        <f aca="false">G8312+G8314+G8315</f>
        <v>577388.337328767</v>
      </c>
      <c r="H8316" s="2" t="s">
        <v>1378</v>
      </c>
    </row>
    <row r="8317" customFormat="false" ht="15" hidden="false" customHeight="false" outlineLevel="1" collapsed="false">
      <c r="A8317" s="7" t="s">
        <v>261</v>
      </c>
      <c r="B8317" s="8" t="s">
        <v>11</v>
      </c>
      <c r="C8317" s="61" t="n">
        <f aca="false">-C8281</f>
        <v>-303573.09375</v>
      </c>
      <c r="D8317" s="61" t="n">
        <f aca="false">-D8281</f>
        <v>-477845.325</v>
      </c>
      <c r="E8317" s="61" t="n">
        <f aca="false">-E8281</f>
        <v>-563341.2153125</v>
      </c>
      <c r="F8317" s="61" t="n">
        <f aca="false">-F8281</f>
        <v>-697007.527174375</v>
      </c>
      <c r="G8317" s="61" t="n">
        <f aca="false">-G8281</f>
        <v>-768997.563445444</v>
      </c>
      <c r="H8317" s="2" t="s">
        <v>1379</v>
      </c>
    </row>
    <row r="8318" customFormat="false" ht="15" hidden="false" customHeight="false" outlineLevel="1" collapsed="false">
      <c r="A8318" s="7" t="s">
        <v>722</v>
      </c>
      <c r="B8318" s="8" t="s">
        <v>11</v>
      </c>
      <c r="C8318" s="61" t="n">
        <f aca="false">-C8297</f>
        <v>-298100</v>
      </c>
      <c r="D8318" s="61" t="n">
        <f aca="false">-D8297</f>
        <v>-299538.6</v>
      </c>
      <c r="E8318" s="61" t="n">
        <f aca="false">-E8297</f>
        <v>-373100.9</v>
      </c>
      <c r="F8318" s="61" t="n">
        <f aca="false">-F8297</f>
        <v>-398866.784</v>
      </c>
      <c r="G8318" s="61" t="n">
        <f aca="false">-G8297</f>
        <v>-443388.501272</v>
      </c>
      <c r="H8318" s="2" t="s">
        <v>1380</v>
      </c>
    </row>
    <row r="8319" customFormat="false" ht="15" hidden="false" customHeight="false" outlineLevel="1" collapsed="false">
      <c r="A8319" s="56" t="s">
        <v>723</v>
      </c>
      <c r="B8319" s="57" t="s">
        <v>11</v>
      </c>
      <c r="C8319" s="62" t="n">
        <f aca="false">C8316+C8317+C8318</f>
        <v>-586332.91635274</v>
      </c>
      <c r="D8319" s="62" t="n">
        <f aca="false">D8316+D8317+D8318</f>
        <v>-703035.239212329</v>
      </c>
      <c r="E8319" s="62" t="n">
        <f aca="false">E8316+E8317+E8318</f>
        <v>-741654.398531679</v>
      </c>
      <c r="F8319" s="62" t="n">
        <f aca="false">F8316+F8317+F8318</f>
        <v>-730865.281551088</v>
      </c>
      <c r="G8319" s="62" t="n">
        <f aca="false">G8316+G8317+G8318</f>
        <v>-634997.727388677</v>
      </c>
      <c r="H8319" s="2" t="s">
        <v>1381</v>
      </c>
    </row>
    <row r="8320" customFormat="false" ht="15" hidden="false" customHeight="false" outlineLevel="1" collapsed="false">
      <c r="A8320" s="2" t="s">
        <v>725</v>
      </c>
      <c r="B8320" s="8" t="s">
        <v>76</v>
      </c>
      <c r="C8320" s="59" t="n">
        <f aca="false">IF(C8310&gt;0,C8319/C8310,0)</f>
        <v>-2.12536181810541</v>
      </c>
      <c r="D8320" s="59" t="n">
        <f aca="false">IF(D8310&gt;0,D8319/D8310,0)</f>
        <v>-0.389438405461131</v>
      </c>
      <c r="E8320" s="59" t="n">
        <f aca="false">IF(E8310&gt;0,E8319/E8310,0)</f>
        <v>-0.200189107210646</v>
      </c>
      <c r="F8320" s="59" t="n">
        <f aca="false">IF(F8310&gt;0,F8319/F8310,0)</f>
        <v>-0.11536437657755</v>
      </c>
      <c r="G8320" s="59" t="n">
        <f aca="false">IF(G8310&gt;0,G8319/G8310,0)</f>
        <v>-0.0655195099111435</v>
      </c>
      <c r="H8320" s="2" t="s">
        <v>1382</v>
      </c>
    </row>
    <row r="8321" customFormat="false" ht="15" hidden="false" customHeight="false" outlineLevel="1" collapsed="false">
      <c r="A8321" s="2" t="s">
        <v>726</v>
      </c>
      <c r="B8321" s="8" t="s">
        <v>11</v>
      </c>
      <c r="C8321" s="61" t="n">
        <f aca="false">C8319+C8249</f>
        <v>-586332.91635274</v>
      </c>
      <c r="D8321" s="61" t="n">
        <f aca="false">D8319+D8249</f>
        <v>-673295.478938356</v>
      </c>
      <c r="E8321" s="61" t="n">
        <f aca="false">E8319+E8249</f>
        <v>-691927.472161816</v>
      </c>
      <c r="F8321" s="61" t="n">
        <f aca="false">F8319+F8249</f>
        <v>-652691.612886705</v>
      </c>
      <c r="G8321" s="61" t="n">
        <f aca="false">G8319+G8249</f>
        <v>-516282.102388677</v>
      </c>
      <c r="H8321" s="2" t="s">
        <v>1383</v>
      </c>
    </row>
    <row r="8322" customFormat="false" ht="15" hidden="false" customHeight="false" outlineLevel="1" collapsed="false">
      <c r="A8322" s="7" t="s">
        <v>714</v>
      </c>
      <c r="B8322" s="8" t="s">
        <v>11</v>
      </c>
      <c r="C8322" s="61" t="n">
        <f aca="false">-C8308</f>
        <v>-26350</v>
      </c>
      <c r="D8322" s="61" t="n">
        <f aca="false">-D8308</f>
        <v>-39750</v>
      </c>
      <c r="E8322" s="61" t="n">
        <f aca="false">-E8308</f>
        <v>-52650</v>
      </c>
      <c r="F8322" s="61" t="n">
        <f aca="false">-F8308</f>
        <v>-42966.6666666667</v>
      </c>
      <c r="G8322" s="61" t="n">
        <f aca="false">-G8308</f>
        <v>-39783.3333333333</v>
      </c>
      <c r="H8322" s="2" t="s">
        <v>1384</v>
      </c>
    </row>
    <row r="8323" customFormat="false" ht="15" hidden="false" customHeight="false" outlineLevel="1" collapsed="false">
      <c r="A8323" s="56" t="s">
        <v>727</v>
      </c>
      <c r="B8323" s="57" t="s">
        <v>11</v>
      </c>
      <c r="C8323" s="62" t="n">
        <f aca="false">C8319+C8322</f>
        <v>-612682.91635274</v>
      </c>
      <c r="D8323" s="62" t="n">
        <f aca="false">D8319+D8322</f>
        <v>-742785.239212329</v>
      </c>
      <c r="E8323" s="62" t="n">
        <f aca="false">E8319+E8322</f>
        <v>-794304.398531679</v>
      </c>
      <c r="F8323" s="62" t="n">
        <f aca="false">F8319+F8322</f>
        <v>-773831.948217755</v>
      </c>
      <c r="G8323" s="62" t="n">
        <f aca="false">G8319+G8322</f>
        <v>-674781.06072201</v>
      </c>
      <c r="H8323" s="2" t="s">
        <v>1385</v>
      </c>
    </row>
    <row r="8324" customFormat="false" ht="15" hidden="false" customHeight="false" outlineLevel="0" collapsed="false">
      <c r="A8324" s="3" t="s">
        <v>1386</v>
      </c>
      <c r="B8324" s="4"/>
      <c r="C8324" s="4"/>
      <c r="D8324" s="4"/>
      <c r="E8324" s="4"/>
      <c r="F8324" s="4"/>
      <c r="G8324" s="4"/>
      <c r="H8324" s="4"/>
    </row>
    <row r="8325" customFormat="false" ht="15" hidden="false" customHeight="false" outlineLevel="1" collapsed="false">
      <c r="A8325" s="7" t="s">
        <v>729</v>
      </c>
      <c r="B8325" s="8" t="s">
        <v>11</v>
      </c>
      <c r="C8325" s="61" t="n">
        <f aca="false">C8323</f>
        <v>-612682.91635274</v>
      </c>
      <c r="D8325" s="61" t="n">
        <f aca="false">D8323</f>
        <v>-742785.239212329</v>
      </c>
      <c r="E8325" s="61" t="n">
        <f aca="false">E8323</f>
        <v>-794304.398531679</v>
      </c>
      <c r="F8325" s="61" t="n">
        <f aca="false">F8323</f>
        <v>-773831.948217755</v>
      </c>
      <c r="G8325" s="61" t="n">
        <f aca="false">G8323</f>
        <v>-674781.06072201</v>
      </c>
      <c r="H8325" s="2" t="s">
        <v>1387</v>
      </c>
    </row>
    <row r="8326" customFormat="false" ht="15" hidden="false" customHeight="false" outlineLevel="1" collapsed="false">
      <c r="A8326" s="7" t="s">
        <v>730</v>
      </c>
      <c r="B8326" s="8" t="s">
        <v>11</v>
      </c>
      <c r="C8326" s="61" t="n">
        <f aca="false">0</f>
        <v>0</v>
      </c>
      <c r="D8326" s="61" t="n">
        <f aca="false">C8329</f>
        <v>612682.91635274</v>
      </c>
      <c r="E8326" s="61" t="n">
        <f aca="false">D8329</f>
        <v>1355468.15556507</v>
      </c>
      <c r="F8326" s="61" t="n">
        <f aca="false">E8329</f>
        <v>2149772.55409675</v>
      </c>
      <c r="G8326" s="61" t="n">
        <f aca="false">F8329</f>
        <v>2923604.5023145</v>
      </c>
      <c r="H8326" s="2" t="s">
        <v>1388</v>
      </c>
    </row>
    <row r="8327" customFormat="false" ht="15" hidden="false" customHeight="false" outlineLevel="1" collapsed="false">
      <c r="A8327" s="7" t="s">
        <v>731</v>
      </c>
      <c r="B8327" s="8" t="s">
        <v>11</v>
      </c>
      <c r="C8327" s="61" t="n">
        <f aca="false">MAX(0,-C8325)</f>
        <v>612682.91635274</v>
      </c>
      <c r="D8327" s="61" t="n">
        <f aca="false">MAX(0,-D8325)</f>
        <v>742785.239212329</v>
      </c>
      <c r="E8327" s="61" t="n">
        <f aca="false">MAX(0,-E8325)</f>
        <v>794304.398531679</v>
      </c>
      <c r="F8327" s="61" t="n">
        <f aca="false">MAX(0,-F8325)</f>
        <v>773831.948217755</v>
      </c>
      <c r="G8327" s="61" t="n">
        <f aca="false">MAX(0,-G8325)</f>
        <v>674781.06072201</v>
      </c>
      <c r="H8327" s="2" t="s">
        <v>1389</v>
      </c>
    </row>
    <row r="8328" customFormat="false" ht="15" hidden="false" customHeight="false" outlineLevel="1" collapsed="false">
      <c r="A8328" s="7" t="s">
        <v>732</v>
      </c>
      <c r="B8328" s="8" t="s">
        <v>11</v>
      </c>
      <c r="C8328" s="61" t="n">
        <f aca="false">MIN(C8326,Pressupostos!$C$181*MAX(0,C8325))</f>
        <v>0</v>
      </c>
      <c r="D8328" s="61" t="n">
        <f aca="false">MIN(D8326,Pressupostos!$C$181*MAX(0,D8325))</f>
        <v>0</v>
      </c>
      <c r="E8328" s="61" t="n">
        <f aca="false">MIN(E8326,Pressupostos!$C$181*MAX(0,E8325))</f>
        <v>0</v>
      </c>
      <c r="F8328" s="61" t="n">
        <f aca="false">MIN(F8326,Pressupostos!$C$181*MAX(0,F8325))</f>
        <v>0</v>
      </c>
      <c r="G8328" s="61" t="n">
        <f aca="false">MIN(G8326,Pressupostos!$C$181*MAX(0,G8325))</f>
        <v>0</v>
      </c>
      <c r="H8328" s="2" t="s">
        <v>1390</v>
      </c>
    </row>
    <row r="8329" customFormat="false" ht="15" hidden="false" customHeight="false" outlineLevel="1" collapsed="false">
      <c r="A8329" s="7" t="s">
        <v>733</v>
      </c>
      <c r="B8329" s="8" t="s">
        <v>11</v>
      </c>
      <c r="C8329" s="61" t="n">
        <f aca="false">C8326+C8327-C8328</f>
        <v>612682.91635274</v>
      </c>
      <c r="D8329" s="61" t="n">
        <f aca="false">D8326+D8327-D8328</f>
        <v>1355468.15556507</v>
      </c>
      <c r="E8329" s="61" t="n">
        <f aca="false">E8326+E8327-E8328</f>
        <v>2149772.55409675</v>
      </c>
      <c r="F8329" s="61" t="n">
        <f aca="false">F8326+F8327-F8328</f>
        <v>2923604.5023145</v>
      </c>
      <c r="G8329" s="61" t="n">
        <f aca="false">G8326+G8327-G8328</f>
        <v>3598385.56303651</v>
      </c>
      <c r="H8329" s="2" t="s">
        <v>1391</v>
      </c>
    </row>
    <row r="8330" customFormat="false" ht="15" hidden="false" customHeight="false" outlineLevel="1" collapsed="false">
      <c r="A8330" s="7" t="s">
        <v>734</v>
      </c>
      <c r="B8330" s="8" t="s">
        <v>11</v>
      </c>
      <c r="C8330" s="61" t="n">
        <f aca="false">MAX(0,C8325)-C8328</f>
        <v>0</v>
      </c>
      <c r="D8330" s="61" t="n">
        <f aca="false">MAX(0,D8325)-D8328</f>
        <v>0</v>
      </c>
      <c r="E8330" s="61" t="n">
        <f aca="false">MAX(0,E8325)-E8328</f>
        <v>0</v>
      </c>
      <c r="F8330" s="61" t="n">
        <f aca="false">MAX(0,F8325)-F8328</f>
        <v>0</v>
      </c>
      <c r="G8330" s="61" t="n">
        <f aca="false">MAX(0,G8325)-G8328</f>
        <v>0</v>
      </c>
      <c r="H8330" s="2" t="s">
        <v>1392</v>
      </c>
    </row>
    <row r="8331" customFormat="false" ht="15" hidden="false" customHeight="false" outlineLevel="1" collapsed="false">
      <c r="A8331" s="7" t="s">
        <v>735</v>
      </c>
      <c r="B8331" s="8" t="s">
        <v>11</v>
      </c>
      <c r="C8331" s="61" t="n">
        <f aca="false">Pressupostos!$C$172*MIN(C8330,Pressupostos!$C$173)+Pressupostos!$C$467*MAX(0,C8330-Pressupostos!$C$173)</f>
        <v>0</v>
      </c>
      <c r="D8331" s="61" t="n">
        <f aca="false">Pressupostos!$C$172*MIN(D8330,Pressupostos!$C$173)+Pressupostos!$D$467*MAX(0,D8330-Pressupostos!$C$173)</f>
        <v>0</v>
      </c>
      <c r="E8331" s="61" t="n">
        <f aca="false">Pressupostos!$C$172*MIN(E8330,Pressupostos!$C$173)+Pressupostos!$E$467*MAX(0,E8330-Pressupostos!$C$173)</f>
        <v>0</v>
      </c>
      <c r="F8331" s="61" t="n">
        <f aca="false">Pressupostos!$C$172*MIN(F8330,Pressupostos!$C$173)+Pressupostos!$F$467*MAX(0,F8330-Pressupostos!$C$173)</f>
        <v>0</v>
      </c>
      <c r="G8331" s="61" t="n">
        <f aca="false">Pressupostos!$C$172*MIN(G8330,Pressupostos!$C$173)+Pressupostos!$G$467*MAX(0,G8330-Pressupostos!$C$173)</f>
        <v>0</v>
      </c>
      <c r="H8331" s="2" t="s">
        <v>1393</v>
      </c>
    </row>
    <row r="8332" customFormat="false" ht="15" hidden="false" customHeight="false" outlineLevel="1" collapsed="false">
      <c r="A8332" s="7" t="s">
        <v>736</v>
      </c>
      <c r="B8332" s="8" t="s">
        <v>11</v>
      </c>
      <c r="C8332" s="61" t="n">
        <f aca="false">Pressupostos!$C$174*MAX(0,C8325)</f>
        <v>0</v>
      </c>
      <c r="D8332" s="61" t="n">
        <f aca="false">Pressupostos!$C$174*MAX(0,D8325)</f>
        <v>0</v>
      </c>
      <c r="E8332" s="61" t="n">
        <f aca="false">Pressupostos!$C$174*MAX(0,E8325)</f>
        <v>0</v>
      </c>
      <c r="F8332" s="61" t="n">
        <f aca="false">Pressupostos!$C$174*MAX(0,F8325)</f>
        <v>0</v>
      </c>
      <c r="G8332" s="61" t="n">
        <f aca="false">Pressupostos!$C$174*MAX(0,G8325)</f>
        <v>0</v>
      </c>
      <c r="H8332" s="2" t="s">
        <v>1394</v>
      </c>
    </row>
    <row r="8333" customFormat="false" ht="15" hidden="false" customHeight="false" outlineLevel="1" collapsed="false">
      <c r="A8333" s="7" t="s">
        <v>737</v>
      </c>
      <c r="B8333" s="8" t="s">
        <v>11</v>
      </c>
      <c r="C8333" s="61" t="n">
        <f aca="false">Pressupostos!$C$176*MAX(0,MIN(C8325,Pressupostos!$C$177)-Pressupostos!$C$175)+Pressupostos!$C$178*MAX(0,MIN(C8325,Pressupostos!$C$179)-Pressupostos!$C$177)+Pressupostos!$C$180*MAX(0,C8325-Pressupostos!$C$179)</f>
        <v>0</v>
      </c>
      <c r="D8333" s="61" t="n">
        <f aca="false">Pressupostos!$C$176*MAX(0,MIN(D8325,Pressupostos!$C$177)-Pressupostos!$C$175)+Pressupostos!$C$178*MAX(0,MIN(D8325,Pressupostos!$C$179)-Pressupostos!$C$177)+Pressupostos!$C$180*MAX(0,D8325-Pressupostos!$C$179)</f>
        <v>0</v>
      </c>
      <c r="E8333" s="61" t="n">
        <f aca="false">Pressupostos!$C$176*MAX(0,MIN(E8325,Pressupostos!$C$177)-Pressupostos!$C$175)+Pressupostos!$C$178*MAX(0,MIN(E8325,Pressupostos!$C$179)-Pressupostos!$C$177)+Pressupostos!$C$180*MAX(0,E8325-Pressupostos!$C$179)</f>
        <v>0</v>
      </c>
      <c r="F8333" s="61" t="n">
        <f aca="false">Pressupostos!$C$176*MAX(0,MIN(F8325,Pressupostos!$C$177)-Pressupostos!$C$175)+Pressupostos!$C$178*MAX(0,MIN(F8325,Pressupostos!$C$179)-Pressupostos!$C$177)+Pressupostos!$C$180*MAX(0,F8325-Pressupostos!$C$179)</f>
        <v>0</v>
      </c>
      <c r="G8333" s="61" t="n">
        <f aca="false">Pressupostos!$C$176*MAX(0,MIN(G8325,Pressupostos!$C$177)-Pressupostos!$C$175)+Pressupostos!$C$178*MAX(0,MIN(G8325,Pressupostos!$C$179)-Pressupostos!$C$177)+Pressupostos!$C$180*MAX(0,G8325-Pressupostos!$C$179)</f>
        <v>0</v>
      </c>
      <c r="H8333" s="2" t="s">
        <v>1395</v>
      </c>
    </row>
    <row r="8334" customFormat="false" ht="15" hidden="false" customHeight="false" outlineLevel="1" collapsed="false">
      <c r="A8334" s="7" t="s">
        <v>738</v>
      </c>
      <c r="B8334" s="8" t="s">
        <v>11</v>
      </c>
      <c r="C8334" s="61" t="n">
        <f aca="false">C8331+C8332+C8333</f>
        <v>0</v>
      </c>
      <c r="D8334" s="61" t="n">
        <f aca="false">D8331+D8332+D8333</f>
        <v>0</v>
      </c>
      <c r="E8334" s="61" t="n">
        <f aca="false">E8331+E8332+E8333</f>
        <v>0</v>
      </c>
      <c r="F8334" s="61" t="n">
        <f aca="false">F8331+F8332+F8333</f>
        <v>0</v>
      </c>
      <c r="G8334" s="61" t="n">
        <f aca="false">G8331+G8332+G8333</f>
        <v>0</v>
      </c>
      <c r="H8334" s="2" t="s">
        <v>1396</v>
      </c>
    </row>
    <row r="8335" customFormat="false" ht="15" hidden="false" customHeight="false" outlineLevel="0" collapsed="false">
      <c r="A8335" s="3" t="s">
        <v>1397</v>
      </c>
      <c r="B8335" s="4"/>
      <c r="C8335" s="4"/>
      <c r="D8335" s="4"/>
      <c r="E8335" s="4"/>
      <c r="F8335" s="4"/>
      <c r="G8335" s="4"/>
      <c r="H8335" s="4"/>
    </row>
    <row r="8336" customFormat="false" ht="15" hidden="false" customHeight="false" outlineLevel="1" collapsed="false">
      <c r="A8336" s="7" t="s">
        <v>738</v>
      </c>
      <c r="B8336" s="8" t="s">
        <v>11</v>
      </c>
      <c r="C8336" s="61" t="n">
        <f aca="false">-C8334</f>
        <v>-0</v>
      </c>
      <c r="D8336" s="61" t="n">
        <f aca="false">-D8334</f>
        <v>-0</v>
      </c>
      <c r="E8336" s="61" t="n">
        <f aca="false">-E8334</f>
        <v>-0</v>
      </c>
      <c r="F8336" s="61" t="n">
        <f aca="false">-F8334</f>
        <v>-0</v>
      </c>
      <c r="G8336" s="61" t="n">
        <f aca="false">-G8334</f>
        <v>-0</v>
      </c>
      <c r="H8336" s="2" t="s">
        <v>1398</v>
      </c>
    </row>
    <row r="8337" customFormat="false" ht="15" hidden="false" customHeight="false" outlineLevel="1" collapsed="false">
      <c r="A8337" s="56" t="s">
        <v>740</v>
      </c>
      <c r="B8337" s="57" t="s">
        <v>11</v>
      </c>
      <c r="C8337" s="62" t="n">
        <f aca="false">C8323+C8336</f>
        <v>-612682.91635274</v>
      </c>
      <c r="D8337" s="62" t="n">
        <f aca="false">D8323+D8336</f>
        <v>-742785.239212329</v>
      </c>
      <c r="E8337" s="62" t="n">
        <f aca="false">E8323+E8336</f>
        <v>-794304.398531679</v>
      </c>
      <c r="F8337" s="62" t="n">
        <f aca="false">F8323+F8336</f>
        <v>-773831.948217755</v>
      </c>
      <c r="G8337" s="62" t="n">
        <f aca="false">G8323+G8336</f>
        <v>-674781.06072201</v>
      </c>
      <c r="H8337" s="2" t="s">
        <v>1399</v>
      </c>
    </row>
    <row r="8338" customFormat="false" ht="15" hidden="false" customHeight="false" outlineLevel="0" collapsed="false">
      <c r="A8338" s="3" t="s">
        <v>1400</v>
      </c>
      <c r="B8338" s="4"/>
      <c r="C8338" s="4"/>
      <c r="D8338" s="4"/>
      <c r="E8338" s="4"/>
      <c r="F8338" s="4"/>
      <c r="G8338" s="4"/>
      <c r="H8338" s="4"/>
    </row>
    <row r="8339" customFormat="false" ht="15" hidden="false" customHeight="false" outlineLevel="1" collapsed="false">
      <c r="A8339" s="7" t="s">
        <v>744</v>
      </c>
      <c r="B8339" s="8" t="s">
        <v>11</v>
      </c>
      <c r="C8339" s="61" t="n">
        <f aca="false">C8111*1000*((C8129+C8132)*C8135/365)+C8112*1000*((C8152+C8155)*C8158/365)+C8114*1000*((C8175+C8178)*C8181/365)</f>
        <v>34293.698630137</v>
      </c>
      <c r="D8339" s="61" t="n">
        <f aca="false">D8111*1000*((D8129+D8132)*D8135/365)+D8112*1000*((D8152+D8155)*D8158/365)+D8114*1000*((D8175+D8178)*D8181/365)</f>
        <v>184524.657534247</v>
      </c>
      <c r="E8339" s="61" t="n">
        <f aca="false">E8111*1000*((E8129+E8132)*E8135/365)+E8112*1000*((E8152+E8155)*E8158/365)+E8114*1000*((E8175+E8178)*E8181/365)</f>
        <v>281132.876712329</v>
      </c>
      <c r="F8339" s="61" t="n">
        <f aca="false">F8111*1000*((F8129+F8132)*F8135/365)+F8112*1000*((F8152+F8155)*F8158/365)+F8114*1000*((F8175+F8178)*F8181/365)</f>
        <v>468098.630136986</v>
      </c>
      <c r="G8339" s="61" t="n">
        <f aca="false">G8111*1000*((G8129+G8132)*G8135/365)+G8112*1000*((G8152+G8155)*G8158/365)+G8114*1000*((G8175+G8178)*G8181/365)</f>
        <v>702000</v>
      </c>
      <c r="H8339" s="2" t="s">
        <v>1401</v>
      </c>
    </row>
    <row r="8340" customFormat="false" ht="15" hidden="false" customHeight="false" outlineLevel="1" collapsed="false">
      <c r="A8340" s="7" t="s">
        <v>745</v>
      </c>
      <c r="B8340" s="8" t="s">
        <v>11</v>
      </c>
      <c r="C8340" s="61" t="n">
        <f aca="false">C8339+C8124*1000*Pressupostos!$C$92*Pressupostos!$C$95/365</f>
        <v>34293.698630137</v>
      </c>
      <c r="D8340" s="61" t="n">
        <f aca="false">D8339+D8124*1000*Pressupostos!$C$92*Pressupostos!$C$95/365</f>
        <v>184524.657534247</v>
      </c>
      <c r="E8340" s="61" t="n">
        <f aca="false">E8339+E8124*1000*Pressupostos!$C$92*Pressupostos!$C$95/365</f>
        <v>281132.876712329</v>
      </c>
      <c r="F8340" s="61" t="n">
        <f aca="false">F8339+F8124*1000*Pressupostos!$C$92*Pressupostos!$C$95/365</f>
        <v>485358.904109589</v>
      </c>
      <c r="G8340" s="61" t="n">
        <f aca="false">G8339+G8124*1000*Pressupostos!$C$92*Pressupostos!$C$95/365</f>
        <v>745150.684931507</v>
      </c>
      <c r="H8340" s="2" t="s">
        <v>1402</v>
      </c>
    </row>
    <row r="8341" customFormat="false" ht="15" hidden="false" customHeight="false" outlineLevel="1" collapsed="false">
      <c r="A8341" s="7" t="s">
        <v>746</v>
      </c>
      <c r="B8341" s="8" t="s">
        <v>11</v>
      </c>
      <c r="C8341" s="61" t="n">
        <f aca="false">C8111*1000*(C8131*C8136/365)+C8112*1000*(C8154*C8159/365)+C8114*1000*(C8177*C8182/365)+C8206*Pressupostos!$C$96/365+(C8208+C8209)*Pressupostos!$C$82/365</f>
        <v>39130.498630137</v>
      </c>
      <c r="D8341" s="61" t="n">
        <f aca="false">D8111*1000*(D8131*D8136/365)+D8112*1000*(D8154*D8159/365)+D8114*1000*(D8177*D8182/365)+D8206*Pressupostos!$C$96/365+(D8208+D8209)*Pressupostos!$C$82/365</f>
        <v>260470.191780822</v>
      </c>
      <c r="E8341" s="61" t="n">
        <f aca="false">E8111*1000*(E8131*E8136/365)+E8112*1000*(E8154*E8159/365)+E8114*1000*(E8177*E8182/365)+E8206*Pressupostos!$C$96/365+(E8208+E8209)*Pressupostos!$C$82/365</f>
        <v>526639.232876712</v>
      </c>
      <c r="F8341" s="61" t="n">
        <f aca="false">F8111*1000*(F8131*F8136/365)+F8112*1000*(F8154*F8159/365)+F8114*1000*(F8177*F8182/365)+F8206*Pressupostos!$C$96/365+(F8208+F8209)*Pressupostos!$C$82/365</f>
        <v>886141.260273973</v>
      </c>
      <c r="G8341" s="61" t="n">
        <f aca="false">G8111*1000*(G8131*G8136/365)+G8112*1000*(G8154*G8159/365)+G8114*1000*(G8177*G8182/365)+G8206*Pressupostos!$C$96/365+(G8208+G8209)*Pressupostos!$C$82/365</f>
        <v>1346642.60273973</v>
      </c>
      <c r="H8341" s="2" t="s">
        <v>1403</v>
      </c>
    </row>
    <row r="8342" customFormat="false" ht="15" hidden="false" customHeight="false" outlineLevel="1" collapsed="false">
      <c r="A8342" s="7" t="s">
        <v>747</v>
      </c>
      <c r="B8342" s="8" t="s">
        <v>11</v>
      </c>
      <c r="C8342" s="61" t="n">
        <f aca="false">C8111*1000*((C8129+C8132)*(Pressupostos!$C$200)/365)+C8112*1000*((C8152+C8155)*(Pressupostos!$C$200)/365)+C8114*1000*((C8175+C8178)*(Pressupostos!$C$200)/365)+C8124*1000*Pressupostos!$C$92*Pressupostos!$C$97/365</f>
        <v>3356.71232876712</v>
      </c>
      <c r="D8342" s="61" t="n">
        <f aca="false">D8111*1000*((D8129+D8132)*(Pressupostos!$C$200)/365)+D8112*1000*((D8152+D8155)*(Pressupostos!$C$200)/365)+D8114*1000*((D8175+D8178)*(Pressupostos!$C$200)/365)+D8124*1000*Pressupostos!$C$92*Pressupostos!$C$97/365</f>
        <v>21908.2191780822</v>
      </c>
      <c r="E8342" s="61" t="n">
        <f aca="false">E8111*1000*((E8129+E8132)*(Pressupostos!$C$200)/365)+E8112*1000*((E8152+E8155)*(Pressupostos!$C$200)/365)+E8114*1000*((E8175+E8178)*(Pressupostos!$C$200)/365)+E8124*1000*Pressupostos!$C$92*Pressupostos!$C$97/365</f>
        <v>44496.5753424658</v>
      </c>
      <c r="F8342" s="61" t="n">
        <f aca="false">F8111*1000*((F8129+F8132)*(Pressupostos!$C$200)/365)+F8112*1000*((F8152+F8155)*(Pressupostos!$C$200)/365)+F8114*1000*((F8175+F8178)*(Pressupostos!$C$200)/365)+F8124*1000*Pressupostos!$C$92*Pressupostos!$C$97/365</f>
        <v>85395.2054794521</v>
      </c>
      <c r="G8342" s="61" t="n">
        <f aca="false">G8111*1000*((G8129+G8132)*(Pressupostos!$C$200)/365)+G8112*1000*((G8152+G8155)*(Pressupostos!$C$200)/365)+G8114*1000*((G8175+G8178)*(Pressupostos!$C$200)/365)+G8124*1000*Pressupostos!$C$92*Pressupostos!$C$97/365</f>
        <v>139869.863013699</v>
      </c>
      <c r="H8342" s="2" t="s">
        <v>1404</v>
      </c>
    </row>
    <row r="8343" customFormat="false" ht="15" hidden="false" customHeight="false" outlineLevel="1" collapsed="false">
      <c r="A8343" s="56" t="s">
        <v>748</v>
      </c>
      <c r="B8343" s="57" t="s">
        <v>11</v>
      </c>
      <c r="C8343" s="62" t="n">
        <f aca="false">C8340+C8341-C8342</f>
        <v>70067.4849315068</v>
      </c>
      <c r="D8343" s="62" t="n">
        <f aca="false">D8340+D8341-D8342</f>
        <v>423086.630136986</v>
      </c>
      <c r="E8343" s="62" t="n">
        <f aca="false">E8340+E8341-E8342</f>
        <v>763275.534246575</v>
      </c>
      <c r="F8343" s="62" t="n">
        <f aca="false">F8340+F8341-F8342</f>
        <v>1286104.95890411</v>
      </c>
      <c r="G8343" s="62" t="n">
        <f aca="false">G8340+G8341-G8342</f>
        <v>1951923.42465753</v>
      </c>
      <c r="H8343" s="2" t="s">
        <v>1405</v>
      </c>
    </row>
    <row r="8344" customFormat="false" ht="15" hidden="false" customHeight="false" outlineLevel="0" collapsed="false">
      <c r="A8344" s="3" t="s">
        <v>1406</v>
      </c>
      <c r="B8344" s="4"/>
      <c r="C8344" s="4"/>
      <c r="D8344" s="4"/>
      <c r="E8344" s="4"/>
      <c r="F8344" s="4"/>
      <c r="G8344" s="4"/>
      <c r="H8344" s="4"/>
    </row>
    <row r="8345" customFormat="false" ht="15" hidden="false" customHeight="false" outlineLevel="1" collapsed="false">
      <c r="A8345" s="56" t="s">
        <v>750</v>
      </c>
      <c r="B8345" s="57" t="s">
        <v>11</v>
      </c>
      <c r="C8345" s="62" t="n">
        <f aca="false">Pressupostos!$C$284*C8343/Pressupostos!$F$31</f>
        <v>0</v>
      </c>
      <c r="D8345" s="62" t="n">
        <f aca="false">Pressupostos!$D$284*D8343/Pressupostos!$F$31</f>
        <v>396643.715753425</v>
      </c>
      <c r="E8345" s="62" t="n">
        <f aca="false">Pressupostos!$E$284*E8343/Pressupostos!$F$31</f>
        <v>715570.813356164</v>
      </c>
      <c r="F8345" s="62" t="n">
        <f aca="false">Pressupostos!$F$284*F8343/Pressupostos!$F$31</f>
        <v>1205723.3989726</v>
      </c>
      <c r="G8345" s="62" t="n">
        <f aca="false">Pressupostos!$G$284*G8343/Pressupostos!$F$31</f>
        <v>1829928.21061644</v>
      </c>
      <c r="H8345" s="2" t="s">
        <v>1407</v>
      </c>
    </row>
    <row r="8346" customFormat="false" ht="15" hidden="false" customHeight="false" outlineLevel="1" collapsed="false">
      <c r="A8346" s="7" t="s">
        <v>751</v>
      </c>
      <c r="B8346" s="8" t="s">
        <v>11</v>
      </c>
      <c r="C8346" s="61" t="n">
        <f aca="false">Pressupostos!$C$284*C8343</f>
        <v>0</v>
      </c>
      <c r="D8346" s="61" t="n">
        <f aca="false">Pressupostos!$D$284*D8343</f>
        <v>317314.97260274</v>
      </c>
      <c r="E8346" s="61" t="n">
        <f aca="false">Pressupostos!$E$284*E8343</f>
        <v>572456.650684931</v>
      </c>
      <c r="F8346" s="61" t="n">
        <f aca="false">Pressupostos!$F$284*F8343</f>
        <v>964578.719178082</v>
      </c>
      <c r="G8346" s="61" t="n">
        <f aca="false">Pressupostos!$G$284*G8343</f>
        <v>1463942.56849315</v>
      </c>
      <c r="H8346" s="2" t="s">
        <v>1408</v>
      </c>
    </row>
    <row r="8347" customFormat="false" ht="15" hidden="false" customHeight="false" outlineLevel="1" collapsed="false">
      <c r="A8347" s="7" t="s">
        <v>752</v>
      </c>
      <c r="B8347" s="8" t="s">
        <v>11</v>
      </c>
      <c r="C8347" s="61" t="n">
        <f aca="false">C8345-C8346</f>
        <v>0</v>
      </c>
      <c r="D8347" s="61" t="n">
        <f aca="false">D8345-D8346</f>
        <v>79328.7431506849</v>
      </c>
      <c r="E8347" s="61" t="n">
        <f aca="false">E8345-E8346</f>
        <v>143114.162671233</v>
      </c>
      <c r="F8347" s="61" t="n">
        <f aca="false">F8345-F8346</f>
        <v>241144.679794521</v>
      </c>
      <c r="G8347" s="61" t="n">
        <f aca="false">G8345-G8346</f>
        <v>365985.642123288</v>
      </c>
      <c r="H8347" s="2" t="s">
        <v>1409</v>
      </c>
    </row>
    <row r="8348" customFormat="false" ht="15" hidden="false" customHeight="false" outlineLevel="1" collapsed="false">
      <c r="A8348" s="7" t="s">
        <v>753</v>
      </c>
      <c r="B8348" s="8" t="s">
        <v>11</v>
      </c>
      <c r="C8348" s="61" t="n">
        <f aca="false">C8343-C8346</f>
        <v>70067.4849315068</v>
      </c>
      <c r="D8348" s="61" t="n">
        <f aca="false">D8343-D8346</f>
        <v>105771.657534247</v>
      </c>
      <c r="E8348" s="61" t="n">
        <f aca="false">E8343-E8346</f>
        <v>190818.883561644</v>
      </c>
      <c r="F8348" s="61" t="n">
        <f aca="false">F8343-F8346</f>
        <v>321526.239726027</v>
      </c>
      <c r="G8348" s="61" t="n">
        <f aca="false">G8343-G8346</f>
        <v>487980.856164383</v>
      </c>
      <c r="H8348" s="2" t="s">
        <v>1410</v>
      </c>
    </row>
    <row r="8349" customFormat="false" ht="15" hidden="false" customHeight="false" outlineLevel="1" collapsed="false">
      <c r="A8349" s="7" t="s">
        <v>754</v>
      </c>
      <c r="B8349" s="8" t="s">
        <v>11</v>
      </c>
      <c r="C8349" s="61" t="n">
        <f aca="false">MAX(0,Pressupostos!$C$108-C8348)</f>
        <v>0</v>
      </c>
      <c r="D8349" s="61" t="n">
        <f aca="false">MAX(0,Pressupostos!$C$108-D8348)</f>
        <v>0</v>
      </c>
      <c r="E8349" s="61" t="n">
        <f aca="false">MAX(0,Pressupostos!$C$108-E8348)</f>
        <v>0</v>
      </c>
      <c r="F8349" s="61" t="n">
        <f aca="false">MAX(0,Pressupostos!$C$108-F8348)</f>
        <v>0</v>
      </c>
      <c r="G8349" s="61" t="n">
        <f aca="false">MAX(0,Pressupostos!$C$108-G8348)</f>
        <v>0</v>
      </c>
      <c r="H8349" s="2" t="s">
        <v>1411</v>
      </c>
    </row>
    <row r="8350" customFormat="false" ht="15" hidden="false" customHeight="false" outlineLevel="1" collapsed="false">
      <c r="A8350" s="7" t="s">
        <v>755</v>
      </c>
      <c r="B8350" s="8" t="s">
        <v>11</v>
      </c>
      <c r="C8350" s="61" t="n">
        <f aca="false">Pressupostos!$C$109*C8345</f>
        <v>0</v>
      </c>
      <c r="D8350" s="61" t="n">
        <f aca="false">Pressupostos!$C$109*D8345</f>
        <v>19832.1857876712</v>
      </c>
      <c r="E8350" s="61" t="n">
        <f aca="false">Pressupostos!$C$109*E8345</f>
        <v>35778.5406678082</v>
      </c>
      <c r="F8350" s="61" t="n">
        <f aca="false">Pressupostos!$C$109*F8345</f>
        <v>60286.1699486301</v>
      </c>
      <c r="G8350" s="61" t="n">
        <f aca="false">Pressupostos!$C$109*G8345</f>
        <v>91496.4105308219</v>
      </c>
      <c r="H8350" s="2" t="s">
        <v>1412</v>
      </c>
    </row>
    <row r="8351" customFormat="false" ht="15" hidden="false" customHeight="false" outlineLevel="1" collapsed="false">
      <c r="A8351" s="2" t="s">
        <v>756</v>
      </c>
      <c r="B8351" s="8" t="s">
        <v>123</v>
      </c>
      <c r="C8351" s="61" t="n">
        <f aca="false">C8345/Pressupostos!$C$112</f>
        <v>0</v>
      </c>
      <c r="D8351" s="61" t="n">
        <f aca="false">D8345/Pressupostos!$C$112</f>
        <v>7.93287431506849</v>
      </c>
      <c r="E8351" s="61" t="n">
        <f aca="false">E8345/Pressupostos!$C$112</f>
        <v>14.3114162671233</v>
      </c>
      <c r="F8351" s="61" t="n">
        <f aca="false">F8345/Pressupostos!$C$112</f>
        <v>24.1144679794521</v>
      </c>
      <c r="G8351" s="61" t="n">
        <f aca="false">G8345/Pressupostos!$C$112</f>
        <v>36.5985642123288</v>
      </c>
      <c r="H8351" s="2" t="s">
        <v>1413</v>
      </c>
    </row>
    <row r="8352" customFormat="false" ht="15" hidden="false" customHeight="false" outlineLevel="0" collapsed="false">
      <c r="A8352" s="3" t="s">
        <v>1414</v>
      </c>
      <c r="B8352" s="4"/>
      <c r="C8352" s="4"/>
      <c r="D8352" s="4"/>
      <c r="E8352" s="4"/>
      <c r="F8352" s="4"/>
      <c r="G8352" s="4"/>
      <c r="H8352" s="4"/>
    </row>
    <row r="8353" customFormat="false" ht="15" hidden="false" customHeight="false" outlineLevel="1" collapsed="false">
      <c r="A8353" s="7" t="s">
        <v>758</v>
      </c>
      <c r="B8353" s="8" t="s">
        <v>11</v>
      </c>
      <c r="C8353" s="61" t="n">
        <f aca="false">C8319</f>
        <v>-586332.91635274</v>
      </c>
      <c r="D8353" s="61" t="n">
        <f aca="false">D8319</f>
        <v>-703035.239212329</v>
      </c>
      <c r="E8353" s="61" t="n">
        <f aca="false">E8319</f>
        <v>-741654.398531679</v>
      </c>
      <c r="F8353" s="61" t="n">
        <f aca="false">F8319</f>
        <v>-730865.281551088</v>
      </c>
      <c r="G8353" s="61" t="n">
        <f aca="false">G8319</f>
        <v>-634997.727388677</v>
      </c>
      <c r="H8353" s="2" t="s">
        <v>1415</v>
      </c>
    </row>
    <row r="8354" customFormat="false" ht="15" hidden="false" customHeight="false" outlineLevel="1" collapsed="false">
      <c r="A8354" s="7" t="s">
        <v>759</v>
      </c>
      <c r="B8354" s="8" t="s">
        <v>11</v>
      </c>
      <c r="C8354" s="61" t="n">
        <f aca="false">-C8334</f>
        <v>-0</v>
      </c>
      <c r="D8354" s="61" t="n">
        <f aca="false">-D8334</f>
        <v>-0</v>
      </c>
      <c r="E8354" s="61" t="n">
        <f aca="false">-E8334</f>
        <v>-0</v>
      </c>
      <c r="F8354" s="61" t="n">
        <f aca="false">-F8334</f>
        <v>-0</v>
      </c>
      <c r="G8354" s="61" t="n">
        <f aca="false">-G8334</f>
        <v>-0</v>
      </c>
      <c r="H8354" s="2" t="s">
        <v>1416</v>
      </c>
    </row>
    <row r="8355" customFormat="false" ht="15" hidden="false" customHeight="false" outlineLevel="1" collapsed="false">
      <c r="A8355" s="7" t="s">
        <v>760</v>
      </c>
      <c r="B8355" s="8" t="s">
        <v>11</v>
      </c>
      <c r="C8355" s="61" t="n">
        <f aca="false">-C8343</f>
        <v>-70067.4849315068</v>
      </c>
      <c r="D8355" s="61" t="n">
        <f aca="false">-(D8343-C8343)</f>
        <v>-353019.145205479</v>
      </c>
      <c r="E8355" s="61" t="n">
        <f aca="false">-(E8343-D8343)</f>
        <v>-340188.904109589</v>
      </c>
      <c r="F8355" s="61" t="n">
        <f aca="false">-(F8343-E8343)</f>
        <v>-522829.424657534</v>
      </c>
      <c r="G8355" s="61" t="n">
        <f aca="false">-(G8343-F8343)</f>
        <v>-665818.465753424</v>
      </c>
      <c r="H8355" s="2" t="s">
        <v>1417</v>
      </c>
    </row>
    <row r="8356" customFormat="false" ht="15" hidden="false" customHeight="false" outlineLevel="1" collapsed="false">
      <c r="A8356" s="7" t="s">
        <v>424</v>
      </c>
      <c r="B8356" s="8" t="s">
        <v>11</v>
      </c>
      <c r="C8356" s="61" t="n">
        <f aca="false">-C8303</f>
        <v>-89000</v>
      </c>
      <c r="D8356" s="61" t="n">
        <f aca="false">-D8303</f>
        <v>-46000</v>
      </c>
      <c r="E8356" s="61" t="n">
        <f aca="false">-E8303</f>
        <v>-44000</v>
      </c>
      <c r="F8356" s="61" t="n">
        <f aca="false">-F8303</f>
        <v>-37000</v>
      </c>
      <c r="G8356" s="61" t="n">
        <f aca="false">-G8303</f>
        <v>-34000</v>
      </c>
      <c r="H8356" s="2" t="s">
        <v>1418</v>
      </c>
    </row>
    <row r="8357" customFormat="false" ht="15" hidden="false" customHeight="false" outlineLevel="1" collapsed="false">
      <c r="A8357" s="7" t="s">
        <v>761</v>
      </c>
      <c r="B8357" s="8" t="s">
        <v>11</v>
      </c>
      <c r="C8357" s="61" t="n">
        <f aca="false">C8353+C8354+C8355+C8356</f>
        <v>-745400.401284247</v>
      </c>
      <c r="D8357" s="61" t="n">
        <f aca="false">D8353+D8354+D8355+D8356</f>
        <v>-1102054.38441781</v>
      </c>
      <c r="E8357" s="61" t="n">
        <f aca="false">E8353+E8354+E8355+E8356</f>
        <v>-1125843.30264127</v>
      </c>
      <c r="F8357" s="61" t="n">
        <f aca="false">F8353+F8354+F8355+F8356</f>
        <v>-1290694.70620862</v>
      </c>
      <c r="G8357" s="61" t="n">
        <f aca="false">G8353+G8354+G8355+G8356</f>
        <v>-1334816.1931421</v>
      </c>
      <c r="H8357" s="2" t="s">
        <v>1419</v>
      </c>
    </row>
    <row r="8358" customFormat="false" ht="15" hidden="false" customHeight="false" outlineLevel="1" collapsed="false">
      <c r="A8358" s="7" t="s">
        <v>762</v>
      </c>
      <c r="B8358" s="8" t="s">
        <v>11</v>
      </c>
      <c r="C8358" s="61" t="n">
        <f aca="false">C8345</f>
        <v>0</v>
      </c>
      <c r="D8358" s="61" t="n">
        <f aca="false">D8345-C8345</f>
        <v>396643.715753425</v>
      </c>
      <c r="E8358" s="61" t="n">
        <f aca="false">E8345-D8345</f>
        <v>318927.09760274</v>
      </c>
      <c r="F8358" s="61" t="n">
        <f aca="false">F8345-E8345</f>
        <v>490152.585616438</v>
      </c>
      <c r="G8358" s="61" t="n">
        <f aca="false">G8345-F8345</f>
        <v>624204.811643835</v>
      </c>
      <c r="H8358" s="2" t="s">
        <v>1420</v>
      </c>
    </row>
    <row r="8359" customFormat="false" ht="15" hidden="false" customHeight="false" outlineLevel="1" collapsed="false">
      <c r="A8359" s="7" t="s">
        <v>763</v>
      </c>
      <c r="B8359" s="8" t="s">
        <v>11</v>
      </c>
      <c r="C8359" s="61" t="n">
        <f aca="false">-C8347</f>
        <v>-0</v>
      </c>
      <c r="D8359" s="61" t="n">
        <f aca="false">-(D8347-C8347)</f>
        <v>-79328.7431506849</v>
      </c>
      <c r="E8359" s="61" t="n">
        <f aca="false">-(E8347-D8347)</f>
        <v>-63785.4195205479</v>
      </c>
      <c r="F8359" s="61" t="n">
        <f aca="false">-(F8347-E8347)</f>
        <v>-98030.5171232877</v>
      </c>
      <c r="G8359" s="61" t="n">
        <f aca="false">-(G8347-F8347)</f>
        <v>-124840.962328767</v>
      </c>
      <c r="H8359" s="2" t="s">
        <v>1421</v>
      </c>
    </row>
    <row r="8360" customFormat="false" ht="15" hidden="false" customHeight="false" outlineLevel="1" collapsed="false">
      <c r="A8360" s="7" t="s">
        <v>764</v>
      </c>
      <c r="B8360" s="8" t="s">
        <v>11</v>
      </c>
      <c r="C8360" s="61" t="n">
        <f aca="false">-C8350</f>
        <v>-0</v>
      </c>
      <c r="D8360" s="61" t="n">
        <f aca="false">-(D8350-C8350)</f>
        <v>-19832.1857876712</v>
      </c>
      <c r="E8360" s="61" t="n">
        <f aca="false">-(E8350-D8350)</f>
        <v>-15946.354880137</v>
      </c>
      <c r="F8360" s="61" t="n">
        <f aca="false">-(F8350-E8350)</f>
        <v>-24507.6292808219</v>
      </c>
      <c r="G8360" s="61" t="n">
        <f aca="false">-(G8350-F8350)</f>
        <v>-31210.2405821918</v>
      </c>
      <c r="H8360" s="2" t="s">
        <v>1422</v>
      </c>
    </row>
    <row r="8361" customFormat="false" ht="15" hidden="false" customHeight="false" outlineLevel="1" collapsed="false">
      <c r="A8361" s="7" t="s">
        <v>765</v>
      </c>
      <c r="B8361" s="8" t="s">
        <v>11</v>
      </c>
      <c r="C8361" s="61" t="n">
        <f aca="false">-(C8349-Pressupostos!$C$108)</f>
        <v>50000</v>
      </c>
      <c r="D8361" s="61" t="n">
        <f aca="false">-(D8349-C8349)</f>
        <v>-0</v>
      </c>
      <c r="E8361" s="61" t="n">
        <f aca="false">-(E8349-D8349)</f>
        <v>-0</v>
      </c>
      <c r="F8361" s="61" t="n">
        <f aca="false">-(F8349-E8349)</f>
        <v>-0</v>
      </c>
      <c r="G8361" s="61" t="n">
        <f aca="false">-(G8349-F8349)</f>
        <v>-0</v>
      </c>
      <c r="H8361" s="2" t="s">
        <v>1423</v>
      </c>
    </row>
    <row r="8362" customFormat="false" ht="15" hidden="false" customHeight="false" outlineLevel="1" collapsed="false">
      <c r="A8362" s="56" t="s">
        <v>766</v>
      </c>
      <c r="B8362" s="57" t="s">
        <v>11</v>
      </c>
      <c r="C8362" s="62" t="n">
        <f aca="false">C8357+C8358+C8359+C8360+C8361</f>
        <v>-695400.401284247</v>
      </c>
      <c r="D8362" s="62" t="n">
        <f aca="false">D8357+D8358+D8359+D8360+D8361</f>
        <v>-804571.59760274</v>
      </c>
      <c r="E8362" s="62" t="n">
        <f aca="false">E8357+E8358+E8359+E8360+E8361</f>
        <v>-886647.979439213</v>
      </c>
      <c r="F8362" s="62" t="n">
        <f aca="false">F8357+F8358+F8359+F8360+F8361</f>
        <v>-923080.266996294</v>
      </c>
      <c r="G8362" s="62" t="n">
        <f aca="false">G8357+G8358+G8359+G8360+G8361</f>
        <v>-866662.584409225</v>
      </c>
      <c r="H8362" s="2" t="s">
        <v>1424</v>
      </c>
    </row>
    <row r="8363" customFormat="false" ht="15" hidden="false" customHeight="false" outlineLevel="1" collapsed="false">
      <c r="A8363" s="56" t="s">
        <v>767</v>
      </c>
      <c r="B8363" s="57" t="s">
        <v>11</v>
      </c>
      <c r="C8363" s="62" t="n">
        <f aca="false">C8362</f>
        <v>-695400.401284247</v>
      </c>
      <c r="D8363" s="62" t="n">
        <f aca="false">C8363+D8362</f>
        <v>-1499971.99888699</v>
      </c>
      <c r="E8363" s="62" t="n">
        <f aca="false">D8363+E8362</f>
        <v>-2386619.9783262</v>
      </c>
      <c r="F8363" s="62" t="n">
        <f aca="false">E8363+F8362</f>
        <v>-3309700.24532249</v>
      </c>
      <c r="G8363" s="62" t="n">
        <f aca="false">F8363+G8362</f>
        <v>-4176362.82973172</v>
      </c>
      <c r="H8363" s="2" t="s">
        <v>1425</v>
      </c>
    </row>
    <row r="8364" customFormat="false" ht="15" hidden="false" customHeight="false" outlineLevel="1" collapsed="false">
      <c r="A8364" s="8" t="s">
        <v>768</v>
      </c>
      <c r="B8364" s="8" t="s">
        <v>11</v>
      </c>
      <c r="C8364" s="70" t="n">
        <f aca="false">ROUND(C8319-C8303-C8334-(MAX(C8348,Pressupostos!$C$108)-Pressupostos!$C$108)-(C8350)-C8362,6)</f>
        <v>0</v>
      </c>
      <c r="D8364" s="70" t="n">
        <f aca="false">ROUND(D8319-D8303-D8334-(MAX(D8348,Pressupostos!$C$108)-MAX(C8348,Pressupostos!$C$108))-(D8350-C8350)-D8362,6)</f>
        <v>0</v>
      </c>
      <c r="E8364" s="70" t="n">
        <f aca="false">ROUND(E8319-E8303-E8334-(MAX(E8348,Pressupostos!$C$108)-MAX(D8348,Pressupostos!$C$108))-(E8350-D8350)-E8362,6)</f>
        <v>0</v>
      </c>
      <c r="F8364" s="70" t="n">
        <f aca="false">ROUND(F8319-F8303-F8334-(MAX(F8348,Pressupostos!$C$108)-MAX(E8348,Pressupostos!$C$108))-(F8350-E8350)-F8362,6)</f>
        <v>0</v>
      </c>
      <c r="G8364" s="70" t="n">
        <f aca="false">ROUND(G8319-G8303-G8334-(MAX(G8348,Pressupostos!$C$108)-MAX(F8348,Pressupostos!$C$108))-(G8350-F8350)-G8362,6)</f>
        <v>0</v>
      </c>
      <c r="H8364" s="2" t="s">
        <v>1426</v>
      </c>
    </row>
    <row r="8365" customFormat="false" ht="15" hidden="false" customHeight="false" outlineLevel="0" collapsed="false">
      <c r="A8365" s="3" t="s">
        <v>1427</v>
      </c>
      <c r="B8365" s="4"/>
      <c r="C8365" s="4"/>
      <c r="D8365" s="4"/>
      <c r="E8365" s="4"/>
      <c r="F8365" s="4"/>
      <c r="G8365" s="4"/>
      <c r="H8365" s="4"/>
    </row>
    <row r="8366" customFormat="false" ht="15" hidden="false" customHeight="false" outlineLevel="1" collapsed="false">
      <c r="A8366" s="7" t="s">
        <v>770</v>
      </c>
      <c r="B8366" s="8" t="s">
        <v>11</v>
      </c>
      <c r="C8366" s="61" t="n">
        <f aca="false">0</f>
        <v>0</v>
      </c>
      <c r="D8366" s="61" t="n">
        <f aca="false">C8371</f>
        <v>259599.598715754</v>
      </c>
      <c r="E8366" s="61" t="n">
        <f aca="false">D8371</f>
        <v>150000</v>
      </c>
      <c r="F8366" s="61" t="n">
        <f aca="false">E8371</f>
        <v>150000</v>
      </c>
      <c r="G8366" s="61" t="n">
        <f aca="false">F8371</f>
        <v>150000</v>
      </c>
      <c r="H8366" s="2" t="s">
        <v>1428</v>
      </c>
    </row>
    <row r="8367" customFormat="false" ht="15" hidden="false" customHeight="false" outlineLevel="1" collapsed="false">
      <c r="A8367" s="7" t="s">
        <v>771</v>
      </c>
      <c r="B8367" s="8" t="s">
        <v>11</v>
      </c>
      <c r="C8367" s="61" t="n">
        <f aca="false">-(Pressupostos!$C$159+Pressupostos!$C$160+Pressupostos!$C$161+Pressupostos!$C$162+Pressupostos!$C$163+Pressupostos!$C$108)</f>
        <v>-145000</v>
      </c>
      <c r="D8367" s="61" t="n">
        <f aca="false">0</f>
        <v>0</v>
      </c>
      <c r="E8367" s="61" t="n">
        <f aca="false">0</f>
        <v>0</v>
      </c>
      <c r="F8367" s="61" t="n">
        <f aca="false">0</f>
        <v>0</v>
      </c>
      <c r="G8367" s="61" t="n">
        <f aca="false">0</f>
        <v>0</v>
      </c>
      <c r="H8367" s="2" t="s">
        <v>1429</v>
      </c>
    </row>
    <row r="8368" customFormat="false" ht="15" hidden="false" customHeight="false" outlineLevel="1" collapsed="false">
      <c r="A8368" s="7" t="s">
        <v>772</v>
      </c>
      <c r="B8368" s="8" t="s">
        <v>11</v>
      </c>
      <c r="C8368" s="53" t="n">
        <f aca="false">Pressupostos!$F$32</f>
        <v>1100000</v>
      </c>
      <c r="D8368" s="61" t="n">
        <f aca="false">0</f>
        <v>0</v>
      </c>
      <c r="E8368" s="61" t="n">
        <f aca="false">0</f>
        <v>0</v>
      </c>
      <c r="F8368" s="61" t="n">
        <f aca="false">0</f>
        <v>0</v>
      </c>
      <c r="G8368" s="61" t="n">
        <f aca="false">0</f>
        <v>0</v>
      </c>
      <c r="H8368" s="2" t="s">
        <v>1430</v>
      </c>
    </row>
    <row r="8369" customFormat="false" ht="15" hidden="false" customHeight="false" outlineLevel="1" collapsed="false">
      <c r="A8369" s="7" t="s">
        <v>773</v>
      </c>
      <c r="B8369" s="8" t="s">
        <v>11</v>
      </c>
      <c r="C8369" s="61" t="n">
        <f aca="false">C8366+C8367+C8368+C8362</f>
        <v>259599.598715754</v>
      </c>
      <c r="D8369" s="61" t="n">
        <f aca="false">D8366+D8367+D8368+D8362</f>
        <v>-544971.998886986</v>
      </c>
      <c r="E8369" s="61" t="n">
        <f aca="false">E8366+E8367+E8368+E8362</f>
        <v>-736647.979439213</v>
      </c>
      <c r="F8369" s="61" t="n">
        <f aca="false">F8366+F8367+F8368+F8362</f>
        <v>-773080.266996294</v>
      </c>
      <c r="G8369" s="61" t="n">
        <f aca="false">G8366+G8367+G8368+G8362</f>
        <v>-716662.584409225</v>
      </c>
      <c r="H8369" s="2" t="s">
        <v>1431</v>
      </c>
    </row>
    <row r="8370" customFormat="false" ht="15" hidden="false" customHeight="false" outlineLevel="1" collapsed="false">
      <c r="A8370" s="56" t="s">
        <v>774</v>
      </c>
      <c r="B8370" s="57" t="s">
        <v>11</v>
      </c>
      <c r="C8370" s="62" t="n">
        <f aca="false">MAX(0,Pressupostos!$C$170-C8369)</f>
        <v>0</v>
      </c>
      <c r="D8370" s="62" t="n">
        <f aca="false">MAX(0,Pressupostos!$C$170-D8369)</f>
        <v>694971.998886986</v>
      </c>
      <c r="E8370" s="62" t="n">
        <f aca="false">MAX(0,Pressupostos!$C$170-E8369)</f>
        <v>886647.979439213</v>
      </c>
      <c r="F8370" s="62" t="n">
        <f aca="false">MAX(0,Pressupostos!$C$170-F8369)</f>
        <v>923080.266996294</v>
      </c>
      <c r="G8370" s="62" t="n">
        <f aca="false">MAX(0,Pressupostos!$C$170-G8369)</f>
        <v>866662.584409225</v>
      </c>
      <c r="H8370" s="2" t="s">
        <v>1432</v>
      </c>
    </row>
    <row r="8371" customFormat="false" ht="15" hidden="false" customHeight="false" outlineLevel="1" collapsed="false">
      <c r="A8371" s="56" t="s">
        <v>775</v>
      </c>
      <c r="B8371" s="57" t="s">
        <v>11</v>
      </c>
      <c r="C8371" s="62" t="n">
        <f aca="false">C8369+C8370</f>
        <v>259599.598715754</v>
      </c>
      <c r="D8371" s="62" t="n">
        <f aca="false">D8369+D8370</f>
        <v>150000</v>
      </c>
      <c r="E8371" s="62" t="n">
        <f aca="false">E8369+E8370</f>
        <v>150000</v>
      </c>
      <c r="F8371" s="62" t="n">
        <f aca="false">F8369+F8370</f>
        <v>150000</v>
      </c>
      <c r="G8371" s="62" t="n">
        <f aca="false">G8369+G8370</f>
        <v>150000</v>
      </c>
      <c r="H8371" s="2" t="s">
        <v>1433</v>
      </c>
    </row>
    <row r="8372" customFormat="false" ht="15" hidden="false" customHeight="false" outlineLevel="1" collapsed="false">
      <c r="A8372" s="7" t="s">
        <v>776</v>
      </c>
      <c r="B8372" s="8" t="s">
        <v>11</v>
      </c>
      <c r="C8372" s="61" t="n">
        <f aca="false">C8347+C8350+C8349</f>
        <v>0</v>
      </c>
      <c r="D8372" s="61" t="n">
        <f aca="false">D8347+D8350+D8349</f>
        <v>99160.9289383562</v>
      </c>
      <c r="E8372" s="61" t="n">
        <f aca="false">E8347+E8350+E8349</f>
        <v>178892.703339041</v>
      </c>
      <c r="F8372" s="61" t="n">
        <f aca="false">F8347+F8350+F8349</f>
        <v>301430.849743151</v>
      </c>
      <c r="G8372" s="61" t="n">
        <f aca="false">G8347+G8350+G8349</f>
        <v>457482.052654109</v>
      </c>
      <c r="H8372" s="2" t="s">
        <v>1434</v>
      </c>
    </row>
    <row r="8373" customFormat="false" ht="15" hidden="false" customHeight="false" outlineLevel="1" collapsed="false">
      <c r="A8373" s="7" t="s">
        <v>777</v>
      </c>
      <c r="B8373" s="8" t="s">
        <v>11</v>
      </c>
      <c r="C8373" s="61" t="n">
        <f aca="false">C8371+C8372</f>
        <v>259599.598715754</v>
      </c>
      <c r="D8373" s="61" t="n">
        <f aca="false">D8371+D8372</f>
        <v>249160.928938356</v>
      </c>
      <c r="E8373" s="61" t="n">
        <f aca="false">E8371+E8372</f>
        <v>328892.703339041</v>
      </c>
      <c r="F8373" s="61" t="n">
        <f aca="false">F8371+F8372</f>
        <v>451430.849743151</v>
      </c>
      <c r="G8373" s="61" t="n">
        <f aca="false">G8371+G8372</f>
        <v>607482.052654109</v>
      </c>
      <c r="H8373" s="2" t="s">
        <v>1435</v>
      </c>
    </row>
    <row r="8374" customFormat="false" ht="15" hidden="false" customHeight="false" outlineLevel="1" collapsed="false">
      <c r="A8374" s="7" t="s">
        <v>778</v>
      </c>
      <c r="B8374" s="8" t="s">
        <v>11</v>
      </c>
      <c r="C8374" s="61" t="n">
        <f aca="false">C8368+C8370</f>
        <v>1100000</v>
      </c>
      <c r="D8374" s="61" t="n">
        <f aca="false">C8374+D8368+D8370</f>
        <v>1794971.99888699</v>
      </c>
      <c r="E8374" s="61" t="n">
        <f aca="false">D8374+E8368+E8370</f>
        <v>2681619.9783262</v>
      </c>
      <c r="F8374" s="61" t="n">
        <f aca="false">E8374+F8368+F8370</f>
        <v>3604700.24532249</v>
      </c>
      <c r="G8374" s="61" t="n">
        <f aca="false">F8374+G8368+G8370</f>
        <v>4471362.82973172</v>
      </c>
      <c r="H8374" s="2" t="s">
        <v>1436</v>
      </c>
    </row>
    <row r="8375" customFormat="false" ht="15" hidden="false" customHeight="false" outlineLevel="0" collapsed="false">
      <c r="A8375" s="3" t="s">
        <v>1437</v>
      </c>
      <c r="B8375" s="4"/>
      <c r="C8375" s="4"/>
      <c r="D8375" s="4"/>
      <c r="E8375" s="4"/>
      <c r="F8375" s="4"/>
      <c r="G8375" s="4"/>
      <c r="H8375" s="4"/>
    </row>
    <row r="8376" customFormat="false" ht="15" hidden="false" customHeight="false" outlineLevel="1" collapsed="false">
      <c r="A8376" s="7" t="s">
        <v>782</v>
      </c>
      <c r="B8376" s="8" t="s">
        <v>11</v>
      </c>
      <c r="C8376" s="72" t="n">
        <f aca="false">Pressupostos!$C$159+Pressupostos!$C$160+Pressupostos!$C$161+Pressupostos!$C$162+Pressupostos!$C$163</f>
        <v>95000</v>
      </c>
      <c r="H8376" s="2" t="s">
        <v>1438</v>
      </c>
    </row>
    <row r="8377" customFormat="false" ht="15" hidden="false" customHeight="false" outlineLevel="1" collapsed="false">
      <c r="A8377" s="7" t="s">
        <v>783</v>
      </c>
      <c r="B8377" s="8" t="s">
        <v>11</v>
      </c>
      <c r="C8377" s="73" t="n">
        <f aca="false">Pressupostos!$C$108</f>
        <v>50000</v>
      </c>
      <c r="H8377" s="2" t="s">
        <v>1439</v>
      </c>
    </row>
    <row r="8378" customFormat="false" ht="15" hidden="false" customHeight="false" outlineLevel="1" collapsed="false">
      <c r="A8378" s="7" t="s">
        <v>322</v>
      </c>
      <c r="B8378" s="8" t="s">
        <v>11</v>
      </c>
      <c r="C8378" s="73" t="n">
        <f aca="false">Pressupostos!$C$170</f>
        <v>150000</v>
      </c>
      <c r="H8378" s="2" t="s">
        <v>1440</v>
      </c>
    </row>
    <row r="8379" customFormat="false" ht="15" hidden="false" customHeight="false" outlineLevel="1" collapsed="false">
      <c r="A8379" s="7" t="s">
        <v>784</v>
      </c>
      <c r="B8379" s="8" t="s">
        <v>11</v>
      </c>
      <c r="C8379" s="72" t="n">
        <f aca="false">MAX(0,-MIN($C$8363:$G$8363))</f>
        <v>4176362.82973172</v>
      </c>
      <c r="H8379" s="2" t="s">
        <v>1441</v>
      </c>
    </row>
    <row r="8380" customFormat="false" ht="15" hidden="false" customHeight="false" outlineLevel="1" collapsed="false">
      <c r="A8380" s="56" t="s">
        <v>785</v>
      </c>
      <c r="B8380" s="57" t="s">
        <v>11</v>
      </c>
      <c r="C8380" s="74" t="n">
        <f aca="false">C8376+C8377+C8378+C8379</f>
        <v>4471362.82973172</v>
      </c>
      <c r="H8380" s="2" t="s">
        <v>1442</v>
      </c>
    </row>
    <row r="8381" customFormat="false" ht="15" hidden="false" customHeight="false" outlineLevel="1" collapsed="false">
      <c r="A8381" s="7" t="s">
        <v>786</v>
      </c>
      <c r="B8381" s="8" t="s">
        <v>20</v>
      </c>
      <c r="C8381" s="75" t="n">
        <f aca="false">INDEX($C$8108:$G$8108,1,MATCH(MIN($C$8363:$G$8363),$C$8363:$G$8363,0))</f>
        <v>2031</v>
      </c>
      <c r="H8381" s="2" t="s">
        <v>1443</v>
      </c>
    </row>
    <row r="8382" customFormat="false" ht="15" hidden="false" customHeight="false" outlineLevel="1" collapsed="false">
      <c r="A8382" s="7" t="s">
        <v>787</v>
      </c>
      <c r="B8382" s="8"/>
      <c r="C8382" s="76" t="str">
        <f aca="false">IF(G8362&lt;0,"sim","não")</f>
        <v>sim</v>
      </c>
      <c r="H8382" s="2" t="s">
        <v>1444</v>
      </c>
    </row>
    <row r="8383" customFormat="false" ht="15" hidden="false" customHeight="false" outlineLevel="1" collapsed="false">
      <c r="A8383" s="7" t="s">
        <v>788</v>
      </c>
      <c r="B8383" s="8" t="s">
        <v>11</v>
      </c>
      <c r="C8383" s="72" t="n">
        <f aca="false">G8374</f>
        <v>4471362.82973172</v>
      </c>
      <c r="H8383" s="2" t="s">
        <v>1445</v>
      </c>
    </row>
    <row r="8384" customFormat="false" ht="15" hidden="false" customHeight="false" outlineLevel="0" collapsed="false">
      <c r="A8384" s="3" t="s">
        <v>1446</v>
      </c>
      <c r="B8384" s="4"/>
      <c r="C8384" s="4"/>
      <c r="D8384" s="4"/>
      <c r="E8384" s="4"/>
      <c r="F8384" s="4"/>
      <c r="G8384" s="4"/>
      <c r="H8384" s="4"/>
    </row>
    <row r="8385" customFormat="false" ht="15" hidden="false" customHeight="false" outlineLevel="1" collapsed="false">
      <c r="A8385" s="7" t="s">
        <v>790</v>
      </c>
      <c r="B8385" s="8" t="s">
        <v>11</v>
      </c>
      <c r="C8385" s="72" t="n">
        <f aca="false">C8376+C8377</f>
        <v>145000</v>
      </c>
      <c r="H8385" s="2" t="s">
        <v>1447</v>
      </c>
    </row>
    <row r="8386" customFormat="false" ht="15" hidden="false" customHeight="false" outlineLevel="1" collapsed="false">
      <c r="A8386" s="7" t="s">
        <v>791</v>
      </c>
      <c r="B8386" s="8" t="s">
        <v>11</v>
      </c>
      <c r="C8386" s="72" t="n">
        <f aca="false">-SUMPRODUCT(($C$8108:$G$8108&lt;=C8381)*$C$8319:$G$8319)</f>
        <v>3396885.56303651</v>
      </c>
      <c r="H8386" s="2" t="s">
        <v>1448</v>
      </c>
    </row>
    <row r="8387" customFormat="false" ht="15" hidden="false" customHeight="false" outlineLevel="1" collapsed="false">
      <c r="A8387" s="7" t="s">
        <v>424</v>
      </c>
      <c r="B8387" s="8" t="s">
        <v>11</v>
      </c>
      <c r="C8387" s="72" t="n">
        <f aca="false">SUMPRODUCT(($C$8108:$G$8108&lt;=C8381)*$C$8303:$G$8303)</f>
        <v>250000</v>
      </c>
      <c r="H8387" s="2" t="s">
        <v>1449</v>
      </c>
    </row>
    <row r="8388" customFormat="false" ht="15" hidden="false" customHeight="false" outlineLevel="1" collapsed="false">
      <c r="A8388" s="7" t="s">
        <v>792</v>
      </c>
      <c r="B8388" s="8" t="s">
        <v>11</v>
      </c>
      <c r="C8388" s="72" t="n">
        <f aca="false">SUMPRODUCT(($C$8108:$G$8108&lt;=C8381)*$C$8334:$G$8334)</f>
        <v>0</v>
      </c>
      <c r="H8388" s="2" t="s">
        <v>1450</v>
      </c>
    </row>
    <row r="8389" customFormat="false" ht="15" hidden="false" customHeight="false" outlineLevel="1" collapsed="false">
      <c r="A8389" s="7" t="s">
        <v>793</v>
      </c>
      <c r="B8389" s="8" t="s">
        <v>11</v>
      </c>
      <c r="C8389" s="72" t="n">
        <f aca="false">C8379-C8386-C8387-C8388</f>
        <v>529477.266695206</v>
      </c>
      <c r="H8389" s="2" t="s">
        <v>1451</v>
      </c>
    </row>
    <row r="8390" customFormat="false" ht="15" hidden="false" customHeight="false" outlineLevel="1" collapsed="false">
      <c r="A8390" s="7" t="s">
        <v>322</v>
      </c>
      <c r="B8390" s="8" t="s">
        <v>11</v>
      </c>
      <c r="C8390" s="72" t="n">
        <f aca="false">C8378</f>
        <v>150000</v>
      </c>
      <c r="H8390" s="2" t="s">
        <v>1452</v>
      </c>
    </row>
    <row r="8391" customFormat="false" ht="15" hidden="false" customHeight="false" outlineLevel="1" collapsed="false">
      <c r="A8391" s="56" t="s">
        <v>794</v>
      </c>
      <c r="B8391" s="57" t="s">
        <v>11</v>
      </c>
      <c r="C8391" s="74" t="n">
        <f aca="false">C8385+C8386+C8387+C8388+C8389+C8390</f>
        <v>4471362.82973172</v>
      </c>
      <c r="H8391" s="2" t="s">
        <v>1453</v>
      </c>
    </row>
    <row r="8392" customFormat="false" ht="15" hidden="false" customHeight="false" outlineLevel="0" collapsed="false">
      <c r="A8392" s="3" t="s">
        <v>1454</v>
      </c>
      <c r="B8392" s="4"/>
      <c r="C8392" s="4"/>
      <c r="D8392" s="4"/>
      <c r="E8392" s="4"/>
      <c r="F8392" s="4"/>
      <c r="G8392" s="4"/>
      <c r="H8392" s="4"/>
    </row>
    <row r="8393" customFormat="false" ht="15" hidden="false" customHeight="false" outlineLevel="1" collapsed="false">
      <c r="A8393" s="7" t="s">
        <v>772</v>
      </c>
      <c r="B8393" s="8" t="s">
        <v>11</v>
      </c>
      <c r="C8393" s="73" t="n">
        <f aca="false">Pressupostos!$F$32</f>
        <v>1100000</v>
      </c>
      <c r="H8393" s="2" t="s">
        <v>1455</v>
      </c>
    </row>
    <row r="8394" customFormat="false" ht="15" hidden="false" customHeight="false" outlineLevel="1" collapsed="false">
      <c r="A8394" s="7" t="s">
        <v>796</v>
      </c>
      <c r="B8394" s="8" t="s">
        <v>11</v>
      </c>
      <c r="C8394" s="72" t="n">
        <f aca="false">C8376+Pressupostos!$C$108+Pressupostos!$C$130/12*((C8278-C8266-C8267+(C8266+C8267)/Pressupostos!$C$128*Pressupostos!$C$129)*(1+Pressupostos!$C$124+Pressupostos!$C$125)+C8264*Pressupostos!$C$126+C8297)+C8303+MAX(0,Pressupostos!$C$183*1000*(C8129+C8132)+Pressupostos!$C$184*1000*(C8152+C8155)-Pressupostos!$C$108)</f>
        <v>652596.666666667</v>
      </c>
      <c r="H8394" s="2" t="s">
        <v>1456</v>
      </c>
    </row>
    <row r="8395" customFormat="false" ht="15" hidden="false" customHeight="false" outlineLevel="1" collapsed="false">
      <c r="A8395" s="7" t="s">
        <v>798</v>
      </c>
      <c r="B8395" s="8" t="s">
        <v>11</v>
      </c>
      <c r="C8395" s="72" t="n">
        <f aca="false">C8376+Pressupostos!$C$108-C8362</f>
        <v>840400.401284247</v>
      </c>
      <c r="H8395" s="2" t="s">
        <v>1457</v>
      </c>
    </row>
    <row r="8396" customFormat="false" ht="15" hidden="false" customHeight="false" outlineLevel="1" collapsed="false">
      <c r="A8396" s="7" t="s">
        <v>799</v>
      </c>
      <c r="B8396" s="8" t="s">
        <v>11</v>
      </c>
      <c r="C8396" s="61" t="n">
        <f aca="false">Pressupostos!$F$32-C8376-Pressupostos!$C$108+C8363</f>
        <v>259599.598715754</v>
      </c>
      <c r="D8396" s="61" t="n">
        <f aca="false">Pressupostos!$F$32-C8376-Pressupostos!$C$108+D8363</f>
        <v>-544971.998886986</v>
      </c>
      <c r="E8396" s="61" t="n">
        <f aca="false">Pressupostos!$F$32-C8376-Pressupostos!$C$108+E8363</f>
        <v>-1431619.9783262</v>
      </c>
      <c r="F8396" s="61" t="n">
        <f aca="false">Pressupostos!$F$32-C8376-Pressupostos!$C$108+F8363</f>
        <v>-2354700.24532249</v>
      </c>
      <c r="G8396" s="61" t="n">
        <f aca="false">Pressupostos!$F$32-C8376-Pressupostos!$C$108+G8363</f>
        <v>-3221362.82973172</v>
      </c>
      <c r="H8396" s="2" t="s">
        <v>1458</v>
      </c>
    </row>
    <row r="8397" customFormat="false" ht="15" hidden="false" customHeight="false" outlineLevel="1" collapsed="false">
      <c r="A8397" s="7" t="s">
        <v>800</v>
      </c>
      <c r="B8397" s="8" t="s">
        <v>18</v>
      </c>
      <c r="C8397" s="77" t="str">
        <f aca="false">IF(AND(Pressupostos!$F$32-C8376-Pressupostos!$C$108&gt;0,C8396&lt;=0),12*(Pressupostos!$F$32-C8376-Pressupostos!$C$108)/(Pressupostos!$F$32-C8376-Pressupostos!$C$108-C8396),"")</f>
        <v/>
      </c>
      <c r="D8397" s="77" t="n">
        <f aca="false">IF(AND(C8396&gt;0,D8396&lt;=0),12+12*C8396/(C8396-D8396),"")</f>
        <v>15.8718682015012</v>
      </c>
      <c r="E8397" s="77" t="str">
        <f aca="false">IF(AND(D8396&gt;0,E8396&lt;=0),24+12*D8396/(D8396-E8396),"")</f>
        <v/>
      </c>
      <c r="F8397" s="77" t="str">
        <f aca="false">IF(AND(E8396&gt;0,F8396&lt;=0),36+12*E8396/(E8396-F8396),"")</f>
        <v/>
      </c>
      <c r="G8397" s="77" t="str">
        <f aca="false">IF(AND(F8396&gt;0,G8396&lt;=0),48+12*F8396/(F8396-G8396),"")</f>
        <v/>
      </c>
      <c r="H8397" s="2" t="s">
        <v>1459</v>
      </c>
    </row>
    <row r="8398" customFormat="false" ht="15" hidden="false" customHeight="false" outlineLevel="1" collapsed="false">
      <c r="A8398" s="56" t="s">
        <v>801</v>
      </c>
      <c r="B8398" s="57" t="s">
        <v>274</v>
      </c>
      <c r="C8398" s="78" t="n">
        <f aca="false">IF(COUNT($C$8397:$G$8397)=0,"&gt; 60",MIN($C$8397:$G$8397))</f>
        <v>15.8718682015012</v>
      </c>
      <c r="H8398" s="2" t="s">
        <v>1460</v>
      </c>
    </row>
    <row r="8399" customFormat="false" ht="15" hidden="false" customHeight="false" outlineLevel="0" collapsed="false">
      <c r="A8399" s="3" t="s">
        <v>1461</v>
      </c>
      <c r="B8399" s="4"/>
      <c r="C8399" s="4"/>
      <c r="D8399" s="4"/>
      <c r="E8399" s="4"/>
      <c r="F8399" s="4"/>
      <c r="G8399" s="4"/>
      <c r="H8399" s="4"/>
    </row>
    <row r="8400" customFormat="false" ht="15" hidden="false" customHeight="false" outlineLevel="1" collapsed="false">
      <c r="A8400" s="7" t="s">
        <v>803</v>
      </c>
      <c r="B8400" s="8" t="s">
        <v>18</v>
      </c>
      <c r="C8400" s="77" t="str">
        <f aca="false">IF(C8319&gt;=0,1,"")</f>
        <v/>
      </c>
      <c r="D8400" s="77" t="str">
        <f aca="false">IF(AND(C8319&lt;0,D8319&gt;=0),6.5+12*(-C8319)/(D8319-C8319),"")</f>
        <v/>
      </c>
      <c r="E8400" s="77" t="str">
        <f aca="false">IF(AND(D8319&lt;0,E8319&gt;=0),18.5+12*(-D8319)/(E8319-D8319),"")</f>
        <v/>
      </c>
      <c r="F8400" s="77" t="str">
        <f aca="false">IF(AND(E8319&lt;0,F8319&gt;=0),30.5+12*(-E8319)/(F8319-E8319),"")</f>
        <v/>
      </c>
      <c r="G8400" s="77" t="str">
        <f aca="false">IF(AND(F8319&lt;0,G8319&gt;=0),42.5+12*(-F8319)/(G8319-F8319),"")</f>
        <v/>
      </c>
      <c r="H8400" s="2" t="s">
        <v>1462</v>
      </c>
    </row>
    <row r="8401" customFormat="false" ht="15" hidden="false" customHeight="false" outlineLevel="1" collapsed="false">
      <c r="A8401" s="7" t="s">
        <v>804</v>
      </c>
      <c r="B8401" s="8" t="s">
        <v>18</v>
      </c>
      <c r="C8401" s="79" t="str">
        <f aca="false">IF(COUNT($C$8400:$G$8400)=0,"não atinge até 2031",ROUNDUP(MIN($C$8400:$G$8400),0))</f>
        <v>não atinge até 2031</v>
      </c>
      <c r="H8401" s="2" t="s">
        <v>1463</v>
      </c>
    </row>
    <row r="8402" customFormat="false" ht="15" hidden="false" customHeight="false" outlineLevel="1" collapsed="false">
      <c r="A8402" s="56" t="s">
        <v>805</v>
      </c>
      <c r="B8402" s="57" t="s">
        <v>806</v>
      </c>
      <c r="C8402" s="80" t="str">
        <f aca="false">IF(ISNUMBER(C8401),DATE(2027,C8401,1),"não atinge até 2031")</f>
        <v>não atinge até 2031</v>
      </c>
      <c r="H8402" s="2" t="s">
        <v>1464</v>
      </c>
    </row>
    <row r="8403" customFormat="false" ht="15" hidden="false" customHeight="false" outlineLevel="1" collapsed="false">
      <c r="A8403" s="7" t="s">
        <v>807</v>
      </c>
      <c r="B8403" s="8" t="s">
        <v>20</v>
      </c>
      <c r="C8403" s="81" t="str">
        <f aca="false">IF(C8319&gt;=0,C8108,"")</f>
        <v/>
      </c>
      <c r="D8403" s="81" t="str">
        <f aca="false">IF(D8319&gt;=0,D8108,"")</f>
        <v/>
      </c>
      <c r="E8403" s="81" t="str">
        <f aca="false">IF(E8319&gt;=0,E8108,"")</f>
        <v/>
      </c>
      <c r="F8403" s="81" t="str">
        <f aca="false">IF(F8319&gt;=0,F8108,"")</f>
        <v/>
      </c>
      <c r="G8403" s="81" t="str">
        <f aca="false">IF(G8319&gt;=0,G8108,"")</f>
        <v/>
      </c>
      <c r="H8403" s="2" t="s">
        <v>1465</v>
      </c>
    </row>
    <row r="8404" customFormat="false" ht="15" hidden="false" customHeight="false" outlineLevel="1" collapsed="false">
      <c r="A8404" s="7" t="s">
        <v>808</v>
      </c>
      <c r="B8404" s="8" t="s">
        <v>20</v>
      </c>
      <c r="C8404" s="75" t="str">
        <f aca="false">IF(COUNT($C$8403:$G$8403)=0,"não atinge até 2031",MIN($C$8403:$G$8403))</f>
        <v>não atinge até 2031</v>
      </c>
      <c r="H8404" s="2" t="s">
        <v>1466</v>
      </c>
    </row>
    <row r="8405" customFormat="false" ht="15" hidden="false" customHeight="false" outlineLevel="1" collapsed="false">
      <c r="A8405" s="7" t="s">
        <v>809</v>
      </c>
      <c r="B8405" s="8" t="s">
        <v>20</v>
      </c>
      <c r="C8405" s="81" t="str">
        <f aca="false">IF(C8337&gt;=0,C8108,"")</f>
        <v/>
      </c>
      <c r="D8405" s="81" t="str">
        <f aca="false">IF(D8337&gt;=0,D8108,"")</f>
        <v/>
      </c>
      <c r="E8405" s="81" t="str">
        <f aca="false">IF(E8337&gt;=0,E8108,"")</f>
        <v/>
      </c>
      <c r="F8405" s="81" t="str">
        <f aca="false">IF(F8337&gt;=0,F8108,"")</f>
        <v/>
      </c>
      <c r="G8405" s="81" t="str">
        <f aca="false">IF(G8337&gt;=0,G8108,"")</f>
        <v/>
      </c>
      <c r="H8405" s="2" t="s">
        <v>1467</v>
      </c>
    </row>
    <row r="8406" customFormat="false" ht="15" hidden="false" customHeight="false" outlineLevel="1" collapsed="false">
      <c r="A8406" s="7" t="s">
        <v>810</v>
      </c>
      <c r="B8406" s="8" t="s">
        <v>20</v>
      </c>
      <c r="C8406" s="75" t="str">
        <f aca="false">IF(COUNT($C$8405:$G$8405)=0,"não atinge até 2031",MIN($C$8405:$G$8405))</f>
        <v>não atinge até 2031</v>
      </c>
      <c r="H8406" s="2" t="s">
        <v>1468</v>
      </c>
    </row>
    <row r="8407" customFormat="false" ht="15" hidden="false" customHeight="false" outlineLevel="1" collapsed="false">
      <c r="A8407" s="7" t="s">
        <v>811</v>
      </c>
      <c r="B8407" s="8" t="s">
        <v>20</v>
      </c>
      <c r="C8407" s="81" t="str">
        <f aca="false">IF(C8362&gt;=0,C8108,"")</f>
        <v/>
      </c>
      <c r="D8407" s="81" t="str">
        <f aca="false">IF(D8362&gt;=0,D8108,"")</f>
        <v/>
      </c>
      <c r="E8407" s="81" t="str">
        <f aca="false">IF(E8362&gt;=0,E8108,"")</f>
        <v/>
      </c>
      <c r="F8407" s="81" t="str">
        <f aca="false">IF(F8362&gt;=0,F8108,"")</f>
        <v/>
      </c>
      <c r="G8407" s="81" t="str">
        <f aca="false">IF(G8362&gt;=0,G8108,"")</f>
        <v/>
      </c>
      <c r="H8407" s="2" t="s">
        <v>1469</v>
      </c>
    </row>
    <row r="8408" customFormat="false" ht="15" hidden="false" customHeight="false" outlineLevel="1" collapsed="false">
      <c r="A8408" s="7" t="s">
        <v>19</v>
      </c>
      <c r="B8408" s="8" t="s">
        <v>20</v>
      </c>
      <c r="C8408" s="75" t="str">
        <f aca="false">IF(COUNT($C$8407:$G$8407)=0,"não atinge até 2031",MIN($C$8407:$G$8407))</f>
        <v>não atinge até 2031</v>
      </c>
      <c r="H8408" s="2" t="s">
        <v>1470</v>
      </c>
    </row>
    <row r="8409" customFormat="false" ht="15" hidden="false" customHeight="false" outlineLevel="0" collapsed="false">
      <c r="A8409" s="3" t="s">
        <v>1471</v>
      </c>
      <c r="B8409" s="4"/>
      <c r="C8409" s="4"/>
      <c r="D8409" s="4"/>
      <c r="E8409" s="4"/>
      <c r="F8409" s="4"/>
      <c r="G8409" s="4"/>
      <c r="H8409" s="4"/>
    </row>
    <row r="8410" customFormat="false" ht="15" hidden="false" customHeight="false" outlineLevel="1" collapsed="false">
      <c r="A8410" s="7" t="s">
        <v>813</v>
      </c>
      <c r="B8410" s="8" t="s">
        <v>11</v>
      </c>
      <c r="C8410" s="61" t="n">
        <f aca="false">C8345</f>
        <v>0</v>
      </c>
      <c r="D8410" s="61" t="n">
        <f aca="false">D8345</f>
        <v>396643.715753425</v>
      </c>
      <c r="E8410" s="61" t="n">
        <f aca="false">E8345</f>
        <v>715570.813356164</v>
      </c>
      <c r="F8410" s="61" t="n">
        <f aca="false">F8345</f>
        <v>1205723.3989726</v>
      </c>
      <c r="G8410" s="61" t="n">
        <f aca="false">G8345</f>
        <v>1829928.21061644</v>
      </c>
      <c r="H8410" s="2" t="s">
        <v>1472</v>
      </c>
    </row>
    <row r="8411" customFormat="false" ht="15" hidden="false" customHeight="false" outlineLevel="1" collapsed="false">
      <c r="A8411" s="7" t="s">
        <v>509</v>
      </c>
      <c r="B8411" s="8" t="s">
        <v>76</v>
      </c>
      <c r="C8411" s="82" t="n">
        <f aca="false">Pressupostos!$C$290</f>
        <v>0.08</v>
      </c>
      <c r="D8411" s="82" t="n">
        <f aca="false">Pressupostos!$D$290</f>
        <v>0.08</v>
      </c>
      <c r="E8411" s="82" t="n">
        <f aca="false">Pressupostos!$E$290</f>
        <v>0.075</v>
      </c>
      <c r="F8411" s="82" t="n">
        <f aca="false">Pressupostos!$F$290</f>
        <v>0.07</v>
      </c>
      <c r="G8411" s="82" t="n">
        <f aca="false">Pressupostos!$G$290</f>
        <v>0.07</v>
      </c>
      <c r="H8411" s="2" t="s">
        <v>1473</v>
      </c>
    </row>
    <row r="8412" customFormat="false" ht="15" hidden="false" customHeight="false" outlineLevel="1" collapsed="false">
      <c r="A8412" s="7" t="s">
        <v>814</v>
      </c>
      <c r="B8412" s="8" t="s">
        <v>76</v>
      </c>
      <c r="C8412" s="60" t="n">
        <f aca="false">Pressupostos!$C$290*(1-Pressupostos!$C$111)</f>
        <v>0.0576</v>
      </c>
      <c r="D8412" s="60" t="n">
        <f aca="false">Pressupostos!$D$290*(1-Pressupostos!$C$111)</f>
        <v>0.0576</v>
      </c>
      <c r="E8412" s="60" t="n">
        <f aca="false">Pressupostos!$E$290*(1-Pressupostos!$C$111)</f>
        <v>0.054</v>
      </c>
      <c r="F8412" s="60" t="n">
        <f aca="false">Pressupostos!$F$290*(1-Pressupostos!$C$111)</f>
        <v>0.0504</v>
      </c>
      <c r="G8412" s="60" t="n">
        <f aca="false">Pressupostos!$G$290*(1-Pressupostos!$C$111)</f>
        <v>0.0504</v>
      </c>
      <c r="H8412" s="2" t="s">
        <v>1474</v>
      </c>
    </row>
    <row r="8413" customFormat="false" ht="15" hidden="false" customHeight="false" outlineLevel="1" collapsed="false">
      <c r="A8413" s="7" t="s">
        <v>815</v>
      </c>
      <c r="B8413" s="8" t="s">
        <v>11</v>
      </c>
      <c r="C8413" s="61" t="n">
        <f aca="false">C8249</f>
        <v>0</v>
      </c>
      <c r="D8413" s="61" t="n">
        <f aca="false">D8249</f>
        <v>29739.7602739726</v>
      </c>
      <c r="E8413" s="61" t="n">
        <f aca="false">E8249</f>
        <v>49726.926369863</v>
      </c>
      <c r="F8413" s="61" t="n">
        <f aca="false">F8249</f>
        <v>78173.6686643836</v>
      </c>
      <c r="G8413" s="61" t="n">
        <f aca="false">G8249</f>
        <v>118715.625</v>
      </c>
      <c r="H8413" s="2" t="s">
        <v>1475</v>
      </c>
    </row>
    <row r="8414" customFormat="false" ht="15" hidden="false" customHeight="false" outlineLevel="1" collapsed="false">
      <c r="A8414" s="7" t="s">
        <v>816</v>
      </c>
      <c r="B8414" s="8" t="s">
        <v>76</v>
      </c>
      <c r="C8414" s="59" t="n">
        <f aca="false">IF(C8345&gt;0,(C8348+C8350)/C8345,0)</f>
        <v>0</v>
      </c>
      <c r="D8414" s="59" t="n">
        <f aca="false">IF(D8345&gt;0,(D8348+D8350)/D8345,0)</f>
        <v>0.316666666666667</v>
      </c>
      <c r="E8414" s="59" t="n">
        <f aca="false">IF(E8345&gt;0,(E8348+E8350)/E8345,0)</f>
        <v>0.316666666666667</v>
      </c>
      <c r="F8414" s="59" t="n">
        <f aca="false">IF(F8345&gt;0,(F8348+F8350)/F8345,0)</f>
        <v>0.316666666666667</v>
      </c>
      <c r="G8414" s="59" t="n">
        <f aca="false">IF(G8345&gt;0,(G8348+G8350)/G8345,0)</f>
        <v>0.316666666666667</v>
      </c>
      <c r="H8414" s="2" t="s">
        <v>1476</v>
      </c>
    </row>
    <row r="8415" customFormat="false" ht="15" hidden="false" customHeight="false" outlineLevel="1" collapsed="false">
      <c r="A8415" s="7" t="s">
        <v>817</v>
      </c>
      <c r="B8415" s="8" t="s">
        <v>123</v>
      </c>
      <c r="C8415" s="61" t="n">
        <f aca="false">C8351</f>
        <v>0</v>
      </c>
      <c r="D8415" s="61" t="n">
        <f aca="false">D8351</f>
        <v>7.93287431506849</v>
      </c>
      <c r="E8415" s="61" t="n">
        <f aca="false">E8351</f>
        <v>14.3114162671233</v>
      </c>
      <c r="F8415" s="61" t="n">
        <f aca="false">F8351</f>
        <v>24.1144679794521</v>
      </c>
      <c r="G8415" s="61" t="n">
        <f aca="false">G8351</f>
        <v>36.5985642123288</v>
      </c>
      <c r="H8415" s="2" t="s">
        <v>1477</v>
      </c>
    </row>
    <row r="8416" customFormat="false" ht="15" hidden="false" customHeight="false" outlineLevel="1" collapsed="false">
      <c r="A8416" s="7" t="s">
        <v>818</v>
      </c>
      <c r="B8416" s="8" t="s">
        <v>11</v>
      </c>
      <c r="C8416" s="61" t="n">
        <f aca="false">C8249+C8295</f>
        <v>65000</v>
      </c>
      <c r="D8416" s="61" t="n">
        <f aca="false">D8249+D8295</f>
        <v>104739.760273973</v>
      </c>
      <c r="E8416" s="61" t="n">
        <f aca="false">E8249+E8295</f>
        <v>129726.926369863</v>
      </c>
      <c r="F8416" s="61" t="n">
        <f aca="false">F8249+F8295</f>
        <v>163173.668664384</v>
      </c>
      <c r="G8416" s="61" t="n">
        <f aca="false">G8249+G8295</f>
        <v>208715.625</v>
      </c>
      <c r="H8416" s="2" t="s">
        <v>1478</v>
      </c>
    </row>
    <row r="8417" customFormat="false" ht="15" hidden="false" customHeight="false" outlineLevel="1" collapsed="false">
      <c r="A8417" s="7" t="s">
        <v>819</v>
      </c>
      <c r="B8417" s="8" t="s">
        <v>76</v>
      </c>
      <c r="C8417" s="59" t="str">
        <f aca="false">IF(C8345&gt;0,C8416/C8345,"")</f>
        <v/>
      </c>
      <c r="D8417" s="59" t="n">
        <f aca="false">IF(D8345&gt;0,D8416/D8345,"")</f>
        <v>0.264065094476587</v>
      </c>
      <c r="E8417" s="59" t="n">
        <f aca="false">IF(E8345&gt;0,E8416/E8345,"")</f>
        <v>0.181291528313486</v>
      </c>
      <c r="F8417" s="59" t="n">
        <f aca="false">IF(F8345&gt;0,F8416/F8345,"")</f>
        <v>0.135332588555073</v>
      </c>
      <c r="G8417" s="59" t="n">
        <f aca="false">IF(G8345&gt;0,G8416/G8345,"")</f>
        <v>0.114056728449304</v>
      </c>
      <c r="H8417" s="2" t="s">
        <v>1479</v>
      </c>
    </row>
    <row r="8418" customFormat="false" ht="15" hidden="false" customHeight="false" outlineLevel="0" collapsed="false">
      <c r="A8418" s="3" t="s">
        <v>1480</v>
      </c>
      <c r="B8418" s="4"/>
      <c r="C8418" s="4"/>
      <c r="D8418" s="4"/>
      <c r="E8418" s="4"/>
      <c r="F8418" s="4"/>
      <c r="G8418" s="4"/>
      <c r="H8418" s="4"/>
    </row>
    <row r="8419" customFormat="false" ht="15" hidden="false" customHeight="false" outlineLevel="1" collapsed="false">
      <c r="A8419" s="7" t="s">
        <v>821</v>
      </c>
      <c r="B8419" s="8" t="s">
        <v>11</v>
      </c>
      <c r="C8419" s="61" t="n">
        <f aca="false">MAX(0,-C8319)</f>
        <v>586332.91635274</v>
      </c>
      <c r="D8419" s="61" t="n">
        <f aca="false">MAX(0,-D8319)</f>
        <v>703035.239212329</v>
      </c>
      <c r="E8419" s="61" t="n">
        <f aca="false">MAX(0,-E8319)</f>
        <v>741654.398531679</v>
      </c>
      <c r="F8419" s="61" t="n">
        <f aca="false">MAX(0,-F8319)</f>
        <v>730865.281551088</v>
      </c>
      <c r="G8419" s="61" t="n">
        <f aca="false">MAX(0,-G8319)</f>
        <v>634997.727388677</v>
      </c>
      <c r="H8419" s="2" t="s">
        <v>1481</v>
      </c>
    </row>
    <row r="8420" customFormat="false" ht="15" hidden="false" customHeight="false" outlineLevel="1" collapsed="false">
      <c r="A8420" s="2" t="s">
        <v>822</v>
      </c>
      <c r="B8420" s="8"/>
      <c r="C8420" s="61" t="n">
        <f aca="false">IF(AND(C8108&gt;=Pressupostos!$C$120,Pressupostos!$C$118*(C8202+C8203)+Pressupostos!$C$119*C8204&gt;Pressupostos!$C$302),1,0)</f>
        <v>0</v>
      </c>
      <c r="D8420" s="61" t="n">
        <f aca="false">IF(AND(D8108&gt;=Pressupostos!$C$120,Pressupostos!$C$118*(D8202+D8203)+Pressupostos!$C$119*D8204&gt;Pressupostos!$D$302),1,0)</f>
        <v>1</v>
      </c>
      <c r="E8420" s="61" t="n">
        <f aca="false">IF(AND(E8108&gt;=Pressupostos!$C$120,Pressupostos!$C$118*(E8202+E8203)+Pressupostos!$C$119*E8204&gt;Pressupostos!$E$302),1,0)</f>
        <v>1</v>
      </c>
      <c r="F8420" s="61" t="n">
        <f aca="false">IF(AND(F8108&gt;=Pressupostos!$C$120,Pressupostos!$C$118*(F8202+F8203)+Pressupostos!$C$119*F8204&gt;Pressupostos!$F$302),1,0)</f>
        <v>1</v>
      </c>
      <c r="G8420" s="61" t="n">
        <f aca="false">IF(AND(G8108&gt;=Pressupostos!$C$120,Pressupostos!$C$118*(G8202+G8203)+Pressupostos!$C$119*G8204&gt;Pressupostos!$G$302),1,0)</f>
        <v>1</v>
      </c>
      <c r="H8420" s="2" t="s">
        <v>1482</v>
      </c>
    </row>
    <row r="8421" customFormat="false" ht="15" hidden="false" customHeight="false" outlineLevel="1" collapsed="false">
      <c r="A8421" s="7" t="s">
        <v>823</v>
      </c>
      <c r="B8421" s="8" t="s">
        <v>64</v>
      </c>
      <c r="C8421" s="63" t="n">
        <f aca="false">IF(C8112&gt;0,C8419/(C8112*1000*(1-Pressupostos!$F$22)*(1-Pressupostos!$F$25-C8420*Pressupostos!$C$118)),"n/a")</f>
        <v>11.309561691859</v>
      </c>
      <c r="D8421" s="63" t="n">
        <f aca="false">IF(D8112&gt;0,D8419/(D8112*1000*(1-Pressupostos!$F$22)*(1-Pressupostos!$F$25-D8420*Pressupostos!$C$118)),"n/a")</f>
        <v>1.95038891860747</v>
      </c>
      <c r="E8421" s="63" t="n">
        <f aca="false">IF(E8112&gt;0,E8419/(E8112*1000*(1-Pressupostos!$F$22)*(1-Pressupostos!$F$25-E8420*Pressupostos!$C$118)),"n/a")</f>
        <v>1.04167723370663</v>
      </c>
      <c r="F8421" s="63" t="n">
        <f aca="false">IF(F8112&gt;0,F8419/(F8112*1000*(1-Pressupostos!$F$22)*(1-Pressupostos!$F$25-F8420*Pressupostos!$C$118)),"n/a")</f>
        <v>0.622161794906772</v>
      </c>
      <c r="G8421" s="63" t="n">
        <f aca="false">IF(G8112&gt;0,G8419/(G8112*1000*(1-Pressupostos!$F$22)*(1-Pressupostos!$F$25-G8420*Pressupostos!$C$118)),"n/a")</f>
        <v>0.357248070228289</v>
      </c>
      <c r="H8421" s="2" t="s">
        <v>1483</v>
      </c>
    </row>
    <row r="8422" customFormat="false" ht="15" hidden="false" customHeight="false" outlineLevel="1" collapsed="false">
      <c r="A8422" s="7" t="s">
        <v>824</v>
      </c>
      <c r="B8422" s="8" t="s">
        <v>64</v>
      </c>
      <c r="C8422" s="63" t="n">
        <f aca="false">IF(C8111&gt;0,Pressupostos!$F$15+C8419/(C8111*1000*(1-Pressupostos!$F$16)*(1-Pressupostos!$F$18-C8420*Pressupostos!$C$118)),"n/a")</f>
        <v>85.9284755078901</v>
      </c>
      <c r="D8422" s="63" t="n">
        <f aca="false">IF(D8111&gt;0,Pressupostos!$F$15+D8419/(D8111*1000*(1-Pressupostos!$F$16)*(1-Pressupostos!$F$18-D8420*Pressupostos!$C$118)),"n/a")</f>
        <v>31.6598592688339</v>
      </c>
      <c r="E8422" s="63" t="n">
        <f aca="false">IF(E8111&gt;0,Pressupostos!$F$15+E8419/(E8111*1000*(1-Pressupostos!$F$16)*(1-Pressupostos!$F$18-E8420*Pressupostos!$C$118)),"n/a")</f>
        <v>16.1510278740204</v>
      </c>
      <c r="F8422" s="63" t="n">
        <f aca="false">IF(F8111&gt;0,Pressupostos!$F$15+F8419/(F8111*1000*(1-Pressupostos!$F$16)*(1-Pressupostos!$F$18-F8420*Pressupostos!$C$118)),"n/a")</f>
        <v>11.7162040971159</v>
      </c>
      <c r="G8422" s="63" t="n">
        <f aca="false">IF(G8111&gt;0,Pressupostos!$F$15+G8419/(G8111*1000*(1-Pressupostos!$F$16)*(1-Pressupostos!$F$18-G8420*Pressupostos!$C$118)),"n/a")</f>
        <v>9.47648696936124</v>
      </c>
      <c r="H8422" s="2" t="s">
        <v>1484</v>
      </c>
    </row>
    <row r="8423" customFormat="false" ht="15" hidden="false" customHeight="false" outlineLevel="1" collapsed="false">
      <c r="A8423" s="7" t="s">
        <v>825</v>
      </c>
      <c r="B8423" s="8" t="s">
        <v>64</v>
      </c>
      <c r="C8423" s="63" t="n">
        <f aca="false">IF(Pressupostos!$F$33=1,C8194-C8420*Pressupostos!$C$119*C8177,C8200)</f>
        <v>0.00725</v>
      </c>
      <c r="D8423" s="63" t="n">
        <f aca="false">IF(Pressupostos!$F$33=1,D8194-D8420*Pressupostos!$C$119*D8177,D8200)</f>
        <v>0.00725</v>
      </c>
      <c r="E8423" s="63" t="n">
        <f aca="false">IF(Pressupostos!$F$33=1,E8194-E8420*Pressupostos!$C$119*E8177,E8200)</f>
        <v>0.00725</v>
      </c>
      <c r="F8423" s="63" t="n">
        <f aca="false">IF(Pressupostos!$F$33=1,F8194-F8420*Pressupostos!$C$119*F8177,F8200)</f>
        <v>0.00725</v>
      </c>
      <c r="G8423" s="63" t="n">
        <f aca="false">IF(Pressupostos!$F$33=1,G8194-G8420*Pressupostos!$C$119*G8177,G8200)</f>
        <v>0.00725</v>
      </c>
      <c r="H8423" s="2" t="s">
        <v>1485</v>
      </c>
    </row>
    <row r="8424" customFormat="false" ht="15" hidden="false" customHeight="false" outlineLevel="1" collapsed="false">
      <c r="A8424" s="7" t="s">
        <v>826</v>
      </c>
      <c r="B8424" s="8" t="s">
        <v>120</v>
      </c>
      <c r="C8424" s="55" t="n">
        <f aca="false">IF(C8423&gt;0,C8113+C8419/(C8423*1000),"n/a")</f>
        <v>80873.5057038262</v>
      </c>
      <c r="D8424" s="55" t="n">
        <f aca="false">IF(D8423&gt;0,D8113+D8419/(D8423*1000),"n/a")</f>
        <v>97470.3778223903</v>
      </c>
      <c r="E8424" s="55" t="n">
        <f aca="false">IF(E8423&gt;0,E8113+E8419/(E8423*1000),"n/a")</f>
        <v>103797.158418163</v>
      </c>
      <c r="F8424" s="55" t="n">
        <f aca="false">IF(F8423&gt;0,F8113+F8419/(F8423*1000),"n/a")</f>
        <v>103309.004351874</v>
      </c>
      <c r="G8424" s="55" t="n">
        <f aca="false">IF(G8423&gt;0,G8113+G8419/(G8423*1000),"n/a")</f>
        <v>91085.893432921</v>
      </c>
      <c r="H8424" s="2" t="s">
        <v>1486</v>
      </c>
    </row>
    <row r="8425" customFormat="false" ht="15" hidden="false" customHeight="false" outlineLevel="1" collapsed="false">
      <c r="A8425" s="7" t="s">
        <v>827</v>
      </c>
      <c r="B8425" s="8" t="s">
        <v>76</v>
      </c>
      <c r="C8425" s="59" t="n">
        <f aca="false">C8419/(C8281+C8294+C8295)</f>
        <v>0.974504132631807</v>
      </c>
      <c r="D8425" s="59" t="n">
        <f aca="false">D8419/(D8281+D8294+D8295)</f>
        <v>0.912726570287091</v>
      </c>
      <c r="E8425" s="59" t="n">
        <f aca="false">E8419/(E8281+E8294+E8295)</f>
        <v>0.804477393481671</v>
      </c>
      <c r="F8425" s="59" t="n">
        <f aca="false">F8419/(F8281+F8294+F8295)</f>
        <v>0.681957148522883</v>
      </c>
      <c r="G8425" s="59" t="n">
        <f aca="false">G8419/(G8281+G8294+G8295)</f>
        <v>0.539919949091263</v>
      </c>
      <c r="H8425" s="2" t="s">
        <v>1487</v>
      </c>
    </row>
    <row r="8426" customFormat="false" ht="15" hidden="false" customHeight="false" outlineLevel="1" collapsed="false">
      <c r="A8426" s="2" t="s">
        <v>828</v>
      </c>
      <c r="B8426" s="8" t="s">
        <v>76</v>
      </c>
      <c r="C8426" s="60" t="n">
        <f aca="false">Pressupostos!$C$101*Pressupostos!$C$102+Pressupostos!$C$103-Pressupostos!$F$30*Pressupostos!$C$104*Pressupostos!$C$102/(Pressupostos!$C$105*Pressupostos!$C$106)</f>
        <v>0.02</v>
      </c>
      <c r="D8426" s="60" t="n">
        <f aca="false">Pressupostos!$C$101*Pressupostos!$C$102+Pressupostos!$C$103-Pressupostos!$F$30*Pressupostos!$C$104*Pressupostos!$C$102/(Pressupostos!$C$105*Pressupostos!$C$106)</f>
        <v>0.02</v>
      </c>
      <c r="E8426" s="60" t="n">
        <f aca="false">Pressupostos!$C$101*Pressupostos!$C$102+Pressupostos!$C$103-Pressupostos!$F$30*Pressupostos!$C$104*Pressupostos!$C$102/(Pressupostos!$C$105*Pressupostos!$C$106)</f>
        <v>0.02</v>
      </c>
      <c r="F8426" s="60" t="n">
        <f aca="false">Pressupostos!$C$101*Pressupostos!$C$102+Pressupostos!$C$103-Pressupostos!$F$30*Pressupostos!$C$104*Pressupostos!$C$102/(Pressupostos!$C$105*Pressupostos!$C$106)</f>
        <v>0.02</v>
      </c>
      <c r="G8426" s="60" t="n">
        <f aca="false">Pressupostos!$C$101*Pressupostos!$C$102+Pressupostos!$C$103-Pressupostos!$F$30*Pressupostos!$C$104*Pressupostos!$C$102/(Pressupostos!$C$105*Pressupostos!$C$106)</f>
        <v>0.02</v>
      </c>
      <c r="H8426" s="2" t="s">
        <v>1488</v>
      </c>
    </row>
    <row r="8427" customFormat="false" ht="15" hidden="false" customHeight="false" outlineLevel="1" collapsed="false">
      <c r="A8427" s="7" t="s">
        <v>829</v>
      </c>
      <c r="B8427" s="8" t="s">
        <v>11</v>
      </c>
      <c r="C8427" s="61" t="n">
        <f aca="false">IF(C8426&gt;0,C8126+C8419/C8426,"n/a")</f>
        <v>29316645.817637</v>
      </c>
      <c r="D8427" s="61" t="n">
        <f aca="false">IF(D8426&gt;0,D8126+D8419/D8426,"n/a")</f>
        <v>35651761.9606165</v>
      </c>
      <c r="E8427" s="61" t="n">
        <f aca="false">IF(E8426&gt;0,E8126+E8419/E8426,"n/a")</f>
        <v>38582719.9265839</v>
      </c>
      <c r="F8427" s="61" t="n">
        <f aca="false">IF(F8426&gt;0,F8126+F8419/F8426,"n/a")</f>
        <v>39543264.0775544</v>
      </c>
      <c r="G8427" s="61" t="n">
        <f aca="false">IF(G8426&gt;0,G8126+G8419/G8426,"n/a")</f>
        <v>36749886.3694338</v>
      </c>
      <c r="H8427" s="2" t="s">
        <v>1489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2026-10-13T15:03:53Z</dcterms:created>
  <dc:creator>openpyxl</dc:creator>
  <dc:description/>
  <dc:language>en-US</dc:language>
  <cp:lastModifiedBy/>
  <dcterms:modified xsi:type="dcterms:W3CDTF">2026-10-13T15:04:00Z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